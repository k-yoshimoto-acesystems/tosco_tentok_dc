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drawings/drawing2.xml" ContentType="application/vnd.openxmlformats-officedocument.drawing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fileSharing readOnlyRecommended="1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2100747_天間特殊製紙／新基幹システム_1要件定義\SVN\31_基本設計\04.テーブル設計\"/>
    </mc:Choice>
  </mc:AlternateContent>
  <bookViews>
    <workbookView xWindow="-108" yWindow="-108" windowWidth="23256" windowHeight="12576" tabRatio="923" firstSheet="1" activeTab="1"/>
  </bookViews>
  <sheets>
    <sheet name="マクロ" sheetId="57" state="hidden" r:id="rId1"/>
    <sheet name="実行シート" sheetId="109" r:id="rId2"/>
    <sheet name="テーブル一覧" sheetId="58" r:id="rId3"/>
    <sheet name="生産計画情報（抄紙）" sheetId="43" r:id="rId4"/>
    <sheet name="生産計画情報（熱加工）" sheetId="75" r:id="rId5"/>
    <sheet name="生産計画情報（加工CM）" sheetId="85" r:id="rId6"/>
    <sheet name="生産計画情報（加工SC）" sheetId="102" r:id="rId7"/>
    <sheet name="生産計画情報（コーヒーフィルタ）" sheetId="103" r:id="rId8"/>
    <sheet name="生産計画情報（パッケージ工場）" sheetId="106" r:id="rId9"/>
    <sheet name="生産計画情報（WD工場）" sheetId="105" r:id="rId10"/>
    <sheet name="生産計画情報（外注加工）" sheetId="112" r:id="rId11"/>
    <sheet name="生産指示情報（原材料）" sheetId="62" r:id="rId12"/>
    <sheet name="生産指示明細情報（原材料）" sheetId="113" r:id="rId13"/>
    <sheet name="生産指示情報（薬品）" sheetId="107" r:id="rId14"/>
    <sheet name="生産指示明細情報（薬品）" sheetId="108" r:id="rId15"/>
    <sheet name="生産指示情報（調薬）" sheetId="99" r:id="rId16"/>
    <sheet name="生産指示明細情報（調薬）" sheetId="101" r:id="rId17"/>
    <sheet name="生産指示情報（原反）" sheetId="82" r:id="rId18"/>
    <sheet name="生産指示明細情報（原反）" sheetId="83" r:id="rId19"/>
    <sheet name="加工依頼情報" sheetId="114" r:id="rId20"/>
    <sheet name="加工依頼明細情報" sheetId="115" r:id="rId21"/>
    <sheet name="加工依頼明細情報（ロット指定）" sheetId="116" r:id="rId22"/>
    <sheet name="生産計画項目制御情報" sheetId="110" r:id="rId23"/>
    <sheet name="生産計画排他情報" sheetId="117" r:id="rId24"/>
    <sheet name="製造工程抄紙設備" sheetId="118" r:id="rId25"/>
    <sheet name="項目一覧" sheetId="60" r:id="rId26"/>
    <sheet name="項目一覧 (項目別)" sheetId="61" r:id="rId27"/>
    <sheet name="Sheet1" sheetId="104" r:id="rId28"/>
  </sheets>
  <functionGroups builtInGroupCount="18"/>
  <definedNames>
    <definedName name="_xlnm._FilterDatabase" localSheetId="27" hidden="1">Sheet1!$A$1:$C$177</definedName>
    <definedName name="_xlnm._FilterDatabase" localSheetId="2" hidden="1">テーブル一覧!#REF!</definedName>
    <definedName name="_xlnm._FilterDatabase" localSheetId="19" hidden="1">加工依頼情報!$A$7:$WXB$7</definedName>
    <definedName name="_xlnm._FilterDatabase" localSheetId="20" hidden="1">加工依頼明細情報!$A$7:$WWV$7</definedName>
    <definedName name="_xlnm._FilterDatabase" localSheetId="21" hidden="1">'加工依頼明細情報（ロット指定）'!$A$7:$WWV$7</definedName>
    <definedName name="_xlnm._FilterDatabase" localSheetId="25" hidden="1">項目一覧!$A$3:$J$813</definedName>
    <definedName name="_xlnm._FilterDatabase" localSheetId="26" hidden="1">'項目一覧 (項目別)'!$A$3:$K$813</definedName>
    <definedName name="_xlnm._FilterDatabase" localSheetId="22" hidden="1">生産計画項目制御情報!$A$7:$WWV$7</definedName>
    <definedName name="_xlnm._FilterDatabase" localSheetId="9" hidden="1">'生産計画情報（WD工場）'!$A$6:$BD$60</definedName>
    <definedName name="_xlnm._FilterDatabase" localSheetId="7" hidden="1">'生産計画情報（コーヒーフィルタ）'!$A$6:$BD$36</definedName>
    <definedName name="_xlnm._FilterDatabase" localSheetId="8" hidden="1">'生産計画情報（パッケージ工場）'!$A$6:$BD$36</definedName>
    <definedName name="_xlnm._FilterDatabase" localSheetId="5" hidden="1">'生産計画情報（加工CM）'!$A$6:$BD$41</definedName>
    <definedName name="_xlnm._FilterDatabase" localSheetId="6" hidden="1">'生産計画情報（加工SC）'!$A$6:$BD$40</definedName>
    <definedName name="_xlnm._FilterDatabase" localSheetId="10" hidden="1">'生産計画情報（外注加工）'!$A$6:$BD$62</definedName>
    <definedName name="_xlnm._FilterDatabase" localSheetId="3" hidden="1">'生産計画情報（抄紙）'!$A$6:$BD$42</definedName>
    <definedName name="_xlnm._FilterDatabase" localSheetId="4" hidden="1">'生産計画情報（熱加工）'!$A$6:$BD$43</definedName>
    <definedName name="_xlnm._FilterDatabase" localSheetId="23" hidden="1">生産計画排他情報!$A$7:$WWV$7</definedName>
    <definedName name="_xlnm._FilterDatabase" localSheetId="11" hidden="1">'生産指示情報（原材料）'!$A$7:$BD$7</definedName>
    <definedName name="_xlnm._FilterDatabase" localSheetId="17" hidden="1">'生産指示情報（原反）'!$A$7:$WXB$7</definedName>
    <definedName name="_xlnm._FilterDatabase" localSheetId="15" hidden="1">'生産指示情報（調薬）'!$A$7:$WWE$7</definedName>
    <definedName name="_xlnm._FilterDatabase" localSheetId="13" hidden="1">'生産指示情報（薬品）'!$A$7:$WWE$7</definedName>
    <definedName name="_xlnm._FilterDatabase" localSheetId="12" hidden="1">'生産指示明細情報（原材料）'!$A$7:$BD$7</definedName>
    <definedName name="_xlnm._FilterDatabase" localSheetId="18" hidden="1">'生産指示明細情報（原反）'!$A$7:$WWU$7</definedName>
    <definedName name="_xlnm._FilterDatabase" localSheetId="16" hidden="1">'生産指示明細情報（調薬）'!$A$7:$WWT$7</definedName>
    <definedName name="_xlnm._FilterDatabase" localSheetId="14" hidden="1">'生産指示明細情報（薬品）'!$A$7:$WWV$7</definedName>
    <definedName name="_xlnm._FilterDatabase" localSheetId="24" hidden="1">製造工程抄紙設備!$A$7:$WXB$7</definedName>
    <definedName name="_xlnm.Print_Titles" localSheetId="2">テーブル一覧!$1:$6</definedName>
    <definedName name="_xlnm.Print_Titles" localSheetId="19">加工依頼情報!$1:$7</definedName>
    <definedName name="_xlnm.Print_Titles" localSheetId="20">加工依頼明細情報!$1:$7</definedName>
    <definedName name="_xlnm.Print_Titles" localSheetId="21">'加工依頼明細情報（ロット指定）'!$1:$7</definedName>
    <definedName name="_xlnm.Print_Titles" localSheetId="25">項目一覧!$1:$3</definedName>
    <definedName name="_xlnm.Print_Titles" localSheetId="26">'項目一覧 (項目別)'!$1:$3</definedName>
    <definedName name="_xlnm.Print_Titles" localSheetId="22">生産計画項目制御情報!$1:$7</definedName>
    <definedName name="_xlnm.Print_Titles" localSheetId="9">'生産計画情報（WD工場）'!$1:$7</definedName>
    <definedName name="_xlnm.Print_Titles" localSheetId="7">'生産計画情報（コーヒーフィルタ）'!$1:$7</definedName>
    <definedName name="_xlnm.Print_Titles" localSheetId="8">'生産計画情報（パッケージ工場）'!$1:$7</definedName>
    <definedName name="_xlnm.Print_Titles" localSheetId="5">'生産計画情報（加工CM）'!$1:$7</definedName>
    <definedName name="_xlnm.Print_Titles" localSheetId="6">'生産計画情報（加工SC）'!$1:$7</definedName>
    <definedName name="_xlnm.Print_Titles" localSheetId="10">'生産計画情報（外注加工）'!$1:$7</definedName>
    <definedName name="_xlnm.Print_Titles" localSheetId="3">'生産計画情報（抄紙）'!$1:$7</definedName>
    <definedName name="_xlnm.Print_Titles" localSheetId="4">'生産計画情報（熱加工）'!$1:$7</definedName>
    <definedName name="_xlnm.Print_Titles" localSheetId="23">生産計画排他情報!$1:$7</definedName>
    <definedName name="_xlnm.Print_Titles" localSheetId="11">'生産指示情報（原材料）'!$1:$7</definedName>
    <definedName name="_xlnm.Print_Titles" localSheetId="17">'生産指示情報（原反）'!$1:$7</definedName>
    <definedName name="_xlnm.Print_Titles" localSheetId="15">'生産指示情報（調薬）'!$1:$7</definedName>
    <definedName name="_xlnm.Print_Titles" localSheetId="13">'生産指示情報（薬品）'!$1:$7</definedName>
    <definedName name="_xlnm.Print_Titles" localSheetId="12">'生産指示明細情報（原材料）'!$1:$7</definedName>
    <definedName name="_xlnm.Print_Titles" localSheetId="18">'生産指示明細情報（原反）'!$1:$7</definedName>
    <definedName name="_xlnm.Print_Titles" localSheetId="16">'生産指示明細情報（調薬）'!$1:$7</definedName>
    <definedName name="_xlnm.Print_Titles" localSheetId="14">'生産指示明細情報（薬品）'!$1:$7</definedName>
    <definedName name="_xlnm.Print_Titles" localSheetId="24">製造工程抄紙設備!$1:$7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13" i="61" l="1"/>
  <c r="A812" i="61"/>
  <c r="A811" i="61"/>
  <c r="A810" i="61"/>
  <c r="A809" i="61"/>
  <c r="A808" i="61"/>
  <c r="A807" i="61"/>
  <c r="A806" i="61"/>
  <c r="A805" i="61"/>
  <c r="A804" i="61"/>
  <c r="A803" i="61"/>
  <c r="A802" i="61"/>
  <c r="A801" i="61"/>
  <c r="A800" i="61"/>
  <c r="A799" i="61"/>
  <c r="A798" i="61"/>
  <c r="A797" i="61"/>
  <c r="A796" i="61"/>
  <c r="A795" i="61"/>
  <c r="A794" i="61"/>
  <c r="A793" i="61"/>
  <c r="A792" i="61"/>
  <c r="A791" i="61"/>
  <c r="A790" i="61"/>
  <c r="A789" i="61"/>
  <c r="A788" i="61"/>
  <c r="A787" i="61"/>
  <c r="A786" i="61"/>
  <c r="A785" i="61"/>
  <c r="A784" i="61"/>
  <c r="A783" i="61"/>
  <c r="A782" i="61"/>
  <c r="A781" i="61"/>
  <c r="A780" i="61"/>
  <c r="A779" i="61"/>
  <c r="A778" i="61"/>
  <c r="A777" i="61"/>
  <c r="A776" i="61"/>
  <c r="A775" i="61"/>
  <c r="A774" i="61"/>
  <c r="A773" i="61"/>
  <c r="A772" i="61"/>
  <c r="A771" i="61"/>
  <c r="A770" i="61"/>
  <c r="A769" i="61"/>
  <c r="A768" i="61"/>
  <c r="A767" i="61"/>
  <c r="A766" i="61"/>
  <c r="A765" i="61"/>
  <c r="A764" i="61"/>
  <c r="A763" i="61"/>
  <c r="A762" i="61"/>
  <c r="A761" i="61"/>
  <c r="A760" i="61"/>
  <c r="A759" i="61"/>
  <c r="A758" i="61"/>
  <c r="A757" i="61"/>
  <c r="A756" i="61"/>
  <c r="A755" i="61"/>
  <c r="A754" i="61"/>
  <c r="A753" i="61"/>
  <c r="A752" i="61"/>
  <c r="A751" i="61"/>
  <c r="A750" i="61"/>
  <c r="A749" i="61"/>
  <c r="A748" i="61"/>
  <c r="A747" i="61"/>
  <c r="A746" i="61"/>
  <c r="A745" i="61"/>
  <c r="A744" i="61"/>
  <c r="A743" i="61"/>
  <c r="A742" i="61"/>
  <c r="A741" i="61"/>
  <c r="A740" i="61"/>
  <c r="A739" i="61"/>
  <c r="A738" i="61"/>
  <c r="A737" i="61"/>
  <c r="A736" i="61"/>
  <c r="A735" i="61"/>
  <c r="A734" i="61"/>
  <c r="A733" i="61"/>
  <c r="A732" i="61"/>
  <c r="A731" i="61"/>
  <c r="A730" i="61"/>
  <c r="A729" i="61"/>
  <c r="A728" i="61"/>
  <c r="A727" i="61"/>
  <c r="A726" i="61"/>
  <c r="A725" i="61"/>
  <c r="A724" i="61"/>
  <c r="A723" i="61"/>
  <c r="A722" i="61"/>
  <c r="A721" i="61"/>
  <c r="A720" i="61"/>
  <c r="A719" i="61"/>
  <c r="A718" i="61"/>
  <c r="A717" i="61"/>
  <c r="A716" i="61"/>
  <c r="A715" i="61"/>
  <c r="A714" i="61"/>
  <c r="A713" i="61"/>
  <c r="A712" i="61"/>
  <c r="A711" i="61"/>
  <c r="A710" i="61"/>
  <c r="A709" i="61"/>
  <c r="A708" i="61"/>
  <c r="A707" i="61"/>
  <c r="A706" i="61"/>
  <c r="A705" i="61"/>
  <c r="A704" i="61"/>
  <c r="A703" i="61"/>
  <c r="A702" i="61"/>
  <c r="A701" i="61"/>
  <c r="A700" i="61"/>
  <c r="A699" i="61"/>
  <c r="A698" i="61"/>
  <c r="A697" i="61"/>
  <c r="A696" i="61"/>
  <c r="A695" i="61"/>
  <c r="A694" i="61"/>
  <c r="A693" i="61"/>
  <c r="A692" i="61"/>
  <c r="A691" i="61"/>
  <c r="A690" i="61"/>
  <c r="A689" i="61"/>
  <c r="A688" i="61"/>
  <c r="A687" i="61"/>
  <c r="A686" i="61"/>
  <c r="A685" i="61"/>
  <c r="A684" i="61"/>
  <c r="A683" i="61"/>
  <c r="A682" i="61"/>
  <c r="A681" i="61"/>
  <c r="A680" i="61"/>
  <c r="A679" i="61"/>
  <c r="A678" i="61"/>
  <c r="A677" i="61"/>
  <c r="A676" i="61"/>
  <c r="A675" i="61"/>
  <c r="A674" i="61"/>
  <c r="A673" i="61"/>
  <c r="A672" i="61"/>
  <c r="A671" i="61"/>
  <c r="A670" i="61"/>
  <c r="A669" i="61"/>
  <c r="A668" i="61"/>
  <c r="A667" i="61"/>
  <c r="A666" i="61"/>
  <c r="A665" i="61"/>
  <c r="A664" i="61"/>
  <c r="A663" i="61"/>
  <c r="A662" i="61"/>
  <c r="A661" i="61"/>
  <c r="A660" i="61"/>
  <c r="A659" i="61"/>
  <c r="A658" i="61"/>
  <c r="A657" i="61"/>
  <c r="A656" i="61"/>
  <c r="A655" i="61"/>
  <c r="A654" i="61"/>
  <c r="A653" i="61"/>
  <c r="A652" i="61"/>
  <c r="A651" i="61"/>
  <c r="A650" i="61"/>
  <c r="A649" i="61"/>
  <c r="A648" i="61"/>
  <c r="A647" i="61"/>
  <c r="A646" i="61"/>
  <c r="A645" i="61"/>
  <c r="A644" i="61"/>
  <c r="A643" i="61"/>
  <c r="A642" i="61"/>
  <c r="A641" i="61"/>
  <c r="A640" i="61"/>
  <c r="A639" i="61"/>
  <c r="A638" i="61"/>
  <c r="A637" i="61"/>
  <c r="A636" i="61"/>
  <c r="A635" i="61"/>
  <c r="A634" i="61"/>
  <c r="A633" i="61"/>
  <c r="A632" i="61"/>
  <c r="A631" i="61"/>
  <c r="A630" i="61"/>
  <c r="A629" i="61"/>
  <c r="A628" i="61"/>
  <c r="A627" i="61"/>
  <c r="A626" i="61"/>
  <c r="A625" i="61"/>
  <c r="A624" i="61"/>
  <c r="A623" i="61"/>
  <c r="A622" i="61"/>
  <c r="A621" i="61"/>
  <c r="A228" i="61"/>
  <c r="A206" i="61"/>
  <c r="A518" i="61"/>
  <c r="A495" i="61"/>
  <c r="A227" i="61"/>
  <c r="A205" i="61"/>
  <c r="A517" i="61"/>
  <c r="A494" i="61"/>
  <c r="A546" i="61"/>
  <c r="A402" i="61"/>
  <c r="A361" i="61"/>
  <c r="A516" i="61"/>
  <c r="A73" i="61"/>
  <c r="A318" i="61"/>
  <c r="A401" i="61"/>
  <c r="A226" i="61"/>
  <c r="A204" i="61"/>
  <c r="A515" i="61"/>
  <c r="A493" i="61"/>
  <c r="A249" i="61"/>
  <c r="A246" i="61"/>
  <c r="A244" i="61"/>
  <c r="A245" i="61"/>
  <c r="A528" i="61"/>
  <c r="A94" i="61"/>
  <c r="A95" i="61"/>
  <c r="A42" i="61"/>
  <c r="A529" i="61"/>
  <c r="A362" i="61"/>
  <c r="A111" i="61"/>
  <c r="A523" i="61"/>
  <c r="A34" i="61"/>
  <c r="A87" i="61"/>
  <c r="A165" i="61"/>
  <c r="A225" i="61"/>
  <c r="A203" i="61"/>
  <c r="A184" i="61"/>
  <c r="A514" i="61"/>
  <c r="A492" i="61"/>
  <c r="A473" i="61"/>
  <c r="A287" i="61"/>
  <c r="A305" i="61"/>
  <c r="A400" i="61"/>
  <c r="A164" i="61"/>
  <c r="A260" i="61"/>
  <c r="A365" i="61"/>
  <c r="A230" i="61"/>
  <c r="A355" i="61"/>
  <c r="A224" i="61"/>
  <c r="A202" i="61"/>
  <c r="A183" i="61"/>
  <c r="A513" i="61"/>
  <c r="A491" i="61"/>
  <c r="A472" i="61"/>
  <c r="A286" i="61"/>
  <c r="A304" i="61"/>
  <c r="A604" i="61"/>
  <c r="A440" i="61"/>
  <c r="A595" i="61"/>
  <c r="A453" i="61"/>
  <c r="A582" i="61"/>
  <c r="A564" i="61"/>
  <c r="A385" i="61"/>
  <c r="A399" i="61"/>
  <c r="A163" i="61"/>
  <c r="A364" i="61"/>
  <c r="A524" i="61"/>
  <c r="A261" i="61"/>
  <c r="A45" i="61"/>
  <c r="A229" i="61"/>
  <c r="A618" i="61"/>
  <c r="A358" i="61"/>
  <c r="A354" i="61"/>
  <c r="A223" i="61"/>
  <c r="A201" i="61"/>
  <c r="A182" i="61"/>
  <c r="A512" i="61"/>
  <c r="A490" i="61"/>
  <c r="A471" i="61"/>
  <c r="A285" i="61"/>
  <c r="A303" i="61"/>
  <c r="A259" i="61"/>
  <c r="A439" i="61"/>
  <c r="A594" i="61"/>
  <c r="A452" i="61"/>
  <c r="A581" i="61"/>
  <c r="A563" i="61"/>
  <c r="A384" i="61"/>
  <c r="A123" i="61"/>
  <c r="A135" i="61"/>
  <c r="A398" i="61"/>
  <c r="A162" i="61"/>
  <c r="A357" i="61"/>
  <c r="A353" i="61"/>
  <c r="A222" i="61"/>
  <c r="A200" i="61"/>
  <c r="A181" i="61"/>
  <c r="A511" i="61"/>
  <c r="A489" i="61"/>
  <c r="A470" i="61"/>
  <c r="A284" i="61"/>
  <c r="A302" i="61"/>
  <c r="A397" i="61"/>
  <c r="A110" i="61"/>
  <c r="A438" i="61"/>
  <c r="A593" i="61"/>
  <c r="A451" i="61"/>
  <c r="A580" i="61"/>
  <c r="A562" i="61"/>
  <c r="A383" i="61"/>
  <c r="A617" i="61"/>
  <c r="A352" i="61"/>
  <c r="A221" i="61"/>
  <c r="A199" i="61"/>
  <c r="A180" i="61"/>
  <c r="A510" i="61"/>
  <c r="A488" i="61"/>
  <c r="A469" i="61"/>
  <c r="A283" i="61"/>
  <c r="A301" i="61"/>
  <c r="A258" i="61"/>
  <c r="A253" i="61"/>
  <c r="A545" i="61"/>
  <c r="A437" i="61"/>
  <c r="A592" i="61"/>
  <c r="A450" i="61"/>
  <c r="A579" i="61"/>
  <c r="A561" i="61"/>
  <c r="A382" i="61"/>
  <c r="A122" i="61"/>
  <c r="A134" i="61"/>
  <c r="A396" i="61"/>
  <c r="A161" i="61"/>
  <c r="A351" i="61"/>
  <c r="A220" i="61"/>
  <c r="A198" i="61"/>
  <c r="A179" i="61"/>
  <c r="A509" i="61"/>
  <c r="A487" i="61"/>
  <c r="A468" i="61"/>
  <c r="A282" i="61"/>
  <c r="A300" i="61"/>
  <c r="A544" i="61"/>
  <c r="A519" i="61"/>
  <c r="A619" i="61"/>
  <c r="A578" i="61"/>
  <c r="A560" i="61"/>
  <c r="A381" i="61"/>
  <c r="A616" i="61"/>
  <c r="A106" i="61"/>
  <c r="A350" i="61"/>
  <c r="A219" i="61"/>
  <c r="A197" i="61"/>
  <c r="A178" i="61"/>
  <c r="A508" i="61"/>
  <c r="A486" i="61"/>
  <c r="A467" i="61"/>
  <c r="A281" i="61"/>
  <c r="A299" i="61"/>
  <c r="A257" i="61"/>
  <c r="A252" i="61"/>
  <c r="A543" i="61"/>
  <c r="A436" i="61"/>
  <c r="A591" i="61"/>
  <c r="A449" i="61"/>
  <c r="A577" i="61"/>
  <c r="A559" i="61"/>
  <c r="A380" i="61"/>
  <c r="A121" i="61"/>
  <c r="A133" i="61"/>
  <c r="A395" i="61"/>
  <c r="A160" i="61"/>
  <c r="A349" i="61"/>
  <c r="A218" i="61"/>
  <c r="A196" i="61"/>
  <c r="A177" i="61"/>
  <c r="A507" i="61"/>
  <c r="A485" i="61"/>
  <c r="A466" i="61"/>
  <c r="A280" i="61"/>
  <c r="A298" i="61"/>
  <c r="A542" i="61"/>
  <c r="A454" i="61"/>
  <c r="A576" i="61"/>
  <c r="A558" i="61"/>
  <c r="A379" i="61"/>
  <c r="A615" i="61"/>
  <c r="A105" i="61"/>
  <c r="A348" i="61"/>
  <c r="A217" i="61"/>
  <c r="A195" i="61"/>
  <c r="A176" i="61"/>
  <c r="A506" i="61"/>
  <c r="A484" i="61"/>
  <c r="A465" i="61"/>
  <c r="A279" i="61"/>
  <c r="A297" i="61"/>
  <c r="A256" i="61"/>
  <c r="A406" i="61"/>
  <c r="A251" i="61"/>
  <c r="A541" i="61"/>
  <c r="A435" i="61"/>
  <c r="A590" i="61"/>
  <c r="A448" i="61"/>
  <c r="A575" i="61"/>
  <c r="A557" i="61"/>
  <c r="A378" i="61"/>
  <c r="A120" i="61"/>
  <c r="A132" i="61"/>
  <c r="A394" i="61"/>
  <c r="A159" i="61"/>
  <c r="A347" i="61"/>
  <c r="A216" i="61"/>
  <c r="A194" i="61"/>
  <c r="A175" i="61"/>
  <c r="A505" i="61"/>
  <c r="A483" i="61"/>
  <c r="A464" i="61"/>
  <c r="A278" i="61"/>
  <c r="A296" i="61"/>
  <c r="A540" i="61"/>
  <c r="A530" i="61"/>
  <c r="A409" i="61"/>
  <c r="A597" i="61"/>
  <c r="A596" i="61"/>
  <c r="A328" i="61"/>
  <c r="A574" i="61"/>
  <c r="A556" i="61"/>
  <c r="A377" i="61"/>
  <c r="A614" i="61"/>
  <c r="A104" i="61"/>
  <c r="A346" i="61"/>
  <c r="A215" i="61"/>
  <c r="A193" i="61"/>
  <c r="A174" i="61"/>
  <c r="A504" i="61"/>
  <c r="A482" i="61"/>
  <c r="A463" i="61"/>
  <c r="A277" i="61"/>
  <c r="A295" i="61"/>
  <c r="A255" i="61"/>
  <c r="A8" i="61"/>
  <c r="A6" i="61"/>
  <c r="A5" i="61"/>
  <c r="A7" i="61"/>
  <c r="A4" i="61"/>
  <c r="A250" i="61"/>
  <c r="A539" i="61"/>
  <c r="A434" i="61"/>
  <c r="A589" i="61"/>
  <c r="A447" i="61"/>
  <c r="A573" i="61"/>
  <c r="A555" i="61"/>
  <c r="A376" i="61"/>
  <c r="A119" i="61"/>
  <c r="A131" i="61"/>
  <c r="A393" i="61"/>
  <c r="A158" i="61"/>
  <c r="A345" i="61"/>
  <c r="A214" i="61"/>
  <c r="A192" i="61"/>
  <c r="A173" i="61"/>
  <c r="A503" i="61"/>
  <c r="A481" i="61"/>
  <c r="A462" i="61"/>
  <c r="A103" i="61"/>
  <c r="A231" i="61"/>
  <c r="A62" i="61"/>
  <c r="A63" i="61"/>
  <c r="A64" i="61"/>
  <c r="A38" i="61"/>
  <c r="A44" i="61"/>
  <c r="A41" i="61"/>
  <c r="A17" i="61"/>
  <c r="A25" i="61"/>
  <c r="A13" i="61"/>
  <c r="A23" i="61"/>
  <c r="A15" i="61"/>
  <c r="A21" i="61"/>
  <c r="A19" i="61"/>
  <c r="A11" i="61"/>
  <c r="A9" i="61"/>
  <c r="A538" i="61"/>
  <c r="A599" i="61"/>
  <c r="A620" i="61"/>
  <c r="A600" i="61"/>
  <c r="A603" i="61"/>
  <c r="A72" i="61"/>
  <c r="A61" i="61"/>
  <c r="A27" i="61"/>
  <c r="A408" i="61"/>
  <c r="A367" i="61"/>
  <c r="A433" i="61"/>
  <c r="A588" i="61"/>
  <c r="A446" i="61"/>
  <c r="A572" i="61"/>
  <c r="A554" i="61"/>
  <c r="A375" i="61"/>
  <c r="A118" i="61"/>
  <c r="A130" i="61"/>
  <c r="A427" i="61"/>
  <c r="A416" i="61"/>
  <c r="A363" i="61"/>
  <c r="A109" i="61"/>
  <c r="A108" i="61"/>
  <c r="A327" i="61"/>
  <c r="A47" i="61"/>
  <c r="A526" i="61"/>
  <c r="A107" i="61"/>
  <c r="A48" i="61"/>
  <c r="A74" i="61"/>
  <c r="A157" i="61"/>
  <c r="A336" i="61"/>
  <c r="A613" i="61"/>
  <c r="A344" i="61"/>
  <c r="A213" i="61"/>
  <c r="A191" i="61"/>
  <c r="A172" i="61"/>
  <c r="A502" i="61"/>
  <c r="A480" i="61"/>
  <c r="A461" i="61"/>
  <c r="A276" i="61"/>
  <c r="A294" i="61"/>
  <c r="A86" i="61"/>
  <c r="A80" i="61"/>
  <c r="A102" i="61"/>
  <c r="A93" i="61"/>
  <c r="A149" i="61"/>
  <c r="A142" i="61"/>
  <c r="A37" i="61"/>
  <c r="A43" i="61"/>
  <c r="A55" i="61"/>
  <c r="A40" i="61"/>
  <c r="A262" i="61"/>
  <c r="A16" i="61"/>
  <c r="A24" i="61"/>
  <c r="A12" i="61"/>
  <c r="A22" i="61"/>
  <c r="A14" i="61"/>
  <c r="A20" i="61"/>
  <c r="A18" i="61"/>
  <c r="A10" i="61"/>
  <c r="A537" i="61"/>
  <c r="A602" i="61"/>
  <c r="A60" i="61"/>
  <c r="A26" i="61"/>
  <c r="A407" i="61"/>
  <c r="A432" i="61"/>
  <c r="A587" i="61"/>
  <c r="A445" i="61"/>
  <c r="A571" i="61"/>
  <c r="A553" i="61"/>
  <c r="A374" i="61"/>
  <c r="A117" i="61"/>
  <c r="A129" i="61"/>
  <c r="A421" i="61"/>
  <c r="A426" i="61"/>
  <c r="A237" i="61"/>
  <c r="A243" i="61"/>
  <c r="A326" i="61"/>
  <c r="A525" i="61"/>
  <c r="A46" i="61"/>
  <c r="A360" i="61"/>
  <c r="A269" i="61"/>
  <c r="A317" i="61"/>
  <c r="A71" i="61"/>
  <c r="A392" i="61"/>
  <c r="A156" i="61"/>
  <c r="A335" i="61"/>
  <c r="A415" i="61"/>
  <c r="A356" i="61"/>
  <c r="A343" i="61"/>
  <c r="A212" i="61"/>
  <c r="A190" i="61"/>
  <c r="A171" i="61"/>
  <c r="A501" i="61"/>
  <c r="A479" i="61"/>
  <c r="A460" i="61"/>
  <c r="A275" i="61"/>
  <c r="A293" i="61"/>
  <c r="A85" i="61"/>
  <c r="A79" i="61"/>
  <c r="A101" i="61"/>
  <c r="A148" i="61"/>
  <c r="A141" i="61"/>
  <c r="A536" i="61"/>
  <c r="A54" i="61"/>
  <c r="A33" i="61"/>
  <c r="A254" i="61"/>
  <c r="A570" i="61"/>
  <c r="A552" i="61"/>
  <c r="A373" i="61"/>
  <c r="A248" i="61"/>
  <c r="A247" i="61"/>
  <c r="A325" i="61"/>
  <c r="A268" i="61"/>
  <c r="A316" i="61"/>
  <c r="A70" i="61"/>
  <c r="A391" i="61"/>
  <c r="A155" i="61"/>
  <c r="A334" i="61"/>
  <c r="A342" i="61"/>
  <c r="A211" i="61"/>
  <c r="A189" i="61"/>
  <c r="A170" i="61"/>
  <c r="A500" i="61"/>
  <c r="A478" i="61"/>
  <c r="A459" i="61"/>
  <c r="A274" i="61"/>
  <c r="A292" i="61"/>
  <c r="A84" i="61"/>
  <c r="A78" i="61"/>
  <c r="A100" i="61"/>
  <c r="A92" i="61"/>
  <c r="A147" i="61"/>
  <c r="A140" i="61"/>
  <c r="A535" i="61"/>
  <c r="A53" i="61"/>
  <c r="A32" i="61"/>
  <c r="A36" i="61"/>
  <c r="A39" i="61"/>
  <c r="A522" i="61"/>
  <c r="A31" i="61"/>
  <c r="A520" i="61"/>
  <c r="A366" i="61"/>
  <c r="A569" i="61"/>
  <c r="A551" i="61"/>
  <c r="A372" i="61"/>
  <c r="A116" i="61"/>
  <c r="A128" i="61"/>
  <c r="A310" i="61"/>
  <c r="A236" i="61"/>
  <c r="A242" i="61"/>
  <c r="A324" i="61"/>
  <c r="A267" i="61"/>
  <c r="A315" i="61"/>
  <c r="A69" i="61"/>
  <c r="A390" i="61"/>
  <c r="A154" i="61"/>
  <c r="A333" i="61"/>
  <c r="A341" i="61"/>
  <c r="A210" i="61"/>
  <c r="A188" i="61"/>
  <c r="A169" i="61"/>
  <c r="A499" i="61"/>
  <c r="A477" i="61"/>
  <c r="A458" i="61"/>
  <c r="A273" i="61"/>
  <c r="A291" i="61"/>
  <c r="A30" i="61"/>
  <c r="A29" i="61"/>
  <c r="A28" i="61"/>
  <c r="A99" i="61"/>
  <c r="A91" i="61"/>
  <c r="A146" i="61"/>
  <c r="A139" i="61"/>
  <c r="A534" i="61"/>
  <c r="A52" i="61"/>
  <c r="A405" i="61"/>
  <c r="A608" i="61"/>
  <c r="A612" i="61"/>
  <c r="A59" i="61"/>
  <c r="A431" i="61"/>
  <c r="A586" i="61"/>
  <c r="A444" i="61"/>
  <c r="A568" i="61"/>
  <c r="A550" i="61"/>
  <c r="A371" i="61"/>
  <c r="A115" i="61"/>
  <c r="A127" i="61"/>
  <c r="A420" i="61"/>
  <c r="A425" i="61"/>
  <c r="A309" i="61"/>
  <c r="A235" i="61"/>
  <c r="A241" i="61"/>
  <c r="A323" i="61"/>
  <c r="A266" i="61"/>
  <c r="A314" i="61"/>
  <c r="A68" i="61"/>
  <c r="A389" i="61"/>
  <c r="A153" i="61"/>
  <c r="A332" i="61"/>
  <c r="A414" i="61"/>
  <c r="A340" i="61"/>
  <c r="A209" i="61"/>
  <c r="A187" i="61"/>
  <c r="A168" i="61"/>
  <c r="A498" i="61"/>
  <c r="A476" i="61"/>
  <c r="A457" i="61"/>
  <c r="A272" i="61"/>
  <c r="A290" i="61"/>
  <c r="A83" i="61"/>
  <c r="A77" i="61"/>
  <c r="A98" i="61"/>
  <c r="A90" i="61"/>
  <c r="A145" i="61"/>
  <c r="A138" i="61"/>
  <c r="A533" i="61"/>
  <c r="A51" i="61"/>
  <c r="A35" i="61"/>
  <c r="A404" i="61"/>
  <c r="A607" i="61"/>
  <c r="A611" i="61"/>
  <c r="A58" i="61"/>
  <c r="A430" i="61"/>
  <c r="A585" i="61"/>
  <c r="A443" i="61"/>
  <c r="A567" i="61"/>
  <c r="A549" i="61"/>
  <c r="A370" i="61"/>
  <c r="A114" i="61"/>
  <c r="A126" i="61"/>
  <c r="A419" i="61"/>
  <c r="A424" i="61"/>
  <c r="A308" i="61"/>
  <c r="A234" i="61"/>
  <c r="A240" i="61"/>
  <c r="A322" i="61"/>
  <c r="A265" i="61"/>
  <c r="A313" i="61"/>
  <c r="A67" i="61"/>
  <c r="A388" i="61"/>
  <c r="A152" i="61"/>
  <c r="A331" i="61"/>
  <c r="A413" i="61"/>
  <c r="A339" i="61"/>
  <c r="A208" i="61"/>
  <c r="A186" i="61"/>
  <c r="A167" i="61"/>
  <c r="A497" i="61"/>
  <c r="A475" i="61"/>
  <c r="A456" i="61"/>
  <c r="A271" i="61"/>
  <c r="A289" i="61"/>
  <c r="A82" i="61"/>
  <c r="A76" i="61"/>
  <c r="A97" i="61"/>
  <c r="A89" i="61"/>
  <c r="A144" i="61"/>
  <c r="A137" i="61"/>
  <c r="A601" i="61"/>
  <c r="A410" i="61"/>
  <c r="A359" i="61"/>
  <c r="A532" i="61"/>
  <c r="A50" i="61"/>
  <c r="A521" i="61"/>
  <c r="A403" i="61"/>
  <c r="A606" i="61"/>
  <c r="A610" i="61"/>
  <c r="A57" i="61"/>
  <c r="A429" i="61"/>
  <c r="A584" i="61"/>
  <c r="A442" i="61"/>
  <c r="A566" i="61"/>
  <c r="A548" i="61"/>
  <c r="A369" i="61"/>
  <c r="A113" i="61"/>
  <c r="A125" i="61"/>
  <c r="A418" i="61"/>
  <c r="A423" i="61"/>
  <c r="A307" i="61"/>
  <c r="A233" i="61"/>
  <c r="A239" i="61"/>
  <c r="A321" i="61"/>
  <c r="A264" i="61"/>
  <c r="A312" i="61"/>
  <c r="A66" i="61"/>
  <c r="A387" i="61"/>
  <c r="A151" i="61"/>
  <c r="A330" i="61"/>
  <c r="A412" i="61"/>
  <c r="A338" i="61"/>
  <c r="A207" i="61"/>
  <c r="A185" i="61"/>
  <c r="A166" i="61"/>
  <c r="A496" i="61"/>
  <c r="A474" i="61"/>
  <c r="A455" i="61"/>
  <c r="A270" i="61"/>
  <c r="A288" i="61"/>
  <c r="A81" i="61"/>
  <c r="A75" i="61"/>
  <c r="A96" i="61"/>
  <c r="A88" i="61"/>
  <c r="A143" i="61"/>
  <c r="A136" i="61"/>
  <c r="A531" i="61"/>
  <c r="A49" i="61"/>
  <c r="A598" i="61"/>
  <c r="A527" i="61"/>
  <c r="A319" i="61"/>
  <c r="A605" i="61"/>
  <c r="A609" i="61"/>
  <c r="A56" i="61"/>
  <c r="A428" i="61"/>
  <c r="A583" i="61"/>
  <c r="A441" i="61"/>
  <c r="A565" i="61"/>
  <c r="A547" i="61"/>
  <c r="A368" i="61"/>
  <c r="A112" i="61"/>
  <c r="A124" i="61"/>
  <c r="A417" i="61"/>
  <c r="A422" i="61"/>
  <c r="A306" i="61"/>
  <c r="A232" i="61"/>
  <c r="A238" i="61"/>
  <c r="A320" i="61"/>
  <c r="A263" i="61"/>
  <c r="A311" i="61"/>
  <c r="A65" i="61"/>
  <c r="A386" i="61"/>
  <c r="A150" i="61"/>
  <c r="A329" i="61"/>
  <c r="A411" i="61"/>
  <c r="A337" i="61"/>
  <c r="A85" i="112" l="1"/>
  <c r="A84" i="112"/>
  <c r="A83" i="112"/>
  <c r="A82" i="112"/>
  <c r="A46" i="115" l="1"/>
  <c r="A45" i="115"/>
  <c r="A85" i="105"/>
  <c r="A84" i="105"/>
  <c r="A46" i="106" l="1"/>
  <c r="A45" i="106"/>
  <c r="A44" i="106"/>
  <c r="A43" i="106"/>
  <c r="A52" i="102"/>
  <c r="A52" i="85"/>
  <c r="A85" i="75"/>
  <c r="Y4" i="118" l="1"/>
  <c r="Y2" i="118"/>
  <c r="A21" i="106" l="1"/>
  <c r="A23" i="115" l="1"/>
  <c r="A22" i="115"/>
  <c r="A21" i="115"/>
  <c r="A20" i="115"/>
  <c r="A19" i="115"/>
  <c r="A18" i="115"/>
  <c r="A14" i="115" l="1"/>
  <c r="A12" i="115"/>
  <c r="A13" i="115"/>
  <c r="A10" i="115" l="1"/>
  <c r="A9" i="115"/>
  <c r="A9" i="114"/>
  <c r="A24" i="103" l="1"/>
  <c r="A24" i="110" l="1"/>
  <c r="A23" i="110"/>
  <c r="A22" i="110"/>
  <c r="A21" i="110"/>
  <c r="A16" i="106" l="1"/>
  <c r="A29" i="110" l="1"/>
  <c r="A28" i="110"/>
  <c r="A31" i="110" l="1"/>
  <c r="A30" i="110"/>
  <c r="A27" i="110" l="1"/>
  <c r="A26" i="110"/>
  <c r="A46" i="83" l="1"/>
  <c r="A46" i="108"/>
  <c r="A46" i="113"/>
  <c r="A45" i="113"/>
  <c r="A44" i="113"/>
  <c r="A43" i="113"/>
  <c r="A38" i="110"/>
  <c r="A37" i="110"/>
  <c r="A36" i="110"/>
  <c r="A35" i="110"/>
  <c r="A34" i="110"/>
  <c r="A33" i="110"/>
  <c r="A32" i="110"/>
  <c r="A25" i="110"/>
  <c r="A20" i="110"/>
  <c r="A19" i="110"/>
  <c r="A18" i="110"/>
  <c r="A17" i="110"/>
  <c r="A16" i="110"/>
  <c r="A15" i="110"/>
  <c r="A14" i="110"/>
  <c r="A13" i="110"/>
  <c r="A12" i="110"/>
  <c r="A11" i="110"/>
  <c r="A10" i="110"/>
  <c r="A9" i="110"/>
  <c r="A8" i="110"/>
  <c r="A25" i="116"/>
  <c r="A24" i="116"/>
  <c r="A23" i="116"/>
  <c r="A22" i="116"/>
  <c r="A21" i="116"/>
  <c r="A20" i="116"/>
  <c r="A19" i="116"/>
  <c r="A18" i="116"/>
  <c r="A17" i="116"/>
  <c r="A16" i="116"/>
  <c r="A15" i="116"/>
  <c r="A14" i="116"/>
  <c r="A13" i="116"/>
  <c r="A12" i="116"/>
  <c r="A11" i="116"/>
  <c r="A10" i="116"/>
  <c r="A9" i="116"/>
  <c r="A8" i="116"/>
  <c r="A35" i="115"/>
  <c r="A34" i="115"/>
  <c r="A33" i="115"/>
  <c r="A32" i="115"/>
  <c r="A31" i="115"/>
  <c r="A30" i="115"/>
  <c r="A29" i="115"/>
  <c r="A28" i="115"/>
  <c r="A27" i="115"/>
  <c r="A26" i="115"/>
  <c r="A25" i="115"/>
  <c r="A24" i="115"/>
  <c r="A17" i="115"/>
  <c r="A16" i="115"/>
  <c r="A15" i="115"/>
  <c r="A11" i="115"/>
  <c r="A8" i="115"/>
  <c r="A31" i="114"/>
  <c r="A30" i="114"/>
  <c r="A29" i="114"/>
  <c r="A28" i="114"/>
  <c r="A27" i="114"/>
  <c r="A26" i="114"/>
  <c r="A25" i="114"/>
  <c r="A24" i="114"/>
  <c r="A23" i="114"/>
  <c r="A22" i="114"/>
  <c r="A21" i="114"/>
  <c r="A20" i="114"/>
  <c r="A19" i="114"/>
  <c r="A18" i="114"/>
  <c r="A17" i="114"/>
  <c r="A16" i="114"/>
  <c r="A15" i="114"/>
  <c r="A14" i="114"/>
  <c r="A13" i="114"/>
  <c r="A12" i="114"/>
  <c r="A11" i="114"/>
  <c r="A10" i="114"/>
  <c r="A8" i="114"/>
  <c r="A81" i="112"/>
  <c r="A80" i="112"/>
  <c r="A65" i="112"/>
  <c r="A64" i="112"/>
  <c r="A63" i="112"/>
  <c r="A62" i="112"/>
  <c r="A61" i="112"/>
  <c r="A60" i="112"/>
  <c r="A59" i="112"/>
  <c r="A58" i="112"/>
  <c r="A57" i="112"/>
  <c r="A56" i="112"/>
  <c r="A55" i="112"/>
  <c r="A54" i="112"/>
  <c r="A53" i="112"/>
  <c r="A52" i="112"/>
  <c r="A51" i="112"/>
  <c r="A50" i="112"/>
  <c r="A49" i="112"/>
  <c r="A48" i="112"/>
  <c r="A47" i="112"/>
  <c r="A46" i="112"/>
  <c r="A45" i="112"/>
  <c r="A44" i="112"/>
  <c r="A43" i="112"/>
  <c r="A42" i="112"/>
  <c r="A41" i="112"/>
  <c r="A40" i="112"/>
  <c r="A39" i="112"/>
  <c r="A38" i="112"/>
  <c r="A37" i="112"/>
  <c r="A36" i="112"/>
  <c r="A35" i="112"/>
  <c r="A34" i="112"/>
  <c r="A33" i="112"/>
  <c r="A32" i="112"/>
  <c r="A31" i="112"/>
  <c r="A30" i="112"/>
  <c r="A29" i="112"/>
  <c r="A28" i="112"/>
  <c r="A27" i="112"/>
  <c r="A26" i="112"/>
  <c r="A25" i="112"/>
  <c r="A24" i="112"/>
  <c r="A23" i="112"/>
  <c r="A22" i="112"/>
  <c r="A21" i="112"/>
  <c r="A20" i="112"/>
  <c r="A19" i="112"/>
  <c r="A18" i="112"/>
  <c r="A17" i="112"/>
  <c r="A16" i="112"/>
  <c r="A15" i="112"/>
  <c r="A14" i="112"/>
  <c r="A13" i="112"/>
  <c r="A12" i="112"/>
  <c r="A11" i="112"/>
  <c r="A10" i="112"/>
  <c r="A9" i="112"/>
  <c r="A8" i="112"/>
  <c r="A83" i="105"/>
  <c r="A82" i="105"/>
  <c r="A81" i="105"/>
  <c r="A80" i="105"/>
  <c r="A79" i="105"/>
  <c r="A66" i="105"/>
  <c r="A65" i="105"/>
  <c r="A64" i="105"/>
  <c r="A63" i="105"/>
  <c r="A62" i="105"/>
  <c r="A61" i="105"/>
  <c r="A60" i="105"/>
  <c r="A59" i="105"/>
  <c r="A58" i="105"/>
  <c r="A57" i="105"/>
  <c r="A56" i="105"/>
  <c r="A55" i="105"/>
  <c r="A54" i="105"/>
  <c r="A53" i="105"/>
  <c r="A52" i="105"/>
  <c r="A51" i="105"/>
  <c r="A50" i="105"/>
  <c r="A49" i="105"/>
  <c r="A48" i="105"/>
  <c r="A47" i="105"/>
  <c r="A46" i="105"/>
  <c r="A45" i="105"/>
  <c r="A44" i="105"/>
  <c r="A43" i="105"/>
  <c r="A42" i="105"/>
  <c r="A41" i="105"/>
  <c r="A40" i="105"/>
  <c r="A39" i="105"/>
  <c r="A38" i="105"/>
  <c r="A37" i="105"/>
  <c r="A36" i="105"/>
  <c r="A35" i="105"/>
  <c r="A34" i="105"/>
  <c r="A33" i="105"/>
  <c r="A32" i="105"/>
  <c r="A31" i="105"/>
  <c r="A30" i="105"/>
  <c r="A29" i="105"/>
  <c r="A28" i="105"/>
  <c r="A27" i="105"/>
  <c r="A26" i="105"/>
  <c r="A25" i="105"/>
  <c r="A24" i="105"/>
  <c r="A23" i="105"/>
  <c r="A22" i="105"/>
  <c r="A21" i="105"/>
  <c r="A20" i="105"/>
  <c r="A19" i="105"/>
  <c r="A18" i="105"/>
  <c r="A17" i="105"/>
  <c r="A16" i="105"/>
  <c r="A15" i="105"/>
  <c r="A14" i="105"/>
  <c r="A13" i="105"/>
  <c r="A12" i="105"/>
  <c r="A11" i="105"/>
  <c r="A10" i="105"/>
  <c r="A9" i="105"/>
  <c r="A8" i="105"/>
  <c r="A42" i="106"/>
  <c r="A38" i="106"/>
  <c r="A37" i="106"/>
  <c r="A36" i="106"/>
  <c r="A35" i="106"/>
  <c r="A34" i="106"/>
  <c r="A33" i="106"/>
  <c r="A32" i="106"/>
  <c r="A31" i="106"/>
  <c r="A30" i="106"/>
  <c r="A29" i="106"/>
  <c r="A28" i="106"/>
  <c r="A27" i="106"/>
  <c r="A26" i="106"/>
  <c r="A25" i="106"/>
  <c r="A24" i="106"/>
  <c r="A23" i="106"/>
  <c r="A22" i="106"/>
  <c r="A20" i="106"/>
  <c r="A19" i="106"/>
  <c r="A18" i="106"/>
  <c r="A17" i="106"/>
  <c r="A15" i="106"/>
  <c r="A14" i="106"/>
  <c r="A13" i="106"/>
  <c r="A12" i="106"/>
  <c r="A11" i="106"/>
  <c r="A10" i="106"/>
  <c r="A9" i="106"/>
  <c r="A8" i="106"/>
  <c r="A21" i="103"/>
  <c r="A20" i="103"/>
  <c r="A19" i="103"/>
  <c r="A18" i="103"/>
  <c r="A46" i="103"/>
  <c r="A45" i="103"/>
  <c r="A44" i="103"/>
  <c r="A43" i="103"/>
  <c r="A42" i="103"/>
  <c r="A41" i="103"/>
  <c r="A40" i="103"/>
  <c r="A39" i="103"/>
  <c r="A38" i="103"/>
  <c r="A37" i="103"/>
  <c r="A36" i="103"/>
  <c r="A35" i="103"/>
  <c r="A34" i="103"/>
  <c r="A33" i="103"/>
  <c r="A32" i="103"/>
  <c r="A31" i="103"/>
  <c r="A30" i="103"/>
  <c r="A29" i="103"/>
  <c r="A28" i="103"/>
  <c r="A27" i="103"/>
  <c r="A26" i="103"/>
  <c r="A25" i="103"/>
  <c r="A23" i="103"/>
  <c r="A22" i="103"/>
  <c r="A17" i="103"/>
  <c r="A16" i="103"/>
  <c r="A15" i="103"/>
  <c r="A14" i="103"/>
  <c r="A13" i="103"/>
  <c r="A12" i="103"/>
  <c r="A11" i="103"/>
  <c r="A10" i="103"/>
  <c r="A9" i="103"/>
  <c r="A8" i="103"/>
  <c r="A85" i="102"/>
  <c r="A84" i="102"/>
  <c r="A83" i="102"/>
  <c r="A82" i="102"/>
  <c r="A81" i="102"/>
  <c r="A80" i="102"/>
  <c r="A79" i="102"/>
  <c r="A78" i="102"/>
  <c r="A77" i="102"/>
  <c r="A76" i="102"/>
  <c r="A75" i="102"/>
  <c r="A53" i="102"/>
  <c r="A51" i="102"/>
  <c r="A50" i="102"/>
  <c r="A49" i="102"/>
  <c r="A48" i="102"/>
  <c r="A47" i="102"/>
  <c r="A46" i="102"/>
  <c r="A45" i="102"/>
  <c r="A44" i="102"/>
  <c r="A43" i="102"/>
  <c r="A42" i="102"/>
  <c r="A41" i="102"/>
  <c r="A40" i="102"/>
  <c r="A39" i="102"/>
  <c r="A38" i="102"/>
  <c r="A37" i="102"/>
  <c r="A36" i="102"/>
  <c r="A35" i="102"/>
  <c r="A34" i="102"/>
  <c r="A33" i="102"/>
  <c r="A32" i="102"/>
  <c r="A31" i="102"/>
  <c r="A30" i="102"/>
  <c r="A29" i="102"/>
  <c r="A28" i="102"/>
  <c r="A27" i="102"/>
  <c r="A26" i="102"/>
  <c r="A25" i="102"/>
  <c r="A24" i="102"/>
  <c r="A23" i="102"/>
  <c r="A22" i="102"/>
  <c r="A21" i="102"/>
  <c r="A20" i="102"/>
  <c r="A19" i="102"/>
  <c r="A18" i="102"/>
  <c r="A17" i="102"/>
  <c r="A16" i="102"/>
  <c r="A15" i="102"/>
  <c r="A14" i="102"/>
  <c r="A13" i="102"/>
  <c r="A12" i="102"/>
  <c r="A11" i="102"/>
  <c r="A10" i="102"/>
  <c r="A9" i="102"/>
  <c r="A8" i="102"/>
  <c r="A85" i="85"/>
  <c r="A84" i="85"/>
  <c r="A83" i="85"/>
  <c r="A82" i="85"/>
  <c r="A81" i="85"/>
  <c r="A80" i="85"/>
  <c r="A79" i="85"/>
  <c r="A78" i="85"/>
  <c r="A77" i="85"/>
  <c r="A76" i="85"/>
  <c r="A75" i="85"/>
  <c r="A53" i="85"/>
  <c r="A51" i="85"/>
  <c r="A50" i="85"/>
  <c r="A49" i="85"/>
  <c r="A48" i="85"/>
  <c r="A47" i="85"/>
  <c r="A46" i="85"/>
  <c r="A45" i="85"/>
  <c r="A44" i="85"/>
  <c r="A43" i="85"/>
  <c r="A42" i="85"/>
  <c r="A41" i="85"/>
  <c r="A40" i="85"/>
  <c r="A39" i="85"/>
  <c r="A38" i="85"/>
  <c r="A37" i="85"/>
  <c r="A36" i="85"/>
  <c r="A35" i="85"/>
  <c r="A34" i="85"/>
  <c r="A33" i="85"/>
  <c r="A32" i="85"/>
  <c r="A31" i="85"/>
  <c r="A30" i="85"/>
  <c r="A29" i="85"/>
  <c r="A28" i="85"/>
  <c r="A27" i="85"/>
  <c r="A26" i="85"/>
  <c r="A25" i="85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A84" i="75"/>
  <c r="A83" i="75"/>
  <c r="A82" i="75"/>
  <c r="A81" i="75"/>
  <c r="A80" i="75"/>
  <c r="A79" i="75"/>
  <c r="A78" i="75"/>
  <c r="A77" i="75"/>
  <c r="A76" i="75"/>
  <c r="A75" i="75"/>
  <c r="A74" i="75"/>
  <c r="A73" i="75"/>
  <c r="A72" i="75"/>
  <c r="A55" i="75"/>
  <c r="A54" i="75"/>
  <c r="A53" i="75"/>
  <c r="A52" i="75"/>
  <c r="A51" i="75"/>
  <c r="A50" i="75"/>
  <c r="A49" i="75"/>
  <c r="A48" i="75"/>
  <c r="A47" i="75"/>
  <c r="A46" i="75"/>
  <c r="A45" i="75"/>
  <c r="A44" i="75"/>
  <c r="A43" i="75"/>
  <c r="A42" i="75"/>
  <c r="A41" i="75"/>
  <c r="A40" i="75"/>
  <c r="A39" i="75"/>
  <c r="A38" i="75"/>
  <c r="A37" i="75"/>
  <c r="A36" i="75"/>
  <c r="A35" i="75"/>
  <c r="A34" i="75"/>
  <c r="A33" i="75"/>
  <c r="A32" i="75"/>
  <c r="A31" i="75"/>
  <c r="A30" i="75"/>
  <c r="A29" i="75"/>
  <c r="A28" i="75"/>
  <c r="A27" i="75"/>
  <c r="A26" i="75"/>
  <c r="A25" i="75"/>
  <c r="A24" i="75"/>
  <c r="A23" i="75"/>
  <c r="A22" i="75"/>
  <c r="A21" i="75"/>
  <c r="A20" i="75"/>
  <c r="A19" i="75"/>
  <c r="A18" i="75"/>
  <c r="A17" i="75"/>
  <c r="A16" i="75"/>
  <c r="A15" i="75"/>
  <c r="A14" i="75"/>
  <c r="A13" i="75"/>
  <c r="A12" i="75"/>
  <c r="A11" i="75"/>
  <c r="A10" i="75"/>
  <c r="A9" i="75"/>
  <c r="A8" i="75"/>
  <c r="A85" i="43"/>
  <c r="A84" i="43"/>
  <c r="A83" i="43"/>
  <c r="A82" i="43"/>
  <c r="A81" i="43"/>
  <c r="A80" i="43"/>
  <c r="A79" i="43"/>
  <c r="A78" i="43"/>
  <c r="A77" i="43"/>
  <c r="A76" i="43"/>
  <c r="A75" i="43"/>
  <c r="A52" i="43"/>
  <c r="A51" i="43"/>
  <c r="A50" i="43"/>
  <c r="A49" i="43"/>
  <c r="A48" i="43"/>
  <c r="A47" i="43"/>
  <c r="A46" i="43"/>
  <c r="A45" i="43"/>
  <c r="A44" i="43"/>
  <c r="A43" i="43"/>
  <c r="A42" i="43"/>
  <c r="A41" i="43"/>
  <c r="A40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9" i="112"/>
  <c r="A78" i="105"/>
  <c r="A77" i="105"/>
  <c r="A76" i="105"/>
  <c r="A75" i="105"/>
  <c r="A74" i="105"/>
  <c r="A41" i="106" l="1"/>
  <c r="A40" i="106"/>
  <c r="A74" i="102" l="1"/>
  <c r="A73" i="102"/>
  <c r="A72" i="102"/>
  <c r="A71" i="102"/>
  <c r="A70" i="102"/>
  <c r="A69" i="102"/>
  <c r="A68" i="102"/>
  <c r="A67" i="102"/>
  <c r="A66" i="102"/>
  <c r="A65" i="102"/>
  <c r="A64" i="102"/>
  <c r="A74" i="85"/>
  <c r="A73" i="85"/>
  <c r="A72" i="85"/>
  <c r="A71" i="85"/>
  <c r="A70" i="85"/>
  <c r="A69" i="85"/>
  <c r="A68" i="85"/>
  <c r="A67" i="85"/>
  <c r="A66" i="85"/>
  <c r="A65" i="85"/>
  <c r="A64" i="85"/>
  <c r="A71" i="75"/>
  <c r="A70" i="75"/>
  <c r="A69" i="75"/>
  <c r="A68" i="75"/>
  <c r="A67" i="75"/>
  <c r="A66" i="75"/>
  <c r="A65" i="75"/>
  <c r="A64" i="75"/>
  <c r="A63" i="75"/>
  <c r="A62" i="75"/>
  <c r="A61" i="75"/>
  <c r="A60" i="75"/>
  <c r="A59" i="75"/>
  <c r="A74" i="43"/>
  <c r="A73" i="43"/>
  <c r="A72" i="43"/>
  <c r="A71" i="43"/>
  <c r="A70" i="43"/>
  <c r="A69" i="43"/>
  <c r="A68" i="43"/>
  <c r="A67" i="43"/>
  <c r="A66" i="43"/>
  <c r="A65" i="43"/>
  <c r="A64" i="43"/>
  <c r="A8" i="118" l="1"/>
  <c r="A9" i="118"/>
  <c r="A10" i="118"/>
  <c r="A11" i="118"/>
  <c r="A12" i="118"/>
  <c r="A13" i="118"/>
  <c r="A14" i="118"/>
  <c r="A15" i="118"/>
  <c r="A16" i="118"/>
  <c r="A17" i="118"/>
  <c r="A18" i="118"/>
  <c r="A19" i="118"/>
  <c r="A20" i="118"/>
  <c r="A21" i="118"/>
  <c r="A22" i="118"/>
  <c r="A23" i="118"/>
  <c r="A24" i="118"/>
  <c r="A25" i="118"/>
  <c r="A26" i="118"/>
  <c r="A27" i="118"/>
  <c r="A28" i="118"/>
  <c r="A29" i="118"/>
  <c r="A30" i="118"/>
  <c r="A31" i="118"/>
  <c r="A32" i="118"/>
  <c r="A33" i="118"/>
  <c r="A34" i="118"/>
  <c r="A35" i="118"/>
  <c r="A36" i="118"/>
  <c r="A37" i="118"/>
  <c r="A38" i="118"/>
  <c r="A39" i="118"/>
  <c r="A40" i="118"/>
  <c r="A41" i="118"/>
  <c r="A42" i="118"/>
  <c r="A43" i="118"/>
  <c r="A44" i="118"/>
  <c r="A45" i="118"/>
  <c r="A46" i="118"/>
  <c r="A28" i="58" l="1"/>
  <c r="A21" i="107" l="1"/>
  <c r="A21" i="62" l="1"/>
  <c r="A25" i="62"/>
  <c r="A24" i="62"/>
  <c r="A23" i="62"/>
  <c r="A22" i="62"/>
  <c r="Y4" i="117"/>
  <c r="Y2" i="117"/>
  <c r="R2" i="117"/>
  <c r="A46" i="117" l="1"/>
  <c r="A45" i="117"/>
  <c r="A44" i="117"/>
  <c r="A43" i="117"/>
  <c r="A42" i="117"/>
  <c r="A41" i="117"/>
  <c r="A40" i="117"/>
  <c r="A39" i="117"/>
  <c r="A38" i="117"/>
  <c r="A37" i="117"/>
  <c r="A36" i="117"/>
  <c r="A35" i="117"/>
  <c r="A34" i="117"/>
  <c r="A33" i="117"/>
  <c r="A32" i="117"/>
  <c r="A31" i="117"/>
  <c r="A30" i="117"/>
  <c r="A29" i="117"/>
  <c r="A28" i="117"/>
  <c r="A27" i="117"/>
  <c r="A26" i="117"/>
  <c r="A25" i="117"/>
  <c r="A24" i="117"/>
  <c r="A23" i="117"/>
  <c r="A22" i="117"/>
  <c r="A21" i="117"/>
  <c r="A20" i="117"/>
  <c r="A19" i="117"/>
  <c r="A18" i="117"/>
  <c r="A17" i="117"/>
  <c r="A16" i="117"/>
  <c r="A15" i="117"/>
  <c r="A14" i="117"/>
  <c r="A13" i="117"/>
  <c r="A12" i="117"/>
  <c r="A11" i="117"/>
  <c r="A10" i="117"/>
  <c r="A9" i="117"/>
  <c r="A8" i="117"/>
  <c r="A27" i="58"/>
  <c r="A12" i="101" l="1"/>
  <c r="A12" i="108"/>
  <c r="A12" i="113"/>
  <c r="A46" i="82" l="1"/>
  <c r="A45" i="82"/>
  <c r="A20" i="82" l="1"/>
  <c r="A46" i="101"/>
  <c r="A45" i="101"/>
  <c r="A44" i="101"/>
  <c r="A43" i="101"/>
  <c r="A42" i="101"/>
  <c r="A41" i="101"/>
  <c r="A40" i="101"/>
  <c r="A39" i="101"/>
  <c r="A38" i="101"/>
  <c r="A37" i="101"/>
  <c r="A46" i="99" l="1"/>
  <c r="A45" i="99"/>
  <c r="A44" i="99"/>
  <c r="A21" i="99"/>
  <c r="A20" i="99"/>
  <c r="A45" i="108"/>
  <c r="A44" i="108"/>
  <c r="A20" i="107"/>
  <c r="A42" i="113"/>
  <c r="A41" i="113"/>
  <c r="A40" i="113"/>
  <c r="A39" i="113"/>
  <c r="A38" i="113"/>
  <c r="A20" i="62" l="1"/>
  <c r="A8" i="62" l="1"/>
  <c r="A9" i="62"/>
  <c r="A10" i="62"/>
  <c r="A11" i="62"/>
  <c r="A12" i="62"/>
  <c r="A13" i="62"/>
  <c r="A14" i="62"/>
  <c r="A15" i="62"/>
  <c r="A16" i="62"/>
  <c r="A17" i="62"/>
  <c r="A18" i="62"/>
  <c r="A19" i="62"/>
  <c r="A26" i="62"/>
  <c r="A27" i="62"/>
  <c r="A28" i="62"/>
  <c r="A29" i="62"/>
  <c r="A30" i="62"/>
  <c r="A31" i="62"/>
  <c r="A32" i="62"/>
  <c r="A33" i="62"/>
  <c r="A34" i="62"/>
  <c r="A35" i="62"/>
  <c r="A36" i="62"/>
  <c r="A37" i="62"/>
  <c r="A38" i="62"/>
  <c r="A39" i="62"/>
  <c r="A40" i="62"/>
  <c r="A41" i="62"/>
  <c r="A42" i="62"/>
  <c r="A43" i="62"/>
  <c r="A44" i="62"/>
  <c r="A45" i="62"/>
  <c r="A46" i="62"/>
  <c r="A46" i="116" l="1"/>
  <c r="A45" i="116"/>
  <c r="A44" i="82"/>
  <c r="A43" i="82"/>
  <c r="A42" i="82"/>
  <c r="A36" i="101"/>
  <c r="A813" i="60" l="1"/>
  <c r="A812" i="60"/>
  <c r="A811" i="60"/>
  <c r="A810" i="60"/>
  <c r="A809" i="60"/>
  <c r="A808" i="60"/>
  <c r="A807" i="60"/>
  <c r="A806" i="60"/>
  <c r="A805" i="60"/>
  <c r="A804" i="60"/>
  <c r="A803" i="60"/>
  <c r="A802" i="60"/>
  <c r="A801" i="60"/>
  <c r="A800" i="60"/>
  <c r="A799" i="60"/>
  <c r="A798" i="60"/>
  <c r="A797" i="60"/>
  <c r="A796" i="60"/>
  <c r="A795" i="60"/>
  <c r="A794" i="60"/>
  <c r="A793" i="60"/>
  <c r="A792" i="60"/>
  <c r="A791" i="60"/>
  <c r="A790" i="60"/>
  <c r="A789" i="60"/>
  <c r="A788" i="60"/>
  <c r="A787" i="60"/>
  <c r="A786" i="60"/>
  <c r="A785" i="60"/>
  <c r="A784" i="60"/>
  <c r="A783" i="60"/>
  <c r="A782" i="60"/>
  <c r="A781" i="60"/>
  <c r="A780" i="60"/>
  <c r="A779" i="60"/>
  <c r="A778" i="60"/>
  <c r="A777" i="60"/>
  <c r="A776" i="60"/>
  <c r="A775" i="60"/>
  <c r="A774" i="60"/>
  <c r="A773" i="60"/>
  <c r="A772" i="60"/>
  <c r="A771" i="60"/>
  <c r="A770" i="60"/>
  <c r="A769" i="60"/>
  <c r="A768" i="60"/>
  <c r="A767" i="60"/>
  <c r="A766" i="60"/>
  <c r="A765" i="60"/>
  <c r="A764" i="60"/>
  <c r="A763" i="60"/>
  <c r="A762" i="60"/>
  <c r="A761" i="60"/>
  <c r="A760" i="60"/>
  <c r="A759" i="60"/>
  <c r="A758" i="60"/>
  <c r="A757" i="60"/>
  <c r="A756" i="60"/>
  <c r="A755" i="60"/>
  <c r="A754" i="60"/>
  <c r="A753" i="60"/>
  <c r="A752" i="60"/>
  <c r="A751" i="60"/>
  <c r="A750" i="60"/>
  <c r="A749" i="60"/>
  <c r="A748" i="60"/>
  <c r="A747" i="60"/>
  <c r="A746" i="60"/>
  <c r="A745" i="60"/>
  <c r="A744" i="60"/>
  <c r="A743" i="60"/>
  <c r="A742" i="60"/>
  <c r="A741" i="60"/>
  <c r="A740" i="60"/>
  <c r="A739" i="60"/>
  <c r="A738" i="60"/>
  <c r="A737" i="60"/>
  <c r="A736" i="60"/>
  <c r="A735" i="60"/>
  <c r="A734" i="60"/>
  <c r="A733" i="60"/>
  <c r="A732" i="60"/>
  <c r="A731" i="60"/>
  <c r="A730" i="60"/>
  <c r="A729" i="60"/>
  <c r="A728" i="60"/>
  <c r="A727" i="60"/>
  <c r="A726" i="60"/>
  <c r="A725" i="60"/>
  <c r="A724" i="60"/>
  <c r="A723" i="60"/>
  <c r="A722" i="60"/>
  <c r="A721" i="60"/>
  <c r="A720" i="60"/>
  <c r="A719" i="60"/>
  <c r="A718" i="60"/>
  <c r="A717" i="60"/>
  <c r="A716" i="60"/>
  <c r="A715" i="60"/>
  <c r="A714" i="60"/>
  <c r="A713" i="60"/>
  <c r="A712" i="60"/>
  <c r="A711" i="60"/>
  <c r="A710" i="60"/>
  <c r="A709" i="60"/>
  <c r="A708" i="60"/>
  <c r="A707" i="60"/>
  <c r="A706" i="60"/>
  <c r="A705" i="60"/>
  <c r="A704" i="60"/>
  <c r="A703" i="60"/>
  <c r="A702" i="60"/>
  <c r="A701" i="60"/>
  <c r="A700" i="60"/>
  <c r="A699" i="60"/>
  <c r="A698" i="60"/>
  <c r="A697" i="60"/>
  <c r="A696" i="60"/>
  <c r="A695" i="60"/>
  <c r="A694" i="60"/>
  <c r="A693" i="60"/>
  <c r="A692" i="60"/>
  <c r="A691" i="60"/>
  <c r="A690" i="60"/>
  <c r="A689" i="60"/>
  <c r="A688" i="60"/>
  <c r="A687" i="60"/>
  <c r="A686" i="60"/>
  <c r="A685" i="60"/>
  <c r="A684" i="60"/>
  <c r="A683" i="60"/>
  <c r="A682" i="60"/>
  <c r="A681" i="60"/>
  <c r="A680" i="60"/>
  <c r="A679" i="60"/>
  <c r="A678" i="60"/>
  <c r="A677" i="60"/>
  <c r="A676" i="60"/>
  <c r="A675" i="60"/>
  <c r="A674" i="60"/>
  <c r="A673" i="60"/>
  <c r="A672" i="60"/>
  <c r="A671" i="60"/>
  <c r="A670" i="60"/>
  <c r="A669" i="60"/>
  <c r="A668" i="60"/>
  <c r="A667" i="60"/>
  <c r="A666" i="60"/>
  <c r="A665" i="60"/>
  <c r="A664" i="60"/>
  <c r="A663" i="60"/>
  <c r="A662" i="60"/>
  <c r="A661" i="60"/>
  <c r="A660" i="60"/>
  <c r="A659" i="60"/>
  <c r="A658" i="60"/>
  <c r="A657" i="60"/>
  <c r="A656" i="60"/>
  <c r="A655" i="60"/>
  <c r="A654" i="60"/>
  <c r="A653" i="60"/>
  <c r="A652" i="60"/>
  <c r="A25" i="58"/>
  <c r="A44" i="116"/>
  <c r="A43" i="116"/>
  <c r="A42" i="116"/>
  <c r="A41" i="116"/>
  <c r="A40" i="116"/>
  <c r="A39" i="116"/>
  <c r="A38" i="116"/>
  <c r="A37" i="116"/>
  <c r="A36" i="116"/>
  <c r="A35" i="116"/>
  <c r="A34" i="116"/>
  <c r="A33" i="116"/>
  <c r="A32" i="116"/>
  <c r="A31" i="116"/>
  <c r="A30" i="116"/>
  <c r="A29" i="116"/>
  <c r="A28" i="116"/>
  <c r="A27" i="116"/>
  <c r="A26" i="116"/>
  <c r="Y4" i="116"/>
  <c r="Y2" i="116"/>
  <c r="R2" i="116"/>
  <c r="A46" i="114"/>
  <c r="A45" i="114"/>
  <c r="A44" i="114"/>
  <c r="A43" i="114"/>
  <c r="A42" i="114"/>
  <c r="A45" i="83"/>
  <c r="A44" i="115" l="1"/>
  <c r="A43" i="115"/>
  <c r="A42" i="115"/>
  <c r="A41" i="115"/>
  <c r="A40" i="115"/>
  <c r="A39" i="115"/>
  <c r="A38" i="115"/>
  <c r="A37" i="115"/>
  <c r="A36" i="115"/>
  <c r="Y4" i="115"/>
  <c r="Y2" i="115"/>
  <c r="R2" i="115"/>
  <c r="A41" i="114"/>
  <c r="A40" i="114"/>
  <c r="A39" i="114"/>
  <c r="A38" i="114"/>
  <c r="A37" i="114"/>
  <c r="A36" i="114"/>
  <c r="A35" i="114"/>
  <c r="A34" i="114"/>
  <c r="A33" i="114"/>
  <c r="A32" i="114"/>
  <c r="Y4" i="114"/>
  <c r="Y2" i="114"/>
  <c r="R2" i="114"/>
  <c r="A24" i="58"/>
  <c r="A651" i="60" l="1"/>
  <c r="A650" i="60"/>
  <c r="A649" i="60"/>
  <c r="A648" i="60"/>
  <c r="A647" i="60"/>
  <c r="A646" i="60"/>
  <c r="A645" i="60"/>
  <c r="A644" i="60"/>
  <c r="A643" i="60"/>
  <c r="A642" i="60"/>
  <c r="A641" i="60"/>
  <c r="A640" i="60"/>
  <c r="A639" i="60"/>
  <c r="A638" i="60"/>
  <c r="A637" i="60"/>
  <c r="A636" i="60"/>
  <c r="A635" i="60"/>
  <c r="A634" i="60"/>
  <c r="A633" i="60"/>
  <c r="A632" i="60"/>
  <c r="A631" i="60"/>
  <c r="A630" i="60"/>
  <c r="A629" i="60"/>
  <c r="A628" i="60"/>
  <c r="A627" i="60"/>
  <c r="A626" i="60"/>
  <c r="A625" i="60"/>
  <c r="A624" i="60"/>
  <c r="A623" i="60"/>
  <c r="A622" i="60"/>
  <c r="A621" i="60"/>
  <c r="A620" i="60"/>
  <c r="A619" i="60"/>
  <c r="A618" i="60"/>
  <c r="A617" i="60"/>
  <c r="A616" i="60"/>
  <c r="A615" i="60"/>
  <c r="A614" i="60"/>
  <c r="A613" i="60"/>
  <c r="A612" i="60"/>
  <c r="A611" i="60"/>
  <c r="A610" i="60"/>
  <c r="A609" i="60"/>
  <c r="A608" i="60"/>
  <c r="A607" i="60"/>
  <c r="A606" i="60"/>
  <c r="A605" i="60"/>
  <c r="A604" i="60"/>
  <c r="A603" i="60"/>
  <c r="A602" i="60"/>
  <c r="A601" i="60"/>
  <c r="A600" i="60"/>
  <c r="A599" i="60"/>
  <c r="A598" i="60"/>
  <c r="A597" i="60"/>
  <c r="A596" i="60"/>
  <c r="A595" i="60"/>
  <c r="A594" i="60"/>
  <c r="A593" i="60"/>
  <c r="A592" i="60"/>
  <c r="A591" i="60"/>
  <c r="A590" i="60"/>
  <c r="A589" i="60"/>
  <c r="A588" i="60"/>
  <c r="A587" i="60"/>
  <c r="A586" i="60"/>
  <c r="A585" i="60"/>
  <c r="A584" i="60"/>
  <c r="A583" i="60"/>
  <c r="A582" i="60"/>
  <c r="A581" i="60"/>
  <c r="A580" i="60"/>
  <c r="A579" i="60"/>
  <c r="A578" i="60"/>
  <c r="A577" i="60"/>
  <c r="A576" i="60"/>
  <c r="A575" i="60"/>
  <c r="A574" i="60"/>
  <c r="A573" i="60"/>
  <c r="A572" i="60"/>
  <c r="A571" i="60"/>
  <c r="A570" i="60"/>
  <c r="A569" i="60"/>
  <c r="A568" i="60"/>
  <c r="A567" i="60"/>
  <c r="A566" i="60"/>
  <c r="A565" i="60"/>
  <c r="A564" i="60"/>
  <c r="A563" i="60"/>
  <c r="A562" i="60"/>
  <c r="A561" i="60"/>
  <c r="A560" i="60"/>
  <c r="A559" i="60"/>
  <c r="A558" i="60"/>
  <c r="A557" i="60"/>
  <c r="A556" i="60"/>
  <c r="A555" i="60"/>
  <c r="A554" i="60"/>
  <c r="A553" i="60"/>
  <c r="A552" i="60"/>
  <c r="A551" i="60"/>
  <c r="A550" i="60"/>
  <c r="A549" i="60"/>
  <c r="A548" i="60"/>
  <c r="A547" i="60"/>
  <c r="A546" i="60"/>
  <c r="A545" i="60"/>
  <c r="A544" i="60"/>
  <c r="A543" i="60"/>
  <c r="A542" i="60"/>
  <c r="A541" i="60"/>
  <c r="A540" i="60"/>
  <c r="A539" i="60"/>
  <c r="A538" i="60"/>
  <c r="A537" i="60"/>
  <c r="A536" i="60"/>
  <c r="A535" i="60"/>
  <c r="A534" i="60"/>
  <c r="A533" i="60"/>
  <c r="A532" i="60"/>
  <c r="A531" i="60"/>
  <c r="A530" i="60"/>
  <c r="A529" i="60"/>
  <c r="A528" i="60"/>
  <c r="A527" i="60"/>
  <c r="A526" i="60"/>
  <c r="A525" i="60"/>
  <c r="A524" i="60"/>
  <c r="A523" i="60"/>
  <c r="A522" i="60"/>
  <c r="A521" i="60"/>
  <c r="A520" i="60"/>
  <c r="A519" i="60"/>
  <c r="A518" i="60"/>
  <c r="A517" i="60"/>
  <c r="A516" i="60"/>
  <c r="A515" i="60"/>
  <c r="A514" i="60"/>
  <c r="A513" i="60"/>
  <c r="A512" i="60"/>
  <c r="A511" i="60"/>
  <c r="A510" i="60"/>
  <c r="A509" i="60"/>
  <c r="A508" i="60"/>
  <c r="A507" i="60"/>
  <c r="A506" i="60"/>
  <c r="A505" i="60"/>
  <c r="A504" i="60"/>
  <c r="A503" i="60"/>
  <c r="A502" i="60"/>
  <c r="A501" i="60"/>
  <c r="A500" i="60"/>
  <c r="A499" i="60"/>
  <c r="A498" i="60"/>
  <c r="A497" i="60"/>
  <c r="A496" i="60"/>
  <c r="A495" i="60"/>
  <c r="A494" i="60"/>
  <c r="A493" i="60"/>
  <c r="A492" i="60"/>
  <c r="A491" i="60"/>
  <c r="A490" i="60"/>
  <c r="A293" i="60"/>
  <c r="A17" i="83"/>
  <c r="A11" i="83"/>
  <c r="A16" i="101" l="1"/>
  <c r="A43" i="99" l="1"/>
  <c r="A42" i="99"/>
  <c r="A41" i="99"/>
  <c r="A40" i="99"/>
  <c r="A43" i="108" l="1"/>
  <c r="A46" i="107"/>
  <c r="A37" i="113"/>
  <c r="A36" i="113"/>
  <c r="A35" i="113"/>
  <c r="A34" i="113"/>
  <c r="A33" i="113"/>
  <c r="A32" i="113"/>
  <c r="A31" i="113"/>
  <c r="A30" i="113"/>
  <c r="A29" i="113"/>
  <c r="A28" i="113"/>
  <c r="A27" i="113"/>
  <c r="A26" i="113"/>
  <c r="A25" i="113"/>
  <c r="A24" i="113"/>
  <c r="A23" i="113"/>
  <c r="A22" i="113"/>
  <c r="A21" i="113"/>
  <c r="A20" i="113"/>
  <c r="A19" i="113"/>
  <c r="A18" i="113"/>
  <c r="A17" i="113"/>
  <c r="A16" i="113"/>
  <c r="A15" i="113"/>
  <c r="A14" i="113"/>
  <c r="A13" i="113"/>
  <c r="A11" i="113"/>
  <c r="A10" i="113"/>
  <c r="A9" i="113"/>
  <c r="A8" i="113"/>
  <c r="Y4" i="113"/>
  <c r="Y2" i="113"/>
  <c r="R2" i="113"/>
  <c r="A78" i="112" l="1"/>
  <c r="A77" i="112"/>
  <c r="A76" i="112"/>
  <c r="A75" i="112"/>
  <c r="A74" i="112"/>
  <c r="A73" i="112"/>
  <c r="A72" i="112"/>
  <c r="A71" i="112"/>
  <c r="A70" i="112"/>
  <c r="A69" i="112"/>
  <c r="A68" i="112"/>
  <c r="A67" i="112"/>
  <c r="A66" i="112"/>
  <c r="A63" i="43" l="1"/>
  <c r="A62" i="43"/>
  <c r="A61" i="43"/>
  <c r="A60" i="43"/>
  <c r="A59" i="43"/>
  <c r="A58" i="43"/>
  <c r="A57" i="43"/>
  <c r="A56" i="43"/>
  <c r="A55" i="43"/>
  <c r="A54" i="43"/>
  <c r="A53" i="43"/>
  <c r="Y4" i="112" l="1"/>
  <c r="Y2" i="112"/>
  <c r="R2" i="112"/>
  <c r="A73" i="105" l="1"/>
  <c r="A72" i="105"/>
  <c r="A71" i="105"/>
  <c r="A70" i="105"/>
  <c r="A69" i="105"/>
  <c r="A68" i="105"/>
  <c r="A67" i="105"/>
  <c r="A58" i="75" l="1"/>
  <c r="A57" i="75"/>
  <c r="A56" i="75"/>
  <c r="A63" i="102" l="1"/>
  <c r="A62" i="102" l="1"/>
  <c r="A61" i="102"/>
  <c r="A60" i="102"/>
  <c r="A59" i="102"/>
  <c r="A58" i="102"/>
  <c r="A57" i="102"/>
  <c r="A56" i="102"/>
  <c r="A55" i="102"/>
  <c r="A54" i="102"/>
  <c r="A63" i="85"/>
  <c r="A62" i="85"/>
  <c r="A61" i="85"/>
  <c r="A60" i="85"/>
  <c r="A59" i="85"/>
  <c r="A58" i="85"/>
  <c r="A57" i="85"/>
  <c r="A56" i="85"/>
  <c r="A55" i="85"/>
  <c r="A54" i="85"/>
  <c r="A27" i="82" l="1"/>
  <c r="A26" i="82"/>
  <c r="A25" i="82"/>
  <c r="A24" i="82"/>
  <c r="A23" i="82"/>
  <c r="A22" i="82"/>
  <c r="A21" i="82"/>
  <c r="A19" i="82"/>
  <c r="A18" i="82"/>
  <c r="A17" i="82"/>
  <c r="A16" i="82"/>
  <c r="A15" i="82"/>
  <c r="A14" i="82"/>
  <c r="A13" i="82"/>
  <c r="A12" i="82"/>
  <c r="A11" i="82"/>
  <c r="A10" i="82"/>
  <c r="A9" i="82"/>
  <c r="A10" i="101" l="1"/>
  <c r="A9" i="101"/>
  <c r="A46" i="110" l="1"/>
  <c r="A45" i="110"/>
  <c r="A44" i="110"/>
  <c r="A43" i="110"/>
  <c r="A42" i="110"/>
  <c r="A41" i="110"/>
  <c r="A40" i="110"/>
  <c r="A39" i="110"/>
  <c r="Y4" i="110" l="1"/>
  <c r="Y2" i="110"/>
  <c r="R2" i="110"/>
  <c r="A42" i="108" l="1"/>
  <c r="A41" i="108"/>
  <c r="A40" i="108"/>
  <c r="A39" i="108"/>
  <c r="A38" i="108"/>
  <c r="A37" i="108"/>
  <c r="D503" i="104" l="1"/>
  <c r="D502" i="104"/>
  <c r="D501" i="104"/>
  <c r="D500" i="104"/>
  <c r="D499" i="104"/>
  <c r="D498" i="104"/>
  <c r="D497" i="104"/>
  <c r="D496" i="104"/>
  <c r="D495" i="104"/>
  <c r="D494" i="104"/>
  <c r="D493" i="104"/>
  <c r="D492" i="104"/>
  <c r="D491" i="104"/>
  <c r="D490" i="104"/>
  <c r="D489" i="104"/>
  <c r="D488" i="104"/>
  <c r="D487" i="104"/>
  <c r="D486" i="104"/>
  <c r="D485" i="104"/>
  <c r="D484" i="104"/>
  <c r="D483" i="104"/>
  <c r="D482" i="104"/>
  <c r="D481" i="104"/>
  <c r="D480" i="104"/>
  <c r="D479" i="104"/>
  <c r="D478" i="104"/>
  <c r="D477" i="104"/>
  <c r="D476" i="104"/>
  <c r="D475" i="104"/>
  <c r="D474" i="104"/>
  <c r="D473" i="104"/>
  <c r="D472" i="104"/>
  <c r="D471" i="104"/>
  <c r="D470" i="104"/>
  <c r="D469" i="104"/>
  <c r="D468" i="104"/>
  <c r="D467" i="104"/>
  <c r="D466" i="104"/>
  <c r="D465" i="104"/>
  <c r="D464" i="104"/>
  <c r="D463" i="104"/>
  <c r="D462" i="104"/>
  <c r="D461" i="104"/>
  <c r="D460" i="104"/>
  <c r="D459" i="104"/>
  <c r="D458" i="104"/>
  <c r="D457" i="104"/>
  <c r="D456" i="104"/>
  <c r="D455" i="104"/>
  <c r="D454" i="104"/>
  <c r="D453" i="104"/>
  <c r="D452" i="104"/>
  <c r="D451" i="104"/>
  <c r="D450" i="104"/>
  <c r="D449" i="104"/>
  <c r="D448" i="104"/>
  <c r="D447" i="104"/>
  <c r="D446" i="104"/>
  <c r="D445" i="104"/>
  <c r="D444" i="104"/>
  <c r="D443" i="104"/>
  <c r="D442" i="104"/>
  <c r="D441" i="104"/>
  <c r="D440" i="104"/>
  <c r="D439" i="104"/>
  <c r="D438" i="104"/>
  <c r="D437" i="104"/>
  <c r="D436" i="104"/>
  <c r="D435" i="104"/>
  <c r="D434" i="104"/>
  <c r="D433" i="104"/>
  <c r="D432" i="104"/>
  <c r="D431" i="104"/>
  <c r="D430" i="104"/>
  <c r="D429" i="104"/>
  <c r="D428" i="104"/>
  <c r="D427" i="104"/>
  <c r="D426" i="104"/>
  <c r="D425" i="104"/>
  <c r="D424" i="104"/>
  <c r="D423" i="104"/>
  <c r="D422" i="104"/>
  <c r="D421" i="104"/>
  <c r="D420" i="104"/>
  <c r="D419" i="104"/>
  <c r="D418" i="104"/>
  <c r="D417" i="104"/>
  <c r="D416" i="104"/>
  <c r="D415" i="104"/>
  <c r="D414" i="104"/>
  <c r="D413" i="104"/>
  <c r="D412" i="104"/>
  <c r="D411" i="104"/>
  <c r="D410" i="104"/>
  <c r="D409" i="104"/>
  <c r="D408" i="104"/>
  <c r="D407" i="104"/>
  <c r="D406" i="104"/>
  <c r="D405" i="104"/>
  <c r="D404" i="104"/>
  <c r="D403" i="104"/>
  <c r="D402" i="104"/>
  <c r="D401" i="104"/>
  <c r="D400" i="104"/>
  <c r="D399" i="104"/>
  <c r="D398" i="104"/>
  <c r="D397" i="104"/>
  <c r="D396" i="104"/>
  <c r="D395" i="104"/>
  <c r="D394" i="104"/>
  <c r="D393" i="104"/>
  <c r="D392" i="104"/>
  <c r="D391" i="104"/>
  <c r="D390" i="104"/>
  <c r="D389" i="104"/>
  <c r="D388" i="104"/>
  <c r="D387" i="104"/>
  <c r="D386" i="104"/>
  <c r="D385" i="104"/>
  <c r="D384" i="104"/>
  <c r="D383" i="104"/>
  <c r="D382" i="104"/>
  <c r="D381" i="104"/>
  <c r="D380" i="104"/>
  <c r="D379" i="104"/>
  <c r="D378" i="104"/>
  <c r="D377" i="104"/>
  <c r="D376" i="104"/>
  <c r="D375" i="104"/>
  <c r="D374" i="104"/>
  <c r="D373" i="104"/>
  <c r="D372" i="104"/>
  <c r="D371" i="104"/>
  <c r="D370" i="104"/>
  <c r="D369" i="104"/>
  <c r="D368" i="104"/>
  <c r="D367" i="104"/>
  <c r="D366" i="104"/>
  <c r="D365" i="104"/>
  <c r="D364" i="104"/>
  <c r="D363" i="104"/>
  <c r="D362" i="104"/>
  <c r="D361" i="104"/>
  <c r="D360" i="104"/>
  <c r="D359" i="104"/>
  <c r="D358" i="104"/>
  <c r="D357" i="104"/>
  <c r="D356" i="104"/>
  <c r="D355" i="104"/>
  <c r="D354" i="104"/>
  <c r="D353" i="104"/>
  <c r="D352" i="104"/>
  <c r="D351" i="104"/>
  <c r="D350" i="104"/>
  <c r="D349" i="104"/>
  <c r="D348" i="104"/>
  <c r="D347" i="104"/>
  <c r="D346" i="104"/>
  <c r="D345" i="104"/>
  <c r="D344" i="104"/>
  <c r="D343" i="104"/>
  <c r="D342" i="104"/>
  <c r="D341" i="104"/>
  <c r="D340" i="104"/>
  <c r="D339" i="104"/>
  <c r="D338" i="104"/>
  <c r="D337" i="104"/>
  <c r="D336" i="104"/>
  <c r="D335" i="104"/>
  <c r="D334" i="104"/>
  <c r="D333" i="104"/>
  <c r="D332" i="104"/>
  <c r="D331" i="104"/>
  <c r="D330" i="104"/>
  <c r="D329" i="104"/>
  <c r="D328" i="104"/>
  <c r="D327" i="104"/>
  <c r="D326" i="104"/>
  <c r="D325" i="104"/>
  <c r="D324" i="104"/>
  <c r="D323" i="104"/>
  <c r="D322" i="104"/>
  <c r="D321" i="104"/>
  <c r="D320" i="104"/>
  <c r="D319" i="104"/>
  <c r="D318" i="104"/>
  <c r="D317" i="104"/>
  <c r="D316" i="104"/>
  <c r="D315" i="104"/>
  <c r="D314" i="104"/>
  <c r="D313" i="104"/>
  <c r="D312" i="104"/>
  <c r="D311" i="104"/>
  <c r="D310" i="104"/>
  <c r="D309" i="104"/>
  <c r="D308" i="104"/>
  <c r="D307" i="104"/>
  <c r="D306" i="104"/>
  <c r="D305" i="104"/>
  <c r="D304" i="104"/>
  <c r="D303" i="104"/>
  <c r="D302" i="104"/>
  <c r="D301" i="104"/>
  <c r="D300" i="104"/>
  <c r="D299" i="104"/>
  <c r="D298" i="104"/>
  <c r="D297" i="104"/>
  <c r="D296" i="104"/>
  <c r="D295" i="104"/>
  <c r="D294" i="104"/>
  <c r="D293" i="104"/>
  <c r="D292" i="104"/>
  <c r="D291" i="104"/>
  <c r="D290" i="104"/>
  <c r="D289" i="104"/>
  <c r="D288" i="104"/>
  <c r="D287" i="104"/>
  <c r="D286" i="104"/>
  <c r="D285" i="104"/>
  <c r="D284" i="104"/>
  <c r="D283" i="104"/>
  <c r="D282" i="104"/>
  <c r="D281" i="104"/>
  <c r="D280" i="104"/>
  <c r="D279" i="104"/>
  <c r="D278" i="104"/>
  <c r="D277" i="104"/>
  <c r="D276" i="104"/>
  <c r="D275" i="104"/>
  <c r="D274" i="104"/>
  <c r="D273" i="104"/>
  <c r="D272" i="104"/>
  <c r="D271" i="104"/>
  <c r="D270" i="104"/>
  <c r="D269" i="104"/>
  <c r="D268" i="104"/>
  <c r="D267" i="104"/>
  <c r="D266" i="104"/>
  <c r="D265" i="104"/>
  <c r="D264" i="104"/>
  <c r="D263" i="104"/>
  <c r="D262" i="104"/>
  <c r="D261" i="104"/>
  <c r="D260" i="104"/>
  <c r="D259" i="104"/>
  <c r="D258" i="104"/>
  <c r="D257" i="104"/>
  <c r="D256" i="104"/>
  <c r="D255" i="104"/>
  <c r="D254" i="104"/>
  <c r="D253" i="104"/>
  <c r="D252" i="104"/>
  <c r="D251" i="104"/>
  <c r="D250" i="104"/>
  <c r="D249" i="104"/>
  <c r="D248" i="104"/>
  <c r="D247" i="104"/>
  <c r="D246" i="104"/>
  <c r="D245" i="104"/>
  <c r="D244" i="104"/>
  <c r="D243" i="104"/>
  <c r="D242" i="104"/>
  <c r="D241" i="104"/>
  <c r="D240" i="104"/>
  <c r="D239" i="104"/>
  <c r="D238" i="104"/>
  <c r="D237" i="104"/>
  <c r="D236" i="104"/>
  <c r="D235" i="104"/>
  <c r="D234" i="104"/>
  <c r="D233" i="104"/>
  <c r="D232" i="104"/>
  <c r="D231" i="104"/>
  <c r="D230" i="104"/>
  <c r="D229" i="104"/>
  <c r="D228" i="104"/>
  <c r="D227" i="104"/>
  <c r="D226" i="104"/>
  <c r="D225" i="104"/>
  <c r="D224" i="104"/>
  <c r="D223" i="104"/>
  <c r="D222" i="104"/>
  <c r="D221" i="104"/>
  <c r="D220" i="104"/>
  <c r="D219" i="104"/>
  <c r="D218" i="104"/>
  <c r="D217" i="104"/>
  <c r="D216" i="104"/>
  <c r="D215" i="104"/>
  <c r="D214" i="104"/>
  <c r="D213" i="104"/>
  <c r="D212" i="104"/>
  <c r="D211" i="104"/>
  <c r="D210" i="104"/>
  <c r="D209" i="104"/>
  <c r="D208" i="104"/>
  <c r="D207" i="104"/>
  <c r="D206" i="104"/>
  <c r="D205" i="104"/>
  <c r="D204" i="104"/>
  <c r="D203" i="104"/>
  <c r="D202" i="104"/>
  <c r="D201" i="104"/>
  <c r="D200" i="104"/>
  <c r="D199" i="104"/>
  <c r="D198" i="104"/>
  <c r="D197" i="104"/>
  <c r="D196" i="104"/>
  <c r="D195" i="104"/>
  <c r="D194" i="104"/>
  <c r="D193" i="104"/>
  <c r="D192" i="104"/>
  <c r="D191" i="104"/>
  <c r="D190" i="104"/>
  <c r="D189" i="104"/>
  <c r="D188" i="104"/>
  <c r="D187" i="104"/>
  <c r="D186" i="104"/>
  <c r="D185" i="104"/>
  <c r="D184" i="104"/>
  <c r="D183" i="104"/>
  <c r="D182" i="104"/>
  <c r="D181" i="104"/>
  <c r="D180" i="104"/>
  <c r="D179" i="104"/>
  <c r="D178" i="104"/>
  <c r="D177" i="104"/>
  <c r="D176" i="104"/>
  <c r="D175" i="104"/>
  <c r="D174" i="104"/>
  <c r="D173" i="104"/>
  <c r="D172" i="104"/>
  <c r="D171" i="104"/>
  <c r="D170" i="104"/>
  <c r="D169" i="104"/>
  <c r="D168" i="104"/>
  <c r="D167" i="104"/>
  <c r="D166" i="104"/>
  <c r="D165" i="104"/>
  <c r="D164" i="104"/>
  <c r="D163" i="104"/>
  <c r="D162" i="104"/>
  <c r="D161" i="104"/>
  <c r="D160" i="104"/>
  <c r="D159" i="104"/>
  <c r="D158" i="104"/>
  <c r="D157" i="104"/>
  <c r="D156" i="104"/>
  <c r="D155" i="104"/>
  <c r="D154" i="104"/>
  <c r="D153" i="104"/>
  <c r="D152" i="104"/>
  <c r="D151" i="104"/>
  <c r="D150" i="104"/>
  <c r="D149" i="104"/>
  <c r="D148" i="104"/>
  <c r="D147" i="104"/>
  <c r="D146" i="104"/>
  <c r="D145" i="104"/>
  <c r="D144" i="104"/>
  <c r="D143" i="104"/>
  <c r="D142" i="104"/>
  <c r="D141" i="104"/>
  <c r="D140" i="104"/>
  <c r="D139" i="104"/>
  <c r="D138" i="104"/>
  <c r="D137" i="104"/>
  <c r="D136" i="104"/>
  <c r="D135" i="104"/>
  <c r="D134" i="104"/>
  <c r="D133" i="104"/>
  <c r="D132" i="104"/>
  <c r="D131" i="104"/>
  <c r="D130" i="104"/>
  <c r="D129" i="104"/>
  <c r="D128" i="104"/>
  <c r="D127" i="104"/>
  <c r="D126" i="104"/>
  <c r="D125" i="104"/>
  <c r="D124" i="104"/>
  <c r="D123" i="104"/>
  <c r="D122" i="104"/>
  <c r="D121" i="104"/>
  <c r="D120" i="104"/>
  <c r="D119" i="104"/>
  <c r="D118" i="104"/>
  <c r="D117" i="104"/>
  <c r="D116" i="104"/>
  <c r="D115" i="104"/>
  <c r="D114" i="104"/>
  <c r="D113" i="104"/>
  <c r="D112" i="104"/>
  <c r="D111" i="104"/>
  <c r="D110" i="104"/>
  <c r="D109" i="104"/>
  <c r="D108" i="104"/>
  <c r="D107" i="104"/>
  <c r="D106" i="104"/>
  <c r="D105" i="104"/>
  <c r="D104" i="104"/>
  <c r="D103" i="104"/>
  <c r="D102" i="104"/>
  <c r="D101" i="104"/>
  <c r="D100" i="104"/>
  <c r="D99" i="104"/>
  <c r="D98" i="104"/>
  <c r="D97" i="104"/>
  <c r="D96" i="104"/>
  <c r="D95" i="104"/>
  <c r="D94" i="104"/>
  <c r="D93" i="104"/>
  <c r="D92" i="104"/>
  <c r="D91" i="104"/>
  <c r="D90" i="104"/>
  <c r="D89" i="104"/>
  <c r="D88" i="104"/>
  <c r="D87" i="104"/>
  <c r="D86" i="104"/>
  <c r="D85" i="104"/>
  <c r="D84" i="104"/>
  <c r="D83" i="104"/>
  <c r="D82" i="104"/>
  <c r="D81" i="104"/>
  <c r="D80" i="104"/>
  <c r="D79" i="104"/>
  <c r="D78" i="104"/>
  <c r="D77" i="104"/>
  <c r="D76" i="104"/>
  <c r="D75" i="104"/>
  <c r="D74" i="104"/>
  <c r="D73" i="104"/>
  <c r="D72" i="104"/>
  <c r="D71" i="104"/>
  <c r="D70" i="104"/>
  <c r="D69" i="104"/>
  <c r="D68" i="104"/>
  <c r="D67" i="104"/>
  <c r="D66" i="104"/>
  <c r="D65" i="104"/>
  <c r="D64" i="104"/>
  <c r="D63" i="104"/>
  <c r="D62" i="104"/>
  <c r="D61" i="104"/>
  <c r="D60" i="104"/>
  <c r="D59" i="104"/>
  <c r="D58" i="104"/>
  <c r="D57" i="104"/>
  <c r="D56" i="104"/>
  <c r="D55" i="104"/>
  <c r="D54" i="104"/>
  <c r="D53" i="104"/>
  <c r="D52" i="104"/>
  <c r="D51" i="104"/>
  <c r="D50" i="104"/>
  <c r="D49" i="104"/>
  <c r="D48" i="104"/>
  <c r="D47" i="104"/>
  <c r="D46" i="104"/>
  <c r="D45" i="104"/>
  <c r="D44" i="104"/>
  <c r="D43" i="104"/>
  <c r="D42" i="104"/>
  <c r="D41" i="104"/>
  <c r="D40" i="104"/>
  <c r="D39" i="104"/>
  <c r="D38" i="104"/>
  <c r="D37" i="104"/>
  <c r="D36" i="104"/>
  <c r="D35" i="104"/>
  <c r="D34" i="104"/>
  <c r="D33" i="104"/>
  <c r="D32" i="104"/>
  <c r="D31" i="104"/>
  <c r="D30" i="104"/>
  <c r="D29" i="104"/>
  <c r="D28" i="104"/>
  <c r="D27" i="104"/>
  <c r="D26" i="104"/>
  <c r="D25" i="104"/>
  <c r="D24" i="104"/>
  <c r="D23" i="104"/>
  <c r="D22" i="104"/>
  <c r="D21" i="104"/>
  <c r="D20" i="104"/>
  <c r="D19" i="104"/>
  <c r="D18" i="104"/>
  <c r="D17" i="104"/>
  <c r="D16" i="104"/>
  <c r="D15" i="104"/>
  <c r="D14" i="104"/>
  <c r="D13" i="104"/>
  <c r="D12" i="104"/>
  <c r="D11" i="104"/>
  <c r="D10" i="104"/>
  <c r="D9" i="104"/>
  <c r="D8" i="104"/>
  <c r="D7" i="104"/>
  <c r="D6" i="104"/>
  <c r="D5" i="104"/>
  <c r="D4" i="104"/>
  <c r="D3" i="104"/>
  <c r="D2" i="104"/>
  <c r="A22" i="107" l="1"/>
  <c r="A36" i="108" l="1"/>
  <c r="A35" i="108"/>
  <c r="A34" i="108"/>
  <c r="A33" i="108"/>
  <c r="A32" i="108"/>
  <c r="A31" i="108"/>
  <c r="A30" i="108"/>
  <c r="A29" i="108"/>
  <c r="A28" i="108"/>
  <c r="A27" i="108"/>
  <c r="A26" i="108"/>
  <c r="A25" i="108"/>
  <c r="A24" i="108"/>
  <c r="A23" i="108"/>
  <c r="A22" i="108"/>
  <c r="A21" i="108"/>
  <c r="A20" i="108"/>
  <c r="A19" i="108"/>
  <c r="A18" i="108"/>
  <c r="A17" i="108"/>
  <c r="A16" i="108"/>
  <c r="A15" i="108"/>
  <c r="A14" i="108"/>
  <c r="A13" i="108"/>
  <c r="A11" i="108"/>
  <c r="A10" i="108"/>
  <c r="A9" i="108"/>
  <c r="A8" i="108"/>
  <c r="Y4" i="108"/>
  <c r="Y2" i="108"/>
  <c r="R2" i="108"/>
  <c r="A45" i="107"/>
  <c r="A44" i="107"/>
  <c r="A43" i="107"/>
  <c r="A42" i="107"/>
  <c r="A41" i="107"/>
  <c r="A40" i="107"/>
  <c r="A39" i="107"/>
  <c r="A38" i="107"/>
  <c r="A37" i="107"/>
  <c r="A36" i="107"/>
  <c r="A35" i="107"/>
  <c r="A34" i="107"/>
  <c r="A33" i="107"/>
  <c r="A32" i="107"/>
  <c r="A31" i="107"/>
  <c r="A30" i="107"/>
  <c r="A29" i="107"/>
  <c r="A28" i="107"/>
  <c r="A27" i="107"/>
  <c r="A26" i="107"/>
  <c r="A25" i="107"/>
  <c r="A24" i="107"/>
  <c r="A23" i="107"/>
  <c r="A19" i="107"/>
  <c r="A18" i="107"/>
  <c r="A17" i="107"/>
  <c r="A16" i="107"/>
  <c r="A15" i="107"/>
  <c r="A14" i="107"/>
  <c r="A13" i="107"/>
  <c r="A12" i="107"/>
  <c r="A11" i="107"/>
  <c r="A10" i="107"/>
  <c r="A9" i="107"/>
  <c r="A8" i="107"/>
  <c r="Y4" i="107"/>
  <c r="Y2" i="107"/>
  <c r="R2" i="107"/>
  <c r="A18" i="58"/>
  <c r="A17" i="58"/>
  <c r="A14" i="83" l="1"/>
  <c r="A15" i="83"/>
  <c r="A16" i="83"/>
  <c r="A18" i="83"/>
  <c r="A39" i="106" l="1"/>
  <c r="Y4" i="106"/>
  <c r="Y2" i="106"/>
  <c r="R2" i="106"/>
  <c r="A12" i="58"/>
  <c r="Y4" i="105" l="1"/>
  <c r="Y2" i="105"/>
  <c r="R2" i="105"/>
  <c r="Y4" i="103" l="1"/>
  <c r="Y2" i="103"/>
  <c r="R2" i="103"/>
  <c r="Y4" i="102" l="1"/>
  <c r="Y2" i="102"/>
  <c r="R2" i="102"/>
  <c r="R2" i="83" l="1"/>
  <c r="R2" i="82"/>
  <c r="R2" i="101"/>
  <c r="R2" i="99"/>
  <c r="R2" i="62"/>
  <c r="R2" i="85"/>
  <c r="R2" i="75"/>
  <c r="R2" i="43"/>
  <c r="Y2" i="43"/>
  <c r="A38" i="58" l="1"/>
  <c r="A35" i="58"/>
  <c r="A32" i="58"/>
  <c r="A35" i="101" l="1"/>
  <c r="A34" i="101"/>
  <c r="A33" i="101"/>
  <c r="A32" i="101"/>
  <c r="A31" i="101"/>
  <c r="A30" i="101"/>
  <c r="A29" i="101"/>
  <c r="A28" i="101"/>
  <c r="A27" i="101"/>
  <c r="A26" i="101"/>
  <c r="A25" i="101"/>
  <c r="A24" i="101"/>
  <c r="A23" i="101"/>
  <c r="A22" i="101"/>
  <c r="A21" i="101"/>
  <c r="A20" i="101"/>
  <c r="A19" i="101"/>
  <c r="A18" i="101"/>
  <c r="A17" i="101"/>
  <c r="A15" i="101"/>
  <c r="A14" i="101"/>
  <c r="A13" i="101"/>
  <c r="A11" i="101"/>
  <c r="A8" i="101"/>
  <c r="Y4" i="101"/>
  <c r="Y2" i="101"/>
  <c r="A39" i="99"/>
  <c r="A38" i="99"/>
  <c r="A37" i="99"/>
  <c r="A36" i="99"/>
  <c r="A35" i="99"/>
  <c r="A34" i="99"/>
  <c r="A33" i="99"/>
  <c r="A32" i="99"/>
  <c r="A31" i="99"/>
  <c r="A30" i="99"/>
  <c r="A29" i="99"/>
  <c r="A28" i="99"/>
  <c r="A27" i="99"/>
  <c r="A26" i="99"/>
  <c r="A25" i="99"/>
  <c r="A24" i="99"/>
  <c r="A23" i="99"/>
  <c r="A22" i="99"/>
  <c r="A19" i="99"/>
  <c r="A18" i="99"/>
  <c r="A17" i="99"/>
  <c r="A16" i="99"/>
  <c r="A15" i="99"/>
  <c r="A14" i="99"/>
  <c r="A13" i="99"/>
  <c r="A12" i="99"/>
  <c r="A11" i="99"/>
  <c r="A10" i="99"/>
  <c r="A9" i="99"/>
  <c r="A8" i="99"/>
  <c r="Y4" i="99"/>
  <c r="Y2" i="99"/>
  <c r="A19" i="83" l="1"/>
  <c r="A30" i="58" l="1"/>
  <c r="A44" i="83" l="1"/>
  <c r="A43" i="83"/>
  <c r="A42" i="83"/>
  <c r="A41" i="83"/>
  <c r="A40" i="83"/>
  <c r="A39" i="83"/>
  <c r="A38" i="83"/>
  <c r="A44" i="58" l="1"/>
  <c r="A26" i="58" l="1"/>
  <c r="A39" i="58" l="1"/>
  <c r="Y4" i="85" l="1"/>
  <c r="Y2" i="85"/>
  <c r="A37" i="83" l="1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3" i="83"/>
  <c r="A12" i="83"/>
  <c r="A10" i="83"/>
  <c r="A9" i="83"/>
  <c r="A8" i="83"/>
  <c r="Y4" i="83"/>
  <c r="Y2" i="83"/>
  <c r="A41" i="82" l="1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8" i="82"/>
  <c r="Y4" i="82"/>
  <c r="Y2" i="82"/>
  <c r="Y4" i="75" l="1"/>
  <c r="Y2" i="75"/>
  <c r="A37" i="58" l="1"/>
  <c r="A36" i="58"/>
  <c r="Y4" i="62" l="1"/>
  <c r="Y2" i="62"/>
  <c r="Y4" i="43"/>
  <c r="A489" i="60" l="1"/>
  <c r="A488" i="60"/>
  <c r="A487" i="60"/>
  <c r="A486" i="60"/>
  <c r="A485" i="60"/>
  <c r="A484" i="60"/>
  <c r="A483" i="60"/>
  <c r="A482" i="60"/>
  <c r="A481" i="60"/>
  <c r="A480" i="60"/>
  <c r="A479" i="60"/>
  <c r="A478" i="60"/>
  <c r="A477" i="60"/>
  <c r="A476" i="60"/>
  <c r="A475" i="60"/>
  <c r="A474" i="60"/>
  <c r="A473" i="60"/>
  <c r="A472" i="60"/>
  <c r="A471" i="60"/>
  <c r="A470" i="60"/>
  <c r="A469" i="60"/>
  <c r="A468" i="60"/>
  <c r="A467" i="60"/>
  <c r="A466" i="60"/>
  <c r="A465" i="60"/>
  <c r="A464" i="60"/>
  <c r="A463" i="60"/>
  <c r="A462" i="60"/>
  <c r="A461" i="60"/>
  <c r="A460" i="60"/>
  <c r="A459" i="60"/>
  <c r="A458" i="60"/>
  <c r="A457" i="60"/>
  <c r="A456" i="60"/>
  <c r="A455" i="60"/>
  <c r="A454" i="60"/>
  <c r="A453" i="60"/>
  <c r="A452" i="60"/>
  <c r="A451" i="60"/>
  <c r="A450" i="60"/>
  <c r="A449" i="60"/>
  <c r="A448" i="60"/>
  <c r="A447" i="60"/>
  <c r="A446" i="60"/>
  <c r="A445" i="60"/>
  <c r="A444" i="60"/>
  <c r="A443" i="60"/>
  <c r="A442" i="60"/>
  <c r="A441" i="60"/>
  <c r="A440" i="60"/>
  <c r="A439" i="60"/>
  <c r="A438" i="60"/>
  <c r="A437" i="60"/>
  <c r="A436" i="60"/>
  <c r="A435" i="60"/>
  <c r="A434" i="60"/>
  <c r="A433" i="60"/>
  <c r="A432" i="60"/>
  <c r="A431" i="60"/>
  <c r="A430" i="60"/>
  <c r="A429" i="60"/>
  <c r="A428" i="60"/>
  <c r="A427" i="60"/>
  <c r="A426" i="60"/>
  <c r="A425" i="60"/>
  <c r="A424" i="60"/>
  <c r="A423" i="60"/>
  <c r="A422" i="60"/>
  <c r="A421" i="60"/>
  <c r="A420" i="60"/>
  <c r="A419" i="60"/>
  <c r="A418" i="60"/>
  <c r="A417" i="60"/>
  <c r="A416" i="60"/>
  <c r="A415" i="60"/>
  <c r="A414" i="60"/>
  <c r="A413" i="60"/>
  <c r="A412" i="60"/>
  <c r="A411" i="60"/>
  <c r="A410" i="60"/>
  <c r="A409" i="60"/>
  <c r="A408" i="60"/>
  <c r="A407" i="60"/>
  <c r="A406" i="60"/>
  <c r="A405" i="60"/>
  <c r="A404" i="60"/>
  <c r="A403" i="60"/>
  <c r="A402" i="60"/>
  <c r="A401" i="60"/>
  <c r="A400" i="60"/>
  <c r="A399" i="60"/>
  <c r="A398" i="60"/>
  <c r="A397" i="60"/>
  <c r="A396" i="60"/>
  <c r="A395" i="60"/>
  <c r="A394" i="60"/>
  <c r="A393" i="60"/>
  <c r="A392" i="60"/>
  <c r="A391" i="60"/>
  <c r="A390" i="60"/>
  <c r="A389" i="60"/>
  <c r="A388" i="60"/>
  <c r="A387" i="60"/>
  <c r="A386" i="60"/>
  <c r="A385" i="60"/>
  <c r="A384" i="60"/>
  <c r="A383" i="60"/>
  <c r="A382" i="60"/>
  <c r="A381" i="60"/>
  <c r="A380" i="60"/>
  <c r="A379" i="60"/>
  <c r="A378" i="60"/>
  <c r="A377" i="60"/>
  <c r="A376" i="60"/>
  <c r="A375" i="60"/>
  <c r="A374" i="60"/>
  <c r="A373" i="60"/>
  <c r="A372" i="60"/>
  <c r="A371" i="60"/>
  <c r="A370" i="60"/>
  <c r="A369" i="60"/>
  <c r="A368" i="60"/>
  <c r="A367" i="60"/>
  <c r="A366" i="60"/>
  <c r="A365" i="60"/>
  <c r="A364" i="60"/>
  <c r="A363" i="60"/>
  <c r="A362" i="60"/>
  <c r="A361" i="60"/>
  <c r="A360" i="60"/>
  <c r="A359" i="60"/>
  <c r="A358" i="60"/>
  <c r="A357" i="60"/>
  <c r="A356" i="60"/>
  <c r="A355" i="60"/>
  <c r="A354" i="60"/>
  <c r="A353" i="60"/>
  <c r="A352" i="60"/>
  <c r="A351" i="60"/>
  <c r="A350" i="60"/>
  <c r="A349" i="60"/>
  <c r="A348" i="60"/>
  <c r="A347" i="60"/>
  <c r="A346" i="60"/>
  <c r="A345" i="60"/>
  <c r="A344" i="60"/>
  <c r="A343" i="60"/>
  <c r="A342" i="60"/>
  <c r="A341" i="60"/>
  <c r="A340" i="60"/>
  <c r="A339" i="60"/>
  <c r="A338" i="60"/>
  <c r="A337" i="60"/>
  <c r="A336" i="60"/>
  <c r="A335" i="60"/>
  <c r="A334" i="60"/>
  <c r="A333" i="60"/>
  <c r="A332" i="60"/>
  <c r="A331" i="60"/>
  <c r="A330" i="60"/>
  <c r="A329" i="60"/>
  <c r="A328" i="60"/>
  <c r="A327" i="60"/>
  <c r="A326" i="60"/>
  <c r="A325" i="60"/>
  <c r="A324" i="60"/>
  <c r="A323" i="60"/>
  <c r="A322" i="60"/>
  <c r="A321" i="60"/>
  <c r="A320" i="60"/>
  <c r="A319" i="60"/>
  <c r="A318" i="60"/>
  <c r="A317" i="60"/>
  <c r="A316" i="60"/>
  <c r="A315" i="60"/>
  <c r="A314" i="60"/>
  <c r="A313" i="60"/>
  <c r="A312" i="60"/>
  <c r="A311" i="60"/>
  <c r="A310" i="60"/>
  <c r="A309" i="60"/>
  <c r="A308" i="60"/>
  <c r="A307" i="60"/>
  <c r="A306" i="60"/>
  <c r="A305" i="60"/>
  <c r="A304" i="60"/>
  <c r="A303" i="60"/>
  <c r="A302" i="60"/>
  <c r="A301" i="60"/>
  <c r="A300" i="60"/>
  <c r="A299" i="60"/>
  <c r="A298" i="60"/>
  <c r="A297" i="60"/>
  <c r="A296" i="60"/>
  <c r="A295" i="60"/>
  <c r="A294" i="60"/>
  <c r="A292" i="60"/>
  <c r="A291" i="60"/>
  <c r="A290" i="60"/>
  <c r="A289" i="60"/>
  <c r="A288" i="60"/>
  <c r="A287" i="60"/>
  <c r="A286" i="60"/>
  <c r="A285" i="60"/>
  <c r="A284" i="60"/>
  <c r="A283" i="60"/>
  <c r="A282" i="60"/>
  <c r="A281" i="60"/>
  <c r="A280" i="60"/>
  <c r="A279" i="60"/>
  <c r="A278" i="60"/>
  <c r="A277" i="60"/>
  <c r="A276" i="60"/>
  <c r="A275" i="60"/>
  <c r="A274" i="60"/>
  <c r="A273" i="60"/>
  <c r="A272" i="60"/>
  <c r="A271" i="60"/>
  <c r="A270" i="60"/>
  <c r="A269" i="60"/>
  <c r="A268" i="60"/>
  <c r="A267" i="60"/>
  <c r="A266" i="60"/>
  <c r="A265" i="60"/>
  <c r="A264" i="60"/>
  <c r="A263" i="60"/>
  <c r="A262" i="60"/>
  <c r="A261" i="60"/>
  <c r="A260" i="60"/>
  <c r="A259" i="60"/>
  <c r="A258" i="60"/>
  <c r="A257" i="60"/>
  <c r="A256" i="60"/>
  <c r="A255" i="60"/>
  <c r="A254" i="60"/>
  <c r="A253" i="60"/>
  <c r="A252" i="60"/>
  <c r="A251" i="60"/>
  <c r="A250" i="60"/>
  <c r="A249" i="60"/>
  <c r="A248" i="60"/>
  <c r="A247" i="60"/>
  <c r="A246" i="60"/>
  <c r="A245" i="60"/>
  <c r="A244" i="60"/>
  <c r="A243" i="60"/>
  <c r="A242" i="60"/>
  <c r="A241" i="60"/>
  <c r="A240" i="60"/>
  <c r="A239" i="60"/>
  <c r="A238" i="60"/>
  <c r="A237" i="60"/>
  <c r="A236" i="60"/>
  <c r="A235" i="60"/>
  <c r="A234" i="60"/>
  <c r="A233" i="60"/>
  <c r="A232" i="60"/>
  <c r="A231" i="60"/>
  <c r="A230" i="60"/>
  <c r="A229" i="60"/>
  <c r="A228" i="60"/>
  <c r="A227" i="60"/>
  <c r="A226" i="60"/>
  <c r="A225" i="60"/>
  <c r="A224" i="60"/>
  <c r="A223" i="60"/>
  <c r="A222" i="60"/>
  <c r="A221" i="60"/>
  <c r="A220" i="60"/>
  <c r="A219" i="60"/>
  <c r="A218" i="60"/>
  <c r="A217" i="60"/>
  <c r="A216" i="60"/>
  <c r="A215" i="60"/>
  <c r="A214" i="60"/>
  <c r="A213" i="60"/>
  <c r="A212" i="60"/>
  <c r="A211" i="60"/>
  <c r="A210" i="60"/>
  <c r="A209" i="60"/>
  <c r="A208" i="60"/>
  <c r="A207" i="60"/>
  <c r="A206" i="60"/>
  <c r="A205" i="60"/>
  <c r="A204" i="60"/>
  <c r="A203" i="60"/>
  <c r="A202" i="60"/>
  <c r="A201" i="60"/>
  <c r="A200" i="60"/>
  <c r="A199" i="60"/>
  <c r="A198" i="60"/>
  <c r="A197" i="60"/>
  <c r="A196" i="60"/>
  <c r="A195" i="60"/>
  <c r="A194" i="60"/>
  <c r="A193" i="60"/>
  <c r="A192" i="60"/>
  <c r="A191" i="60"/>
  <c r="A190" i="60"/>
  <c r="A189" i="60"/>
  <c r="A188" i="60"/>
  <c r="A187" i="60"/>
  <c r="A186" i="60"/>
  <c r="A185" i="60"/>
  <c r="A184" i="60"/>
  <c r="A183" i="60"/>
  <c r="A182" i="60"/>
  <c r="A181" i="60"/>
  <c r="A180" i="60"/>
  <c r="A179" i="60"/>
  <c r="A178" i="60"/>
  <c r="A177" i="60"/>
  <c r="A176" i="60"/>
  <c r="A175" i="60"/>
  <c r="A174" i="60"/>
  <c r="A173" i="60"/>
  <c r="A172" i="60"/>
  <c r="A171" i="60"/>
  <c r="A170" i="60"/>
  <c r="A169" i="60"/>
  <c r="A168" i="60"/>
  <c r="A167" i="60"/>
  <c r="A166" i="60"/>
  <c r="A165" i="60"/>
  <c r="A164" i="60"/>
  <c r="A163" i="60"/>
  <c r="A162" i="60"/>
  <c r="A161" i="60"/>
  <c r="A160" i="60"/>
  <c r="A159" i="60"/>
  <c r="A158" i="60"/>
  <c r="A157" i="60"/>
  <c r="A156" i="60"/>
  <c r="A155" i="60"/>
  <c r="A154" i="60"/>
  <c r="A153" i="60"/>
  <c r="A152" i="60"/>
  <c r="A151" i="60"/>
  <c r="A150" i="60"/>
  <c r="A149" i="60"/>
  <c r="A148" i="60"/>
  <c r="A147" i="60"/>
  <c r="A146" i="60"/>
  <c r="A145" i="60"/>
  <c r="A144" i="60"/>
  <c r="A143" i="60"/>
  <c r="A142" i="60"/>
  <c r="A141" i="60"/>
  <c r="A140" i="60"/>
  <c r="A139" i="60"/>
  <c r="A138" i="60"/>
  <c r="A137" i="60"/>
  <c r="A136" i="60"/>
  <c r="A135" i="60"/>
  <c r="A134" i="60"/>
  <c r="A133" i="60"/>
  <c r="A132" i="60"/>
  <c r="A131" i="60"/>
  <c r="A130" i="60"/>
  <c r="A129" i="60"/>
  <c r="A128" i="60"/>
  <c r="A127" i="60"/>
  <c r="A126" i="60"/>
  <c r="A125" i="60"/>
  <c r="A124" i="60"/>
  <c r="A123" i="60"/>
  <c r="A122" i="60"/>
  <c r="A121" i="60"/>
  <c r="A120" i="60"/>
  <c r="A119" i="60"/>
  <c r="A118" i="60"/>
  <c r="A117" i="60"/>
  <c r="A116" i="60"/>
  <c r="A115" i="60"/>
  <c r="A114" i="60"/>
  <c r="A113" i="60"/>
  <c r="A112" i="60"/>
  <c r="A111" i="60"/>
  <c r="A110" i="60"/>
  <c r="A109" i="60"/>
  <c r="A108" i="60"/>
  <c r="A107" i="60"/>
  <c r="A106" i="60"/>
  <c r="A105" i="60"/>
  <c r="A104" i="60"/>
  <c r="A103" i="60"/>
  <c r="A102" i="60"/>
  <c r="A101" i="60"/>
  <c r="A100" i="60"/>
  <c r="A99" i="60"/>
  <c r="A98" i="60"/>
  <c r="A97" i="60"/>
  <c r="A96" i="60"/>
  <c r="A95" i="60"/>
  <c r="A94" i="60"/>
  <c r="A93" i="60"/>
  <c r="A92" i="60"/>
  <c r="A91" i="60"/>
  <c r="A90" i="60"/>
  <c r="A89" i="60"/>
  <c r="A88" i="60"/>
  <c r="A87" i="60"/>
  <c r="A86" i="60"/>
  <c r="A85" i="60"/>
  <c r="A84" i="60"/>
  <c r="A83" i="60"/>
  <c r="A82" i="60"/>
  <c r="A81" i="60"/>
  <c r="A80" i="60"/>
  <c r="A79" i="60"/>
  <c r="A78" i="60"/>
  <c r="A77" i="60"/>
  <c r="A76" i="60"/>
  <c r="A75" i="60"/>
  <c r="A74" i="60"/>
  <c r="A73" i="60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7" i="58" l="1"/>
  <c r="A46" i="58"/>
  <c r="A45" i="58"/>
  <c r="A43" i="58"/>
  <c r="A42" i="58"/>
  <c r="A41" i="58"/>
  <c r="A40" i="58"/>
  <c r="A34" i="58"/>
  <c r="A33" i="58"/>
  <c r="A31" i="58"/>
  <c r="A29" i="58"/>
  <c r="A23" i="58"/>
  <c r="A22" i="58"/>
  <c r="A21" i="58"/>
  <c r="A20" i="58"/>
  <c r="A19" i="58"/>
  <c r="A16" i="58"/>
  <c r="A15" i="58"/>
  <c r="A14" i="58"/>
  <c r="A13" i="58"/>
  <c r="A11" i="58"/>
  <c r="A10" i="58"/>
  <c r="A9" i="58"/>
  <c r="A8" i="58"/>
  <c r="A1" i="61" l="1"/>
  <c r="A1" i="60"/>
</calcChain>
</file>

<file path=xl/comments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9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0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9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0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<sst xmlns="http://schemas.openxmlformats.org/spreadsheetml/2006/main" count="13057" uniqueCount="1563">
  <si>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</si>
  <si>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</si>
  <si>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</si>
  <si>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</si>
  <si>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</si>
  <si>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</si>
  <si>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</si>
  <si>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</si>
  <si>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</si>
  <si>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</si>
  <si>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</si>
  <si>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>For i = 1 To Worksheets.Count  '</t>
  </si>
  <si>
    <t xml:space="preserve">    flg = False</t>
  </si>
  <si>
    <t xml:space="preserve">    If Worksheets(i).Name = "Salesforce連携一覧" Then</t>
  </si>
  <si>
    <t xml:space="preserve">        flg = True</t>
  </si>
  <si>
    <t xml:space="preserve">    End If</t>
  </si>
  <si>
    <t xml:space="preserve">    If Worksheets(i).Name = "施設担当者" Then</t>
  </si>
  <si>
    <t xml:space="preserve">    If Worksheets(i).Name = "ユーザ" Then</t>
  </si>
  <si>
    <t xml:space="preserve">    If Worksheets(i).Name = "項目一覧" Then</t>
  </si>
  <si>
    <t xml:space="preserve">    If Worksheets(i).Name = "項目一覧 (項目別)" Then</t>
  </si>
  <si>
    <t xml:space="preserve">    If Worksheets(i).Name = "マクロ" Then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</si>
  <si>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</si>
  <si>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</si>
  <si>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</si>
  <si>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</si>
  <si>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</si>
  <si>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</si>
  <si>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</si>
  <si>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</si>
  <si>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</si>
  <si>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</si>
  <si>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</si>
  <si>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</si>
  <si>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wsheet1.Cells(iRow, 7) = wsheet2.Cells(j, 38)</t>
  </si>
  <si>
    <t xml:space="preserve">            wsheet1.Cells(iRow, 8) = wsheet2.Cells(j, 39)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</si>
  <si>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</si>
  <si>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</si>
  <si>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</si>
  <si>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</si>
  <si>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</si>
  <si>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</si>
  <si>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</si>
  <si>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</si>
  <si>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</si>
  <si>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</si>
  <si>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MsgBox ("完了")</t>
  </si>
  <si>
    <t>End Sub</t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</si>
  <si>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</si>
  <si>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</si>
  <si>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</si>
  <si>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</si>
  <si>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</si>
  <si>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</si>
  <si>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</si>
  <si>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</si>
  <si>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</si>
  <si>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</si>
  <si>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</si>
  <si>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</si>
  <si>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</si>
  <si>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</si>
  <si>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</si>
  <si>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</si>
  <si>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</si>
  <si>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</si>
  <si>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</si>
  <si>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</si>
  <si>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</si>
  <si>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</si>
  <si>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※</t>
    <phoneticPr fontId="5"/>
  </si>
  <si>
    <t>納品時には、シート「実行シート」　削除</t>
    <rPh sb="0" eb="3">
      <t>ノウヒンジ</t>
    </rPh>
    <rPh sb="10" eb="12">
      <t>ジッコウ</t>
    </rPh>
    <rPh sb="17" eb="19">
      <t>サクジョ</t>
    </rPh>
    <phoneticPr fontId="5"/>
  </si>
  <si>
    <t>フッター　右部　に　シート名＋頁　を設定する</t>
    <rPh sb="5" eb="6">
      <t>ミギ</t>
    </rPh>
    <rPh sb="6" eb="7">
      <t>ブ</t>
    </rPh>
    <rPh sb="13" eb="14">
      <t>メイ</t>
    </rPh>
    <rPh sb="15" eb="16">
      <t>ペイジ</t>
    </rPh>
    <rPh sb="18" eb="20">
      <t>セッテイ</t>
    </rPh>
    <phoneticPr fontId="5"/>
  </si>
  <si>
    <t>各テーブルの項目定義　を　シート「項目一覧」　に集計する</t>
    <rPh sb="0" eb="1">
      <t>カク</t>
    </rPh>
    <rPh sb="6" eb="8">
      <t>コウモク</t>
    </rPh>
    <rPh sb="8" eb="10">
      <t>テイギ</t>
    </rPh>
    <rPh sb="17" eb="19">
      <t>コウモク</t>
    </rPh>
    <rPh sb="19" eb="21">
      <t>イチラン</t>
    </rPh>
    <rPh sb="24" eb="26">
      <t>シュウケイ</t>
    </rPh>
    <phoneticPr fontId="5"/>
  </si>
  <si>
    <t>シート「項目一覧」　より　項目別にソートし、　シート「項目一覧（工程別）」　に　展開する</t>
    <rPh sb="4" eb="6">
      <t>コウモク</t>
    </rPh>
    <rPh sb="6" eb="8">
      <t>イチラン</t>
    </rPh>
    <rPh sb="13" eb="15">
      <t>コウモク</t>
    </rPh>
    <rPh sb="15" eb="16">
      <t>ベツ</t>
    </rPh>
    <rPh sb="27" eb="29">
      <t>コウモク</t>
    </rPh>
    <rPh sb="29" eb="31">
      <t>イチラン</t>
    </rPh>
    <rPh sb="32" eb="34">
      <t>コウテイ</t>
    </rPh>
    <rPh sb="34" eb="35">
      <t>ベツ</t>
    </rPh>
    <rPh sb="40" eb="42">
      <t>テンカイ</t>
    </rPh>
    <phoneticPr fontId="5"/>
  </si>
  <si>
    <t>シート「項目一覧（工程別）」　より　編集した設定値　を　各テーブル項目設定値　に　反映する</t>
    <rPh sb="18" eb="20">
      <t>ヘンシュウ</t>
    </rPh>
    <rPh sb="22" eb="24">
      <t>セッテイ</t>
    </rPh>
    <rPh sb="24" eb="25">
      <t>チ</t>
    </rPh>
    <rPh sb="28" eb="29">
      <t>カク</t>
    </rPh>
    <rPh sb="33" eb="35">
      <t>コウモク</t>
    </rPh>
    <rPh sb="35" eb="37">
      <t>セッテイ</t>
    </rPh>
    <rPh sb="37" eb="38">
      <t>チ</t>
    </rPh>
    <rPh sb="41" eb="43">
      <t>ハンエイ</t>
    </rPh>
    <phoneticPr fontId="5"/>
  </si>
  <si>
    <t>各テーブルのSQL作成</t>
    <rPh sb="0" eb="1">
      <t>カク</t>
    </rPh>
    <rPh sb="9" eb="11">
      <t>サクセイ</t>
    </rPh>
    <phoneticPr fontId="5"/>
  </si>
  <si>
    <t>生産指示情報（原反）</t>
    <rPh sb="7" eb="9">
      <t>ゲンタン</t>
    </rPh>
    <phoneticPr fontId="5"/>
  </si>
  <si>
    <t>テーブルのSQL作成前に　テーブルリスト（設定値）を確認すること</t>
    <rPh sb="10" eb="11">
      <t>マエ</t>
    </rPh>
    <rPh sb="21" eb="23">
      <t>セッテイ</t>
    </rPh>
    <rPh sb="23" eb="24">
      <t>チ</t>
    </rPh>
    <rPh sb="26" eb="28">
      <t>カクニン</t>
    </rPh>
    <phoneticPr fontId="5"/>
  </si>
  <si>
    <t>テーブル項目定義</t>
    <rPh sb="6" eb="8">
      <t>テイギ</t>
    </rPh>
    <phoneticPr fontId="6"/>
  </si>
  <si>
    <t>システム名</t>
    <rPh sb="4" eb="5">
      <t>メイ</t>
    </rPh>
    <phoneticPr fontId="6"/>
  </si>
  <si>
    <t>業務分類名</t>
    <rPh sb="0" eb="2">
      <t>ギョウム</t>
    </rPh>
    <rPh sb="2" eb="4">
      <t>ブンルイ</t>
    </rPh>
    <rPh sb="4" eb="5">
      <t>メイ</t>
    </rPh>
    <phoneticPr fontId="6"/>
  </si>
  <si>
    <t>テーブル分類名</t>
    <rPh sb="4" eb="6">
      <t>ブンルイ</t>
    </rPh>
    <rPh sb="6" eb="7">
      <t>メイ</t>
    </rPh>
    <phoneticPr fontId="6"/>
  </si>
  <si>
    <t>作成/修正日</t>
    <rPh sb="0" eb="2">
      <t>サクセイ</t>
    </rPh>
    <rPh sb="3" eb="5">
      <t>シュウセイ</t>
    </rPh>
    <rPh sb="5" eb="6">
      <t>ビ</t>
    </rPh>
    <phoneticPr fontId="6"/>
  </si>
  <si>
    <t>作成/修正者</t>
    <rPh sb="0" eb="2">
      <t>サクセイ</t>
    </rPh>
    <rPh sb="3" eb="5">
      <t>シュウセイ</t>
    </rPh>
    <rPh sb="5" eb="6">
      <t>シャ</t>
    </rPh>
    <phoneticPr fontId="6"/>
  </si>
  <si>
    <t>版数</t>
    <rPh sb="0" eb="2">
      <t>ハンスウ</t>
    </rPh>
    <phoneticPr fontId="6"/>
  </si>
  <si>
    <t>新基幹システム</t>
    <phoneticPr fontId="5"/>
  </si>
  <si>
    <t>B.生産計画</t>
    <phoneticPr fontId="5"/>
  </si>
  <si>
    <t>トランザクション</t>
    <phoneticPr fontId="5"/>
  </si>
  <si>
    <t>トスコ</t>
    <phoneticPr fontId="5"/>
  </si>
  <si>
    <t>1.0(初版)</t>
    <phoneticPr fontId="5"/>
  </si>
  <si>
    <t>№</t>
    <phoneticPr fontId="6"/>
  </si>
  <si>
    <t>テーブル名</t>
    <rPh sb="4" eb="5">
      <t>メイ</t>
    </rPh>
    <phoneticPr fontId="6"/>
  </si>
  <si>
    <t>テーブルID</t>
    <phoneticPr fontId="6"/>
  </si>
  <si>
    <t>業務分類</t>
    <rPh sb="0" eb="2">
      <t>ギョウム</t>
    </rPh>
    <rPh sb="2" eb="4">
      <t>ブンルイ</t>
    </rPh>
    <phoneticPr fontId="5"/>
  </si>
  <si>
    <t>テーブル概要</t>
    <rPh sb="4" eb="6">
      <t>ガイヨウ</t>
    </rPh>
    <phoneticPr fontId="5"/>
  </si>
  <si>
    <t>生産計画情報（抄紙）</t>
    <rPh sb="0" eb="2">
      <t>セイサン</t>
    </rPh>
    <rPh sb="2" eb="4">
      <t>ケイカク</t>
    </rPh>
    <rPh sb="4" eb="6">
      <t>ジョウホウ</t>
    </rPh>
    <rPh sb="7" eb="9">
      <t>ショウシ</t>
    </rPh>
    <phoneticPr fontId="5"/>
  </si>
  <si>
    <t>t_seisan_keikaku_pm</t>
    <phoneticPr fontId="5"/>
  </si>
  <si>
    <t>B.生産計画</t>
  </si>
  <si>
    <t>生産計画情報（熱加工）</t>
    <rPh sb="0" eb="2">
      <t>セイサン</t>
    </rPh>
    <rPh sb="2" eb="4">
      <t>ケイカク</t>
    </rPh>
    <rPh sb="4" eb="6">
      <t>ジョウホウ</t>
    </rPh>
    <rPh sb="7" eb="8">
      <t>ネツ</t>
    </rPh>
    <rPh sb="8" eb="10">
      <t>カコウ</t>
    </rPh>
    <phoneticPr fontId="5"/>
  </si>
  <si>
    <t>t_seisan_keikaku_hc</t>
    <phoneticPr fontId="5"/>
  </si>
  <si>
    <t>生産計画情報（加工CM）</t>
    <rPh sb="0" eb="2">
      <t>セイサン</t>
    </rPh>
    <rPh sb="2" eb="4">
      <t>ケイカク</t>
    </rPh>
    <rPh sb="4" eb="6">
      <t>ジョウホウ</t>
    </rPh>
    <rPh sb="7" eb="9">
      <t>カコウ</t>
    </rPh>
    <phoneticPr fontId="5"/>
  </si>
  <si>
    <t>t_seisan_keikaku_cm</t>
    <phoneticPr fontId="5"/>
  </si>
  <si>
    <t>生産計画情報（加工SC）</t>
    <rPh sb="0" eb="2">
      <t>セイサン</t>
    </rPh>
    <rPh sb="2" eb="4">
      <t>ケイカク</t>
    </rPh>
    <rPh sb="4" eb="6">
      <t>ジョウホウ</t>
    </rPh>
    <rPh sb="7" eb="9">
      <t>カコウ</t>
    </rPh>
    <phoneticPr fontId="5"/>
  </si>
  <si>
    <t>t_seisan_keikaku_sc</t>
    <phoneticPr fontId="5"/>
  </si>
  <si>
    <t>生産計画情報（コーヒーフィルタ）</t>
    <rPh sb="0" eb="2">
      <t>セイサン</t>
    </rPh>
    <rPh sb="2" eb="4">
      <t>ケイカク</t>
    </rPh>
    <rPh sb="4" eb="6">
      <t>ジョウホウ</t>
    </rPh>
    <phoneticPr fontId="5"/>
  </si>
  <si>
    <t>t_seisan_keikaku_cf</t>
    <phoneticPr fontId="5"/>
  </si>
  <si>
    <t>生産計画情報（パッケージ工場）</t>
    <rPh sb="0" eb="2">
      <t>セイサン</t>
    </rPh>
    <rPh sb="2" eb="4">
      <t>ケイカク</t>
    </rPh>
    <rPh sb="4" eb="6">
      <t>ジョウホウ</t>
    </rPh>
    <rPh sb="12" eb="14">
      <t>コウジョウ</t>
    </rPh>
    <phoneticPr fontId="5"/>
  </si>
  <si>
    <t>t_seisan_keikaku_pk</t>
    <phoneticPr fontId="5"/>
  </si>
  <si>
    <t>生産計画情報（WD工場）</t>
    <rPh sb="0" eb="2">
      <t>セイサン</t>
    </rPh>
    <rPh sb="2" eb="4">
      <t>ケイカク</t>
    </rPh>
    <rPh sb="4" eb="6">
      <t>ジョウホウ</t>
    </rPh>
    <rPh sb="9" eb="11">
      <t>コウジョウ</t>
    </rPh>
    <phoneticPr fontId="5"/>
  </si>
  <si>
    <t>t_seisan_keikaku_wd</t>
  </si>
  <si>
    <t>生産計画情報（外注加工）</t>
    <rPh sb="0" eb="2">
      <t>セイサン</t>
    </rPh>
    <rPh sb="2" eb="4">
      <t>ケイカク</t>
    </rPh>
    <rPh sb="4" eb="6">
      <t>ジョウホウ</t>
    </rPh>
    <rPh sb="7" eb="9">
      <t>ガイチュウ</t>
    </rPh>
    <rPh sb="9" eb="11">
      <t>カコウ</t>
    </rPh>
    <phoneticPr fontId="5"/>
  </si>
  <si>
    <t>t_seisan_keikaku_gk</t>
    <phoneticPr fontId="5"/>
  </si>
  <si>
    <t>生産指示情報（原材料）</t>
  </si>
  <si>
    <t>t_seisan_shiji_genzairyo</t>
  </si>
  <si>
    <t>生産指示明細情報（原材料）</t>
  </si>
  <si>
    <t>t_seisan_shiji_genzairyo_m</t>
  </si>
  <si>
    <t>生産指示情報（薬品）</t>
    <rPh sb="7" eb="9">
      <t>ヤクヒン</t>
    </rPh>
    <phoneticPr fontId="5"/>
  </si>
  <si>
    <t>t_seisan_shiji_yakuhin</t>
  </si>
  <si>
    <t>生産指示明細情報（薬品）</t>
    <rPh sb="9" eb="11">
      <t>ヤクヒン</t>
    </rPh>
    <phoneticPr fontId="5"/>
  </si>
  <si>
    <t>t_seisan_shiji_yakuhin_m</t>
  </si>
  <si>
    <t>生産指示情報（調薬）</t>
    <rPh sb="7" eb="9">
      <t>チョウヤク</t>
    </rPh>
    <phoneticPr fontId="5"/>
  </si>
  <si>
    <t>t_seisan_shiji_choyaku</t>
  </si>
  <si>
    <t>生産指示明細情報（調薬）</t>
    <rPh sb="9" eb="11">
      <t>チョウヤク</t>
    </rPh>
    <phoneticPr fontId="5"/>
  </si>
  <si>
    <t>t_seisan_shiji_choyaku_m</t>
  </si>
  <si>
    <t>t_seisan_shiji_gentan</t>
  </si>
  <si>
    <t>生産指示明細情報（原反）</t>
    <rPh sb="9" eb="11">
      <t>ゲンタン</t>
    </rPh>
    <phoneticPr fontId="5"/>
  </si>
  <si>
    <t>t_seisan_shiji_gentan_m</t>
  </si>
  <si>
    <t>加工依頼情報</t>
    <rPh sb="0" eb="6">
      <t>カコウイライジョウホウ</t>
    </rPh>
    <phoneticPr fontId="5"/>
  </si>
  <si>
    <t>t_kako_irai</t>
    <phoneticPr fontId="5"/>
  </si>
  <si>
    <t>加工依頼明細情報</t>
    <rPh sb="0" eb="2">
      <t>カコウ</t>
    </rPh>
    <rPh sb="2" eb="4">
      <t>イライ</t>
    </rPh>
    <rPh sb="4" eb="6">
      <t>メイサイ</t>
    </rPh>
    <rPh sb="6" eb="8">
      <t>ジョウホウ</t>
    </rPh>
    <phoneticPr fontId="5"/>
  </si>
  <si>
    <t>t_kako_irai_m</t>
    <phoneticPr fontId="5"/>
  </si>
  <si>
    <t>加工依頼明細情報（ロット指定）</t>
    <rPh sb="0" eb="2">
      <t>カコウ</t>
    </rPh>
    <rPh sb="2" eb="4">
      <t>イライ</t>
    </rPh>
    <rPh sb="4" eb="6">
      <t>メイサイ</t>
    </rPh>
    <rPh sb="6" eb="8">
      <t>ジョウホウ</t>
    </rPh>
    <rPh sb="12" eb="14">
      <t>シテイ</t>
    </rPh>
    <phoneticPr fontId="5"/>
  </si>
  <si>
    <t>t_kako_irai_lot</t>
    <phoneticPr fontId="5"/>
  </si>
  <si>
    <t>生産計画項目制御情報</t>
    <rPh sb="0" eb="2">
      <t>セイサン</t>
    </rPh>
    <rPh sb="2" eb="4">
      <t>ケイカク</t>
    </rPh>
    <rPh sb="4" eb="6">
      <t>コウモク</t>
    </rPh>
    <rPh sb="6" eb="8">
      <t>セイギョ</t>
    </rPh>
    <rPh sb="8" eb="10">
      <t>ジョウホウ</t>
    </rPh>
    <phoneticPr fontId="5"/>
  </si>
  <si>
    <t>t_seisan_itemcontrol</t>
    <phoneticPr fontId="5"/>
  </si>
  <si>
    <t>テーブル名／テーブルID</t>
    <rPh sb="4" eb="5">
      <t>メイ</t>
    </rPh>
    <phoneticPr fontId="6"/>
  </si>
  <si>
    <t>項目名</t>
    <rPh sb="0" eb="2">
      <t>コウモク</t>
    </rPh>
    <rPh sb="2" eb="3">
      <t>メイ</t>
    </rPh>
    <phoneticPr fontId="6"/>
  </si>
  <si>
    <t>項目ID</t>
    <rPh sb="0" eb="2">
      <t>コウモク</t>
    </rPh>
    <phoneticPr fontId="6"/>
  </si>
  <si>
    <t>項目コメント</t>
    <rPh sb="0" eb="2">
      <t>コウモク</t>
    </rPh>
    <phoneticPr fontId="5"/>
  </si>
  <si>
    <t>型名</t>
    <rPh sb="0" eb="2">
      <t>カタメイ</t>
    </rPh>
    <phoneticPr fontId="6"/>
  </si>
  <si>
    <t>型</t>
    <rPh sb="0" eb="1">
      <t>カタ</t>
    </rPh>
    <phoneticPr fontId="6"/>
  </si>
  <si>
    <t>整数</t>
    <rPh sb="0" eb="2">
      <t>セイスウ</t>
    </rPh>
    <phoneticPr fontId="6"/>
  </si>
  <si>
    <t>小数</t>
    <rPh sb="0" eb="2">
      <t>ショウスウ</t>
    </rPh>
    <phoneticPr fontId="6"/>
  </si>
  <si>
    <t>ＰＫ</t>
    <phoneticPr fontId="6"/>
  </si>
  <si>
    <t>ＮＮ</t>
    <phoneticPr fontId="6"/>
  </si>
  <si>
    <t>ＤＦ</t>
    <phoneticPr fontId="6"/>
  </si>
  <si>
    <t>インデックス</t>
    <phoneticPr fontId="8"/>
  </si>
  <si>
    <t>項目説明</t>
  </si>
  <si>
    <t>生産計画№</t>
    <phoneticPr fontId="5"/>
  </si>
  <si>
    <t>seisan_keikaku_no</t>
    <phoneticPr fontId="5"/>
  </si>
  <si>
    <t>文字</t>
    <phoneticPr fontId="5"/>
  </si>
  <si>
    <t>varchar</t>
    <phoneticPr fontId="5"/>
  </si>
  <si>
    <t>*</t>
    <phoneticPr fontId="5"/>
  </si>
  <si>
    <t>丁取№</t>
    <phoneticPr fontId="5"/>
  </si>
  <si>
    <t>chodori_no</t>
    <phoneticPr fontId="5"/>
  </si>
  <si>
    <t>数値</t>
    <phoneticPr fontId="5"/>
  </si>
  <si>
    <t>numeric</t>
    <phoneticPr fontId="5"/>
  </si>
  <si>
    <t>整理№</t>
    <phoneticPr fontId="5"/>
  </si>
  <si>
    <t>seiri_no</t>
    <phoneticPr fontId="5"/>
  </si>
  <si>
    <t>工程コード</t>
    <phoneticPr fontId="5"/>
  </si>
  <si>
    <t>kotei_cd</t>
    <phoneticPr fontId="5"/>
  </si>
  <si>
    <t>１</t>
    <phoneticPr fontId="5"/>
  </si>
  <si>
    <t>設備コード</t>
    <phoneticPr fontId="5"/>
  </si>
  <si>
    <t>setsubi_cd</t>
    <phoneticPr fontId="5"/>
  </si>
  <si>
    <t>設備</t>
    <phoneticPr fontId="5"/>
  </si>
  <si>
    <t>2</t>
    <phoneticPr fontId="5"/>
  </si>
  <si>
    <t>開始日時予定</t>
    <phoneticPr fontId="5"/>
  </si>
  <si>
    <t>start_yotei_datetime</t>
    <phoneticPr fontId="5"/>
  </si>
  <si>
    <t>作業日、開始時予定</t>
    <phoneticPr fontId="5"/>
  </si>
  <si>
    <t>日付</t>
    <phoneticPr fontId="5"/>
  </si>
  <si>
    <t>datetime</t>
    <phoneticPr fontId="5"/>
  </si>
  <si>
    <t>3</t>
    <phoneticPr fontId="5"/>
  </si>
  <si>
    <t>時間</t>
    <phoneticPr fontId="5"/>
  </si>
  <si>
    <t>4</t>
    <phoneticPr fontId="5"/>
  </si>
  <si>
    <t>終了日時予定</t>
    <phoneticPr fontId="5"/>
  </si>
  <si>
    <t>end_yotei_datetime</t>
    <phoneticPr fontId="5"/>
  </si>
  <si>
    <t>終了日予定、終了時予定</t>
    <phoneticPr fontId="5"/>
  </si>
  <si>
    <t>time</t>
    <phoneticPr fontId="5"/>
  </si>
  <si>
    <t>色</t>
    <phoneticPr fontId="5"/>
  </si>
  <si>
    <t>color</t>
    <phoneticPr fontId="5"/>
  </si>
  <si>
    <t>色コード登録</t>
    <rPh sb="0" eb="1">
      <t>イロ</t>
    </rPh>
    <rPh sb="4" eb="6">
      <t>トウロク</t>
    </rPh>
    <phoneticPr fontId="5"/>
  </si>
  <si>
    <t>作業区分</t>
    <phoneticPr fontId="5"/>
  </si>
  <si>
    <t>sagyo_kbn</t>
    <phoneticPr fontId="5"/>
  </si>
  <si>
    <t>作業コメント</t>
    <phoneticPr fontId="5"/>
  </si>
  <si>
    <t>sagyo_comment</t>
    <phoneticPr fontId="5"/>
  </si>
  <si>
    <t>受注№</t>
    <phoneticPr fontId="5"/>
  </si>
  <si>
    <t>juchu_no</t>
    <phoneticPr fontId="5"/>
  </si>
  <si>
    <t>丁取数</t>
    <phoneticPr fontId="5"/>
  </si>
  <si>
    <t>chodori_su</t>
    <phoneticPr fontId="5"/>
  </si>
  <si>
    <t>丁取情報</t>
    <phoneticPr fontId="5"/>
  </si>
  <si>
    <t>chodori_info</t>
    <phoneticPr fontId="5"/>
  </si>
  <si>
    <t>丁取行数を設定（丁取以外：0設定）</t>
    <rPh sb="0" eb="1">
      <t>チョウ</t>
    </rPh>
    <rPh sb="1" eb="2">
      <t>トリ</t>
    </rPh>
    <rPh sb="2" eb="4">
      <t>ギョウスウ</t>
    </rPh>
    <rPh sb="5" eb="7">
      <t>セッテイ</t>
    </rPh>
    <phoneticPr fontId="5"/>
  </si>
  <si>
    <t>生産実績一覧で使用</t>
  </si>
  <si>
    <t>顧客コード</t>
    <phoneticPr fontId="5"/>
  </si>
  <si>
    <t>kokyaku_cd</t>
    <phoneticPr fontId="5"/>
  </si>
  <si>
    <t>顧客</t>
    <phoneticPr fontId="5"/>
  </si>
  <si>
    <t>kokyaku_nm</t>
    <phoneticPr fontId="5"/>
  </si>
  <si>
    <t>製品番号</t>
    <phoneticPr fontId="5"/>
  </si>
  <si>
    <t>seihin_no</t>
    <phoneticPr fontId="5"/>
  </si>
  <si>
    <t>品種コード</t>
    <phoneticPr fontId="5"/>
  </si>
  <si>
    <t>hinshu_cd</t>
    <phoneticPr fontId="5"/>
  </si>
  <si>
    <t>品名</t>
    <phoneticPr fontId="5"/>
  </si>
  <si>
    <t>hinmei</t>
    <phoneticPr fontId="5"/>
  </si>
  <si>
    <t>坪量</t>
    <phoneticPr fontId="5"/>
  </si>
  <si>
    <t>paper_weight</t>
    <phoneticPr fontId="5"/>
  </si>
  <si>
    <t>幅</t>
    <phoneticPr fontId="5"/>
  </si>
  <si>
    <t>width</t>
    <phoneticPr fontId="5"/>
  </si>
  <si>
    <t>幅</t>
    <phoneticPr fontId="18"/>
  </si>
  <si>
    <t>長さ</t>
    <phoneticPr fontId="5"/>
  </si>
  <si>
    <t>length</t>
    <phoneticPr fontId="5"/>
  </si>
  <si>
    <t>長さ</t>
    <phoneticPr fontId="18"/>
  </si>
  <si>
    <t>卸数</t>
    <phoneticPr fontId="5"/>
  </si>
  <si>
    <t>oroshi_su</t>
    <phoneticPr fontId="5"/>
  </si>
  <si>
    <t>卸数</t>
    <phoneticPr fontId="18"/>
  </si>
  <si>
    <t>本数予定</t>
    <phoneticPr fontId="5"/>
  </si>
  <si>
    <t>honsu_yotei</t>
    <phoneticPr fontId="5"/>
  </si>
  <si>
    <t>本数（予定）</t>
    <phoneticPr fontId="18"/>
  </si>
  <si>
    <t>本数最低</t>
    <phoneticPr fontId="5"/>
  </si>
  <si>
    <t>honsu_saitei</t>
    <phoneticPr fontId="5"/>
  </si>
  <si>
    <t>本数（最低）</t>
    <phoneticPr fontId="5"/>
  </si>
  <si>
    <t>抄速</t>
    <phoneticPr fontId="5"/>
  </si>
  <si>
    <t>shosoku</t>
    <phoneticPr fontId="5"/>
  </si>
  <si>
    <t>白ラベル</t>
    <phoneticPr fontId="5"/>
  </si>
  <si>
    <t>white_label</t>
    <phoneticPr fontId="5"/>
  </si>
  <si>
    <t>分類番号</t>
    <phoneticPr fontId="5"/>
  </si>
  <si>
    <t>bunrui_bango</t>
    <phoneticPr fontId="5"/>
  </si>
  <si>
    <t>移動先倉庫コード</t>
    <phoneticPr fontId="5"/>
  </si>
  <si>
    <t>idosaki_soko_cd</t>
    <phoneticPr fontId="5"/>
  </si>
  <si>
    <t>備考</t>
    <phoneticPr fontId="5"/>
  </si>
  <si>
    <t>biko</t>
    <phoneticPr fontId="5"/>
  </si>
  <si>
    <t>公休日</t>
    <phoneticPr fontId="5"/>
  </si>
  <si>
    <t>kokyu_date</t>
    <phoneticPr fontId="5"/>
  </si>
  <si>
    <t>公休日（連続の場合、先頭公休日）</t>
    <rPh sb="0" eb="2">
      <t>コウキュウ</t>
    </rPh>
    <rPh sb="2" eb="3">
      <t>ヒ</t>
    </rPh>
    <rPh sb="4" eb="6">
      <t>レンゾク</t>
    </rPh>
    <rPh sb="7" eb="9">
      <t>バアイ</t>
    </rPh>
    <rPh sb="10" eb="12">
      <t>セントウ</t>
    </rPh>
    <rPh sb="12" eb="14">
      <t>コウキュウ</t>
    </rPh>
    <rPh sb="14" eb="15">
      <t>ヒ</t>
    </rPh>
    <phoneticPr fontId="5"/>
  </si>
  <si>
    <t>公休日数</t>
    <phoneticPr fontId="5"/>
  </si>
  <si>
    <t>kokyu_nisu</t>
    <phoneticPr fontId="5"/>
  </si>
  <si>
    <t>0.未作成　1.作成済</t>
    <rPh sb="2" eb="5">
      <t>ミサクセイ</t>
    </rPh>
    <rPh sb="8" eb="10">
      <t>サクセイ</t>
    </rPh>
    <rPh sb="10" eb="11">
      <t>スミ</t>
    </rPh>
    <phoneticPr fontId="5"/>
  </si>
  <si>
    <t>計画外フラグ</t>
    <phoneticPr fontId="5"/>
  </si>
  <si>
    <t>keikakugai_flg</t>
    <phoneticPr fontId="5"/>
  </si>
  <si>
    <t>0.計画内　1.計画外</t>
    <rPh sb="2" eb="5">
      <t>ケイカクナイ</t>
    </rPh>
    <rPh sb="8" eb="11">
      <t>ケイカクガイ</t>
    </rPh>
    <phoneticPr fontId="5"/>
  </si>
  <si>
    <t>計画表出力日</t>
    <phoneticPr fontId="5"/>
  </si>
  <si>
    <t>keikakuhyo_output_date</t>
    <phoneticPr fontId="5"/>
  </si>
  <si>
    <t>勤務開始時刻</t>
    <phoneticPr fontId="5"/>
  </si>
  <si>
    <t>work_start_time</t>
    <phoneticPr fontId="5"/>
  </si>
  <si>
    <t>datetime2</t>
    <phoneticPr fontId="5"/>
  </si>
  <si>
    <t/>
  </si>
  <si>
    <t>開始日の勤務開始時間（日付＋時間）</t>
    <rPh sb="0" eb="2">
      <t>カイシ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</si>
  <si>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勤務終了時刻</t>
    <phoneticPr fontId="5"/>
  </si>
  <si>
    <t>work_end_time</t>
    <phoneticPr fontId="5"/>
  </si>
  <si>
    <t>終了日の勤務開始時間（日付＋時間）</t>
    <rPh sb="0" eb="2">
      <t>シュウリョウ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</si>
  <si>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主幹部署コード</t>
    <phoneticPr fontId="5"/>
  </si>
  <si>
    <t>shukan_busho_cd</t>
    <phoneticPr fontId="5"/>
  </si>
  <si>
    <t>主幹工程コード</t>
    <phoneticPr fontId="5"/>
  </si>
  <si>
    <t>shukan_kotei_cd</t>
    <phoneticPr fontId="5"/>
  </si>
  <si>
    <t>登録機能コード</t>
    <phoneticPr fontId="5"/>
  </si>
  <si>
    <t>insert_func_cd</t>
    <phoneticPr fontId="5"/>
  </si>
  <si>
    <t>登録者コード</t>
    <phoneticPr fontId="5"/>
  </si>
  <si>
    <t>insert_user_cd</t>
    <phoneticPr fontId="5"/>
  </si>
  <si>
    <t>登録日</t>
    <phoneticPr fontId="5"/>
  </si>
  <si>
    <t>insert_datetime</t>
    <phoneticPr fontId="5"/>
  </si>
  <si>
    <t>更新機能コード</t>
    <phoneticPr fontId="5"/>
  </si>
  <si>
    <t>update_func_cd</t>
    <phoneticPr fontId="5"/>
  </si>
  <si>
    <t>更新者コード</t>
    <phoneticPr fontId="5"/>
  </si>
  <si>
    <t>update_user_cd</t>
    <phoneticPr fontId="5"/>
  </si>
  <si>
    <t>更新日</t>
    <phoneticPr fontId="5"/>
  </si>
  <si>
    <t>update_datetime</t>
    <phoneticPr fontId="5"/>
  </si>
  <si>
    <t>[h]:mm　形式</t>
    <rPh sb="7" eb="9">
      <t>ケイシキ</t>
    </rPh>
    <phoneticPr fontId="5"/>
  </si>
  <si>
    <t>速度</t>
    <phoneticPr fontId="5"/>
  </si>
  <si>
    <t>sokudo</t>
    <phoneticPr fontId="5"/>
  </si>
  <si>
    <t>日産量</t>
    <phoneticPr fontId="5"/>
  </si>
  <si>
    <t>nissan_ryo</t>
    <phoneticPr fontId="5"/>
  </si>
  <si>
    <t>生産出荷</t>
    <phoneticPr fontId="5"/>
  </si>
  <si>
    <t>seisan_shuka</t>
    <phoneticPr fontId="5"/>
  </si>
  <si>
    <t>注意事項</t>
    <phoneticPr fontId="5"/>
  </si>
  <si>
    <t>chui_jiko</t>
    <phoneticPr fontId="5"/>
  </si>
  <si>
    <t>包装仕様</t>
    <phoneticPr fontId="5"/>
  </si>
  <si>
    <t>houso_shiyo</t>
    <phoneticPr fontId="5"/>
  </si>
  <si>
    <t>スリッター</t>
    <phoneticPr fontId="5"/>
  </si>
  <si>
    <t>slitter</t>
    <phoneticPr fontId="5"/>
  </si>
  <si>
    <t>A時間帯</t>
    <phoneticPr fontId="5"/>
  </si>
  <si>
    <t>a_timezone</t>
    <phoneticPr fontId="5"/>
  </si>
  <si>
    <t>0.A時間帯　勤務無し　1.A時間帯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</si>
  <si>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B時間帯</t>
    <phoneticPr fontId="5"/>
  </si>
  <si>
    <t>b_timezone</t>
    <phoneticPr fontId="5"/>
  </si>
  <si>
    <t>0.B時間帯　勤務無し　1.B時間帯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</si>
  <si>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C時間帯</t>
    <phoneticPr fontId="5"/>
  </si>
  <si>
    <t>c_timezone</t>
    <phoneticPr fontId="5"/>
  </si>
  <si>
    <t>0.C時間帯　勤務無し　1.C時間帯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</si>
  <si>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内袋入パック数</t>
    <phoneticPr fontId="5"/>
  </si>
  <si>
    <t>uchifukuro_pakku_su</t>
    <phoneticPr fontId="5"/>
  </si>
  <si>
    <t>品名手動入力時、設定</t>
    <rPh sb="0" eb="2">
      <t>ヒンメイ</t>
    </rPh>
    <rPh sb="2" eb="4">
      <t>シュドウ</t>
    </rPh>
    <rPh sb="4" eb="6">
      <t>ニュウリョク</t>
    </rPh>
    <rPh sb="6" eb="7">
      <t>ジ</t>
    </rPh>
    <rPh sb="8" eb="10">
      <t>セッテイ</t>
    </rPh>
    <phoneticPr fontId="5"/>
  </si>
  <si>
    <t>ケースり入内袋数</t>
    <phoneticPr fontId="5"/>
  </si>
  <si>
    <t>case_uchifukuro_su</t>
    <phoneticPr fontId="5"/>
  </si>
  <si>
    <t>入数</t>
    <phoneticPr fontId="5"/>
  </si>
  <si>
    <t>irisu</t>
    <phoneticPr fontId="5"/>
  </si>
  <si>
    <t>パレット積載数</t>
    <phoneticPr fontId="5"/>
  </si>
  <si>
    <t>pallet_sekisai_su</t>
    <phoneticPr fontId="5"/>
  </si>
  <si>
    <t>パレット</t>
    <phoneticPr fontId="5"/>
  </si>
  <si>
    <t>pallet</t>
    <phoneticPr fontId="5"/>
  </si>
  <si>
    <t>ケース数</t>
    <phoneticPr fontId="5"/>
  </si>
  <si>
    <t>case_su</t>
    <phoneticPr fontId="5"/>
  </si>
  <si>
    <t>依頼日</t>
    <phoneticPr fontId="5"/>
  </si>
  <si>
    <t>irai_date</t>
    <phoneticPr fontId="5"/>
  </si>
  <si>
    <t>４</t>
    <phoneticPr fontId="5"/>
  </si>
  <si>
    <t>生産予定日</t>
    <phoneticPr fontId="5"/>
  </si>
  <si>
    <t>seisan_yotei_date</t>
    <phoneticPr fontId="5"/>
  </si>
  <si>
    <t>依頼者コード</t>
    <phoneticPr fontId="5"/>
  </si>
  <si>
    <t>irai_user_cd</t>
    <phoneticPr fontId="5"/>
  </si>
  <si>
    <t>納期日</t>
    <phoneticPr fontId="5"/>
  </si>
  <si>
    <t>nohin_date</t>
    <phoneticPr fontId="5"/>
  </si>
  <si>
    <t>１包装当たり</t>
    <phoneticPr fontId="5"/>
  </si>
  <si>
    <t>hoso_atari</t>
    <phoneticPr fontId="5"/>
  </si>
  <si>
    <t>本数</t>
    <phoneticPr fontId="5"/>
  </si>
  <si>
    <t>honsu</t>
    <phoneticPr fontId="5"/>
  </si>
  <si>
    <t>本数</t>
    <phoneticPr fontId="18"/>
  </si>
  <si>
    <t>[原反]製品番号</t>
    <phoneticPr fontId="5"/>
  </si>
  <si>
    <t>gentan_seihin_no</t>
    <phoneticPr fontId="5"/>
  </si>
  <si>
    <t>[原反]品種コード</t>
    <phoneticPr fontId="5"/>
  </si>
  <si>
    <t>gentan_hinshu_cd</t>
    <phoneticPr fontId="5"/>
  </si>
  <si>
    <t>[原反]品名</t>
    <phoneticPr fontId="5"/>
  </si>
  <si>
    <t>gentan_hinmei</t>
    <phoneticPr fontId="5"/>
  </si>
  <si>
    <t>[原反]坪量</t>
    <phoneticPr fontId="5"/>
  </si>
  <si>
    <t>gentan_paper_weight</t>
    <phoneticPr fontId="5"/>
  </si>
  <si>
    <t>[原反]幅</t>
    <phoneticPr fontId="5"/>
  </si>
  <si>
    <t>gentan_width</t>
    <phoneticPr fontId="5"/>
  </si>
  <si>
    <t>[原反]長さ</t>
    <phoneticPr fontId="5"/>
  </si>
  <si>
    <t>gentan_length</t>
    <phoneticPr fontId="5"/>
  </si>
  <si>
    <t>[原反]本数</t>
    <phoneticPr fontId="5"/>
  </si>
  <si>
    <t>gentan_honsu</t>
    <phoneticPr fontId="5"/>
  </si>
  <si>
    <t>[原反]備考</t>
    <phoneticPr fontId="5"/>
  </si>
  <si>
    <t>gentan_biko</t>
    <phoneticPr fontId="5"/>
  </si>
  <si>
    <t>紙管</t>
    <phoneticPr fontId="5"/>
  </si>
  <si>
    <t>shikan</t>
    <phoneticPr fontId="5"/>
  </si>
  <si>
    <t>ラベル発行フラグ</t>
    <phoneticPr fontId="5"/>
  </si>
  <si>
    <t>label_print_flg</t>
    <phoneticPr fontId="5"/>
  </si>
  <si>
    <t>0.未発行　1.発行済</t>
    <rPh sb="2" eb="3">
      <t>ミ</t>
    </rPh>
    <rPh sb="3" eb="5">
      <t>ハッコウ</t>
    </rPh>
    <rPh sb="8" eb="10">
      <t>ハッコウ</t>
    </rPh>
    <rPh sb="10" eb="11">
      <t>スミ</t>
    </rPh>
    <phoneticPr fontId="5"/>
  </si>
  <si>
    <t>パレット№発行フラグ</t>
    <phoneticPr fontId="5"/>
  </si>
  <si>
    <t>pallet_no_print_flg</t>
    <phoneticPr fontId="5"/>
  </si>
  <si>
    <t>seihin_lot_no</t>
    <phoneticPr fontId="5"/>
  </si>
  <si>
    <t>明細SEQ</t>
    <phoneticPr fontId="5"/>
  </si>
  <si>
    <t>meisai_seq</t>
    <phoneticPr fontId="5"/>
  </si>
  <si>
    <t>３</t>
    <phoneticPr fontId="5"/>
  </si>
  <si>
    <t>明細行</t>
    <rPh sb="0" eb="2">
      <t>メイサイ</t>
    </rPh>
    <rPh sb="2" eb="3">
      <t>ギョウ</t>
    </rPh>
    <phoneticPr fontId="5"/>
  </si>
  <si>
    <t>業者コード</t>
    <phoneticPr fontId="5"/>
  </si>
  <si>
    <t>gyosha_cd</t>
    <phoneticPr fontId="5"/>
  </si>
  <si>
    <t>２</t>
    <phoneticPr fontId="5"/>
  </si>
  <si>
    <t>原紙納入日</t>
    <phoneticPr fontId="5"/>
  </si>
  <si>
    <t>genshi_nonyu_date</t>
    <phoneticPr fontId="5"/>
  </si>
  <si>
    <t>原反：製品</t>
    <phoneticPr fontId="5"/>
  </si>
  <si>
    <t>gentan_seihin_kbn</t>
    <phoneticPr fontId="5"/>
  </si>
  <si>
    <t>区分マスタ.区分：89</t>
    <rPh sb="0" eb="2">
      <t>クブン</t>
    </rPh>
    <rPh sb="6" eb="8">
      <t>クブン</t>
    </rPh>
    <phoneticPr fontId="5"/>
  </si>
  <si>
    <t>原反：製品情報</t>
    <phoneticPr fontId="5"/>
  </si>
  <si>
    <t>gentan_seihin_info</t>
    <phoneticPr fontId="5"/>
  </si>
  <si>
    <t>明細行数を設定（明細１行＝０）</t>
    <rPh sb="0" eb="2">
      <t>メイサイ</t>
    </rPh>
    <rPh sb="2" eb="4">
      <t>ギョウスウ</t>
    </rPh>
    <rPh sb="5" eb="7">
      <t>セッテイ</t>
    </rPh>
    <rPh sb="8" eb="10">
      <t>メイサイ</t>
    </rPh>
    <rPh sb="11" eb="12">
      <t>ギョウ</t>
    </rPh>
    <phoneticPr fontId="5"/>
  </si>
  <si>
    <t>製品№</t>
    <phoneticPr fontId="5"/>
  </si>
  <si>
    <t>seihin_seq</t>
    <phoneticPr fontId="5"/>
  </si>
  <si>
    <t>丁取№入力値（丁取以外：0設定）</t>
    <rPh sb="0" eb="1">
      <t>チョウ</t>
    </rPh>
    <rPh sb="1" eb="2">
      <t>トリ</t>
    </rPh>
    <rPh sb="3" eb="5">
      <t>ニュウリョク</t>
    </rPh>
    <rPh sb="5" eb="6">
      <t>チ</t>
    </rPh>
    <rPh sb="7" eb="8">
      <t>チョウ</t>
    </rPh>
    <rPh sb="8" eb="9">
      <t>トリ</t>
    </rPh>
    <rPh sb="9" eb="11">
      <t>イガイ</t>
    </rPh>
    <rPh sb="13" eb="15">
      <t>セッテイ</t>
    </rPh>
    <phoneticPr fontId="5"/>
  </si>
  <si>
    <t>巻取り付属</t>
    <phoneticPr fontId="5"/>
  </si>
  <si>
    <t>makitori_word</t>
    <phoneticPr fontId="5"/>
  </si>
  <si>
    <t>平判付属</t>
    <phoneticPr fontId="38"/>
  </si>
  <si>
    <t>hiraban_word</t>
    <phoneticPr fontId="5"/>
  </si>
  <si>
    <t>連数</t>
    <phoneticPr fontId="38"/>
  </si>
  <si>
    <t>rensu</t>
    <phoneticPr fontId="5"/>
  </si>
  <si>
    <t>平判の折り方</t>
    <phoneticPr fontId="38"/>
  </si>
  <si>
    <t>hiraban_fold</t>
    <phoneticPr fontId="5"/>
  </si>
  <si>
    <t>[原反]№</t>
    <phoneticPr fontId="5"/>
  </si>
  <si>
    <t>gentan_seq</t>
    <phoneticPr fontId="5"/>
  </si>
  <si>
    <t>加工指示日</t>
    <phoneticPr fontId="5"/>
  </si>
  <si>
    <t>kako_shiji_date</t>
    <phoneticPr fontId="5"/>
  </si>
  <si>
    <t>加工指示フラグ</t>
    <phoneticPr fontId="5"/>
  </si>
  <si>
    <t>kako_shiji_flg</t>
    <phoneticPr fontId="5"/>
  </si>
  <si>
    <t>加工依頼書示出力日</t>
    <phoneticPr fontId="5"/>
  </si>
  <si>
    <t>iraisyo_output_date</t>
    <phoneticPr fontId="5"/>
  </si>
  <si>
    <t>在庫指図書出力日</t>
    <phoneticPr fontId="5"/>
  </si>
  <si>
    <t>zaikosasizusyo_output_date</t>
    <phoneticPr fontId="5"/>
  </si>
  <si>
    <t>*1</t>
    <phoneticPr fontId="5"/>
  </si>
  <si>
    <t>指示確認日</t>
    <phoneticPr fontId="5"/>
  </si>
  <si>
    <t>shiji_kakunin_date</t>
    <phoneticPr fontId="5"/>
  </si>
  <si>
    <t>生産指示入力担当者　確認日</t>
    <rPh sb="0" eb="2">
      <t>セイサン</t>
    </rPh>
    <rPh sb="2" eb="4">
      <t>シジ</t>
    </rPh>
    <rPh sb="4" eb="6">
      <t>ニュウリョク</t>
    </rPh>
    <rPh sb="6" eb="9">
      <t>タントウシャ</t>
    </rPh>
    <rPh sb="10" eb="12">
      <t>カクニン</t>
    </rPh>
    <rPh sb="12" eb="13">
      <t>ヒ</t>
    </rPh>
    <phoneticPr fontId="5"/>
  </si>
  <si>
    <t>(*1)</t>
    <phoneticPr fontId="5"/>
  </si>
  <si>
    <t>生産指示情報の直近データ取得項目</t>
    <rPh sb="0" eb="2">
      <t>セイサン</t>
    </rPh>
    <rPh sb="2" eb="4">
      <t>シジ</t>
    </rPh>
    <rPh sb="4" eb="6">
      <t>ジョウホウ</t>
    </rPh>
    <rPh sb="7" eb="9">
      <t>チョッキン</t>
    </rPh>
    <rPh sb="12" eb="14">
      <t>シュトク</t>
    </rPh>
    <rPh sb="14" eb="16">
      <t>コウモク</t>
    </rPh>
    <phoneticPr fontId="5"/>
  </si>
  <si>
    <t>shiyo_kbn</t>
    <phoneticPr fontId="5"/>
  </si>
  <si>
    <t>原材料区分</t>
    <phoneticPr fontId="5"/>
  </si>
  <si>
    <t>genryo_kbn</t>
    <phoneticPr fontId="5"/>
  </si>
  <si>
    <t>区分マスタ.原材料区分</t>
    <rPh sb="0" eb="2">
      <t>クブン</t>
    </rPh>
    <rPh sb="6" eb="9">
      <t>ゲンザイリョウ</t>
    </rPh>
    <rPh sb="9" eb="11">
      <t>クブン</t>
    </rPh>
    <phoneticPr fontId="5"/>
  </si>
  <si>
    <t>01.パルプ配合 02.填料 03.化繊</t>
    <phoneticPr fontId="5"/>
  </si>
  <si>
    <t>１から連番</t>
    <rPh sb="3" eb="5">
      <t>レンバン</t>
    </rPh>
    <phoneticPr fontId="5"/>
  </si>
  <si>
    <t>数量</t>
    <phoneticPr fontId="5"/>
  </si>
  <si>
    <t>suryo</t>
    <phoneticPr fontId="5"/>
  </si>
  <si>
    <t>分子</t>
    <phoneticPr fontId="5"/>
  </si>
  <si>
    <t>bunshi</t>
    <phoneticPr fontId="5"/>
  </si>
  <si>
    <t>分母</t>
    <phoneticPr fontId="5"/>
  </si>
  <si>
    <t>bunbo</t>
    <phoneticPr fontId="5"/>
  </si>
  <si>
    <t>比率</t>
    <phoneticPr fontId="5"/>
  </si>
  <si>
    <t>hiritsu</t>
    <phoneticPr fontId="5"/>
  </si>
  <si>
    <t>重量</t>
    <phoneticPr fontId="5"/>
  </si>
  <si>
    <t>genryo_nodo</t>
    <phoneticPr fontId="5"/>
  </si>
  <si>
    <t>分入力</t>
    <rPh sb="0" eb="1">
      <t>フン</t>
    </rPh>
    <rPh sb="1" eb="3">
      <t>ニュウリョク</t>
    </rPh>
    <phoneticPr fontId="5"/>
  </si>
  <si>
    <t>損紙使用量</t>
    <phoneticPr fontId="5"/>
  </si>
  <si>
    <t>sonsi_shiyoryo</t>
    <phoneticPr fontId="5"/>
  </si>
  <si>
    <t>添加情報</t>
    <phoneticPr fontId="5"/>
  </si>
  <si>
    <t>tenka_joho</t>
    <phoneticPr fontId="5"/>
  </si>
  <si>
    <t>*1</t>
  </si>
  <si>
    <t>05.含浸液 06.コート液</t>
    <phoneticPr fontId="5"/>
  </si>
  <si>
    <t>明細SEQ</t>
    <rPh sb="0" eb="2">
      <t>メイサイ</t>
    </rPh>
    <phoneticPr fontId="5"/>
  </si>
  <si>
    <t>行のSEQ（１から連番）</t>
  </si>
  <si>
    <t>品名</t>
    <rPh sb="0" eb="2">
      <t>ヒンメイ</t>
    </rPh>
    <phoneticPr fontId="5"/>
  </si>
  <si>
    <t>固形分</t>
    <rPh sb="0" eb="3">
      <t>コケイブン</t>
    </rPh>
    <phoneticPr fontId="5"/>
  </si>
  <si>
    <t>固形配合比</t>
    <rPh sb="0" eb="5">
      <t>コケイハイゴウヒ</t>
    </rPh>
    <phoneticPr fontId="5"/>
  </si>
  <si>
    <t>備考</t>
    <rPh sb="0" eb="2">
      <t>ビコウ</t>
    </rPh>
    <phoneticPr fontId="5"/>
  </si>
  <si>
    <t>原材料区分=05.含浸液の場合、項目を登録 それ以外の場合項目=Null</t>
    <rPh sb="0" eb="3">
      <t>ゲンザイリョウ</t>
    </rPh>
    <rPh sb="3" eb="5">
      <t>クブン</t>
    </rPh>
    <rPh sb="9" eb="12">
      <t>ガンシンエキ</t>
    </rPh>
    <rPh sb="13" eb="15">
      <t>バアイ</t>
    </rPh>
    <rPh sb="16" eb="18">
      <t>コウモク</t>
    </rPh>
    <rPh sb="19" eb="21">
      <t>トウロク</t>
    </rPh>
    <rPh sb="24" eb="26">
      <t>イガイ</t>
    </rPh>
    <rPh sb="27" eb="29">
      <t>バアイ</t>
    </rPh>
    <rPh sb="29" eb="31">
      <t>コウモク</t>
    </rPh>
    <phoneticPr fontId="5"/>
  </si>
  <si>
    <t>熱加工のみ設定　以外Null</t>
    <rPh sb="0" eb="1">
      <t>ネツ</t>
    </rPh>
    <rPh sb="1" eb="3">
      <t>カコウ</t>
    </rPh>
    <rPh sb="5" eb="7">
      <t>セッテイ</t>
    </rPh>
    <rPh sb="8" eb="10">
      <t>イガイ</t>
    </rPh>
    <phoneticPr fontId="5"/>
  </si>
  <si>
    <t>加工依頼入力担当者　確認日</t>
    <rPh sb="0" eb="4">
      <t>カコウイライ</t>
    </rPh>
    <rPh sb="4" eb="6">
      <t>ニュウリョク</t>
    </rPh>
    <rPh sb="6" eb="9">
      <t>タントウシャ</t>
    </rPh>
    <rPh sb="10" eb="12">
      <t>カクニン</t>
    </rPh>
    <rPh sb="12" eb="13">
      <t>ヒ</t>
    </rPh>
    <phoneticPr fontId="5"/>
  </si>
  <si>
    <t>加工依頼情報の直近データ取得項目</t>
    <rPh sb="0" eb="2">
      <t>カコウ</t>
    </rPh>
    <rPh sb="2" eb="4">
      <t>イライ</t>
    </rPh>
    <rPh sb="4" eb="6">
      <t>ジョウホウ</t>
    </rPh>
    <rPh sb="7" eb="9">
      <t>チョッキン</t>
    </rPh>
    <rPh sb="12" eb="14">
      <t>シュトク</t>
    </rPh>
    <rPh sb="14" eb="16">
      <t>コウモク</t>
    </rPh>
    <phoneticPr fontId="5"/>
  </si>
  <si>
    <t>zaiko_kbn</t>
    <phoneticPr fontId="5"/>
  </si>
  <si>
    <t>1.原反移動 9.外注先在庫</t>
    <rPh sb="2" eb="4">
      <t>ゲンタン</t>
    </rPh>
    <rPh sb="4" eb="6">
      <t>イドウ</t>
    </rPh>
    <rPh sb="9" eb="11">
      <t>ガイチュウ</t>
    </rPh>
    <rPh sb="11" eb="12">
      <t>サキ</t>
    </rPh>
    <rPh sb="12" eb="14">
      <t>ザイコ</t>
    </rPh>
    <phoneticPr fontId="5"/>
  </si>
  <si>
    <t>製品ロット№</t>
    <rPh sb="0" eb="2">
      <t>セイヒン</t>
    </rPh>
    <phoneticPr fontId="5"/>
  </si>
  <si>
    <t>年月ロット</t>
    <rPh sb="0" eb="1">
      <t>ネン</t>
    </rPh>
    <rPh sb="1" eb="2">
      <t>ツキ</t>
    </rPh>
    <phoneticPr fontId="5"/>
  </si>
  <si>
    <t>shitei_lot_no</t>
    <phoneticPr fontId="5"/>
  </si>
  <si>
    <t>区分</t>
    <phoneticPr fontId="5"/>
  </si>
  <si>
    <t>kbn</t>
    <phoneticPr fontId="5"/>
  </si>
  <si>
    <t>コード</t>
    <phoneticPr fontId="5"/>
  </si>
  <si>
    <t>code</t>
    <phoneticPr fontId="5"/>
  </si>
  <si>
    <t>入力制御</t>
    <phoneticPr fontId="5"/>
  </si>
  <si>
    <t>input_control</t>
    <phoneticPr fontId="5"/>
  </si>
  <si>
    <t>コード・区分に対する入力制御</t>
    <rPh sb="4" eb="6">
      <t>クブン</t>
    </rPh>
    <rPh sb="7" eb="8">
      <t>タイ</t>
    </rPh>
    <rPh sb="10" eb="12">
      <t>ニュウリョク</t>
    </rPh>
    <rPh sb="12" eb="14">
      <t>セイギョ</t>
    </rPh>
    <phoneticPr fontId="5"/>
  </si>
  <si>
    <t>0.入力不可 1.入力可能</t>
    <rPh sb="2" eb="4">
      <t>ニュウリョク</t>
    </rPh>
    <rPh sb="4" eb="6">
      <t>フカ</t>
    </rPh>
    <rPh sb="9" eb="11">
      <t>ニュウリョク</t>
    </rPh>
    <rPh sb="11" eb="13">
      <t>カノウ</t>
    </rPh>
    <phoneticPr fontId="5"/>
  </si>
  <si>
    <t>現場制御</t>
    <phoneticPr fontId="5"/>
  </si>
  <si>
    <t>genba_control</t>
    <phoneticPr fontId="5"/>
  </si>
  <si>
    <t>現場作業時のコード・区分　表示・入力制御</t>
    <rPh sb="0" eb="2">
      <t>ゲンバ</t>
    </rPh>
    <rPh sb="2" eb="4">
      <t>サギョウ</t>
    </rPh>
    <rPh sb="4" eb="5">
      <t>ジ</t>
    </rPh>
    <rPh sb="10" eb="12">
      <t>クブン</t>
    </rPh>
    <rPh sb="13" eb="15">
      <t>ヒョウジ</t>
    </rPh>
    <rPh sb="16" eb="18">
      <t>ニュウリョク</t>
    </rPh>
    <rPh sb="18" eb="20">
      <t>セイギョ</t>
    </rPh>
    <phoneticPr fontId="5"/>
  </si>
  <si>
    <t>0.入力・表示不可 1.入力・表示可能</t>
    <rPh sb="2" eb="4">
      <t>ニュウリョク</t>
    </rPh>
    <rPh sb="5" eb="7">
      <t>ヒョウジ</t>
    </rPh>
    <rPh sb="7" eb="9">
      <t>フカ</t>
    </rPh>
    <rPh sb="12" eb="14">
      <t>ニュウリョク</t>
    </rPh>
    <rPh sb="15" eb="17">
      <t>ヒョウジ</t>
    </rPh>
    <rPh sb="17" eb="19">
      <t>カノウ</t>
    </rPh>
    <phoneticPr fontId="5"/>
  </si>
  <si>
    <t>製造部制御</t>
    <phoneticPr fontId="5"/>
  </si>
  <si>
    <t>seizo_control</t>
    <phoneticPr fontId="5"/>
  </si>
  <si>
    <t>製造部作業時のコード・区分　表示・入力制御</t>
    <rPh sb="0" eb="2">
      <t>セイゾウ</t>
    </rPh>
    <rPh sb="2" eb="3">
      <t>ブ</t>
    </rPh>
    <rPh sb="3" eb="5">
      <t>サギョウ</t>
    </rPh>
    <rPh sb="5" eb="6">
      <t>ジ</t>
    </rPh>
    <rPh sb="11" eb="13">
      <t>クブン</t>
    </rPh>
    <rPh sb="14" eb="16">
      <t>ヒョウジ</t>
    </rPh>
    <rPh sb="17" eb="19">
      <t>ニュウリョク</t>
    </rPh>
    <rPh sb="19" eb="21">
      <t>セイギョ</t>
    </rPh>
    <phoneticPr fontId="5"/>
  </si>
  <si>
    <t>label_control</t>
    <phoneticPr fontId="5"/>
  </si>
  <si>
    <t>ラベル制御</t>
    <phoneticPr fontId="5"/>
  </si>
  <si>
    <t>0.発番不可 1.発番可能</t>
  </si>
  <si>
    <t>コード・区分に対するラベル発行制御</t>
    <rPh sb="4" eb="6">
      <t>クブン</t>
    </rPh>
    <rPh sb="7" eb="8">
      <t>タイ</t>
    </rPh>
    <rPh sb="13" eb="15">
      <t>ハッコウ</t>
    </rPh>
    <rPh sb="15" eb="17">
      <t>セイギョ</t>
    </rPh>
    <phoneticPr fontId="5"/>
  </si>
  <si>
    <t>0.発行不可 1.発行可能</t>
    <rPh sb="2" eb="4">
      <t>ハッコウ</t>
    </rPh>
    <rPh sb="4" eb="6">
      <t>フカ</t>
    </rPh>
    <rPh sb="9" eb="11">
      <t>ハッコウ</t>
    </rPh>
    <rPh sb="11" eb="13">
      <t>カノウ</t>
    </rPh>
    <phoneticPr fontId="5"/>
  </si>
  <si>
    <t>箱判定フラグ</t>
    <phoneticPr fontId="5"/>
  </si>
  <si>
    <t>box_flg</t>
    <phoneticPr fontId="5"/>
  </si>
  <si>
    <t>0:箱無し 1:箱入り 空白:対象外</t>
    <rPh sb="8" eb="10">
      <t>ハコイ</t>
    </rPh>
    <rPh sb="12" eb="14">
      <t>クウハク</t>
    </rPh>
    <rPh sb="15" eb="18">
      <t>タイショウガイ</t>
    </rPh>
    <phoneticPr fontId="5"/>
  </si>
  <si>
    <t>削除フラグ</t>
    <phoneticPr fontId="5"/>
  </si>
  <si>
    <t>delete_flg</t>
    <phoneticPr fontId="5"/>
  </si>
  <si>
    <t>0:有効 1:無効</t>
  </si>
  <si>
    <t>№</t>
    <phoneticPr fontId="5"/>
  </si>
  <si>
    <t>テーブル</t>
    <phoneticPr fontId="5"/>
  </si>
  <si>
    <t>項目名</t>
  </si>
  <si>
    <t>項目ID</t>
  </si>
  <si>
    <t>項目コメント</t>
    <phoneticPr fontId="5"/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</si>
  <si>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</si>
  <si>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</si>
  <si>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</si>
  <si>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</si>
  <si>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5"/>
  </si>
  <si>
    <t>update_datetime</t>
  </si>
  <si>
    <t>変更</t>
    <rPh sb="0" eb="2">
      <t>ヘンコウ</t>
    </rPh>
    <phoneticPr fontId="5"/>
  </si>
  <si>
    <t>項目名</t>
    <rPh sb="0" eb="3">
      <t>コウモクメイ</t>
    </rPh>
    <phoneticPr fontId="5"/>
  </si>
  <si>
    <t>物理項目ID</t>
    <rPh sb="0" eb="2">
      <t>ブツリ</t>
    </rPh>
    <rPh sb="2" eb="4">
      <t>コウモク</t>
    </rPh>
    <phoneticPr fontId="5"/>
  </si>
  <si>
    <t>変更区分</t>
    <rPh sb="0" eb="2">
      <t>ヘンコウ</t>
    </rPh>
    <rPh sb="2" eb="4">
      <t>クブン</t>
    </rPh>
    <phoneticPr fontId="21"/>
  </si>
  <si>
    <t>ＦＡＸ番号</t>
    <phoneticPr fontId="5"/>
  </si>
  <si>
    <t>fax_no</t>
  </si>
  <si>
    <t>カテゴリ</t>
    <phoneticPr fontId="5"/>
  </si>
  <si>
    <t>category</t>
  </si>
  <si>
    <t>ケース入数</t>
    <phoneticPr fontId="5"/>
  </si>
  <si>
    <t>case_irisu</t>
  </si>
  <si>
    <t>code</t>
  </si>
  <si>
    <t>コート液濃度 (%)</t>
    <phoneticPr fontId="5"/>
  </si>
  <si>
    <t>coating_nodo</t>
  </si>
  <si>
    <t>変更</t>
    <rPh sb="0" eb="2">
      <t>ヘンコウ</t>
    </rPh>
    <phoneticPr fontId="21"/>
  </si>
  <si>
    <t>コート量 (g/㎡)</t>
    <phoneticPr fontId="5"/>
  </si>
  <si>
    <t>coating_amount</t>
  </si>
  <si>
    <t>システム権限フラグ</t>
    <phoneticPr fontId="5"/>
  </si>
  <si>
    <t>system_auth_flg</t>
    <phoneticPr fontId="5"/>
  </si>
  <si>
    <t>パスワード</t>
    <phoneticPr fontId="5"/>
  </si>
  <si>
    <t>password</t>
  </si>
  <si>
    <t>パック入数</t>
    <phoneticPr fontId="5"/>
  </si>
  <si>
    <t>pakku_irisu</t>
  </si>
  <si>
    <t>ベール数</t>
    <phoneticPr fontId="5"/>
  </si>
  <si>
    <t>bale_su</t>
  </si>
  <si>
    <t>メニュー名</t>
    <phoneticPr fontId="5"/>
  </si>
  <si>
    <t>menu_nm</t>
  </si>
  <si>
    <t>リップカット種</t>
    <phoneticPr fontId="5"/>
  </si>
  <si>
    <t>lip</t>
  </si>
  <si>
    <t>扱店フラグ</t>
    <phoneticPr fontId="5"/>
  </si>
  <si>
    <t>atsukaiten_flg</t>
  </si>
  <si>
    <t>委託販売区分</t>
    <phoneticPr fontId="5"/>
  </si>
  <si>
    <t>itaku_sales_kbn</t>
  </si>
  <si>
    <t>運送会社フラグ</t>
    <phoneticPr fontId="5"/>
  </si>
  <si>
    <t>unsokaisha_flg</t>
  </si>
  <si>
    <t>加巻長さ</t>
    <phoneticPr fontId="5"/>
  </si>
  <si>
    <t>kamaki_length</t>
  </si>
  <si>
    <t>加巻率</t>
    <phoneticPr fontId="5"/>
  </si>
  <si>
    <t>kamaki_rate</t>
  </si>
  <si>
    <t>回収サイト</t>
    <phoneticPr fontId="5"/>
  </si>
  <si>
    <t>kaishu_site</t>
  </si>
  <si>
    <t>回収境界金額</t>
    <phoneticPr fontId="5"/>
  </si>
  <si>
    <t>kaishu_amount</t>
  </si>
  <si>
    <t>回収区分</t>
    <phoneticPr fontId="5"/>
  </si>
  <si>
    <t>kaishu_kbn</t>
  </si>
  <si>
    <t>回収月数</t>
    <phoneticPr fontId="5"/>
  </si>
  <si>
    <t>kaishu_gessu</t>
  </si>
  <si>
    <t>回収日</t>
    <phoneticPr fontId="5"/>
  </si>
  <si>
    <t>kaishubi</t>
  </si>
  <si>
    <t>改定年月日</t>
    <phoneticPr fontId="5"/>
  </si>
  <si>
    <t>kaitei_date</t>
  </si>
  <si>
    <t>開始時間</t>
    <phoneticPr fontId="5"/>
  </si>
  <si>
    <t>kaishi_datetime</t>
  </si>
  <si>
    <t>外注加工先フラグ</t>
    <phoneticPr fontId="5"/>
  </si>
  <si>
    <t>gaichukakosaki_flg</t>
  </si>
  <si>
    <t>保管場所区分</t>
    <rPh sb="0" eb="4">
      <t>ホカンバショ</t>
    </rPh>
    <rPh sb="4" eb="6">
      <t>クブン</t>
    </rPh>
    <phoneticPr fontId="5"/>
  </si>
  <si>
    <t>hokan_basho_kbn</t>
    <phoneticPr fontId="21"/>
  </si>
  <si>
    <t>管轄コード</t>
    <phoneticPr fontId="5"/>
  </si>
  <si>
    <t>kankatsu_cd</t>
  </si>
  <si>
    <t>管轄名</t>
    <phoneticPr fontId="5"/>
  </si>
  <si>
    <t>kankatsu_nm</t>
  </si>
  <si>
    <t>丸め区分</t>
    <phoneticPr fontId="5"/>
  </si>
  <si>
    <t>marume_kbn</t>
  </si>
  <si>
    <t>含浸液濃度 (%)</t>
    <phoneticPr fontId="5"/>
  </si>
  <si>
    <t>ganshin_nodo</t>
  </si>
  <si>
    <t>含浸量 (g/㎡)</t>
    <phoneticPr fontId="5"/>
  </si>
  <si>
    <t>ganshin_ryo</t>
  </si>
  <si>
    <t>基準日</t>
    <phoneticPr fontId="5"/>
  </si>
  <si>
    <t>kijun_date</t>
    <phoneticPr fontId="5"/>
  </si>
  <si>
    <t>機能コード</t>
    <phoneticPr fontId="5"/>
  </si>
  <si>
    <t>kino_cd</t>
  </si>
  <si>
    <t>機能名</t>
    <phoneticPr fontId="5"/>
  </si>
  <si>
    <t>kino_nm</t>
  </si>
  <si>
    <t>起動アプリID</t>
    <phoneticPr fontId="5"/>
  </si>
  <si>
    <t>start_app_id</t>
  </si>
  <si>
    <t>休日フラグ</t>
    <phoneticPr fontId="5"/>
  </si>
  <si>
    <t>kyujitsu_flg</t>
  </si>
  <si>
    <t>gyosha_cd</t>
  </si>
  <si>
    <t>業者メイ</t>
    <phoneticPr fontId="5"/>
  </si>
  <si>
    <t>gyosha_kana_nm</t>
  </si>
  <si>
    <t>業者英名</t>
    <phoneticPr fontId="5"/>
  </si>
  <si>
    <t>gyosha_eng_nm</t>
  </si>
  <si>
    <t>業者区分</t>
    <phoneticPr fontId="5"/>
  </si>
  <si>
    <t>gyosha_kbn</t>
  </si>
  <si>
    <t>業者短縮メイ</t>
    <phoneticPr fontId="5"/>
  </si>
  <si>
    <t>gyosha_ryaku_kana_nm</t>
  </si>
  <si>
    <t>業者短縮名</t>
    <phoneticPr fontId="5"/>
  </si>
  <si>
    <t>gyosha_ryaku_nm</t>
  </si>
  <si>
    <t>業者名</t>
    <phoneticPr fontId="5"/>
  </si>
  <si>
    <t>gyosha_nm</t>
  </si>
  <si>
    <t>業務区分</t>
    <phoneticPr fontId="5"/>
  </si>
  <si>
    <t>gyomu_kbn</t>
  </si>
  <si>
    <t>業務識別コード</t>
    <phoneticPr fontId="5"/>
  </si>
  <si>
    <t>gyomu_shikibetsu_cd</t>
  </si>
  <si>
    <t>業務識別区分</t>
    <phoneticPr fontId="5"/>
  </si>
  <si>
    <t>gyomu_shikibetsu_kbn</t>
  </si>
  <si>
    <t>kbn</t>
  </si>
  <si>
    <t>経費コード</t>
    <phoneticPr fontId="5"/>
  </si>
  <si>
    <t>keihi_cd</t>
  </si>
  <si>
    <t>経費名</t>
    <phoneticPr fontId="5"/>
  </si>
  <si>
    <t>keihi_nm</t>
  </si>
  <si>
    <t>桁数</t>
    <phoneticPr fontId="5"/>
  </si>
  <si>
    <t>ketasu</t>
  </si>
  <si>
    <t>原反幅</t>
    <phoneticPr fontId="5"/>
  </si>
  <si>
    <t>gentan_width</t>
  </si>
  <si>
    <t>kotei_cd</t>
  </si>
  <si>
    <t>工程名</t>
    <phoneticPr fontId="5"/>
  </si>
  <si>
    <t>kotei_nm</t>
  </si>
  <si>
    <t>工程略称</t>
    <phoneticPr fontId="5"/>
  </si>
  <si>
    <t>kotei_ryaku_nm</t>
  </si>
  <si>
    <t>update_user_cd</t>
  </si>
  <si>
    <t>更新者名</t>
    <phoneticPr fontId="5"/>
  </si>
  <si>
    <t>update_user_nm</t>
  </si>
  <si>
    <t>購入単価</t>
    <phoneticPr fontId="5"/>
  </si>
  <si>
    <t>konyu_price</t>
  </si>
  <si>
    <t>購入単価単位</t>
    <phoneticPr fontId="5"/>
  </si>
  <si>
    <t>konyu_price_unit</t>
  </si>
  <si>
    <t>国内海外区分</t>
    <phoneticPr fontId="5"/>
  </si>
  <si>
    <t>kokunai_kaigai_kbn</t>
  </si>
  <si>
    <t>最終承認フラグ</t>
    <phoneticPr fontId="5"/>
  </si>
  <si>
    <t>saishu_shonin_flg</t>
  </si>
  <si>
    <t>最大幅</t>
    <phoneticPr fontId="5"/>
  </si>
  <si>
    <t>max_width</t>
  </si>
  <si>
    <t>在庫管理区分</t>
    <phoneticPr fontId="5"/>
  </si>
  <si>
    <t>zaiko_kanri_kbn</t>
  </si>
  <si>
    <t>delete_flg</t>
  </si>
  <si>
    <t>仕入先フラグ</t>
    <phoneticPr fontId="5"/>
  </si>
  <si>
    <t>shiiresaki_flg</t>
  </si>
  <si>
    <t>仕入締日</t>
    <phoneticPr fontId="5"/>
  </si>
  <si>
    <t>shiire_shimebi</t>
  </si>
  <si>
    <t>仕様枚数</t>
    <phoneticPr fontId="5"/>
  </si>
  <si>
    <t>spec_maisu</t>
  </si>
  <si>
    <t>支払月数</t>
    <phoneticPr fontId="5"/>
  </si>
  <si>
    <t>shiharai_tsukisu</t>
  </si>
  <si>
    <t>支払日</t>
    <phoneticPr fontId="5"/>
  </si>
  <si>
    <t>shiharaibi</t>
  </si>
  <si>
    <t>借方科目コード</t>
    <phoneticPr fontId="5"/>
  </si>
  <si>
    <t>karikata_cd</t>
  </si>
  <si>
    <t>借方補助科目コード</t>
    <phoneticPr fontId="5"/>
  </si>
  <si>
    <t>karikata_hojo_cd</t>
  </si>
  <si>
    <t>shukan_kotei_cd</t>
  </si>
  <si>
    <t>shukan_busho_cd</t>
  </si>
  <si>
    <t>住所</t>
    <phoneticPr fontId="5"/>
  </si>
  <si>
    <t>address</t>
  </si>
  <si>
    <t>住所英名</t>
    <phoneticPr fontId="5"/>
  </si>
  <si>
    <t>address_eng</t>
  </si>
  <si>
    <t>juryo</t>
  </si>
  <si>
    <t>承認権限フラグ</t>
    <phoneticPr fontId="5"/>
  </si>
  <si>
    <t>shonin_auth_flg</t>
  </si>
  <si>
    <t>承認順</t>
    <phoneticPr fontId="5"/>
  </si>
  <si>
    <t>shonin_order</t>
  </si>
  <si>
    <t>消費税計算区分</t>
    <phoneticPr fontId="5"/>
  </si>
  <si>
    <r>
      <t>tax_</t>
    </r>
    <r>
      <rPr>
        <sz val="11"/>
        <color rgb="FFFF0000"/>
        <rFont val="游ゴシック"/>
        <family val="3"/>
        <charset val="128"/>
        <scheme val="minor"/>
      </rPr>
      <t>calc</t>
    </r>
    <r>
      <rPr>
        <sz val="10"/>
        <color theme="1"/>
        <rFont val="Meiryo UI"/>
        <family val="2"/>
        <charset val="128"/>
      </rPr>
      <t>_kbn</t>
    </r>
    <phoneticPr fontId="21"/>
  </si>
  <si>
    <t>消費税率区分</t>
    <phoneticPr fontId="5"/>
  </si>
  <si>
    <t>tax_rate_kbn</t>
  </si>
  <si>
    <t>積込場所フラグ</t>
    <rPh sb="0" eb="2">
      <t>ツミコミ</t>
    </rPh>
    <rPh sb="2" eb="4">
      <t>バショ</t>
    </rPh>
    <phoneticPr fontId="5"/>
  </si>
  <si>
    <t>tsumikomi_basho_flg</t>
    <phoneticPr fontId="21"/>
  </si>
  <si>
    <t>森林認証対象区分</t>
    <phoneticPr fontId="5"/>
  </si>
  <si>
    <t>fsc_kbn</t>
  </si>
  <si>
    <t>数量計算区分</t>
    <phoneticPr fontId="5"/>
  </si>
  <si>
    <t>qty_calc_kbn</t>
  </si>
  <si>
    <t>数量単位</t>
    <phoneticPr fontId="5"/>
  </si>
  <si>
    <t>qty_unit</t>
  </si>
  <si>
    <t>生産管理区分</t>
    <phoneticPr fontId="5"/>
  </si>
  <si>
    <t>seisan_kanri_kbn</t>
  </si>
  <si>
    <t>生産状況権限フラグ</t>
    <phoneticPr fontId="5"/>
  </si>
  <si>
    <t>seisan_jokyo_auth_flg</t>
  </si>
  <si>
    <t>製品区分</t>
    <phoneticPr fontId="5"/>
  </si>
  <si>
    <t>seihin_kbn</t>
  </si>
  <si>
    <t>製品識別区分</t>
    <phoneticPr fontId="5"/>
  </si>
  <si>
    <t>seihin_shikibetsu_kbn</t>
  </si>
  <si>
    <t>seihin_no</t>
  </si>
  <si>
    <t>製品分類コード</t>
    <phoneticPr fontId="5"/>
  </si>
  <si>
    <t>seihin_bunrui_cd</t>
  </si>
  <si>
    <t>製品分類コード1</t>
    <phoneticPr fontId="5"/>
  </si>
  <si>
    <t>seihin_bunrui_cd_1</t>
  </si>
  <si>
    <t>製品分類コード2</t>
    <phoneticPr fontId="5"/>
  </si>
  <si>
    <t>seihin_bunrui_cd_2</t>
  </si>
  <si>
    <t>製品分類コード3</t>
    <phoneticPr fontId="5"/>
  </si>
  <si>
    <t>seihin_bunrui_cd_3</t>
  </si>
  <si>
    <t>製品分類コード4</t>
    <phoneticPr fontId="5"/>
  </si>
  <si>
    <t>seihin_bunrui_cd_4</t>
  </si>
  <si>
    <t>製品分類コード5</t>
    <phoneticPr fontId="5"/>
  </si>
  <si>
    <t>seihin_bunrui_cd_5</t>
  </si>
  <si>
    <t>製品分類コード6</t>
    <phoneticPr fontId="5"/>
  </si>
  <si>
    <t>seihin_bunrui_cd_6</t>
  </si>
  <si>
    <t>製品分類コード7</t>
    <phoneticPr fontId="5"/>
  </si>
  <si>
    <t>seihin_bunrui_cd_7</t>
  </si>
  <si>
    <t>製品分類フラグ1</t>
    <phoneticPr fontId="5"/>
  </si>
  <si>
    <t>seihin_bunrui_flg_1</t>
  </si>
  <si>
    <t>製品分類フラグ2</t>
    <phoneticPr fontId="5"/>
  </si>
  <si>
    <t>seihin_bunrui_flg_2</t>
  </si>
  <si>
    <t>製品分類フラグ3</t>
    <phoneticPr fontId="5"/>
  </si>
  <si>
    <t>seihin_bunrui_flg_3</t>
  </si>
  <si>
    <t>製品分類フラグ4</t>
    <phoneticPr fontId="5"/>
  </si>
  <si>
    <t>seihin_bunrui_flg_4</t>
  </si>
  <si>
    <t>製品分類フラグ5</t>
    <phoneticPr fontId="5"/>
  </si>
  <si>
    <t>seihin_bunrui_flg_5</t>
  </si>
  <si>
    <t>製品分類フラグ6</t>
    <phoneticPr fontId="5"/>
  </si>
  <si>
    <t>seihin_bunrui_flg_6</t>
  </si>
  <si>
    <t>製品分類フラグ7</t>
    <phoneticPr fontId="5"/>
  </si>
  <si>
    <t>seihin_bunrui_flg_7</t>
  </si>
  <si>
    <t>製品分類区分</t>
    <phoneticPr fontId="5"/>
  </si>
  <si>
    <t>seihin_bunrui_kbn</t>
  </si>
  <si>
    <t>製品分類名</t>
    <phoneticPr fontId="5"/>
  </si>
  <si>
    <t>seihin_bunrui_nm</t>
  </si>
  <si>
    <t>請求分類コード</t>
    <phoneticPr fontId="5"/>
  </si>
  <si>
    <t>seikyu_bunrui_cd</t>
  </si>
  <si>
    <t>setsubi_cd</t>
  </si>
  <si>
    <t>設備識別コード</t>
    <phoneticPr fontId="5"/>
  </si>
  <si>
    <t>setsubi_shikibetsu_cd</t>
  </si>
  <si>
    <t>袋数</t>
    <phoneticPr fontId="5"/>
  </si>
  <si>
    <t>fukuro_su</t>
  </si>
  <si>
    <t>貸方科目コード</t>
    <phoneticPr fontId="5"/>
  </si>
  <si>
    <t>kashikata_cd</t>
  </si>
  <si>
    <t>貸方補助科目コード</t>
    <phoneticPr fontId="5"/>
  </si>
  <si>
    <t>kashikata_hojo_cd</t>
  </si>
  <si>
    <t>品種大分類名</t>
    <rPh sb="0" eb="2">
      <t>ヒンシュ</t>
    </rPh>
    <phoneticPr fontId="5"/>
  </si>
  <si>
    <t>hinshu_daibunrui_nm</t>
    <phoneticPr fontId="21"/>
  </si>
  <si>
    <t>単位コード</t>
    <phoneticPr fontId="5"/>
  </si>
  <si>
    <t>unit_cd</t>
  </si>
  <si>
    <t>単位種別</t>
    <phoneticPr fontId="5"/>
  </si>
  <si>
    <t>unit_type</t>
  </si>
  <si>
    <t>単位重量</t>
    <phoneticPr fontId="5"/>
  </si>
  <si>
    <t>unit_juryo</t>
    <phoneticPr fontId="5"/>
  </si>
  <si>
    <t>単位重量コード</t>
    <phoneticPr fontId="5"/>
  </si>
  <si>
    <t>unit_juryo_cd</t>
    <phoneticPr fontId="5"/>
  </si>
  <si>
    <t>単位名</t>
    <phoneticPr fontId="5"/>
  </si>
  <si>
    <t>unit_nm</t>
  </si>
  <si>
    <t>担当者氏名１</t>
    <phoneticPr fontId="5"/>
  </si>
  <si>
    <t>tantosya_nm_1</t>
  </si>
  <si>
    <t>担当者氏名２</t>
    <phoneticPr fontId="5"/>
  </si>
  <si>
    <t>tantosya_nm_2</t>
  </si>
  <si>
    <t>担当者部課１</t>
    <phoneticPr fontId="5"/>
  </si>
  <si>
    <t>tantosya_buka_1</t>
  </si>
  <si>
    <t>担当者部課２</t>
    <phoneticPr fontId="5"/>
  </si>
  <si>
    <t>tantosya_buka_2</t>
  </si>
  <si>
    <t>担当者名</t>
    <phoneticPr fontId="5"/>
  </si>
  <si>
    <t>tantosya_nm</t>
  </si>
  <si>
    <t>品種中分類名</t>
    <rPh sb="0" eb="2">
      <t>ヒンシュ</t>
    </rPh>
    <phoneticPr fontId="5"/>
  </si>
  <si>
    <t>hinshu_chubunrui_nm</t>
    <phoneticPr fontId="21"/>
  </si>
  <si>
    <t>length</t>
  </si>
  <si>
    <t>通貨コード</t>
    <phoneticPr fontId="5"/>
  </si>
  <si>
    <t>currency_cd</t>
  </si>
  <si>
    <t>通貨記号</t>
    <phoneticPr fontId="5"/>
  </si>
  <si>
    <t>currency_symbol</t>
  </si>
  <si>
    <t>通貨名</t>
    <phoneticPr fontId="5"/>
  </si>
  <si>
    <t>currency_nm</t>
  </si>
  <si>
    <t>paper_weight</t>
  </si>
  <si>
    <t>摘要名</t>
    <phoneticPr fontId="5"/>
  </si>
  <si>
    <t>tekiyo_nm</t>
  </si>
  <si>
    <t>伝票NO</t>
    <phoneticPr fontId="5"/>
  </si>
  <si>
    <t>denpyo_no</t>
  </si>
  <si>
    <t>電話番号１</t>
    <phoneticPr fontId="5"/>
  </si>
  <si>
    <t>phone_no</t>
  </si>
  <si>
    <t>電話番号２</t>
    <phoneticPr fontId="5"/>
  </si>
  <si>
    <t>phone_no_eng</t>
  </si>
  <si>
    <t>insert_user_cd</t>
  </si>
  <si>
    <t>登録者名</t>
    <phoneticPr fontId="5"/>
  </si>
  <si>
    <t>insert_user_nm</t>
  </si>
  <si>
    <t>insert_datetime</t>
  </si>
  <si>
    <t>得意先フラグ</t>
    <phoneticPr fontId="5"/>
  </si>
  <si>
    <t>tokuisaki_flg</t>
  </si>
  <si>
    <t>年月日</t>
    <phoneticPr fontId="5"/>
  </si>
  <si>
    <t>calendar_date</t>
  </si>
  <si>
    <t>納入先フラグ</t>
    <phoneticPr fontId="5"/>
  </si>
  <si>
    <t>nounyusaki_flg</t>
  </si>
  <si>
    <t>売上締日</t>
    <phoneticPr fontId="5"/>
  </si>
  <si>
    <t>uriage_shimebi</t>
  </si>
  <si>
    <t>発番連番</t>
    <phoneticPr fontId="5"/>
  </si>
  <si>
    <t>hatsuban_renban</t>
  </si>
  <si>
    <t>販売単価</t>
    <phoneticPr fontId="5"/>
  </si>
  <si>
    <t>hanbai_price</t>
  </si>
  <si>
    <t>販売単価単位</t>
    <phoneticPr fontId="5"/>
  </si>
  <si>
    <t>hanbai_price_unit</t>
  </si>
  <si>
    <t>hiritsu</t>
  </si>
  <si>
    <t>表示順</t>
    <phoneticPr fontId="5"/>
  </si>
  <si>
    <t>disp_order</t>
  </si>
  <si>
    <t>hinshu_cd</t>
  </si>
  <si>
    <t>品種大分類コード</t>
    <phoneticPr fontId="5"/>
  </si>
  <si>
    <t>hinshu_daibunrui_cd</t>
    <phoneticPr fontId="21"/>
  </si>
  <si>
    <t>品種中分類コード</t>
    <phoneticPr fontId="5"/>
  </si>
  <si>
    <t>hinshu_chubunrui_cd</t>
    <phoneticPr fontId="21"/>
  </si>
  <si>
    <t>品種名</t>
    <phoneticPr fontId="5"/>
  </si>
  <si>
    <t>hinshu_nm</t>
  </si>
  <si>
    <t>品種名英名</t>
    <phoneticPr fontId="5"/>
  </si>
  <si>
    <t>hinshu_eng_nm</t>
  </si>
  <si>
    <t>部署コード</t>
    <phoneticPr fontId="5"/>
  </si>
  <si>
    <t>busho_cd</t>
  </si>
  <si>
    <t>部署工程権限フラグ</t>
    <phoneticPr fontId="5"/>
  </si>
  <si>
    <t>busho_kotei_auth_flg</t>
  </si>
  <si>
    <t>部署名</t>
    <phoneticPr fontId="5"/>
  </si>
  <si>
    <t>busho_nm</t>
  </si>
  <si>
    <t>width</t>
  </si>
  <si>
    <t>分類明細コード</t>
    <phoneticPr fontId="5"/>
  </si>
  <si>
    <t>bunrui_meisai_cd</t>
  </si>
  <si>
    <t>編集権限フラグ</t>
    <phoneticPr fontId="5"/>
  </si>
  <si>
    <t>henshu_auth_flg</t>
  </si>
  <si>
    <t>保管場所コード</t>
    <phoneticPr fontId="5"/>
  </si>
  <si>
    <r>
      <t>hokan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basho_cd</t>
    </r>
    <phoneticPr fontId="21"/>
  </si>
  <si>
    <t>保管場所名</t>
    <phoneticPr fontId="5"/>
  </si>
  <si>
    <r>
      <t>hokan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basho_nm</t>
    </r>
    <phoneticPr fontId="21"/>
  </si>
  <si>
    <t>本体計算区分</t>
    <phoneticPr fontId="5"/>
  </si>
  <si>
    <t>hontai_calc_kbn</t>
  </si>
  <si>
    <t>名称</t>
    <phoneticPr fontId="5"/>
  </si>
  <si>
    <t>name</t>
  </si>
  <si>
    <t>薬品記号</t>
    <phoneticPr fontId="5"/>
  </si>
  <si>
    <t>yakuhin_kigo</t>
  </si>
  <si>
    <t>薬品固形分</t>
    <phoneticPr fontId="5"/>
  </si>
  <si>
    <t>yakuhin_koeibun</t>
  </si>
  <si>
    <t>薬品固形分区分</t>
    <phoneticPr fontId="5"/>
  </si>
  <si>
    <t>yakuhin_kokeibun_kbn</t>
  </si>
  <si>
    <t>有効期限</t>
    <phoneticPr fontId="5"/>
  </si>
  <si>
    <t>yukokigen</t>
  </si>
  <si>
    <t>郵便番号</t>
    <phoneticPr fontId="5"/>
  </si>
  <si>
    <t>post_no</t>
  </si>
  <si>
    <t>余尺</t>
    <phoneticPr fontId="5"/>
  </si>
  <si>
    <t>yosyaku</t>
  </si>
  <si>
    <t>利用者コード</t>
    <phoneticPr fontId="5"/>
  </si>
  <si>
    <t>user_cd</t>
  </si>
  <si>
    <r>
      <t>利用者</t>
    </r>
    <r>
      <rPr>
        <sz val="11"/>
        <color rgb="FFFF0000"/>
        <rFont val="游ゴシック"/>
        <family val="3"/>
        <charset val="128"/>
        <scheme val="minor"/>
      </rPr>
      <t>氏名</t>
    </r>
    <rPh sb="3" eb="5">
      <t>シメイ</t>
    </rPh>
    <phoneticPr fontId="5"/>
  </si>
  <si>
    <t>user_nm</t>
  </si>
  <si>
    <r>
      <t>利用者</t>
    </r>
    <r>
      <rPr>
        <sz val="11"/>
        <rFont val="游ゴシック"/>
        <family val="3"/>
        <charset val="128"/>
        <scheme val="minor"/>
      </rPr>
      <t>略称</t>
    </r>
    <rPh sb="3" eb="5">
      <t>リャクショウ</t>
    </rPh>
    <phoneticPr fontId="5"/>
  </si>
  <si>
    <r>
      <t>user_</t>
    </r>
    <r>
      <rPr>
        <sz val="10"/>
        <color theme="1"/>
        <rFont val="Meiryo UI"/>
        <family val="2"/>
        <charset val="128"/>
      </rPr>
      <t>short_</t>
    </r>
    <r>
      <rPr>
        <sz val="10"/>
        <color theme="1"/>
        <rFont val="Meiryo UI"/>
        <family val="2"/>
        <charset val="128"/>
      </rPr>
      <t>nm</t>
    </r>
    <phoneticPr fontId="21"/>
  </si>
  <si>
    <t>追加</t>
    <rPh sb="0" eb="2">
      <t>ツイカ</t>
    </rPh>
    <phoneticPr fontId="21"/>
  </si>
  <si>
    <t>連番</t>
    <phoneticPr fontId="5"/>
  </si>
  <si>
    <t>renban</t>
  </si>
  <si>
    <t>登録機能コード</t>
    <rPh sb="0" eb="2">
      <t>トウロク</t>
    </rPh>
    <rPh sb="2" eb="4">
      <t>キノウ</t>
    </rPh>
    <phoneticPr fontId="5"/>
  </si>
  <si>
    <t>insert_func_cd</t>
  </si>
  <si>
    <t>更新機能コード</t>
    <rPh sb="0" eb="2">
      <t>コウシン</t>
    </rPh>
    <rPh sb="2" eb="4">
      <t>キノウ</t>
    </rPh>
    <phoneticPr fontId="5"/>
  </si>
  <si>
    <t>update_func_cd</t>
  </si>
  <si>
    <t>生産計画№</t>
    <rPh sb="0" eb="2">
      <t>セイサン</t>
    </rPh>
    <rPh sb="2" eb="4">
      <t>ケイカク</t>
    </rPh>
    <phoneticPr fontId="5"/>
  </si>
  <si>
    <t>seisan_keikaku_no</t>
  </si>
  <si>
    <t>丁取</t>
    <rPh sb="0" eb="1">
      <t>チョウ</t>
    </rPh>
    <rPh sb="1" eb="2">
      <t>トリ</t>
    </rPh>
    <phoneticPr fontId="5"/>
  </si>
  <si>
    <t>chodori</t>
  </si>
  <si>
    <t>整理№</t>
    <rPh sb="0" eb="2">
      <t>セイリ</t>
    </rPh>
    <phoneticPr fontId="5"/>
  </si>
  <si>
    <t>seiri_no</t>
  </si>
  <si>
    <t>設備</t>
    <rPh sb="0" eb="2">
      <t>セツビ</t>
    </rPh>
    <phoneticPr fontId="5"/>
  </si>
  <si>
    <t>setsubi</t>
  </si>
  <si>
    <t>作業日</t>
    <rPh sb="0" eb="2">
      <t>サギョウ</t>
    </rPh>
    <rPh sb="2" eb="3">
      <t>ヒ</t>
    </rPh>
    <phoneticPr fontId="5"/>
  </si>
  <si>
    <t>sagyo_date</t>
  </si>
  <si>
    <t>開始時予定</t>
    <rPh sb="0" eb="2">
      <t>カイシ</t>
    </rPh>
    <rPh sb="2" eb="3">
      <t>ジ</t>
    </rPh>
    <rPh sb="3" eb="5">
      <t>ヨテイ</t>
    </rPh>
    <phoneticPr fontId="5"/>
  </si>
  <si>
    <t>start_yotei_time</t>
  </si>
  <si>
    <t>終了日予定</t>
    <rPh sb="0" eb="2">
      <t>シュウリョウ</t>
    </rPh>
    <rPh sb="2" eb="3">
      <t>ヒ</t>
    </rPh>
    <rPh sb="3" eb="5">
      <t>ヨテイ</t>
    </rPh>
    <phoneticPr fontId="5"/>
  </si>
  <si>
    <t>end_yotei_date</t>
  </si>
  <si>
    <t>終了時予定</t>
    <rPh sb="0" eb="2">
      <t>シュウリョウ</t>
    </rPh>
    <rPh sb="2" eb="3">
      <t>ジ</t>
    </rPh>
    <rPh sb="3" eb="5">
      <t>ヨテイ</t>
    </rPh>
    <phoneticPr fontId="5"/>
  </si>
  <si>
    <t>end_yotei_time</t>
  </si>
  <si>
    <t>時間</t>
    <rPh sb="0" eb="2">
      <t>ジカン</t>
    </rPh>
    <phoneticPr fontId="5"/>
  </si>
  <si>
    <t>time</t>
  </si>
  <si>
    <t>色</t>
    <rPh sb="0" eb="1">
      <t>イロ</t>
    </rPh>
    <phoneticPr fontId="5"/>
  </si>
  <si>
    <t>color</t>
  </si>
  <si>
    <t>作業区分</t>
    <rPh sb="0" eb="2">
      <t>サギョウ</t>
    </rPh>
    <rPh sb="2" eb="4">
      <t>クブン</t>
    </rPh>
    <phoneticPr fontId="5"/>
  </si>
  <si>
    <t>sagyo_kbn</t>
  </si>
  <si>
    <t>作業コメント</t>
    <rPh sb="0" eb="2">
      <t>サギョウ</t>
    </rPh>
    <phoneticPr fontId="5"/>
  </si>
  <si>
    <t>sagyo_comment</t>
  </si>
  <si>
    <t>受注№</t>
    <rPh sb="0" eb="2">
      <t>ジュチュウ</t>
    </rPh>
    <phoneticPr fontId="5"/>
  </si>
  <si>
    <t>juchu_no</t>
  </si>
  <si>
    <t>丁取区分</t>
    <rPh sb="0" eb="1">
      <t>チョウ</t>
    </rPh>
    <rPh sb="1" eb="2">
      <t>トリ</t>
    </rPh>
    <rPh sb="2" eb="4">
      <t>クブン</t>
    </rPh>
    <phoneticPr fontId="5"/>
  </si>
  <si>
    <t>chodori_kbn</t>
  </si>
  <si>
    <t>顧客コード</t>
    <rPh sb="0" eb="2">
      <t>コキャク</t>
    </rPh>
    <phoneticPr fontId="5"/>
  </si>
  <si>
    <t>kokyaku_cd</t>
  </si>
  <si>
    <t>顧客</t>
    <rPh sb="0" eb="2">
      <t>コキャク</t>
    </rPh>
    <phoneticPr fontId="5"/>
  </si>
  <si>
    <t>kokyaku_nm</t>
  </si>
  <si>
    <t>hinmei</t>
  </si>
  <si>
    <t>卸数予定</t>
  </si>
  <si>
    <t>oroshisu_yotei</t>
  </si>
  <si>
    <t>卸数最低</t>
  </si>
  <si>
    <t>oroshisu_saitei</t>
  </si>
  <si>
    <t>抄速</t>
    <rPh sb="0" eb="1">
      <t>ショウ</t>
    </rPh>
    <rPh sb="1" eb="2">
      <t>ソク</t>
    </rPh>
    <phoneticPr fontId="5"/>
  </si>
  <si>
    <t>shosoku</t>
  </si>
  <si>
    <t>白ラベル</t>
    <rPh sb="0" eb="1">
      <t>シロ</t>
    </rPh>
    <phoneticPr fontId="5"/>
  </si>
  <si>
    <t>white_label</t>
  </si>
  <si>
    <t>分類番号</t>
  </si>
  <si>
    <t>bunrui_bango</t>
  </si>
  <si>
    <t>移動先倉庫コード</t>
    <rPh sb="0" eb="2">
      <t>イドウ</t>
    </rPh>
    <rPh sb="2" eb="3">
      <t>サキ</t>
    </rPh>
    <rPh sb="3" eb="5">
      <t>ソウコ</t>
    </rPh>
    <phoneticPr fontId="5"/>
  </si>
  <si>
    <t>idosaki_soko_cd</t>
  </si>
  <si>
    <t>biko</t>
  </si>
  <si>
    <t>公休日</t>
    <rPh sb="0" eb="2">
      <t>コウキュウ</t>
    </rPh>
    <rPh sb="2" eb="3">
      <t>ヒ</t>
    </rPh>
    <phoneticPr fontId="5"/>
  </si>
  <si>
    <t>kokyu_date</t>
  </si>
  <si>
    <t>公休日数</t>
    <rPh sb="0" eb="2">
      <t>コウキュウ</t>
    </rPh>
    <rPh sb="2" eb="4">
      <t>ニッスウ</t>
    </rPh>
    <phoneticPr fontId="5"/>
  </si>
  <si>
    <t>kokyu_nisu</t>
  </si>
  <si>
    <t>生産指示フラグ</t>
    <rPh sb="0" eb="2">
      <t>セイサン</t>
    </rPh>
    <rPh sb="2" eb="4">
      <t>シジ</t>
    </rPh>
    <phoneticPr fontId="5"/>
  </si>
  <si>
    <t>seisan_shiji_flg</t>
  </si>
  <si>
    <t>計画外フラグ</t>
    <rPh sb="0" eb="3">
      <t>ケイカクガイ</t>
    </rPh>
    <phoneticPr fontId="5"/>
  </si>
  <si>
    <t>keikakugai_flg</t>
  </si>
  <si>
    <t>加工実績フラグ</t>
    <rPh sb="0" eb="2">
      <t>カコウ</t>
    </rPh>
    <rPh sb="2" eb="4">
      <t>ジッセキ</t>
    </rPh>
    <phoneticPr fontId="5"/>
  </si>
  <si>
    <t>kako_jisseki_flg</t>
  </si>
  <si>
    <t>仕上実績フラグ</t>
    <rPh sb="0" eb="4">
      <t>シアゲジッセキ</t>
    </rPh>
    <phoneticPr fontId="5"/>
  </si>
  <si>
    <t>shiage_jisseki_flg</t>
  </si>
  <si>
    <t>計画終了日</t>
    <rPh sb="0" eb="5">
      <t>ケイカクシュウリョウビ</t>
    </rPh>
    <phoneticPr fontId="5"/>
  </si>
  <si>
    <t>keikaku_end_date</t>
  </si>
  <si>
    <t>計画終了フラグ</t>
    <rPh sb="0" eb="4">
      <t>ケイカクシュウリョウ</t>
    </rPh>
    <phoneticPr fontId="5"/>
  </si>
  <si>
    <t>keikaku_end_flg</t>
  </si>
  <si>
    <t>変更理由日時</t>
    <rPh sb="0" eb="2">
      <t>ヘンコウ</t>
    </rPh>
    <rPh sb="2" eb="4">
      <t>リユウ</t>
    </rPh>
    <rPh sb="4" eb="6">
      <t>ニチジ</t>
    </rPh>
    <phoneticPr fontId="5"/>
  </si>
  <si>
    <t>henko_riyu_datetime</t>
  </si>
  <si>
    <t>変更理由</t>
    <rPh sb="0" eb="2">
      <t>ヘンコウ</t>
    </rPh>
    <rPh sb="2" eb="4">
      <t>リユウ</t>
    </rPh>
    <phoneticPr fontId="5"/>
  </si>
  <si>
    <t>henko_riyu</t>
  </si>
  <si>
    <t>加工基準</t>
    <rPh sb="0" eb="4">
      <t>カコウキジュン</t>
    </rPh>
    <phoneticPr fontId="5"/>
  </si>
  <si>
    <t>kako_kijun</t>
  </si>
  <si>
    <t>速度</t>
    <rPh sb="0" eb="2">
      <t>ソクド</t>
    </rPh>
    <phoneticPr fontId="5"/>
  </si>
  <si>
    <t>sokudo</t>
  </si>
  <si>
    <t>台数</t>
    <rPh sb="0" eb="2">
      <t>ダイスウ</t>
    </rPh>
    <phoneticPr fontId="5"/>
  </si>
  <si>
    <t>daisu</t>
  </si>
  <si>
    <t>包装基準</t>
    <rPh sb="0" eb="2">
      <t>ホウソウ</t>
    </rPh>
    <rPh sb="2" eb="4">
      <t>キジュン</t>
    </rPh>
    <phoneticPr fontId="5"/>
  </si>
  <si>
    <t>houso_kijun</t>
  </si>
  <si>
    <t>移動指示フラグ</t>
    <rPh sb="0" eb="2">
      <t>イドウ</t>
    </rPh>
    <rPh sb="2" eb="4">
      <t>シジ</t>
    </rPh>
    <phoneticPr fontId="5"/>
  </si>
  <si>
    <t>idosshiji_flg</t>
  </si>
  <si>
    <t>原材料区分</t>
    <rPh sb="0" eb="3">
      <t>ゲンザイリョウ</t>
    </rPh>
    <rPh sb="3" eb="5">
      <t>クブン</t>
    </rPh>
    <phoneticPr fontId="5"/>
  </si>
  <si>
    <t>genryo_kbn</t>
  </si>
  <si>
    <t>meisai_seq</t>
  </si>
  <si>
    <t>銘柄コード</t>
    <rPh sb="0" eb="2">
      <t>メイガラ</t>
    </rPh>
    <phoneticPr fontId="5"/>
  </si>
  <si>
    <t>meigara_cd</t>
  </si>
  <si>
    <t>銘柄</t>
    <rPh sb="0" eb="2">
      <t>メイガラ</t>
    </rPh>
    <phoneticPr fontId="5"/>
  </si>
  <si>
    <t>meigara</t>
  </si>
  <si>
    <t>数量</t>
    <rPh sb="0" eb="2">
      <t>スウリョウ</t>
    </rPh>
    <phoneticPr fontId="5"/>
  </si>
  <si>
    <t>suryo</t>
  </si>
  <si>
    <t>仕込み合計</t>
    <rPh sb="0" eb="2">
      <t>シコ</t>
    </rPh>
    <rPh sb="3" eb="5">
      <t>ゴウケイ</t>
    </rPh>
    <phoneticPr fontId="5"/>
  </si>
  <si>
    <t>sikomi_gokei</t>
  </si>
  <si>
    <t>タンクレベル</t>
  </si>
  <si>
    <t>tank_level</t>
  </si>
  <si>
    <t>原料濃度</t>
  </si>
  <si>
    <t>添加情報</t>
    <rPh sb="0" eb="2">
      <t>テンカ</t>
    </rPh>
    <rPh sb="2" eb="4">
      <t>ジョウホウ</t>
    </rPh>
    <phoneticPr fontId="5"/>
  </si>
  <si>
    <t>損紙使用量</t>
  </si>
  <si>
    <t>離解時間</t>
    <rPh sb="0" eb="2">
      <t>リカイ</t>
    </rPh>
    <rPh sb="2" eb="4">
      <t>ジカン</t>
    </rPh>
    <phoneticPr fontId="17"/>
  </si>
  <si>
    <t>rikai_time</t>
    <phoneticPr fontId="21"/>
  </si>
  <si>
    <t>毛髪ネット</t>
    <rPh sb="0" eb="1">
      <t>ケ</t>
    </rPh>
    <rPh sb="1" eb="2">
      <t>カミ</t>
    </rPh>
    <phoneticPr fontId="17"/>
  </si>
  <si>
    <t>mouhatsu_net</t>
  </si>
  <si>
    <t>使用区分</t>
    <rPh sb="0" eb="2">
      <t>シヨウ</t>
    </rPh>
    <rPh sb="2" eb="4">
      <t>クブン</t>
    </rPh>
    <phoneticPr fontId="5"/>
  </si>
  <si>
    <t>調薬区分</t>
    <rPh sb="0" eb="2">
      <t>チョウヤク</t>
    </rPh>
    <rPh sb="2" eb="4">
      <t>クブン</t>
    </rPh>
    <phoneticPr fontId="5"/>
  </si>
  <si>
    <t>chouyaku_kbn</t>
  </si>
  <si>
    <t>kokeibun</t>
  </si>
  <si>
    <r>
      <t>kokei_haigo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hi</t>
    </r>
    <phoneticPr fontId="5"/>
  </si>
  <si>
    <t>原反コード</t>
    <phoneticPr fontId="5"/>
  </si>
  <si>
    <t>gentan_cd</t>
  </si>
  <si>
    <t>原反</t>
    <rPh sb="0" eb="2">
      <t>ゲンタン</t>
    </rPh>
    <phoneticPr fontId="5"/>
  </si>
  <si>
    <t>gentan</t>
  </si>
  <si>
    <t>pallet</t>
    <phoneticPr fontId="21"/>
  </si>
  <si>
    <t>パレット№</t>
    <phoneticPr fontId="5"/>
  </si>
  <si>
    <t>pallet_no</t>
    <phoneticPr fontId="21"/>
  </si>
  <si>
    <t>ケース数</t>
    <rPh sb="3" eb="4">
      <t>スウ</t>
    </rPh>
    <phoneticPr fontId="5"/>
  </si>
  <si>
    <t>case_su</t>
  </si>
  <si>
    <t>仕入売上表示権限フラグ</t>
    <rPh sb="0" eb="2">
      <t>シイレ</t>
    </rPh>
    <rPh sb="2" eb="4">
      <t>ウリアゲ</t>
    </rPh>
    <rPh sb="4" eb="6">
      <t>ヒョウジ</t>
    </rPh>
    <rPh sb="6" eb="8">
      <t>ケンゲン</t>
    </rPh>
    <phoneticPr fontId="5"/>
  </si>
  <si>
    <t>disp_siireuriage_auth_flg</t>
    <phoneticPr fontId="21"/>
  </si>
  <si>
    <t>品種区分</t>
    <phoneticPr fontId="5"/>
  </si>
  <si>
    <t xml:space="preserve">hinshu_kbn </t>
  </si>
  <si>
    <t>貼り合せ数</t>
  </si>
  <si>
    <t>laminated_su</t>
  </si>
  <si>
    <t>設備対象フラグ</t>
    <phoneticPr fontId="5"/>
  </si>
  <si>
    <t>setsubi_flg</t>
  </si>
  <si>
    <t>CW品表示フラグ</t>
  </si>
  <si>
    <t>cw_prod_disp_flg</t>
  </si>
  <si>
    <t>CW品表示内容</t>
  </si>
  <si>
    <t>cw_prod_detail</t>
  </si>
  <si>
    <t>MIX品表示フラグ</t>
    <phoneticPr fontId="21"/>
  </si>
  <si>
    <t>mix_prod_disp_flg</t>
  </si>
  <si>
    <t>MIX品表示内容</t>
    <phoneticPr fontId="21"/>
  </si>
  <si>
    <t>mix_prod_detail</t>
  </si>
  <si>
    <t>略称</t>
    <phoneticPr fontId="5"/>
  </si>
  <si>
    <t>short_form</t>
  </si>
  <si>
    <t>年度</t>
    <phoneticPr fontId="5"/>
  </si>
  <si>
    <t>nendo</t>
  </si>
  <si>
    <t>連量丸め処理区分</t>
    <phoneticPr fontId="5"/>
  </si>
  <si>
    <t>renryo_marume_kbn</t>
  </si>
  <si>
    <t>セッションタイムアウト</t>
  </si>
  <si>
    <t>session_timeout</t>
  </si>
  <si>
    <t>原反色</t>
  </si>
  <si>
    <t>gentan_color 　</t>
  </si>
  <si>
    <t>仕様</t>
  </si>
  <si>
    <t xml:space="preserve">spec </t>
  </si>
  <si>
    <t>指示確認日</t>
    <rPh sb="0" eb="5">
      <t>シジカクニンビ</t>
    </rPh>
    <phoneticPr fontId="5"/>
  </si>
  <si>
    <t>shiji_kakunin_date</t>
  </si>
  <si>
    <t>[半製品]製品番号</t>
    <rPh sb="1" eb="4">
      <t>ハンセイヒン</t>
    </rPh>
    <rPh sb="5" eb="9">
      <t>セイヒンバンゴウ</t>
    </rPh>
    <phoneticPr fontId="5"/>
  </si>
  <si>
    <t>han_seihin_no</t>
  </si>
  <si>
    <t>[半製品]品種コード</t>
    <rPh sb="1" eb="4">
      <t>ハンセイヒン</t>
    </rPh>
    <rPh sb="5" eb="7">
      <t>ヒンシュ</t>
    </rPh>
    <phoneticPr fontId="5"/>
  </si>
  <si>
    <t>han_seihin_hinshu_cd</t>
  </si>
  <si>
    <t>[半製品]品名</t>
    <rPh sb="1" eb="4">
      <t>ハンセイヒン</t>
    </rPh>
    <rPh sb="5" eb="7">
      <t>ヒンメイ</t>
    </rPh>
    <phoneticPr fontId="5"/>
  </si>
  <si>
    <t>han_seihin_hinmei</t>
  </si>
  <si>
    <t>丁取№</t>
  </si>
  <si>
    <t>chodori_no</t>
  </si>
  <si>
    <t>ACE編集（大文字→小文字に変換）2023/5/15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</si>
  <si>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開始日時予定</t>
  </si>
  <si>
    <t>start_yotei_datetime</t>
  </si>
  <si>
    <t>終了日時予定</t>
  </si>
  <si>
    <t>end_yotei_datetime</t>
  </si>
  <si>
    <t>ACE編集（大文字→小文字に変換、genryo_nodo→genryo_noudo）2023/5/15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</si>
  <si>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丁取数</t>
  </si>
  <si>
    <t>ACE編集（大文字→小文字に変換、tenka_jouho→tenka_joho）2023/5/15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</si>
  <si>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卸数</t>
  </si>
  <si>
    <t>ACE編集（大文字→小文字に変換、sonsi_siyoryo→sonsi_shiyoryo）2023/5/15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</si>
  <si>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本数予定</t>
    <rPh sb="0" eb="2">
      <t>ホンスウ</t>
    </rPh>
    <phoneticPr fontId="5"/>
  </si>
  <si>
    <t>honsu_yotei</t>
  </si>
  <si>
    <t>本数最低</t>
    <rPh sb="0" eb="2">
      <t>ホンスウ</t>
    </rPh>
    <phoneticPr fontId="5"/>
  </si>
  <si>
    <t>honsu_saitei</t>
  </si>
  <si>
    <t>計画表出力日</t>
  </si>
  <si>
    <t>keikakuhyo_output_date</t>
  </si>
  <si>
    <t>ACE編集（大文字→小文字に変換、siyo_kbn→shiyo_kbn）2023/5/15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</si>
  <si>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日産量</t>
    <rPh sb="0" eb="2">
      <t>ニッサン</t>
    </rPh>
    <rPh sb="2" eb="3">
      <t>リョウ</t>
    </rPh>
    <phoneticPr fontId="5"/>
  </si>
  <si>
    <t>nissan_ryo</t>
  </si>
  <si>
    <t>生産出荷</t>
    <rPh sb="0" eb="4">
      <t>セイサンシュッカ</t>
    </rPh>
    <phoneticPr fontId="5"/>
  </si>
  <si>
    <t>seisan_shuka</t>
  </si>
  <si>
    <t>注意事項</t>
    <rPh sb="0" eb="4">
      <t>チュウイジコウ</t>
    </rPh>
    <phoneticPr fontId="5"/>
  </si>
  <si>
    <t>chui_jiko</t>
  </si>
  <si>
    <t>ACE編集（大文字→小文字に変換、kokei_haigouhi→kokei_haigohi）2023/5/15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</si>
  <si>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スリッター</t>
    <phoneticPr fontId="21"/>
  </si>
  <si>
    <t>slitter</t>
    <phoneticPr fontId="21"/>
  </si>
  <si>
    <t>パッケージ数</t>
    <rPh sb="5" eb="6">
      <t>スウ</t>
    </rPh>
    <phoneticPr fontId="22"/>
  </si>
  <si>
    <t>package_su</t>
    <phoneticPr fontId="21"/>
  </si>
  <si>
    <t>内袋入数</t>
    <rPh sb="0" eb="4">
      <t>ウチブクロイリスウ</t>
    </rPh>
    <phoneticPr fontId="22"/>
  </si>
  <si>
    <t>uchi_bukuro_irisu</t>
  </si>
  <si>
    <t>ACE編集（大文字→小文字に変換、palet_no→pallet_noに変更）2023/5/15</t>
    <rPh sb="3" eb="5">
      <t>ヘンシュウ</t>
    </rPh>
    <rPh sb="6" eb="9">
      <t>オオモジ</t>
    </rPh>
    <rPh sb="10" eb="13">
      <t>コモジ</t>
    </rPh>
    <rPh sb="14" eb="16">
      <t>ヘンカン</t>
    </rPh>
    <rPh sb="36" eb="38">
      <t>ヘンコウ</t>
    </rPh>
    <phoneticPr fontId="5"/>
  </si>
  <si>
    <t>入数</t>
    <rPh sb="0" eb="2">
      <t>イリスウ</t>
    </rPh>
    <phoneticPr fontId="22"/>
  </si>
  <si>
    <t>irisu</t>
  </si>
  <si>
    <t>ACE編集（既に同名の項目が存在したため削除（パレット：palet→空白に変更））2023/5/15</t>
    <rPh sb="3" eb="5">
      <t>ヘンシュウ</t>
    </rPh>
    <rPh sb="6" eb="7">
      <t>スデ</t>
    </rPh>
    <rPh sb="8" eb="10">
      <t>ドウメイ</t>
    </rPh>
    <rPh sb="11" eb="13">
      <t>コウモク</t>
    </rPh>
    <rPh sb="14" eb="16">
      <t>ソンザイ</t>
    </rPh>
    <rPh sb="20" eb="22">
      <t>サクジョ</t>
    </rPh>
    <rPh sb="34" eb="36">
      <t>クウハク</t>
    </rPh>
    <rPh sb="37" eb="39">
      <t>ヘンコウ</t>
    </rPh>
    <phoneticPr fontId="5"/>
  </si>
  <si>
    <t>パレット積載数</t>
    <rPh sb="4" eb="7">
      <t>セキサイスウ</t>
    </rPh>
    <phoneticPr fontId="22"/>
  </si>
  <si>
    <t>pallet_sekisai_su</t>
    <phoneticPr fontId="21"/>
  </si>
  <si>
    <t>作業者コード</t>
    <phoneticPr fontId="21"/>
  </si>
  <si>
    <t>sagyosha_cd</t>
    <phoneticPr fontId="21"/>
  </si>
  <si>
    <t>依頼日</t>
    <phoneticPr fontId="21"/>
  </si>
  <si>
    <t>irai_date</t>
    <phoneticPr fontId="21"/>
  </si>
  <si>
    <t>納期日</t>
    <rPh sb="0" eb="3">
      <t>ノウキビ</t>
    </rPh>
    <phoneticPr fontId="22"/>
  </si>
  <si>
    <t>nohin_date</t>
    <phoneticPr fontId="21"/>
  </si>
  <si>
    <t>生産予定日</t>
    <rPh sb="0" eb="5">
      <t>セイサンヨテイビ</t>
    </rPh>
    <phoneticPr fontId="22"/>
  </si>
  <si>
    <t>seisan_yotei_date</t>
    <phoneticPr fontId="21"/>
  </si>
  <si>
    <t>単位</t>
    <rPh sb="0" eb="2">
      <t>タンイ</t>
    </rPh>
    <phoneticPr fontId="22"/>
  </si>
  <si>
    <t>unit</t>
    <phoneticPr fontId="21"/>
  </si>
  <si>
    <t>ACE追加 2023/5/15</t>
    <rPh sb="3" eb="5">
      <t>ツイカ</t>
    </rPh>
    <phoneticPr fontId="5"/>
  </si>
  <si>
    <t>１包装当たり</t>
    <rPh sb="1" eb="3">
      <t>ホウソウ</t>
    </rPh>
    <rPh sb="3" eb="4">
      <t>ア</t>
    </rPh>
    <phoneticPr fontId="22"/>
  </si>
  <si>
    <t>hoso_atari</t>
    <phoneticPr fontId="21"/>
  </si>
  <si>
    <t>本数</t>
    <rPh sb="0" eb="2">
      <t>ホンスウ</t>
    </rPh>
    <phoneticPr fontId="22"/>
  </si>
  <si>
    <t>honsu</t>
  </si>
  <si>
    <t>[原反]製品番号</t>
    <rPh sb="1" eb="3">
      <t>ゲンタン</t>
    </rPh>
    <rPh sb="4" eb="8">
      <t>セイヒンバンゴウ</t>
    </rPh>
    <phoneticPr fontId="22"/>
  </si>
  <si>
    <t>gentan_seihin_no</t>
  </si>
  <si>
    <t>[原反]品種コード</t>
    <rPh sb="4" eb="6">
      <t>ヒンシュ</t>
    </rPh>
    <phoneticPr fontId="22"/>
  </si>
  <si>
    <t>gentan_hinshu_cd</t>
  </si>
  <si>
    <t>[原反]品名</t>
    <rPh sb="4" eb="6">
      <t>ヒンメイ</t>
    </rPh>
    <phoneticPr fontId="22"/>
  </si>
  <si>
    <t>gentan_hinmei</t>
  </si>
  <si>
    <t>[原反]坪量</t>
    <rPh sb="4" eb="5">
      <t>ツボ</t>
    </rPh>
    <rPh sb="5" eb="6">
      <t>リョウ</t>
    </rPh>
    <phoneticPr fontId="22"/>
  </si>
  <si>
    <t>gentan_paper_weight</t>
  </si>
  <si>
    <t>[原反]幅</t>
    <rPh sb="4" eb="5">
      <t>ハバ</t>
    </rPh>
    <phoneticPr fontId="22"/>
  </si>
  <si>
    <t>[原反]長さ</t>
    <rPh sb="4" eb="5">
      <t>ナガ</t>
    </rPh>
    <phoneticPr fontId="22"/>
  </si>
  <si>
    <t>gentan_length</t>
  </si>
  <si>
    <t>[原反]本数</t>
    <rPh sb="1" eb="3">
      <t>ゲンタン</t>
    </rPh>
    <rPh sb="4" eb="6">
      <t>ホンスウ</t>
    </rPh>
    <phoneticPr fontId="22"/>
  </si>
  <si>
    <t>gentan_honsu</t>
  </si>
  <si>
    <t>[原反]備考</t>
    <rPh sb="1" eb="3">
      <t>ゲンタン</t>
    </rPh>
    <rPh sb="4" eb="6">
      <t>ビコウ</t>
    </rPh>
    <phoneticPr fontId="22"/>
  </si>
  <si>
    <t>gentan_biko</t>
    <phoneticPr fontId="21"/>
  </si>
  <si>
    <t>紙管</t>
    <rPh sb="0" eb="2">
      <t>シカン</t>
    </rPh>
    <phoneticPr fontId="22"/>
  </si>
  <si>
    <t>shikan</t>
    <phoneticPr fontId="21"/>
  </si>
  <si>
    <t>製品ロット№</t>
    <rPh sb="0" eb="2">
      <t>セイヒン</t>
    </rPh>
    <phoneticPr fontId="22"/>
  </si>
  <si>
    <t>seihin_lot_no</t>
    <phoneticPr fontId="21"/>
  </si>
  <si>
    <t>分子</t>
    <rPh sb="0" eb="2">
      <t>ブンシ</t>
    </rPh>
    <phoneticPr fontId="5"/>
  </si>
  <si>
    <t>bunshi</t>
  </si>
  <si>
    <t>分母</t>
    <rPh sb="0" eb="2">
      <t>ブンボ</t>
    </rPh>
    <phoneticPr fontId="5"/>
  </si>
  <si>
    <t>bunbo</t>
  </si>
  <si>
    <t>原反本数</t>
    <rPh sb="0" eb="4">
      <t>ゲンタンホンスウ</t>
    </rPh>
    <phoneticPr fontId="13"/>
  </si>
  <si>
    <t>使用日</t>
    <rPh sb="0" eb="3">
      <t>シヨウビ</t>
    </rPh>
    <phoneticPr fontId="24"/>
  </si>
  <si>
    <t>shiyo_date</t>
    <phoneticPr fontId="21"/>
  </si>
  <si>
    <t>作業者</t>
    <rPh sb="0" eb="3">
      <t>サギョウシャ</t>
    </rPh>
    <phoneticPr fontId="24"/>
  </si>
  <si>
    <t>sagyosha</t>
    <phoneticPr fontId="21"/>
  </si>
  <si>
    <t>申し送り事項</t>
    <rPh sb="0" eb="1">
      <t>モウ</t>
    </rPh>
    <rPh sb="2" eb="3">
      <t>オク</t>
    </rPh>
    <rPh sb="4" eb="6">
      <t>ジコウ</t>
    </rPh>
    <phoneticPr fontId="24"/>
  </si>
  <si>
    <t>moshiokuri_jiko</t>
    <phoneticPr fontId="21"/>
  </si>
  <si>
    <t>一覧SEQ</t>
  </si>
  <si>
    <t>ichiran_seq</t>
  </si>
  <si>
    <t>投入回数</t>
  </si>
  <si>
    <t>tonyu_kaisu</t>
  </si>
  <si>
    <t>朝番</t>
    <rPh sb="0" eb="2">
      <t>アサバン</t>
    </rPh>
    <phoneticPr fontId="5"/>
  </si>
  <si>
    <t>asaban</t>
  </si>
  <si>
    <t>中番</t>
    <rPh sb="0" eb="2">
      <t>チュウバン</t>
    </rPh>
    <phoneticPr fontId="5"/>
  </si>
  <si>
    <t>nakaban</t>
  </si>
  <si>
    <t>夜番</t>
    <rPh sb="0" eb="2">
      <t>ヨルバン</t>
    </rPh>
    <phoneticPr fontId="5"/>
  </si>
  <si>
    <t>yoban</t>
  </si>
  <si>
    <t>回数</t>
    <rPh sb="0" eb="2">
      <t>カイスウ</t>
    </rPh>
    <phoneticPr fontId="23"/>
  </si>
  <si>
    <t>kaisu</t>
  </si>
  <si>
    <t>調合顔料名</t>
    <rPh sb="0" eb="2">
      <t>チョウゴウ</t>
    </rPh>
    <rPh sb="2" eb="5">
      <t>ガンリョウメイ</t>
    </rPh>
    <phoneticPr fontId="21"/>
  </si>
  <si>
    <t>chogo_ganryo_nm</t>
  </si>
  <si>
    <t>顔料コード</t>
    <rPh sb="0" eb="2">
      <t>ガンリョウ</t>
    </rPh>
    <phoneticPr fontId="21"/>
  </si>
  <si>
    <t>ganryo_cd</t>
  </si>
  <si>
    <t>顔料名</t>
    <rPh sb="0" eb="3">
      <t>ガンリョウメイ</t>
    </rPh>
    <phoneticPr fontId="21"/>
  </si>
  <si>
    <t>ganryo_nm</t>
  </si>
  <si>
    <t>配合比</t>
    <rPh sb="0" eb="2">
      <t>ハイゴウ</t>
    </rPh>
    <rPh sb="2" eb="3">
      <t>ヒ</t>
    </rPh>
    <phoneticPr fontId="21"/>
  </si>
  <si>
    <t>haigo_hi</t>
  </si>
  <si>
    <t>投入量</t>
    <rPh sb="0" eb="3">
      <t>トウニュウリョウ</t>
    </rPh>
    <phoneticPr fontId="21"/>
  </si>
  <si>
    <t>tonyu_ryo</t>
  </si>
  <si>
    <t>パルプ配合区分</t>
    <phoneticPr fontId="5"/>
  </si>
  <si>
    <t>pulp_haigo_kbn</t>
    <phoneticPr fontId="5"/>
  </si>
  <si>
    <t>個数　整数</t>
    <rPh sb="0" eb="2">
      <t>コスウ</t>
    </rPh>
    <rPh sb="3" eb="5">
      <t>セイスウ</t>
    </rPh>
    <phoneticPr fontId="21"/>
  </si>
  <si>
    <t>kosu_seisu</t>
  </si>
  <si>
    <t>個数　分子</t>
    <rPh sb="0" eb="2">
      <t>コスウ</t>
    </rPh>
    <rPh sb="3" eb="5">
      <t>ブンシ</t>
    </rPh>
    <phoneticPr fontId="21"/>
  </si>
  <si>
    <t>kosu_bunshi</t>
  </si>
  <si>
    <t>個数　分母</t>
    <rPh sb="0" eb="2">
      <t>コスウ</t>
    </rPh>
    <rPh sb="3" eb="5">
      <t>ブンボ</t>
    </rPh>
    <phoneticPr fontId="21"/>
  </si>
  <si>
    <t>kosu_bunbo</t>
  </si>
  <si>
    <t>配合</t>
    <rPh sb="0" eb="2">
      <t>ハイゴウ</t>
    </rPh>
    <phoneticPr fontId="21"/>
  </si>
  <si>
    <t>haigo</t>
  </si>
  <si>
    <t>開始日時</t>
    <rPh sb="0" eb="4">
      <t>カイシニチジ</t>
    </rPh>
    <phoneticPr fontId="5"/>
  </si>
  <si>
    <t>start_datetime</t>
    <phoneticPr fontId="5"/>
  </si>
  <si>
    <t>加工実績日</t>
    <rPh sb="0" eb="2">
      <t>カコウ</t>
    </rPh>
    <rPh sb="2" eb="4">
      <t>ジッセキ</t>
    </rPh>
    <rPh sb="4" eb="5">
      <t>ヒ</t>
    </rPh>
    <phoneticPr fontId="5"/>
  </si>
  <si>
    <t>kako_jisseki_date</t>
  </si>
  <si>
    <t>加工作業者</t>
    <rPh sb="0" eb="2">
      <t>カコウ</t>
    </rPh>
    <rPh sb="2" eb="4">
      <t>サギョウ</t>
    </rPh>
    <rPh sb="4" eb="5">
      <t>シャ</t>
    </rPh>
    <phoneticPr fontId="5"/>
  </si>
  <si>
    <t>kako_sagyosha</t>
  </si>
  <si>
    <t>仕上実績日</t>
    <rPh sb="0" eb="4">
      <t>シアゲジッセキ</t>
    </rPh>
    <rPh sb="4" eb="5">
      <t>ヒ</t>
    </rPh>
    <phoneticPr fontId="5"/>
  </si>
  <si>
    <t>shiage_jisseki_date</t>
  </si>
  <si>
    <t>仕上作業者</t>
    <rPh sb="0" eb="2">
      <t>シアゲ</t>
    </rPh>
    <rPh sb="2" eb="4">
      <t>サギョウ</t>
    </rPh>
    <rPh sb="4" eb="5">
      <t>シャ</t>
    </rPh>
    <phoneticPr fontId="5"/>
  </si>
  <si>
    <t>shiage_sagyosha</t>
  </si>
  <si>
    <t>枠№</t>
    <rPh sb="0" eb="1">
      <t>ワク</t>
    </rPh>
    <phoneticPr fontId="5"/>
  </si>
  <si>
    <t>waku_no</t>
  </si>
  <si>
    <t>抄紙実績日時</t>
    <rPh sb="0" eb="5">
      <t>ショウシジッセキビ</t>
    </rPh>
    <rPh sb="5" eb="6">
      <t>ジ</t>
    </rPh>
    <phoneticPr fontId="23"/>
  </si>
  <si>
    <t>shoshi_jisseki_datetime</t>
  </si>
  <si>
    <t>終了日時</t>
    <rPh sb="0" eb="2">
      <t>シュウリョウ</t>
    </rPh>
    <rPh sb="2" eb="3">
      <t>ヒ</t>
    </rPh>
    <rPh sb="3" eb="4">
      <t>ジ</t>
    </rPh>
    <phoneticPr fontId="23"/>
  </si>
  <si>
    <t>end_datetime</t>
    <phoneticPr fontId="5"/>
  </si>
  <si>
    <t>抄紙区分</t>
    <rPh sb="0" eb="2">
      <t>ショウシ</t>
    </rPh>
    <rPh sb="2" eb="4">
      <t>クブン</t>
    </rPh>
    <phoneticPr fontId="23"/>
  </si>
  <si>
    <t>shoshi_kbn</t>
  </si>
  <si>
    <t>定坪量</t>
    <rPh sb="0" eb="1">
      <t>テイ</t>
    </rPh>
    <rPh sb="1" eb="2">
      <t>ツボ</t>
    </rPh>
    <rPh sb="2" eb="3">
      <t>リョウ</t>
    </rPh>
    <phoneticPr fontId="23"/>
  </si>
  <si>
    <t>tei_paper_weight</t>
  </si>
  <si>
    <t>実坪量</t>
    <rPh sb="0" eb="1">
      <t>ジツ</t>
    </rPh>
    <rPh sb="1" eb="2">
      <t>ツボ</t>
    </rPh>
    <rPh sb="2" eb="3">
      <t>リョウ</t>
    </rPh>
    <phoneticPr fontId="23"/>
  </si>
  <si>
    <t>jitsu_paper_weight</t>
  </si>
  <si>
    <t>抄幅</t>
  </si>
  <si>
    <t>paper_width</t>
  </si>
  <si>
    <t>抄造</t>
    <phoneticPr fontId="21"/>
  </si>
  <si>
    <t>paper_making</t>
  </si>
  <si>
    <t>原紙分類</t>
    <rPh sb="0" eb="2">
      <t>ゲンシ</t>
    </rPh>
    <rPh sb="2" eb="4">
      <t>ブンルイ</t>
    </rPh>
    <phoneticPr fontId="23"/>
  </si>
  <si>
    <t>genshi_bunrui</t>
  </si>
  <si>
    <t>原因詳細</t>
    <rPh sb="0" eb="4">
      <t>ゲンインショウサイ</t>
    </rPh>
    <phoneticPr fontId="23"/>
  </si>
  <si>
    <t>genin_shosai</t>
  </si>
  <si>
    <t>仕上区分</t>
    <rPh sb="0" eb="2">
      <t>シアゲ</t>
    </rPh>
    <rPh sb="2" eb="4">
      <t>クブン</t>
    </rPh>
    <phoneticPr fontId="5"/>
  </si>
  <si>
    <t>shiage_kbn</t>
  </si>
  <si>
    <t>ジョイント回数</t>
    <rPh sb="5" eb="7">
      <t>カイスウ</t>
    </rPh>
    <phoneticPr fontId="5"/>
  </si>
  <si>
    <t>joint_kaisu</t>
    <phoneticPr fontId="5"/>
  </si>
  <si>
    <t>継目</t>
    <rPh sb="0" eb="2">
      <t>ツギメ</t>
    </rPh>
    <phoneticPr fontId="5"/>
  </si>
  <si>
    <t>tsugime</t>
  </si>
  <si>
    <t>実量</t>
    <rPh sb="0" eb="1">
      <t>ジツ</t>
    </rPh>
    <rPh sb="1" eb="2">
      <t>リョウ</t>
    </rPh>
    <phoneticPr fontId="5"/>
  </si>
  <si>
    <t>jitsu_ryo</t>
  </si>
  <si>
    <t>巻径</t>
  </si>
  <si>
    <t>makikei</t>
  </si>
  <si>
    <t>仕上明細変更フラグ</t>
    <rPh sb="0" eb="4">
      <t>シアゲメイサイ</t>
    </rPh>
    <rPh sb="4" eb="6">
      <t>ヘンコウ</t>
    </rPh>
    <phoneticPr fontId="5"/>
  </si>
  <si>
    <t>shiage_meisai_henko_flg</t>
  </si>
  <si>
    <t>枠№使用ｍ</t>
    <rPh sb="0" eb="1">
      <t>ワク</t>
    </rPh>
    <rPh sb="2" eb="4">
      <t>シヨウ</t>
    </rPh>
    <phoneticPr fontId="27"/>
  </si>
  <si>
    <t>waku_no_shiyo</t>
    <phoneticPr fontId="21"/>
  </si>
  <si>
    <t>枠№使用残ｍ</t>
    <rPh sb="0" eb="1">
      <t>ワク</t>
    </rPh>
    <rPh sb="2" eb="4">
      <t>シヨウ</t>
    </rPh>
    <rPh sb="4" eb="5">
      <t>ザン</t>
    </rPh>
    <phoneticPr fontId="27"/>
  </si>
  <si>
    <t>waku_no_shiyo_zan</t>
    <phoneticPr fontId="21"/>
  </si>
  <si>
    <t>加工実績日時</t>
    <rPh sb="0" eb="6">
      <t>カコウジッセキニチジ</t>
    </rPh>
    <phoneticPr fontId="25"/>
  </si>
  <si>
    <t>kako_jisseki_datetime</t>
    <phoneticPr fontId="21"/>
  </si>
  <si>
    <t>合否</t>
    <rPh sb="0" eb="2">
      <t>ゴウヒ</t>
    </rPh>
    <phoneticPr fontId="27"/>
  </si>
  <si>
    <t>gohi</t>
    <phoneticPr fontId="21"/>
  </si>
  <si>
    <t>加工区分</t>
    <rPh sb="0" eb="4">
      <t>カコウクブン</t>
    </rPh>
    <phoneticPr fontId="27"/>
  </si>
  <si>
    <t>kako_kbn</t>
    <phoneticPr fontId="21"/>
  </si>
  <si>
    <t>[原反1]№</t>
  </si>
  <si>
    <t>gentan1_no</t>
    <phoneticPr fontId="21"/>
  </si>
  <si>
    <t>[原反1]製品ロット№</t>
    <rPh sb="5" eb="7">
      <t>セイヒン</t>
    </rPh>
    <phoneticPr fontId="27"/>
  </si>
  <si>
    <t>gentan1_seihin_lot_no</t>
    <phoneticPr fontId="21"/>
  </si>
  <si>
    <t>[原反1]銘柄</t>
    <rPh sb="5" eb="7">
      <t>メイガラ</t>
    </rPh>
    <phoneticPr fontId="27"/>
  </si>
  <si>
    <t>gentan1_hinshu_cd</t>
    <phoneticPr fontId="21"/>
  </si>
  <si>
    <t>[原反1]坪量</t>
    <rPh sb="5" eb="7">
      <t>ツボリョウ</t>
    </rPh>
    <phoneticPr fontId="27"/>
  </si>
  <si>
    <t>gentan1_paper_weight</t>
    <phoneticPr fontId="21"/>
  </si>
  <si>
    <t>[原反1]幅</t>
    <rPh sb="5" eb="6">
      <t>ハバ</t>
    </rPh>
    <phoneticPr fontId="27"/>
  </si>
  <si>
    <t>gentan1_width</t>
    <phoneticPr fontId="21"/>
  </si>
  <si>
    <t>[原反1]長さ</t>
    <rPh sb="5" eb="6">
      <t>ナガ</t>
    </rPh>
    <phoneticPr fontId="27"/>
  </si>
  <si>
    <t>gentan1_length</t>
    <phoneticPr fontId="21"/>
  </si>
  <si>
    <t>[原反1]使用残ｍ</t>
    <rPh sb="1" eb="3">
      <t>ゲンタン</t>
    </rPh>
    <rPh sb="5" eb="7">
      <t>シヨウ</t>
    </rPh>
    <rPh sb="7" eb="8">
      <t>ザン</t>
    </rPh>
    <phoneticPr fontId="27"/>
  </si>
  <si>
    <t>gentan1_shiyo_zan</t>
    <phoneticPr fontId="21"/>
  </si>
  <si>
    <t>[原反1]継続</t>
    <rPh sb="1" eb="3">
      <t>ゲンタン</t>
    </rPh>
    <rPh sb="5" eb="7">
      <t>ケイゾク</t>
    </rPh>
    <phoneticPr fontId="27"/>
  </si>
  <si>
    <t>gentan1_kezoku</t>
    <phoneticPr fontId="21"/>
  </si>
  <si>
    <t>[原反1]備考</t>
    <rPh sb="1" eb="3">
      <t>ゲンタン</t>
    </rPh>
    <rPh sb="5" eb="7">
      <t>ビコウ</t>
    </rPh>
    <phoneticPr fontId="27"/>
  </si>
  <si>
    <t>gentan1_biko</t>
    <phoneticPr fontId="21"/>
  </si>
  <si>
    <t>[原反2]№</t>
  </si>
  <si>
    <t>gentan2_no</t>
    <phoneticPr fontId="21"/>
  </si>
  <si>
    <t>[原反2]製品ロット№</t>
    <rPh sb="5" eb="7">
      <t>セイヒン</t>
    </rPh>
    <phoneticPr fontId="27"/>
  </si>
  <si>
    <t>gentan2_seihin_lot_no</t>
    <phoneticPr fontId="21"/>
  </si>
  <si>
    <t>[原反2]銘柄</t>
    <rPh sb="5" eb="7">
      <t>メイガラ</t>
    </rPh>
    <phoneticPr fontId="27"/>
  </si>
  <si>
    <t>gentan2_hinshu_cd</t>
    <phoneticPr fontId="21"/>
  </si>
  <si>
    <t>[原反2]坪量</t>
    <rPh sb="5" eb="7">
      <t>ツボリョウ</t>
    </rPh>
    <phoneticPr fontId="27"/>
  </si>
  <si>
    <t>gentan2_paper_weight</t>
    <phoneticPr fontId="21"/>
  </si>
  <si>
    <t>[原反2]幅</t>
    <rPh sb="5" eb="6">
      <t>ハバ</t>
    </rPh>
    <phoneticPr fontId="27"/>
  </si>
  <si>
    <t>gentan2_width</t>
    <phoneticPr fontId="21"/>
  </si>
  <si>
    <t>[原反2]長さ</t>
    <rPh sb="5" eb="6">
      <t>ナガ</t>
    </rPh>
    <phoneticPr fontId="27"/>
  </si>
  <si>
    <t>gentan2_length</t>
    <phoneticPr fontId="21"/>
  </si>
  <si>
    <t>[原反2]使用残ｍ</t>
    <rPh sb="1" eb="3">
      <t>ゲンタン</t>
    </rPh>
    <rPh sb="5" eb="7">
      <t>シヨウ</t>
    </rPh>
    <rPh sb="7" eb="8">
      <t>ザン</t>
    </rPh>
    <phoneticPr fontId="27"/>
  </si>
  <si>
    <t>gentan2_shiyo_zan</t>
    <phoneticPr fontId="21"/>
  </si>
  <si>
    <t>ACE追加 2023/5/16</t>
    <rPh sb="3" eb="5">
      <t>ツイカ</t>
    </rPh>
    <phoneticPr fontId="5"/>
  </si>
  <si>
    <t>[原反2]継続</t>
    <rPh sb="1" eb="3">
      <t>ゲンタン</t>
    </rPh>
    <rPh sb="5" eb="7">
      <t>ケイゾク</t>
    </rPh>
    <phoneticPr fontId="27"/>
  </si>
  <si>
    <t>gentan2_kezoku</t>
    <phoneticPr fontId="21"/>
  </si>
  <si>
    <t>[原反2]備考</t>
    <rPh sb="5" eb="7">
      <t>ビコウ</t>
    </rPh>
    <phoneticPr fontId="27"/>
  </si>
  <si>
    <t>gentan2_biko</t>
    <phoneticPr fontId="21"/>
  </si>
  <si>
    <t>[原反3]№</t>
  </si>
  <si>
    <t>gentan3_no</t>
  </si>
  <si>
    <t>[原反3]製品ロット№</t>
    <rPh sb="5" eb="7">
      <t>セイヒン</t>
    </rPh>
    <phoneticPr fontId="27"/>
  </si>
  <si>
    <t>gentan3_seihin_lot_no</t>
    <phoneticPr fontId="5"/>
  </si>
  <si>
    <t>[原反3]銘柄</t>
    <rPh sb="5" eb="7">
      <t>メイガラ</t>
    </rPh>
    <phoneticPr fontId="27"/>
  </si>
  <si>
    <t>gentan3_hinshu_cd</t>
  </si>
  <si>
    <t>[原反3]坪量</t>
    <rPh sb="5" eb="7">
      <t>ツボリョウ</t>
    </rPh>
    <phoneticPr fontId="27"/>
  </si>
  <si>
    <t>gentan3_paper_weight</t>
  </si>
  <si>
    <t>ACE追加（同名の項目が存在するが、ｍの大文字、小文字で別の論理名として判定されている） 2023/5/16</t>
    <rPh sb="3" eb="5">
      <t>ツイカ</t>
    </rPh>
    <rPh sb="6" eb="8">
      <t>ドウメイ</t>
    </rPh>
    <rPh sb="9" eb="11">
      <t>コウモク</t>
    </rPh>
    <rPh sb="12" eb="14">
      <t>ソンザイ</t>
    </rPh>
    <rPh sb="20" eb="23">
      <t>オオモジ</t>
    </rPh>
    <rPh sb="24" eb="27">
      <t>コモジ</t>
    </rPh>
    <rPh sb="28" eb="29">
      <t>ベツ</t>
    </rPh>
    <rPh sb="30" eb="33">
      <t>ロンリメイ</t>
    </rPh>
    <rPh sb="36" eb="38">
      <t>ハンテイ</t>
    </rPh>
    <phoneticPr fontId="5"/>
  </si>
  <si>
    <t>[原反3]幅</t>
    <rPh sb="5" eb="6">
      <t>ハバ</t>
    </rPh>
    <phoneticPr fontId="27"/>
  </si>
  <si>
    <t>gentan3_width</t>
  </si>
  <si>
    <t>[原反3]長さ</t>
    <rPh sb="5" eb="6">
      <t>ナガ</t>
    </rPh>
    <phoneticPr fontId="27"/>
  </si>
  <si>
    <t>gentan3_length</t>
  </si>
  <si>
    <t>[原反3]使用残ｍ</t>
    <rPh sb="1" eb="3">
      <t>ゲンタン</t>
    </rPh>
    <rPh sb="5" eb="7">
      <t>シヨウ</t>
    </rPh>
    <phoneticPr fontId="27"/>
  </si>
  <si>
    <t>gentan3_shiyo_zan</t>
  </si>
  <si>
    <t>[原反3]継続</t>
    <rPh sb="1" eb="3">
      <t>ゲンタン</t>
    </rPh>
    <rPh sb="5" eb="7">
      <t>ケイゾク</t>
    </rPh>
    <phoneticPr fontId="27"/>
  </si>
  <si>
    <t>gentan3_kezoku</t>
  </si>
  <si>
    <t>[原反3]備考</t>
    <rPh sb="5" eb="7">
      <t>ビコウ</t>
    </rPh>
    <phoneticPr fontId="27"/>
  </si>
  <si>
    <t>gentan3_biko</t>
  </si>
  <si>
    <t>実績SEQ</t>
    <rPh sb="0" eb="2">
      <t>ジッセキ</t>
    </rPh>
    <phoneticPr fontId="5"/>
  </si>
  <si>
    <t>jisseki_seq</t>
    <phoneticPr fontId="5"/>
  </si>
  <si>
    <t>使用枠№</t>
    <rPh sb="0" eb="2">
      <t>シヨウ</t>
    </rPh>
    <rPh sb="2" eb="4">
      <t>ワクナンバー</t>
    </rPh>
    <phoneticPr fontId="5"/>
  </si>
  <si>
    <t>shiyo_waku_no</t>
  </si>
  <si>
    <t>使用製品ロット№</t>
    <rPh sb="0" eb="2">
      <t>シヨウ</t>
    </rPh>
    <rPh sb="2" eb="4">
      <t>セイヒン</t>
    </rPh>
    <phoneticPr fontId="5"/>
  </si>
  <si>
    <t>shiyo_seihin_lot_no</t>
  </si>
  <si>
    <t>使用ｍ</t>
    <rPh sb="0" eb="2">
      <t>シヨウ</t>
    </rPh>
    <phoneticPr fontId="5"/>
  </si>
  <si>
    <t>shiyo</t>
  </si>
  <si>
    <t>製品フラグ</t>
    <rPh sb="0" eb="2">
      <t>セイヒン</t>
    </rPh>
    <phoneticPr fontId="5"/>
  </si>
  <si>
    <t>seihin_flg</t>
  </si>
  <si>
    <t>含浸率</t>
    <rPh sb="0" eb="2">
      <t>ガンシン</t>
    </rPh>
    <rPh sb="2" eb="3">
      <t>リツ</t>
    </rPh>
    <phoneticPr fontId="6"/>
  </si>
  <si>
    <t>ganshin_ritsu</t>
  </si>
  <si>
    <t>ライン速度</t>
    <rPh sb="3" eb="5">
      <t>ソクド</t>
    </rPh>
    <phoneticPr fontId="6"/>
  </si>
  <si>
    <t>line_sokudo</t>
    <phoneticPr fontId="5"/>
  </si>
  <si>
    <t>欠点数</t>
    <rPh sb="0" eb="3">
      <t>ケッテンスウ</t>
    </rPh>
    <phoneticPr fontId="6"/>
  </si>
  <si>
    <t>ketten_su</t>
  </si>
  <si>
    <t>合否コメント</t>
    <rPh sb="0" eb="2">
      <t>ゴウヒ</t>
    </rPh>
    <phoneticPr fontId="6"/>
  </si>
  <si>
    <t>gohi_comment</t>
    <phoneticPr fontId="5"/>
  </si>
  <si>
    <t>残ｍ</t>
    <rPh sb="0" eb="1">
      <t>ザン</t>
    </rPh>
    <phoneticPr fontId="27"/>
  </si>
  <si>
    <t>zan</t>
    <phoneticPr fontId="21"/>
  </si>
  <si>
    <t>成型実績日</t>
    <rPh sb="0" eb="2">
      <t>セイケイ</t>
    </rPh>
    <rPh sb="2" eb="4">
      <t>ジッセキ</t>
    </rPh>
    <rPh sb="4" eb="5">
      <t>ヒ</t>
    </rPh>
    <phoneticPr fontId="27"/>
  </si>
  <si>
    <t>seikei_jisseki_date</t>
    <phoneticPr fontId="21"/>
  </si>
  <si>
    <t>成型作業者</t>
    <rPh sb="0" eb="2">
      <t>セイケイ</t>
    </rPh>
    <rPh sb="2" eb="4">
      <t>サギョウ</t>
    </rPh>
    <rPh sb="4" eb="5">
      <t>シャ</t>
    </rPh>
    <phoneticPr fontId="27"/>
  </si>
  <si>
    <t>seikei_sagyosha</t>
    <phoneticPr fontId="21"/>
  </si>
  <si>
    <t>包装実績日</t>
    <rPh sb="0" eb="2">
      <t>ホウソウ</t>
    </rPh>
    <rPh sb="2" eb="4">
      <t>ジッセキ</t>
    </rPh>
    <rPh sb="4" eb="5">
      <t>ヒ</t>
    </rPh>
    <phoneticPr fontId="27"/>
  </si>
  <si>
    <t>hoso_jisseki_date</t>
    <phoneticPr fontId="21"/>
  </si>
  <si>
    <t>包装作業者</t>
    <rPh sb="0" eb="2">
      <t>ホウソウ</t>
    </rPh>
    <rPh sb="2" eb="4">
      <t>サギョウ</t>
    </rPh>
    <rPh sb="4" eb="5">
      <t>シャ</t>
    </rPh>
    <phoneticPr fontId="27"/>
  </si>
  <si>
    <t>hoso_sagyosha</t>
    <phoneticPr fontId="21"/>
  </si>
  <si>
    <t>作業開始日時</t>
    <rPh sb="0" eb="6">
      <t>サギョウカイシニチジ</t>
    </rPh>
    <phoneticPr fontId="27"/>
  </si>
  <si>
    <t>sagyo_start_datetime</t>
    <phoneticPr fontId="21"/>
  </si>
  <si>
    <t>休憩時間</t>
    <rPh sb="0" eb="4">
      <t>キュウケイジカン</t>
    </rPh>
    <phoneticPr fontId="27"/>
  </si>
  <si>
    <t>kyukei_time</t>
    <phoneticPr fontId="5"/>
  </si>
  <si>
    <t>内訳</t>
    <rPh sb="0" eb="2">
      <t>ウチワケ</t>
    </rPh>
    <phoneticPr fontId="27"/>
  </si>
  <si>
    <t>uchiwake</t>
    <phoneticPr fontId="21"/>
  </si>
  <si>
    <t>稼働情報</t>
    <rPh sb="0" eb="4">
      <t>カドウジョウホウ</t>
    </rPh>
    <phoneticPr fontId="27"/>
  </si>
  <si>
    <t>kado_joho</t>
    <phoneticPr fontId="21"/>
  </si>
  <si>
    <t>[原反]製品ロット№</t>
    <rPh sb="4" eb="6">
      <t>セイヒン</t>
    </rPh>
    <phoneticPr fontId="27"/>
  </si>
  <si>
    <t>gentan_seihin_lot_no</t>
  </si>
  <si>
    <t>マーキング</t>
  </si>
  <si>
    <t>marking</t>
    <phoneticPr fontId="21"/>
  </si>
  <si>
    <t>温度</t>
    <rPh sb="0" eb="2">
      <t>オンド</t>
    </rPh>
    <phoneticPr fontId="27"/>
  </si>
  <si>
    <t>ondo</t>
    <phoneticPr fontId="21"/>
  </si>
  <si>
    <t>湿度</t>
    <rPh sb="0" eb="2">
      <t>シツド</t>
    </rPh>
    <phoneticPr fontId="27"/>
  </si>
  <si>
    <t>shitsudo</t>
    <phoneticPr fontId="21"/>
  </si>
  <si>
    <t>shot</t>
  </si>
  <si>
    <t>shot</t>
    <phoneticPr fontId="21"/>
  </si>
  <si>
    <t>ロット№印字順</t>
    <rPh sb="4" eb="7">
      <t>インジジュン</t>
    </rPh>
    <phoneticPr fontId="5"/>
  </si>
  <si>
    <t>lot_no_injijun</t>
  </si>
  <si>
    <t>包装機カウンタ</t>
    <rPh sb="0" eb="3">
      <t>ホウソウキ</t>
    </rPh>
    <phoneticPr fontId="5"/>
  </si>
  <si>
    <t>hosoki_counter</t>
  </si>
  <si>
    <t>使用フィルム長</t>
    <rPh sb="0" eb="2">
      <t>シヨウ</t>
    </rPh>
    <rPh sb="6" eb="7">
      <t>チョウ</t>
    </rPh>
    <phoneticPr fontId="5"/>
  </si>
  <si>
    <t>shiyo_film_cho</t>
  </si>
  <si>
    <t>完了日時</t>
    <rPh sb="0" eb="4">
      <t>カンリョウニチジ</t>
    </rPh>
    <phoneticPr fontId="5"/>
  </si>
  <si>
    <t>kanryo_datetime</t>
  </si>
  <si>
    <t>状態</t>
    <rPh sb="0" eb="2">
      <t>ジョウタイ</t>
    </rPh>
    <phoneticPr fontId="5"/>
  </si>
  <si>
    <t>jotai</t>
  </si>
  <si>
    <t>生産ケース数</t>
    <rPh sb="0" eb="2">
      <t>セイサン</t>
    </rPh>
    <rPh sb="5" eb="6">
      <t>スウ</t>
    </rPh>
    <phoneticPr fontId="5"/>
  </si>
  <si>
    <t>seisan_case_su</t>
  </si>
  <si>
    <t>仕掛入数</t>
    <rPh sb="0" eb="2">
      <t>シカカリ</t>
    </rPh>
    <rPh sb="2" eb="4">
      <t>イリスウ</t>
    </rPh>
    <phoneticPr fontId="5"/>
  </si>
  <si>
    <t>shikakari_irisu</t>
  </si>
  <si>
    <t>使用ケース数</t>
    <rPh sb="0" eb="2">
      <t>シヨウ</t>
    </rPh>
    <rPh sb="5" eb="6">
      <t>スウ</t>
    </rPh>
    <phoneticPr fontId="5"/>
  </si>
  <si>
    <t>shiyo_case_su</t>
  </si>
  <si>
    <t>使用端数</t>
    <rPh sb="0" eb="2">
      <t>シヨウ</t>
    </rPh>
    <rPh sb="2" eb="4">
      <t>ハスウ</t>
    </rPh>
    <phoneticPr fontId="5"/>
  </si>
  <si>
    <t>shiyo_hasu</t>
  </si>
  <si>
    <t>使用数</t>
    <rPh sb="0" eb="3">
      <t>シヨウスウ</t>
    </rPh>
    <phoneticPr fontId="5"/>
  </si>
  <si>
    <t>shiyo_su</t>
  </si>
  <si>
    <t>作業実施区分</t>
    <rPh sb="0" eb="6">
      <t>サギョウジッシクブン</t>
    </rPh>
    <phoneticPr fontId="5"/>
  </si>
  <si>
    <t>sagyo_jisshi_kbn</t>
  </si>
  <si>
    <t>指導員</t>
    <rPh sb="0" eb="3">
      <t>シドウイン</t>
    </rPh>
    <phoneticPr fontId="5"/>
  </si>
  <si>
    <t>shidoin</t>
  </si>
  <si>
    <t>作業者人数</t>
    <rPh sb="0" eb="5">
      <t>サギョウシャニンズウ</t>
    </rPh>
    <phoneticPr fontId="5"/>
  </si>
  <si>
    <t>sagyosha_ninzu</t>
  </si>
  <si>
    <t>生産品備考</t>
    <rPh sb="0" eb="3">
      <t>セイサンヒン</t>
    </rPh>
    <rPh sb="3" eb="5">
      <t>ビコウ</t>
    </rPh>
    <phoneticPr fontId="5"/>
  </si>
  <si>
    <t>seisanhin_biko</t>
  </si>
  <si>
    <t>仕上パレット№</t>
    <rPh sb="0" eb="2">
      <t>シアゲ</t>
    </rPh>
    <phoneticPr fontId="5"/>
  </si>
  <si>
    <t>shiage_pallet_no</t>
    <phoneticPr fontId="5"/>
  </si>
  <si>
    <t>生産入数</t>
    <rPh sb="0" eb="4">
      <t>セイサンイリスウ</t>
    </rPh>
    <phoneticPr fontId="5"/>
  </si>
  <si>
    <t>seisan_irisu</t>
  </si>
  <si>
    <t>生産仕掛個数</t>
    <rPh sb="0" eb="6">
      <t>セイサンシカカリコスウ</t>
    </rPh>
    <phoneticPr fontId="5"/>
  </si>
  <si>
    <t>seisan_shikakari_kosu</t>
  </si>
  <si>
    <t>生産個数</t>
    <rPh sb="0" eb="2">
      <t>セイサン</t>
    </rPh>
    <rPh sb="2" eb="4">
      <t>コスウ</t>
    </rPh>
    <phoneticPr fontId="5"/>
  </si>
  <si>
    <t>seisan_kosu</t>
  </si>
  <si>
    <t>原反ロット№</t>
    <rPh sb="0" eb="2">
      <t>ゲンタン</t>
    </rPh>
    <phoneticPr fontId="5"/>
  </si>
  <si>
    <t>gentan_lot_no</t>
  </si>
  <si>
    <t>包装</t>
    <rPh sb="0" eb="2">
      <t>ホウソウ</t>
    </rPh>
    <phoneticPr fontId="25"/>
  </si>
  <si>
    <t>hoso</t>
    <phoneticPr fontId="21"/>
  </si>
  <si>
    <t>形式が不明のため末尾につける文字列の判断ができない</t>
    <rPh sb="0" eb="2">
      <t>ケイシキ</t>
    </rPh>
    <rPh sb="3" eb="5">
      <t>フメイ</t>
    </rPh>
    <rPh sb="8" eb="10">
      <t>マツビ</t>
    </rPh>
    <rPh sb="14" eb="17">
      <t>モジレツ</t>
    </rPh>
    <rPh sb="18" eb="20">
      <t>ハンダン</t>
    </rPh>
    <phoneticPr fontId="5"/>
  </si>
  <si>
    <t>ラベル数</t>
    <rPh sb="3" eb="4">
      <t>スウ</t>
    </rPh>
    <phoneticPr fontId="27"/>
  </si>
  <si>
    <t>label_su</t>
    <phoneticPr fontId="21"/>
  </si>
  <si>
    <t>移動指示№</t>
    <rPh sb="0" eb="4">
      <t>イドウシジ</t>
    </rPh>
    <phoneticPr fontId="27"/>
  </si>
  <si>
    <t>ido_shiji_no</t>
    <phoneticPr fontId="21"/>
  </si>
  <si>
    <t>生産分類</t>
    <rPh sb="0" eb="2">
      <t>セイサン</t>
    </rPh>
    <rPh sb="2" eb="4">
      <t>ブンルイ</t>
    </rPh>
    <phoneticPr fontId="27"/>
  </si>
  <si>
    <t>seisan_bunrui</t>
    <phoneticPr fontId="21"/>
  </si>
  <si>
    <t>移動分類</t>
    <rPh sb="0" eb="4">
      <t>イドウブンルイ</t>
    </rPh>
    <phoneticPr fontId="27"/>
  </si>
  <si>
    <t>ido_bunrui</t>
    <phoneticPr fontId="21"/>
  </si>
  <si>
    <t>コード分類</t>
    <rPh sb="3" eb="5">
      <t>ブンルイ</t>
    </rPh>
    <phoneticPr fontId="27"/>
  </si>
  <si>
    <t>code_bunrui</t>
    <phoneticPr fontId="21"/>
  </si>
  <si>
    <t>移動先保管場所コード</t>
    <rPh sb="0" eb="3">
      <t>イドウサキ</t>
    </rPh>
    <rPh sb="3" eb="7">
      <t>ホカンバショ</t>
    </rPh>
    <phoneticPr fontId="27"/>
  </si>
  <si>
    <t>idosaki_hokan_basho_cd</t>
  </si>
  <si>
    <t>移動先保管場所名称</t>
    <rPh sb="0" eb="2">
      <t>イドウ</t>
    </rPh>
    <rPh sb="2" eb="3">
      <t>サキ</t>
    </rPh>
    <rPh sb="3" eb="5">
      <t>ホカン</t>
    </rPh>
    <rPh sb="5" eb="7">
      <t>バショ</t>
    </rPh>
    <rPh sb="7" eb="9">
      <t>メイショウ</t>
    </rPh>
    <phoneticPr fontId="27"/>
  </si>
  <si>
    <t>idosaki_hokan_basho_nm</t>
  </si>
  <si>
    <t>ロット指定区分</t>
    <rPh sb="3" eb="5">
      <t>シテイ</t>
    </rPh>
    <rPh sb="5" eb="7">
      <t>クブン</t>
    </rPh>
    <phoneticPr fontId="27"/>
  </si>
  <si>
    <t>lot_shitei_kbn</t>
    <phoneticPr fontId="21"/>
  </si>
  <si>
    <t>移動予定日</t>
    <rPh sb="0" eb="2">
      <t>イドウ</t>
    </rPh>
    <rPh sb="2" eb="4">
      <t>ヨテイ</t>
    </rPh>
    <rPh sb="4" eb="5">
      <t>ビ</t>
    </rPh>
    <phoneticPr fontId="27"/>
  </si>
  <si>
    <t>ido_yotei_date</t>
    <phoneticPr fontId="21"/>
  </si>
  <si>
    <t>移動完了日付</t>
    <rPh sb="0" eb="4">
      <t>イドウカンリョウ</t>
    </rPh>
    <rPh sb="4" eb="6">
      <t>ヒヅケ</t>
    </rPh>
    <phoneticPr fontId="27"/>
  </si>
  <si>
    <t>ido_kanryo_date</t>
    <phoneticPr fontId="21"/>
  </si>
  <si>
    <t>依頼者コード</t>
    <rPh sb="0" eb="3">
      <t>イライシャ</t>
    </rPh>
    <phoneticPr fontId="27"/>
  </si>
  <si>
    <t>iraisha_cd</t>
    <phoneticPr fontId="21"/>
  </si>
  <si>
    <t>依頼者名</t>
    <rPh sb="0" eb="3">
      <t>イライシャ</t>
    </rPh>
    <rPh sb="3" eb="4">
      <t>メイ</t>
    </rPh>
    <phoneticPr fontId="27"/>
  </si>
  <si>
    <t>iraisha_nm</t>
    <phoneticPr fontId="21"/>
  </si>
  <si>
    <t>運搬業者コード</t>
    <rPh sb="0" eb="4">
      <t>ウンパンギョウシャ</t>
    </rPh>
    <phoneticPr fontId="27"/>
  </si>
  <si>
    <t>unpan_gyosha_cd</t>
    <phoneticPr fontId="21"/>
  </si>
  <si>
    <t>運搬業者名</t>
    <rPh sb="4" eb="5">
      <t>メイ</t>
    </rPh>
    <phoneticPr fontId="27"/>
  </si>
  <si>
    <t>unpan_gyosha_nm</t>
    <phoneticPr fontId="21"/>
  </si>
  <si>
    <t>運搬業者担当者名</t>
    <rPh sb="0" eb="2">
      <t>ウンパン</t>
    </rPh>
    <rPh sb="2" eb="4">
      <t>ギョウシャ</t>
    </rPh>
    <rPh sb="4" eb="8">
      <t>タントウシャメイ</t>
    </rPh>
    <phoneticPr fontId="27"/>
  </si>
  <si>
    <t>unpan_gyosha_tantosha_nm</t>
    <phoneticPr fontId="21"/>
  </si>
  <si>
    <t>移動先業者コード</t>
    <rPh sb="0" eb="3">
      <t>イドウサキ</t>
    </rPh>
    <rPh sb="3" eb="5">
      <t>ギョウシャ</t>
    </rPh>
    <phoneticPr fontId="27"/>
  </si>
  <si>
    <t>idosaki_gyosha_cd</t>
    <phoneticPr fontId="21"/>
  </si>
  <si>
    <t>移動先業者名</t>
    <rPh sb="0" eb="3">
      <t>イドウサキ</t>
    </rPh>
    <rPh sb="3" eb="5">
      <t>ギョウシャ</t>
    </rPh>
    <rPh sb="5" eb="6">
      <t>メイ</t>
    </rPh>
    <phoneticPr fontId="27"/>
  </si>
  <si>
    <t>idosaki_gyosha_nm</t>
    <phoneticPr fontId="21"/>
  </si>
  <si>
    <t>移動先担当者名</t>
    <rPh sb="0" eb="3">
      <t>イドウサキ</t>
    </rPh>
    <rPh sb="3" eb="7">
      <t>タントウシャメイ</t>
    </rPh>
    <phoneticPr fontId="27"/>
  </si>
  <si>
    <t>idosaki_tantosha_nm</t>
    <phoneticPr fontId="21"/>
  </si>
  <si>
    <t>移動指示明細№</t>
    <rPh sb="0" eb="6">
      <t>イドウシジメイサイ</t>
    </rPh>
    <phoneticPr fontId="5"/>
  </si>
  <si>
    <t>ido_shiji_meisai_no</t>
  </si>
  <si>
    <t>指定ロットフラグ</t>
    <phoneticPr fontId="5"/>
  </si>
  <si>
    <t>shitei_lot_flg</t>
    <phoneticPr fontId="5"/>
  </si>
  <si>
    <t>移動元保管場所コード</t>
    <rPh sb="0" eb="3">
      <t>イドウモト</t>
    </rPh>
    <rPh sb="3" eb="5">
      <t>ホカン</t>
    </rPh>
    <rPh sb="5" eb="7">
      <t>バショ</t>
    </rPh>
    <phoneticPr fontId="5"/>
  </si>
  <si>
    <t>idomoto_hokan_basho_cd</t>
    <phoneticPr fontId="5"/>
  </si>
  <si>
    <t>移動元保管場所名称</t>
    <rPh sb="0" eb="3">
      <t>イドウモト</t>
    </rPh>
    <rPh sb="3" eb="5">
      <t>ホカン</t>
    </rPh>
    <rPh sb="5" eb="7">
      <t>バショ</t>
    </rPh>
    <rPh sb="7" eb="9">
      <t>メイショウ</t>
    </rPh>
    <phoneticPr fontId="5"/>
  </si>
  <si>
    <t>idomoto_hokan_basho_nm</t>
    <phoneticPr fontId="5"/>
  </si>
  <si>
    <t>製品フルロット№</t>
    <rPh sb="0" eb="2">
      <t>セイヒン</t>
    </rPh>
    <phoneticPr fontId="5"/>
  </si>
  <si>
    <t>seihin_full_lot_no</t>
  </si>
  <si>
    <t>フルパレット№</t>
  </si>
  <si>
    <t>full_pallet_no</t>
  </si>
  <si>
    <t>連量</t>
    <rPh sb="0" eb="2">
      <t>レンリョウ</t>
    </rPh>
    <phoneticPr fontId="5"/>
  </si>
  <si>
    <t>renryo</t>
  </si>
  <si>
    <t>移動数</t>
    <rPh sb="0" eb="2">
      <t>イドウ</t>
    </rPh>
    <rPh sb="2" eb="3">
      <t>スウ</t>
    </rPh>
    <phoneticPr fontId="5"/>
  </si>
  <si>
    <t>ido_su</t>
  </si>
  <si>
    <t>移動実績№</t>
    <rPh sb="0" eb="2">
      <t>イドウ</t>
    </rPh>
    <rPh sb="2" eb="4">
      <t>ジッセキ</t>
    </rPh>
    <phoneticPr fontId="5"/>
  </si>
  <si>
    <t>ido_jisseki_no</t>
  </si>
  <si>
    <t>移動実施日</t>
    <rPh sb="0" eb="2">
      <t>イドウ</t>
    </rPh>
    <rPh sb="2" eb="4">
      <t>ジッシ</t>
    </rPh>
    <rPh sb="4" eb="5">
      <t>ヒ</t>
    </rPh>
    <phoneticPr fontId="5"/>
  </si>
  <si>
    <t>ido_jisshi_date</t>
  </si>
  <si>
    <t>ハンディエラーデータフラグ</t>
    <phoneticPr fontId="5"/>
  </si>
  <si>
    <t>handy_error_data_flg</t>
  </si>
  <si>
    <t>PC版登録フラグ</t>
    <rPh sb="2" eb="3">
      <t>バン</t>
    </rPh>
    <rPh sb="3" eb="5">
      <t>トウロク</t>
    </rPh>
    <phoneticPr fontId="5"/>
  </si>
  <si>
    <t>pc_ban_toroku_flg</t>
    <phoneticPr fontId="5"/>
  </si>
  <si>
    <t>引取指示№</t>
    <rPh sb="0" eb="2">
      <t>ヒキトリ</t>
    </rPh>
    <rPh sb="2" eb="4">
      <t>シジ</t>
    </rPh>
    <phoneticPr fontId="5"/>
  </si>
  <si>
    <t>hikitori_shiji_no</t>
  </si>
  <si>
    <t>外注加工業者コード</t>
  </si>
  <si>
    <t>gaichu_kako_gyosha_cd</t>
  </si>
  <si>
    <t>外注加工業者名</t>
  </si>
  <si>
    <t>gaichu_kako_gyosha_nm</t>
  </si>
  <si>
    <t>顧客名</t>
  </si>
  <si>
    <t>連数(R)</t>
    <rPh sb="0" eb="1">
      <t>レン</t>
    </rPh>
    <rPh sb="1" eb="2">
      <t>スウ</t>
    </rPh>
    <phoneticPr fontId="28"/>
  </si>
  <si>
    <t>rensu</t>
  </si>
  <si>
    <r>
      <rPr>
        <sz val="11"/>
        <color rgb="FFFF0000"/>
        <rFont val="游ゴシック"/>
        <family val="3"/>
        <charset val="128"/>
        <scheme val="minor"/>
      </rPr>
      <t>１</t>
    </r>
    <r>
      <rPr>
        <sz val="10"/>
        <color theme="1"/>
        <rFont val="Meiryo UI"/>
        <family val="2"/>
        <charset val="128"/>
      </rPr>
      <t>包の連数</t>
    </r>
    <rPh sb="1" eb="2">
      <t>ツツミ</t>
    </rPh>
    <rPh sb="3" eb="4">
      <t>レン</t>
    </rPh>
    <rPh sb="4" eb="5">
      <t>スウ</t>
    </rPh>
    <phoneticPr fontId="28"/>
  </si>
  <si>
    <r>
      <rPr>
        <sz val="11"/>
        <color rgb="FFFF0000"/>
        <rFont val="游ゴシック"/>
        <family val="3"/>
        <charset val="128"/>
        <scheme val="minor"/>
      </rPr>
      <t>hoso_</t>
    </r>
    <r>
      <rPr>
        <sz val="10"/>
        <color theme="1"/>
        <rFont val="Meiryo UI"/>
        <family val="2"/>
        <charset val="128"/>
      </rPr>
      <t>rensu</t>
    </r>
    <phoneticPr fontId="21"/>
  </si>
  <si>
    <t>納品数</t>
    <rPh sb="0" eb="3">
      <t>ノウヒンスウ</t>
    </rPh>
    <phoneticPr fontId="28"/>
  </si>
  <si>
    <t>nohin_su</t>
  </si>
  <si>
    <t>平判の折り方</t>
  </si>
  <si>
    <t>hiraban</t>
    <phoneticPr fontId="5"/>
  </si>
  <si>
    <t>生産計画登録者</t>
    <rPh sb="0" eb="2">
      <t>セイサン</t>
    </rPh>
    <rPh sb="2" eb="4">
      <t>ケイカク</t>
    </rPh>
    <rPh sb="4" eb="7">
      <t>トウロクシャ</t>
    </rPh>
    <phoneticPr fontId="29"/>
  </si>
  <si>
    <t>seisan_keikaku_torokusha</t>
  </si>
  <si>
    <t>発行日</t>
    <rPh sb="0" eb="3">
      <t>ハッコウビヒ</t>
    </rPh>
    <phoneticPr fontId="30"/>
  </si>
  <si>
    <t>hakko_date</t>
  </si>
  <si>
    <t>引取先業者コード</t>
    <rPh sb="3" eb="5">
      <t>ギョウシャ</t>
    </rPh>
    <phoneticPr fontId="31"/>
  </si>
  <si>
    <t>hikitorisaki_gyosha_cd</t>
  </si>
  <si>
    <t>引取先業者名</t>
    <rPh sb="3" eb="5">
      <t>ギョウシャ</t>
    </rPh>
    <rPh sb="5" eb="6">
      <t>メイ</t>
    </rPh>
    <phoneticPr fontId="31"/>
  </si>
  <si>
    <t>hikitorisaki_gyosha_nm</t>
  </si>
  <si>
    <t>引取先担当者名</t>
    <rPh sb="3" eb="6">
      <t>タントウシャ</t>
    </rPh>
    <rPh sb="6" eb="7">
      <t>メイ</t>
    </rPh>
    <phoneticPr fontId="31"/>
  </si>
  <si>
    <t>hikitorisaki_tantosha_nm</t>
  </si>
  <si>
    <t>引取先件名</t>
    <rPh sb="3" eb="5">
      <t>ケンメイ</t>
    </rPh>
    <phoneticPr fontId="31"/>
  </si>
  <si>
    <t>hikitorisaki_kenmei</t>
  </si>
  <si>
    <t>引取日</t>
    <rPh sb="0" eb="2">
      <t>ヒキトリ</t>
    </rPh>
    <rPh sb="2" eb="3">
      <t>ヒ</t>
    </rPh>
    <phoneticPr fontId="30"/>
  </si>
  <si>
    <t>hikitori_date</t>
  </si>
  <si>
    <t>入庫場所コード</t>
    <rPh sb="0" eb="2">
      <t>ニュウコ</t>
    </rPh>
    <rPh sb="2" eb="4">
      <t>バショ</t>
    </rPh>
    <phoneticPr fontId="30"/>
  </si>
  <si>
    <t>nyuko_basho_cd</t>
  </si>
  <si>
    <t>入庫場所名</t>
    <rPh sb="0" eb="2">
      <t>ニュウコ</t>
    </rPh>
    <rPh sb="2" eb="4">
      <t>バショ</t>
    </rPh>
    <rPh sb="4" eb="5">
      <t>メイ</t>
    </rPh>
    <phoneticPr fontId="30"/>
  </si>
  <si>
    <t>nyuko_basho_nm</t>
  </si>
  <si>
    <t>運搬業者件名</t>
    <rPh sb="2" eb="4">
      <t>ギョウシャ</t>
    </rPh>
    <rPh sb="4" eb="6">
      <t>ケンメイ</t>
    </rPh>
    <phoneticPr fontId="30"/>
  </si>
  <si>
    <t>unpan_gyosha_kenmei</t>
  </si>
  <si>
    <t>入庫予定数</t>
    <rPh sb="0" eb="2">
      <t>ニュウコ</t>
    </rPh>
    <rPh sb="2" eb="4">
      <t>ヨテイ</t>
    </rPh>
    <rPh sb="4" eb="5">
      <t>スウ</t>
    </rPh>
    <phoneticPr fontId="30"/>
  </si>
  <si>
    <t>nyuko_yotei_su</t>
  </si>
  <si>
    <t>包装フラグ</t>
    <phoneticPr fontId="26"/>
  </si>
  <si>
    <t>hoso_flg</t>
    <phoneticPr fontId="26"/>
  </si>
  <si>
    <t>包装数</t>
    <phoneticPr fontId="26"/>
  </si>
  <si>
    <t>hoso_su</t>
    <phoneticPr fontId="26"/>
  </si>
  <si>
    <t>引取実績№</t>
    <rPh sb="0" eb="2">
      <t>ヒキトリ</t>
    </rPh>
    <rPh sb="2" eb="4">
      <t>ジッセキ</t>
    </rPh>
    <phoneticPr fontId="27"/>
  </si>
  <si>
    <t>hikitori_jisseki_no</t>
    <phoneticPr fontId="26"/>
  </si>
  <si>
    <t>入庫合計数</t>
    <rPh sb="0" eb="2">
      <t>ニュウコ</t>
    </rPh>
    <rPh sb="2" eb="5">
      <t>ゴウケイスウ</t>
    </rPh>
    <phoneticPr fontId="27"/>
  </si>
  <si>
    <t>nyuko_gokei_su</t>
    <phoneticPr fontId="26"/>
  </si>
  <si>
    <t>登録フラグ</t>
    <rPh sb="0" eb="2">
      <t>トウロク</t>
    </rPh>
    <phoneticPr fontId="27"/>
  </si>
  <si>
    <t>toroku_flg</t>
    <phoneticPr fontId="26"/>
  </si>
  <si>
    <t>入庫日</t>
    <rPh sb="0" eb="2">
      <t>ニュウコ</t>
    </rPh>
    <rPh sb="2" eb="3">
      <t>ビ</t>
    </rPh>
    <phoneticPr fontId="27"/>
  </si>
  <si>
    <t>nyuko_date</t>
    <phoneticPr fontId="26"/>
  </si>
  <si>
    <t>原反継目</t>
    <rPh sb="0" eb="2">
      <t>ゲンタン</t>
    </rPh>
    <rPh sb="2" eb="4">
      <t>ツギメ</t>
    </rPh>
    <phoneticPr fontId="5"/>
  </si>
  <si>
    <t>gentan_tsugime</t>
    <phoneticPr fontId="5"/>
  </si>
  <si>
    <t>断紙回数</t>
    <rPh sb="0" eb="2">
      <t>ダンシ</t>
    </rPh>
    <rPh sb="2" eb="4">
      <t>カイスウ</t>
    </rPh>
    <phoneticPr fontId="5"/>
  </si>
  <si>
    <t>danshi_kaisu</t>
    <phoneticPr fontId="5"/>
  </si>
  <si>
    <t>S/C巻</t>
    <rPh sb="3" eb="4">
      <t>マキ</t>
    </rPh>
    <phoneticPr fontId="5"/>
  </si>
  <si>
    <t>sc_maki</t>
    <phoneticPr fontId="5"/>
  </si>
  <si>
    <t>使用残ｍ</t>
    <phoneticPr fontId="21"/>
  </si>
  <si>
    <t>shiyo_zan</t>
  </si>
  <si>
    <t>製品品種コード</t>
    <rPh sb="0" eb="2">
      <t>セイヒン</t>
    </rPh>
    <rPh sb="2" eb="4">
      <t>ヒンシュ</t>
    </rPh>
    <phoneticPr fontId="21"/>
  </si>
  <si>
    <r>
      <t>s</t>
    </r>
    <r>
      <rPr>
        <sz val="10"/>
        <color theme="1"/>
        <rFont val="Meiryo UI"/>
        <family val="2"/>
        <charset val="128"/>
      </rPr>
      <t>eihin_hinshu_cd</t>
    </r>
    <phoneticPr fontId="21"/>
  </si>
  <si>
    <t>原反品種コード</t>
    <rPh sb="0" eb="2">
      <t>ゲンタン</t>
    </rPh>
    <rPh sb="2" eb="4">
      <t>ヒンシュ</t>
    </rPh>
    <phoneticPr fontId="21"/>
  </si>
  <si>
    <t>gentan_hinshu_cd</t>
    <phoneticPr fontId="21"/>
  </si>
  <si>
    <t>最終承認権限フラグ</t>
    <rPh sb="4" eb="6">
      <t>ケンゲン</t>
    </rPh>
    <phoneticPr fontId="5"/>
  </si>
  <si>
    <t>saishu_shonin_auth_flg</t>
    <phoneticPr fontId="21"/>
  </si>
  <si>
    <t>開始時刻</t>
    <rPh sb="0" eb="2">
      <t>カイシ</t>
    </rPh>
    <rPh sb="2" eb="4">
      <t>ジコク</t>
    </rPh>
    <phoneticPr fontId="5"/>
  </si>
  <si>
    <t>start_time</t>
    <phoneticPr fontId="21"/>
  </si>
  <si>
    <t>終了時刻</t>
    <rPh sb="0" eb="2">
      <t>シュウリョウ</t>
    </rPh>
    <rPh sb="2" eb="4">
      <t>ジコク</t>
    </rPh>
    <phoneticPr fontId="5"/>
  </si>
  <si>
    <t>end_time</t>
    <phoneticPr fontId="21"/>
  </si>
  <si>
    <t>勤務A</t>
    <rPh sb="0" eb="2">
      <t>キンム</t>
    </rPh>
    <phoneticPr fontId="5"/>
  </si>
  <si>
    <t>kinmu_a</t>
    <phoneticPr fontId="21"/>
  </si>
  <si>
    <t>勤務B</t>
    <rPh sb="0" eb="2">
      <t>キンム</t>
    </rPh>
    <phoneticPr fontId="5"/>
  </si>
  <si>
    <t>kinmu_b</t>
    <phoneticPr fontId="21"/>
  </si>
  <si>
    <t>勤務C</t>
    <rPh sb="0" eb="2">
      <t>キンム</t>
    </rPh>
    <phoneticPr fontId="5"/>
  </si>
  <si>
    <t>kinmu_c</t>
    <phoneticPr fontId="21"/>
  </si>
  <si>
    <t>土曜日フラグ</t>
    <rPh sb="0" eb="3">
      <t>ドヨウビ</t>
    </rPh>
    <phoneticPr fontId="5"/>
  </si>
  <si>
    <t>saturday_flg</t>
    <phoneticPr fontId="21"/>
  </si>
  <si>
    <t>日曜日フラグ</t>
    <rPh sb="0" eb="3">
      <t>ニチヨウビ</t>
    </rPh>
    <phoneticPr fontId="5"/>
  </si>
  <si>
    <t>sunday_flg</t>
    <phoneticPr fontId="21"/>
  </si>
  <si>
    <t>base_seisan_keikaku_no</t>
    <phoneticPr fontId="5"/>
  </si>
  <si>
    <t>04.薬品</t>
    <phoneticPr fontId="5"/>
  </si>
  <si>
    <t>yakuhin_tank</t>
    <phoneticPr fontId="5"/>
  </si>
  <si>
    <t>生産計画排他情報</t>
    <rPh sb="0" eb="2">
      <t>セイサン</t>
    </rPh>
    <rPh sb="2" eb="4">
      <t>ケイカク</t>
    </rPh>
    <rPh sb="4" eb="6">
      <t>ハイタ</t>
    </rPh>
    <rPh sb="6" eb="8">
      <t>ジョウホウ</t>
    </rPh>
    <phoneticPr fontId="5"/>
  </si>
  <si>
    <t>t_seisan_haita</t>
    <phoneticPr fontId="5"/>
  </si>
  <si>
    <t>process_user_cd</t>
    <phoneticPr fontId="5"/>
  </si>
  <si>
    <t>[パルプ]離解時間</t>
    <phoneticPr fontId="17"/>
  </si>
  <si>
    <t>[化繊]タンクレベル</t>
    <phoneticPr fontId="5"/>
  </si>
  <si>
    <t>[化繊]原料濃度</t>
    <phoneticPr fontId="5"/>
  </si>
  <si>
    <t>[化繊]離解時間</t>
    <phoneticPr fontId="17"/>
  </si>
  <si>
    <t>kasen_sikomi_gokei</t>
    <phoneticPr fontId="6"/>
  </si>
  <si>
    <t>kasen_tank_level</t>
    <phoneticPr fontId="6"/>
  </si>
  <si>
    <t>kasen_genryo_nodo</t>
    <phoneticPr fontId="6"/>
  </si>
  <si>
    <t>kasen_rikai_time</t>
    <phoneticPr fontId="6"/>
  </si>
  <si>
    <t>2023/08/22 追加</t>
    <rPh sb="11" eb="13">
      <t>ツイカ</t>
    </rPh>
    <phoneticPr fontId="5"/>
  </si>
  <si>
    <t>2023/08/24 追加</t>
    <rPh sb="11" eb="13">
      <t>ツイカ</t>
    </rPh>
    <phoneticPr fontId="5"/>
  </si>
  <si>
    <t>作業者</t>
    <phoneticPr fontId="5"/>
  </si>
  <si>
    <t>sagyosha</t>
    <phoneticPr fontId="5"/>
  </si>
  <si>
    <t>１から連番</t>
  </si>
  <si>
    <t>seisan_keikaku_seq</t>
    <phoneticPr fontId="5"/>
  </si>
  <si>
    <t>区分マスタ.区分：12</t>
    <rPh sb="0" eb="2">
      <t>クブン</t>
    </rPh>
    <rPh sb="6" eb="8">
      <t>クブン</t>
    </rPh>
    <phoneticPr fontId="5"/>
  </si>
  <si>
    <t>seihin_kbn</t>
    <phoneticPr fontId="5"/>
  </si>
  <si>
    <t>区分マスタ.区分：102GK</t>
    <rPh sb="0" eb="2">
      <t>クブン</t>
    </rPh>
    <rPh sb="6" eb="8">
      <t>クブン</t>
    </rPh>
    <phoneticPr fontId="5"/>
  </si>
  <si>
    <t>区分マスタ.区分：102WD</t>
    <rPh sb="0" eb="2">
      <t>クブン</t>
    </rPh>
    <rPh sb="6" eb="8">
      <t>クブン</t>
    </rPh>
    <phoneticPr fontId="5"/>
  </si>
  <si>
    <t>unit_cd</t>
    <phoneticPr fontId="5"/>
  </si>
  <si>
    <t>9/15修正</t>
    <rPh sb="4" eb="6">
      <t>シュウセイ</t>
    </rPh>
    <phoneticPr fontId="5"/>
  </si>
  <si>
    <t>製造工程抄紙設備</t>
  </si>
  <si>
    <t>t_seizou_syousi_setubi</t>
  </si>
  <si>
    <t>区分マスタ.区分：02PM</t>
    <rPh sb="0" eb="2">
      <t>クブン</t>
    </rPh>
    <rPh sb="6" eb="8">
      <t>クブン</t>
    </rPh>
    <phoneticPr fontId="5"/>
  </si>
  <si>
    <t>複数コード指定あり（1件＝15桁）</t>
    <rPh sb="0" eb="2">
      <t>フクスウ</t>
    </rPh>
    <rPh sb="5" eb="7">
      <t>シテイ</t>
    </rPh>
    <rPh sb="11" eb="12">
      <t>ケン</t>
    </rPh>
    <rPh sb="15" eb="16">
      <t>ケタ</t>
    </rPh>
    <phoneticPr fontId="5"/>
  </si>
  <si>
    <t>複数コード指定あり（1件＝5桁）</t>
    <rPh sb="0" eb="2">
      <t>フクスウ</t>
    </rPh>
    <rPh sb="5" eb="7">
      <t>シテイ</t>
    </rPh>
    <rPh sb="11" eb="12">
      <t>ケン</t>
    </rPh>
    <rPh sb="14" eb="15">
      <t>ケタ</t>
    </rPh>
    <phoneticPr fontId="5"/>
  </si>
  <si>
    <t>区分マスタ.区分：02HC</t>
    <rPh sb="0" eb="2">
      <t>クブン</t>
    </rPh>
    <rPh sb="6" eb="8">
      <t>クブン</t>
    </rPh>
    <phoneticPr fontId="5"/>
  </si>
  <si>
    <t>複数コード指定あり（1件＝20桁）</t>
    <rPh sb="0" eb="2">
      <t>フクスウ</t>
    </rPh>
    <rPh sb="5" eb="7">
      <t>シテイ</t>
    </rPh>
    <rPh sb="11" eb="12">
      <t>ケン</t>
    </rPh>
    <rPh sb="15" eb="16">
      <t>ケタ</t>
    </rPh>
    <phoneticPr fontId="5"/>
  </si>
  <si>
    <t>区分マスタ.区分：02CM</t>
    <rPh sb="0" eb="2">
      <t>クブン</t>
    </rPh>
    <rPh sb="6" eb="8">
      <t>クブン</t>
    </rPh>
    <phoneticPr fontId="5"/>
  </si>
  <si>
    <t>区分マスタ.区分：02SC</t>
    <rPh sb="0" eb="2">
      <t>クブン</t>
    </rPh>
    <rPh sb="6" eb="8">
      <t>クブン</t>
    </rPh>
    <phoneticPr fontId="5"/>
  </si>
  <si>
    <t>区分マスタ.区分：02CF</t>
    <rPh sb="0" eb="2">
      <t>クブン</t>
    </rPh>
    <rPh sb="6" eb="8">
      <t>クブン</t>
    </rPh>
    <phoneticPr fontId="5"/>
  </si>
  <si>
    <t>10/05　修正</t>
    <rPh sb="6" eb="8">
      <t>シュウセイ</t>
    </rPh>
    <phoneticPr fontId="5"/>
  </si>
  <si>
    <t>区分マスタ.区分：88</t>
    <rPh sb="0" eb="2">
      <t>クブン</t>
    </rPh>
    <rPh sb="6" eb="8">
      <t>クブン</t>
    </rPh>
    <phoneticPr fontId="5"/>
  </si>
  <si>
    <t>区分マスタ.区分：02WD</t>
    <rPh sb="0" eb="2">
      <t>クブン</t>
    </rPh>
    <rPh sb="6" eb="8">
      <t>クブン</t>
    </rPh>
    <phoneticPr fontId="5"/>
  </si>
  <si>
    <t>変更</t>
    <rPh sb="0" eb="2">
      <t>ヘンコウ</t>
    </rPh>
    <phoneticPr fontId="5"/>
  </si>
  <si>
    <t>コード・区分に対する発番制御</t>
    <phoneticPr fontId="5"/>
  </si>
  <si>
    <t>修正</t>
    <rPh sb="0" eb="2">
      <t>シュウセイ</t>
    </rPh>
    <phoneticPr fontId="5"/>
  </si>
  <si>
    <t>10/05修正</t>
    <rPh sb="5" eb="7">
      <t>シュウセイ</t>
    </rPh>
    <phoneticPr fontId="5"/>
  </si>
  <si>
    <t>10/5修正</t>
    <rPh sb="4" eb="6">
      <t>シュウセイ</t>
    </rPh>
    <phoneticPr fontId="5"/>
  </si>
  <si>
    <t>sagyo_jisseki_kbn</t>
    <phoneticPr fontId="5"/>
  </si>
  <si>
    <t>参照元生産計画№</t>
    <phoneticPr fontId="5"/>
  </si>
  <si>
    <t>[化繊]仕込み合計</t>
    <phoneticPr fontId="5"/>
  </si>
  <si>
    <t>薬品コード</t>
    <phoneticPr fontId="5"/>
  </si>
  <si>
    <t>薬品</t>
    <phoneticPr fontId="5"/>
  </si>
  <si>
    <t>薬品タンク</t>
    <phoneticPr fontId="5"/>
  </si>
  <si>
    <t>投入量</t>
    <phoneticPr fontId="5"/>
  </si>
  <si>
    <t>原反本数</t>
    <phoneticPr fontId="5"/>
  </si>
  <si>
    <t>在庫区分</t>
    <phoneticPr fontId="5"/>
  </si>
  <si>
    <t>製品ロット№</t>
    <phoneticPr fontId="5"/>
  </si>
  <si>
    <t>ロット指定区分</t>
    <phoneticPr fontId="5"/>
  </si>
  <si>
    <t>指定ロット№</t>
    <phoneticPr fontId="5"/>
  </si>
  <si>
    <t>フル製品ロット№</t>
    <phoneticPr fontId="5"/>
  </si>
  <si>
    <t>sagyo_kbn_control</t>
    <phoneticPr fontId="5"/>
  </si>
  <si>
    <t>空白　■:停機等　□：試作テスト</t>
    <rPh sb="0" eb="2">
      <t>クウハク</t>
    </rPh>
    <rPh sb="5" eb="7">
      <t>テイキ</t>
    </rPh>
    <rPh sb="7" eb="8">
      <t>トウ</t>
    </rPh>
    <phoneticPr fontId="5"/>
  </si>
  <si>
    <t>コード・区分に対する出力制御</t>
    <rPh sb="4" eb="6">
      <t>クブン</t>
    </rPh>
    <rPh sb="7" eb="8">
      <t>タイ</t>
    </rPh>
    <rPh sb="10" eb="12">
      <t>シュツリョク</t>
    </rPh>
    <rPh sb="12" eb="14">
      <t>セイギョ</t>
    </rPh>
    <phoneticPr fontId="5"/>
  </si>
  <si>
    <t>0.対象外　1.対象</t>
    <rPh sb="2" eb="4">
      <t>タイショウ</t>
    </rPh>
    <rPh sb="4" eb="5">
      <t>ガイ</t>
    </rPh>
    <rPh sb="8" eb="10">
      <t>タイショウ</t>
    </rPh>
    <phoneticPr fontId="5"/>
  </si>
  <si>
    <t>sagyo_kbn_symbol</t>
    <phoneticPr fontId="5"/>
  </si>
  <si>
    <t>コード・区分に対する作業区分記号</t>
    <rPh sb="4" eb="6">
      <t>クブン</t>
    </rPh>
    <rPh sb="7" eb="8">
      <t>タイ</t>
    </rPh>
    <phoneticPr fontId="5"/>
  </si>
  <si>
    <t>10/16追加</t>
    <rPh sb="5" eb="7">
      <t>ツイカ</t>
    </rPh>
    <phoneticPr fontId="5"/>
  </si>
  <si>
    <t>空白　■　□</t>
    <rPh sb="0" eb="2">
      <t>クウハク</t>
    </rPh>
    <phoneticPr fontId="5"/>
  </si>
  <si>
    <t>コード・区分に対する作業区分タイトル</t>
    <rPh sb="4" eb="6">
      <t>クブン</t>
    </rPh>
    <rPh sb="7" eb="8">
      <t>タイ</t>
    </rPh>
    <phoneticPr fontId="5"/>
  </si>
  <si>
    <t>sagyo_kbn_title</t>
    <phoneticPr fontId="5"/>
  </si>
  <si>
    <t>10/23　修正</t>
    <rPh sb="6" eb="8">
      <t>シュウセイ</t>
    </rPh>
    <phoneticPr fontId="5"/>
  </si>
  <si>
    <t>11/7追加</t>
    <rPh sb="4" eb="6">
      <t>ツイカ</t>
    </rPh>
    <phoneticPr fontId="5"/>
  </si>
  <si>
    <t>作業区分記号</t>
    <phoneticPr fontId="5"/>
  </si>
  <si>
    <t>作業区分タイトル</t>
    <phoneticPr fontId="5"/>
  </si>
  <si>
    <t>作業区分制御</t>
    <phoneticPr fontId="5"/>
  </si>
  <si>
    <t>計画外発番制御</t>
    <phoneticPr fontId="5"/>
  </si>
  <si>
    <t>コード・区分に対する計画外発番制御</t>
  </si>
  <si>
    <t>0.発行不可 1.発番可能</t>
  </si>
  <si>
    <t>計画外ラベル制御</t>
    <phoneticPr fontId="5"/>
  </si>
  <si>
    <t>コード・区分に対する計画外ラベル制御</t>
  </si>
  <si>
    <t>0.発行不可 1.発行可能</t>
  </si>
  <si>
    <t>10/18追加</t>
  </si>
  <si>
    <t>10/18追加</t>
    <rPh sb="5" eb="7">
      <t>ツイカ</t>
    </rPh>
    <phoneticPr fontId="5"/>
  </si>
  <si>
    <t>区分マスタ.区分：10</t>
    <rPh sb="0" eb="2">
      <t>クブン</t>
    </rPh>
    <rPh sb="6" eb="8">
      <t>クブン</t>
    </rPh>
    <phoneticPr fontId="5"/>
  </si>
  <si>
    <t>追加</t>
    <rPh sb="0" eb="2">
      <t>ツイカ</t>
    </rPh>
    <phoneticPr fontId="5"/>
  </si>
  <si>
    <t>生産計画№SEQ</t>
    <phoneticPr fontId="5"/>
  </si>
  <si>
    <t>生産計画№単位に連番</t>
    <rPh sb="0" eb="4">
      <t>セイサンケイカク</t>
    </rPh>
    <rPh sb="5" eb="7">
      <t>タンイ</t>
    </rPh>
    <rPh sb="8" eb="10">
      <t>レンバン</t>
    </rPh>
    <phoneticPr fontId="5"/>
  </si>
  <si>
    <t>11/13追加</t>
    <rPh sb="4" eb="6">
      <t>ツイカ</t>
    </rPh>
    <phoneticPr fontId="5"/>
  </si>
  <si>
    <t>*</t>
    <phoneticPr fontId="5"/>
  </si>
  <si>
    <t>0：指定ロット未データ　１:指定ロットデータ</t>
    <rPh sb="2" eb="4">
      <t>シテイ</t>
    </rPh>
    <rPh sb="7" eb="8">
      <t>ミ</t>
    </rPh>
    <rPh sb="14" eb="16">
      <t>シテイ</t>
    </rPh>
    <phoneticPr fontId="5"/>
  </si>
  <si>
    <t>1:年月ロット指定　2:フルロット指定</t>
    <rPh sb="2" eb="4">
      <t>ネンゲツ</t>
    </rPh>
    <rPh sb="7" eb="9">
      <t>シテイ</t>
    </rPh>
    <rPh sb="17" eb="19">
      <t>シテイ</t>
    </rPh>
    <phoneticPr fontId="5"/>
  </si>
  <si>
    <t>ym_lot_no</t>
    <phoneticPr fontId="5"/>
  </si>
  <si>
    <t>11/13追加</t>
    <rPh sb="5" eb="7">
      <t>ツイカ</t>
    </rPh>
    <phoneticPr fontId="5"/>
  </si>
  <si>
    <t>坪量</t>
    <phoneticPr fontId="39"/>
  </si>
  <si>
    <t>年月ロット№</t>
    <phoneticPr fontId="5"/>
  </si>
  <si>
    <t>shiyo_han_seihin</t>
    <phoneticPr fontId="5"/>
  </si>
  <si>
    <t>11/28追加</t>
    <rPh sb="5" eb="7">
      <t>ツイカ</t>
    </rPh>
    <phoneticPr fontId="5"/>
  </si>
  <si>
    <t>使用半製品</t>
    <phoneticPr fontId="5"/>
  </si>
  <si>
    <t>処理担当者</t>
    <phoneticPr fontId="5"/>
  </si>
  <si>
    <t>機能ID</t>
    <phoneticPr fontId="5"/>
  </si>
  <si>
    <t>製造工程</t>
    <phoneticPr fontId="5"/>
  </si>
  <si>
    <t>区分マスタ.区分：144</t>
    <rPh sb="0" eb="2">
      <t>クブン</t>
    </rPh>
    <rPh sb="6" eb="8">
      <t>クブン</t>
    </rPh>
    <phoneticPr fontId="5"/>
  </si>
  <si>
    <t>生産計画№SEQ</t>
  </si>
  <si>
    <t>pulp_rikai_time</t>
    <phoneticPr fontId="5"/>
  </si>
  <si>
    <t>機能コード</t>
    <phoneticPr fontId="5"/>
  </si>
  <si>
    <t>kino_cd</t>
    <phoneticPr fontId="5"/>
  </si>
  <si>
    <t>varchar</t>
    <phoneticPr fontId="5"/>
  </si>
  <si>
    <t>計画外ラベル制御</t>
    <phoneticPr fontId="5"/>
  </si>
  <si>
    <t>keikakugai_label_control</t>
    <phoneticPr fontId="5"/>
  </si>
  <si>
    <t>計画外発番制御</t>
    <phoneticPr fontId="5"/>
  </si>
  <si>
    <t>keikakugai_hatsuban_control</t>
    <phoneticPr fontId="5"/>
  </si>
  <si>
    <t>原反本数</t>
    <phoneticPr fontId="18"/>
  </si>
  <si>
    <t>数値</t>
    <phoneticPr fontId="5"/>
  </si>
  <si>
    <t>numeric</t>
    <phoneticPr fontId="5"/>
  </si>
  <si>
    <t>作業実績区分</t>
    <phoneticPr fontId="5"/>
  </si>
  <si>
    <t>seizo_kotei</t>
    <phoneticPr fontId="5"/>
  </si>
  <si>
    <t>unit_cd</t>
    <phoneticPr fontId="5"/>
  </si>
  <si>
    <t>単位コード</t>
    <phoneticPr fontId="5"/>
  </si>
  <si>
    <t>文字</t>
    <phoneticPr fontId="5"/>
  </si>
  <si>
    <t>varchar</t>
    <phoneticPr fontId="5"/>
  </si>
  <si>
    <t>発番制御</t>
    <phoneticPr fontId="5"/>
  </si>
  <si>
    <t>hatsuban_control</t>
    <phoneticPr fontId="5"/>
  </si>
  <si>
    <t>disp_order</t>
    <phoneticPr fontId="5"/>
  </si>
  <si>
    <t>nvarchar</t>
    <phoneticPr fontId="5"/>
  </si>
  <si>
    <t>honsu</t>
    <phoneticPr fontId="5"/>
  </si>
  <si>
    <t>gentan_honsu</t>
    <phoneticPr fontId="5"/>
  </si>
  <si>
    <t>shukan_kotei_cd</t>
    <phoneticPr fontId="5"/>
  </si>
  <si>
    <t>shukan_busho_cd</t>
    <phoneticPr fontId="5"/>
  </si>
  <si>
    <t>length</t>
    <phoneticPr fontId="5"/>
  </si>
  <si>
    <t>paper_weight</t>
    <phoneticPr fontId="5"/>
  </si>
  <si>
    <t>tonyu_ryo</t>
    <phoneticPr fontId="5"/>
  </si>
  <si>
    <t>biko</t>
    <phoneticPr fontId="5"/>
  </si>
  <si>
    <t>hinshu_cd</t>
    <phoneticPr fontId="5"/>
  </si>
  <si>
    <t>hinmei</t>
    <phoneticPr fontId="5"/>
  </si>
  <si>
    <t>width</t>
    <phoneticPr fontId="5"/>
  </si>
  <si>
    <t>meisai_seq</t>
    <phoneticPr fontId="5"/>
  </si>
  <si>
    <t>12/20修正</t>
    <rPh sb="5" eb="7">
      <t>シュウセイ</t>
    </rPh>
    <phoneticPr fontId="5"/>
  </si>
  <si>
    <t>複数コード指定あり（1件＝80桁）</t>
    <phoneticPr fontId="5"/>
  </si>
  <si>
    <t>12/20修正</t>
    <rPh sb="5" eb="7">
      <t>シュウセイ</t>
    </rPh>
    <phoneticPr fontId="5"/>
  </si>
  <si>
    <t>12/20修正</t>
    <rPh sb="5" eb="7">
      <t>シュウセイ</t>
    </rPh>
    <phoneticPr fontId="5"/>
  </si>
  <si>
    <t>生産計画情報（抄紙）</t>
    <phoneticPr fontId="5"/>
  </si>
  <si>
    <t>文字</t>
    <phoneticPr fontId="5"/>
  </si>
  <si>
    <t>日付</t>
    <phoneticPr fontId="5"/>
  </si>
  <si>
    <t>本数（予定）</t>
    <phoneticPr fontId="5"/>
  </si>
  <si>
    <t>datetime2</t>
    <phoneticPr fontId="5"/>
  </si>
  <si>
    <t>登録者コード</t>
    <phoneticPr fontId="5"/>
  </si>
  <si>
    <t>insert_user_cd</t>
    <phoneticPr fontId="5"/>
  </si>
  <si>
    <t>登録日</t>
    <phoneticPr fontId="5"/>
  </si>
  <si>
    <t>insert_datetime</t>
    <phoneticPr fontId="5"/>
  </si>
  <si>
    <t>更新者コード</t>
    <phoneticPr fontId="5"/>
  </si>
  <si>
    <t>update_user_cd</t>
    <phoneticPr fontId="5"/>
  </si>
  <si>
    <t>更新日</t>
    <phoneticPr fontId="5"/>
  </si>
  <si>
    <t>update_datetime</t>
    <phoneticPr fontId="5"/>
  </si>
  <si>
    <t>生産計画情報（熱加工）</t>
    <phoneticPr fontId="5"/>
  </si>
  <si>
    <t>生産計画情報（加工CM）</t>
    <phoneticPr fontId="5"/>
  </si>
  <si>
    <t>生産計画情報（加工SC）</t>
    <phoneticPr fontId="5"/>
  </si>
  <si>
    <t>生産計画情報（コーヒーフィルタ）</t>
    <phoneticPr fontId="5"/>
  </si>
  <si>
    <t>生産計画情報（パッケージ工場）</t>
    <phoneticPr fontId="5"/>
  </si>
  <si>
    <t>生産計画情報（WD工場）</t>
    <phoneticPr fontId="5"/>
  </si>
  <si>
    <t>生産計画情報（外注加工）</t>
    <phoneticPr fontId="5"/>
  </si>
  <si>
    <t>平判付属</t>
    <phoneticPr fontId="5"/>
  </si>
  <si>
    <t>連数</t>
    <phoneticPr fontId="5"/>
  </si>
  <si>
    <t>平判の折り方</t>
    <phoneticPr fontId="5"/>
  </si>
  <si>
    <t>生産指示情報（原材料）</t>
    <phoneticPr fontId="5"/>
  </si>
  <si>
    <t>[パルプ]離解時間</t>
    <phoneticPr fontId="5"/>
  </si>
  <si>
    <t>kasen_sikomi_gokei</t>
    <phoneticPr fontId="5"/>
  </si>
  <si>
    <t>kasen_tank_level</t>
    <phoneticPr fontId="5"/>
  </si>
  <si>
    <t>kasen_genryo_nodo</t>
    <phoneticPr fontId="5"/>
  </si>
  <si>
    <t>[化繊]離解時間</t>
    <phoneticPr fontId="5"/>
  </si>
  <si>
    <t>kasen_rikai_time</t>
    <phoneticPr fontId="5"/>
  </si>
  <si>
    <t>生産指示明細情報（原材料）</t>
    <phoneticPr fontId="5"/>
  </si>
  <si>
    <t>生産指示情報（薬品）</t>
    <phoneticPr fontId="5"/>
  </si>
  <si>
    <t>生産指示明細情報（薬品）</t>
    <phoneticPr fontId="5"/>
  </si>
  <si>
    <t>生産指示情報（調薬）</t>
    <phoneticPr fontId="5"/>
  </si>
  <si>
    <t>生産指示明細情報（調薬）</t>
    <phoneticPr fontId="5"/>
  </si>
  <si>
    <t>生産指示情報（原反）</t>
    <phoneticPr fontId="5"/>
  </si>
  <si>
    <t>生産指示明細情報（原反）</t>
    <phoneticPr fontId="5"/>
  </si>
  <si>
    <t>加工依頼情報</t>
    <phoneticPr fontId="5"/>
  </si>
  <si>
    <t>加工依頼明細情報</t>
    <phoneticPr fontId="5"/>
  </si>
  <si>
    <t>加工依頼明細情報（ロット指定）</t>
    <phoneticPr fontId="5"/>
  </si>
  <si>
    <t>生産計画項目制御情報</t>
    <phoneticPr fontId="5"/>
  </si>
  <si>
    <t>生産計画排他情報</t>
    <phoneticPr fontId="5"/>
  </si>
  <si>
    <t>製造工程抄紙設備</t>
    <phoneticPr fontId="5"/>
  </si>
  <si>
    <t>依頼日、開始時予定</t>
    <rPh sb="0" eb="2">
      <t>イライ</t>
    </rPh>
    <phoneticPr fontId="5"/>
  </si>
  <si>
    <t>lot_shitei_kbn</t>
    <phoneticPr fontId="5"/>
  </si>
  <si>
    <t>12/20修正</t>
    <rPh sb="5" eb="7">
      <t>シュウセイ</t>
    </rPh>
    <phoneticPr fontId="5"/>
  </si>
  <si>
    <t>依頼日、開始時予定</t>
    <phoneticPr fontId="5"/>
  </si>
  <si>
    <t>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</si>
</sst>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0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sz val="10"/>
      <color rgb="FFFF0000"/>
      <name val="Meiryo UI"/>
      <family val="2"/>
      <charset val="128"/>
    </font>
    <font>
      <u/>
      <sz val="10"/>
      <color theme="11"/>
      <name val="Meiryo UI"/>
      <family val="2"/>
      <charset val="128"/>
    </font>
    <font>
      <b/>
      <sz val="16"/>
      <color theme="0"/>
      <name val="Meiryo UI"/>
      <family val="3"/>
      <charset val="128"/>
    </font>
    <font>
      <sz val="1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3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</font>
    <font>
      <b/>
      <sz val="11"/>
      <color theme="1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theme="0"/>
      <name val="Meiryo UI"/>
      <family val="2"/>
      <charset val="128"/>
    </font>
    <font>
      <sz val="10"/>
      <color theme="1"/>
      <name val="Meiryo UI"/>
      <family val="2"/>
      <charset val="128"/>
    </font>
    <font>
      <sz val="11"/>
      <color rgb="FFFF0000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4"/>
      <color rgb="FFFF0000"/>
      <name val="Meiryo UI"/>
      <family val="2"/>
      <charset val="128"/>
    </font>
    <font>
      <sz val="14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name val="Meiryo UI"/>
      <family val="2"/>
      <charset val="128"/>
    </font>
    <font>
      <sz val="11"/>
      <color rgb="FF9C5700"/>
      <name val="Meiryo UI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>
      <alignment vertical="center"/>
    </xf>
    <xf numFmtId="0" fontId="4" fillId="0" borderId="0"/>
    <xf numFmtId="0" fontId="4" fillId="0" borderId="0"/>
    <xf numFmtId="0" fontId="9" fillId="0" borderId="0">
      <alignment vertical="center"/>
    </xf>
    <xf numFmtId="0" fontId="4" fillId="0" borderId="0"/>
    <xf numFmtId="0" fontId="4" fillId="0" borderId="0"/>
    <xf numFmtId="0" fontId="10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506">
    <xf numFmtId="0" fontId="0" fillId="0" borderId="0" xfId="0">
      <alignment vertical="center"/>
    </xf>
    <xf numFmtId="0" fontId="7" fillId="0" borderId="0" xfId="1" applyFont="1" applyAlignment="1">
      <alignment vertical="center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0" fontId="7" fillId="0" borderId="3" xfId="1" applyFont="1" applyBorder="1" applyAlignment="1">
      <alignment vertical="center"/>
    </xf>
    <xf numFmtId="0" fontId="7" fillId="0" borderId="4" xfId="1" applyFont="1" applyBorder="1" applyAlignment="1">
      <alignment vertical="center"/>
    </xf>
    <xf numFmtId="0" fontId="7" fillId="0" borderId="1" xfId="1" applyFont="1" applyBorder="1" applyAlignment="1">
      <alignment vertical="center"/>
    </xf>
    <xf numFmtId="0" fontId="7" fillId="0" borderId="0" xfId="1" quotePrefix="1" applyFont="1" applyAlignment="1">
      <alignment vertical="center"/>
    </xf>
    <xf numFmtId="49" fontId="7" fillId="0" borderId="3" xfId="3" applyNumberFormat="1" applyFont="1" applyBorder="1" applyAlignment="1">
      <alignment vertical="top"/>
    </xf>
    <xf numFmtId="0" fontId="12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13" fillId="0" borderId="0" xfId="1" applyFont="1" applyAlignment="1">
      <alignment vertical="center"/>
    </xf>
    <xf numFmtId="49" fontId="13" fillId="0" borderId="3" xfId="3" applyNumberFormat="1" applyFont="1" applyBorder="1" applyAlignment="1">
      <alignment vertical="top"/>
    </xf>
    <xf numFmtId="49" fontId="13" fillId="0" borderId="4" xfId="2" applyNumberFormat="1" applyFont="1" applyBorder="1" applyAlignment="1">
      <alignment vertical="top"/>
    </xf>
    <xf numFmtId="49" fontId="13" fillId="0" borderId="8" xfId="2" applyNumberFormat="1" applyFont="1" applyBorder="1" applyAlignment="1">
      <alignment vertical="top"/>
    </xf>
    <xf numFmtId="49" fontId="13" fillId="0" borderId="3" xfId="4" applyNumberFormat="1" applyFont="1" applyBorder="1" applyAlignment="1">
      <alignment vertical="top"/>
    </xf>
    <xf numFmtId="49" fontId="13" fillId="0" borderId="4" xfId="4" applyNumberFormat="1" applyFont="1" applyBorder="1" applyAlignment="1">
      <alignment vertical="top"/>
    </xf>
    <xf numFmtId="49" fontId="13" fillId="0" borderId="1" xfId="2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0" fontId="13" fillId="0" borderId="1" xfId="2" applyFont="1" applyBorder="1" applyAlignment="1">
      <alignment horizontal="right" vertical="top" shrinkToFit="1"/>
    </xf>
    <xf numFmtId="49" fontId="13" fillId="0" borderId="2" xfId="2" applyNumberFormat="1" applyFont="1" applyBorder="1" applyAlignment="1">
      <alignment horizontal="center" vertical="top" shrinkToFit="1"/>
    </xf>
    <xf numFmtId="0" fontId="13" fillId="0" borderId="2" xfId="2" applyFont="1" applyBorder="1" applyAlignment="1">
      <alignment horizontal="center" vertical="top" shrinkToFit="1"/>
    </xf>
    <xf numFmtId="0" fontId="13" fillId="0" borderId="3" xfId="2" applyFont="1" applyBorder="1" applyAlignment="1">
      <alignment vertical="top" shrinkToFit="1"/>
    </xf>
    <xf numFmtId="0" fontId="13" fillId="0" borderId="3" xfId="3" applyFont="1" applyBorder="1" applyAlignment="1">
      <alignment vertical="top"/>
    </xf>
    <xf numFmtId="0" fontId="13" fillId="0" borderId="4" xfId="3" applyFont="1" applyBorder="1" applyAlignment="1">
      <alignment vertical="top"/>
    </xf>
    <xf numFmtId="0" fontId="13" fillId="0" borderId="1" xfId="3" applyFont="1" applyBorder="1" applyAlignment="1">
      <alignment vertical="top"/>
    </xf>
    <xf numFmtId="0" fontId="13" fillId="0" borderId="3" xfId="4" applyFont="1" applyBorder="1" applyAlignment="1">
      <alignment vertical="top"/>
    </xf>
    <xf numFmtId="0" fontId="13" fillId="0" borderId="4" xfId="4" applyFont="1" applyBorder="1" applyAlignment="1">
      <alignment vertical="top"/>
    </xf>
    <xf numFmtId="0" fontId="13" fillId="0" borderId="1" xfId="4" applyFont="1" applyBorder="1" applyAlignment="1">
      <alignment vertical="top"/>
    </xf>
    <xf numFmtId="49" fontId="13" fillId="0" borderId="1" xfId="4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0" borderId="2" xfId="2" applyNumberFormat="1" applyFont="1" applyBorder="1" applyAlignment="1">
      <alignment horizontal="center" vertical="top"/>
    </xf>
    <xf numFmtId="0" fontId="13" fillId="0" borderId="2" xfId="2" applyFont="1" applyBorder="1" applyAlignment="1">
      <alignment horizontal="center" vertical="top"/>
    </xf>
    <xf numFmtId="0" fontId="13" fillId="0" borderId="3" xfId="3" applyFont="1" applyBorder="1" applyAlignment="1">
      <alignment horizontal="left" vertical="center"/>
    </xf>
    <xf numFmtId="0" fontId="13" fillId="0" borderId="4" xfId="1" applyFont="1" applyBorder="1" applyAlignment="1">
      <alignment horizontal="left" vertical="center"/>
    </xf>
    <xf numFmtId="0" fontId="13" fillId="0" borderId="4" xfId="2" applyFont="1" applyBorder="1" applyAlignment="1">
      <alignment vertical="top"/>
    </xf>
    <xf numFmtId="0" fontId="13" fillId="0" borderId="1" xfId="2" applyFont="1" applyBorder="1" applyAlignment="1">
      <alignment vertical="top"/>
    </xf>
    <xf numFmtId="0" fontId="13" fillId="0" borderId="0" xfId="1" applyFont="1" applyAlignment="1">
      <alignment vertical="top"/>
    </xf>
    <xf numFmtId="0" fontId="13" fillId="0" borderId="3" xfId="6" applyFont="1" applyBorder="1" applyAlignment="1">
      <alignment vertical="top"/>
    </xf>
    <xf numFmtId="0" fontId="13" fillId="0" borderId="4" xfId="6" applyFont="1" applyBorder="1" applyAlignment="1">
      <alignment vertical="top"/>
    </xf>
    <xf numFmtId="0" fontId="13" fillId="0" borderId="4" xfId="1" applyFont="1" applyBorder="1" applyAlignment="1">
      <alignment vertical="center"/>
    </xf>
    <xf numFmtId="0" fontId="13" fillId="0" borderId="3" xfId="2" quotePrefix="1" applyFont="1" applyBorder="1" applyAlignment="1">
      <alignment horizontal="center" vertical="top"/>
    </xf>
    <xf numFmtId="0" fontId="13" fillId="0" borderId="4" xfId="2" applyFont="1" applyBorder="1" applyAlignment="1">
      <alignment vertical="top" shrinkToFit="1"/>
    </xf>
    <xf numFmtId="0" fontId="15" fillId="3" borderId="2" xfId="2" applyFont="1" applyFill="1" applyBorder="1" applyAlignment="1">
      <alignment horizontal="center" vertical="center" shrinkToFit="1"/>
    </xf>
    <xf numFmtId="0" fontId="15" fillId="3" borderId="3" xfId="1" applyFont="1" applyFill="1" applyBorder="1" applyAlignment="1">
      <alignment vertical="center"/>
    </xf>
    <xf numFmtId="0" fontId="15" fillId="3" borderId="4" xfId="1" applyFont="1" applyFill="1" applyBorder="1" applyAlignment="1">
      <alignment vertical="center"/>
    </xf>
    <xf numFmtId="0" fontId="15" fillId="3" borderId="3" xfId="1" applyFont="1" applyFill="1" applyBorder="1" applyAlignment="1">
      <alignment vertical="top"/>
    </xf>
    <xf numFmtId="0" fontId="15" fillId="3" borderId="4" xfId="1" applyFont="1" applyFill="1" applyBorder="1" applyAlignment="1">
      <alignment vertical="top"/>
    </xf>
    <xf numFmtId="0" fontId="15" fillId="3" borderId="1" xfId="1" applyFont="1" applyFill="1" applyBorder="1" applyAlignment="1">
      <alignment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0" fontId="15" fillId="3" borderId="3" xfId="2" applyFont="1" applyFill="1" applyBorder="1" applyAlignment="1">
      <alignment horizontal="center" vertical="center"/>
    </xf>
    <xf numFmtId="0" fontId="13" fillId="0" borderId="1" xfId="6" applyFont="1" applyBorder="1" applyAlignment="1">
      <alignment vertical="top"/>
    </xf>
    <xf numFmtId="0" fontId="13" fillId="0" borderId="4" xfId="1" applyFont="1" applyBorder="1" applyAlignment="1">
      <alignment vertical="top"/>
    </xf>
    <xf numFmtId="0" fontId="13" fillId="0" borderId="1" xfId="1" applyFont="1" applyBorder="1" applyAlignment="1">
      <alignment vertical="top"/>
    </xf>
    <xf numFmtId="0" fontId="13" fillId="0" borderId="4" xfId="2" applyFont="1" applyBorder="1" applyAlignment="1">
      <alignment horizontal="right" vertical="top" shrinkToFit="1"/>
    </xf>
    <xf numFmtId="0" fontId="13" fillId="0" borderId="2" xfId="2" quotePrefix="1" applyFont="1" applyBorder="1" applyAlignment="1">
      <alignment horizontal="center" vertical="top"/>
    </xf>
    <xf numFmtId="49" fontId="13" fillId="0" borderId="7" xfId="4" applyNumberFormat="1" applyFont="1" applyBorder="1" applyAlignment="1">
      <alignment vertical="top"/>
    </xf>
    <xf numFmtId="0" fontId="13" fillId="0" borderId="8" xfId="2" applyFont="1" applyBorder="1" applyAlignment="1">
      <alignment horizontal="right" vertical="top" shrinkToFit="1"/>
    </xf>
    <xf numFmtId="49" fontId="13" fillId="0" borderId="12" xfId="2" applyNumberFormat="1" applyFont="1" applyBorder="1" applyAlignment="1">
      <alignment horizontal="center" vertical="top" shrinkToFit="1"/>
    </xf>
    <xf numFmtId="0" fontId="13" fillId="0" borderId="12" xfId="2" applyFont="1" applyBorder="1" applyAlignment="1">
      <alignment horizontal="center" vertical="top" shrinkToFit="1"/>
    </xf>
    <xf numFmtId="0" fontId="13" fillId="0" borderId="6" xfId="3" applyFont="1" applyBorder="1" applyAlignment="1">
      <alignment vertical="top"/>
    </xf>
    <xf numFmtId="0" fontId="13" fillId="0" borderId="7" xfId="1" applyFont="1" applyBorder="1" applyAlignment="1">
      <alignment vertical="top"/>
    </xf>
    <xf numFmtId="0" fontId="13" fillId="0" borderId="8" xfId="1" applyFont="1" applyBorder="1" applyAlignment="1">
      <alignment vertical="top"/>
    </xf>
    <xf numFmtId="49" fontId="13" fillId="0" borderId="7" xfId="2" applyNumberFormat="1" applyFont="1" applyBorder="1" applyAlignment="1">
      <alignment vertical="top"/>
    </xf>
    <xf numFmtId="0" fontId="13" fillId="0" borderId="12" xfId="2" quotePrefix="1" applyFont="1" applyBorder="1" applyAlignment="1">
      <alignment horizontal="center" vertical="top"/>
    </xf>
    <xf numFmtId="0" fontId="13" fillId="0" borderId="13" xfId="2" quotePrefix="1" applyFont="1" applyBorder="1" applyAlignment="1">
      <alignment horizontal="center" vertical="top"/>
    </xf>
    <xf numFmtId="49" fontId="13" fillId="0" borderId="8" xfId="4" applyNumberFormat="1" applyFont="1" applyBorder="1" applyAlignment="1">
      <alignment vertical="top"/>
    </xf>
    <xf numFmtId="0" fontId="15" fillId="3" borderId="3" xfId="2" applyFont="1" applyFill="1" applyBorder="1" applyAlignment="1">
      <alignment vertical="center"/>
    </xf>
    <xf numFmtId="0" fontId="15" fillId="3" borderId="4" xfId="2" applyFont="1" applyFill="1" applyBorder="1" applyAlignment="1">
      <alignment vertical="center"/>
    </xf>
    <xf numFmtId="0" fontId="15" fillId="3" borderId="1" xfId="2" applyFont="1" applyFill="1" applyBorder="1" applyAlignment="1">
      <alignment vertical="center"/>
    </xf>
    <xf numFmtId="0" fontId="3" fillId="0" borderId="0" xfId="7">
      <alignment vertical="center"/>
    </xf>
    <xf numFmtId="0" fontId="0" fillId="4" borderId="2" xfId="8" applyFont="1" applyFill="1" applyBorder="1">
      <alignment vertical="center"/>
    </xf>
    <xf numFmtId="0" fontId="2" fillId="0" borderId="2" xfId="8" applyBorder="1">
      <alignment vertical="center"/>
    </xf>
    <xf numFmtId="0" fontId="0" fillId="0" borderId="2" xfId="8" applyFont="1" applyBorder="1">
      <alignment vertical="center"/>
    </xf>
    <xf numFmtId="49" fontId="20" fillId="0" borderId="2" xfId="3" applyNumberFormat="1" applyFont="1" applyBorder="1" applyAlignment="1">
      <alignment vertical="top"/>
    </xf>
    <xf numFmtId="0" fontId="10" fillId="0" borderId="2" xfId="8" applyFont="1" applyBorder="1">
      <alignment vertical="center"/>
    </xf>
    <xf numFmtId="0" fontId="2" fillId="0" borderId="0" xfId="8">
      <alignment vertical="center"/>
    </xf>
    <xf numFmtId="0" fontId="2" fillId="5" borderId="2" xfId="8" applyFill="1" applyBorder="1">
      <alignment vertical="center"/>
    </xf>
    <xf numFmtId="0" fontId="0" fillId="4" borderId="2" xfId="0" applyFill="1" applyBorder="1" applyAlignment="1">
      <alignment vertical="center" wrapText="1"/>
    </xf>
    <xf numFmtId="0" fontId="2" fillId="6" borderId="2" xfId="8" applyFill="1" applyBorder="1">
      <alignment vertical="center"/>
    </xf>
    <xf numFmtId="0" fontId="1" fillId="0" borderId="2" xfId="8" applyFont="1" applyBorder="1">
      <alignment vertical="center"/>
    </xf>
    <xf numFmtId="0" fontId="0" fillId="6" borderId="2" xfId="8" applyFont="1" applyFill="1" applyBorder="1">
      <alignment vertical="center"/>
    </xf>
    <xf numFmtId="49" fontId="20" fillId="0" borderId="2" xfId="4" applyNumberFormat="1" applyFont="1" applyBorder="1" applyAlignment="1">
      <alignment vertical="top"/>
    </xf>
    <xf numFmtId="0" fontId="33" fillId="6" borderId="2" xfId="8" applyFont="1" applyFill="1" applyBorder="1">
      <alignment vertical="center"/>
    </xf>
    <xf numFmtId="49" fontId="10" fillId="0" borderId="2" xfId="3" applyNumberFormat="1" applyFont="1" applyBorder="1" applyAlignment="1">
      <alignment vertical="top"/>
    </xf>
    <xf numFmtId="0" fontId="0" fillId="7" borderId="2" xfId="8" applyFont="1" applyFill="1" applyBorder="1">
      <alignment vertical="center"/>
    </xf>
    <xf numFmtId="56" fontId="0" fillId="0" borderId="2" xfId="0" applyNumberFormat="1" applyBorder="1">
      <alignment vertical="center"/>
    </xf>
    <xf numFmtId="0" fontId="0" fillId="7" borderId="2" xfId="0" applyFill="1" applyBorder="1">
      <alignment vertical="center"/>
    </xf>
    <xf numFmtId="0" fontId="2" fillId="7" borderId="2" xfId="8" applyFill="1" applyBorder="1">
      <alignment vertical="center"/>
    </xf>
    <xf numFmtId="0" fontId="34" fillId="6" borderId="2" xfId="8" applyFont="1" applyFill="1" applyBorder="1">
      <alignment vertical="center"/>
    </xf>
    <xf numFmtId="0" fontId="10" fillId="6" borderId="2" xfId="8" applyFont="1" applyFill="1" applyBorder="1">
      <alignment vertical="center"/>
    </xf>
    <xf numFmtId="0" fontId="3" fillId="6" borderId="0" xfId="7" applyFill="1">
      <alignment vertical="center"/>
    </xf>
    <xf numFmtId="0" fontId="12" fillId="0" borderId="0" xfId="0" applyFont="1">
      <alignment vertical="center"/>
    </xf>
    <xf numFmtId="0" fontId="35" fillId="0" borderId="0" xfId="0" applyFont="1">
      <alignment vertical="center"/>
    </xf>
    <xf numFmtId="0" fontId="36" fillId="0" borderId="0" xfId="0" applyFont="1">
      <alignment vertical="center"/>
    </xf>
    <xf numFmtId="0" fontId="13" fillId="0" borderId="0" xfId="1" quotePrefix="1" applyFont="1" applyAlignment="1">
      <alignment vertical="center"/>
    </xf>
    <xf numFmtId="0" fontId="7" fillId="0" borderId="2" xfId="2" applyFont="1" applyBorder="1" applyAlignment="1">
      <alignment horizontal="center" vertical="top" shrinkToFit="1"/>
    </xf>
    <xf numFmtId="0" fontId="17" fillId="0" borderId="0" xfId="0" applyFont="1">
      <alignment vertical="center"/>
    </xf>
    <xf numFmtId="0" fontId="37" fillId="0" borderId="0" xfId="0" applyFont="1">
      <alignment vertical="center"/>
    </xf>
    <xf numFmtId="49" fontId="7" fillId="0" borderId="4" xfId="2" applyNumberFormat="1" applyFont="1" applyBorder="1" applyAlignment="1">
      <alignment vertical="top"/>
    </xf>
    <xf numFmtId="0" fontId="7" fillId="0" borderId="3" xfId="4" applyFont="1" applyBorder="1" applyAlignment="1">
      <alignment vertical="top"/>
    </xf>
    <xf numFmtId="49" fontId="7" fillId="0" borderId="4" xfId="4" applyNumberFormat="1" applyFont="1" applyBorder="1" applyAlignment="1">
      <alignment vertical="top"/>
    </xf>
    <xf numFmtId="0" fontId="7" fillId="0" borderId="4" xfId="2" applyFont="1" applyBorder="1" applyAlignment="1">
      <alignment vertical="top" shrinkToFit="1"/>
    </xf>
    <xf numFmtId="0" fontId="7" fillId="0" borderId="3" xfId="3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49" fontId="7" fillId="0" borderId="2" xfId="2" applyNumberFormat="1" applyFont="1" applyBorder="1" applyAlignment="1">
      <alignment horizontal="center" vertical="top" shrinkToFit="1"/>
    </xf>
    <xf numFmtId="49" fontId="7" fillId="0" borderId="2" xfId="2" applyNumberFormat="1" applyFont="1" applyBorder="1" applyAlignment="1">
      <alignment horizontal="center" vertical="top"/>
    </xf>
    <xf numFmtId="0" fontId="7" fillId="0" borderId="2" xfId="2" applyFont="1" applyBorder="1" applyAlignment="1">
      <alignment horizontal="center" vertical="top"/>
    </xf>
    <xf numFmtId="0" fontId="7" fillId="0" borderId="3" xfId="3" applyFont="1" applyBorder="1" applyAlignment="1">
      <alignment horizontal="left" vertical="center"/>
    </xf>
    <xf numFmtId="0" fontId="7" fillId="0" borderId="4" xfId="1" applyFont="1" applyBorder="1" applyAlignment="1">
      <alignment vertical="top"/>
    </xf>
    <xf numFmtId="0" fontId="7" fillId="0" borderId="1" xfId="1" applyFont="1" applyBorder="1" applyAlignment="1">
      <alignment vertical="top"/>
    </xf>
    <xf numFmtId="0" fontId="7" fillId="0" borderId="1" xfId="2" applyFont="1" applyBorder="1" applyAlignment="1">
      <alignment horizontal="right" vertical="top" shrinkToFit="1"/>
    </xf>
    <xf numFmtId="14" fontId="0" fillId="0" borderId="2" xfId="0" applyNumberFormat="1" applyBorder="1" applyAlignment="1">
      <alignment horizontal="center" vertical="center"/>
    </xf>
    <xf numFmtId="14" fontId="13" fillId="0" borderId="3" xfId="1" applyNumberFormat="1" applyFont="1" applyBorder="1" applyAlignment="1">
      <alignment vertical="center"/>
    </xf>
    <xf numFmtId="14" fontId="13" fillId="0" borderId="4" xfId="1" applyNumberFormat="1" applyFont="1" applyBorder="1" applyAlignment="1">
      <alignment vertical="center"/>
    </xf>
    <xf numFmtId="14" fontId="13" fillId="0" borderId="1" xfId="1" applyNumberFormat="1" applyFont="1" applyBorder="1" applyAlignment="1">
      <alignment vertical="center"/>
    </xf>
    <xf numFmtId="0" fontId="7" fillId="0" borderId="2" xfId="2" quotePrefix="1" applyFont="1" applyBorder="1" applyAlignment="1">
      <alignment horizontal="center" vertical="top"/>
    </xf>
    <xf numFmtId="49" fontId="7" fillId="0" borderId="3" xfId="4" applyNumberFormat="1" applyFont="1" applyBorder="1" applyAlignment="1">
      <alignment vertical="top"/>
    </xf>
    <xf numFmtId="49" fontId="7" fillId="0" borderId="1" xfId="4" applyNumberFormat="1" applyFont="1" applyBorder="1" applyAlignment="1">
      <alignment vertical="top"/>
    </xf>
    <xf numFmtId="49" fontId="7" fillId="0" borderId="1" xfId="2" applyNumberFormat="1" applyFont="1" applyBorder="1" applyAlignment="1">
      <alignment vertical="top"/>
    </xf>
    <xf numFmtId="0" fontId="0" fillId="0" borderId="0" xfId="0" quotePrefix="1">
      <alignment vertical="center"/>
    </xf>
    <xf numFmtId="0" fontId="1" fillId="0" borderId="0" xfId="8" applyFont="1">
      <alignment vertical="center"/>
    </xf>
    <xf numFmtId="49" fontId="13" fillId="0" borderId="6" xfId="3" applyNumberFormat="1" applyFont="1" applyBorder="1" applyAlignment="1">
      <alignment vertical="top"/>
    </xf>
    <xf numFmtId="49" fontId="13" fillId="0" borderId="9" xfId="3" applyNumberFormat="1" applyFont="1" applyBorder="1" applyAlignment="1">
      <alignment vertical="top"/>
    </xf>
    <xf numFmtId="49" fontId="13" fillId="0" borderId="10" xfId="2" applyNumberFormat="1" applyFont="1" applyBorder="1" applyAlignment="1">
      <alignment vertical="top"/>
    </xf>
    <xf numFmtId="49" fontId="13" fillId="0" borderId="11" xfId="2" applyNumberFormat="1" applyFont="1" applyBorder="1" applyAlignment="1">
      <alignment vertical="top"/>
    </xf>
    <xf numFmtId="0" fontId="13" fillId="0" borderId="9" xfId="3" applyFont="1" applyBorder="1" applyAlignment="1">
      <alignment vertical="top"/>
    </xf>
    <xf numFmtId="49" fontId="13" fillId="0" borderId="10" xfId="4" applyNumberFormat="1" applyFont="1" applyBorder="1" applyAlignment="1">
      <alignment vertical="top"/>
    </xf>
    <xf numFmtId="49" fontId="13" fillId="0" borderId="11" xfId="4" applyNumberFormat="1" applyFont="1" applyBorder="1" applyAlignment="1">
      <alignment vertical="top"/>
    </xf>
    <xf numFmtId="49" fontId="13" fillId="0" borderId="11" xfId="3" applyNumberFormat="1" applyFont="1" applyBorder="1" applyAlignment="1">
      <alignment vertical="top"/>
    </xf>
    <xf numFmtId="0" fontId="13" fillId="0" borderId="11" xfId="2" applyFont="1" applyBorder="1" applyAlignment="1">
      <alignment horizontal="right" vertical="top" shrinkToFit="1"/>
    </xf>
    <xf numFmtId="0" fontId="13" fillId="0" borderId="13" xfId="2" applyFont="1" applyBorder="1" applyAlignment="1">
      <alignment horizontal="center" vertical="top" shrinkToFit="1"/>
    </xf>
    <xf numFmtId="49" fontId="13" fillId="0" borderId="13" xfId="2" applyNumberFormat="1" applyFont="1" applyBorder="1" applyAlignment="1">
      <alignment horizontal="center" vertical="top" shrinkToFit="1"/>
    </xf>
    <xf numFmtId="0" fontId="13" fillId="0" borderId="10" xfId="1" applyFont="1" applyBorder="1" applyAlignment="1">
      <alignment vertical="top"/>
    </xf>
    <xf numFmtId="0" fontId="13" fillId="0" borderId="11" xfId="1" applyFont="1" applyBorder="1" applyAlignment="1">
      <alignment vertical="top"/>
    </xf>
    <xf numFmtId="0" fontId="13" fillId="0" borderId="15" xfId="2" quotePrefix="1" applyFont="1" applyBorder="1" applyAlignment="1">
      <alignment horizontal="center" vertical="top"/>
    </xf>
    <xf numFmtId="0" fontId="13" fillId="0" borderId="14" xfId="1" applyFont="1" applyBorder="1" applyAlignment="1">
      <alignment vertical="top"/>
    </xf>
    <xf numFmtId="0" fontId="13" fillId="0" borderId="6" xfId="2" quotePrefix="1" applyFont="1" applyBorder="1" applyAlignment="1">
      <alignment horizontal="center" vertical="top"/>
    </xf>
    <xf numFmtId="49" fontId="7" fillId="0" borderId="4" xfId="3" applyNumberFormat="1" applyFont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0" fontId="13" fillId="0" borderId="2" xfId="0" applyFont="1" applyBorder="1">
      <alignment vertical="center"/>
    </xf>
    <xf numFmtId="0" fontId="13" fillId="0" borderId="3" xfId="1" applyFont="1" applyBorder="1" applyAlignment="1">
      <alignment vertical="center"/>
    </xf>
    <xf numFmtId="0" fontId="7" fillId="0" borderId="4" xfId="3" applyFont="1" applyBorder="1" applyAlignment="1">
      <alignment vertical="top"/>
    </xf>
    <xf numFmtId="0" fontId="7" fillId="0" borderId="1" xfId="3" applyFont="1" applyBorder="1" applyAlignment="1">
      <alignment vertical="top"/>
    </xf>
    <xf numFmtId="0" fontId="7" fillId="0" borderId="3" xfId="2" applyFont="1" applyBorder="1" applyAlignment="1">
      <alignment vertical="top" shrinkToFit="1"/>
    </xf>
    <xf numFmtId="0" fontId="7" fillId="0" borderId="3" xfId="2" quotePrefix="1" applyFont="1" applyBorder="1" applyAlignment="1">
      <alignment horizontal="center" vertical="top"/>
    </xf>
    <xf numFmtId="0" fontId="7" fillId="0" borderId="4" xfId="1" applyFont="1" applyBorder="1" applyAlignment="1">
      <alignment horizontal="left" vertical="center"/>
    </xf>
    <xf numFmtId="0" fontId="7" fillId="0" borderId="3" xfId="6" applyFont="1" applyBorder="1" applyAlignment="1">
      <alignment vertical="top"/>
    </xf>
    <xf numFmtId="0" fontId="7" fillId="0" borderId="4" xfId="6" applyFont="1" applyBorder="1" applyAlignment="1">
      <alignment vertical="top"/>
    </xf>
    <xf numFmtId="0" fontId="7" fillId="0" borderId="1" xfId="6" applyFont="1" applyBorder="1" applyAlignment="1">
      <alignment vertical="top"/>
    </xf>
    <xf numFmtId="0" fontId="7" fillId="0" borderId="2" xfId="0" applyFont="1" applyBorder="1">
      <alignment vertical="center"/>
    </xf>
    <xf numFmtId="0" fontId="7" fillId="0" borderId="4" xfId="2" applyFont="1" applyBorder="1" applyAlignment="1">
      <alignment horizontal="right" vertical="top" shrinkToFit="1"/>
    </xf>
    <xf numFmtId="0" fontId="7" fillId="0" borderId="4" xfId="0" applyFont="1" applyBorder="1">
      <alignment vertical="center"/>
    </xf>
    <xf numFmtId="0" fontId="7" fillId="0" borderId="0" xfId="0" applyFont="1">
      <alignment vertical="center"/>
    </xf>
    <xf numFmtId="49" fontId="7" fillId="0" borderId="3" xfId="3" applyNumberFormat="1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0" fontId="7" fillId="0" borderId="4" xfId="6" applyFont="1" applyFill="1" applyBorder="1" applyAlignment="1">
      <alignment vertical="top"/>
    </xf>
    <xf numFmtId="0" fontId="7" fillId="0" borderId="1" xfId="6" applyFont="1" applyFill="1" applyBorder="1" applyAlignment="1">
      <alignment vertical="top"/>
    </xf>
    <xf numFmtId="0" fontId="7" fillId="0" borderId="4" xfId="1" applyFont="1" applyFill="1" applyBorder="1" applyAlignment="1">
      <alignment vertical="top"/>
    </xf>
    <xf numFmtId="0" fontId="7" fillId="0" borderId="1" xfId="1" applyFont="1" applyFill="1" applyBorder="1" applyAlignment="1">
      <alignment vertical="top"/>
    </xf>
    <xf numFmtId="49" fontId="13" fillId="0" borderId="3" xfId="3" applyNumberFormat="1" applyFont="1" applyFill="1" applyBorder="1" applyAlignment="1">
      <alignment vertical="top"/>
    </xf>
    <xf numFmtId="49" fontId="13" fillId="0" borderId="4" xfId="2" applyNumberFormat="1" applyFont="1" applyFill="1" applyBorder="1" applyAlignment="1">
      <alignment vertical="top"/>
    </xf>
    <xf numFmtId="49" fontId="13" fillId="0" borderId="1" xfId="2" applyNumberFormat="1" applyFont="1" applyFill="1" applyBorder="1" applyAlignment="1">
      <alignment vertical="top"/>
    </xf>
    <xf numFmtId="0" fontId="13" fillId="0" borderId="3" xfId="3" applyFont="1" applyFill="1" applyBorder="1" applyAlignment="1">
      <alignment vertical="top"/>
    </xf>
    <xf numFmtId="49" fontId="13" fillId="0" borderId="4" xfId="4" applyNumberFormat="1" applyFont="1" applyFill="1" applyBorder="1" applyAlignment="1">
      <alignment vertical="top"/>
    </xf>
    <xf numFmtId="49" fontId="13" fillId="0" borderId="1" xfId="4" applyNumberFormat="1" applyFont="1" applyFill="1" applyBorder="1" applyAlignment="1">
      <alignment vertical="top"/>
    </xf>
    <xf numFmtId="0" fontId="13" fillId="0" borderId="1" xfId="2" applyFont="1" applyFill="1" applyBorder="1" applyAlignment="1">
      <alignment horizontal="right" vertical="top" shrinkToFit="1"/>
    </xf>
    <xf numFmtId="49" fontId="13" fillId="0" borderId="3" xfId="4" applyNumberFormat="1" applyFont="1" applyFill="1" applyBorder="1" applyAlignment="1">
      <alignment vertical="top"/>
    </xf>
    <xf numFmtId="49" fontId="7" fillId="0" borderId="3" xfId="3" applyNumberFormat="1" applyFont="1" applyFill="1" applyBorder="1" applyAlignment="1">
      <alignment vertical="top"/>
    </xf>
    <xf numFmtId="49" fontId="7" fillId="0" borderId="4" xfId="2" applyNumberFormat="1" applyFont="1" applyFill="1" applyBorder="1" applyAlignment="1">
      <alignment vertical="top"/>
    </xf>
    <xf numFmtId="49" fontId="7" fillId="0" borderId="1" xfId="2" applyNumberFormat="1" applyFont="1" applyFill="1" applyBorder="1" applyAlignment="1">
      <alignment vertical="top"/>
    </xf>
    <xf numFmtId="0" fontId="7" fillId="0" borderId="3" xfId="3" applyFont="1" applyFill="1" applyBorder="1" applyAlignment="1">
      <alignment vertical="top"/>
    </xf>
    <xf numFmtId="49" fontId="7" fillId="0" borderId="4" xfId="4" applyNumberFormat="1" applyFont="1" applyFill="1" applyBorder="1" applyAlignment="1">
      <alignment vertical="top"/>
    </xf>
    <xf numFmtId="49" fontId="7" fillId="0" borderId="1" xfId="4" applyNumberFormat="1" applyFont="1" applyFill="1" applyBorder="1" applyAlignment="1">
      <alignment vertical="top"/>
    </xf>
    <xf numFmtId="0" fontId="7" fillId="0" borderId="3" xfId="2" applyFont="1" applyFill="1" applyBorder="1" applyAlignment="1">
      <alignment vertical="top" shrinkToFit="1"/>
    </xf>
    <xf numFmtId="0" fontId="7" fillId="0" borderId="2" xfId="2" applyFont="1" applyFill="1" applyBorder="1" applyAlignment="1">
      <alignment horizontal="center" vertical="top" shrinkToFit="1"/>
    </xf>
    <xf numFmtId="49" fontId="7" fillId="0" borderId="2" xfId="2" applyNumberFormat="1" applyFont="1" applyFill="1" applyBorder="1" applyAlignment="1">
      <alignment horizontal="center" vertical="top" shrinkToFit="1"/>
    </xf>
    <xf numFmtId="49" fontId="7" fillId="0" borderId="3" xfId="4" applyNumberFormat="1" applyFont="1" applyFill="1" applyBorder="1" applyAlignment="1">
      <alignment vertical="top"/>
    </xf>
    <xf numFmtId="0" fontId="7" fillId="0" borderId="3" xfId="6" applyFont="1" applyFill="1" applyBorder="1" applyAlignment="1">
      <alignment vertical="top"/>
    </xf>
    <xf numFmtId="49" fontId="13" fillId="0" borderId="3" xfId="5" applyNumberFormat="1" applyFont="1" applyFill="1" applyBorder="1" applyAlignment="1">
      <alignment vertical="top"/>
    </xf>
    <xf numFmtId="49" fontId="13" fillId="0" borderId="4" xfId="5" applyNumberFormat="1" applyFont="1" applyFill="1" applyBorder="1" applyAlignment="1">
      <alignment vertical="top"/>
    </xf>
    <xf numFmtId="49" fontId="13" fillId="0" borderId="1" xfId="5" applyNumberFormat="1" applyFont="1" applyFill="1" applyBorder="1" applyAlignment="1">
      <alignment vertical="top"/>
    </xf>
    <xf numFmtId="49" fontId="7" fillId="0" borderId="1" xfId="3" applyNumberFormat="1" applyFont="1" applyFill="1" applyBorder="1" applyAlignment="1">
      <alignment vertical="top"/>
    </xf>
    <xf numFmtId="49" fontId="7" fillId="0" borderId="3" xfId="5" applyNumberFormat="1" applyFont="1" applyFill="1" applyBorder="1" applyAlignment="1">
      <alignment vertical="top"/>
    </xf>
    <xf numFmtId="49" fontId="7" fillId="0" borderId="4" xfId="5" applyNumberFormat="1" applyFont="1" applyFill="1" applyBorder="1" applyAlignment="1">
      <alignment vertical="top"/>
    </xf>
    <xf numFmtId="49" fontId="7" fillId="0" borderId="1" xfId="5" applyNumberFormat="1" applyFont="1" applyFill="1" applyBorder="1" applyAlignment="1">
      <alignment vertical="top"/>
    </xf>
    <xf numFmtId="0" fontId="7" fillId="0" borderId="3" xfId="4" applyFont="1" applyFill="1" applyBorder="1" applyAlignment="1">
      <alignment vertical="top"/>
    </xf>
    <xf numFmtId="0" fontId="7" fillId="0" borderId="1" xfId="2" applyFont="1" applyFill="1" applyBorder="1" applyAlignment="1">
      <alignment horizontal="right" vertical="top" shrinkToFit="1"/>
    </xf>
    <xf numFmtId="0" fontId="7" fillId="0" borderId="2" xfId="0" applyFont="1" applyFill="1" applyBorder="1">
      <alignment vertical="center"/>
    </xf>
    <xf numFmtId="0" fontId="7" fillId="0" borderId="0" xfId="1" applyFont="1" applyFill="1" applyAlignment="1">
      <alignment vertical="center"/>
    </xf>
    <xf numFmtId="0" fontId="7" fillId="0" borderId="2" xfId="2" applyFont="1" applyFill="1" applyBorder="1" applyAlignment="1">
      <alignment horizontal="center" vertical="top"/>
    </xf>
    <xf numFmtId="49" fontId="7" fillId="0" borderId="2" xfId="2" applyNumberFormat="1" applyFont="1" applyFill="1" applyBorder="1" applyAlignment="1">
      <alignment horizontal="center" vertical="top"/>
    </xf>
    <xf numFmtId="0" fontId="7" fillId="0" borderId="3" xfId="3" applyFont="1" applyFill="1" applyBorder="1" applyAlignment="1">
      <alignment horizontal="left" vertical="center"/>
    </xf>
    <xf numFmtId="0" fontId="7" fillId="0" borderId="4" xfId="2" applyFont="1" applyFill="1" applyBorder="1" applyAlignment="1">
      <alignment horizontal="right" vertical="top" shrinkToFit="1"/>
    </xf>
    <xf numFmtId="0" fontId="7" fillId="0" borderId="3" xfId="1" applyFont="1" applyFill="1" applyBorder="1" applyAlignment="1">
      <alignment vertical="center"/>
    </xf>
    <xf numFmtId="0" fontId="7" fillId="0" borderId="4" xfId="1" applyFont="1" applyFill="1" applyBorder="1" applyAlignment="1">
      <alignment vertical="center"/>
    </xf>
    <xf numFmtId="0" fontId="7" fillId="0" borderId="4" xfId="2" applyFont="1" applyFill="1" applyBorder="1" applyAlignment="1">
      <alignment vertical="top" shrinkToFit="1"/>
    </xf>
    <xf numFmtId="0" fontId="7" fillId="0" borderId="4" xfId="1" applyFont="1" applyFill="1" applyBorder="1" applyAlignment="1">
      <alignment horizontal="left" vertical="center"/>
    </xf>
    <xf numFmtId="0" fontId="7" fillId="0" borderId="4" xfId="3" applyFont="1" applyFill="1" applyBorder="1" applyAlignment="1">
      <alignment vertical="top"/>
    </xf>
    <xf numFmtId="0" fontId="13" fillId="0" borderId="2" xfId="2" applyFont="1" applyFill="1" applyBorder="1" applyAlignment="1">
      <alignment horizontal="center" vertical="top" shrinkToFit="1"/>
    </xf>
    <xf numFmtId="49" fontId="13" fillId="0" borderId="2" xfId="2" applyNumberFormat="1" applyFont="1" applyFill="1" applyBorder="1" applyAlignment="1">
      <alignment horizontal="center" vertical="top" shrinkToFit="1"/>
    </xf>
    <xf numFmtId="0" fontId="13" fillId="0" borderId="4" xfId="1" applyFont="1" applyFill="1" applyBorder="1" applyAlignment="1">
      <alignment vertical="top"/>
    </xf>
    <xf numFmtId="0" fontId="13" fillId="0" borderId="4" xfId="3" applyFont="1" applyFill="1" applyBorder="1" applyAlignment="1">
      <alignment vertical="top"/>
    </xf>
    <xf numFmtId="0" fontId="7" fillId="0" borderId="2" xfId="2" quotePrefix="1" applyFont="1" applyFill="1" applyBorder="1" applyAlignment="1">
      <alignment horizontal="center" vertical="top"/>
    </xf>
    <xf numFmtId="0" fontId="13" fillId="0" borderId="6" xfId="3" applyFont="1" applyFill="1" applyBorder="1" applyAlignment="1">
      <alignment vertical="top"/>
    </xf>
    <xf numFmtId="49" fontId="13" fillId="0" borderId="7" xfId="4" applyNumberFormat="1" applyFont="1" applyFill="1" applyBorder="1" applyAlignment="1">
      <alignment vertical="top"/>
    </xf>
    <xf numFmtId="49" fontId="13" fillId="0" borderId="8" xfId="4" applyNumberFormat="1" applyFont="1" applyFill="1" applyBorder="1" applyAlignment="1">
      <alignment vertical="top"/>
    </xf>
    <xf numFmtId="49" fontId="13" fillId="0" borderId="6" xfId="5" applyNumberFormat="1" applyFont="1" applyFill="1" applyBorder="1" applyAlignment="1">
      <alignment vertical="top"/>
    </xf>
    <xf numFmtId="49" fontId="13" fillId="0" borderId="8" xfId="2" applyNumberFormat="1" applyFont="1" applyFill="1" applyBorder="1" applyAlignment="1">
      <alignment vertical="top"/>
    </xf>
    <xf numFmtId="0" fontId="13" fillId="0" borderId="2" xfId="2" applyFont="1" applyFill="1" applyBorder="1" applyAlignment="1">
      <alignment horizontal="center" vertical="top"/>
    </xf>
    <xf numFmtId="49" fontId="13" fillId="0" borderId="2" xfId="2" applyNumberFormat="1" applyFont="1" applyFill="1" applyBorder="1" applyAlignment="1">
      <alignment horizontal="center" vertical="top"/>
    </xf>
    <xf numFmtId="0" fontId="13" fillId="0" borderId="3" xfId="3" applyFont="1" applyFill="1" applyBorder="1" applyAlignment="1">
      <alignment horizontal="left" vertical="center"/>
    </xf>
    <xf numFmtId="0" fontId="13" fillId="0" borderId="4" xfId="1" applyFont="1" applyFill="1" applyBorder="1" applyAlignment="1">
      <alignment horizontal="left" vertical="center"/>
    </xf>
    <xf numFmtId="0" fontId="13" fillId="0" borderId="1" xfId="1" applyFont="1" applyFill="1" applyBorder="1" applyAlignment="1">
      <alignment vertical="top"/>
    </xf>
    <xf numFmtId="0" fontId="7" fillId="0" borderId="1" xfId="3" applyFont="1" applyFill="1" applyBorder="1" applyAlignment="1">
      <alignment vertical="top"/>
    </xf>
    <xf numFmtId="0" fontId="7" fillId="0" borderId="6" xfId="3" applyFont="1" applyFill="1" applyBorder="1" applyAlignment="1">
      <alignment vertical="top"/>
    </xf>
    <xf numFmtId="49" fontId="7" fillId="0" borderId="7" xfId="4" applyNumberFormat="1" applyFont="1" applyFill="1" applyBorder="1" applyAlignment="1">
      <alignment vertical="top"/>
    </xf>
    <xf numFmtId="49" fontId="7" fillId="0" borderId="8" xfId="4" applyNumberFormat="1" applyFont="1" applyFill="1" applyBorder="1" applyAlignment="1">
      <alignment vertical="top"/>
    </xf>
    <xf numFmtId="49" fontId="7" fillId="0" borderId="6" xfId="5" applyNumberFormat="1" applyFont="1" applyFill="1" applyBorder="1" applyAlignment="1">
      <alignment vertical="top"/>
    </xf>
    <xf numFmtId="49" fontId="7" fillId="0" borderId="8" xfId="2" applyNumberFormat="1" applyFont="1" applyFill="1" applyBorder="1" applyAlignment="1">
      <alignment vertical="top"/>
    </xf>
    <xf numFmtId="0" fontId="13" fillId="0" borderId="3" xfId="6" applyFont="1" applyFill="1" applyBorder="1" applyAlignment="1">
      <alignment vertical="top"/>
    </xf>
    <xf numFmtId="0" fontId="13" fillId="0" borderId="4" xfId="6" applyFont="1" applyFill="1" applyBorder="1" applyAlignment="1">
      <alignment vertical="top"/>
    </xf>
    <xf numFmtId="0" fontId="13" fillId="0" borderId="1" xfId="6" applyFont="1" applyFill="1" applyBorder="1" applyAlignment="1">
      <alignment vertical="top"/>
    </xf>
    <xf numFmtId="49" fontId="13" fillId="0" borderId="6" xfId="3" applyNumberFormat="1" applyFont="1" applyFill="1" applyBorder="1" applyAlignment="1">
      <alignment vertical="top"/>
    </xf>
    <xf numFmtId="49" fontId="13" fillId="0" borderId="7" xfId="2" applyNumberFormat="1" applyFont="1" applyFill="1" applyBorder="1" applyAlignment="1">
      <alignment vertical="top"/>
    </xf>
    <xf numFmtId="0" fontId="13" fillId="0" borderId="8" xfId="2" applyFont="1" applyFill="1" applyBorder="1" applyAlignment="1">
      <alignment horizontal="right" vertical="top" shrinkToFit="1"/>
    </xf>
    <xf numFmtId="0" fontId="13" fillId="0" borderId="12" xfId="2" applyFont="1" applyFill="1" applyBorder="1" applyAlignment="1">
      <alignment horizontal="center" vertical="top" shrinkToFit="1"/>
    </xf>
    <xf numFmtId="49" fontId="13" fillId="0" borderId="12" xfId="2" applyNumberFormat="1" applyFont="1" applyFill="1" applyBorder="1" applyAlignment="1">
      <alignment horizontal="center" vertical="top" shrinkToFit="1"/>
    </xf>
    <xf numFmtId="0" fontId="13" fillId="0" borderId="7" xfId="1" applyFont="1" applyFill="1" applyBorder="1" applyAlignment="1">
      <alignment vertical="top"/>
    </xf>
    <xf numFmtId="0" fontId="13" fillId="0" borderId="8" xfId="1" applyFont="1" applyFill="1" applyBorder="1" applyAlignment="1">
      <alignment vertical="top"/>
    </xf>
    <xf numFmtId="49" fontId="13" fillId="0" borderId="5" xfId="3" applyNumberFormat="1" applyFont="1" applyFill="1" applyBorder="1" applyAlignment="1">
      <alignment vertical="top"/>
    </xf>
    <xf numFmtId="49" fontId="13" fillId="0" borderId="0" xfId="2" applyNumberFormat="1" applyFont="1" applyFill="1" applyAlignment="1">
      <alignment vertical="top"/>
    </xf>
    <xf numFmtId="49" fontId="13" fillId="0" borderId="14" xfId="2" applyNumberFormat="1" applyFont="1" applyFill="1" applyBorder="1" applyAlignment="1">
      <alignment vertical="top"/>
    </xf>
    <xf numFmtId="0" fontId="13" fillId="0" borderId="5" xfId="3" applyFont="1" applyFill="1" applyBorder="1" applyAlignment="1">
      <alignment vertical="top"/>
    </xf>
    <xf numFmtId="49" fontId="13" fillId="0" borderId="0" xfId="4" applyNumberFormat="1" applyFont="1" applyFill="1" applyAlignment="1">
      <alignment vertical="top"/>
    </xf>
    <xf numFmtId="49" fontId="13" fillId="0" borderId="14" xfId="4" applyNumberFormat="1" applyFont="1" applyFill="1" applyBorder="1" applyAlignment="1">
      <alignment vertical="top"/>
    </xf>
    <xf numFmtId="49" fontId="13" fillId="0" borderId="14" xfId="3" applyNumberFormat="1" applyFont="1" applyFill="1" applyBorder="1" applyAlignment="1">
      <alignment vertical="top"/>
    </xf>
    <xf numFmtId="0" fontId="13" fillId="0" borderId="14" xfId="2" applyFont="1" applyFill="1" applyBorder="1" applyAlignment="1">
      <alignment horizontal="right" vertical="top" shrinkToFit="1"/>
    </xf>
    <xf numFmtId="0" fontId="13" fillId="0" borderId="15" xfId="2" applyFont="1" applyFill="1" applyBorder="1" applyAlignment="1">
      <alignment horizontal="center" vertical="top" shrinkToFit="1"/>
    </xf>
    <xf numFmtId="49" fontId="13" fillId="0" borderId="15" xfId="2" applyNumberFormat="1" applyFont="1" applyFill="1" applyBorder="1" applyAlignment="1">
      <alignment horizontal="center" vertical="top" shrinkToFit="1"/>
    </xf>
    <xf numFmtId="0" fontId="13" fillId="0" borderId="0" xfId="1" applyFont="1" applyFill="1" applyAlignment="1">
      <alignment vertical="top"/>
    </xf>
    <xf numFmtId="0" fontId="13" fillId="0" borderId="14" xfId="1" applyFont="1" applyFill="1" applyBorder="1" applyAlignment="1">
      <alignment vertical="top"/>
    </xf>
    <xf numFmtId="49" fontId="13" fillId="0" borderId="7" xfId="5" applyNumberFormat="1" applyFont="1" applyFill="1" applyBorder="1" applyAlignment="1">
      <alignment vertical="top"/>
    </xf>
    <xf numFmtId="49" fontId="13" fillId="0" borderId="8" xfId="5" applyNumberFormat="1" applyFont="1" applyFill="1" applyBorder="1" applyAlignment="1">
      <alignment vertical="top"/>
    </xf>
    <xf numFmtId="49" fontId="13" fillId="0" borderId="4" xfId="3" applyNumberFormat="1" applyFont="1" applyFill="1" applyBorder="1" applyAlignment="1">
      <alignment vertical="top"/>
    </xf>
    <xf numFmtId="0" fontId="13" fillId="0" borderId="4" xfId="2" applyFont="1" applyFill="1" applyBorder="1" applyAlignment="1">
      <alignment vertical="top" shrinkToFit="1"/>
    </xf>
    <xf numFmtId="0" fontId="7" fillId="7" borderId="1" xfId="2" applyFont="1" applyFill="1" applyBorder="1" applyAlignment="1">
      <alignment horizontal="right" vertical="top" shrinkToFit="1"/>
    </xf>
    <xf numFmtId="49" fontId="13" fillId="7" borderId="4" xfId="4" applyNumberFormat="1" applyFont="1" applyFill="1" applyBorder="1" applyAlignment="1">
      <alignment vertical="top"/>
    </xf>
    <xf numFmtId="49" fontId="13" fillId="7" borderId="1" xfId="2" applyNumberFormat="1" applyFont="1" applyFill="1" applyBorder="1" applyAlignment="1">
      <alignment vertical="top"/>
    </xf>
    <xf numFmtId="0" fontId="13" fillId="7" borderId="1" xfId="2" applyFont="1" applyFill="1" applyBorder="1" applyAlignment="1">
      <alignment horizontal="right" vertical="top" shrinkToFit="1"/>
    </xf>
    <xf numFmtId="49" fontId="13" fillId="7" borderId="4" xfId="2" applyNumberFormat="1" applyFont="1" applyFill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49" fontId="7" fillId="0" borderId="3" xfId="3" applyNumberFormat="1" applyFont="1" applyFill="1" applyBorder="1" applyAlignment="1">
      <alignment vertical="top"/>
    </xf>
    <xf numFmtId="49" fontId="7" fillId="0" borderId="1" xfId="3" applyNumberFormat="1" applyFont="1" applyFill="1" applyBorder="1" applyAlignment="1">
      <alignment vertical="top"/>
    </xf>
    <xf numFmtId="49" fontId="13" fillId="0" borderId="3" xfId="3" applyNumberFormat="1" applyFont="1" applyBorder="1" applyAlignment="1">
      <alignment vertical="top"/>
    </xf>
    <xf numFmtId="49" fontId="7" fillId="0" borderId="3" xfId="3" applyNumberFormat="1" applyFont="1" applyBorder="1" applyAlignment="1">
      <alignment vertical="top"/>
    </xf>
    <xf numFmtId="49" fontId="13" fillId="0" borderId="3" xfId="3" applyNumberFormat="1" applyFont="1" applyFill="1" applyBorder="1" applyAlignment="1">
      <alignment vertical="top"/>
    </xf>
    <xf numFmtId="49" fontId="13" fillId="0" borderId="3" xfId="5" applyNumberFormat="1" applyFont="1" applyFill="1" applyBorder="1" applyAlignment="1">
      <alignment vertical="top"/>
    </xf>
    <xf numFmtId="49" fontId="13" fillId="0" borderId="4" xfId="5" applyNumberFormat="1" applyFont="1" applyFill="1" applyBorder="1" applyAlignment="1">
      <alignment vertical="top"/>
    </xf>
    <xf numFmtId="49" fontId="13" fillId="0" borderId="1" xfId="5" applyNumberFormat="1" applyFont="1" applyFill="1" applyBorder="1" applyAlignment="1">
      <alignment vertical="top"/>
    </xf>
    <xf numFmtId="49" fontId="13" fillId="0" borderId="6" xfId="5" applyNumberFormat="1" applyFont="1" applyFill="1" applyBorder="1" applyAlignment="1">
      <alignment vertical="top"/>
    </xf>
    <xf numFmtId="49" fontId="13" fillId="0" borderId="7" xfId="5" applyNumberFormat="1" applyFont="1" applyFill="1" applyBorder="1" applyAlignment="1">
      <alignment vertical="top"/>
    </xf>
    <xf numFmtId="49" fontId="13" fillId="0" borderId="8" xfId="5" applyNumberFormat="1" applyFont="1" applyFill="1" applyBorder="1" applyAlignment="1">
      <alignment vertical="top"/>
    </xf>
    <xf numFmtId="49" fontId="7" fillId="0" borderId="3" xfId="5" applyNumberFormat="1" applyFont="1" applyFill="1" applyBorder="1" applyAlignment="1">
      <alignment vertical="top"/>
    </xf>
    <xf numFmtId="49" fontId="7" fillId="0" borderId="4" xfId="5" applyNumberFormat="1" applyFont="1" applyFill="1" applyBorder="1" applyAlignment="1">
      <alignment vertical="top"/>
    </xf>
    <xf numFmtId="49" fontId="7" fillId="0" borderId="1" xfId="5" applyNumberFormat="1" applyFont="1" applyFill="1" applyBorder="1" applyAlignment="1">
      <alignment vertical="top"/>
    </xf>
    <xf numFmtId="49" fontId="7" fillId="0" borderId="6" xfId="3" applyNumberFormat="1" applyFont="1" applyFill="1" applyBorder="1" applyAlignment="1">
      <alignment vertical="top"/>
    </xf>
    <xf numFmtId="49" fontId="13" fillId="0" borderId="3" xfId="3" applyNumberFormat="1" applyFont="1" applyFill="1" applyBorder="1" applyAlignment="1">
      <alignment vertical="top"/>
    </xf>
    <xf numFmtId="0" fontId="7" fillId="0" borderId="12" xfId="2" quotePrefix="1" applyFont="1" applyBorder="1" applyAlignment="1">
      <alignment horizontal="center" vertical="top"/>
    </xf>
    <xf numFmtId="49" fontId="7" fillId="0" borderId="6" xfId="3" applyNumberFormat="1" applyFont="1" applyBorder="1" applyAlignment="1">
      <alignment vertical="top"/>
    </xf>
    <xf numFmtId="49" fontId="7" fillId="0" borderId="7" xfId="2" applyNumberFormat="1" applyFont="1" applyBorder="1" applyAlignment="1">
      <alignment vertical="top"/>
    </xf>
    <xf numFmtId="49" fontId="7" fillId="0" borderId="8" xfId="2" applyNumberFormat="1" applyFont="1" applyBorder="1" applyAlignment="1">
      <alignment vertical="top"/>
    </xf>
    <xf numFmtId="0" fontId="7" fillId="0" borderId="6" xfId="4" applyFont="1" applyBorder="1" applyAlignment="1">
      <alignment vertical="top"/>
    </xf>
    <xf numFmtId="49" fontId="7" fillId="0" borderId="7" xfId="4" applyNumberFormat="1" applyFont="1" applyBorder="1" applyAlignment="1">
      <alignment vertical="top"/>
    </xf>
    <xf numFmtId="49" fontId="7" fillId="0" borderId="8" xfId="4" applyNumberFormat="1" applyFont="1" applyBorder="1" applyAlignment="1">
      <alignment vertical="top"/>
    </xf>
    <xf numFmtId="0" fontId="7" fillId="0" borderId="8" xfId="2" applyFont="1" applyBorder="1" applyAlignment="1">
      <alignment horizontal="right" vertical="top" shrinkToFit="1"/>
    </xf>
    <xf numFmtId="0" fontId="7" fillId="0" borderId="12" xfId="2" applyFont="1" applyBorder="1" applyAlignment="1">
      <alignment horizontal="center" vertical="top"/>
    </xf>
    <xf numFmtId="49" fontId="7" fillId="0" borderId="12" xfId="2" applyNumberFormat="1" applyFont="1" applyBorder="1" applyAlignment="1">
      <alignment horizontal="center" vertical="top"/>
    </xf>
    <xf numFmtId="0" fontId="7" fillId="0" borderId="6" xfId="3" applyFont="1" applyFill="1" applyBorder="1" applyAlignment="1">
      <alignment horizontal="left" vertical="center"/>
    </xf>
    <xf numFmtId="0" fontId="7" fillId="0" borderId="7" xfId="1" applyFont="1" applyFill="1" applyBorder="1" applyAlignment="1">
      <alignment horizontal="left" vertical="center"/>
    </xf>
    <xf numFmtId="0" fontId="7" fillId="0" borderId="7" xfId="1" applyFont="1" applyFill="1" applyBorder="1" applyAlignment="1">
      <alignment vertical="top"/>
    </xf>
    <xf numFmtId="0" fontId="7" fillId="0" borderId="7" xfId="1" applyFont="1" applyBorder="1" applyAlignment="1">
      <alignment vertical="top"/>
    </xf>
    <xf numFmtId="0" fontId="7" fillId="0" borderId="8" xfId="1" applyFont="1" applyBorder="1" applyAlignment="1">
      <alignment vertical="top"/>
    </xf>
    <xf numFmtId="0" fontId="7" fillId="0" borderId="13" xfId="2" quotePrefix="1" applyFont="1" applyBorder="1" applyAlignment="1">
      <alignment horizontal="center" vertical="top"/>
    </xf>
    <xf numFmtId="49" fontId="7" fillId="0" borderId="9" xfId="3" applyNumberFormat="1" applyFont="1" applyBorder="1" applyAlignment="1">
      <alignment vertical="top"/>
    </xf>
    <xf numFmtId="49" fontId="7" fillId="0" borderId="10" xfId="2" applyNumberFormat="1" applyFont="1" applyBorder="1" applyAlignment="1">
      <alignment vertical="top"/>
    </xf>
    <xf numFmtId="49" fontId="7" fillId="0" borderId="11" xfId="2" applyNumberFormat="1" applyFont="1" applyBorder="1" applyAlignment="1">
      <alignment vertical="top"/>
    </xf>
    <xf numFmtId="0" fontId="7" fillId="0" borderId="9" xfId="4" applyFont="1" applyBorder="1" applyAlignment="1">
      <alignment vertical="top"/>
    </xf>
    <xf numFmtId="49" fontId="7" fillId="0" borderId="10" xfId="4" applyNumberFormat="1" applyFont="1" applyBorder="1" applyAlignment="1">
      <alignment vertical="top"/>
    </xf>
    <xf numFmtId="49" fontId="7" fillId="0" borderId="11" xfId="4" applyNumberFormat="1" applyFont="1" applyBorder="1" applyAlignment="1">
      <alignment vertical="top"/>
    </xf>
    <xf numFmtId="0" fontId="7" fillId="0" borderId="11" xfId="2" applyFont="1" applyBorder="1" applyAlignment="1">
      <alignment horizontal="right" vertical="top" shrinkToFit="1"/>
    </xf>
    <xf numFmtId="0" fontId="7" fillId="0" borderId="13" xfId="2" applyFont="1" applyBorder="1" applyAlignment="1">
      <alignment horizontal="center" vertical="top"/>
    </xf>
    <xf numFmtId="49" fontId="7" fillId="0" borderId="13" xfId="2" applyNumberFormat="1" applyFont="1" applyBorder="1" applyAlignment="1">
      <alignment horizontal="center" vertical="top"/>
    </xf>
    <xf numFmtId="0" fontId="7" fillId="0" borderId="9" xfId="3" applyFont="1" applyFill="1" applyBorder="1" applyAlignment="1">
      <alignment horizontal="left" vertical="center"/>
    </xf>
    <xf numFmtId="0" fontId="7" fillId="0" borderId="10" xfId="1" applyFont="1" applyFill="1" applyBorder="1" applyAlignment="1">
      <alignment horizontal="left" vertical="center"/>
    </xf>
    <xf numFmtId="0" fontId="7" fillId="0" borderId="10" xfId="1" applyFont="1" applyFill="1" applyBorder="1" applyAlignment="1">
      <alignment vertical="top"/>
    </xf>
    <xf numFmtId="0" fontId="7" fillId="0" borderId="10" xfId="1" applyFont="1" applyBorder="1" applyAlignment="1">
      <alignment vertical="top"/>
    </xf>
    <xf numFmtId="0" fontId="7" fillId="0" borderId="11" xfId="1" applyFont="1" applyBorder="1" applyAlignment="1">
      <alignment vertical="top"/>
    </xf>
    <xf numFmtId="0" fontId="13" fillId="0" borderId="3" xfId="4" applyFont="1" applyFill="1" applyBorder="1" applyAlignment="1">
      <alignment vertical="top"/>
    </xf>
    <xf numFmtId="0" fontId="13" fillId="0" borderId="1" xfId="3" applyFont="1" applyFill="1" applyBorder="1" applyAlignment="1">
      <alignment vertical="top"/>
    </xf>
    <xf numFmtId="0" fontId="37" fillId="0" borderId="0" xfId="1" applyFont="1" applyFill="1" applyAlignment="1">
      <alignment vertical="center"/>
    </xf>
    <xf numFmtId="0" fontId="13" fillId="0" borderId="4" xfId="6" applyFont="1" applyFill="1" applyBorder="1" applyAlignment="1">
      <alignment vertical="top" shrinkToFit="1"/>
    </xf>
    <xf numFmtId="49" fontId="13" fillId="0" borderId="9" xfId="5" applyNumberFormat="1" applyFont="1" applyFill="1" applyBorder="1" applyAlignment="1">
      <alignment vertical="top"/>
    </xf>
    <xf numFmtId="49" fontId="13" fillId="0" borderId="10" xfId="5" applyNumberFormat="1" applyFont="1" applyFill="1" applyBorder="1" applyAlignment="1">
      <alignment vertical="top"/>
    </xf>
    <xf numFmtId="49" fontId="13" fillId="0" borderId="11" xfId="5" applyNumberFormat="1" applyFont="1" applyFill="1" applyBorder="1" applyAlignment="1">
      <alignment vertical="top"/>
    </xf>
    <xf numFmtId="0" fontId="13" fillId="0" borderId="9" xfId="3" applyFont="1" applyFill="1" applyBorder="1" applyAlignment="1">
      <alignment vertical="top"/>
    </xf>
    <xf numFmtId="49" fontId="13" fillId="0" borderId="10" xfId="4" applyNumberFormat="1" applyFont="1" applyFill="1" applyBorder="1" applyAlignment="1">
      <alignment vertical="top"/>
    </xf>
    <xf numFmtId="49" fontId="13" fillId="0" borderId="11" xfId="4" applyNumberFormat="1" applyFont="1" applyFill="1" applyBorder="1" applyAlignment="1">
      <alignment vertical="top"/>
    </xf>
    <xf numFmtId="49" fontId="13" fillId="0" borderId="11" xfId="2" applyNumberFormat="1" applyFont="1" applyFill="1" applyBorder="1" applyAlignment="1">
      <alignment vertical="top"/>
    </xf>
    <xf numFmtId="49" fontId="7" fillId="0" borderId="9" xfId="3" applyNumberFormat="1" applyFont="1" applyFill="1" applyBorder="1" applyAlignment="1">
      <alignment vertical="top"/>
    </xf>
    <xf numFmtId="0" fontId="13" fillId="0" borderId="11" xfId="2" applyFont="1" applyFill="1" applyBorder="1" applyAlignment="1">
      <alignment horizontal="right" vertical="top" shrinkToFit="1"/>
    </xf>
    <xf numFmtId="0" fontId="13" fillId="0" borderId="13" xfId="2" applyFont="1" applyFill="1" applyBorder="1" applyAlignment="1">
      <alignment horizontal="center" vertical="top" shrinkToFit="1"/>
    </xf>
    <xf numFmtId="49" fontId="13" fillId="0" borderId="13" xfId="2" applyNumberFormat="1" applyFont="1" applyFill="1" applyBorder="1" applyAlignment="1">
      <alignment horizontal="center" vertical="top" shrinkToFit="1"/>
    </xf>
    <xf numFmtId="0" fontId="13" fillId="0" borderId="10" xfId="1" applyFont="1" applyFill="1" applyBorder="1" applyAlignment="1">
      <alignment vertical="top"/>
    </xf>
    <xf numFmtId="0" fontId="13" fillId="0" borderId="11" xfId="1" applyFont="1" applyFill="1" applyBorder="1" applyAlignment="1">
      <alignment vertical="top"/>
    </xf>
    <xf numFmtId="0" fontId="38" fillId="0" borderId="3" xfId="0" applyFont="1" applyBorder="1">
      <alignment vertical="center"/>
    </xf>
    <xf numFmtId="0" fontId="7" fillId="0" borderId="4" xfId="0" applyFont="1" applyBorder="1">
      <alignment vertical="center"/>
    </xf>
    <xf numFmtId="0" fontId="7" fillId="0" borderId="1" xfId="0" applyFont="1" applyBorder="1">
      <alignment vertical="center"/>
    </xf>
    <xf numFmtId="0" fontId="15" fillId="3" borderId="3" xfId="1" applyFont="1" applyFill="1" applyBorder="1" applyAlignment="1">
      <alignment horizontal="center" vertical="center"/>
    </xf>
    <xf numFmtId="0" fontId="15" fillId="3" borderId="4" xfId="1" applyFont="1" applyFill="1" applyBorder="1" applyAlignment="1">
      <alignment horizontal="center" vertical="center"/>
    </xf>
    <xf numFmtId="0" fontId="15" fillId="3" borderId="1" xfId="1" applyFont="1" applyFill="1" applyBorder="1" applyAlignment="1">
      <alignment horizontal="center" vertical="center"/>
    </xf>
    <xf numFmtId="14" fontId="13" fillId="0" borderId="3" xfId="1" applyNumberFormat="1" applyFont="1" applyBorder="1" applyAlignment="1">
      <alignment horizontal="center" vertical="center"/>
    </xf>
    <xf numFmtId="14" fontId="13" fillId="0" borderId="4" xfId="1" applyNumberFormat="1" applyFont="1" applyBorder="1" applyAlignment="1">
      <alignment horizontal="center" vertical="center"/>
    </xf>
    <xf numFmtId="14" fontId="13" fillId="0" borderId="1" xfId="1" applyNumberFormat="1" applyFont="1" applyBorder="1" applyAlignment="1">
      <alignment horizontal="center" vertical="center"/>
    </xf>
    <xf numFmtId="14" fontId="13" fillId="0" borderId="3" xfId="1" applyNumberFormat="1" applyFont="1" applyBorder="1" applyAlignment="1">
      <alignment horizontal="center" vertical="top"/>
    </xf>
    <xf numFmtId="14" fontId="13" fillId="0" borderId="4" xfId="1" applyNumberFormat="1" applyFont="1" applyBorder="1" applyAlignment="1">
      <alignment horizontal="center" vertical="top"/>
    </xf>
    <xf numFmtId="14" fontId="13" fillId="0" borderId="1" xfId="1" applyNumberFormat="1" applyFont="1" applyBorder="1" applyAlignment="1">
      <alignment horizontal="center" vertical="top"/>
    </xf>
    <xf numFmtId="49" fontId="14" fillId="0" borderId="6" xfId="1" applyNumberFormat="1" applyFont="1" applyBorder="1" applyAlignment="1">
      <alignment horizontal="center" vertical="center" shrinkToFit="1"/>
    </xf>
    <xf numFmtId="49" fontId="14" fillId="0" borderId="7" xfId="1" applyNumberFormat="1" applyFont="1" applyBorder="1" applyAlignment="1">
      <alignment horizontal="center" vertical="center" shrinkToFit="1"/>
    </xf>
    <xf numFmtId="49" fontId="14" fillId="0" borderId="8" xfId="1" applyNumberFormat="1" applyFont="1" applyBorder="1" applyAlignment="1">
      <alignment horizontal="center" vertical="center" shrinkToFit="1"/>
    </xf>
    <xf numFmtId="49" fontId="14" fillId="0" borderId="5" xfId="1" applyNumberFormat="1" applyFont="1" applyBorder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shrinkToFit="1"/>
    </xf>
    <xf numFmtId="49" fontId="14" fillId="0" borderId="14" xfId="1" applyNumberFormat="1" applyFont="1" applyBorder="1" applyAlignment="1">
      <alignment horizontal="center" vertical="center" shrinkToFit="1"/>
    </xf>
    <xf numFmtId="49" fontId="14" fillId="0" borderId="9" xfId="1" applyNumberFormat="1" applyFont="1" applyBorder="1" applyAlignment="1">
      <alignment horizontal="center" vertical="center" shrinkToFit="1"/>
    </xf>
    <xf numFmtId="49" fontId="14" fillId="0" borderId="10" xfId="1" applyNumberFormat="1" applyFont="1" applyBorder="1" applyAlignment="1">
      <alignment horizontal="center" vertical="center" shrinkToFit="1"/>
    </xf>
    <xf numFmtId="49" fontId="14" fillId="0" borderId="11" xfId="1" applyNumberFormat="1" applyFont="1" applyBorder="1" applyAlignment="1">
      <alignment horizontal="center" vertical="center" shrinkToFit="1"/>
    </xf>
    <xf numFmtId="0" fontId="15" fillId="3" borderId="3" xfId="2" applyFont="1" applyFill="1" applyBorder="1" applyAlignment="1">
      <alignment horizontal="center" vertical="center"/>
    </xf>
    <xf numFmtId="0" fontId="15" fillId="3" borderId="4" xfId="2" applyFont="1" applyFill="1" applyBorder="1" applyAlignment="1">
      <alignment horizontal="center" vertical="center"/>
    </xf>
    <xf numFmtId="0" fontId="15" fillId="3" borderId="1" xfId="2" applyFont="1" applyFill="1" applyBorder="1" applyAlignment="1">
      <alignment horizontal="center" vertical="center"/>
    </xf>
    <xf numFmtId="0" fontId="16" fillId="3" borderId="6" xfId="1" applyFont="1" applyFill="1" applyBorder="1" applyAlignment="1">
      <alignment horizontal="center" vertical="center"/>
    </xf>
    <xf numFmtId="0" fontId="16" fillId="3" borderId="7" xfId="1" applyFont="1" applyFill="1" applyBorder="1" applyAlignment="1">
      <alignment horizontal="center" vertical="center"/>
    </xf>
    <xf numFmtId="0" fontId="16" fillId="3" borderId="8" xfId="1" applyFont="1" applyFill="1" applyBorder="1" applyAlignment="1">
      <alignment horizontal="center" vertical="center"/>
    </xf>
    <xf numFmtId="0" fontId="16" fillId="3" borderId="5" xfId="1" applyFont="1" applyFill="1" applyBorder="1" applyAlignment="1">
      <alignment horizontal="center" vertical="center"/>
    </xf>
    <xf numFmtId="0" fontId="16" fillId="3" borderId="0" xfId="1" applyFont="1" applyFill="1" applyAlignment="1">
      <alignment horizontal="center" vertical="center"/>
    </xf>
    <xf numFmtId="0" fontId="16" fillId="3" borderId="14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6" fillId="3" borderId="11" xfId="1" applyFont="1" applyFill="1" applyBorder="1" applyAlignment="1">
      <alignment horizontal="center" vertical="center"/>
    </xf>
    <xf numFmtId="0" fontId="14" fillId="0" borderId="6" xfId="1" applyFont="1" applyBorder="1" applyAlignment="1">
      <alignment horizontal="center" vertical="center" wrapText="1"/>
    </xf>
    <xf numFmtId="0" fontId="14" fillId="0" borderId="7" xfId="1" applyFont="1" applyBorder="1" applyAlignment="1">
      <alignment horizontal="center" vertical="center" wrapText="1"/>
    </xf>
    <xf numFmtId="0" fontId="14" fillId="0" borderId="8" xfId="1" applyFont="1" applyBorder="1" applyAlignment="1">
      <alignment horizontal="center" vertical="center" wrapText="1"/>
    </xf>
    <xf numFmtId="0" fontId="14" fillId="0" borderId="5" xfId="1" applyFont="1" applyBorder="1" applyAlignment="1">
      <alignment horizontal="center" vertical="center" wrapText="1"/>
    </xf>
    <xf numFmtId="0" fontId="14" fillId="0" borderId="0" xfId="1" applyFont="1" applyAlignment="1">
      <alignment horizontal="center" vertical="center" wrapText="1"/>
    </xf>
    <xf numFmtId="0" fontId="14" fillId="0" borderId="14" xfId="1" applyFont="1" applyBorder="1" applyAlignment="1">
      <alignment horizontal="center" vertical="center" wrapText="1"/>
    </xf>
    <xf numFmtId="0" fontId="14" fillId="0" borderId="9" xfId="1" applyFont="1" applyBorder="1" applyAlignment="1">
      <alignment horizontal="center" vertical="center" wrapText="1"/>
    </xf>
    <xf numFmtId="0" fontId="14" fillId="0" borderId="10" xfId="1" applyFont="1" applyBorder="1" applyAlignment="1">
      <alignment horizontal="center" vertical="center" wrapText="1"/>
    </xf>
    <xf numFmtId="0" fontId="14" fillId="0" borderId="11" xfId="1" applyFont="1" applyBorder="1" applyAlignment="1">
      <alignment horizontal="center" vertical="center" wrapText="1"/>
    </xf>
    <xf numFmtId="0" fontId="7" fillId="0" borderId="3" xfId="1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49" fontId="7" fillId="0" borderId="3" xfId="3" applyNumberFormat="1" applyFont="1" applyFill="1" applyBorder="1" applyAlignment="1">
      <alignment vertical="top"/>
    </xf>
    <xf numFmtId="49" fontId="7" fillId="0" borderId="1" xfId="3" applyNumberFormat="1" applyFont="1" applyFill="1" applyBorder="1" applyAlignment="1">
      <alignment vertical="top"/>
    </xf>
    <xf numFmtId="49" fontId="7" fillId="0" borderId="3" xfId="5" applyNumberFormat="1" applyFont="1" applyFill="1" applyBorder="1" applyAlignment="1">
      <alignment vertical="top"/>
    </xf>
    <xf numFmtId="49" fontId="7" fillId="0" borderId="4" xfId="5" applyNumberFormat="1" applyFont="1" applyFill="1" applyBorder="1" applyAlignment="1">
      <alignment vertical="top"/>
    </xf>
    <xf numFmtId="49" fontId="7" fillId="0" borderId="1" xfId="5" applyNumberFormat="1" applyFont="1" applyFill="1" applyBorder="1" applyAlignment="1">
      <alignment vertical="top"/>
    </xf>
    <xf numFmtId="0" fontId="15" fillId="3" borderId="3" xfId="2" applyFont="1" applyFill="1" applyBorder="1" applyAlignment="1">
      <alignment horizontal="center" vertical="center" shrinkToFit="1"/>
    </xf>
    <xf numFmtId="0" fontId="15" fillId="3" borderId="4" xfId="2" applyFont="1" applyFill="1" applyBorder="1" applyAlignment="1">
      <alignment horizontal="center" vertical="center" shrinkToFit="1"/>
    </xf>
    <xf numFmtId="0" fontId="15" fillId="3" borderId="1" xfId="2" applyFont="1" applyFill="1" applyBorder="1" applyAlignment="1">
      <alignment horizontal="center" vertical="center" shrinkToFit="1"/>
    </xf>
    <xf numFmtId="0" fontId="15" fillId="3" borderId="6" xfId="2" applyFont="1" applyFill="1" applyBorder="1" applyAlignment="1">
      <alignment horizontal="center" vertical="center"/>
    </xf>
    <xf numFmtId="0" fontId="15" fillId="3" borderId="8" xfId="2" applyFont="1" applyFill="1" applyBorder="1" applyAlignment="1">
      <alignment horizontal="center" vertical="center"/>
    </xf>
    <xf numFmtId="0" fontId="15" fillId="3" borderId="9" xfId="2" applyFont="1" applyFill="1" applyBorder="1" applyAlignment="1">
      <alignment horizontal="center" vertical="center"/>
    </xf>
    <xf numFmtId="0" fontId="15" fillId="3" borderId="11" xfId="2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 shrinkToFit="1"/>
    </xf>
    <xf numFmtId="0" fontId="15" fillId="3" borderId="13" xfId="2" applyFont="1" applyFill="1" applyBorder="1" applyAlignment="1">
      <alignment horizontal="center" vertical="center" shrinkToFit="1"/>
    </xf>
    <xf numFmtId="0" fontId="15" fillId="3" borderId="12" xfId="2" applyFont="1" applyFill="1" applyBorder="1" applyAlignment="1">
      <alignment horizontal="center" vertical="center" textRotation="255" shrinkToFit="1"/>
    </xf>
    <xf numFmtId="0" fontId="15" fillId="3" borderId="13" xfId="2" applyFont="1" applyFill="1" applyBorder="1" applyAlignment="1">
      <alignment horizontal="center" vertical="center" textRotation="255" shrinkToFit="1"/>
    </xf>
    <xf numFmtId="0" fontId="15" fillId="3" borderId="7" xfId="2" applyFont="1" applyFill="1" applyBorder="1" applyAlignment="1">
      <alignment horizontal="center" vertical="center"/>
    </xf>
    <xf numFmtId="0" fontId="15" fillId="3" borderId="10" xfId="2" applyFont="1" applyFill="1" applyBorder="1" applyAlignment="1">
      <alignment horizontal="center" vertical="center"/>
    </xf>
    <xf numFmtId="0" fontId="19" fillId="3" borderId="6" xfId="1" applyFont="1" applyFill="1" applyBorder="1" applyAlignment="1">
      <alignment horizontal="center" vertical="center"/>
    </xf>
    <xf numFmtId="0" fontId="19" fillId="3" borderId="7" xfId="1" applyFont="1" applyFill="1" applyBorder="1" applyAlignment="1">
      <alignment horizontal="center" vertical="center"/>
    </xf>
    <xf numFmtId="0" fontId="19" fillId="3" borderId="8" xfId="1" applyFont="1" applyFill="1" applyBorder="1" applyAlignment="1">
      <alignment horizontal="center" vertical="center"/>
    </xf>
    <xf numFmtId="0" fontId="19" fillId="3" borderId="5" xfId="1" applyFont="1" applyFill="1" applyBorder="1" applyAlignment="1">
      <alignment horizontal="center" vertical="center"/>
    </xf>
    <xf numFmtId="0" fontId="19" fillId="3" borderId="0" xfId="1" applyFont="1" applyFill="1" applyAlignment="1">
      <alignment horizontal="center" vertical="center"/>
    </xf>
    <xf numFmtId="0" fontId="19" fillId="3" borderId="14" xfId="1" applyFont="1" applyFill="1" applyBorder="1" applyAlignment="1">
      <alignment horizontal="center" vertical="center"/>
    </xf>
    <xf numFmtId="0" fontId="19" fillId="3" borderId="9" xfId="1" applyFont="1" applyFill="1" applyBorder="1" applyAlignment="1">
      <alignment horizontal="center" vertical="center"/>
    </xf>
    <xf numFmtId="0" fontId="19" fillId="3" borderId="10" xfId="1" applyFont="1" applyFill="1" applyBorder="1" applyAlignment="1">
      <alignment horizontal="center" vertical="center"/>
    </xf>
    <xf numFmtId="0" fontId="19" fillId="3" borderId="11" xfId="1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/>
    </xf>
    <xf numFmtId="0" fontId="15" fillId="3" borderId="13" xfId="2" applyFont="1" applyFill="1" applyBorder="1" applyAlignment="1">
      <alignment horizontal="center" vertical="center"/>
    </xf>
    <xf numFmtId="0" fontId="15" fillId="3" borderId="3" xfId="1" applyFont="1" applyFill="1" applyBorder="1" applyAlignment="1">
      <alignment horizontal="center" vertical="top"/>
    </xf>
    <xf numFmtId="0" fontId="15" fillId="3" borderId="4" xfId="1" applyFont="1" applyFill="1" applyBorder="1" applyAlignment="1">
      <alignment horizontal="center" vertical="top"/>
    </xf>
    <xf numFmtId="0" fontId="15" fillId="3" borderId="1" xfId="1" applyFont="1" applyFill="1" applyBorder="1" applyAlignment="1">
      <alignment horizontal="center"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0" fontId="14" fillId="0" borderId="3" xfId="1" applyFont="1" applyBorder="1" applyAlignment="1">
      <alignment horizontal="center" vertical="center" wrapText="1"/>
    </xf>
    <xf numFmtId="0" fontId="14" fillId="0" borderId="4" xfId="1" applyFont="1" applyBorder="1" applyAlignment="1">
      <alignment horizontal="center" vertical="center" wrapText="1"/>
    </xf>
    <xf numFmtId="0" fontId="14" fillId="0" borderId="1" xfId="1" applyFont="1" applyBorder="1" applyAlignment="1">
      <alignment horizontal="center" vertical="center" wrapText="1"/>
    </xf>
    <xf numFmtId="49" fontId="13" fillId="0" borderId="3" xfId="3" applyNumberFormat="1" applyFont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7" fillId="0" borderId="3" xfId="3" applyNumberFormat="1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14" fontId="13" fillId="0" borderId="3" xfId="1" applyNumberFormat="1" applyFont="1" applyBorder="1" applyAlignment="1">
      <alignment vertical="center"/>
    </xf>
    <xf numFmtId="14" fontId="13" fillId="0" borderId="4" xfId="1" applyNumberFormat="1" applyFont="1" applyBorder="1" applyAlignment="1">
      <alignment vertical="center"/>
    </xf>
    <xf numFmtId="14" fontId="13" fillId="0" borderId="1" xfId="1" applyNumberFormat="1" applyFont="1" applyBorder="1" applyAlignment="1">
      <alignment vertical="center"/>
    </xf>
    <xf numFmtId="0" fontId="13" fillId="0" borderId="3" xfId="1" quotePrefix="1" applyFont="1" applyBorder="1" applyAlignment="1">
      <alignment vertical="center"/>
    </xf>
    <xf numFmtId="0" fontId="13" fillId="0" borderId="4" xfId="1" quotePrefix="1" applyFont="1" applyBorder="1" applyAlignment="1">
      <alignment vertical="center"/>
    </xf>
    <xf numFmtId="0" fontId="13" fillId="0" borderId="1" xfId="1" quotePrefix="1" applyFont="1" applyBorder="1" applyAlignment="1">
      <alignment vertical="center"/>
    </xf>
    <xf numFmtId="49" fontId="7" fillId="0" borderId="6" xfId="5" applyNumberFormat="1" applyFont="1" applyBorder="1" applyAlignment="1">
      <alignment vertical="top"/>
    </xf>
    <xf numFmtId="49" fontId="7" fillId="0" borderId="7" xfId="5" applyNumberFormat="1" applyFont="1" applyBorder="1" applyAlignment="1">
      <alignment vertical="top"/>
    </xf>
    <xf numFmtId="49" fontId="7" fillId="0" borderId="8" xfId="5" applyNumberFormat="1" applyFont="1" applyBorder="1" applyAlignment="1">
      <alignment vertical="top"/>
    </xf>
    <xf numFmtId="49" fontId="7" fillId="0" borderId="9" xfId="5" applyNumberFormat="1" applyFont="1" applyBorder="1" applyAlignment="1">
      <alignment vertical="top"/>
    </xf>
    <xf numFmtId="49" fontId="7" fillId="0" borderId="10" xfId="5" applyNumberFormat="1" applyFont="1" applyBorder="1" applyAlignment="1">
      <alignment vertical="top"/>
    </xf>
    <xf numFmtId="49" fontId="7" fillId="0" borderId="11" xfId="5" applyNumberFormat="1" applyFont="1" applyBorder="1" applyAlignment="1">
      <alignment vertical="top"/>
    </xf>
    <xf numFmtId="49" fontId="7" fillId="0" borderId="6" xfId="3" applyNumberFormat="1" applyFont="1" applyBorder="1" applyAlignment="1">
      <alignment vertical="top"/>
    </xf>
    <xf numFmtId="49" fontId="7" fillId="0" borderId="8" xfId="3" applyNumberFormat="1" applyFont="1" applyBorder="1" applyAlignment="1">
      <alignment vertical="top"/>
    </xf>
    <xf numFmtId="49" fontId="7" fillId="0" borderId="9" xfId="3" applyNumberFormat="1" applyFont="1" applyBorder="1" applyAlignment="1">
      <alignment vertical="top"/>
    </xf>
    <xf numFmtId="49" fontId="7" fillId="0" borderId="11" xfId="3" applyNumberFormat="1" applyFont="1" applyBorder="1" applyAlignment="1">
      <alignment vertical="top"/>
    </xf>
    <xf numFmtId="49" fontId="13" fillId="0" borderId="3" xfId="3" applyNumberFormat="1" applyFont="1" applyFill="1" applyBorder="1" applyAlignment="1">
      <alignment vertical="top"/>
    </xf>
    <xf numFmtId="49" fontId="13" fillId="0" borderId="1" xfId="3" applyNumberFormat="1" applyFont="1" applyFill="1" applyBorder="1" applyAlignment="1">
      <alignment vertical="top"/>
    </xf>
    <xf numFmtId="49" fontId="7" fillId="0" borderId="6" xfId="3" applyNumberFormat="1" applyFont="1" applyFill="1" applyBorder="1" applyAlignment="1">
      <alignment vertical="top"/>
    </xf>
    <xf numFmtId="49" fontId="7" fillId="0" borderId="8" xfId="3" applyNumberFormat="1" applyFont="1" applyFill="1" applyBorder="1" applyAlignment="1">
      <alignment vertical="top"/>
    </xf>
    <xf numFmtId="49" fontId="13" fillId="0" borderId="9" xfId="5" applyNumberFormat="1" applyFont="1" applyBorder="1" applyAlignment="1">
      <alignment vertical="top"/>
    </xf>
    <xf numFmtId="49" fontId="13" fillId="0" borderId="10" xfId="5" applyNumberFormat="1" applyFont="1" applyBorder="1" applyAlignment="1">
      <alignment vertical="top"/>
    </xf>
    <xf numFmtId="49" fontId="13" fillId="0" borderId="11" xfId="5" applyNumberFormat="1" applyFont="1" applyBorder="1" applyAlignment="1">
      <alignment vertical="top"/>
    </xf>
    <xf numFmtId="49" fontId="13" fillId="0" borderId="6" xfId="3" applyNumberFormat="1" applyFont="1" applyBorder="1" applyAlignment="1">
      <alignment vertical="top"/>
    </xf>
    <xf numFmtId="49" fontId="13" fillId="0" borderId="8" xfId="3" applyNumberFormat="1" applyFont="1" applyBorder="1" applyAlignment="1">
      <alignment vertical="top"/>
    </xf>
    <xf numFmtId="49" fontId="13" fillId="0" borderId="6" xfId="5" applyNumberFormat="1" applyFont="1" applyBorder="1" applyAlignment="1">
      <alignment vertical="top"/>
    </xf>
    <xf numFmtId="49" fontId="13" fillId="0" borderId="7" xfId="5" applyNumberFormat="1" applyFont="1" applyBorder="1" applyAlignment="1">
      <alignment vertical="top"/>
    </xf>
    <xf numFmtId="49" fontId="13" fillId="0" borderId="8" xfId="5" applyNumberFormat="1" applyFont="1" applyBorder="1" applyAlignment="1">
      <alignment vertical="top"/>
    </xf>
    <xf numFmtId="49" fontId="13" fillId="0" borderId="3" xfId="5" applyNumberFormat="1" applyFont="1" applyFill="1" applyBorder="1" applyAlignment="1">
      <alignment vertical="top"/>
    </xf>
    <xf numFmtId="49" fontId="13" fillId="0" borderId="4" xfId="5" applyNumberFormat="1" applyFont="1" applyFill="1" applyBorder="1" applyAlignment="1">
      <alignment vertical="top"/>
    </xf>
    <xf numFmtId="49" fontId="13" fillId="0" borderId="1" xfId="5" applyNumberFormat="1" applyFont="1" applyFill="1" applyBorder="1" applyAlignment="1">
      <alignment vertical="top"/>
    </xf>
    <xf numFmtId="49" fontId="13" fillId="0" borderId="6" xfId="3" applyNumberFormat="1" applyFont="1" applyFill="1" applyBorder="1" applyAlignment="1">
      <alignment vertical="top"/>
    </xf>
    <xf numFmtId="49" fontId="13" fillId="0" borderId="8" xfId="3" applyNumberFormat="1" applyFont="1" applyFill="1" applyBorder="1" applyAlignment="1">
      <alignment vertical="top"/>
    </xf>
    <xf numFmtId="49" fontId="13" fillId="0" borderId="6" xfId="5" applyNumberFormat="1" applyFont="1" applyFill="1" applyBorder="1" applyAlignment="1">
      <alignment vertical="top"/>
    </xf>
    <xf numFmtId="49" fontId="13" fillId="0" borderId="7" xfId="5" applyNumberFormat="1" applyFont="1" applyFill="1" applyBorder="1" applyAlignment="1">
      <alignment vertical="top"/>
    </xf>
    <xf numFmtId="49" fontId="13" fillId="0" borderId="8" xfId="5" applyNumberFormat="1" applyFont="1" applyFill="1" applyBorder="1" applyAlignment="1">
      <alignment vertical="top"/>
    </xf>
    <xf numFmtId="49" fontId="13" fillId="0" borderId="5" xfId="5" applyNumberFormat="1" applyFont="1" applyFill="1" applyBorder="1" applyAlignment="1">
      <alignment vertical="top"/>
    </xf>
    <xf numFmtId="49" fontId="13" fillId="0" borderId="0" xfId="5" applyNumberFormat="1" applyFont="1" applyFill="1" applyAlignment="1">
      <alignment vertical="top"/>
    </xf>
    <xf numFmtId="49" fontId="13" fillId="0" borderId="14" xfId="5" applyNumberFormat="1" applyFont="1" applyFill="1" applyBorder="1" applyAlignment="1">
      <alignment vertical="top"/>
    </xf>
    <xf numFmtId="49" fontId="7" fillId="0" borderId="9" xfId="3" applyNumberFormat="1" applyFont="1" applyFill="1" applyBorder="1" applyAlignment="1">
      <alignment vertical="top"/>
    </xf>
    <xf numFmtId="49" fontId="7" fillId="0" borderId="11" xfId="3" applyNumberFormat="1" applyFont="1" applyFill="1" applyBorder="1" applyAlignment="1">
      <alignment vertical="top"/>
    </xf>
    <xf numFmtId="49" fontId="13" fillId="0" borderId="9" xfId="5" applyNumberFormat="1" applyFont="1" applyFill="1" applyBorder="1" applyAlignment="1">
      <alignment vertical="top"/>
    </xf>
    <xf numFmtId="49" fontId="13" fillId="0" borderId="10" xfId="5" applyNumberFormat="1" applyFont="1" applyFill="1" applyBorder="1" applyAlignment="1">
      <alignment vertical="top"/>
    </xf>
    <xf numFmtId="49" fontId="13" fillId="0" borderId="11" xfId="5" applyNumberFormat="1" applyFont="1" applyFill="1" applyBorder="1" applyAlignment="1">
      <alignment vertical="top"/>
    </xf>
    <xf numFmtId="49" fontId="13" fillId="7" borderId="3" xfId="3" applyNumberFormat="1" applyFont="1" applyFill="1" applyBorder="1" applyAlignment="1">
      <alignment vertical="top"/>
    </xf>
    <xf numFmtId="49" fontId="13" fillId="7" borderId="1" xfId="3" applyNumberFormat="1" applyFont="1" applyFill="1" applyBorder="1" applyAlignment="1">
      <alignment vertical="top"/>
    </xf>
    <xf numFmtId="49" fontId="13" fillId="7" borderId="3" xfId="5" applyNumberFormat="1" applyFont="1" applyFill="1" applyBorder="1" applyAlignment="1">
      <alignment vertical="top"/>
    </xf>
    <xf numFmtId="49" fontId="13" fillId="7" borderId="4" xfId="5" applyNumberFormat="1" applyFont="1" applyFill="1" applyBorder="1" applyAlignment="1">
      <alignment vertical="top"/>
    </xf>
    <xf numFmtId="49" fontId="13" fillId="7" borderId="1" xfId="5" applyNumberFormat="1" applyFont="1" applyFill="1" applyBorder="1" applyAlignment="1">
      <alignment vertical="top"/>
    </xf>
    <xf numFmtId="49" fontId="13" fillId="7" borderId="3" xfId="3" applyNumberFormat="1" applyFont="1" applyFill="1" applyBorder="1" applyAlignment="1">
      <alignment vertical="top"/>
    </xf>
    <xf numFmtId="49" fontId="13" fillId="7" borderId="4" xfId="3" applyNumberFormat="1" applyFont="1" applyFill="1" applyBorder="1" applyAlignment="1">
      <alignment vertical="top"/>
    </xf>
    <xf numFmtId="0" fontId="13" fillId="7" borderId="3" xfId="2" applyFont="1" applyFill="1" applyBorder="1" applyAlignment="1">
      <alignment vertical="top" shrinkToFit="1"/>
    </xf>
    <xf numFmtId="49" fontId="7" fillId="0" borderId="7" xfId="2" applyNumberFormat="1" applyFont="1" applyFill="1" applyBorder="1" applyAlignment="1">
      <alignment vertical="top"/>
    </xf>
    <xf numFmtId="0" fontId="7" fillId="0" borderId="6" xfId="4" applyFont="1" applyFill="1" applyBorder="1" applyAlignment="1">
      <alignment vertical="top"/>
    </xf>
    <xf numFmtId="49" fontId="7" fillId="0" borderId="6" xfId="5" applyNumberFormat="1" applyFont="1" applyFill="1" applyBorder="1" applyAlignment="1">
      <alignment vertical="top"/>
    </xf>
    <xf numFmtId="49" fontId="7" fillId="0" borderId="7" xfId="5" applyNumberFormat="1" applyFont="1" applyFill="1" applyBorder="1" applyAlignment="1">
      <alignment vertical="top"/>
    </xf>
    <xf numFmtId="49" fontId="7" fillId="0" borderId="8" xfId="5" applyNumberFormat="1" applyFont="1" applyFill="1" applyBorder="1" applyAlignment="1">
      <alignment vertical="top"/>
    </xf>
    <xf numFmtId="0" fontId="7" fillId="0" borderId="8" xfId="2" applyFont="1" applyFill="1" applyBorder="1" applyAlignment="1">
      <alignment horizontal="right" vertical="top" shrinkToFit="1"/>
    </xf>
    <xf numFmtId="0" fontId="7" fillId="0" borderId="12" xfId="2" applyFont="1" applyFill="1" applyBorder="1" applyAlignment="1">
      <alignment horizontal="center" vertical="top"/>
    </xf>
    <xf numFmtId="49" fontId="7" fillId="0" borderId="12" xfId="2" applyNumberFormat="1" applyFont="1" applyFill="1" applyBorder="1" applyAlignment="1">
      <alignment horizontal="center" vertical="top"/>
    </xf>
    <xf numFmtId="0" fontId="7" fillId="0" borderId="7" xfId="1" applyFont="1" applyBorder="1" applyAlignment="1">
      <alignment horizontal="left" vertical="center"/>
    </xf>
    <xf numFmtId="49" fontId="7" fillId="0" borderId="10" xfId="2" applyNumberFormat="1" applyFont="1" applyFill="1" applyBorder="1" applyAlignment="1">
      <alignment vertical="top"/>
    </xf>
    <xf numFmtId="49" fontId="7" fillId="0" borderId="11" xfId="2" applyNumberFormat="1" applyFont="1" applyFill="1" applyBorder="1" applyAlignment="1">
      <alignment vertical="top"/>
    </xf>
    <xf numFmtId="0" fontId="7" fillId="0" borderId="9" xfId="4" applyFont="1" applyFill="1" applyBorder="1" applyAlignment="1">
      <alignment vertical="top"/>
    </xf>
    <xf numFmtId="49" fontId="7" fillId="0" borderId="10" xfId="4" applyNumberFormat="1" applyFont="1" applyFill="1" applyBorder="1" applyAlignment="1">
      <alignment vertical="top"/>
    </xf>
    <xf numFmtId="49" fontId="7" fillId="0" borderId="11" xfId="4" applyNumberFormat="1" applyFont="1" applyFill="1" applyBorder="1" applyAlignment="1">
      <alignment vertical="top"/>
    </xf>
    <xf numFmtId="49" fontId="7" fillId="0" borderId="9" xfId="5" applyNumberFormat="1" applyFont="1" applyFill="1" applyBorder="1" applyAlignment="1">
      <alignment vertical="top"/>
    </xf>
    <xf numFmtId="49" fontId="7" fillId="0" borderId="10" xfId="5" applyNumberFormat="1" applyFont="1" applyFill="1" applyBorder="1" applyAlignment="1">
      <alignment vertical="top"/>
    </xf>
    <xf numFmtId="49" fontId="7" fillId="0" borderId="11" xfId="5" applyNumberFormat="1" applyFont="1" applyFill="1" applyBorder="1" applyAlignment="1">
      <alignment vertical="top"/>
    </xf>
    <xf numFmtId="0" fontId="7" fillId="0" borderId="11" xfId="2" applyFont="1" applyFill="1" applyBorder="1" applyAlignment="1">
      <alignment horizontal="right" vertical="top" shrinkToFit="1"/>
    </xf>
    <xf numFmtId="0" fontId="7" fillId="0" borderId="13" xfId="2" applyFont="1" applyFill="1" applyBorder="1" applyAlignment="1">
      <alignment horizontal="center" vertical="top"/>
    </xf>
    <xf numFmtId="49" fontId="7" fillId="0" borderId="13" xfId="2" applyNumberFormat="1" applyFont="1" applyFill="1" applyBorder="1" applyAlignment="1">
      <alignment horizontal="center" vertical="top"/>
    </xf>
    <xf numFmtId="0" fontId="7" fillId="0" borderId="10" xfId="1" applyFont="1" applyBorder="1" applyAlignment="1">
      <alignment horizontal="left" vertical="center"/>
    </xf>
    <xf numFmtId="0" fontId="7" fillId="0" borderId="1" xfId="1" applyFont="1" applyFill="1" applyBorder="1" applyAlignment="1">
      <alignment vertical="center"/>
    </xf>
    <xf numFmtId="0" fontId="7" fillId="0" borderId="3" xfId="1" applyFont="1" applyFill="1" applyBorder="1" applyAlignment="1">
      <alignment horizontal="center" vertical="center"/>
    </xf>
    <xf numFmtId="0" fontId="7" fillId="0" borderId="4" xfId="1" applyFont="1" applyFill="1" applyBorder="1" applyAlignment="1">
      <alignment horizontal="center" vertical="center"/>
    </xf>
    <xf numFmtId="0" fontId="7" fillId="0" borderId="1" xfId="1" applyFont="1" applyFill="1" applyBorder="1" applyAlignment="1">
      <alignment horizontal="center" vertical="center"/>
    </xf>
  </cellXfs>
  <cellStyles count="9">
    <cellStyle name="標準" xfId="0" builtinId="0"/>
    <cellStyle name="標準 2" xfId="1"/>
    <cellStyle name="標準 3" xfId="6"/>
    <cellStyle name="標準 4" xfId="7"/>
    <cellStyle name="標準 4 2" xfId="8"/>
    <cellStyle name="標準_01_ｼｽﾃﾑﾏｽﾀ(MSSYS)" xfId="4"/>
    <cellStyle name="標準_Sheet1" xfId="2"/>
    <cellStyle name="標準_コピー ～ テーブル項目説明書" xfId="3"/>
    <cellStyle name="標準_テーブルレイアウトひな型" xfId="5"/>
  </cellStyles>
  <dxfs count="0"/>
  <tableStyles count="0" defaultTableStyle="TableStyleMedium2" defaultPivotStyle="PivotStyleLight16"/>
  <colors>
    <mruColors>
      <color rgb="FFFFCCFF"/>
      <color rgb="FF0066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10</xdr:col>
      <xdr:colOff>297180</xdr:colOff>
      <xdr:row>5</xdr:row>
      <xdr:rowOff>174240</xdr:rowOff>
    </xdr:to>
    <xdr:sp macro="[0]!AddFooterToAll" textlink="">
      <xdr:nvSpPr>
        <xdr:cNvPr id="3" name="額縁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9600" y="6019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フッター　シート名設定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10</xdr:col>
      <xdr:colOff>297180</xdr:colOff>
      <xdr:row>10</xdr:row>
      <xdr:rowOff>174240</xdr:rowOff>
    </xdr:to>
    <xdr:sp macro="[0]!項目集計" textlink="">
      <xdr:nvSpPr>
        <xdr:cNvPr id="4" name="額縁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　集計</a:t>
          </a: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10</xdr:col>
      <xdr:colOff>297180</xdr:colOff>
      <xdr:row>15</xdr:row>
      <xdr:rowOff>174240</xdr:rowOff>
    </xdr:to>
    <xdr:sp macro="[0]!項目別編集" textlink="">
      <xdr:nvSpPr>
        <xdr:cNvPr id="5" name="額縁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 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項目別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　ソート</a:t>
          </a: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10</xdr:col>
      <xdr:colOff>297180</xdr:colOff>
      <xdr:row>20</xdr:row>
      <xdr:rowOff>174240</xdr:rowOff>
    </xdr:to>
    <xdr:sp macro="[0]!項目展開" textlink="">
      <xdr:nvSpPr>
        <xdr:cNvPr id="6" name="額縁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09600" y="24307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項目値修正　反映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10</xdr:col>
      <xdr:colOff>297180</xdr:colOff>
      <xdr:row>25</xdr:row>
      <xdr:rowOff>174240</xdr:rowOff>
    </xdr:to>
    <xdr:sp macro="[0]!テーブル作成SQL出力" textlink="">
      <xdr:nvSpPr>
        <xdr:cNvPr id="7" name="額縁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09600" y="33451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テーブル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SQL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作成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68580</xdr:colOff>
          <xdr:row>23</xdr:row>
          <xdr:rowOff>175260</xdr:rowOff>
        </xdr:from>
        <xdr:to>
          <xdr:col>16</xdr:col>
          <xdr:colOff>114300</xdr:colOff>
          <xdr:row>25</xdr:row>
          <xdr:rowOff>7620</xdr:rowOff>
        </xdr:to>
        <xdr:sp macro="" textlink="">
          <xdr:nvSpPr>
            <xdr:cNvPr id="1027" name="Check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91440</xdr:colOff>
      <xdr:row>8</xdr:row>
      <xdr:rowOff>152400</xdr:rowOff>
    </xdr:from>
    <xdr:to>
      <xdr:col>51</xdr:col>
      <xdr:colOff>0</xdr:colOff>
      <xdr:row>30</xdr:row>
      <xdr:rowOff>175260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922020" y="1615440"/>
          <a:ext cx="11018520" cy="40462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削除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B2:B109"/>
  <sheetViews>
    <sheetView topLeftCell="A97" workbookViewId="0">
      <selection activeCell="B2" sqref="B2:B109"/>
    </sheetView>
  </sheetViews>
  <sheetFormatPr defaultColWidth="3.6328125" defaultRowHeight="14.4"/>
  <sheetData>
    <row r="2" spans="2:2">
      <c r="B2" t="s">
        <v>0</v>
      </c>
    </row>
    <row r="3" spans="2:2">
      <c r="B3" t="s">
        <v>1</v>
      </c>
    </row>
    <row r="4" spans="2:2">
      <c r="B4" t="s">
        <v>2</v>
      </c>
    </row>
    <row r="5" spans="2:2">
      <c r="B5" t="s">
        <v>3</v>
      </c>
    </row>
    <row r="6" spans="2:2">
      <c r="B6" t="s">
        <v>4</v>
      </c>
    </row>
    <row r="7" spans="2:2">
      <c r="B7" t="s">
        <v>5</v>
      </c>
    </row>
    <row r="8" spans="2:2">
      <c r="B8" t="s">
        <v>6</v>
      </c>
    </row>
    <row r="9" spans="2:2">
      <c r="B9" t="s">
        <v>7</v>
      </c>
    </row>
    <row r="10" spans="2:2">
      <c r="B10" t="s">
        <v>8</v>
      </c>
    </row>
    <row r="12" spans="2:2">
      <c r="B12" t="s">
        <v>9</v>
      </c>
    </row>
    <row r="14" spans="2:2">
      <c r="B14" t="s">
        <v>10</v>
      </c>
    </row>
    <row r="15" spans="2:2">
      <c r="B15" t="s">
        <v>11</v>
      </c>
    </row>
    <row r="16" spans="2:2">
      <c r="B16" t="s">
        <v>12</v>
      </c>
    </row>
    <row r="17" spans="2:2">
      <c r="B17" t="s">
        <v>13</v>
      </c>
    </row>
    <row r="18" spans="2:2">
      <c r="B18" t="s">
        <v>14</v>
      </c>
    </row>
    <row r="19" spans="2:2">
      <c r="B19" t="s">
        <v>15</v>
      </c>
    </row>
    <row r="20" spans="2:2">
      <c r="B20" t="s">
        <v>16</v>
      </c>
    </row>
    <row r="21" spans="2:2">
      <c r="B21" t="s">
        <v>14</v>
      </c>
    </row>
    <row r="22" spans="2:2">
      <c r="B22" t="s">
        <v>15</v>
      </c>
    </row>
    <row r="23" spans="2:2">
      <c r="B23" t="s">
        <v>17</v>
      </c>
    </row>
    <row r="24" spans="2:2">
      <c r="B24" t="s">
        <v>14</v>
      </c>
    </row>
    <row r="25" spans="2:2">
      <c r="B25" t="s">
        <v>15</v>
      </c>
    </row>
    <row r="26" spans="2:2">
      <c r="B26" t="s">
        <v>18</v>
      </c>
    </row>
    <row r="27" spans="2:2">
      <c r="B27" t="s">
        <v>14</v>
      </c>
    </row>
    <row r="28" spans="2:2">
      <c r="B28" t="s">
        <v>15</v>
      </c>
    </row>
    <row r="29" spans="2:2">
      <c r="B29" t="s">
        <v>19</v>
      </c>
    </row>
    <row r="30" spans="2:2">
      <c r="B30" t="s">
        <v>14</v>
      </c>
    </row>
    <row r="31" spans="2:2">
      <c r="B31" t="s">
        <v>15</v>
      </c>
    </row>
    <row r="32" spans="2:2">
      <c r="B32" t="s">
        <v>20</v>
      </c>
    </row>
    <row r="33" spans="2:2">
      <c r="B33" t="s">
        <v>14</v>
      </c>
    </row>
    <row r="34" spans="2:2">
      <c r="B34" t="s">
        <v>15</v>
      </c>
    </row>
    <row r="35" spans="2:2">
      <c r="B35" t="s">
        <v>21</v>
      </c>
    </row>
    <row r="36" spans="2:2">
      <c r="B36" t="s">
        <v>14</v>
      </c>
    </row>
    <row r="37" spans="2:2">
      <c r="B37" t="s">
        <v>15</v>
      </c>
    </row>
    <row r="38" spans="2:2">
      <c r="B38" t="s">
        <v>22</v>
      </c>
    </row>
    <row r="39" spans="2:2">
      <c r="B39" t="s">
        <v>23</v>
      </c>
    </row>
    <row r="40" spans="2:2">
      <c r="B40" t="s">
        <v>24</v>
      </c>
    </row>
    <row r="41" spans="2:2">
      <c r="B41" t="s">
        <v>25</v>
      </c>
    </row>
    <row r="42" spans="2:2">
      <c r="B42" t="s">
        <v>26</v>
      </c>
    </row>
    <row r="43" spans="2:2">
      <c r="B43" t="s">
        <v>27</v>
      </c>
    </row>
    <row r="44" spans="2:2">
      <c r="B44" t="s">
        <v>28</v>
      </c>
    </row>
    <row r="45" spans="2:2">
      <c r="B45" t="s">
        <v>29</v>
      </c>
    </row>
    <row r="46" spans="2:2">
      <c r="B46" t="s">
        <v>30</v>
      </c>
    </row>
    <row r="47" spans="2:2">
      <c r="B47" t="s">
        <v>31</v>
      </c>
    </row>
    <row r="48" spans="2:2">
      <c r="B48" t="s">
        <v>32</v>
      </c>
    </row>
    <row r="49" spans="2:2">
      <c r="B49" t="s">
        <v>33</v>
      </c>
    </row>
    <row r="50" spans="2:2">
      <c r="B50" t="s">
        <v>34</v>
      </c>
    </row>
    <row r="51" spans="2:2">
      <c r="B51" t="s">
        <v>35</v>
      </c>
    </row>
    <row r="52" spans="2:2">
      <c r="B52" t="s">
        <v>36</v>
      </c>
    </row>
    <row r="53" spans="2:2">
      <c r="B53" t="s">
        <v>37</v>
      </c>
    </row>
    <row r="54" spans="2:2">
      <c r="B54" t="s">
        <v>38</v>
      </c>
    </row>
    <row r="55" spans="2:2">
      <c r="B55" t="s">
        <v>39</v>
      </c>
    </row>
    <row r="56" spans="2:2">
      <c r="B56" t="s">
        <v>37</v>
      </c>
    </row>
    <row r="57" spans="2:2">
      <c r="B57" t="s">
        <v>40</v>
      </c>
    </row>
    <row r="58" spans="2:2">
      <c r="B58" t="s">
        <v>41</v>
      </c>
    </row>
    <row r="59" spans="2:2">
      <c r="B59" t="s">
        <v>37</v>
      </c>
    </row>
    <row r="60" spans="2:2">
      <c r="B60" t="s">
        <v>42</v>
      </c>
    </row>
    <row r="61" spans="2:2">
      <c r="B61" t="s">
        <v>43</v>
      </c>
    </row>
    <row r="62" spans="2:2">
      <c r="B62" t="s">
        <v>15</v>
      </c>
    </row>
    <row r="63" spans="2:2">
      <c r="B63" t="s">
        <v>44</v>
      </c>
    </row>
    <row r="65" spans="2:2">
      <c r="B65" t="s">
        <v>45</v>
      </c>
    </row>
    <row r="67" spans="2:2">
      <c r="B67" t="s">
        <v>46</v>
      </c>
    </row>
    <row r="69" spans="2:2">
      <c r="B69" t="s">
        <v>47</v>
      </c>
    </row>
    <row r="70" spans="2:2">
      <c r="B70" t="s">
        <v>1</v>
      </c>
    </row>
    <row r="71" spans="2:2">
      <c r="B71" t="s">
        <v>2</v>
      </c>
    </row>
    <row r="72" spans="2:2">
      <c r="B72" t="s">
        <v>3</v>
      </c>
    </row>
    <row r="73" spans="2:2">
      <c r="B73" t="s">
        <v>4</v>
      </c>
    </row>
    <row r="74" spans="2:2">
      <c r="B74" t="s">
        <v>5</v>
      </c>
    </row>
    <row r="75" spans="2:2">
      <c r="B75" t="s">
        <v>6</v>
      </c>
    </row>
    <row r="76" spans="2:2">
      <c r="B76" t="s">
        <v>7</v>
      </c>
    </row>
    <row r="77" spans="2:2">
      <c r="B77" t="s">
        <v>8</v>
      </c>
    </row>
    <row r="78" spans="2:2">
      <c r="B78" t="s">
        <v>48</v>
      </c>
    </row>
    <row r="79" spans="2:2">
      <c r="B79" t="s">
        <v>49</v>
      </c>
    </row>
    <row r="81" spans="2:2">
      <c r="B81" t="s">
        <v>50</v>
      </c>
    </row>
    <row r="82" spans="2:2">
      <c r="B82" t="s">
        <v>51</v>
      </c>
    </row>
    <row r="84" spans="2:2">
      <c r="B84" t="s">
        <v>52</v>
      </c>
    </row>
    <row r="85" spans="2:2">
      <c r="B85" t="s">
        <v>53</v>
      </c>
    </row>
    <row r="86" spans="2:2">
      <c r="B86" t="s">
        <v>54</v>
      </c>
    </row>
    <row r="87" spans="2:2">
      <c r="B87" t="s">
        <v>55</v>
      </c>
    </row>
    <row r="88" spans="2:2">
      <c r="B88" t="s">
        <v>22</v>
      </c>
    </row>
    <row r="89" spans="2:2">
      <c r="B89" t="s">
        <v>56</v>
      </c>
    </row>
    <row r="90" spans="2:2">
      <c r="B90" t="s">
        <v>57</v>
      </c>
    </row>
    <row r="91" spans="2:2">
      <c r="B91" t="s">
        <v>58</v>
      </c>
    </row>
    <row r="92" spans="2:2">
      <c r="B92" t="s">
        <v>59</v>
      </c>
    </row>
    <row r="93" spans="2:2">
      <c r="B93" t="s">
        <v>60</v>
      </c>
    </row>
    <row r="94" spans="2:2">
      <c r="B94" t="s">
        <v>61</v>
      </c>
    </row>
    <row r="95" spans="2:2">
      <c r="B95" t="s">
        <v>62</v>
      </c>
    </row>
    <row r="96" spans="2:2">
      <c r="B96" t="s">
        <v>63</v>
      </c>
    </row>
    <row r="97" spans="2:2">
      <c r="B97" t="s">
        <v>64</v>
      </c>
    </row>
    <row r="98" spans="2:2">
      <c r="B98" t="s">
        <v>65</v>
      </c>
    </row>
    <row r="99" spans="2:2">
      <c r="B99" t="s">
        <v>37</v>
      </c>
    </row>
    <row r="100" spans="2:2">
      <c r="B100" t="s">
        <v>66</v>
      </c>
    </row>
    <row r="101" spans="2:2">
      <c r="B101" t="s">
        <v>67</v>
      </c>
    </row>
    <row r="102" spans="2:2">
      <c r="B102" t="s">
        <v>68</v>
      </c>
    </row>
    <row r="103" spans="2:2">
      <c r="B103" t="s">
        <v>22</v>
      </c>
    </row>
    <row r="104" spans="2:2">
      <c r="B104" t="s">
        <v>44</v>
      </c>
    </row>
    <row r="106" spans="2:2">
      <c r="B106" t="s">
        <v>45</v>
      </c>
    </row>
    <row r="109" spans="2:2">
      <c r="B109" t="s">
        <v>46</v>
      </c>
    </row>
  </sheetData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W29"/>
  <sheetViews>
    <sheetView tabSelected="1" workbookViewId="0"/>
  </sheetViews>
  <sheetFormatPr defaultColWidth="3.6328125" defaultRowHeight="14.4"/>
  <sheetData>
    <row r="2" spans="2:14" s="107" customFormat="1" ht="18.600000000000001">
      <c r="B2" s="108" t="s">
        <v>69</v>
      </c>
      <c r="C2" s="109" t="s">
        <v>70</v>
      </c>
    </row>
    <row r="4" spans="2:14">
      <c r="N4" t="s">
        <v>71</v>
      </c>
    </row>
    <row r="9" spans="2:14">
      <c r="N9" t="s">
        <v>72</v>
      </c>
    </row>
    <row r="14" spans="2:14">
      <c r="N14" t="s">
        <v>73</v>
      </c>
    </row>
    <row r="19" spans="1:23">
      <c r="N19" t="s">
        <v>74</v>
      </c>
    </row>
    <row r="20" spans="1:23">
      <c r="N20" s="112"/>
    </row>
    <row r="24" spans="1:23">
      <c r="N24" t="s">
        <v>75</v>
      </c>
    </row>
    <row r="25" spans="1:23">
      <c r="N25" s="112"/>
      <c r="O25" s="112"/>
      <c r="P25" s="112"/>
      <c r="Q25" s="112"/>
      <c r="R25" s="112"/>
      <c r="S25" s="112"/>
      <c r="T25" s="112"/>
    </row>
    <row r="27" spans="1:23">
      <c r="N27" s="333" t="s">
        <v>1404</v>
      </c>
      <c r="O27" s="334"/>
      <c r="P27" s="334"/>
      <c r="Q27" s="334"/>
      <c r="R27" s="334"/>
      <c r="S27" s="334"/>
      <c r="T27" s="335"/>
      <c r="V27" s="112" t="s">
        <v>69</v>
      </c>
      <c r="W27" s="113" t="s">
        <v>77</v>
      </c>
    </row>
    <row r="29" spans="1:23">
      <c r="A29" s="135"/>
      <c r="K29" s="135"/>
      <c r="L29" s="135"/>
      <c r="M29" s="135"/>
      <c r="N29" s="135"/>
    </row>
  </sheetData>
  <mergeCells count="1">
    <mergeCell ref="N27:T27"/>
  </mergeCells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heckBox1">
          <controlPr defaultSize="0" autoLine="0" autoPict="0" r:id="rId5">
            <anchor moveWithCells="1">
              <from>
                <xdr:col>13</xdr:col>
                <xdr:colOff>68580</xdr:colOff>
                <xdr:row>23</xdr:row>
                <xdr:rowOff>175260</xdr:rowOff>
              </from>
              <to>
                <xdr:col>16</xdr:col>
                <xdr:colOff>114300</xdr:colOff>
                <xdr:row>25</xdr:row>
                <xdr:rowOff>7620</xdr:rowOff>
              </to>
            </anchor>
          </controlPr>
        </control>
      </mc:Choice>
      <mc:Fallback>
        <control shapeId="1027" r:id="rId4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テーブル一覧!$B$7:$B$28</xm:f>
          </x14:formula1>
          <xm:sqref>N27:T27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F46"/>
  <sheetViews>
    <sheetView showGridLines="0" zoomScaleNormal="100" zoomScaleSheetLayoutView="100" workbookViewId="0">
      <pane ySplit="6" topLeftCell="A7" activePane="bottomLeft" state="frozen"/>
      <selection activeCell="B12" sqref="B12:Q12"/>
      <selection pane="bottomLeft" sqref="A1:K4"/>
    </sheetView>
  </sheetViews>
  <sheetFormatPr defaultColWidth="2.6328125" defaultRowHeight="14.4" customHeight="1"/>
  <cols>
    <col min="1" max="1" width="4.6328125" style="1" customWidth="1"/>
    <col min="2" max="16384" width="2.6328125" style="1"/>
  </cols>
  <sheetData>
    <row r="1" spans="1:58" s="17" customFormat="1" ht="14.4" customHeight="1">
      <c r="A1" s="357" t="s">
        <v>78</v>
      </c>
      <c r="B1" s="358"/>
      <c r="C1" s="358"/>
      <c r="D1" s="358"/>
      <c r="E1" s="358"/>
      <c r="F1" s="358"/>
      <c r="G1" s="358"/>
      <c r="H1" s="358"/>
      <c r="I1" s="358"/>
      <c r="J1" s="358"/>
      <c r="K1" s="359"/>
      <c r="L1" s="336" t="s">
        <v>79</v>
      </c>
      <c r="M1" s="337"/>
      <c r="N1" s="337"/>
      <c r="O1" s="337"/>
      <c r="P1" s="337"/>
      <c r="Q1" s="337"/>
      <c r="R1" s="337"/>
      <c r="S1" s="337"/>
      <c r="T1" s="337"/>
      <c r="U1" s="337"/>
      <c r="V1" s="338"/>
      <c r="W1" s="336" t="s">
        <v>80</v>
      </c>
      <c r="X1" s="337"/>
      <c r="Y1" s="337"/>
      <c r="Z1" s="337"/>
      <c r="AA1" s="337"/>
      <c r="AB1" s="337"/>
      <c r="AC1" s="338"/>
      <c r="AD1" s="336" t="s">
        <v>81</v>
      </c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7"/>
      <c r="AP1" s="337"/>
      <c r="AQ1" s="338"/>
      <c r="AR1" s="55" t="s">
        <v>82</v>
      </c>
      <c r="AS1" s="56"/>
      <c r="AT1" s="56"/>
      <c r="AU1" s="56"/>
      <c r="AV1" s="57"/>
      <c r="AW1" s="55" t="s">
        <v>83</v>
      </c>
      <c r="AX1" s="56"/>
      <c r="AY1" s="56"/>
      <c r="AZ1" s="56"/>
      <c r="BA1" s="56"/>
      <c r="BB1" s="57"/>
      <c r="BC1" s="55" t="s">
        <v>84</v>
      </c>
      <c r="BD1" s="56"/>
      <c r="BE1" s="56"/>
      <c r="BF1" s="57"/>
    </row>
    <row r="2" spans="1:58" s="17" customFormat="1" ht="14.4" customHeight="1">
      <c r="A2" s="360"/>
      <c r="B2" s="361"/>
      <c r="C2" s="361"/>
      <c r="D2" s="361"/>
      <c r="E2" s="361"/>
      <c r="F2" s="361"/>
      <c r="G2" s="361"/>
      <c r="H2" s="361"/>
      <c r="I2" s="361"/>
      <c r="J2" s="361"/>
      <c r="K2" s="362"/>
      <c r="L2" s="366" t="s">
        <v>85</v>
      </c>
      <c r="M2" s="367"/>
      <c r="N2" s="367"/>
      <c r="O2" s="367"/>
      <c r="P2" s="367"/>
      <c r="Q2" s="367"/>
      <c r="R2" s="367"/>
      <c r="S2" s="367"/>
      <c r="T2" s="367"/>
      <c r="U2" s="367"/>
      <c r="V2" s="368"/>
      <c r="W2" s="366" t="s">
        <v>86</v>
      </c>
      <c r="X2" s="367"/>
      <c r="Y2" s="367"/>
      <c r="Z2" s="367"/>
      <c r="AA2" s="367"/>
      <c r="AB2" s="367"/>
      <c r="AC2" s="368"/>
      <c r="AD2" s="345" t="s">
        <v>87</v>
      </c>
      <c r="AE2" s="346"/>
      <c r="AF2" s="346"/>
      <c r="AG2" s="346"/>
      <c r="AH2" s="346"/>
      <c r="AI2" s="346"/>
      <c r="AJ2" s="346"/>
      <c r="AK2" s="346"/>
      <c r="AL2" s="346"/>
      <c r="AM2" s="346"/>
      <c r="AN2" s="346"/>
      <c r="AO2" s="346"/>
      <c r="AP2" s="346"/>
      <c r="AQ2" s="347"/>
      <c r="AR2" s="339"/>
      <c r="AS2" s="340"/>
      <c r="AT2" s="340"/>
      <c r="AU2" s="340"/>
      <c r="AV2" s="341"/>
      <c r="AW2" s="58" t="s">
        <v>88</v>
      </c>
      <c r="AX2" s="59"/>
      <c r="AY2" s="59"/>
      <c r="AZ2" s="59"/>
      <c r="BA2" s="59"/>
      <c r="BB2" s="60"/>
      <c r="BC2" s="61" t="s">
        <v>89</v>
      </c>
      <c r="BD2" s="62"/>
      <c r="BE2" s="62"/>
      <c r="BF2" s="63"/>
    </row>
    <row r="3" spans="1:58" s="17" customFormat="1" ht="14.4" customHeight="1">
      <c r="A3" s="360"/>
      <c r="B3" s="361"/>
      <c r="C3" s="361"/>
      <c r="D3" s="361"/>
      <c r="E3" s="361"/>
      <c r="F3" s="361"/>
      <c r="G3" s="361"/>
      <c r="H3" s="361"/>
      <c r="I3" s="361"/>
      <c r="J3" s="361"/>
      <c r="K3" s="362"/>
      <c r="L3" s="369"/>
      <c r="M3" s="370"/>
      <c r="N3" s="370"/>
      <c r="O3" s="370"/>
      <c r="P3" s="370"/>
      <c r="Q3" s="370"/>
      <c r="R3" s="370"/>
      <c r="S3" s="370"/>
      <c r="T3" s="370"/>
      <c r="U3" s="370"/>
      <c r="V3" s="371"/>
      <c r="W3" s="369"/>
      <c r="X3" s="370"/>
      <c r="Y3" s="370"/>
      <c r="Z3" s="370"/>
      <c r="AA3" s="370"/>
      <c r="AB3" s="370"/>
      <c r="AC3" s="371"/>
      <c r="AD3" s="348"/>
      <c r="AE3" s="349"/>
      <c r="AF3" s="349"/>
      <c r="AG3" s="349"/>
      <c r="AH3" s="349"/>
      <c r="AI3" s="349"/>
      <c r="AJ3" s="349"/>
      <c r="AK3" s="349"/>
      <c r="AL3" s="349"/>
      <c r="AM3" s="349"/>
      <c r="AN3" s="349"/>
      <c r="AO3" s="349"/>
      <c r="AP3" s="349"/>
      <c r="AQ3" s="350"/>
      <c r="AR3" s="342"/>
      <c r="AS3" s="343"/>
      <c r="AT3" s="343"/>
      <c r="AU3" s="343"/>
      <c r="AV3" s="344"/>
      <c r="AW3" s="58"/>
      <c r="AX3" s="59"/>
      <c r="AY3" s="59"/>
      <c r="AZ3" s="59"/>
      <c r="BA3" s="59"/>
      <c r="BB3" s="60"/>
      <c r="BC3" s="61"/>
      <c r="BD3" s="62"/>
      <c r="BE3" s="62"/>
      <c r="BF3" s="63"/>
    </row>
    <row r="4" spans="1:58" s="17" customFormat="1" ht="14.4" customHeight="1">
      <c r="A4" s="363"/>
      <c r="B4" s="364"/>
      <c r="C4" s="364"/>
      <c r="D4" s="364"/>
      <c r="E4" s="364"/>
      <c r="F4" s="364"/>
      <c r="G4" s="364"/>
      <c r="H4" s="364"/>
      <c r="I4" s="364"/>
      <c r="J4" s="364"/>
      <c r="K4" s="365"/>
      <c r="L4" s="372"/>
      <c r="M4" s="373"/>
      <c r="N4" s="373"/>
      <c r="O4" s="373"/>
      <c r="P4" s="373"/>
      <c r="Q4" s="373"/>
      <c r="R4" s="373"/>
      <c r="S4" s="373"/>
      <c r="T4" s="373"/>
      <c r="U4" s="373"/>
      <c r="V4" s="374"/>
      <c r="W4" s="372"/>
      <c r="X4" s="373"/>
      <c r="Y4" s="373"/>
      <c r="Z4" s="373"/>
      <c r="AA4" s="373"/>
      <c r="AB4" s="373"/>
      <c r="AC4" s="374"/>
      <c r="AD4" s="351"/>
      <c r="AE4" s="352"/>
      <c r="AF4" s="352"/>
      <c r="AG4" s="352"/>
      <c r="AH4" s="352"/>
      <c r="AI4" s="352"/>
      <c r="AJ4" s="352"/>
      <c r="AK4" s="352"/>
      <c r="AL4" s="352"/>
      <c r="AM4" s="352"/>
      <c r="AN4" s="352"/>
      <c r="AO4" s="352"/>
      <c r="AP4" s="352"/>
      <c r="AQ4" s="353"/>
      <c r="AR4" s="342"/>
      <c r="AS4" s="343"/>
      <c r="AT4" s="343"/>
      <c r="AU4" s="343"/>
      <c r="AV4" s="344"/>
      <c r="AW4" s="58"/>
      <c r="AX4" s="59"/>
      <c r="AY4" s="59"/>
      <c r="AZ4" s="59"/>
      <c r="BA4" s="59"/>
      <c r="BB4" s="60"/>
      <c r="BC4" s="61"/>
      <c r="BD4" s="62"/>
      <c r="BE4" s="62"/>
      <c r="BF4" s="63"/>
    </row>
    <row r="5" spans="1:58" ht="14.4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</row>
    <row r="6" spans="1:58" ht="14.4" customHeight="1">
      <c r="A6" s="65" t="s">
        <v>90</v>
      </c>
      <c r="B6" s="354" t="s">
        <v>91</v>
      </c>
      <c r="C6" s="355"/>
      <c r="D6" s="355"/>
      <c r="E6" s="355"/>
      <c r="F6" s="355"/>
      <c r="G6" s="355"/>
      <c r="H6" s="355"/>
      <c r="I6" s="355"/>
      <c r="J6" s="355"/>
      <c r="K6" s="356"/>
      <c r="L6" s="82" t="s">
        <v>92</v>
      </c>
      <c r="M6" s="83"/>
      <c r="N6" s="83"/>
      <c r="O6" s="83"/>
      <c r="P6" s="83"/>
      <c r="Q6" s="83"/>
      <c r="R6" s="83"/>
      <c r="S6" s="83"/>
      <c r="T6" s="83"/>
      <c r="U6" s="83"/>
      <c r="V6" s="83"/>
      <c r="W6" s="53" t="s">
        <v>93</v>
      </c>
      <c r="X6" s="54"/>
      <c r="Y6" s="54"/>
      <c r="Z6" s="54"/>
      <c r="AA6" s="54"/>
      <c r="AB6" s="83"/>
      <c r="AC6" s="84"/>
      <c r="AD6" s="336" t="s">
        <v>94</v>
      </c>
      <c r="AE6" s="337"/>
      <c r="AF6" s="337"/>
      <c r="AG6" s="337"/>
      <c r="AH6" s="337"/>
      <c r="AI6" s="337"/>
      <c r="AJ6" s="337"/>
      <c r="AK6" s="337"/>
      <c r="AL6" s="337"/>
      <c r="AM6" s="337"/>
      <c r="AN6" s="337"/>
      <c r="AO6" s="337"/>
      <c r="AP6" s="337"/>
      <c r="AQ6" s="337"/>
      <c r="AR6" s="337"/>
      <c r="AS6" s="337"/>
      <c r="AT6" s="337"/>
      <c r="AU6" s="337"/>
      <c r="AV6" s="337"/>
      <c r="AW6" s="337"/>
      <c r="AX6" s="337"/>
      <c r="AY6" s="337"/>
      <c r="AZ6" s="337"/>
      <c r="BA6" s="337"/>
      <c r="BB6" s="337"/>
      <c r="BC6" s="337"/>
      <c r="BD6" s="337"/>
      <c r="BE6" s="337"/>
      <c r="BF6" s="338"/>
    </row>
    <row r="7" spans="1:58" ht="14.4" customHeight="1">
      <c r="A7" s="4">
        <f>IF(B7="","",COUNTA($B$7:B7))</f>
        <v>1</v>
      </c>
      <c r="B7" s="64" t="s">
        <v>95</v>
      </c>
      <c r="C7" s="2"/>
      <c r="D7" s="2"/>
      <c r="E7" s="2"/>
      <c r="F7" s="2"/>
      <c r="G7" s="2"/>
      <c r="H7" s="2"/>
      <c r="I7" s="2"/>
      <c r="J7" s="2"/>
      <c r="K7" s="3"/>
      <c r="L7" s="64" t="s">
        <v>96</v>
      </c>
      <c r="M7" s="5"/>
      <c r="N7" s="5"/>
      <c r="O7" s="5"/>
      <c r="P7" s="5"/>
      <c r="Q7" s="5"/>
      <c r="R7" s="5"/>
      <c r="S7" s="5"/>
      <c r="T7" s="5"/>
      <c r="U7" s="5"/>
      <c r="V7" s="5"/>
      <c r="W7" s="375" t="s">
        <v>97</v>
      </c>
      <c r="X7" s="376"/>
      <c r="Y7" s="376"/>
      <c r="Z7" s="376"/>
      <c r="AA7" s="376"/>
      <c r="AB7" s="376"/>
      <c r="AC7" s="377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6"/>
    </row>
    <row r="8" spans="1:58" ht="14.4" customHeight="1">
      <c r="A8" s="4">
        <f>IF(B8="","",COUNTA($B$7:B8))</f>
        <v>2</v>
      </c>
      <c r="B8" s="64" t="s">
        <v>98</v>
      </c>
      <c r="C8" s="2"/>
      <c r="D8" s="2"/>
      <c r="E8" s="2"/>
      <c r="F8" s="2"/>
      <c r="G8" s="2"/>
      <c r="H8" s="2"/>
      <c r="I8" s="2"/>
      <c r="J8" s="2"/>
      <c r="K8" s="3"/>
      <c r="L8" s="64" t="s">
        <v>99</v>
      </c>
      <c r="M8" s="5"/>
      <c r="N8" s="5"/>
      <c r="O8" s="5"/>
      <c r="P8" s="5"/>
      <c r="Q8" s="5"/>
      <c r="R8" s="5"/>
      <c r="S8" s="5"/>
      <c r="T8" s="5"/>
      <c r="U8" s="5"/>
      <c r="V8" s="5"/>
      <c r="W8" s="375" t="s">
        <v>97</v>
      </c>
      <c r="X8" s="376"/>
      <c r="Y8" s="376"/>
      <c r="Z8" s="376"/>
      <c r="AA8" s="376"/>
      <c r="AB8" s="376"/>
      <c r="AC8" s="377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6"/>
    </row>
    <row r="9" spans="1:58" ht="14.4" customHeight="1">
      <c r="A9" s="4">
        <f>IF(B9="","",COUNTA($B$7:B9))</f>
        <v>3</v>
      </c>
      <c r="B9" s="64" t="s">
        <v>100</v>
      </c>
      <c r="C9" s="5"/>
      <c r="D9" s="5"/>
      <c r="E9" s="5"/>
      <c r="F9" s="5"/>
      <c r="G9" s="5"/>
      <c r="H9" s="5"/>
      <c r="I9" s="5"/>
      <c r="J9" s="5"/>
      <c r="K9" s="6"/>
      <c r="L9" s="64" t="s">
        <v>101</v>
      </c>
      <c r="M9" s="5"/>
      <c r="N9" s="5"/>
      <c r="O9" s="5"/>
      <c r="P9" s="5"/>
      <c r="Q9" s="5"/>
      <c r="R9" s="5"/>
      <c r="S9" s="5"/>
      <c r="T9" s="5"/>
      <c r="U9" s="5"/>
      <c r="V9" s="5"/>
      <c r="W9" s="375" t="s">
        <v>97</v>
      </c>
      <c r="X9" s="376"/>
      <c r="Y9" s="376"/>
      <c r="Z9" s="376"/>
      <c r="AA9" s="376"/>
      <c r="AB9" s="376"/>
      <c r="AC9" s="377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</row>
    <row r="10" spans="1:58" ht="14.4" customHeight="1">
      <c r="A10" s="4">
        <f>IF(B10="","",COUNTA($B$7:B10))</f>
        <v>4</v>
      </c>
      <c r="B10" s="64" t="s">
        <v>102</v>
      </c>
      <c r="C10" s="5"/>
      <c r="D10" s="5"/>
      <c r="E10" s="5"/>
      <c r="F10" s="5"/>
      <c r="G10" s="5"/>
      <c r="H10" s="5"/>
      <c r="I10" s="5"/>
      <c r="J10" s="5"/>
      <c r="K10" s="6"/>
      <c r="L10" s="64" t="s">
        <v>103</v>
      </c>
      <c r="M10" s="5"/>
      <c r="N10" s="5"/>
      <c r="O10" s="5"/>
      <c r="P10" s="5"/>
      <c r="Q10" s="5"/>
      <c r="R10" s="5"/>
      <c r="S10" s="5"/>
      <c r="T10" s="5"/>
      <c r="U10" s="5"/>
      <c r="V10" s="5"/>
      <c r="W10" s="375" t="s">
        <v>97</v>
      </c>
      <c r="X10" s="376"/>
      <c r="Y10" s="376"/>
      <c r="Z10" s="376"/>
      <c r="AA10" s="376"/>
      <c r="AB10" s="376"/>
      <c r="AC10" s="377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6"/>
    </row>
    <row r="11" spans="1:58" ht="14.4" customHeight="1">
      <c r="A11" s="4">
        <f>IF(B11="","",COUNTA($B$7:B11))</f>
        <v>5</v>
      </c>
      <c r="B11" s="64" t="s">
        <v>104</v>
      </c>
      <c r="C11" s="5"/>
      <c r="D11" s="5"/>
      <c r="E11" s="5"/>
      <c r="F11" s="5"/>
      <c r="G11" s="5"/>
      <c r="H11" s="5"/>
      <c r="I11" s="5"/>
      <c r="J11" s="5"/>
      <c r="K11" s="6"/>
      <c r="L11" s="64" t="s">
        <v>105</v>
      </c>
      <c r="M11" s="5"/>
      <c r="N11" s="5"/>
      <c r="O11" s="5"/>
      <c r="P11" s="5"/>
      <c r="Q11" s="5"/>
      <c r="R11" s="5"/>
      <c r="S11" s="5"/>
      <c r="T11" s="5"/>
      <c r="U11" s="5"/>
      <c r="V11" s="5"/>
      <c r="W11" s="375" t="s">
        <v>97</v>
      </c>
      <c r="X11" s="376"/>
      <c r="Y11" s="376"/>
      <c r="Z11" s="376"/>
      <c r="AA11" s="376"/>
      <c r="AB11" s="376"/>
      <c r="AC11" s="377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6"/>
    </row>
    <row r="12" spans="1:58" ht="14.4" customHeight="1">
      <c r="A12" s="4">
        <f>IF(B12="","",COUNTA($B$7:B12))</f>
        <v>6</v>
      </c>
      <c r="B12" s="64" t="s">
        <v>106</v>
      </c>
      <c r="C12" s="5"/>
      <c r="D12" s="5"/>
      <c r="E12" s="5"/>
      <c r="F12" s="5"/>
      <c r="G12" s="5"/>
      <c r="H12" s="5"/>
      <c r="I12" s="5"/>
      <c r="J12" s="5"/>
      <c r="K12" s="6"/>
      <c r="L12" s="64" t="s">
        <v>107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375" t="s">
        <v>97</v>
      </c>
      <c r="X12" s="376"/>
      <c r="Y12" s="376"/>
      <c r="Z12" s="376"/>
      <c r="AA12" s="376"/>
      <c r="AB12" s="376"/>
      <c r="AC12" s="377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6"/>
    </row>
    <row r="13" spans="1:58" ht="14.4" customHeight="1">
      <c r="A13" s="4">
        <f>IF(B13="","",COUNTA($B$7:B13))</f>
        <v>7</v>
      </c>
      <c r="B13" s="64" t="s">
        <v>108</v>
      </c>
      <c r="C13" s="5"/>
      <c r="D13" s="5"/>
      <c r="E13" s="5"/>
      <c r="F13" s="5"/>
      <c r="G13" s="5"/>
      <c r="H13" s="5"/>
      <c r="I13" s="5"/>
      <c r="J13" s="5"/>
      <c r="K13" s="6"/>
      <c r="L13" s="64" t="s">
        <v>109</v>
      </c>
      <c r="M13" s="5"/>
      <c r="N13" s="5"/>
      <c r="O13" s="5"/>
      <c r="P13" s="5"/>
      <c r="Q13" s="5"/>
      <c r="R13" s="5"/>
      <c r="S13" s="5"/>
      <c r="T13" s="5"/>
      <c r="U13" s="5"/>
      <c r="V13" s="5"/>
      <c r="W13" s="375" t="s">
        <v>97</v>
      </c>
      <c r="X13" s="376"/>
      <c r="Y13" s="376"/>
      <c r="Z13" s="376"/>
      <c r="AA13" s="376"/>
      <c r="AB13" s="376"/>
      <c r="AC13" s="377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6"/>
    </row>
    <row r="14" spans="1:58" ht="14.4" customHeight="1">
      <c r="A14" s="4">
        <f>IF(B14="","",COUNTA($B$7:B14))</f>
        <v>8</v>
      </c>
      <c r="B14" s="64" t="s">
        <v>110</v>
      </c>
      <c r="C14" s="5"/>
      <c r="D14" s="5"/>
      <c r="E14" s="5"/>
      <c r="F14" s="5"/>
      <c r="G14" s="5"/>
      <c r="H14" s="5"/>
      <c r="I14" s="5"/>
      <c r="J14" s="5"/>
      <c r="K14" s="6"/>
      <c r="L14" s="64" t="s">
        <v>111</v>
      </c>
      <c r="M14" s="5"/>
      <c r="N14" s="5"/>
      <c r="O14" s="5"/>
      <c r="P14" s="5"/>
      <c r="Q14" s="5"/>
      <c r="R14" s="5"/>
      <c r="S14" s="5"/>
      <c r="T14" s="5"/>
      <c r="U14" s="5"/>
      <c r="V14" s="5"/>
      <c r="W14" s="375" t="s">
        <v>97</v>
      </c>
      <c r="X14" s="376"/>
      <c r="Y14" s="376"/>
      <c r="Z14" s="376"/>
      <c r="AA14" s="376"/>
      <c r="AB14" s="376"/>
      <c r="AC14" s="377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6"/>
    </row>
    <row r="15" spans="1:58" ht="14.4" customHeight="1">
      <c r="A15" s="4">
        <f>IF(B15="","",COUNTA($B$7:B15))</f>
        <v>9</v>
      </c>
      <c r="B15" s="64" t="s">
        <v>112</v>
      </c>
      <c r="C15" s="5"/>
      <c r="D15" s="5"/>
      <c r="E15" s="5"/>
      <c r="F15" s="5"/>
      <c r="G15" s="5"/>
      <c r="H15" s="5"/>
      <c r="I15" s="5"/>
      <c r="J15" s="5"/>
      <c r="K15" s="6"/>
      <c r="L15" s="4" t="s">
        <v>113</v>
      </c>
      <c r="M15" s="5"/>
      <c r="N15" s="5"/>
      <c r="O15" s="5"/>
      <c r="P15" s="5"/>
      <c r="Q15" s="5"/>
      <c r="R15" s="5"/>
      <c r="S15" s="5"/>
      <c r="T15" s="5"/>
      <c r="U15" s="5"/>
      <c r="V15" s="5"/>
      <c r="W15" s="375" t="s">
        <v>97</v>
      </c>
      <c r="X15" s="376"/>
      <c r="Y15" s="376"/>
      <c r="Z15" s="376"/>
      <c r="AA15" s="376"/>
      <c r="AB15" s="376"/>
      <c r="AC15" s="377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6"/>
    </row>
    <row r="16" spans="1:58" ht="14.4" customHeight="1">
      <c r="A16" s="4">
        <f>IF(B16="","",COUNTA($B$7:B16))</f>
        <v>10</v>
      </c>
      <c r="B16" s="4" t="s">
        <v>114</v>
      </c>
      <c r="C16" s="5"/>
      <c r="D16" s="5"/>
      <c r="E16" s="5"/>
      <c r="F16" s="5"/>
      <c r="G16" s="5"/>
      <c r="H16" s="5"/>
      <c r="I16" s="5"/>
      <c r="J16" s="5"/>
      <c r="K16" s="6"/>
      <c r="L16" s="4" t="s">
        <v>115</v>
      </c>
      <c r="M16" s="5"/>
      <c r="N16" s="5"/>
      <c r="O16" s="5"/>
      <c r="P16" s="5"/>
      <c r="Q16" s="5"/>
      <c r="R16" s="5"/>
      <c r="S16" s="5"/>
      <c r="T16" s="5"/>
      <c r="U16" s="5"/>
      <c r="V16" s="5"/>
      <c r="W16" s="375" t="s">
        <v>97</v>
      </c>
      <c r="X16" s="376"/>
      <c r="Y16" s="376"/>
      <c r="Z16" s="376"/>
      <c r="AA16" s="376"/>
      <c r="AB16" s="376"/>
      <c r="AC16" s="377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6"/>
    </row>
    <row r="17" spans="1:58" ht="14.4" customHeight="1">
      <c r="A17" s="4">
        <f>IF(B17="","",COUNTA($B$7:B17))</f>
        <v>11</v>
      </c>
      <c r="B17" s="64" t="s">
        <v>116</v>
      </c>
      <c r="C17" s="5"/>
      <c r="D17" s="5"/>
      <c r="E17" s="5"/>
      <c r="F17" s="5"/>
      <c r="G17" s="5"/>
      <c r="H17" s="5"/>
      <c r="I17" s="5"/>
      <c r="J17" s="5"/>
      <c r="K17" s="6"/>
      <c r="L17" s="4" t="s">
        <v>117</v>
      </c>
      <c r="M17" s="5"/>
      <c r="N17" s="5"/>
      <c r="O17" s="5"/>
      <c r="P17" s="5"/>
      <c r="Q17" s="5"/>
      <c r="R17" s="5"/>
      <c r="S17" s="5"/>
      <c r="T17" s="5"/>
      <c r="U17" s="5"/>
      <c r="V17" s="5"/>
      <c r="W17" s="375" t="s">
        <v>97</v>
      </c>
      <c r="X17" s="376"/>
      <c r="Y17" s="376"/>
      <c r="Z17" s="376"/>
      <c r="AA17" s="376"/>
      <c r="AB17" s="376"/>
      <c r="AC17" s="377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6"/>
    </row>
    <row r="18" spans="1:58" ht="14.4" customHeight="1">
      <c r="A18" s="4">
        <f>IF(B18="","",COUNTA($B$7:B18))</f>
        <v>12</v>
      </c>
      <c r="B18" s="4" t="s">
        <v>118</v>
      </c>
      <c r="C18" s="5"/>
      <c r="D18" s="5"/>
      <c r="E18" s="5"/>
      <c r="F18" s="5"/>
      <c r="G18" s="5"/>
      <c r="H18" s="5"/>
      <c r="I18" s="5"/>
      <c r="J18" s="5"/>
      <c r="K18" s="6"/>
      <c r="L18" s="4" t="s">
        <v>119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375" t="s">
        <v>97</v>
      </c>
      <c r="X18" s="376"/>
      <c r="Y18" s="376"/>
      <c r="Z18" s="376"/>
      <c r="AA18" s="376"/>
      <c r="AB18" s="376"/>
      <c r="AC18" s="377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6"/>
    </row>
    <row r="19" spans="1:58" ht="14.4" customHeight="1">
      <c r="A19" s="4">
        <f>IF(B19="","",COUNTA($B$7:B19))</f>
        <v>13</v>
      </c>
      <c r="B19" s="64" t="s">
        <v>120</v>
      </c>
      <c r="C19" s="5"/>
      <c r="D19" s="5"/>
      <c r="E19" s="5"/>
      <c r="F19" s="5"/>
      <c r="G19" s="5"/>
      <c r="H19" s="5"/>
      <c r="I19" s="5"/>
      <c r="J19" s="5"/>
      <c r="K19" s="6"/>
      <c r="L19" s="4" t="s">
        <v>121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375" t="s">
        <v>97</v>
      </c>
      <c r="X19" s="376"/>
      <c r="Y19" s="376"/>
      <c r="Z19" s="376"/>
      <c r="AA19" s="376"/>
      <c r="AB19" s="376"/>
      <c r="AC19" s="377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6"/>
    </row>
    <row r="20" spans="1:58" ht="14.4" customHeight="1">
      <c r="A20" s="4">
        <f>IF(B20="","",COUNTA($B$7:B20))</f>
        <v>14</v>
      </c>
      <c r="B20" s="4" t="s">
        <v>122</v>
      </c>
      <c r="C20" s="5"/>
      <c r="D20" s="5"/>
      <c r="E20" s="5"/>
      <c r="F20" s="5"/>
      <c r="G20" s="5"/>
      <c r="H20" s="5"/>
      <c r="I20" s="5"/>
      <c r="J20" s="5"/>
      <c r="K20" s="6"/>
      <c r="L20" s="4" t="s">
        <v>123</v>
      </c>
      <c r="M20" s="5"/>
      <c r="N20" s="5"/>
      <c r="O20" s="5"/>
      <c r="P20" s="5"/>
      <c r="Q20" s="5"/>
      <c r="R20" s="5"/>
      <c r="S20" s="5"/>
      <c r="T20" s="5"/>
      <c r="U20" s="5"/>
      <c r="V20" s="5"/>
      <c r="W20" s="375" t="s">
        <v>97</v>
      </c>
      <c r="X20" s="376"/>
      <c r="Y20" s="376"/>
      <c r="Z20" s="376"/>
      <c r="AA20" s="376"/>
      <c r="AB20" s="376"/>
      <c r="AC20" s="377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6"/>
    </row>
    <row r="21" spans="1:58" ht="14.4" customHeight="1">
      <c r="A21" s="4">
        <f>IF(B21="","",COUNTA($B$7:B21))</f>
        <v>15</v>
      </c>
      <c r="B21" s="64" t="s">
        <v>76</v>
      </c>
      <c r="C21" s="5"/>
      <c r="D21" s="5"/>
      <c r="E21" s="5"/>
      <c r="F21" s="5"/>
      <c r="G21" s="5"/>
      <c r="H21" s="5"/>
      <c r="I21" s="5"/>
      <c r="J21" s="5"/>
      <c r="K21" s="6"/>
      <c r="L21" s="4" t="s">
        <v>124</v>
      </c>
      <c r="M21" s="5"/>
      <c r="N21" s="5"/>
      <c r="O21" s="5"/>
      <c r="P21" s="5"/>
      <c r="Q21" s="5"/>
      <c r="R21" s="5"/>
      <c r="S21" s="5"/>
      <c r="T21" s="5"/>
      <c r="U21" s="5"/>
      <c r="V21" s="5"/>
      <c r="W21" s="375" t="s">
        <v>97</v>
      </c>
      <c r="X21" s="376"/>
      <c r="Y21" s="376"/>
      <c r="Z21" s="376"/>
      <c r="AA21" s="376"/>
      <c r="AB21" s="376"/>
      <c r="AC21" s="377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6"/>
    </row>
    <row r="22" spans="1:58" ht="14.4" customHeight="1">
      <c r="A22" s="4">
        <f>IF(B22="","",COUNTA($B$7:B22))</f>
        <v>16</v>
      </c>
      <c r="B22" s="4" t="s">
        <v>125</v>
      </c>
      <c r="C22" s="5"/>
      <c r="D22" s="5"/>
      <c r="E22" s="5"/>
      <c r="F22" s="5"/>
      <c r="G22" s="5"/>
      <c r="H22" s="5"/>
      <c r="I22" s="5"/>
      <c r="J22" s="5"/>
      <c r="K22" s="6"/>
      <c r="L22" s="4" t="s">
        <v>126</v>
      </c>
      <c r="M22" s="5"/>
      <c r="N22" s="5"/>
      <c r="O22" s="5"/>
      <c r="P22" s="5"/>
      <c r="Q22" s="5"/>
      <c r="R22" s="5"/>
      <c r="S22" s="5"/>
      <c r="T22" s="5"/>
      <c r="U22" s="5"/>
      <c r="V22" s="5"/>
      <c r="W22" s="375" t="s">
        <v>97</v>
      </c>
      <c r="X22" s="376"/>
      <c r="Y22" s="376"/>
      <c r="Z22" s="376"/>
      <c r="AA22" s="376"/>
      <c r="AB22" s="376"/>
      <c r="AC22" s="377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6"/>
    </row>
    <row r="23" spans="1:58" s="207" customFormat="1" ht="14.4" customHeight="1">
      <c r="A23" s="212">
        <f>IF(B23="","",COUNTA($B$7:B23))</f>
        <v>17</v>
      </c>
      <c r="B23" s="212" t="s">
        <v>127</v>
      </c>
      <c r="C23" s="213"/>
      <c r="D23" s="213"/>
      <c r="E23" s="213"/>
      <c r="F23" s="213"/>
      <c r="G23" s="213"/>
      <c r="H23" s="213"/>
      <c r="I23" s="213"/>
      <c r="J23" s="213"/>
      <c r="K23" s="502"/>
      <c r="L23" s="212" t="s">
        <v>128</v>
      </c>
      <c r="M23" s="213"/>
      <c r="N23" s="213"/>
      <c r="O23" s="213"/>
      <c r="P23" s="213"/>
      <c r="Q23" s="213"/>
      <c r="R23" s="213"/>
      <c r="S23" s="213"/>
      <c r="T23" s="213"/>
      <c r="U23" s="213"/>
      <c r="V23" s="213"/>
      <c r="W23" s="503" t="s">
        <v>97</v>
      </c>
      <c r="X23" s="504"/>
      <c r="Y23" s="504"/>
      <c r="Z23" s="504"/>
      <c r="AA23" s="504"/>
      <c r="AB23" s="504"/>
      <c r="AC23" s="505"/>
      <c r="AD23" s="213"/>
      <c r="AE23" s="213"/>
      <c r="AF23" s="213"/>
      <c r="AG23" s="213"/>
      <c r="AH23" s="213"/>
      <c r="AI23" s="213"/>
      <c r="AJ23" s="213"/>
      <c r="AK23" s="213"/>
      <c r="AL23" s="213"/>
      <c r="AM23" s="213"/>
      <c r="AN23" s="213"/>
      <c r="AO23" s="213"/>
      <c r="AP23" s="213"/>
      <c r="AQ23" s="213"/>
      <c r="AR23" s="213"/>
      <c r="AS23" s="213"/>
      <c r="AT23" s="213"/>
      <c r="AU23" s="213"/>
      <c r="AV23" s="213"/>
      <c r="AW23" s="213"/>
      <c r="AX23" s="213"/>
      <c r="AY23" s="213"/>
      <c r="AZ23" s="213"/>
      <c r="BA23" s="213"/>
      <c r="BB23" s="213"/>
      <c r="BC23" s="213"/>
      <c r="BD23" s="213"/>
      <c r="BE23" s="213"/>
      <c r="BF23" s="502"/>
    </row>
    <row r="24" spans="1:58" s="207" customFormat="1" ht="14.4" customHeight="1">
      <c r="A24" s="212">
        <f>IF(B24="","",COUNTA($B$7:B24))</f>
        <v>18</v>
      </c>
      <c r="B24" s="212" t="s">
        <v>129</v>
      </c>
      <c r="C24" s="213"/>
      <c r="D24" s="213"/>
      <c r="E24" s="213"/>
      <c r="F24" s="213"/>
      <c r="G24" s="213"/>
      <c r="H24" s="213"/>
      <c r="I24" s="213"/>
      <c r="J24" s="213"/>
      <c r="K24" s="502"/>
      <c r="L24" s="212" t="s">
        <v>130</v>
      </c>
      <c r="M24" s="213"/>
      <c r="N24" s="213"/>
      <c r="O24" s="213"/>
      <c r="P24" s="213"/>
      <c r="Q24" s="213"/>
      <c r="R24" s="213"/>
      <c r="S24" s="213"/>
      <c r="T24" s="213"/>
      <c r="U24" s="213"/>
      <c r="V24" s="213"/>
      <c r="W24" s="503" t="s">
        <v>97</v>
      </c>
      <c r="X24" s="504"/>
      <c r="Y24" s="504"/>
      <c r="Z24" s="504"/>
      <c r="AA24" s="504"/>
      <c r="AB24" s="504"/>
      <c r="AC24" s="505"/>
      <c r="AD24" s="213"/>
      <c r="AE24" s="213"/>
      <c r="AF24" s="213"/>
      <c r="AG24" s="213"/>
      <c r="AH24" s="213"/>
      <c r="AI24" s="213"/>
      <c r="AJ24" s="213"/>
      <c r="AK24" s="213"/>
      <c r="AL24" s="213"/>
      <c r="AM24" s="213"/>
      <c r="AN24" s="213"/>
      <c r="AO24" s="213"/>
      <c r="AP24" s="213"/>
      <c r="AQ24" s="213"/>
      <c r="AR24" s="213"/>
      <c r="AS24" s="213"/>
      <c r="AT24" s="213"/>
      <c r="AU24" s="213"/>
      <c r="AV24" s="213"/>
      <c r="AW24" s="213"/>
      <c r="AX24" s="213"/>
      <c r="AY24" s="213"/>
      <c r="AZ24" s="213"/>
      <c r="BA24" s="213"/>
      <c r="BB24" s="213"/>
      <c r="BC24" s="213"/>
      <c r="BD24" s="213"/>
      <c r="BE24" s="213"/>
      <c r="BF24" s="502"/>
    </row>
    <row r="25" spans="1:58" s="207" customFormat="1" ht="14.4" customHeight="1">
      <c r="A25" s="212">
        <f>IF(B25="","",COUNTA($B$7:B25))</f>
        <v>19</v>
      </c>
      <c r="B25" s="212" t="s">
        <v>131</v>
      </c>
      <c r="C25" s="213"/>
      <c r="D25" s="213"/>
      <c r="E25" s="213"/>
      <c r="F25" s="213"/>
      <c r="G25" s="213"/>
      <c r="H25" s="213"/>
      <c r="I25" s="213"/>
      <c r="J25" s="213"/>
      <c r="K25" s="502"/>
      <c r="L25" s="212" t="s">
        <v>132</v>
      </c>
      <c r="M25" s="213"/>
      <c r="N25" s="213"/>
      <c r="O25" s="213"/>
      <c r="P25" s="213"/>
      <c r="Q25" s="213"/>
      <c r="R25" s="213"/>
      <c r="S25" s="213"/>
      <c r="T25" s="213"/>
      <c r="U25" s="213"/>
      <c r="V25" s="213"/>
      <c r="W25" s="503" t="s">
        <v>97</v>
      </c>
      <c r="X25" s="504"/>
      <c r="Y25" s="504"/>
      <c r="Z25" s="504"/>
      <c r="AA25" s="504"/>
      <c r="AB25" s="504"/>
      <c r="AC25" s="505"/>
      <c r="AD25" s="213"/>
      <c r="AE25" s="213"/>
      <c r="AF25" s="213"/>
      <c r="AG25" s="213"/>
      <c r="AH25" s="213"/>
      <c r="AI25" s="213"/>
      <c r="AJ25" s="213"/>
      <c r="AK25" s="213"/>
      <c r="AL25" s="213"/>
      <c r="AM25" s="213"/>
      <c r="AN25" s="213"/>
      <c r="AO25" s="213"/>
      <c r="AP25" s="213"/>
      <c r="AQ25" s="213"/>
      <c r="AR25" s="213"/>
      <c r="AS25" s="213"/>
      <c r="AT25" s="213"/>
      <c r="AU25" s="213"/>
      <c r="AV25" s="213"/>
      <c r="AW25" s="213"/>
      <c r="AX25" s="213"/>
      <c r="AY25" s="213"/>
      <c r="AZ25" s="213"/>
      <c r="BA25" s="213"/>
      <c r="BB25" s="213"/>
      <c r="BC25" s="213"/>
      <c r="BD25" s="213"/>
      <c r="BE25" s="213"/>
      <c r="BF25" s="502"/>
    </row>
    <row r="26" spans="1:58" s="207" customFormat="1" ht="14.4" customHeight="1">
      <c r="A26" s="212">
        <f>IF(B26="","",COUNTA($B$7:B26))</f>
        <v>20</v>
      </c>
      <c r="B26" s="212" t="s">
        <v>133</v>
      </c>
      <c r="C26" s="213"/>
      <c r="D26" s="213"/>
      <c r="E26" s="213"/>
      <c r="F26" s="213"/>
      <c r="G26" s="213"/>
      <c r="H26" s="213"/>
      <c r="I26" s="213"/>
      <c r="J26" s="213"/>
      <c r="K26" s="502"/>
      <c r="L26" s="212" t="s">
        <v>134</v>
      </c>
      <c r="M26" s="213"/>
      <c r="N26" s="213"/>
      <c r="O26" s="213"/>
      <c r="P26" s="213"/>
      <c r="Q26" s="213"/>
      <c r="R26" s="213"/>
      <c r="S26" s="213"/>
      <c r="T26" s="213"/>
      <c r="U26" s="213"/>
      <c r="V26" s="213"/>
      <c r="W26" s="503" t="s">
        <v>97</v>
      </c>
      <c r="X26" s="504"/>
      <c r="Y26" s="504"/>
      <c r="Z26" s="504"/>
      <c r="AA26" s="504"/>
      <c r="AB26" s="504"/>
      <c r="AC26" s="505"/>
      <c r="AD26" s="213"/>
      <c r="AE26" s="213"/>
      <c r="AF26" s="213"/>
      <c r="AG26" s="213"/>
      <c r="AH26" s="213"/>
      <c r="AI26" s="213"/>
      <c r="AJ26" s="213"/>
      <c r="AK26" s="213"/>
      <c r="AL26" s="213"/>
      <c r="AM26" s="213"/>
      <c r="AN26" s="213"/>
      <c r="AO26" s="213"/>
      <c r="AP26" s="213"/>
      <c r="AQ26" s="213"/>
      <c r="AR26" s="213"/>
      <c r="AS26" s="213"/>
      <c r="AT26" s="213"/>
      <c r="AU26" s="213"/>
      <c r="AV26" s="213"/>
      <c r="AW26" s="213"/>
      <c r="AX26" s="213"/>
      <c r="AY26" s="213"/>
      <c r="AZ26" s="213"/>
      <c r="BA26" s="213"/>
      <c r="BB26" s="213"/>
      <c r="BC26" s="213"/>
      <c r="BD26" s="213"/>
      <c r="BE26" s="213"/>
      <c r="BF26" s="502"/>
    </row>
    <row r="27" spans="1:58" s="207" customFormat="1" ht="14.4" customHeight="1">
      <c r="A27" s="212">
        <f>IF(B27="","",COUNTA($B$7:B27))</f>
        <v>21</v>
      </c>
      <c r="B27" s="281" t="s">
        <v>1381</v>
      </c>
      <c r="C27" s="282"/>
      <c r="D27" s="282"/>
      <c r="E27" s="282"/>
      <c r="F27" s="282"/>
      <c r="G27" s="282"/>
      <c r="H27" s="282"/>
      <c r="I27" s="282"/>
      <c r="J27" s="282"/>
      <c r="K27" s="283"/>
      <c r="L27" s="212" t="s">
        <v>1382</v>
      </c>
      <c r="M27" s="213"/>
      <c r="N27" s="213"/>
      <c r="O27" s="213"/>
      <c r="P27" s="213"/>
      <c r="Q27" s="213"/>
      <c r="R27" s="213"/>
      <c r="S27" s="213"/>
      <c r="T27" s="213"/>
      <c r="U27" s="213"/>
      <c r="V27" s="213"/>
      <c r="W27" s="503" t="s">
        <v>97</v>
      </c>
      <c r="X27" s="504"/>
      <c r="Y27" s="504"/>
      <c r="Z27" s="504"/>
      <c r="AA27" s="504"/>
      <c r="AB27" s="504"/>
      <c r="AC27" s="505"/>
      <c r="AD27" s="213"/>
      <c r="AE27" s="213"/>
      <c r="AF27" s="213"/>
      <c r="AG27" s="213"/>
      <c r="AH27" s="213"/>
      <c r="AI27" s="213"/>
      <c r="AJ27" s="213"/>
      <c r="AK27" s="213"/>
      <c r="AL27" s="213"/>
      <c r="AM27" s="213"/>
      <c r="AN27" s="213"/>
      <c r="AO27" s="213"/>
      <c r="AP27" s="213"/>
      <c r="AQ27" s="213"/>
      <c r="AR27" s="213"/>
      <c r="AS27" s="213"/>
      <c r="AT27" s="213"/>
      <c r="AU27" s="213"/>
      <c r="AV27" s="213"/>
      <c r="AW27" s="213"/>
      <c r="AX27" s="213"/>
      <c r="AY27" s="213"/>
      <c r="AZ27" s="213"/>
      <c r="BA27" s="213"/>
      <c r="BB27" s="213"/>
      <c r="BC27" s="213"/>
      <c r="BD27" s="213"/>
      <c r="BE27" s="213"/>
      <c r="BF27" s="502"/>
    </row>
    <row r="28" spans="1:58" ht="14.4" customHeight="1">
      <c r="A28" s="4">
        <f>IF(B28="","",COUNTA($B$7:B28))</f>
        <v>22</v>
      </c>
      <c r="B28" s="269" t="s">
        <v>1404</v>
      </c>
      <c r="C28" s="2"/>
      <c r="D28" s="2"/>
      <c r="E28" s="2"/>
      <c r="F28" s="2"/>
      <c r="G28" s="2"/>
      <c r="H28" s="2"/>
      <c r="I28" s="2"/>
      <c r="J28" s="2"/>
      <c r="K28" s="3"/>
      <c r="L28" s="4" t="s">
        <v>1405</v>
      </c>
      <c r="M28" s="5"/>
      <c r="N28" s="5"/>
      <c r="O28" s="5"/>
      <c r="P28" s="5"/>
      <c r="Q28" s="5"/>
      <c r="R28" s="5"/>
      <c r="S28" s="5"/>
      <c r="T28" s="5"/>
      <c r="U28" s="5"/>
      <c r="V28" s="5"/>
      <c r="W28" s="375" t="s">
        <v>97</v>
      </c>
      <c r="X28" s="376"/>
      <c r="Y28" s="376"/>
      <c r="Z28" s="376"/>
      <c r="AA28" s="376"/>
      <c r="AB28" s="376"/>
      <c r="AC28" s="377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6"/>
    </row>
    <row r="29" spans="1:58" ht="14.4" customHeight="1">
      <c r="A29" s="4" t="str">
        <f>IF(B29="","",COUNTA($B$7:B29))</f>
        <v/>
      </c>
      <c r="B29" s="4"/>
      <c r="C29" s="5"/>
      <c r="D29" s="5"/>
      <c r="E29" s="5"/>
      <c r="F29" s="5"/>
      <c r="G29" s="5"/>
      <c r="H29" s="5"/>
      <c r="I29" s="5"/>
      <c r="J29" s="5"/>
      <c r="K29" s="6"/>
      <c r="L29" s="4"/>
      <c r="M29" s="5"/>
      <c r="N29" s="5"/>
      <c r="O29" s="5"/>
      <c r="P29" s="5"/>
      <c r="Q29" s="5"/>
      <c r="R29" s="5"/>
      <c r="S29" s="5"/>
      <c r="T29" s="5"/>
      <c r="U29" s="5"/>
      <c r="V29" s="5"/>
      <c r="W29" s="375"/>
      <c r="X29" s="376"/>
      <c r="Y29" s="376"/>
      <c r="Z29" s="376"/>
      <c r="AA29" s="376"/>
      <c r="AB29" s="376"/>
      <c r="AC29" s="377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6"/>
    </row>
    <row r="30" spans="1:58" ht="14.4" customHeight="1">
      <c r="A30" s="4" t="str">
        <f>IF(B30="","",COUNTA($B$7:B30))</f>
        <v/>
      </c>
      <c r="B30" s="4"/>
      <c r="C30" s="5"/>
      <c r="D30" s="5"/>
      <c r="E30" s="5"/>
      <c r="F30" s="5"/>
      <c r="G30" s="5"/>
      <c r="H30" s="5"/>
      <c r="I30" s="5"/>
      <c r="J30" s="5"/>
      <c r="K30" s="6"/>
      <c r="L30" s="4"/>
      <c r="M30" s="5"/>
      <c r="N30" s="5"/>
      <c r="O30" s="5"/>
      <c r="P30" s="5"/>
      <c r="Q30" s="5"/>
      <c r="R30" s="5"/>
      <c r="S30" s="5"/>
      <c r="T30" s="5"/>
      <c r="U30" s="5"/>
      <c r="V30" s="5"/>
      <c r="W30" s="375"/>
      <c r="X30" s="376"/>
      <c r="Y30" s="376"/>
      <c r="Z30" s="376"/>
      <c r="AA30" s="376"/>
      <c r="AB30" s="376"/>
      <c r="AC30" s="377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6"/>
    </row>
    <row r="31" spans="1:58" ht="14.4" customHeight="1">
      <c r="A31" s="4" t="str">
        <f>IF(B31="","",COUNTA($B$7:B31))</f>
        <v/>
      </c>
      <c r="B31" s="4"/>
      <c r="C31" s="5"/>
      <c r="D31" s="5"/>
      <c r="E31" s="5"/>
      <c r="F31" s="5"/>
      <c r="G31" s="5"/>
      <c r="H31" s="5"/>
      <c r="I31" s="5"/>
      <c r="J31" s="5"/>
      <c r="K31" s="6"/>
      <c r="L31" s="4"/>
      <c r="M31" s="5"/>
      <c r="N31" s="5"/>
      <c r="O31" s="5"/>
      <c r="P31" s="5"/>
      <c r="Q31" s="5"/>
      <c r="R31" s="5"/>
      <c r="S31" s="5"/>
      <c r="T31" s="5"/>
      <c r="U31" s="5"/>
      <c r="V31" s="5"/>
      <c r="W31" s="375"/>
      <c r="X31" s="376"/>
      <c r="Y31" s="376"/>
      <c r="Z31" s="376"/>
      <c r="AA31" s="376"/>
      <c r="AB31" s="376"/>
      <c r="AC31" s="377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6"/>
    </row>
    <row r="32" spans="1:58" ht="14.4" customHeight="1">
      <c r="A32" s="4" t="str">
        <f>IF(B32="","",COUNTA($B$7:B32))</f>
        <v/>
      </c>
      <c r="B32" s="4"/>
      <c r="C32" s="5"/>
      <c r="D32" s="5"/>
      <c r="E32" s="5"/>
      <c r="F32" s="5"/>
      <c r="G32" s="5"/>
      <c r="H32" s="5"/>
      <c r="I32" s="5"/>
      <c r="J32" s="5"/>
      <c r="K32" s="6"/>
      <c r="L32" s="4"/>
      <c r="M32" s="5"/>
      <c r="N32" s="5"/>
      <c r="O32" s="5"/>
      <c r="P32" s="5"/>
      <c r="Q32" s="5"/>
      <c r="R32" s="5"/>
      <c r="S32" s="5"/>
      <c r="T32" s="5"/>
      <c r="U32" s="5"/>
      <c r="V32" s="5"/>
      <c r="W32" s="375"/>
      <c r="X32" s="376"/>
      <c r="Y32" s="376"/>
      <c r="Z32" s="376"/>
      <c r="AA32" s="376"/>
      <c r="AB32" s="376"/>
      <c r="AC32" s="377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6"/>
    </row>
    <row r="33" spans="1:58" ht="14.4" customHeight="1">
      <c r="A33" s="4" t="str">
        <f>IF(B33="","",COUNTA($B$7:B33))</f>
        <v/>
      </c>
      <c r="B33" s="4"/>
      <c r="C33" s="5"/>
      <c r="D33" s="5"/>
      <c r="E33" s="5"/>
      <c r="F33" s="5"/>
      <c r="G33" s="5"/>
      <c r="H33" s="5"/>
      <c r="I33" s="5"/>
      <c r="J33" s="5"/>
      <c r="K33" s="6"/>
      <c r="L33" s="4"/>
      <c r="M33" s="5"/>
      <c r="N33" s="5"/>
      <c r="O33" s="5"/>
      <c r="P33" s="5"/>
      <c r="Q33" s="5"/>
      <c r="R33" s="5"/>
      <c r="S33" s="5"/>
      <c r="T33" s="5"/>
      <c r="U33" s="5"/>
      <c r="V33" s="5"/>
      <c r="W33" s="375"/>
      <c r="X33" s="376"/>
      <c r="Y33" s="376"/>
      <c r="Z33" s="376"/>
      <c r="AA33" s="376"/>
      <c r="AB33" s="376"/>
      <c r="AC33" s="377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6"/>
    </row>
    <row r="34" spans="1:58" ht="14.4" customHeight="1">
      <c r="A34" s="4" t="str">
        <f>IF(B34="","",COUNTA($B$7:B34))</f>
        <v/>
      </c>
      <c r="B34" s="4"/>
      <c r="C34" s="5"/>
      <c r="D34" s="5"/>
      <c r="E34" s="5"/>
      <c r="F34" s="5"/>
      <c r="G34" s="5"/>
      <c r="H34" s="5"/>
      <c r="I34" s="5"/>
      <c r="J34" s="5"/>
      <c r="K34" s="6"/>
      <c r="L34" s="4"/>
      <c r="M34" s="5"/>
      <c r="N34" s="5"/>
      <c r="O34" s="5"/>
      <c r="P34" s="5"/>
      <c r="Q34" s="5"/>
      <c r="R34" s="5"/>
      <c r="S34" s="5"/>
      <c r="T34" s="5"/>
      <c r="U34" s="5"/>
      <c r="V34" s="5"/>
      <c r="W34" s="375"/>
      <c r="X34" s="376"/>
      <c r="Y34" s="376"/>
      <c r="Z34" s="376"/>
      <c r="AA34" s="376"/>
      <c r="AB34" s="376"/>
      <c r="AC34" s="377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6"/>
    </row>
    <row r="35" spans="1:58" ht="14.4" customHeight="1">
      <c r="A35" s="4" t="str">
        <f>IF(B35="","",COUNTA($B$7:B35))</f>
        <v/>
      </c>
      <c r="B35" s="4"/>
      <c r="C35" s="5"/>
      <c r="D35" s="5"/>
      <c r="E35" s="5"/>
      <c r="F35" s="5"/>
      <c r="G35" s="5"/>
      <c r="H35" s="5"/>
      <c r="I35" s="5"/>
      <c r="J35" s="5"/>
      <c r="K35" s="6"/>
      <c r="L35" s="4"/>
      <c r="M35" s="5"/>
      <c r="N35" s="5"/>
      <c r="O35" s="5"/>
      <c r="P35" s="5"/>
      <c r="Q35" s="5"/>
      <c r="R35" s="5"/>
      <c r="S35" s="5"/>
      <c r="T35" s="5"/>
      <c r="U35" s="5"/>
      <c r="V35" s="5"/>
      <c r="W35" s="375"/>
      <c r="X35" s="376"/>
      <c r="Y35" s="376"/>
      <c r="Z35" s="376"/>
      <c r="AA35" s="376"/>
      <c r="AB35" s="376"/>
      <c r="AC35" s="377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6"/>
    </row>
    <row r="36" spans="1:58" ht="14.4" customHeight="1">
      <c r="A36" s="4" t="str">
        <f>IF(B36="","",COUNTA($B$7:B36))</f>
        <v/>
      </c>
      <c r="B36" s="4"/>
      <c r="C36" s="5"/>
      <c r="D36" s="5"/>
      <c r="E36" s="5"/>
      <c r="F36" s="5"/>
      <c r="G36" s="5"/>
      <c r="H36" s="5"/>
      <c r="I36" s="5"/>
      <c r="J36" s="5"/>
      <c r="K36" s="6"/>
      <c r="L36" s="4"/>
      <c r="M36" s="5"/>
      <c r="N36" s="5"/>
      <c r="O36" s="5"/>
      <c r="P36" s="5"/>
      <c r="Q36" s="5"/>
      <c r="R36" s="5"/>
      <c r="S36" s="5"/>
      <c r="T36" s="5"/>
      <c r="U36" s="5"/>
      <c r="V36" s="5"/>
      <c r="W36" s="375"/>
      <c r="X36" s="376"/>
      <c r="Y36" s="376"/>
      <c r="Z36" s="376"/>
      <c r="AA36" s="376"/>
      <c r="AB36" s="376"/>
      <c r="AC36" s="377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6"/>
    </row>
    <row r="37" spans="1:58" ht="14.4" customHeight="1">
      <c r="A37" s="4" t="str">
        <f>IF(B37="","",COUNTA($B$7:B37))</f>
        <v/>
      </c>
      <c r="B37" s="4"/>
      <c r="C37" s="5"/>
      <c r="D37" s="5"/>
      <c r="E37" s="5"/>
      <c r="F37" s="5"/>
      <c r="G37" s="5"/>
      <c r="H37" s="5"/>
      <c r="I37" s="5"/>
      <c r="J37" s="5"/>
      <c r="K37" s="6"/>
      <c r="L37" s="4"/>
      <c r="M37" s="5"/>
      <c r="N37" s="5"/>
      <c r="O37" s="5"/>
      <c r="P37" s="5"/>
      <c r="Q37" s="5"/>
      <c r="R37" s="5"/>
      <c r="S37" s="5"/>
      <c r="T37" s="5"/>
      <c r="U37" s="5"/>
      <c r="V37" s="5"/>
      <c r="W37" s="375"/>
      <c r="X37" s="376"/>
      <c r="Y37" s="376"/>
      <c r="Z37" s="376"/>
      <c r="AA37" s="376"/>
      <c r="AB37" s="376"/>
      <c r="AC37" s="377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6"/>
    </row>
    <row r="38" spans="1:58" ht="14.4" customHeight="1">
      <c r="A38" s="4" t="str">
        <f>IF(B38="","",COUNTA($B$7:B38))</f>
        <v/>
      </c>
      <c r="B38" s="4"/>
      <c r="C38" s="5"/>
      <c r="D38" s="5"/>
      <c r="E38" s="5"/>
      <c r="F38" s="5"/>
      <c r="G38" s="5"/>
      <c r="H38" s="5"/>
      <c r="I38" s="5"/>
      <c r="J38" s="5"/>
      <c r="K38" s="6"/>
      <c r="L38" s="4"/>
      <c r="M38" s="5"/>
      <c r="N38" s="5"/>
      <c r="O38" s="5"/>
      <c r="P38" s="5"/>
      <c r="Q38" s="5"/>
      <c r="R38" s="5"/>
      <c r="S38" s="5"/>
      <c r="T38" s="5"/>
      <c r="U38" s="5"/>
      <c r="V38" s="5"/>
      <c r="W38" s="375"/>
      <c r="X38" s="376"/>
      <c r="Y38" s="376"/>
      <c r="Z38" s="376"/>
      <c r="AA38" s="376"/>
      <c r="AB38" s="376"/>
      <c r="AC38" s="377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6"/>
    </row>
    <row r="39" spans="1:58" ht="14.4" customHeight="1">
      <c r="A39" s="4" t="str">
        <f>IF(B39="","",COUNTA($B$7:B39))</f>
        <v/>
      </c>
      <c r="B39" s="4"/>
      <c r="C39" s="5"/>
      <c r="D39" s="5"/>
      <c r="E39" s="5"/>
      <c r="F39" s="5"/>
      <c r="G39" s="5"/>
      <c r="H39" s="5"/>
      <c r="I39" s="5"/>
      <c r="J39" s="5"/>
      <c r="K39" s="6"/>
      <c r="L39" s="4"/>
      <c r="M39" s="5"/>
      <c r="N39" s="5"/>
      <c r="O39" s="5"/>
      <c r="P39" s="5"/>
      <c r="Q39" s="5"/>
      <c r="R39" s="5"/>
      <c r="S39" s="5"/>
      <c r="T39" s="5"/>
      <c r="U39" s="5"/>
      <c r="V39" s="5"/>
      <c r="W39" s="375"/>
      <c r="X39" s="376"/>
      <c r="Y39" s="376"/>
      <c r="Z39" s="376"/>
      <c r="AA39" s="376"/>
      <c r="AB39" s="376"/>
      <c r="AC39" s="377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6"/>
    </row>
    <row r="40" spans="1:58" ht="14.4" customHeight="1">
      <c r="A40" s="4" t="str">
        <f>IF(B40="","",COUNTA($B$7:B40))</f>
        <v/>
      </c>
      <c r="B40" s="4"/>
      <c r="C40" s="5"/>
      <c r="D40" s="5"/>
      <c r="E40" s="5"/>
      <c r="F40" s="5"/>
      <c r="G40" s="5"/>
      <c r="H40" s="5"/>
      <c r="I40" s="5"/>
      <c r="J40" s="5"/>
      <c r="K40" s="6"/>
      <c r="L40" s="4"/>
      <c r="M40" s="5"/>
      <c r="N40" s="5"/>
      <c r="O40" s="5"/>
      <c r="P40" s="5"/>
      <c r="Q40" s="5"/>
      <c r="R40" s="5"/>
      <c r="S40" s="5"/>
      <c r="T40" s="5"/>
      <c r="U40" s="5"/>
      <c r="V40" s="5"/>
      <c r="W40" s="375"/>
      <c r="X40" s="376"/>
      <c r="Y40" s="376"/>
      <c r="Z40" s="376"/>
      <c r="AA40" s="376"/>
      <c r="AB40" s="376"/>
      <c r="AC40" s="377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6"/>
    </row>
    <row r="41" spans="1:58" ht="14.4" customHeight="1">
      <c r="A41" s="4" t="str">
        <f>IF(B41="","",COUNTA($B$7:B41))</f>
        <v/>
      </c>
      <c r="B41" s="4"/>
      <c r="C41" s="5"/>
      <c r="D41" s="5"/>
      <c r="E41" s="5"/>
      <c r="F41" s="5"/>
      <c r="G41" s="5"/>
      <c r="H41" s="5"/>
      <c r="I41" s="5"/>
      <c r="J41" s="5"/>
      <c r="K41" s="6"/>
      <c r="L41" s="4"/>
      <c r="M41" s="5"/>
      <c r="N41" s="5"/>
      <c r="O41" s="5"/>
      <c r="P41" s="5"/>
      <c r="Q41" s="5"/>
      <c r="R41" s="5"/>
      <c r="S41" s="5"/>
      <c r="T41" s="5"/>
      <c r="U41" s="5"/>
      <c r="V41" s="5"/>
      <c r="W41" s="375"/>
      <c r="X41" s="376"/>
      <c r="Y41" s="376"/>
      <c r="Z41" s="376"/>
      <c r="AA41" s="376"/>
      <c r="AB41" s="376"/>
      <c r="AC41" s="377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6"/>
    </row>
    <row r="42" spans="1:58" ht="14.4" customHeight="1">
      <c r="A42" s="4" t="str">
        <f>IF(B42="","",COUNTA($B$7:B42))</f>
        <v/>
      </c>
      <c r="B42" s="4"/>
      <c r="C42" s="5"/>
      <c r="D42" s="5"/>
      <c r="E42" s="5"/>
      <c r="F42" s="5"/>
      <c r="G42" s="5"/>
      <c r="H42" s="5"/>
      <c r="I42" s="5"/>
      <c r="J42" s="5"/>
      <c r="K42" s="6"/>
      <c r="L42" s="4"/>
      <c r="M42" s="5"/>
      <c r="N42" s="5"/>
      <c r="O42" s="5"/>
      <c r="P42" s="5"/>
      <c r="Q42" s="5"/>
      <c r="R42" s="5"/>
      <c r="S42" s="5"/>
      <c r="T42" s="5"/>
      <c r="U42" s="5"/>
      <c r="V42" s="5"/>
      <c r="W42" s="375"/>
      <c r="X42" s="376"/>
      <c r="Y42" s="376"/>
      <c r="Z42" s="376"/>
      <c r="AA42" s="376"/>
      <c r="AB42" s="376"/>
      <c r="AC42" s="377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6"/>
    </row>
    <row r="43" spans="1:58" ht="14.4" customHeight="1">
      <c r="A43" s="4" t="str">
        <f>IF(B43="","",COUNTA($B$7:B43))</f>
        <v/>
      </c>
      <c r="B43" s="4"/>
      <c r="C43" s="5"/>
      <c r="D43" s="5"/>
      <c r="E43" s="5"/>
      <c r="F43" s="5"/>
      <c r="G43" s="5"/>
      <c r="H43" s="5"/>
      <c r="I43" s="5"/>
      <c r="J43" s="5"/>
      <c r="K43" s="6"/>
      <c r="L43" s="4"/>
      <c r="M43" s="5"/>
      <c r="N43" s="5"/>
      <c r="O43" s="5"/>
      <c r="P43" s="5"/>
      <c r="Q43" s="5"/>
      <c r="R43" s="5"/>
      <c r="S43" s="5"/>
      <c r="T43" s="5"/>
      <c r="U43" s="5"/>
      <c r="V43" s="5"/>
      <c r="W43" s="375"/>
      <c r="X43" s="376"/>
      <c r="Y43" s="376"/>
      <c r="Z43" s="376"/>
      <c r="AA43" s="376"/>
      <c r="AB43" s="376"/>
      <c r="AC43" s="377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6"/>
    </row>
    <row r="44" spans="1:58" ht="14.4" customHeight="1">
      <c r="A44" s="4" t="str">
        <f>IF(B44="","",COUNTA($B$7:B44))</f>
        <v/>
      </c>
      <c r="B44" s="4"/>
      <c r="C44" s="5"/>
      <c r="D44" s="5"/>
      <c r="E44" s="5"/>
      <c r="F44" s="5"/>
      <c r="G44" s="5"/>
      <c r="H44" s="5"/>
      <c r="I44" s="5"/>
      <c r="J44" s="5"/>
      <c r="K44" s="6"/>
      <c r="L44" s="4"/>
      <c r="M44" s="5"/>
      <c r="N44" s="5"/>
      <c r="O44" s="5"/>
      <c r="P44" s="5"/>
      <c r="Q44" s="5"/>
      <c r="R44" s="5"/>
      <c r="S44" s="5"/>
      <c r="T44" s="5"/>
      <c r="U44" s="5"/>
      <c r="V44" s="5"/>
      <c r="W44" s="375"/>
      <c r="X44" s="376"/>
      <c r="Y44" s="376"/>
      <c r="Z44" s="376"/>
      <c r="AA44" s="376"/>
      <c r="AB44" s="376"/>
      <c r="AC44" s="377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6"/>
    </row>
    <row r="45" spans="1:58" ht="14.4" customHeight="1">
      <c r="A45" s="4" t="str">
        <f>IF(B45="","",COUNTA($B$7:B45))</f>
        <v/>
      </c>
      <c r="B45" s="4"/>
      <c r="C45" s="5"/>
      <c r="D45" s="5"/>
      <c r="E45" s="5"/>
      <c r="F45" s="5"/>
      <c r="G45" s="5"/>
      <c r="H45" s="5"/>
      <c r="I45" s="5"/>
      <c r="J45" s="5"/>
      <c r="K45" s="6"/>
      <c r="L45" s="4"/>
      <c r="M45" s="5"/>
      <c r="N45" s="5"/>
      <c r="O45" s="5"/>
      <c r="P45" s="5"/>
      <c r="Q45" s="5"/>
      <c r="R45" s="5"/>
      <c r="S45" s="5"/>
      <c r="T45" s="5"/>
      <c r="U45" s="5"/>
      <c r="V45" s="5"/>
      <c r="W45" s="375"/>
      <c r="X45" s="376"/>
      <c r="Y45" s="376"/>
      <c r="Z45" s="376"/>
      <c r="AA45" s="376"/>
      <c r="AB45" s="376"/>
      <c r="AC45" s="377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6"/>
    </row>
    <row r="46" spans="1:58" ht="14.4" customHeight="1">
      <c r="A46" s="4" t="str">
        <f>IF(B46="","",COUNTA($B$7:B46))</f>
        <v/>
      </c>
      <c r="B46" s="4"/>
      <c r="C46" s="5"/>
      <c r="D46" s="5"/>
      <c r="E46" s="5"/>
      <c r="F46" s="5"/>
      <c r="G46" s="5"/>
      <c r="H46" s="5"/>
      <c r="I46" s="5"/>
      <c r="J46" s="5"/>
      <c r="K46" s="6"/>
      <c r="L46" s="4"/>
      <c r="M46" s="5"/>
      <c r="N46" s="5"/>
      <c r="O46" s="5"/>
      <c r="P46" s="5"/>
      <c r="Q46" s="5"/>
      <c r="R46" s="5"/>
      <c r="S46" s="5"/>
      <c r="T46" s="5"/>
      <c r="U46" s="5"/>
      <c r="V46" s="5"/>
      <c r="W46" s="375"/>
      <c r="X46" s="376"/>
      <c r="Y46" s="376"/>
      <c r="Z46" s="376"/>
      <c r="AA46" s="376"/>
      <c r="AB46" s="376"/>
      <c r="AC46" s="377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6"/>
    </row>
  </sheetData>
  <mergeCells count="52">
    <mergeCell ref="W12:AC12"/>
    <mergeCell ref="W44:AC44"/>
    <mergeCell ref="W45:AC45"/>
    <mergeCell ref="W46:AC46"/>
    <mergeCell ref="W40:AC40"/>
    <mergeCell ref="W41:AC41"/>
    <mergeCell ref="W42:AC42"/>
    <mergeCell ref="W43:AC43"/>
    <mergeCell ref="W37:AC37"/>
    <mergeCell ref="W38:AC38"/>
    <mergeCell ref="W39:AC39"/>
    <mergeCell ref="W32:AC32"/>
    <mergeCell ref="W33:AC33"/>
    <mergeCell ref="W34:AC34"/>
    <mergeCell ref="W35:AC35"/>
    <mergeCell ref="W36:AC36"/>
    <mergeCell ref="W27:AC27"/>
    <mergeCell ref="W28:AC28"/>
    <mergeCell ref="W29:AC29"/>
    <mergeCell ref="W30:AC30"/>
    <mergeCell ref="W31:AC31"/>
    <mergeCell ref="W20:AC20"/>
    <mergeCell ref="W21:AC21"/>
    <mergeCell ref="W22:AC22"/>
    <mergeCell ref="W23:AC23"/>
    <mergeCell ref="W26:AC26"/>
    <mergeCell ref="W24:AC24"/>
    <mergeCell ref="W25:AC25"/>
    <mergeCell ref="W13:AC13"/>
    <mergeCell ref="W14:AC14"/>
    <mergeCell ref="W15:AC15"/>
    <mergeCell ref="W16:AC16"/>
    <mergeCell ref="W19:AC19"/>
    <mergeCell ref="W17:AC17"/>
    <mergeCell ref="W18:AC18"/>
    <mergeCell ref="W7:AC7"/>
    <mergeCell ref="W8:AC8"/>
    <mergeCell ref="W9:AC9"/>
    <mergeCell ref="W10:AC10"/>
    <mergeCell ref="W11:AC11"/>
    <mergeCell ref="B6:K6"/>
    <mergeCell ref="A1:K4"/>
    <mergeCell ref="L1:V1"/>
    <mergeCell ref="W1:AC1"/>
    <mergeCell ref="L2:V4"/>
    <mergeCell ref="W2:AC4"/>
    <mergeCell ref="AD6:BF6"/>
    <mergeCell ref="AR2:AV2"/>
    <mergeCell ref="AR3:AV3"/>
    <mergeCell ref="AR4:AV4"/>
    <mergeCell ref="AD1:AQ1"/>
    <mergeCell ref="AD2:AQ4"/>
  </mergeCells>
  <phoneticPr fontId="5"/>
  <dataValidations count="2">
    <dataValidation imeMode="hiragana" allowBlank="1" showInputMessage="1" showErrorMessage="1" sqref="FBY982719:FCJ982721 FLU982719:FMF982721 FVQ982719:FWB982721 GFM982719:GFX982721 GPI982719:GPT982721 GZE982719:GZP982721 HJA982719:HJL982721 HSW982719:HTH982721 ICS982719:IDD982721 IMO982719:IMZ982721 IWK982719:IWV982721 JGG982719:JGR982721 JQC982719:JQN982721 JZY982719:KAJ982721 KJU982719:KKF982721 KTQ982719:KUB982721 LDM982719:LDX982721 LNI982719:LNT982721 LXE982719:LXP982721 MHA982719:MHL982721 MQW982719:MRH982721 NAS982719:NBD982721 NKO982719:NKZ982721 NUK982719:NUV982721 OEG982719:OER982721 OOC982719:OON982721 OXY982719:OYJ982721 PHU982719:PIF982721 PRQ982719:PSB982721 QBM982719:QBX982721 QLI982719:QLT982721 QVE982719:QVP982721 RFA982719:RFL982721 ROW982719:RPH982721 RYS982719:RZD982721 SIO982719:SIZ982721 SSK982719:SSV982721 TCG982719:TCR982721 TMC982719:TMN982721 TVY982719:TWJ982721 UFU982719:UGF982721 UPQ982719:UQB982721 UZM982719:UZX982721 VJI982719:VJT982721 VTE982719:VTP982721 WDA982719:WDL982721 WMW982719:WNH982721 WWS982719:WXD982721 AK982719:AU982721 AK917183:AU917185 AK851647:AU851649 AK786111:AU786113 AK720575:AU720577 AK655039:AU655041 AK589503:AU589505 AK523967:AU523969 AK458431:AU458433 AK392895:AU392897 AK327359:AU327361 AK261823:AU261825 AK196287:AU196289 AK130751:AU130753 AK65215:AU65217 KG65215:KR65217 UC65215:UN65217 ADY65215:AEJ65217 ANU65215:AOF65217 AXQ65215:AYB65217 BHM65215:BHX65217 BRI65215:BRT65217 CBE65215:CBP65217 CLA65215:CLL65217 CUW65215:CVH65217 DES65215:DFD65217 DOO65215:DOZ65217 DYK65215:DYV65217 EIG65215:EIR65217 ESC65215:ESN65217 FBY65215:FCJ65217 FLU65215:FMF65217 FVQ65215:FWB65217 GFM65215:GFX65217 GPI65215:GPT65217 GZE65215:GZP65217 HJA65215:HJL65217 HSW65215:HTH65217 ICS65215:IDD65217 IMO65215:IMZ65217 IWK65215:IWV65217 JGG65215:JGR65217 JQC65215:JQN65217 JZY65215:KAJ65217 KJU65215:KKF65217 KTQ65215:KUB65217 LDM65215:LDX65217 LNI65215:LNT65217 LXE65215:LXP65217 MHA65215:MHL65217 MQW65215:MRH65217 NAS65215:NBD65217 NKO65215:NKZ65217 NUK65215:NUV65217 OEG65215:OER65217 OOC65215:OON65217 OXY65215:OYJ65217 PHU65215:PIF65217 PRQ65215:PSB65217 QBM65215:QBX65217 QLI65215:QLT65217 QVE65215:QVP65217 RFA65215:RFL65217 ROW65215:RPH65217 RYS65215:RZD65217 SIO65215:SIZ65217 SSK65215:SSV65217 TCG65215:TCR65217 TMC65215:TMN65217 TVY65215:TWJ65217 UFU65215:UGF65217 UPQ65215:UQB65217 UZM65215:UZX65217 VJI65215:VJT65217 VTE65215:VTP65217 WDA65215:WDL65217 WMW65215:WNH65217 WWS65215:WXD65217 KG130751:KR130753 UC130751:UN130753 ADY130751:AEJ130753 ANU130751:AOF130753 AXQ130751:AYB130753 BHM130751:BHX130753 BRI130751:BRT130753 CBE130751:CBP130753 CLA130751:CLL130753 CUW130751:CVH130753 DES130751:DFD130753 DOO130751:DOZ130753 DYK130751:DYV130753 EIG130751:EIR130753 ESC130751:ESN130753 FBY130751:FCJ130753 FLU130751:FMF130753 FVQ130751:FWB130753 GFM130751:GFX130753 GPI130751:GPT130753 GZE130751:GZP130753 HJA130751:HJL130753 HSW130751:HTH130753 ICS130751:IDD130753 IMO130751:IMZ130753 IWK130751:IWV130753 JGG130751:JGR130753 JQC130751:JQN130753 JZY130751:KAJ130753 KJU130751:KKF130753 KTQ130751:KUB130753 LDM130751:LDX130753 LNI130751:LNT130753 LXE130751:LXP130753 MHA130751:MHL130753 MQW130751:MRH130753 NAS130751:NBD130753 NKO130751:NKZ130753 NUK130751:NUV130753 OEG130751:OER130753 OOC130751:OON130753 OXY130751:OYJ130753 PHU130751:PIF130753 PRQ130751:PSB130753 QBM130751:QBX130753 QLI130751:QLT130753 QVE130751:QVP130753 RFA130751:RFL130753 ROW130751:RPH130753 RYS130751:RZD130753 SIO130751:SIZ130753 SSK130751:SSV130753 TCG130751:TCR130753 TMC130751:TMN130753 TVY130751:TWJ130753 UFU130751:UGF130753 UPQ130751:UQB130753 UZM130751:UZX130753 VJI130751:VJT130753 VTE130751:VTP130753 WDA130751:WDL130753 WMW130751:WNH130753 WWS130751:WXD130753 KG196287:KR196289 UC196287:UN196289 ADY196287:AEJ196289 ANU196287:AOF196289 AXQ196287:AYB196289 BHM196287:BHX196289 BRI196287:BRT196289 CBE196287:CBP196289 CLA196287:CLL196289 CUW196287:CVH196289 DES196287:DFD196289 DOO196287:DOZ196289 DYK196287:DYV196289 EIG196287:EIR196289 ESC196287:ESN196289 FBY196287:FCJ196289 FLU196287:FMF196289 FVQ196287:FWB196289 GFM196287:GFX196289 GPI196287:GPT196289 GZE196287:GZP196289 HJA196287:HJL196289 HSW196287:HTH196289 ICS196287:IDD196289 IMO196287:IMZ196289 IWK196287:IWV196289 JGG196287:JGR196289 JQC196287:JQN196289 JZY196287:KAJ196289 KJU196287:KKF196289 KTQ196287:KUB196289 LDM196287:LDX196289 LNI196287:LNT196289 LXE196287:LXP196289 MHA196287:MHL196289 MQW196287:MRH196289 NAS196287:NBD196289 NKO196287:NKZ196289 NUK196287:NUV196289 OEG196287:OER196289 OOC196287:OON196289 OXY196287:OYJ196289 PHU196287:PIF196289 PRQ196287:PSB196289 QBM196287:QBX196289 QLI196287:QLT196289 QVE196287:QVP196289 RFA196287:RFL196289 ROW196287:RPH196289 RYS196287:RZD196289 SIO196287:SIZ196289 SSK196287:SSV196289 TCG196287:TCR196289 TMC196287:TMN196289 TVY196287:TWJ196289 UFU196287:UGF196289 UPQ196287:UQB196289 UZM196287:UZX196289 VJI196287:VJT196289 VTE196287:VTP196289 WDA196287:WDL196289 WMW196287:WNH196289 WWS196287:WXD196289 KG261823:KR261825 UC261823:UN261825 ADY261823:AEJ261825 ANU261823:AOF261825 AXQ261823:AYB261825 BHM261823:BHX261825 BRI261823:BRT261825 CBE261823:CBP261825 CLA261823:CLL261825 CUW261823:CVH261825 DES261823:DFD261825 DOO261823:DOZ261825 DYK261823:DYV261825 EIG261823:EIR261825 ESC261823:ESN261825 FBY261823:FCJ261825 FLU261823:FMF261825 FVQ261823:FWB261825 GFM261823:GFX261825 GPI261823:GPT261825 GZE261823:GZP261825 HJA261823:HJL261825 HSW261823:HTH261825 ICS261823:IDD261825 IMO261823:IMZ261825 IWK261823:IWV261825 JGG261823:JGR261825 JQC261823:JQN261825 JZY261823:KAJ261825 KJU261823:KKF261825 KTQ261823:KUB261825 LDM261823:LDX261825 LNI261823:LNT261825 LXE261823:LXP261825 MHA261823:MHL261825 MQW261823:MRH261825 NAS261823:NBD261825 NKO261823:NKZ261825 NUK261823:NUV261825 OEG261823:OER261825 OOC261823:OON261825 OXY261823:OYJ261825 PHU261823:PIF261825 PRQ261823:PSB261825 QBM261823:QBX261825 QLI261823:QLT261825 QVE261823:QVP261825 RFA261823:RFL261825 ROW261823:RPH261825 RYS261823:RZD261825 SIO261823:SIZ261825 SSK261823:SSV261825 TCG261823:TCR261825 TMC261823:TMN261825 TVY261823:TWJ261825 UFU261823:UGF261825 UPQ261823:UQB261825 UZM261823:UZX261825 VJI261823:VJT261825 VTE261823:VTP261825 WDA261823:WDL261825 WMW261823:WNH261825 WWS261823:WXD261825 KG327359:KR327361 UC327359:UN327361 ADY327359:AEJ327361 ANU327359:AOF327361 AXQ327359:AYB327361 BHM327359:BHX327361 BRI327359:BRT327361 CBE327359:CBP327361 CLA327359:CLL327361 CUW327359:CVH327361 DES327359:DFD327361 DOO327359:DOZ327361 DYK327359:DYV327361 EIG327359:EIR327361 ESC327359:ESN327361 FBY327359:FCJ327361 FLU327359:FMF327361 FVQ327359:FWB327361 GFM327359:GFX327361 GPI327359:GPT327361 GZE327359:GZP327361 HJA327359:HJL327361 HSW327359:HTH327361 ICS327359:IDD327361 IMO327359:IMZ327361 IWK327359:IWV327361 JGG327359:JGR327361 JQC327359:JQN327361 JZY327359:KAJ327361 KJU327359:KKF327361 KTQ327359:KUB327361 LDM327359:LDX327361 LNI327359:LNT327361 LXE327359:LXP327361 MHA327359:MHL327361 MQW327359:MRH327361 NAS327359:NBD327361 NKO327359:NKZ327361 NUK327359:NUV327361 OEG327359:OER327361 OOC327359:OON327361 OXY327359:OYJ327361 PHU327359:PIF327361 PRQ327359:PSB327361 QBM327359:QBX327361 QLI327359:QLT327361 QVE327359:QVP327361 RFA327359:RFL327361 ROW327359:RPH327361 RYS327359:RZD327361 SIO327359:SIZ327361 SSK327359:SSV327361 TCG327359:TCR327361 TMC327359:TMN327361 TVY327359:TWJ327361 UFU327359:UGF327361 UPQ327359:UQB327361 UZM327359:UZX327361 VJI327359:VJT327361 VTE327359:VTP327361 WDA327359:WDL327361 WMW327359:WNH327361 WWS327359:WXD327361 KG392895:KR392897 UC392895:UN392897 ADY392895:AEJ392897 ANU392895:AOF392897 AXQ392895:AYB392897 BHM392895:BHX392897 BRI392895:BRT392897 CBE392895:CBP392897 CLA392895:CLL392897 CUW392895:CVH392897 DES392895:DFD392897 DOO392895:DOZ392897 DYK392895:DYV392897 EIG392895:EIR392897 ESC392895:ESN392897 FBY392895:FCJ392897 FLU392895:FMF392897 FVQ392895:FWB392897 GFM392895:GFX392897 GPI392895:GPT392897 GZE392895:GZP392897 HJA392895:HJL392897 HSW392895:HTH392897 ICS392895:IDD392897 IMO392895:IMZ392897 IWK392895:IWV392897 JGG392895:JGR392897 JQC392895:JQN392897 JZY392895:KAJ392897 KJU392895:KKF392897 KTQ392895:KUB392897 LDM392895:LDX392897 LNI392895:LNT392897 LXE392895:LXP392897 MHA392895:MHL392897 MQW392895:MRH392897 NAS392895:NBD392897 NKO392895:NKZ392897 NUK392895:NUV392897 OEG392895:OER392897 OOC392895:OON392897 OXY392895:OYJ392897 PHU392895:PIF392897 PRQ392895:PSB392897 QBM392895:QBX392897 QLI392895:QLT392897 QVE392895:QVP392897 RFA392895:RFL392897 ROW392895:RPH392897 RYS392895:RZD392897 SIO392895:SIZ392897 SSK392895:SSV392897 TCG392895:TCR392897 TMC392895:TMN392897 TVY392895:TWJ392897 UFU392895:UGF392897 UPQ392895:UQB392897 UZM392895:UZX392897 VJI392895:VJT392897 VTE392895:VTP392897 WDA392895:WDL392897 WMW392895:WNH392897 WWS392895:WXD392897 KG458431:KR458433 UC458431:UN458433 ADY458431:AEJ458433 ANU458431:AOF458433 AXQ458431:AYB458433 BHM458431:BHX458433 BRI458431:BRT458433 CBE458431:CBP458433 CLA458431:CLL458433 CUW458431:CVH458433 DES458431:DFD458433 DOO458431:DOZ458433 DYK458431:DYV458433 EIG458431:EIR458433 ESC458431:ESN458433 FBY458431:FCJ458433 FLU458431:FMF458433 FVQ458431:FWB458433 GFM458431:GFX458433 GPI458431:GPT458433 GZE458431:GZP458433 HJA458431:HJL458433 HSW458431:HTH458433 ICS458431:IDD458433 IMO458431:IMZ458433 IWK458431:IWV458433 JGG458431:JGR458433 JQC458431:JQN458433 JZY458431:KAJ458433 KJU458431:KKF458433 KTQ458431:KUB458433 LDM458431:LDX458433 LNI458431:LNT458433 LXE458431:LXP458433 MHA458431:MHL458433 MQW458431:MRH458433 NAS458431:NBD458433 NKO458431:NKZ458433 NUK458431:NUV458433 OEG458431:OER458433 OOC458431:OON458433 OXY458431:OYJ458433 PHU458431:PIF458433 PRQ458431:PSB458433 QBM458431:QBX458433 QLI458431:QLT458433 QVE458431:QVP458433 RFA458431:RFL458433 ROW458431:RPH458433 RYS458431:RZD458433 SIO458431:SIZ458433 SSK458431:SSV458433 TCG458431:TCR458433 TMC458431:TMN458433 TVY458431:TWJ458433 UFU458431:UGF458433 UPQ458431:UQB458433 UZM458431:UZX458433 VJI458431:VJT458433 VTE458431:VTP458433 WDA458431:WDL458433 WMW458431:WNH458433 WWS458431:WXD458433 KG523967:KR523969 UC523967:UN523969 ADY523967:AEJ523969 ANU523967:AOF523969 AXQ523967:AYB523969 BHM523967:BHX523969 BRI523967:BRT523969 CBE523967:CBP523969 CLA523967:CLL523969 CUW523967:CVH523969 DES523967:DFD523969 DOO523967:DOZ523969 DYK523967:DYV523969 EIG523967:EIR523969 ESC523967:ESN523969 FBY523967:FCJ523969 FLU523967:FMF523969 FVQ523967:FWB523969 GFM523967:GFX523969 GPI523967:GPT523969 GZE523967:GZP523969 HJA523967:HJL523969 HSW523967:HTH523969 ICS523967:IDD523969 IMO523967:IMZ523969 IWK523967:IWV523969 JGG523967:JGR523969 JQC523967:JQN523969 JZY523967:KAJ523969 KJU523967:KKF523969 KTQ523967:KUB523969 LDM523967:LDX523969 LNI523967:LNT523969 LXE523967:LXP523969 MHA523967:MHL523969 MQW523967:MRH523969 NAS523967:NBD523969 NKO523967:NKZ523969 NUK523967:NUV523969 OEG523967:OER523969 OOC523967:OON523969 OXY523967:OYJ523969 PHU523967:PIF523969 PRQ523967:PSB523969 QBM523967:QBX523969 QLI523967:QLT523969 QVE523967:QVP523969 RFA523967:RFL523969 ROW523967:RPH523969 RYS523967:RZD523969 SIO523967:SIZ523969 SSK523967:SSV523969 TCG523967:TCR523969 TMC523967:TMN523969 TVY523967:TWJ523969 UFU523967:UGF523969 UPQ523967:UQB523969 UZM523967:UZX523969 VJI523967:VJT523969 VTE523967:VTP523969 WDA523967:WDL523969 WMW523967:WNH523969 WWS523967:WXD523969 KG589503:KR589505 UC589503:UN589505 ADY589503:AEJ589505 ANU589503:AOF589505 AXQ589503:AYB589505 BHM589503:BHX589505 BRI589503:BRT589505 CBE589503:CBP589505 CLA589503:CLL589505 CUW589503:CVH589505 DES589503:DFD589505 DOO589503:DOZ589505 DYK589503:DYV589505 EIG589503:EIR589505 ESC589503:ESN589505 FBY589503:FCJ589505 FLU589503:FMF589505 FVQ589503:FWB589505 GFM589503:GFX589505 GPI589503:GPT589505 GZE589503:GZP589505 HJA589503:HJL589505 HSW589503:HTH589505 ICS589503:IDD589505 IMO589503:IMZ589505 IWK589503:IWV589505 JGG589503:JGR589505 JQC589503:JQN589505 JZY589503:KAJ589505 KJU589503:KKF589505 KTQ589503:KUB589505 LDM589503:LDX589505 LNI589503:LNT589505 LXE589503:LXP589505 MHA589503:MHL589505 MQW589503:MRH589505 NAS589503:NBD589505 NKO589503:NKZ589505 NUK589503:NUV589505 OEG589503:OER589505 OOC589503:OON589505 OXY589503:OYJ589505 PHU589503:PIF589505 PRQ589503:PSB589505 QBM589503:QBX589505 QLI589503:QLT589505 QVE589503:QVP589505 RFA589503:RFL589505 ROW589503:RPH589505 RYS589503:RZD589505 SIO589503:SIZ589505 SSK589503:SSV589505 TCG589503:TCR589505 TMC589503:TMN589505 TVY589503:TWJ589505 UFU589503:UGF589505 UPQ589503:UQB589505 UZM589503:UZX589505 VJI589503:VJT589505 VTE589503:VTP589505 WDA589503:WDL589505 WMW589503:WNH589505 WWS589503:WXD589505 KG655039:KR655041 UC655039:UN655041 ADY655039:AEJ655041 ANU655039:AOF655041 AXQ655039:AYB655041 BHM655039:BHX655041 BRI655039:BRT655041 CBE655039:CBP655041 CLA655039:CLL655041 CUW655039:CVH655041 DES655039:DFD655041 DOO655039:DOZ655041 DYK655039:DYV655041 EIG655039:EIR655041 ESC655039:ESN655041 FBY655039:FCJ655041 FLU655039:FMF655041 FVQ655039:FWB655041 GFM655039:GFX655041 GPI655039:GPT655041 GZE655039:GZP655041 HJA655039:HJL655041 HSW655039:HTH655041 ICS655039:IDD655041 IMO655039:IMZ655041 IWK655039:IWV655041 JGG655039:JGR655041 JQC655039:JQN655041 JZY655039:KAJ655041 KJU655039:KKF655041 KTQ655039:KUB655041 LDM655039:LDX655041 LNI655039:LNT655041 LXE655039:LXP655041 MHA655039:MHL655041 MQW655039:MRH655041 NAS655039:NBD655041 NKO655039:NKZ655041 NUK655039:NUV655041 OEG655039:OER655041 OOC655039:OON655041 OXY655039:OYJ655041 PHU655039:PIF655041 PRQ655039:PSB655041 QBM655039:QBX655041 QLI655039:QLT655041 QVE655039:QVP655041 RFA655039:RFL655041 ROW655039:RPH655041 RYS655039:RZD655041 SIO655039:SIZ655041 SSK655039:SSV655041 TCG655039:TCR655041 TMC655039:TMN655041 TVY655039:TWJ655041 UFU655039:UGF655041 UPQ655039:UQB655041 UZM655039:UZX655041 VJI655039:VJT655041 VTE655039:VTP655041 WDA655039:WDL655041 WMW655039:WNH655041 WWS655039:WXD655041 KG720575:KR720577 UC720575:UN720577 ADY720575:AEJ720577 ANU720575:AOF720577 AXQ720575:AYB720577 BHM720575:BHX720577 BRI720575:BRT720577 CBE720575:CBP720577 CLA720575:CLL720577 CUW720575:CVH720577 DES720575:DFD720577 DOO720575:DOZ720577 DYK720575:DYV720577 EIG720575:EIR720577 ESC720575:ESN720577 FBY720575:FCJ720577 FLU720575:FMF720577 FVQ720575:FWB720577 GFM720575:GFX720577 GPI720575:GPT720577 GZE720575:GZP720577 HJA720575:HJL720577 HSW720575:HTH720577 ICS720575:IDD720577 IMO720575:IMZ720577 IWK720575:IWV720577 JGG720575:JGR720577 JQC720575:JQN720577 JZY720575:KAJ720577 KJU720575:KKF720577 KTQ720575:KUB720577 LDM720575:LDX720577 LNI720575:LNT720577 LXE720575:LXP720577 MHA720575:MHL720577 MQW720575:MRH720577 NAS720575:NBD720577 NKO720575:NKZ720577 NUK720575:NUV720577 OEG720575:OER720577 OOC720575:OON720577 OXY720575:OYJ720577 PHU720575:PIF720577 PRQ720575:PSB720577 QBM720575:QBX720577 QLI720575:QLT720577 QVE720575:QVP720577 RFA720575:RFL720577 ROW720575:RPH720577 RYS720575:RZD720577 SIO720575:SIZ720577 SSK720575:SSV720577 TCG720575:TCR720577 TMC720575:TMN720577 TVY720575:TWJ720577 UFU720575:UGF720577 UPQ720575:UQB720577 UZM720575:UZX720577 VJI720575:VJT720577 VTE720575:VTP720577 WDA720575:WDL720577 WMW720575:WNH720577 WWS720575:WXD720577 KG786111:KR786113 UC786111:UN786113 ADY786111:AEJ786113 ANU786111:AOF786113 AXQ786111:AYB786113 BHM786111:BHX786113 BRI786111:BRT786113 CBE786111:CBP786113 CLA786111:CLL786113 CUW786111:CVH786113 DES786111:DFD786113 DOO786111:DOZ786113 DYK786111:DYV786113 EIG786111:EIR786113 ESC786111:ESN786113 FBY786111:FCJ786113 FLU786111:FMF786113 FVQ786111:FWB786113 GFM786111:GFX786113 GPI786111:GPT786113 GZE786111:GZP786113 HJA786111:HJL786113 HSW786111:HTH786113 ICS786111:IDD786113 IMO786111:IMZ786113 IWK786111:IWV786113 JGG786111:JGR786113 JQC786111:JQN786113 JZY786111:KAJ786113 KJU786111:KKF786113 KTQ786111:KUB786113 LDM786111:LDX786113 LNI786111:LNT786113 LXE786111:LXP786113 MHA786111:MHL786113 MQW786111:MRH786113 NAS786111:NBD786113 NKO786111:NKZ786113 NUK786111:NUV786113 OEG786111:OER786113 OOC786111:OON786113 OXY786111:OYJ786113 PHU786111:PIF786113 PRQ786111:PSB786113 QBM786111:QBX786113 QLI786111:QLT786113 QVE786111:QVP786113 RFA786111:RFL786113 ROW786111:RPH786113 RYS786111:RZD786113 SIO786111:SIZ786113 SSK786111:SSV786113 TCG786111:TCR786113 TMC786111:TMN786113 TVY786111:TWJ786113 UFU786111:UGF786113 UPQ786111:UQB786113 UZM786111:UZX786113 VJI786111:VJT786113 VTE786111:VTP786113 WDA786111:WDL786113 WMW786111:WNH786113 WWS786111:WXD786113 KG851647:KR851649 UC851647:UN851649 ADY851647:AEJ851649 ANU851647:AOF851649 AXQ851647:AYB851649 BHM851647:BHX851649 BRI851647:BRT851649 CBE851647:CBP851649 CLA851647:CLL851649 CUW851647:CVH851649 DES851647:DFD851649 DOO851647:DOZ851649 DYK851647:DYV851649 EIG851647:EIR851649 ESC851647:ESN851649 FBY851647:FCJ851649 FLU851647:FMF851649 FVQ851647:FWB851649 GFM851647:GFX851649 GPI851647:GPT851649 GZE851647:GZP851649 HJA851647:HJL851649 HSW851647:HTH851649 ICS851647:IDD851649 IMO851647:IMZ851649 IWK851647:IWV851649 JGG851647:JGR851649 JQC851647:JQN851649 JZY851647:KAJ851649 KJU851647:KKF851649 KTQ851647:KUB851649 LDM851647:LDX851649 LNI851647:LNT851649 LXE851647:LXP851649 MHA851647:MHL851649 MQW851647:MRH851649 NAS851647:NBD851649 NKO851647:NKZ851649 NUK851647:NUV851649 OEG851647:OER851649 OOC851647:OON851649 OXY851647:OYJ851649 PHU851647:PIF851649 PRQ851647:PSB851649 QBM851647:QBX851649 QLI851647:QLT851649 QVE851647:QVP851649 RFA851647:RFL851649 ROW851647:RPH851649 RYS851647:RZD851649 SIO851647:SIZ851649 SSK851647:SSV851649 TCG851647:TCR851649 TMC851647:TMN851649 TVY851647:TWJ851649 UFU851647:UGF851649 UPQ851647:UQB851649 UZM851647:UZX851649 VJI851647:VJT851649 VTE851647:VTP851649 WDA851647:WDL851649 WMW851647:WNH851649 WWS851647:WXD851649 KG917183:KR917185 UC917183:UN917185 ADY917183:AEJ917185 ANU917183:AOF917185 AXQ917183:AYB917185 BHM917183:BHX917185 BRI917183:BRT917185 CBE917183:CBP917185 CLA917183:CLL917185 CUW917183:CVH917185 DES917183:DFD917185 DOO917183:DOZ917185 DYK917183:DYV917185 EIG917183:EIR917185 ESC917183:ESN917185 FBY917183:FCJ917185 FLU917183:FMF917185 FVQ917183:FWB917185 GFM917183:GFX917185 GPI917183:GPT917185 GZE917183:GZP917185 HJA917183:HJL917185 HSW917183:HTH917185 ICS917183:IDD917185 IMO917183:IMZ917185 IWK917183:IWV917185 JGG917183:JGR917185 JQC917183:JQN917185 JZY917183:KAJ917185 KJU917183:KKF917185 KTQ917183:KUB917185 LDM917183:LDX917185 LNI917183:LNT917185 LXE917183:LXP917185 MHA917183:MHL917185 MQW917183:MRH917185 NAS917183:NBD917185 NKO917183:NKZ917185 NUK917183:NUV917185 OEG917183:OER917185 OOC917183:OON917185 OXY917183:OYJ917185 PHU917183:PIF917185 PRQ917183:PSB917185 QBM917183:QBX917185 QLI917183:QLT917185 QVE917183:QVP917185 RFA917183:RFL917185 ROW917183:RPH917185 RYS917183:RZD917185 SIO917183:SIZ917185 SSK917183:SSV917185 TCG917183:TCR917185 TMC917183:TMN917185 TVY917183:TWJ917185 UFU917183:UGF917185 UPQ917183:UQB917185 UZM917183:UZX917185 VJI917183:VJT917185 VTE917183:VTP917185 WDA917183:WDL917185 WMW917183:WNH917185 WWS917183:WXD917185 KG982719:KR982721 UC982719:UN982721 ADY982719:AEJ982721 ANU982719:AOF982721 AXQ982719:AYB982721 BHM982719:BHX982721 BRI982719:BRT982721 CBE982719:CBP982721 CLA982719:CLL982721 CUW982719:CVH982721 DES982719:DFD982721 DOO982719:DOZ982721 DYK982719:DYV982721 EIG982719:EIR982721 ESC982719:ESN982721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/>
    <dataValidation type="list" allowBlank="1" showInputMessage="1" showErrorMessage="1" sqref="W7:AC46">
      <formula1>"A.受注,B.生産計画,C.生産実績,D.出荷,E.資材,F.請求・入金,G.売上,H.支払,I.原価,J.製品棚卸,K.在庫,L.共通"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&amp;RB.生産計画 テーブル一覧 -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BE85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8" customWidth="1"/>
    <col min="2" max="8" width="2.6328125" style="18"/>
    <col min="9" max="9" width="2.6328125" style="18" customWidth="1"/>
    <col min="10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6" s="17" customFormat="1" ht="14.4" customHeight="1">
      <c r="A1" s="396" t="s">
        <v>78</v>
      </c>
      <c r="B1" s="397"/>
      <c r="C1" s="397"/>
      <c r="D1" s="397"/>
      <c r="E1" s="397"/>
      <c r="F1" s="397"/>
      <c r="G1" s="397"/>
      <c r="H1" s="398"/>
      <c r="I1" s="336" t="s">
        <v>79</v>
      </c>
      <c r="J1" s="337"/>
      <c r="K1" s="337"/>
      <c r="L1" s="337"/>
      <c r="M1" s="337"/>
      <c r="N1" s="337"/>
      <c r="O1" s="337"/>
      <c r="P1" s="337"/>
      <c r="Q1" s="338"/>
      <c r="R1" s="336" t="s">
        <v>80</v>
      </c>
      <c r="S1" s="337"/>
      <c r="T1" s="337"/>
      <c r="U1" s="337"/>
      <c r="V1" s="337"/>
      <c r="W1" s="337"/>
      <c r="X1" s="338"/>
      <c r="Y1" s="336" t="s">
        <v>135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8"/>
      <c r="AP1" s="407" t="s">
        <v>82</v>
      </c>
      <c r="AQ1" s="408"/>
      <c r="AR1" s="408"/>
      <c r="AS1" s="408"/>
      <c r="AT1" s="409"/>
      <c r="AU1" s="407" t="s">
        <v>83</v>
      </c>
      <c r="AV1" s="408"/>
      <c r="AW1" s="408"/>
      <c r="AX1" s="408"/>
      <c r="AY1" s="409"/>
      <c r="AZ1" s="407" t="s">
        <v>84</v>
      </c>
      <c r="BA1" s="408"/>
      <c r="BB1" s="408"/>
      <c r="BC1" s="408"/>
      <c r="BD1" s="409"/>
    </row>
    <row r="2" spans="1:56" s="17" customFormat="1" ht="14.4" customHeight="1">
      <c r="A2" s="399"/>
      <c r="B2" s="400"/>
      <c r="C2" s="400"/>
      <c r="D2" s="400"/>
      <c r="E2" s="400"/>
      <c r="F2" s="400"/>
      <c r="G2" s="400"/>
      <c r="H2" s="401"/>
      <c r="I2" s="366" t="s">
        <v>85</v>
      </c>
      <c r="J2" s="367"/>
      <c r="K2" s="367"/>
      <c r="L2" s="367"/>
      <c r="M2" s="367"/>
      <c r="N2" s="367"/>
      <c r="O2" s="367"/>
      <c r="P2" s="367"/>
      <c r="Q2" s="368"/>
      <c r="R2" s="366" t="str">
        <f ca="1">VLOOKUP(RIGHT(CELL("filename",A2),LEN(CELL("filename",A2))-FIND("]",CELL("filename",A2))),テーブル一覧!B:AD,22,FALSE)</f>
        <v>B.生産計画</v>
      </c>
      <c r="S2" s="367"/>
      <c r="T2" s="367"/>
      <c r="U2" s="367"/>
      <c r="V2" s="367"/>
      <c r="W2" s="367"/>
      <c r="X2" s="368"/>
      <c r="Y2" s="366" t="str">
        <f ca="1">VLOOKUP(RIGHT(CELL("filename",A2),LEN(CELL("filename",A2))-FIND("]",CELL("filename",A2))),テーブル一覧!B:AD,1,FALSE)</f>
        <v>生産計画情報（抄紙）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8"/>
      <c r="AP2" s="339"/>
      <c r="AQ2" s="340"/>
      <c r="AR2" s="340"/>
      <c r="AS2" s="340"/>
      <c r="AT2" s="341"/>
      <c r="AU2" s="58" t="s">
        <v>88</v>
      </c>
      <c r="AV2" s="59"/>
      <c r="AW2" s="59"/>
      <c r="AX2" s="59"/>
      <c r="AY2" s="60"/>
      <c r="AZ2" s="413" t="s">
        <v>89</v>
      </c>
      <c r="BA2" s="414"/>
      <c r="BB2" s="414"/>
      <c r="BC2" s="414"/>
      <c r="BD2" s="415"/>
    </row>
    <row r="3" spans="1:56" s="17" customFormat="1" ht="14.4" customHeight="1">
      <c r="A3" s="399"/>
      <c r="B3" s="400"/>
      <c r="C3" s="400"/>
      <c r="D3" s="400"/>
      <c r="E3" s="400"/>
      <c r="F3" s="400"/>
      <c r="G3" s="400"/>
      <c r="H3" s="401"/>
      <c r="I3" s="369"/>
      <c r="J3" s="370"/>
      <c r="K3" s="370"/>
      <c r="L3" s="370"/>
      <c r="M3" s="370"/>
      <c r="N3" s="370"/>
      <c r="O3" s="370"/>
      <c r="P3" s="370"/>
      <c r="Q3" s="371"/>
      <c r="R3" s="369"/>
      <c r="S3" s="370"/>
      <c r="T3" s="370"/>
      <c r="U3" s="370"/>
      <c r="V3" s="370"/>
      <c r="W3" s="370"/>
      <c r="X3" s="371"/>
      <c r="Y3" s="372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4"/>
      <c r="AP3" s="342"/>
      <c r="AQ3" s="343"/>
      <c r="AR3" s="343"/>
      <c r="AS3" s="343"/>
      <c r="AT3" s="344"/>
      <c r="AU3" s="410"/>
      <c r="AV3" s="411"/>
      <c r="AW3" s="411"/>
      <c r="AX3" s="411"/>
      <c r="AY3" s="412"/>
      <c r="AZ3" s="413"/>
      <c r="BA3" s="414"/>
      <c r="BB3" s="414"/>
      <c r="BC3" s="414"/>
      <c r="BD3" s="415"/>
    </row>
    <row r="4" spans="1:56" s="17" customFormat="1" ht="14.4" customHeight="1">
      <c r="A4" s="402"/>
      <c r="B4" s="403"/>
      <c r="C4" s="403"/>
      <c r="D4" s="403"/>
      <c r="E4" s="403"/>
      <c r="F4" s="403"/>
      <c r="G4" s="403"/>
      <c r="H4" s="404"/>
      <c r="I4" s="372"/>
      <c r="J4" s="373"/>
      <c r="K4" s="373"/>
      <c r="L4" s="373"/>
      <c r="M4" s="373"/>
      <c r="N4" s="373"/>
      <c r="O4" s="373"/>
      <c r="P4" s="373"/>
      <c r="Q4" s="374"/>
      <c r="R4" s="372"/>
      <c r="S4" s="373"/>
      <c r="T4" s="373"/>
      <c r="U4" s="373"/>
      <c r="V4" s="373"/>
      <c r="W4" s="373"/>
      <c r="X4" s="374"/>
      <c r="Y4" s="41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t_seisan_keikaku_pm</v>
      </c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8"/>
      <c r="AP4" s="342"/>
      <c r="AQ4" s="343"/>
      <c r="AR4" s="343"/>
      <c r="AS4" s="343"/>
      <c r="AT4" s="344"/>
      <c r="AU4" s="410"/>
      <c r="AV4" s="411"/>
      <c r="AW4" s="411"/>
      <c r="AX4" s="411"/>
      <c r="AY4" s="412"/>
      <c r="AZ4" s="413"/>
      <c r="BA4" s="414"/>
      <c r="BB4" s="414"/>
      <c r="BC4" s="414"/>
      <c r="BD4" s="415"/>
    </row>
    <row r="5" spans="1:56" ht="14.4" customHeight="1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</row>
    <row r="6" spans="1:56" ht="14.4" customHeight="1">
      <c r="A6" s="405" t="s">
        <v>90</v>
      </c>
      <c r="B6" s="386" t="s">
        <v>136</v>
      </c>
      <c r="C6" s="394"/>
      <c r="D6" s="394"/>
      <c r="E6" s="394"/>
      <c r="F6" s="394"/>
      <c r="G6" s="394"/>
      <c r="H6" s="387"/>
      <c r="I6" s="386" t="s">
        <v>137</v>
      </c>
      <c r="J6" s="394"/>
      <c r="K6" s="394"/>
      <c r="L6" s="394"/>
      <c r="M6" s="394"/>
      <c r="N6" s="394"/>
      <c r="O6" s="394"/>
      <c r="P6" s="394"/>
      <c r="Q6" s="387"/>
      <c r="R6" s="386" t="s">
        <v>138</v>
      </c>
      <c r="S6" s="394"/>
      <c r="T6" s="394"/>
      <c r="U6" s="394"/>
      <c r="V6" s="394"/>
      <c r="W6" s="394"/>
      <c r="X6" s="387"/>
      <c r="Y6" s="386" t="s">
        <v>139</v>
      </c>
      <c r="Z6" s="387"/>
      <c r="AA6" s="386" t="s">
        <v>140</v>
      </c>
      <c r="AB6" s="394"/>
      <c r="AC6" s="387"/>
      <c r="AD6" s="390" t="s">
        <v>141</v>
      </c>
      <c r="AE6" s="392" t="s">
        <v>142</v>
      </c>
      <c r="AF6" s="390" t="s">
        <v>143</v>
      </c>
      <c r="AG6" s="390" t="s">
        <v>144</v>
      </c>
      <c r="AH6" s="390" t="s">
        <v>145</v>
      </c>
      <c r="AI6" s="383" t="s">
        <v>146</v>
      </c>
      <c r="AJ6" s="384"/>
      <c r="AK6" s="384"/>
      <c r="AL6" s="384"/>
      <c r="AM6" s="384"/>
      <c r="AN6" s="384"/>
      <c r="AO6" s="384"/>
      <c r="AP6" s="384"/>
      <c r="AQ6" s="384"/>
      <c r="AR6" s="385"/>
      <c r="AS6" s="386" t="s">
        <v>147</v>
      </c>
      <c r="AT6" s="394"/>
      <c r="AU6" s="394"/>
      <c r="AV6" s="394"/>
      <c r="AW6" s="394"/>
      <c r="AX6" s="394"/>
      <c r="AY6" s="394"/>
      <c r="AZ6" s="394"/>
      <c r="BA6" s="394"/>
      <c r="BB6" s="394"/>
      <c r="BC6" s="394"/>
      <c r="BD6" s="387"/>
    </row>
    <row r="7" spans="1:56" ht="14.4" customHeight="1">
      <c r="A7" s="406"/>
      <c r="B7" s="388"/>
      <c r="C7" s="395"/>
      <c r="D7" s="395"/>
      <c r="E7" s="395"/>
      <c r="F7" s="395"/>
      <c r="G7" s="395"/>
      <c r="H7" s="389"/>
      <c r="I7" s="388"/>
      <c r="J7" s="395"/>
      <c r="K7" s="395"/>
      <c r="L7" s="395"/>
      <c r="M7" s="395"/>
      <c r="N7" s="395"/>
      <c r="O7" s="395"/>
      <c r="P7" s="395"/>
      <c r="Q7" s="389"/>
      <c r="R7" s="388"/>
      <c r="S7" s="395"/>
      <c r="T7" s="395"/>
      <c r="U7" s="395"/>
      <c r="V7" s="395"/>
      <c r="W7" s="395"/>
      <c r="X7" s="389"/>
      <c r="Y7" s="388"/>
      <c r="Z7" s="389"/>
      <c r="AA7" s="388"/>
      <c r="AB7" s="395"/>
      <c r="AC7" s="389"/>
      <c r="AD7" s="391"/>
      <c r="AE7" s="393"/>
      <c r="AF7" s="391"/>
      <c r="AG7" s="391"/>
      <c r="AH7" s="39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88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89"/>
    </row>
    <row r="8" spans="1:56" s="1" customFormat="1">
      <c r="A8" s="131">
        <f>IF(B8="","",COUNTA($B$8:B8))</f>
        <v>1</v>
      </c>
      <c r="B8" s="195" t="s">
        <v>148</v>
      </c>
      <c r="C8" s="190"/>
      <c r="D8" s="190"/>
      <c r="E8" s="190"/>
      <c r="F8" s="190"/>
      <c r="G8" s="190"/>
      <c r="H8" s="191"/>
      <c r="I8" s="204" t="s">
        <v>149</v>
      </c>
      <c r="J8" s="190"/>
      <c r="K8" s="190"/>
      <c r="L8" s="190"/>
      <c r="M8" s="190"/>
      <c r="N8" s="190"/>
      <c r="O8" s="190"/>
      <c r="P8" s="190"/>
      <c r="Q8" s="191"/>
      <c r="R8" s="195" t="s">
        <v>148</v>
      </c>
      <c r="S8" s="190"/>
      <c r="T8" s="190"/>
      <c r="U8" s="190"/>
      <c r="V8" s="190"/>
      <c r="W8" s="190"/>
      <c r="X8" s="188"/>
      <c r="Y8" s="378" t="s">
        <v>150</v>
      </c>
      <c r="Z8" s="379"/>
      <c r="AA8" s="380" t="s">
        <v>151</v>
      </c>
      <c r="AB8" s="381"/>
      <c r="AC8" s="382"/>
      <c r="AD8" s="205">
        <v>15</v>
      </c>
      <c r="AE8" s="193"/>
      <c r="AF8" s="193">
        <v>1</v>
      </c>
      <c r="AG8" s="194" t="s">
        <v>152</v>
      </c>
      <c r="AH8" s="194"/>
      <c r="AI8" s="194"/>
      <c r="AJ8" s="194"/>
      <c r="AK8" s="194"/>
      <c r="AL8" s="194"/>
      <c r="AM8" s="194"/>
      <c r="AN8" s="194"/>
      <c r="AO8" s="193"/>
      <c r="AP8" s="193"/>
      <c r="AQ8" s="193"/>
      <c r="AR8" s="193"/>
      <c r="AS8" s="196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6" s="1" customFormat="1">
      <c r="A9" s="131">
        <f>IF(B9="","",COUNTA($B$8:B9))</f>
        <v>2</v>
      </c>
      <c r="B9" s="186" t="s">
        <v>153</v>
      </c>
      <c r="C9" s="187"/>
      <c r="D9" s="187"/>
      <c r="E9" s="187"/>
      <c r="F9" s="187"/>
      <c r="G9" s="187"/>
      <c r="H9" s="188"/>
      <c r="I9" s="204" t="s">
        <v>154</v>
      </c>
      <c r="J9" s="190"/>
      <c r="K9" s="190"/>
      <c r="L9" s="190"/>
      <c r="M9" s="190"/>
      <c r="N9" s="190"/>
      <c r="O9" s="190"/>
      <c r="P9" s="190"/>
      <c r="Q9" s="191"/>
      <c r="R9" s="186" t="s">
        <v>153</v>
      </c>
      <c r="S9" s="190"/>
      <c r="T9" s="190"/>
      <c r="U9" s="190"/>
      <c r="V9" s="190"/>
      <c r="W9" s="190"/>
      <c r="X9" s="188"/>
      <c r="Y9" s="378" t="s">
        <v>155</v>
      </c>
      <c r="Z9" s="379"/>
      <c r="AA9" s="380" t="s">
        <v>156</v>
      </c>
      <c r="AB9" s="381"/>
      <c r="AC9" s="382"/>
      <c r="AD9" s="205">
        <v>3</v>
      </c>
      <c r="AE9" s="193"/>
      <c r="AF9" s="193">
        <v>2</v>
      </c>
      <c r="AG9" s="194" t="s">
        <v>152</v>
      </c>
      <c r="AH9" s="194"/>
      <c r="AI9" s="194"/>
      <c r="AJ9" s="194"/>
      <c r="AK9" s="194"/>
      <c r="AL9" s="194"/>
      <c r="AM9" s="194"/>
      <c r="AN9" s="194"/>
      <c r="AO9" s="193"/>
      <c r="AP9" s="193"/>
      <c r="AQ9" s="193"/>
      <c r="AR9" s="193"/>
      <c r="AS9" s="189" t="s">
        <v>355</v>
      </c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6" s="1" customFormat="1">
      <c r="A10" s="131">
        <f>IF(B10="","",COUNTA($B$8:B10))</f>
        <v>3</v>
      </c>
      <c r="B10" s="186" t="s">
        <v>157</v>
      </c>
      <c r="C10" s="187"/>
      <c r="D10" s="187"/>
      <c r="E10" s="187"/>
      <c r="F10" s="187"/>
      <c r="G10" s="187"/>
      <c r="H10" s="188"/>
      <c r="I10" s="204" t="s">
        <v>158</v>
      </c>
      <c r="J10" s="190"/>
      <c r="K10" s="190"/>
      <c r="L10" s="190"/>
      <c r="M10" s="190"/>
      <c r="N10" s="190"/>
      <c r="O10" s="190"/>
      <c r="P10" s="190"/>
      <c r="Q10" s="191"/>
      <c r="R10" s="186" t="s">
        <v>157</v>
      </c>
      <c r="S10" s="190"/>
      <c r="T10" s="190"/>
      <c r="U10" s="190"/>
      <c r="V10" s="190"/>
      <c r="W10" s="190"/>
      <c r="X10" s="188"/>
      <c r="Y10" s="378" t="s">
        <v>150</v>
      </c>
      <c r="Z10" s="379"/>
      <c r="AA10" s="380" t="s">
        <v>151</v>
      </c>
      <c r="AB10" s="381"/>
      <c r="AC10" s="382"/>
      <c r="AD10" s="205">
        <v>10</v>
      </c>
      <c r="AE10" s="193"/>
      <c r="AF10" s="193"/>
      <c r="AG10" s="194"/>
      <c r="AH10" s="194"/>
      <c r="AI10" s="194"/>
      <c r="AJ10" s="194"/>
      <c r="AK10" s="194"/>
      <c r="AL10" s="194"/>
      <c r="AM10" s="194"/>
      <c r="AN10" s="194"/>
      <c r="AO10" s="193"/>
      <c r="AP10" s="193"/>
      <c r="AQ10" s="193"/>
      <c r="AR10" s="193"/>
      <c r="AS10" s="189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</row>
    <row r="11" spans="1:56" s="1" customFormat="1">
      <c r="A11" s="131">
        <f>IF(B11="","",COUNTA($B$8:B11))</f>
        <v>4</v>
      </c>
      <c r="B11" s="186" t="s">
        <v>159</v>
      </c>
      <c r="C11" s="187"/>
      <c r="D11" s="187"/>
      <c r="E11" s="187"/>
      <c r="F11" s="187"/>
      <c r="G11" s="187"/>
      <c r="H11" s="188"/>
      <c r="I11" s="204" t="s">
        <v>160</v>
      </c>
      <c r="J11" s="190"/>
      <c r="K11" s="190"/>
      <c r="L11" s="190"/>
      <c r="M11" s="190"/>
      <c r="N11" s="190"/>
      <c r="O11" s="190"/>
      <c r="P11" s="190"/>
      <c r="Q11" s="191"/>
      <c r="R11" s="186" t="s">
        <v>159</v>
      </c>
      <c r="S11" s="190"/>
      <c r="T11" s="190"/>
      <c r="U11" s="190"/>
      <c r="V11" s="190"/>
      <c r="W11" s="190"/>
      <c r="X11" s="188"/>
      <c r="Y11" s="378" t="s">
        <v>150</v>
      </c>
      <c r="Z11" s="379"/>
      <c r="AA11" s="380" t="s">
        <v>151</v>
      </c>
      <c r="AB11" s="381"/>
      <c r="AC11" s="382"/>
      <c r="AD11" s="205">
        <v>4</v>
      </c>
      <c r="AE11" s="193"/>
      <c r="AF11" s="193"/>
      <c r="AG11" s="194"/>
      <c r="AH11" s="194"/>
      <c r="AI11" s="194" t="s">
        <v>161</v>
      </c>
      <c r="AJ11" s="194"/>
      <c r="AK11" s="194"/>
      <c r="AL11" s="194"/>
      <c r="AM11" s="194"/>
      <c r="AN11" s="194"/>
      <c r="AO11" s="193"/>
      <c r="AP11" s="193"/>
      <c r="AQ11" s="193"/>
      <c r="AR11" s="193"/>
      <c r="AS11" s="189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6" s="1" customFormat="1">
      <c r="A12" s="131">
        <f>IF(B12="","",COUNTA($B$8:B12))</f>
        <v>5</v>
      </c>
      <c r="B12" s="206" t="s">
        <v>162</v>
      </c>
      <c r="C12" s="207"/>
      <c r="D12" s="187"/>
      <c r="E12" s="187"/>
      <c r="F12" s="187"/>
      <c r="G12" s="187"/>
      <c r="H12" s="188"/>
      <c r="I12" s="206" t="s">
        <v>163</v>
      </c>
      <c r="J12" s="190"/>
      <c r="K12" s="190"/>
      <c r="L12" s="190"/>
      <c r="M12" s="190"/>
      <c r="N12" s="190"/>
      <c r="O12" s="190"/>
      <c r="P12" s="190"/>
      <c r="Q12" s="191"/>
      <c r="R12" s="186" t="s">
        <v>164</v>
      </c>
      <c r="S12" s="190"/>
      <c r="T12" s="190"/>
      <c r="U12" s="190"/>
      <c r="V12" s="190"/>
      <c r="W12" s="190"/>
      <c r="X12" s="188"/>
      <c r="Y12" s="378" t="s">
        <v>150</v>
      </c>
      <c r="Z12" s="379"/>
      <c r="AA12" s="380" t="s">
        <v>151</v>
      </c>
      <c r="AB12" s="381"/>
      <c r="AC12" s="382"/>
      <c r="AD12" s="205">
        <v>4</v>
      </c>
      <c r="AE12" s="193"/>
      <c r="AF12" s="193"/>
      <c r="AG12" s="194"/>
      <c r="AH12" s="194"/>
      <c r="AI12" s="194" t="s">
        <v>165</v>
      </c>
      <c r="AJ12" s="194"/>
      <c r="AK12" s="194"/>
      <c r="AL12" s="194"/>
      <c r="AM12" s="194"/>
      <c r="AN12" s="194"/>
      <c r="AO12" s="193"/>
      <c r="AP12" s="193"/>
      <c r="AQ12" s="193"/>
      <c r="AR12" s="193"/>
      <c r="AS12" s="189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6" s="1" customFormat="1">
      <c r="A13" s="131">
        <f>IF(B13="","",COUNTA($B$8:B13))</f>
        <v>6</v>
      </c>
      <c r="B13" s="186" t="s">
        <v>166</v>
      </c>
      <c r="C13" s="187"/>
      <c r="D13" s="187"/>
      <c r="E13" s="187"/>
      <c r="F13" s="187"/>
      <c r="G13" s="187"/>
      <c r="H13" s="188"/>
      <c r="I13" s="204" t="s">
        <v>167</v>
      </c>
      <c r="J13" s="190"/>
      <c r="K13" s="190"/>
      <c r="L13" s="190"/>
      <c r="M13" s="190"/>
      <c r="N13" s="190"/>
      <c r="O13" s="190"/>
      <c r="P13" s="190"/>
      <c r="Q13" s="191"/>
      <c r="R13" s="186" t="s">
        <v>168</v>
      </c>
      <c r="S13" s="190"/>
      <c r="T13" s="190"/>
      <c r="U13" s="190"/>
      <c r="V13" s="190"/>
      <c r="W13" s="190"/>
      <c r="X13" s="188"/>
      <c r="Y13" s="186" t="s">
        <v>169</v>
      </c>
      <c r="Z13" s="200"/>
      <c r="AA13" s="380" t="s">
        <v>170</v>
      </c>
      <c r="AB13" s="381"/>
      <c r="AC13" s="382"/>
      <c r="AD13" s="205"/>
      <c r="AE13" s="193"/>
      <c r="AF13" s="193"/>
      <c r="AG13" s="194"/>
      <c r="AH13" s="194"/>
      <c r="AI13" s="194" t="s">
        <v>171</v>
      </c>
      <c r="AJ13" s="194"/>
      <c r="AK13" s="194"/>
      <c r="AL13" s="194"/>
      <c r="AM13" s="194"/>
      <c r="AN13" s="194"/>
      <c r="AO13" s="193"/>
      <c r="AP13" s="193"/>
      <c r="AQ13" s="193"/>
      <c r="AR13" s="193"/>
      <c r="AS13" s="189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6" s="1" customFormat="1">
      <c r="A14" s="131">
        <f>IF(B14="","",COUNTA($B$8:B14))</f>
        <v>7</v>
      </c>
      <c r="B14" s="186" t="s">
        <v>174</v>
      </c>
      <c r="C14" s="187"/>
      <c r="D14" s="187"/>
      <c r="E14" s="187"/>
      <c r="F14" s="187"/>
      <c r="G14" s="187"/>
      <c r="H14" s="188"/>
      <c r="I14" s="204" t="s">
        <v>175</v>
      </c>
      <c r="J14" s="190"/>
      <c r="K14" s="190"/>
      <c r="L14" s="190"/>
      <c r="M14" s="190"/>
      <c r="N14" s="190"/>
      <c r="O14" s="190"/>
      <c r="P14" s="190"/>
      <c r="Q14" s="191"/>
      <c r="R14" s="186" t="s">
        <v>176</v>
      </c>
      <c r="S14" s="190"/>
      <c r="T14" s="190"/>
      <c r="U14" s="190"/>
      <c r="V14" s="190"/>
      <c r="W14" s="190"/>
      <c r="X14" s="188"/>
      <c r="Y14" s="186" t="s">
        <v>169</v>
      </c>
      <c r="Z14" s="200"/>
      <c r="AA14" s="380" t="s">
        <v>170</v>
      </c>
      <c r="AB14" s="381"/>
      <c r="AC14" s="382"/>
      <c r="AD14" s="192"/>
      <c r="AE14" s="193"/>
      <c r="AF14" s="193"/>
      <c r="AG14" s="194"/>
      <c r="AH14" s="194"/>
      <c r="AI14" s="194" t="s">
        <v>173</v>
      </c>
      <c r="AJ14" s="194"/>
      <c r="AK14" s="194"/>
      <c r="AL14" s="194"/>
      <c r="AM14" s="194"/>
      <c r="AN14" s="194"/>
      <c r="AO14" s="193"/>
      <c r="AP14" s="193"/>
      <c r="AQ14" s="193"/>
      <c r="AR14" s="193"/>
      <c r="AS14" s="189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6" s="1" customFormat="1">
      <c r="A15" s="131">
        <f>IF(B15="","",COUNTA($B$8:B15))</f>
        <v>8</v>
      </c>
      <c r="B15" s="186" t="s">
        <v>172</v>
      </c>
      <c r="C15" s="187"/>
      <c r="D15" s="187"/>
      <c r="E15" s="187"/>
      <c r="F15" s="187"/>
      <c r="G15" s="187"/>
      <c r="H15" s="188"/>
      <c r="I15" s="204" t="s">
        <v>177</v>
      </c>
      <c r="J15" s="190"/>
      <c r="K15" s="190"/>
      <c r="L15" s="190"/>
      <c r="M15" s="190"/>
      <c r="N15" s="190"/>
      <c r="O15" s="190"/>
      <c r="P15" s="190"/>
      <c r="Q15" s="191"/>
      <c r="R15" s="186" t="s">
        <v>172</v>
      </c>
      <c r="S15" s="190"/>
      <c r="T15" s="190"/>
      <c r="U15" s="190"/>
      <c r="V15" s="190"/>
      <c r="W15" s="190"/>
      <c r="X15" s="188"/>
      <c r="Y15" s="186" t="s">
        <v>155</v>
      </c>
      <c r="Z15" s="200"/>
      <c r="AA15" s="380" t="s">
        <v>156</v>
      </c>
      <c r="AB15" s="381"/>
      <c r="AC15" s="382"/>
      <c r="AD15" s="192">
        <v>5</v>
      </c>
      <c r="AE15" s="193">
        <v>1</v>
      </c>
      <c r="AF15" s="193"/>
      <c r="AG15" s="194"/>
      <c r="AH15" s="194"/>
      <c r="AI15" s="194"/>
      <c r="AJ15" s="194"/>
      <c r="AK15" s="194"/>
      <c r="AL15" s="194"/>
      <c r="AM15" s="194"/>
      <c r="AN15" s="194"/>
      <c r="AO15" s="193"/>
      <c r="AP15" s="193"/>
      <c r="AQ15" s="193"/>
      <c r="AR15" s="193"/>
      <c r="AS15" s="189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6" s="1" customFormat="1">
      <c r="A16" s="131">
        <f>IF(B16="","",COUNTA($B$8:B16))</f>
        <v>9</v>
      </c>
      <c r="B16" s="186" t="s">
        <v>178</v>
      </c>
      <c r="C16" s="187"/>
      <c r="D16" s="187"/>
      <c r="E16" s="187"/>
      <c r="F16" s="187"/>
      <c r="G16" s="187"/>
      <c r="H16" s="188"/>
      <c r="I16" s="204" t="s">
        <v>179</v>
      </c>
      <c r="J16" s="190"/>
      <c r="K16" s="190"/>
      <c r="L16" s="190"/>
      <c r="M16" s="190"/>
      <c r="N16" s="190"/>
      <c r="O16" s="190"/>
      <c r="P16" s="190"/>
      <c r="Q16" s="191"/>
      <c r="R16" s="186" t="s">
        <v>178</v>
      </c>
      <c r="S16" s="190"/>
      <c r="T16" s="190"/>
      <c r="U16" s="190"/>
      <c r="V16" s="190"/>
      <c r="W16" s="190"/>
      <c r="X16" s="188"/>
      <c r="Y16" s="378" t="s">
        <v>150</v>
      </c>
      <c r="Z16" s="379"/>
      <c r="AA16" s="380" t="s">
        <v>151</v>
      </c>
      <c r="AB16" s="381"/>
      <c r="AC16" s="382"/>
      <c r="AD16" s="205">
        <v>20</v>
      </c>
      <c r="AE16" s="193"/>
      <c r="AF16" s="193"/>
      <c r="AG16" s="194"/>
      <c r="AH16" s="194"/>
      <c r="AI16" s="194"/>
      <c r="AJ16" s="194"/>
      <c r="AK16" s="194"/>
      <c r="AL16" s="194"/>
      <c r="AM16" s="194"/>
      <c r="AN16" s="194"/>
      <c r="AO16" s="193"/>
      <c r="AP16" s="193"/>
      <c r="AQ16" s="193"/>
      <c r="AR16" s="193"/>
      <c r="AS16" s="189" t="s">
        <v>180</v>
      </c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7" s="1" customFormat="1">
      <c r="A17" s="131">
        <f>IF(B17="","",COUNTA($B$8:B17))</f>
        <v>10</v>
      </c>
      <c r="B17" s="186" t="s">
        <v>181</v>
      </c>
      <c r="C17" s="187"/>
      <c r="D17" s="187"/>
      <c r="E17" s="187"/>
      <c r="F17" s="187"/>
      <c r="G17" s="187"/>
      <c r="H17" s="188"/>
      <c r="I17" s="204" t="s">
        <v>182</v>
      </c>
      <c r="J17" s="190"/>
      <c r="K17" s="190"/>
      <c r="L17" s="190"/>
      <c r="M17" s="190"/>
      <c r="N17" s="190"/>
      <c r="O17" s="190"/>
      <c r="P17" s="190"/>
      <c r="Q17" s="191"/>
      <c r="R17" s="186" t="s">
        <v>181</v>
      </c>
      <c r="S17" s="190"/>
      <c r="T17" s="190"/>
      <c r="U17" s="190"/>
      <c r="V17" s="190"/>
      <c r="W17" s="190"/>
      <c r="X17" s="191"/>
      <c r="Y17" s="378" t="s">
        <v>150</v>
      </c>
      <c r="Z17" s="379"/>
      <c r="AA17" s="380" t="s">
        <v>151</v>
      </c>
      <c r="AB17" s="381"/>
      <c r="AC17" s="382"/>
      <c r="AD17" s="205">
        <v>30</v>
      </c>
      <c r="AE17" s="193"/>
      <c r="AF17" s="193"/>
      <c r="AG17" s="194"/>
      <c r="AH17" s="194"/>
      <c r="AI17" s="194"/>
      <c r="AJ17" s="194"/>
      <c r="AK17" s="194"/>
      <c r="AL17" s="194"/>
      <c r="AM17" s="194"/>
      <c r="AN17" s="194"/>
      <c r="AO17" s="193"/>
      <c r="AP17" s="193"/>
      <c r="AQ17" s="193"/>
      <c r="AR17" s="193"/>
      <c r="AS17" s="189" t="s">
        <v>1406</v>
      </c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7" s="1" customFormat="1">
      <c r="A18" s="131">
        <f>IF(B18="","",COUNTA($B$8:B18))</f>
        <v>11</v>
      </c>
      <c r="B18" s="186" t="s">
        <v>183</v>
      </c>
      <c r="C18" s="187"/>
      <c r="D18" s="187"/>
      <c r="E18" s="187"/>
      <c r="F18" s="187"/>
      <c r="G18" s="187"/>
      <c r="H18" s="188"/>
      <c r="I18" s="204" t="s">
        <v>184</v>
      </c>
      <c r="J18" s="190"/>
      <c r="K18" s="190"/>
      <c r="L18" s="190"/>
      <c r="M18" s="190"/>
      <c r="N18" s="190"/>
      <c r="O18" s="190"/>
      <c r="P18" s="190"/>
      <c r="Q18" s="191"/>
      <c r="R18" s="186" t="s">
        <v>183</v>
      </c>
      <c r="S18" s="190"/>
      <c r="T18" s="190"/>
      <c r="U18" s="190"/>
      <c r="V18" s="190"/>
      <c r="W18" s="190"/>
      <c r="X18" s="188"/>
      <c r="Y18" s="378" t="s">
        <v>150</v>
      </c>
      <c r="Z18" s="379"/>
      <c r="AA18" s="380" t="s">
        <v>151</v>
      </c>
      <c r="AB18" s="381"/>
      <c r="AC18" s="382"/>
      <c r="AD18" s="205">
        <v>1000</v>
      </c>
      <c r="AE18" s="193"/>
      <c r="AF18" s="193"/>
      <c r="AG18" s="194"/>
      <c r="AH18" s="194"/>
      <c r="AI18" s="194"/>
      <c r="AJ18" s="194"/>
      <c r="AK18" s="194"/>
      <c r="AL18" s="194"/>
      <c r="AM18" s="194"/>
      <c r="AN18" s="194"/>
      <c r="AO18" s="193"/>
      <c r="AP18" s="193"/>
      <c r="AQ18" s="193"/>
      <c r="AR18" s="193"/>
      <c r="AS18" s="189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7" s="1" customFormat="1">
      <c r="A19" s="131">
        <f>IF(B19="","",COUNTA($B$8:B19))</f>
        <v>12</v>
      </c>
      <c r="B19" s="186" t="s">
        <v>185</v>
      </c>
      <c r="C19" s="187"/>
      <c r="D19" s="187"/>
      <c r="E19" s="187"/>
      <c r="F19" s="187"/>
      <c r="G19" s="187"/>
      <c r="H19" s="188"/>
      <c r="I19" s="204" t="s">
        <v>186</v>
      </c>
      <c r="J19" s="190"/>
      <c r="K19" s="190"/>
      <c r="L19" s="190"/>
      <c r="M19" s="190"/>
      <c r="N19" s="190"/>
      <c r="O19" s="190"/>
      <c r="P19" s="190"/>
      <c r="Q19" s="191"/>
      <c r="R19" s="186" t="s">
        <v>185</v>
      </c>
      <c r="S19" s="190"/>
      <c r="T19" s="190"/>
      <c r="U19" s="190"/>
      <c r="V19" s="190"/>
      <c r="W19" s="190"/>
      <c r="X19" s="188"/>
      <c r="Y19" s="378" t="s">
        <v>150</v>
      </c>
      <c r="Z19" s="379"/>
      <c r="AA19" s="380" t="s">
        <v>151</v>
      </c>
      <c r="AB19" s="381"/>
      <c r="AC19" s="382"/>
      <c r="AD19" s="205">
        <v>75</v>
      </c>
      <c r="AE19" s="193"/>
      <c r="AF19" s="193"/>
      <c r="AG19" s="194"/>
      <c r="AH19" s="194"/>
      <c r="AI19" s="194"/>
      <c r="AJ19" s="194" t="s">
        <v>161</v>
      </c>
      <c r="AK19" s="194"/>
      <c r="AL19" s="194"/>
      <c r="AM19" s="194"/>
      <c r="AN19" s="194"/>
      <c r="AO19" s="193"/>
      <c r="AP19" s="193"/>
      <c r="AQ19" s="193"/>
      <c r="AR19" s="193"/>
      <c r="AS19" s="189" t="s">
        <v>1407</v>
      </c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5"/>
    </row>
    <row r="20" spans="1:57" s="1" customFormat="1">
      <c r="A20" s="131">
        <f>IF(B20="","",COUNTA($B$8:B20))</f>
        <v>13</v>
      </c>
      <c r="B20" s="186" t="s">
        <v>187</v>
      </c>
      <c r="C20" s="187"/>
      <c r="D20" s="187"/>
      <c r="E20" s="187"/>
      <c r="F20" s="187"/>
      <c r="G20" s="187"/>
      <c r="H20" s="188"/>
      <c r="I20" s="204" t="s">
        <v>188</v>
      </c>
      <c r="J20" s="190"/>
      <c r="K20" s="190"/>
      <c r="L20" s="190"/>
      <c r="M20" s="190"/>
      <c r="N20" s="190"/>
      <c r="O20" s="190"/>
      <c r="P20" s="190"/>
      <c r="Q20" s="191"/>
      <c r="R20" s="186" t="s">
        <v>187</v>
      </c>
      <c r="S20" s="190"/>
      <c r="T20" s="190"/>
      <c r="U20" s="190"/>
      <c r="V20" s="190"/>
      <c r="W20" s="190"/>
      <c r="X20" s="188"/>
      <c r="Y20" s="378" t="s">
        <v>155</v>
      </c>
      <c r="Z20" s="379"/>
      <c r="AA20" s="380" t="s">
        <v>156</v>
      </c>
      <c r="AB20" s="381"/>
      <c r="AC20" s="382"/>
      <c r="AD20" s="205">
        <v>3</v>
      </c>
      <c r="AE20" s="208"/>
      <c r="AF20" s="208"/>
      <c r="AG20" s="209"/>
      <c r="AH20" s="209"/>
      <c r="AI20" s="209"/>
      <c r="AJ20" s="209"/>
      <c r="AK20" s="209"/>
      <c r="AL20" s="209"/>
      <c r="AM20" s="209"/>
      <c r="AN20" s="209"/>
      <c r="AO20" s="208"/>
      <c r="AP20" s="208"/>
      <c r="AQ20" s="208"/>
      <c r="AR20" s="208"/>
      <c r="AS20" s="210"/>
      <c r="AT20" s="161"/>
      <c r="AU20" s="124"/>
      <c r="AV20" s="124"/>
      <c r="AW20" s="124"/>
      <c r="AX20" s="124"/>
      <c r="AY20" s="124"/>
      <c r="AZ20" s="124"/>
      <c r="BA20" s="124"/>
      <c r="BB20" s="124"/>
      <c r="BC20" s="124"/>
      <c r="BD20" s="125"/>
    </row>
    <row r="21" spans="1:57" s="1" customFormat="1">
      <c r="A21" s="286">
        <f>IF(B21="","",COUNTA($B$8:B21))</f>
        <v>14</v>
      </c>
      <c r="B21" s="284" t="s">
        <v>189</v>
      </c>
      <c r="C21" s="481"/>
      <c r="D21" s="481"/>
      <c r="E21" s="481"/>
      <c r="F21" s="481"/>
      <c r="G21" s="481"/>
      <c r="H21" s="237"/>
      <c r="I21" s="482" t="s">
        <v>190</v>
      </c>
      <c r="J21" s="234"/>
      <c r="K21" s="234"/>
      <c r="L21" s="234"/>
      <c r="M21" s="234"/>
      <c r="N21" s="234"/>
      <c r="O21" s="234"/>
      <c r="P21" s="234"/>
      <c r="Q21" s="235"/>
      <c r="R21" s="284" t="s">
        <v>189</v>
      </c>
      <c r="S21" s="234"/>
      <c r="T21" s="234"/>
      <c r="U21" s="234"/>
      <c r="V21" s="234"/>
      <c r="W21" s="234"/>
      <c r="X21" s="237"/>
      <c r="Y21" s="447" t="s">
        <v>155</v>
      </c>
      <c r="Z21" s="448"/>
      <c r="AA21" s="483" t="s">
        <v>156</v>
      </c>
      <c r="AB21" s="484"/>
      <c r="AC21" s="485"/>
      <c r="AD21" s="486">
        <v>3</v>
      </c>
      <c r="AE21" s="487"/>
      <c r="AF21" s="487"/>
      <c r="AG21" s="488"/>
      <c r="AH21" s="488">
        <v>0</v>
      </c>
      <c r="AI21" s="488"/>
      <c r="AJ21" s="488"/>
      <c r="AK21" s="488"/>
      <c r="AL21" s="488"/>
      <c r="AM21" s="488"/>
      <c r="AN21" s="488"/>
      <c r="AO21" s="487"/>
      <c r="AP21" s="487"/>
      <c r="AQ21" s="487"/>
      <c r="AR21" s="487"/>
      <c r="AS21" s="296" t="s">
        <v>191</v>
      </c>
      <c r="AT21" s="489"/>
      <c r="AU21" s="299"/>
      <c r="AV21" s="299"/>
      <c r="AW21" s="299"/>
      <c r="AX21" s="299"/>
      <c r="AY21" s="299"/>
      <c r="AZ21" s="299"/>
      <c r="BA21" s="299"/>
      <c r="BB21" s="299"/>
      <c r="BC21" s="299"/>
      <c r="BD21" s="300"/>
    </row>
    <row r="22" spans="1:57" s="1" customFormat="1">
      <c r="A22" s="301" t="str">
        <f>IF(B22="","",COUNTA($B$8:B22))</f>
        <v/>
      </c>
      <c r="B22" s="327"/>
      <c r="C22" s="490"/>
      <c r="D22" s="490"/>
      <c r="E22" s="490"/>
      <c r="F22" s="490"/>
      <c r="G22" s="490"/>
      <c r="H22" s="491"/>
      <c r="I22" s="492"/>
      <c r="J22" s="493"/>
      <c r="K22" s="493"/>
      <c r="L22" s="493"/>
      <c r="M22" s="493"/>
      <c r="N22" s="493"/>
      <c r="O22" s="493"/>
      <c r="P22" s="493"/>
      <c r="Q22" s="494"/>
      <c r="R22" s="327"/>
      <c r="S22" s="493"/>
      <c r="T22" s="493"/>
      <c r="U22" s="493"/>
      <c r="V22" s="493"/>
      <c r="W22" s="493"/>
      <c r="X22" s="491"/>
      <c r="Y22" s="468"/>
      <c r="Z22" s="469"/>
      <c r="AA22" s="495"/>
      <c r="AB22" s="496"/>
      <c r="AC22" s="497"/>
      <c r="AD22" s="498"/>
      <c r="AE22" s="499"/>
      <c r="AF22" s="499"/>
      <c r="AG22" s="500"/>
      <c r="AH22" s="500"/>
      <c r="AI22" s="500"/>
      <c r="AJ22" s="500"/>
      <c r="AK22" s="500"/>
      <c r="AL22" s="500"/>
      <c r="AM22" s="500"/>
      <c r="AN22" s="500"/>
      <c r="AO22" s="499"/>
      <c r="AP22" s="499"/>
      <c r="AQ22" s="499"/>
      <c r="AR22" s="499"/>
      <c r="AS22" s="311" t="s">
        <v>192</v>
      </c>
      <c r="AT22" s="501"/>
      <c r="AU22" s="314"/>
      <c r="AV22" s="314"/>
      <c r="AW22" s="314"/>
      <c r="AX22" s="314"/>
      <c r="AY22" s="314"/>
      <c r="AZ22" s="314"/>
      <c r="BA22" s="314"/>
      <c r="BB22" s="314"/>
      <c r="BC22" s="314"/>
      <c r="BD22" s="315"/>
    </row>
    <row r="23" spans="1:57" s="1" customFormat="1">
      <c r="A23" s="131">
        <f>IF(B23="","",COUNTA($B$8:B23))</f>
        <v>15</v>
      </c>
      <c r="B23" s="201" t="s">
        <v>193</v>
      </c>
      <c r="C23" s="202"/>
      <c r="D23" s="202"/>
      <c r="E23" s="202"/>
      <c r="F23" s="202"/>
      <c r="G23" s="202"/>
      <c r="H23" s="203"/>
      <c r="I23" s="204" t="s">
        <v>194</v>
      </c>
      <c r="J23" s="190"/>
      <c r="K23" s="190"/>
      <c r="L23" s="190"/>
      <c r="M23" s="190"/>
      <c r="N23" s="190"/>
      <c r="O23" s="190"/>
      <c r="P23" s="190"/>
      <c r="Q23" s="191"/>
      <c r="R23" s="201" t="s">
        <v>193</v>
      </c>
      <c r="S23" s="190"/>
      <c r="T23" s="190"/>
      <c r="U23" s="190"/>
      <c r="V23" s="190"/>
      <c r="W23" s="190"/>
      <c r="X23" s="188"/>
      <c r="Y23" s="378" t="s">
        <v>150</v>
      </c>
      <c r="Z23" s="379"/>
      <c r="AA23" s="380" t="s">
        <v>151</v>
      </c>
      <c r="AB23" s="381"/>
      <c r="AC23" s="382"/>
      <c r="AD23" s="205">
        <v>25</v>
      </c>
      <c r="AE23" s="193"/>
      <c r="AF23" s="193"/>
      <c r="AG23" s="194"/>
      <c r="AH23" s="194"/>
      <c r="AI23" s="194"/>
      <c r="AJ23" s="194"/>
      <c r="AK23" s="194"/>
      <c r="AL23" s="194"/>
      <c r="AM23" s="194"/>
      <c r="AN23" s="194"/>
      <c r="AO23" s="193"/>
      <c r="AP23" s="193"/>
      <c r="AQ23" s="193"/>
      <c r="AR23" s="193"/>
      <c r="AS23" s="189" t="s">
        <v>1408</v>
      </c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8"/>
    </row>
    <row r="24" spans="1:57" s="1" customFormat="1">
      <c r="A24" s="131">
        <f>IF(B24="","",COUNTA($B$8:B24))</f>
        <v>16</v>
      </c>
      <c r="B24" s="186" t="s">
        <v>195</v>
      </c>
      <c r="C24" s="187"/>
      <c r="D24" s="187"/>
      <c r="E24" s="187"/>
      <c r="F24" s="187"/>
      <c r="G24" s="187"/>
      <c r="H24" s="188"/>
      <c r="I24" s="204" t="s">
        <v>196</v>
      </c>
      <c r="J24" s="190"/>
      <c r="K24" s="190"/>
      <c r="L24" s="190"/>
      <c r="M24" s="190"/>
      <c r="N24" s="190"/>
      <c r="O24" s="190"/>
      <c r="P24" s="190"/>
      <c r="Q24" s="191"/>
      <c r="R24" s="186" t="s">
        <v>195</v>
      </c>
      <c r="S24" s="190"/>
      <c r="T24" s="190"/>
      <c r="U24" s="190"/>
      <c r="V24" s="190"/>
      <c r="W24" s="190"/>
      <c r="X24" s="188"/>
      <c r="Y24" s="378" t="s">
        <v>150</v>
      </c>
      <c r="Z24" s="379"/>
      <c r="AA24" s="380" t="s">
        <v>151</v>
      </c>
      <c r="AB24" s="381"/>
      <c r="AC24" s="382"/>
      <c r="AD24" s="264">
        <v>400</v>
      </c>
      <c r="AE24" s="193"/>
      <c r="AF24" s="193"/>
      <c r="AG24" s="194"/>
      <c r="AH24" s="194"/>
      <c r="AI24" s="194"/>
      <c r="AJ24" s="194"/>
      <c r="AK24" s="194"/>
      <c r="AL24" s="194"/>
      <c r="AM24" s="194"/>
      <c r="AN24" s="194"/>
      <c r="AO24" s="193"/>
      <c r="AP24" s="193"/>
      <c r="AQ24" s="193"/>
      <c r="AR24" s="193"/>
      <c r="AS24" s="189" t="s">
        <v>1512</v>
      </c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  <c r="BE24" s="1" t="s">
        <v>1511</v>
      </c>
    </row>
    <row r="25" spans="1:57" s="1" customFormat="1">
      <c r="A25" s="131">
        <f>IF(B25="","",COUNTA($B$8:B25))</f>
        <v>17</v>
      </c>
      <c r="B25" s="186" t="s">
        <v>197</v>
      </c>
      <c r="C25" s="187"/>
      <c r="D25" s="187"/>
      <c r="E25" s="187"/>
      <c r="F25" s="187"/>
      <c r="G25" s="187"/>
      <c r="H25" s="188"/>
      <c r="I25" s="204" t="s">
        <v>198</v>
      </c>
      <c r="J25" s="190"/>
      <c r="K25" s="190"/>
      <c r="L25" s="190"/>
      <c r="M25" s="190"/>
      <c r="N25" s="190"/>
      <c r="O25" s="190"/>
      <c r="P25" s="190"/>
      <c r="Q25" s="191"/>
      <c r="R25" s="186" t="s">
        <v>197</v>
      </c>
      <c r="S25" s="190"/>
      <c r="T25" s="190"/>
      <c r="U25" s="190"/>
      <c r="V25" s="190"/>
      <c r="W25" s="190"/>
      <c r="X25" s="188"/>
      <c r="Y25" s="378" t="s">
        <v>150</v>
      </c>
      <c r="Z25" s="379"/>
      <c r="AA25" s="380" t="s">
        <v>151</v>
      </c>
      <c r="AB25" s="381"/>
      <c r="AC25" s="382"/>
      <c r="AD25" s="205">
        <v>5</v>
      </c>
      <c r="AE25" s="193"/>
      <c r="AF25" s="193"/>
      <c r="AG25" s="194"/>
      <c r="AH25" s="194"/>
      <c r="AI25" s="194"/>
      <c r="AJ25" s="194"/>
      <c r="AK25" s="194"/>
      <c r="AL25" s="194"/>
      <c r="AM25" s="194"/>
      <c r="AN25" s="194"/>
      <c r="AO25" s="193"/>
      <c r="AP25" s="193"/>
      <c r="AQ25" s="193"/>
      <c r="AR25" s="193"/>
      <c r="AS25" s="189"/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</row>
    <row r="26" spans="1:57" s="1" customFormat="1">
      <c r="A26" s="131">
        <f>IF(B26="","",COUNTA($B$8:B26))</f>
        <v>18</v>
      </c>
      <c r="B26" s="186" t="s">
        <v>199</v>
      </c>
      <c r="C26" s="187"/>
      <c r="D26" s="187"/>
      <c r="E26" s="187"/>
      <c r="F26" s="187"/>
      <c r="G26" s="187"/>
      <c r="H26" s="188"/>
      <c r="I26" s="204" t="s">
        <v>200</v>
      </c>
      <c r="J26" s="190"/>
      <c r="K26" s="190"/>
      <c r="L26" s="190"/>
      <c r="M26" s="190"/>
      <c r="N26" s="190"/>
      <c r="O26" s="190"/>
      <c r="P26" s="190"/>
      <c r="Q26" s="191"/>
      <c r="R26" s="186" t="s">
        <v>199</v>
      </c>
      <c r="S26" s="190"/>
      <c r="T26" s="190"/>
      <c r="U26" s="190"/>
      <c r="V26" s="190"/>
      <c r="W26" s="190"/>
      <c r="X26" s="188"/>
      <c r="Y26" s="378" t="s">
        <v>150</v>
      </c>
      <c r="Z26" s="379"/>
      <c r="AA26" s="380" t="s">
        <v>151</v>
      </c>
      <c r="AB26" s="381"/>
      <c r="AC26" s="382"/>
      <c r="AD26" s="205">
        <v>20</v>
      </c>
      <c r="AE26" s="193"/>
      <c r="AF26" s="193"/>
      <c r="AG26" s="194"/>
      <c r="AH26" s="194"/>
      <c r="AI26" s="194"/>
      <c r="AJ26" s="194"/>
      <c r="AK26" s="194"/>
      <c r="AL26" s="194"/>
      <c r="AM26" s="194"/>
      <c r="AN26" s="194"/>
      <c r="AO26" s="193"/>
      <c r="AP26" s="193"/>
      <c r="AQ26" s="193"/>
      <c r="AR26" s="193"/>
      <c r="AS26" s="189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</row>
    <row r="27" spans="1:57" s="1" customFormat="1">
      <c r="A27" s="131">
        <f>IF(B27="","",COUNTA($B$8:B27))</f>
        <v>19</v>
      </c>
      <c r="B27" s="186" t="s">
        <v>201</v>
      </c>
      <c r="C27" s="187"/>
      <c r="D27" s="187"/>
      <c r="E27" s="187"/>
      <c r="F27" s="187"/>
      <c r="G27" s="187"/>
      <c r="H27" s="188"/>
      <c r="I27" s="204" t="s">
        <v>202</v>
      </c>
      <c r="J27" s="190"/>
      <c r="K27" s="190"/>
      <c r="L27" s="190"/>
      <c r="M27" s="190"/>
      <c r="N27" s="190"/>
      <c r="O27" s="190"/>
      <c r="P27" s="190"/>
      <c r="Q27" s="191"/>
      <c r="R27" s="186" t="s">
        <v>201</v>
      </c>
      <c r="S27" s="190"/>
      <c r="T27" s="190"/>
      <c r="U27" s="190"/>
      <c r="V27" s="190"/>
      <c r="W27" s="190"/>
      <c r="X27" s="188"/>
      <c r="Y27" s="378" t="s">
        <v>150</v>
      </c>
      <c r="Z27" s="379"/>
      <c r="AA27" s="380" t="s">
        <v>151</v>
      </c>
      <c r="AB27" s="381"/>
      <c r="AC27" s="382"/>
      <c r="AD27" s="205">
        <v>30</v>
      </c>
      <c r="AE27" s="193"/>
      <c r="AF27" s="193"/>
      <c r="AG27" s="194"/>
      <c r="AH27" s="194"/>
      <c r="AI27" s="194"/>
      <c r="AJ27" s="194"/>
      <c r="AK27" s="194"/>
      <c r="AL27" s="194"/>
      <c r="AM27" s="194"/>
      <c r="AN27" s="194"/>
      <c r="AO27" s="193"/>
      <c r="AP27" s="193"/>
      <c r="AQ27" s="193"/>
      <c r="AR27" s="193"/>
      <c r="AS27" s="189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>
      <c r="A28" s="131">
        <f>IF(B28="","",COUNTA($B$8:B28))</f>
        <v>20</v>
      </c>
      <c r="B28" s="195" t="s">
        <v>203</v>
      </c>
      <c r="C28" s="187"/>
      <c r="D28" s="187"/>
      <c r="E28" s="187"/>
      <c r="F28" s="187"/>
      <c r="G28" s="187"/>
      <c r="H28" s="188"/>
      <c r="I28" s="204" t="s">
        <v>204</v>
      </c>
      <c r="J28" s="190"/>
      <c r="K28" s="190"/>
      <c r="L28" s="190"/>
      <c r="M28" s="190"/>
      <c r="N28" s="190"/>
      <c r="O28" s="190"/>
      <c r="P28" s="190"/>
      <c r="Q28" s="191"/>
      <c r="R28" s="195" t="s">
        <v>203</v>
      </c>
      <c r="S28" s="190"/>
      <c r="T28" s="190"/>
      <c r="U28" s="190"/>
      <c r="V28" s="190"/>
      <c r="W28" s="190"/>
      <c r="X28" s="188"/>
      <c r="Y28" s="378" t="s">
        <v>155</v>
      </c>
      <c r="Z28" s="379"/>
      <c r="AA28" s="380" t="s">
        <v>156</v>
      </c>
      <c r="AB28" s="381"/>
      <c r="AC28" s="382"/>
      <c r="AD28" s="205">
        <v>5</v>
      </c>
      <c r="AE28" s="193">
        <v>2</v>
      </c>
      <c r="AF28" s="193"/>
      <c r="AG28" s="194"/>
      <c r="AH28" s="194"/>
      <c r="AI28" s="194"/>
      <c r="AJ28" s="194"/>
      <c r="AK28" s="194"/>
      <c r="AL28" s="194"/>
      <c r="AM28" s="194"/>
      <c r="AN28" s="194"/>
      <c r="AO28" s="193"/>
      <c r="AP28" s="193"/>
      <c r="AQ28" s="193"/>
      <c r="AR28" s="193"/>
      <c r="AS28" s="189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>
      <c r="A29" s="131">
        <f>IF(B29="","",COUNTA($B$8:B29))</f>
        <v>21</v>
      </c>
      <c r="B29" s="195" t="s">
        <v>205</v>
      </c>
      <c r="C29" s="202"/>
      <c r="D29" s="202"/>
      <c r="E29" s="202"/>
      <c r="F29" s="202"/>
      <c r="G29" s="202"/>
      <c r="H29" s="203"/>
      <c r="I29" s="204" t="s">
        <v>206</v>
      </c>
      <c r="J29" s="190"/>
      <c r="K29" s="190"/>
      <c r="L29" s="190"/>
      <c r="M29" s="190"/>
      <c r="N29" s="190"/>
      <c r="O29" s="190"/>
      <c r="P29" s="190"/>
      <c r="Q29" s="191"/>
      <c r="R29" s="195" t="s">
        <v>207</v>
      </c>
      <c r="S29" s="190"/>
      <c r="T29" s="190"/>
      <c r="U29" s="190"/>
      <c r="V29" s="190"/>
      <c r="W29" s="190"/>
      <c r="X29" s="188"/>
      <c r="Y29" s="378" t="s">
        <v>155</v>
      </c>
      <c r="Z29" s="379"/>
      <c r="AA29" s="380" t="s">
        <v>156</v>
      </c>
      <c r="AB29" s="381"/>
      <c r="AC29" s="382"/>
      <c r="AD29" s="205">
        <v>4</v>
      </c>
      <c r="AE29" s="193"/>
      <c r="AF29" s="193"/>
      <c r="AG29" s="194"/>
      <c r="AH29" s="194"/>
      <c r="AI29" s="194"/>
      <c r="AJ29" s="194"/>
      <c r="AK29" s="194"/>
      <c r="AL29" s="194"/>
      <c r="AM29" s="194"/>
      <c r="AN29" s="194"/>
      <c r="AO29" s="193"/>
      <c r="AP29" s="193"/>
      <c r="AQ29" s="193"/>
      <c r="AR29" s="193"/>
      <c r="AS29" s="189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>
      <c r="A30" s="131">
        <f>IF(B30="","",COUNTA($B$8:B30))</f>
        <v>22</v>
      </c>
      <c r="B30" s="195" t="s">
        <v>208</v>
      </c>
      <c r="C30" s="202"/>
      <c r="D30" s="202"/>
      <c r="E30" s="202"/>
      <c r="F30" s="202"/>
      <c r="G30" s="202"/>
      <c r="H30" s="203"/>
      <c r="I30" s="204" t="s">
        <v>209</v>
      </c>
      <c r="J30" s="190"/>
      <c r="K30" s="190"/>
      <c r="L30" s="190"/>
      <c r="M30" s="190"/>
      <c r="N30" s="190"/>
      <c r="O30" s="190"/>
      <c r="P30" s="190"/>
      <c r="Q30" s="191"/>
      <c r="R30" s="195" t="s">
        <v>210</v>
      </c>
      <c r="S30" s="190"/>
      <c r="T30" s="190"/>
      <c r="U30" s="190"/>
      <c r="V30" s="190"/>
      <c r="W30" s="190"/>
      <c r="X30" s="188"/>
      <c r="Y30" s="378" t="s">
        <v>155</v>
      </c>
      <c r="Z30" s="379"/>
      <c r="AA30" s="380" t="s">
        <v>156</v>
      </c>
      <c r="AB30" s="381"/>
      <c r="AC30" s="382"/>
      <c r="AD30" s="205">
        <v>5</v>
      </c>
      <c r="AE30" s="193"/>
      <c r="AF30" s="193"/>
      <c r="AG30" s="194"/>
      <c r="AH30" s="194"/>
      <c r="AI30" s="194"/>
      <c r="AJ30" s="194"/>
      <c r="AK30" s="194"/>
      <c r="AL30" s="194"/>
      <c r="AM30" s="194"/>
      <c r="AN30" s="194"/>
      <c r="AO30" s="193"/>
      <c r="AP30" s="193"/>
      <c r="AQ30" s="193"/>
      <c r="AR30" s="193"/>
      <c r="AS30" s="189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>
      <c r="A31" s="131">
        <f>IF(B31="","",COUNTA($B$8:B31))</f>
        <v>23</v>
      </c>
      <c r="B31" s="195" t="s">
        <v>211</v>
      </c>
      <c r="C31" s="187"/>
      <c r="D31" s="187"/>
      <c r="E31" s="187"/>
      <c r="F31" s="187"/>
      <c r="G31" s="187"/>
      <c r="H31" s="188"/>
      <c r="I31" s="204" t="s">
        <v>212</v>
      </c>
      <c r="J31" s="190"/>
      <c r="K31" s="190"/>
      <c r="L31" s="190"/>
      <c r="M31" s="190"/>
      <c r="N31" s="190"/>
      <c r="O31" s="190"/>
      <c r="P31" s="190"/>
      <c r="Q31" s="191"/>
      <c r="R31" s="195" t="s">
        <v>213</v>
      </c>
      <c r="S31" s="190"/>
      <c r="T31" s="190"/>
      <c r="U31" s="190"/>
      <c r="V31" s="190"/>
      <c r="W31" s="190"/>
      <c r="X31" s="188"/>
      <c r="Y31" s="378" t="s">
        <v>155</v>
      </c>
      <c r="Z31" s="379"/>
      <c r="AA31" s="380" t="s">
        <v>156</v>
      </c>
      <c r="AB31" s="381"/>
      <c r="AC31" s="382"/>
      <c r="AD31" s="205">
        <v>5</v>
      </c>
      <c r="AE31" s="193"/>
      <c r="AF31" s="193"/>
      <c r="AG31" s="194"/>
      <c r="AH31" s="194"/>
      <c r="AI31" s="194"/>
      <c r="AJ31" s="194"/>
      <c r="AK31" s="194"/>
      <c r="AL31" s="194"/>
      <c r="AM31" s="194"/>
      <c r="AN31" s="194"/>
      <c r="AO31" s="193"/>
      <c r="AP31" s="193"/>
      <c r="AQ31" s="193"/>
      <c r="AR31" s="193"/>
      <c r="AS31" s="189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>
      <c r="A32" s="131">
        <f>IF(B32="","",COUNTA($B$8:B32))</f>
        <v>24</v>
      </c>
      <c r="B32" s="195" t="s">
        <v>214</v>
      </c>
      <c r="C32" s="187"/>
      <c r="D32" s="187"/>
      <c r="E32" s="187"/>
      <c r="F32" s="187"/>
      <c r="G32" s="187"/>
      <c r="H32" s="188"/>
      <c r="I32" s="204" t="s">
        <v>215</v>
      </c>
      <c r="J32" s="190"/>
      <c r="K32" s="190"/>
      <c r="L32" s="190"/>
      <c r="M32" s="190"/>
      <c r="N32" s="190"/>
      <c r="O32" s="190"/>
      <c r="P32" s="190"/>
      <c r="Q32" s="191"/>
      <c r="R32" s="195" t="s">
        <v>216</v>
      </c>
      <c r="S32" s="190"/>
      <c r="T32" s="190"/>
      <c r="U32" s="190"/>
      <c r="V32" s="190"/>
      <c r="W32" s="190"/>
      <c r="X32" s="188"/>
      <c r="Y32" s="378" t="s">
        <v>155</v>
      </c>
      <c r="Z32" s="379"/>
      <c r="AA32" s="380" t="s">
        <v>156</v>
      </c>
      <c r="AB32" s="381"/>
      <c r="AC32" s="382"/>
      <c r="AD32" s="205">
        <v>5</v>
      </c>
      <c r="AE32" s="193"/>
      <c r="AF32" s="193"/>
      <c r="AG32" s="194"/>
      <c r="AH32" s="194"/>
      <c r="AI32" s="194"/>
      <c r="AJ32" s="194"/>
      <c r="AK32" s="194"/>
      <c r="AL32" s="194"/>
      <c r="AM32" s="194"/>
      <c r="AN32" s="194"/>
      <c r="AO32" s="193"/>
      <c r="AP32" s="193"/>
      <c r="AQ32" s="193"/>
      <c r="AR32" s="193"/>
      <c r="AS32" s="189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>
      <c r="A33" s="131">
        <f>IF(B33="","",COUNTA($B$8:B33))</f>
        <v>25</v>
      </c>
      <c r="B33" s="195" t="s">
        <v>217</v>
      </c>
      <c r="C33" s="187"/>
      <c r="D33" s="187"/>
      <c r="E33" s="187"/>
      <c r="F33" s="187"/>
      <c r="G33" s="187"/>
      <c r="H33" s="188"/>
      <c r="I33" s="204" t="s">
        <v>218</v>
      </c>
      <c r="J33" s="190"/>
      <c r="K33" s="190"/>
      <c r="L33" s="190"/>
      <c r="M33" s="190"/>
      <c r="N33" s="190"/>
      <c r="O33" s="190"/>
      <c r="P33" s="190"/>
      <c r="Q33" s="191"/>
      <c r="R33" s="195" t="s">
        <v>219</v>
      </c>
      <c r="S33" s="190"/>
      <c r="T33" s="190"/>
      <c r="U33" s="190"/>
      <c r="V33" s="190"/>
      <c r="W33" s="190"/>
      <c r="X33" s="188"/>
      <c r="Y33" s="378" t="s">
        <v>155</v>
      </c>
      <c r="Z33" s="379"/>
      <c r="AA33" s="380" t="s">
        <v>156</v>
      </c>
      <c r="AB33" s="381"/>
      <c r="AC33" s="382"/>
      <c r="AD33" s="211">
        <v>5</v>
      </c>
      <c r="AE33" s="193"/>
      <c r="AF33" s="193"/>
      <c r="AG33" s="194"/>
      <c r="AH33" s="194"/>
      <c r="AI33" s="194"/>
      <c r="AJ33" s="194"/>
      <c r="AK33" s="194"/>
      <c r="AL33" s="194"/>
      <c r="AM33" s="194"/>
      <c r="AN33" s="194"/>
      <c r="AO33" s="193"/>
      <c r="AP33" s="193"/>
      <c r="AQ33" s="193"/>
      <c r="AR33" s="193"/>
      <c r="AS33" s="189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>
      <c r="A34" s="131">
        <f>IF(B34="","",COUNTA($B$8:B34))</f>
        <v>26</v>
      </c>
      <c r="B34" s="186" t="s">
        <v>220</v>
      </c>
      <c r="C34" s="187"/>
      <c r="D34" s="187"/>
      <c r="E34" s="187"/>
      <c r="F34" s="187"/>
      <c r="G34" s="187"/>
      <c r="H34" s="188"/>
      <c r="I34" s="204" t="s">
        <v>221</v>
      </c>
      <c r="J34" s="190"/>
      <c r="K34" s="190"/>
      <c r="L34" s="190"/>
      <c r="M34" s="190"/>
      <c r="N34" s="190"/>
      <c r="O34" s="190"/>
      <c r="P34" s="190"/>
      <c r="Q34" s="191"/>
      <c r="R34" s="186" t="s">
        <v>220</v>
      </c>
      <c r="S34" s="190"/>
      <c r="T34" s="190"/>
      <c r="U34" s="190"/>
      <c r="V34" s="190"/>
      <c r="W34" s="190"/>
      <c r="X34" s="191"/>
      <c r="Y34" s="378" t="s">
        <v>155</v>
      </c>
      <c r="Z34" s="379"/>
      <c r="AA34" s="380" t="s">
        <v>156</v>
      </c>
      <c r="AB34" s="381"/>
      <c r="AC34" s="382"/>
      <c r="AD34" s="192">
        <v>5</v>
      </c>
      <c r="AE34" s="193"/>
      <c r="AF34" s="193"/>
      <c r="AG34" s="194"/>
      <c r="AH34" s="194"/>
      <c r="AI34" s="194"/>
      <c r="AJ34" s="194"/>
      <c r="AK34" s="194"/>
      <c r="AL34" s="194"/>
      <c r="AM34" s="194"/>
      <c r="AN34" s="194"/>
      <c r="AO34" s="193"/>
      <c r="AP34" s="193"/>
      <c r="AQ34" s="193"/>
      <c r="AR34" s="193"/>
      <c r="AS34" s="189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>
      <c r="A35" s="131">
        <f>IF(B35="","",COUNTA($B$8:B35))</f>
        <v>27</v>
      </c>
      <c r="B35" s="186" t="s">
        <v>222</v>
      </c>
      <c r="C35" s="187"/>
      <c r="D35" s="187"/>
      <c r="E35" s="187"/>
      <c r="F35" s="187"/>
      <c r="G35" s="187"/>
      <c r="H35" s="188"/>
      <c r="I35" s="204" t="s">
        <v>223</v>
      </c>
      <c r="J35" s="190"/>
      <c r="K35" s="190"/>
      <c r="L35" s="190"/>
      <c r="M35" s="190"/>
      <c r="N35" s="190"/>
      <c r="O35" s="190"/>
      <c r="P35" s="190"/>
      <c r="Q35" s="191"/>
      <c r="R35" s="186" t="s">
        <v>222</v>
      </c>
      <c r="S35" s="190"/>
      <c r="T35" s="190"/>
      <c r="U35" s="190"/>
      <c r="V35" s="190"/>
      <c r="W35" s="190"/>
      <c r="X35" s="188"/>
      <c r="Y35" s="378" t="s">
        <v>155</v>
      </c>
      <c r="Z35" s="379"/>
      <c r="AA35" s="380" t="s">
        <v>156</v>
      </c>
      <c r="AB35" s="381"/>
      <c r="AC35" s="382"/>
      <c r="AD35" s="205">
        <v>5</v>
      </c>
      <c r="AE35" s="193"/>
      <c r="AF35" s="193"/>
      <c r="AG35" s="194"/>
      <c r="AH35" s="194"/>
      <c r="AI35" s="194"/>
      <c r="AJ35" s="194"/>
      <c r="AK35" s="194"/>
      <c r="AL35" s="194"/>
      <c r="AM35" s="194"/>
      <c r="AN35" s="194"/>
      <c r="AO35" s="193"/>
      <c r="AP35" s="193"/>
      <c r="AQ35" s="193"/>
      <c r="AR35" s="193"/>
      <c r="AS35" s="189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>
      <c r="A36" s="131">
        <f>IF(B36="","",COUNTA($B$8:B36))</f>
        <v>28</v>
      </c>
      <c r="B36" s="186" t="s">
        <v>224</v>
      </c>
      <c r="C36" s="187"/>
      <c r="D36" s="187"/>
      <c r="E36" s="187"/>
      <c r="F36" s="187"/>
      <c r="G36" s="187"/>
      <c r="H36" s="188"/>
      <c r="I36" s="204" t="s">
        <v>225</v>
      </c>
      <c r="J36" s="190"/>
      <c r="K36" s="190"/>
      <c r="L36" s="190"/>
      <c r="M36" s="190"/>
      <c r="N36" s="190"/>
      <c r="O36" s="190"/>
      <c r="P36" s="190"/>
      <c r="Q36" s="191"/>
      <c r="R36" s="186" t="s">
        <v>224</v>
      </c>
      <c r="S36" s="190"/>
      <c r="T36" s="190"/>
      <c r="U36" s="190"/>
      <c r="V36" s="190"/>
      <c r="W36" s="190"/>
      <c r="X36" s="188"/>
      <c r="Y36" s="378" t="s">
        <v>150</v>
      </c>
      <c r="Z36" s="379"/>
      <c r="AA36" s="380" t="s">
        <v>151</v>
      </c>
      <c r="AB36" s="381"/>
      <c r="AC36" s="382"/>
      <c r="AD36" s="205">
        <v>10</v>
      </c>
      <c r="AE36" s="193"/>
      <c r="AF36" s="193"/>
      <c r="AG36" s="194"/>
      <c r="AH36" s="194"/>
      <c r="AI36" s="194"/>
      <c r="AJ36" s="194"/>
      <c r="AK36" s="194"/>
      <c r="AL36" s="194"/>
      <c r="AM36" s="194"/>
      <c r="AN36" s="194"/>
      <c r="AO36" s="193"/>
      <c r="AP36" s="193"/>
      <c r="AQ36" s="193"/>
      <c r="AR36" s="193"/>
      <c r="AS36" s="189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>
      <c r="A37" s="131">
        <f>IF(B37="","",COUNTA($B$8:B37))</f>
        <v>29</v>
      </c>
      <c r="B37" s="186" t="s">
        <v>226</v>
      </c>
      <c r="C37" s="187"/>
      <c r="D37" s="187"/>
      <c r="E37" s="187"/>
      <c r="F37" s="187"/>
      <c r="G37" s="187"/>
      <c r="H37" s="188"/>
      <c r="I37" s="204" t="s">
        <v>227</v>
      </c>
      <c r="J37" s="190"/>
      <c r="K37" s="190"/>
      <c r="L37" s="190"/>
      <c r="M37" s="190"/>
      <c r="N37" s="190"/>
      <c r="O37" s="190"/>
      <c r="P37" s="190"/>
      <c r="Q37" s="191"/>
      <c r="R37" s="186" t="s">
        <v>226</v>
      </c>
      <c r="S37" s="190"/>
      <c r="T37" s="190"/>
      <c r="U37" s="190"/>
      <c r="V37" s="190"/>
      <c r="W37" s="190"/>
      <c r="X37" s="188"/>
      <c r="Y37" s="378" t="s">
        <v>150</v>
      </c>
      <c r="Z37" s="379"/>
      <c r="AA37" s="380" t="s">
        <v>151</v>
      </c>
      <c r="AB37" s="381"/>
      <c r="AC37" s="382"/>
      <c r="AD37" s="205">
        <v>3</v>
      </c>
      <c r="AE37" s="193"/>
      <c r="AF37" s="193"/>
      <c r="AG37" s="194"/>
      <c r="AH37" s="194"/>
      <c r="AI37" s="194"/>
      <c r="AJ37" s="194"/>
      <c r="AK37" s="194"/>
      <c r="AL37" s="194"/>
      <c r="AM37" s="194"/>
      <c r="AN37" s="194"/>
      <c r="AO37" s="193"/>
      <c r="AP37" s="193"/>
      <c r="AQ37" s="193"/>
      <c r="AR37" s="193"/>
      <c r="AS37" s="189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>
      <c r="A38" s="131">
        <f>IF(B38="","",COUNTA($B$8:B38))</f>
        <v>30</v>
      </c>
      <c r="B38" s="186" t="s">
        <v>228</v>
      </c>
      <c r="C38" s="187"/>
      <c r="D38" s="187"/>
      <c r="E38" s="187"/>
      <c r="F38" s="187"/>
      <c r="G38" s="187"/>
      <c r="H38" s="188"/>
      <c r="I38" s="204" t="s">
        <v>229</v>
      </c>
      <c r="J38" s="190"/>
      <c r="K38" s="190"/>
      <c r="L38" s="190"/>
      <c r="M38" s="190"/>
      <c r="N38" s="190"/>
      <c r="O38" s="190"/>
      <c r="P38" s="190"/>
      <c r="Q38" s="191"/>
      <c r="R38" s="186" t="s">
        <v>228</v>
      </c>
      <c r="S38" s="190"/>
      <c r="T38" s="190"/>
      <c r="U38" s="190"/>
      <c r="V38" s="190"/>
      <c r="W38" s="190"/>
      <c r="X38" s="188"/>
      <c r="Y38" s="378" t="s">
        <v>150</v>
      </c>
      <c r="Z38" s="379"/>
      <c r="AA38" s="380" t="s">
        <v>151</v>
      </c>
      <c r="AB38" s="381"/>
      <c r="AC38" s="382"/>
      <c r="AD38" s="205">
        <v>1000</v>
      </c>
      <c r="AE38" s="193"/>
      <c r="AF38" s="193"/>
      <c r="AG38" s="194"/>
      <c r="AH38" s="194"/>
      <c r="AI38" s="194"/>
      <c r="AJ38" s="194"/>
      <c r="AK38" s="194"/>
      <c r="AL38" s="194"/>
      <c r="AM38" s="194"/>
      <c r="AN38" s="194"/>
      <c r="AO38" s="193"/>
      <c r="AP38" s="193"/>
      <c r="AQ38" s="193"/>
      <c r="AR38" s="193"/>
      <c r="AS38" s="189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>
      <c r="A39" s="131">
        <f>IF(B39="","",COUNTA($B$8:B39))</f>
        <v>31</v>
      </c>
      <c r="B39" s="186" t="s">
        <v>230</v>
      </c>
      <c r="C39" s="187"/>
      <c r="D39" s="187"/>
      <c r="E39" s="187"/>
      <c r="F39" s="187"/>
      <c r="G39" s="187"/>
      <c r="H39" s="188"/>
      <c r="I39" s="204" t="s">
        <v>231</v>
      </c>
      <c r="J39" s="190"/>
      <c r="K39" s="190"/>
      <c r="L39" s="190"/>
      <c r="M39" s="190"/>
      <c r="N39" s="190"/>
      <c r="O39" s="190"/>
      <c r="P39" s="190"/>
      <c r="Q39" s="191"/>
      <c r="R39" s="186" t="s">
        <v>230</v>
      </c>
      <c r="S39" s="190"/>
      <c r="T39" s="190"/>
      <c r="U39" s="190"/>
      <c r="V39" s="190"/>
      <c r="W39" s="190"/>
      <c r="X39" s="188"/>
      <c r="Y39" s="378" t="s">
        <v>169</v>
      </c>
      <c r="Z39" s="379"/>
      <c r="AA39" s="380" t="s">
        <v>170</v>
      </c>
      <c r="AB39" s="381"/>
      <c r="AC39" s="382"/>
      <c r="AD39" s="205"/>
      <c r="AE39" s="193"/>
      <c r="AF39" s="193"/>
      <c r="AG39" s="194"/>
      <c r="AH39" s="194"/>
      <c r="AI39" s="194"/>
      <c r="AJ39" s="194"/>
      <c r="AK39" s="194"/>
      <c r="AL39" s="194"/>
      <c r="AM39" s="194"/>
      <c r="AN39" s="194"/>
      <c r="AO39" s="193"/>
      <c r="AP39" s="193"/>
      <c r="AQ39" s="193"/>
      <c r="AR39" s="193"/>
      <c r="AS39" s="189" t="s">
        <v>232</v>
      </c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s="1" customFormat="1">
      <c r="A40" s="131">
        <f>IF(B40="","",COUNTA($B$8:B40))</f>
        <v>32</v>
      </c>
      <c r="B40" s="186" t="s">
        <v>233</v>
      </c>
      <c r="C40" s="187"/>
      <c r="D40" s="187"/>
      <c r="E40" s="187"/>
      <c r="F40" s="187"/>
      <c r="G40" s="187"/>
      <c r="H40" s="188"/>
      <c r="I40" s="204" t="s">
        <v>234</v>
      </c>
      <c r="J40" s="190"/>
      <c r="K40" s="190"/>
      <c r="L40" s="190"/>
      <c r="M40" s="190"/>
      <c r="N40" s="190"/>
      <c r="O40" s="190"/>
      <c r="P40" s="190"/>
      <c r="Q40" s="191"/>
      <c r="R40" s="186" t="s">
        <v>233</v>
      </c>
      <c r="S40" s="190"/>
      <c r="T40" s="190"/>
      <c r="U40" s="190"/>
      <c r="V40" s="190"/>
      <c r="W40" s="190"/>
      <c r="X40" s="188"/>
      <c r="Y40" s="378" t="s">
        <v>155</v>
      </c>
      <c r="Z40" s="379"/>
      <c r="AA40" s="380" t="s">
        <v>156</v>
      </c>
      <c r="AB40" s="381"/>
      <c r="AC40" s="382"/>
      <c r="AD40" s="205">
        <v>1</v>
      </c>
      <c r="AE40" s="193"/>
      <c r="AF40" s="193"/>
      <c r="AG40" s="194"/>
      <c r="AH40" s="194">
        <v>0</v>
      </c>
      <c r="AI40" s="194"/>
      <c r="AJ40" s="194"/>
      <c r="AK40" s="194"/>
      <c r="AL40" s="194"/>
      <c r="AM40" s="194"/>
      <c r="AN40" s="194"/>
      <c r="AO40" s="193"/>
      <c r="AP40" s="193"/>
      <c r="AQ40" s="193"/>
      <c r="AR40" s="193"/>
      <c r="AS40" s="189"/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6" s="1" customFormat="1">
      <c r="A41" s="131">
        <f>IF(B41="","",COUNTA($B$8:B41))</f>
        <v>33</v>
      </c>
      <c r="B41" s="186" t="s">
        <v>236</v>
      </c>
      <c r="C41" s="187"/>
      <c r="D41" s="187"/>
      <c r="E41" s="187"/>
      <c r="F41" s="187"/>
      <c r="G41" s="187"/>
      <c r="H41" s="188"/>
      <c r="I41" s="204" t="s">
        <v>237</v>
      </c>
      <c r="J41" s="190"/>
      <c r="K41" s="190"/>
      <c r="L41" s="190"/>
      <c r="M41" s="190"/>
      <c r="N41" s="190"/>
      <c r="O41" s="190"/>
      <c r="P41" s="190"/>
      <c r="Q41" s="191"/>
      <c r="R41" s="186" t="s">
        <v>236</v>
      </c>
      <c r="S41" s="190"/>
      <c r="T41" s="190"/>
      <c r="U41" s="190"/>
      <c r="V41" s="190"/>
      <c r="W41" s="190"/>
      <c r="X41" s="188"/>
      <c r="Y41" s="378" t="s">
        <v>155</v>
      </c>
      <c r="Z41" s="379"/>
      <c r="AA41" s="380" t="s">
        <v>156</v>
      </c>
      <c r="AB41" s="381"/>
      <c r="AC41" s="382"/>
      <c r="AD41" s="205">
        <v>1</v>
      </c>
      <c r="AE41" s="193"/>
      <c r="AF41" s="193"/>
      <c r="AG41" s="194"/>
      <c r="AH41" s="194">
        <v>0</v>
      </c>
      <c r="AI41" s="194"/>
      <c r="AJ41" s="194"/>
      <c r="AK41" s="194"/>
      <c r="AL41" s="194"/>
      <c r="AM41" s="194"/>
      <c r="AN41" s="194"/>
      <c r="AO41" s="193"/>
      <c r="AP41" s="193"/>
      <c r="AQ41" s="193"/>
      <c r="AR41" s="193"/>
      <c r="AS41" s="189" t="s">
        <v>238</v>
      </c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6" s="1" customFormat="1">
      <c r="A42" s="131">
        <f>IF(B42="","",COUNTA($B$8:B42))</f>
        <v>34</v>
      </c>
      <c r="B42" s="186" t="s">
        <v>239</v>
      </c>
      <c r="C42" s="187"/>
      <c r="D42" s="187"/>
      <c r="E42" s="187"/>
      <c r="F42" s="187"/>
      <c r="G42" s="187"/>
      <c r="H42" s="188"/>
      <c r="I42" s="204" t="s">
        <v>240</v>
      </c>
      <c r="J42" s="190"/>
      <c r="K42" s="190"/>
      <c r="L42" s="190"/>
      <c r="M42" s="190"/>
      <c r="N42" s="190"/>
      <c r="O42" s="190"/>
      <c r="P42" s="190"/>
      <c r="Q42" s="191"/>
      <c r="R42" s="186" t="s">
        <v>239</v>
      </c>
      <c r="S42" s="190"/>
      <c r="T42" s="190"/>
      <c r="U42" s="190"/>
      <c r="V42" s="190"/>
      <c r="W42" s="190"/>
      <c r="X42" s="188"/>
      <c r="Y42" s="378" t="s">
        <v>169</v>
      </c>
      <c r="Z42" s="379"/>
      <c r="AA42" s="380" t="s">
        <v>170</v>
      </c>
      <c r="AB42" s="381"/>
      <c r="AC42" s="382"/>
      <c r="AD42" s="205"/>
      <c r="AE42" s="193"/>
      <c r="AF42" s="193"/>
      <c r="AG42" s="194"/>
      <c r="AH42" s="194"/>
      <c r="AI42" s="194"/>
      <c r="AJ42" s="194"/>
      <c r="AK42" s="194"/>
      <c r="AL42" s="194"/>
      <c r="AM42" s="194"/>
      <c r="AN42" s="194"/>
      <c r="AO42" s="193"/>
      <c r="AP42" s="193"/>
      <c r="AQ42" s="193"/>
      <c r="AR42" s="193"/>
      <c r="AS42" s="189"/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6" s="1" customFormat="1">
      <c r="A43" s="160">
        <f>IF(B43="","",COUNTA($B$8:B43))</f>
        <v>35</v>
      </c>
      <c r="B43" s="212" t="s">
        <v>241</v>
      </c>
      <c r="C43" s="187"/>
      <c r="D43" s="187"/>
      <c r="E43" s="187"/>
      <c r="F43" s="187"/>
      <c r="G43" s="187"/>
      <c r="H43" s="187"/>
      <c r="I43" s="204" t="s">
        <v>242</v>
      </c>
      <c r="J43" s="190"/>
      <c r="K43" s="190"/>
      <c r="L43" s="190"/>
      <c r="M43" s="190"/>
      <c r="N43" s="190"/>
      <c r="O43" s="190"/>
      <c r="P43" s="190"/>
      <c r="Q43" s="190"/>
      <c r="R43" s="212" t="s">
        <v>241</v>
      </c>
      <c r="S43" s="187"/>
      <c r="T43" s="213"/>
      <c r="U43" s="213"/>
      <c r="V43" s="213"/>
      <c r="W43" s="213"/>
      <c r="X43" s="213"/>
      <c r="Y43" s="186" t="s">
        <v>150</v>
      </c>
      <c r="Z43" s="200"/>
      <c r="AA43" s="380" t="s">
        <v>243</v>
      </c>
      <c r="AB43" s="381"/>
      <c r="AC43" s="382"/>
      <c r="AD43" s="214"/>
      <c r="AE43" s="194" t="s">
        <v>244</v>
      </c>
      <c r="AF43" s="209"/>
      <c r="AG43" s="209"/>
      <c r="AH43" s="209"/>
      <c r="AI43" s="209"/>
      <c r="AJ43" s="209"/>
      <c r="AK43" s="209"/>
      <c r="AL43" s="209"/>
      <c r="AM43" s="209"/>
      <c r="AN43" s="209"/>
      <c r="AO43" s="208"/>
      <c r="AP43" s="208"/>
      <c r="AQ43" s="208"/>
      <c r="AR43" s="208"/>
      <c r="AS43" s="210" t="s">
        <v>245</v>
      </c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6" s="1" customFormat="1">
      <c r="A44" s="160">
        <f>IF(B44="","",COUNTA($B$8:B44))</f>
        <v>36</v>
      </c>
      <c r="B44" s="212" t="s">
        <v>246</v>
      </c>
      <c r="C44" s="187"/>
      <c r="D44" s="187"/>
      <c r="E44" s="187"/>
      <c r="F44" s="187"/>
      <c r="G44" s="187"/>
      <c r="H44" s="187"/>
      <c r="I44" s="204" t="s">
        <v>247</v>
      </c>
      <c r="J44" s="190"/>
      <c r="K44" s="190"/>
      <c r="L44" s="190"/>
      <c r="M44" s="190"/>
      <c r="N44" s="190"/>
      <c r="O44" s="190"/>
      <c r="P44" s="190"/>
      <c r="Q44" s="190"/>
      <c r="R44" s="212" t="s">
        <v>246</v>
      </c>
      <c r="S44" s="187"/>
      <c r="T44" s="213"/>
      <c r="U44" s="213"/>
      <c r="V44" s="213"/>
      <c r="W44" s="213"/>
      <c r="X44" s="213"/>
      <c r="Y44" s="186" t="s">
        <v>150</v>
      </c>
      <c r="Z44" s="200"/>
      <c r="AA44" s="380" t="s">
        <v>243</v>
      </c>
      <c r="AB44" s="381"/>
      <c r="AC44" s="382"/>
      <c r="AD44" s="214"/>
      <c r="AE44" s="194" t="s">
        <v>244</v>
      </c>
      <c r="AF44" s="209"/>
      <c r="AG44" s="209"/>
      <c r="AH44" s="209"/>
      <c r="AI44" s="209"/>
      <c r="AJ44" s="209"/>
      <c r="AK44" s="209"/>
      <c r="AL44" s="209"/>
      <c r="AM44" s="209"/>
      <c r="AN44" s="209"/>
      <c r="AO44" s="208"/>
      <c r="AP44" s="208"/>
      <c r="AQ44" s="208"/>
      <c r="AR44" s="208"/>
      <c r="AS44" s="210" t="s">
        <v>248</v>
      </c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6" s="1" customFormat="1">
      <c r="A45" s="131">
        <f>IF(B45="","",COUNTA($B$8:B45))</f>
        <v>37</v>
      </c>
      <c r="B45" s="186" t="s">
        <v>249</v>
      </c>
      <c r="C45" s="187"/>
      <c r="D45" s="187"/>
      <c r="E45" s="187"/>
      <c r="F45" s="187"/>
      <c r="G45" s="187"/>
      <c r="H45" s="188"/>
      <c r="I45" s="204" t="s">
        <v>250</v>
      </c>
      <c r="J45" s="190"/>
      <c r="K45" s="190"/>
      <c r="L45" s="190"/>
      <c r="M45" s="190"/>
      <c r="N45" s="190"/>
      <c r="O45" s="190"/>
      <c r="P45" s="190"/>
      <c r="Q45" s="191"/>
      <c r="R45" s="186" t="s">
        <v>249</v>
      </c>
      <c r="S45" s="190"/>
      <c r="T45" s="190"/>
      <c r="U45" s="190"/>
      <c r="V45" s="190"/>
      <c r="W45" s="190"/>
      <c r="X45" s="188"/>
      <c r="Y45" s="378" t="s">
        <v>150</v>
      </c>
      <c r="Z45" s="379"/>
      <c r="AA45" s="380" t="s">
        <v>151</v>
      </c>
      <c r="AB45" s="381"/>
      <c r="AC45" s="382"/>
      <c r="AD45" s="205">
        <v>4</v>
      </c>
      <c r="AE45" s="193"/>
      <c r="AF45" s="193"/>
      <c r="AG45" s="194"/>
      <c r="AH45" s="194"/>
      <c r="AI45" s="194"/>
      <c r="AJ45" s="194"/>
      <c r="AK45" s="194"/>
      <c r="AL45" s="194"/>
      <c r="AM45" s="194"/>
      <c r="AN45" s="194"/>
      <c r="AO45" s="193"/>
      <c r="AP45" s="193"/>
      <c r="AQ45" s="193"/>
      <c r="AR45" s="193"/>
      <c r="AS45" s="189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  <row r="46" spans="1:56" s="1" customFormat="1">
      <c r="A46" s="131">
        <f>IF(B46="","",COUNTA($B$8:B46))</f>
        <v>38</v>
      </c>
      <c r="B46" s="186" t="s">
        <v>251</v>
      </c>
      <c r="C46" s="187"/>
      <c r="D46" s="187"/>
      <c r="E46" s="187"/>
      <c r="F46" s="187"/>
      <c r="G46" s="187"/>
      <c r="H46" s="188"/>
      <c r="I46" s="204" t="s">
        <v>252</v>
      </c>
      <c r="J46" s="190"/>
      <c r="K46" s="190"/>
      <c r="L46" s="190"/>
      <c r="M46" s="190"/>
      <c r="N46" s="190"/>
      <c r="O46" s="190"/>
      <c r="P46" s="190"/>
      <c r="Q46" s="191"/>
      <c r="R46" s="186" t="s">
        <v>251</v>
      </c>
      <c r="S46" s="190"/>
      <c r="T46" s="190"/>
      <c r="U46" s="190"/>
      <c r="V46" s="190"/>
      <c r="W46" s="190"/>
      <c r="X46" s="188"/>
      <c r="Y46" s="378" t="s">
        <v>150</v>
      </c>
      <c r="Z46" s="379"/>
      <c r="AA46" s="380" t="s">
        <v>151</v>
      </c>
      <c r="AB46" s="381"/>
      <c r="AC46" s="382"/>
      <c r="AD46" s="205">
        <v>4</v>
      </c>
      <c r="AE46" s="193"/>
      <c r="AF46" s="193"/>
      <c r="AG46" s="194"/>
      <c r="AH46" s="194"/>
      <c r="AI46" s="194"/>
      <c r="AJ46" s="194"/>
      <c r="AK46" s="194"/>
      <c r="AL46" s="194"/>
      <c r="AM46" s="194"/>
      <c r="AN46" s="194"/>
      <c r="AO46" s="193"/>
      <c r="AP46" s="193"/>
      <c r="AQ46" s="193"/>
      <c r="AR46" s="193"/>
      <c r="AS46" s="189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5"/>
    </row>
    <row r="47" spans="1:56" s="1" customFormat="1">
      <c r="A47" s="131">
        <f>IF(B47="","",COUNTA($B$8:B47))</f>
        <v>39</v>
      </c>
      <c r="B47" s="186" t="s">
        <v>253</v>
      </c>
      <c r="C47" s="187"/>
      <c r="D47" s="187"/>
      <c r="E47" s="187"/>
      <c r="F47" s="187"/>
      <c r="G47" s="187"/>
      <c r="H47" s="188"/>
      <c r="I47" s="189" t="s">
        <v>254</v>
      </c>
      <c r="J47" s="190"/>
      <c r="K47" s="190"/>
      <c r="L47" s="190"/>
      <c r="M47" s="190"/>
      <c r="N47" s="190"/>
      <c r="O47" s="190"/>
      <c r="P47" s="190"/>
      <c r="Q47" s="191"/>
      <c r="R47" s="186" t="s">
        <v>253</v>
      </c>
      <c r="S47" s="190"/>
      <c r="T47" s="190"/>
      <c r="U47" s="190"/>
      <c r="V47" s="190"/>
      <c r="W47" s="190"/>
      <c r="X47" s="188"/>
      <c r="Y47" s="378" t="s">
        <v>150</v>
      </c>
      <c r="Z47" s="379"/>
      <c r="AA47" s="380" t="s">
        <v>151</v>
      </c>
      <c r="AB47" s="381"/>
      <c r="AC47" s="382"/>
      <c r="AD47" s="205">
        <v>10</v>
      </c>
      <c r="AE47" s="193"/>
      <c r="AF47" s="193"/>
      <c r="AG47" s="194"/>
      <c r="AH47" s="194"/>
      <c r="AI47" s="194"/>
      <c r="AJ47" s="194"/>
      <c r="AK47" s="194"/>
      <c r="AL47" s="194"/>
      <c r="AM47" s="194"/>
      <c r="AN47" s="194"/>
      <c r="AO47" s="193"/>
      <c r="AP47" s="193"/>
      <c r="AQ47" s="193"/>
      <c r="AR47" s="193"/>
      <c r="AS47" s="189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5"/>
    </row>
    <row r="48" spans="1:56" s="1" customFormat="1">
      <c r="A48" s="131">
        <f>IF(B48="","",COUNTA($B$8:B48))</f>
        <v>40</v>
      </c>
      <c r="B48" s="186" t="s">
        <v>255</v>
      </c>
      <c r="C48" s="187"/>
      <c r="D48" s="187"/>
      <c r="E48" s="187"/>
      <c r="F48" s="187"/>
      <c r="G48" s="187"/>
      <c r="H48" s="188"/>
      <c r="I48" s="189" t="s">
        <v>256</v>
      </c>
      <c r="J48" s="190"/>
      <c r="K48" s="190"/>
      <c r="L48" s="190"/>
      <c r="M48" s="190"/>
      <c r="N48" s="190"/>
      <c r="O48" s="190"/>
      <c r="P48" s="190"/>
      <c r="Q48" s="191"/>
      <c r="R48" s="186" t="s">
        <v>255</v>
      </c>
      <c r="S48" s="190"/>
      <c r="T48" s="190"/>
      <c r="U48" s="190"/>
      <c r="V48" s="190"/>
      <c r="W48" s="190"/>
      <c r="X48" s="188"/>
      <c r="Y48" s="378" t="s">
        <v>150</v>
      </c>
      <c r="Z48" s="379"/>
      <c r="AA48" s="380" t="s">
        <v>151</v>
      </c>
      <c r="AB48" s="381"/>
      <c r="AC48" s="382"/>
      <c r="AD48" s="205">
        <v>10</v>
      </c>
      <c r="AE48" s="193"/>
      <c r="AF48" s="193"/>
      <c r="AG48" s="194"/>
      <c r="AH48" s="194"/>
      <c r="AI48" s="194"/>
      <c r="AJ48" s="194"/>
      <c r="AK48" s="194"/>
      <c r="AL48" s="194"/>
      <c r="AM48" s="194"/>
      <c r="AN48" s="194"/>
      <c r="AO48" s="193"/>
      <c r="AP48" s="193"/>
      <c r="AQ48" s="193"/>
      <c r="AR48" s="193"/>
      <c r="AS48" s="189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5"/>
    </row>
    <row r="49" spans="1:56" s="1" customFormat="1">
      <c r="A49" s="131">
        <f>IF(B49="","",COUNTA($B$8:B49))</f>
        <v>41</v>
      </c>
      <c r="B49" s="186" t="s">
        <v>257</v>
      </c>
      <c r="C49" s="187"/>
      <c r="D49" s="187"/>
      <c r="E49" s="187"/>
      <c r="F49" s="187"/>
      <c r="G49" s="187"/>
      <c r="H49" s="188"/>
      <c r="I49" s="189" t="s">
        <v>258</v>
      </c>
      <c r="J49" s="190"/>
      <c r="K49" s="190"/>
      <c r="L49" s="190"/>
      <c r="M49" s="190"/>
      <c r="N49" s="190"/>
      <c r="O49" s="190"/>
      <c r="P49" s="190"/>
      <c r="Q49" s="191"/>
      <c r="R49" s="186" t="s">
        <v>257</v>
      </c>
      <c r="S49" s="190"/>
      <c r="T49" s="190"/>
      <c r="U49" s="190"/>
      <c r="V49" s="190"/>
      <c r="W49" s="190"/>
      <c r="X49" s="188"/>
      <c r="Y49" s="378" t="s">
        <v>169</v>
      </c>
      <c r="Z49" s="379"/>
      <c r="AA49" s="380" t="s">
        <v>243</v>
      </c>
      <c r="AB49" s="381"/>
      <c r="AC49" s="382"/>
      <c r="AD49" s="192"/>
      <c r="AE49" s="208"/>
      <c r="AF49" s="208"/>
      <c r="AG49" s="209"/>
      <c r="AH49" s="209"/>
      <c r="AI49" s="209"/>
      <c r="AJ49" s="194"/>
      <c r="AK49" s="194"/>
      <c r="AL49" s="194"/>
      <c r="AM49" s="194"/>
      <c r="AN49" s="194"/>
      <c r="AO49" s="193"/>
      <c r="AP49" s="193"/>
      <c r="AQ49" s="193"/>
      <c r="AR49" s="193"/>
      <c r="AS49" s="189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5"/>
    </row>
    <row r="50" spans="1:56" s="1" customFormat="1">
      <c r="A50" s="131">
        <f>IF(B50="","",COUNTA($B$8:B50))</f>
        <v>42</v>
      </c>
      <c r="B50" s="186" t="s">
        <v>259</v>
      </c>
      <c r="C50" s="187"/>
      <c r="D50" s="187"/>
      <c r="E50" s="187"/>
      <c r="F50" s="187"/>
      <c r="G50" s="187"/>
      <c r="H50" s="188"/>
      <c r="I50" s="189" t="s">
        <v>260</v>
      </c>
      <c r="J50" s="190"/>
      <c r="K50" s="190"/>
      <c r="L50" s="190"/>
      <c r="M50" s="190"/>
      <c r="N50" s="190"/>
      <c r="O50" s="190"/>
      <c r="P50" s="190"/>
      <c r="Q50" s="191"/>
      <c r="R50" s="186" t="s">
        <v>259</v>
      </c>
      <c r="S50" s="190"/>
      <c r="T50" s="190"/>
      <c r="U50" s="190"/>
      <c r="V50" s="190"/>
      <c r="W50" s="190"/>
      <c r="X50" s="188"/>
      <c r="Y50" s="378" t="s">
        <v>150</v>
      </c>
      <c r="Z50" s="379"/>
      <c r="AA50" s="380" t="s">
        <v>151</v>
      </c>
      <c r="AB50" s="381"/>
      <c r="AC50" s="382"/>
      <c r="AD50" s="205">
        <v>10</v>
      </c>
      <c r="AE50" s="208"/>
      <c r="AF50" s="208"/>
      <c r="AG50" s="209"/>
      <c r="AH50" s="209"/>
      <c r="AI50" s="209"/>
      <c r="AJ50" s="194"/>
      <c r="AK50" s="194"/>
      <c r="AL50" s="194"/>
      <c r="AM50" s="194"/>
      <c r="AN50" s="194"/>
      <c r="AO50" s="193"/>
      <c r="AP50" s="193"/>
      <c r="AQ50" s="193"/>
      <c r="AR50" s="193"/>
      <c r="AS50" s="189"/>
      <c r="AT50" s="124"/>
      <c r="AU50" s="124"/>
      <c r="AV50" s="124"/>
      <c r="AW50" s="124"/>
      <c r="AX50" s="124"/>
      <c r="AY50" s="124"/>
      <c r="AZ50" s="124"/>
      <c r="BA50" s="124"/>
      <c r="BB50" s="124"/>
      <c r="BC50" s="124"/>
      <c r="BD50" s="125"/>
    </row>
    <row r="51" spans="1:56" s="1" customFormat="1">
      <c r="A51" s="131">
        <f>IF(B51="","",COUNTA($B$8:B51))</f>
        <v>43</v>
      </c>
      <c r="B51" s="186" t="s">
        <v>261</v>
      </c>
      <c r="C51" s="187"/>
      <c r="D51" s="187"/>
      <c r="E51" s="187"/>
      <c r="F51" s="187"/>
      <c r="G51" s="187"/>
      <c r="H51" s="188"/>
      <c r="I51" s="189" t="s">
        <v>262</v>
      </c>
      <c r="J51" s="190"/>
      <c r="K51" s="190"/>
      <c r="L51" s="190"/>
      <c r="M51" s="190"/>
      <c r="N51" s="190"/>
      <c r="O51" s="190"/>
      <c r="P51" s="190"/>
      <c r="Q51" s="191"/>
      <c r="R51" s="186" t="s">
        <v>261</v>
      </c>
      <c r="S51" s="190"/>
      <c r="T51" s="190"/>
      <c r="U51" s="190"/>
      <c r="V51" s="190"/>
      <c r="W51" s="190"/>
      <c r="X51" s="188"/>
      <c r="Y51" s="378" t="s">
        <v>150</v>
      </c>
      <c r="Z51" s="379"/>
      <c r="AA51" s="380" t="s">
        <v>151</v>
      </c>
      <c r="AB51" s="381"/>
      <c r="AC51" s="382"/>
      <c r="AD51" s="192">
        <v>10</v>
      </c>
      <c r="AE51" s="193"/>
      <c r="AF51" s="193"/>
      <c r="AG51" s="194"/>
      <c r="AH51" s="194"/>
      <c r="AI51" s="194"/>
      <c r="AJ51" s="194"/>
      <c r="AK51" s="194"/>
      <c r="AL51" s="209"/>
      <c r="AM51" s="209"/>
      <c r="AN51" s="209"/>
      <c r="AO51" s="208"/>
      <c r="AP51" s="208"/>
      <c r="AQ51" s="208"/>
      <c r="AR51" s="208"/>
      <c r="AS51" s="210"/>
      <c r="AT51" s="161"/>
      <c r="AU51" s="124"/>
      <c r="AV51" s="124"/>
      <c r="AW51" s="124"/>
      <c r="AX51" s="124"/>
      <c r="AY51" s="124"/>
      <c r="AZ51" s="124"/>
      <c r="BA51" s="124"/>
      <c r="BB51" s="124"/>
      <c r="BC51" s="124"/>
      <c r="BD51" s="125"/>
    </row>
    <row r="52" spans="1:56" s="1" customFormat="1">
      <c r="A52" s="131">
        <f>IF(B52="","",COUNTA($B$8:B52))</f>
        <v>44</v>
      </c>
      <c r="B52" s="186" t="s">
        <v>263</v>
      </c>
      <c r="C52" s="187"/>
      <c r="D52" s="187"/>
      <c r="E52" s="187"/>
      <c r="F52" s="187"/>
      <c r="G52" s="187"/>
      <c r="H52" s="188"/>
      <c r="I52" s="189" t="s">
        <v>264</v>
      </c>
      <c r="J52" s="190"/>
      <c r="K52" s="190"/>
      <c r="L52" s="190"/>
      <c r="M52" s="190"/>
      <c r="N52" s="190"/>
      <c r="O52" s="190"/>
      <c r="P52" s="190"/>
      <c r="Q52" s="191"/>
      <c r="R52" s="195" t="s">
        <v>263</v>
      </c>
      <c r="S52" s="190"/>
      <c r="T52" s="190"/>
      <c r="U52" s="190"/>
      <c r="V52" s="190"/>
      <c r="W52" s="190"/>
      <c r="X52" s="188"/>
      <c r="Y52" s="378" t="s">
        <v>169</v>
      </c>
      <c r="Z52" s="379"/>
      <c r="AA52" s="380" t="s">
        <v>243</v>
      </c>
      <c r="AB52" s="381"/>
      <c r="AC52" s="382"/>
      <c r="AD52" s="192"/>
      <c r="AE52" s="208"/>
      <c r="AF52" s="208"/>
      <c r="AG52" s="209"/>
      <c r="AH52" s="209"/>
      <c r="AI52" s="209"/>
      <c r="AJ52" s="209"/>
      <c r="AK52" s="209"/>
      <c r="AL52" s="209"/>
      <c r="AM52" s="209"/>
      <c r="AN52" s="209"/>
      <c r="AO52" s="208"/>
      <c r="AP52" s="208"/>
      <c r="AQ52" s="208"/>
      <c r="AR52" s="208"/>
      <c r="AS52" s="210"/>
      <c r="AT52" s="161"/>
      <c r="AU52" s="124"/>
      <c r="AV52" s="124"/>
      <c r="AW52" s="124"/>
      <c r="AX52" s="124"/>
      <c r="AY52" s="124"/>
      <c r="AZ52" s="124"/>
      <c r="BA52" s="124"/>
      <c r="BB52" s="124"/>
      <c r="BC52" s="124"/>
      <c r="BD52" s="125"/>
    </row>
    <row r="53" spans="1:56" s="1" customFormat="1">
      <c r="A53" s="131" t="str">
        <f>IF(B53="","",COUNTA($B$8:B53))</f>
        <v/>
      </c>
      <c r="B53" s="186"/>
      <c r="C53" s="187"/>
      <c r="D53" s="187"/>
      <c r="E53" s="187"/>
      <c r="F53" s="187"/>
      <c r="G53" s="187"/>
      <c r="H53" s="188"/>
      <c r="I53" s="195"/>
      <c r="J53" s="190"/>
      <c r="K53" s="190"/>
      <c r="L53" s="190"/>
      <c r="M53" s="190"/>
      <c r="N53" s="190"/>
      <c r="O53" s="190"/>
      <c r="P53" s="190"/>
      <c r="Q53" s="191"/>
      <c r="R53" s="186"/>
      <c r="S53" s="190"/>
      <c r="T53" s="190"/>
      <c r="U53" s="190"/>
      <c r="V53" s="190"/>
      <c r="W53" s="190"/>
      <c r="X53" s="188"/>
      <c r="Y53" s="378"/>
      <c r="Z53" s="379"/>
      <c r="AA53" s="380"/>
      <c r="AB53" s="381"/>
      <c r="AC53" s="382"/>
      <c r="AD53" s="192"/>
      <c r="AE53" s="208"/>
      <c r="AF53" s="208"/>
      <c r="AG53" s="209"/>
      <c r="AH53" s="209"/>
      <c r="AI53" s="209"/>
      <c r="AJ53" s="209"/>
      <c r="AK53" s="209"/>
      <c r="AL53" s="209"/>
      <c r="AM53" s="209"/>
      <c r="AN53" s="209"/>
      <c r="AO53" s="208"/>
      <c r="AP53" s="208"/>
      <c r="AQ53" s="208"/>
      <c r="AR53" s="208"/>
      <c r="AS53" s="210"/>
      <c r="AT53" s="161"/>
      <c r="AU53" s="124"/>
      <c r="AV53" s="124"/>
      <c r="AW53" s="124"/>
      <c r="AX53" s="124"/>
      <c r="AY53" s="124"/>
      <c r="AZ53" s="124"/>
      <c r="BA53" s="124"/>
      <c r="BB53" s="124"/>
      <c r="BC53" s="124"/>
      <c r="BD53" s="125"/>
    </row>
    <row r="54" spans="1:56">
      <c r="A54" s="70" t="str">
        <f>IF(B54="","",COUNTA($B$8:B54))</f>
        <v/>
      </c>
      <c r="B54" s="19"/>
      <c r="C54" s="20"/>
      <c r="D54" s="20"/>
      <c r="E54" s="20"/>
      <c r="F54" s="20"/>
      <c r="G54" s="20"/>
      <c r="H54" s="24"/>
      <c r="I54" s="22"/>
      <c r="J54" s="23"/>
      <c r="K54" s="23"/>
      <c r="L54" s="23"/>
      <c r="M54" s="23"/>
      <c r="N54" s="23"/>
      <c r="O54" s="23"/>
      <c r="P54" s="23"/>
      <c r="Q54" s="37"/>
      <c r="R54" s="19"/>
      <c r="S54" s="23"/>
      <c r="T54" s="23"/>
      <c r="U54" s="23"/>
      <c r="V54" s="23"/>
      <c r="W54" s="23"/>
      <c r="X54" s="24"/>
      <c r="Y54" s="419"/>
      <c r="Z54" s="420"/>
      <c r="AA54" s="421"/>
      <c r="AB54" s="422"/>
      <c r="AC54" s="423"/>
      <c r="AD54" s="30"/>
      <c r="AE54" s="41"/>
      <c r="AF54" s="41"/>
      <c r="AG54" s="40"/>
      <c r="AH54" s="40"/>
      <c r="AI54" s="40"/>
      <c r="AJ54" s="40"/>
      <c r="AK54" s="40"/>
      <c r="AL54" s="40"/>
      <c r="AM54" s="40"/>
      <c r="AN54" s="40"/>
      <c r="AO54" s="41"/>
      <c r="AP54" s="41"/>
      <c r="AQ54" s="41"/>
      <c r="AR54" s="41"/>
      <c r="AS54" s="42"/>
      <c r="AT54" s="43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>
      <c r="A55" s="70" t="str">
        <f>IF(B55="","",COUNTA($B$8:B55))</f>
        <v/>
      </c>
      <c r="B55" s="19"/>
      <c r="C55" s="20"/>
      <c r="D55" s="20"/>
      <c r="E55" s="20"/>
      <c r="F55" s="20"/>
      <c r="G55" s="20"/>
      <c r="H55" s="24"/>
      <c r="I55" s="22"/>
      <c r="J55" s="23"/>
      <c r="K55" s="23"/>
      <c r="L55" s="23"/>
      <c r="M55" s="23"/>
      <c r="N55" s="23"/>
      <c r="O55" s="23"/>
      <c r="P55" s="23"/>
      <c r="Q55" s="37"/>
      <c r="R55" s="19"/>
      <c r="S55" s="23"/>
      <c r="T55" s="23"/>
      <c r="U55" s="23"/>
      <c r="V55" s="23"/>
      <c r="W55" s="23"/>
      <c r="X55" s="24"/>
      <c r="Y55" s="419"/>
      <c r="Z55" s="420"/>
      <c r="AA55" s="421"/>
      <c r="AB55" s="422"/>
      <c r="AC55" s="423"/>
      <c r="AD55" s="30"/>
      <c r="AE55" s="41"/>
      <c r="AF55" s="41"/>
      <c r="AG55" s="40"/>
      <c r="AH55" s="40"/>
      <c r="AI55" s="40"/>
      <c r="AJ55" s="40"/>
      <c r="AK55" s="40"/>
      <c r="AL55" s="40"/>
      <c r="AM55" s="40"/>
      <c r="AN55" s="40"/>
      <c r="AO55" s="41"/>
      <c r="AP55" s="41"/>
      <c r="AQ55" s="41"/>
      <c r="AR55" s="41"/>
      <c r="AS55" s="42"/>
      <c r="AT55" s="43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>
      <c r="A56" s="70" t="str">
        <f>IF(B56="","",COUNTA($B$8:B56))</f>
        <v/>
      </c>
      <c r="B56" s="19"/>
      <c r="C56" s="20"/>
      <c r="D56" s="20"/>
      <c r="E56" s="20"/>
      <c r="F56" s="20"/>
      <c r="G56" s="20"/>
      <c r="H56" s="24"/>
      <c r="I56" s="22"/>
      <c r="J56" s="23"/>
      <c r="K56" s="23"/>
      <c r="L56" s="23"/>
      <c r="M56" s="23"/>
      <c r="N56" s="23"/>
      <c r="O56" s="23"/>
      <c r="P56" s="23"/>
      <c r="Q56" s="37"/>
      <c r="R56" s="19"/>
      <c r="S56" s="23"/>
      <c r="T56" s="23"/>
      <c r="U56" s="23"/>
      <c r="V56" s="23"/>
      <c r="W56" s="23"/>
      <c r="X56" s="24"/>
      <c r="Y56" s="419"/>
      <c r="Z56" s="420"/>
      <c r="AA56" s="421"/>
      <c r="AB56" s="422"/>
      <c r="AC56" s="423"/>
      <c r="AD56" s="30"/>
      <c r="AE56" s="41"/>
      <c r="AF56" s="41"/>
      <c r="AG56" s="40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42"/>
      <c r="AT56" s="43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>
      <c r="A57" s="70" t="str">
        <f>IF(B57="","",COUNTA($B$8:B57))</f>
        <v/>
      </c>
      <c r="B57" s="19"/>
      <c r="C57" s="20"/>
      <c r="D57" s="20"/>
      <c r="E57" s="20"/>
      <c r="F57" s="20"/>
      <c r="G57" s="20"/>
      <c r="H57" s="24"/>
      <c r="I57" s="22"/>
      <c r="J57" s="23"/>
      <c r="K57" s="23"/>
      <c r="L57" s="23"/>
      <c r="M57" s="23"/>
      <c r="N57" s="23"/>
      <c r="O57" s="23"/>
      <c r="P57" s="23"/>
      <c r="Q57" s="37"/>
      <c r="R57" s="19"/>
      <c r="S57" s="23"/>
      <c r="T57" s="23"/>
      <c r="U57" s="23"/>
      <c r="V57" s="23"/>
      <c r="W57" s="23"/>
      <c r="X57" s="24"/>
      <c r="Y57" s="419"/>
      <c r="Z57" s="420"/>
      <c r="AA57" s="421"/>
      <c r="AB57" s="422"/>
      <c r="AC57" s="423"/>
      <c r="AD57" s="30"/>
      <c r="AE57" s="41"/>
      <c r="AF57" s="41"/>
      <c r="AG57" s="40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42"/>
      <c r="AT57" s="43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>
      <c r="A58" s="70" t="str">
        <f>IF(B58="","",COUNTA($B$8:B58))</f>
        <v/>
      </c>
      <c r="B58" s="19"/>
      <c r="C58" s="20"/>
      <c r="D58" s="20"/>
      <c r="E58" s="20"/>
      <c r="F58" s="20"/>
      <c r="G58" s="20"/>
      <c r="H58" s="24"/>
      <c r="I58" s="22"/>
      <c r="J58" s="23"/>
      <c r="K58" s="23"/>
      <c r="L58" s="23"/>
      <c r="M58" s="23"/>
      <c r="N58" s="23"/>
      <c r="O58" s="23"/>
      <c r="P58" s="23"/>
      <c r="Q58" s="37"/>
      <c r="R58" s="19"/>
      <c r="S58" s="23"/>
      <c r="T58" s="23"/>
      <c r="U58" s="23"/>
      <c r="V58" s="23"/>
      <c r="W58" s="23"/>
      <c r="X58" s="24"/>
      <c r="Y58" s="419"/>
      <c r="Z58" s="420"/>
      <c r="AA58" s="421"/>
      <c r="AB58" s="422"/>
      <c r="AC58" s="423"/>
      <c r="AD58" s="30"/>
      <c r="AE58" s="41"/>
      <c r="AF58" s="41"/>
      <c r="AG58" s="40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42"/>
      <c r="AT58" s="43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>
      <c r="A59" s="70" t="str">
        <f>IF(B59="","",COUNTA($B$8:B59))</f>
        <v/>
      </c>
      <c r="B59" s="19"/>
      <c r="C59" s="20"/>
      <c r="D59" s="20"/>
      <c r="E59" s="20"/>
      <c r="F59" s="20"/>
      <c r="G59" s="20"/>
      <c r="H59" s="24"/>
      <c r="I59" s="22"/>
      <c r="J59" s="23"/>
      <c r="K59" s="23"/>
      <c r="L59" s="23"/>
      <c r="M59" s="23"/>
      <c r="N59" s="23"/>
      <c r="O59" s="23"/>
      <c r="P59" s="23"/>
      <c r="Q59" s="37"/>
      <c r="R59" s="19"/>
      <c r="S59" s="23"/>
      <c r="T59" s="23"/>
      <c r="U59" s="23"/>
      <c r="V59" s="23"/>
      <c r="W59" s="23"/>
      <c r="X59" s="24"/>
      <c r="Y59" s="419"/>
      <c r="Z59" s="420"/>
      <c r="AA59" s="421"/>
      <c r="AB59" s="422"/>
      <c r="AC59" s="423"/>
      <c r="AD59" s="30"/>
      <c r="AE59" s="41"/>
      <c r="AF59" s="41"/>
      <c r="AG59" s="40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42"/>
      <c r="AT59" s="43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>
      <c r="A60" s="70" t="str">
        <f>IF(B60="","",COUNTA($B$8:B60))</f>
        <v/>
      </c>
      <c r="B60" s="19"/>
      <c r="C60" s="20"/>
      <c r="D60" s="20"/>
      <c r="E60" s="20"/>
      <c r="F60" s="20"/>
      <c r="G60" s="20"/>
      <c r="H60" s="24"/>
      <c r="I60" s="22"/>
      <c r="J60" s="23"/>
      <c r="K60" s="23"/>
      <c r="L60" s="23"/>
      <c r="M60" s="23"/>
      <c r="N60" s="23"/>
      <c r="O60" s="23"/>
      <c r="P60" s="23"/>
      <c r="Q60" s="37"/>
      <c r="R60" s="19"/>
      <c r="S60" s="23"/>
      <c r="T60" s="23"/>
      <c r="U60" s="23"/>
      <c r="V60" s="23"/>
      <c r="W60" s="23"/>
      <c r="X60" s="24"/>
      <c r="Y60" s="419"/>
      <c r="Z60" s="420"/>
      <c r="AA60" s="421"/>
      <c r="AB60" s="422"/>
      <c r="AC60" s="423"/>
      <c r="AD60" s="30"/>
      <c r="AE60" s="41"/>
      <c r="AF60" s="41"/>
      <c r="AG60" s="40"/>
      <c r="AH60" s="40"/>
      <c r="AI60" s="40"/>
      <c r="AJ60" s="40"/>
      <c r="AK60" s="40"/>
      <c r="AL60" s="40"/>
      <c r="AM60" s="40"/>
      <c r="AN60" s="40"/>
      <c r="AO60" s="41"/>
      <c r="AP60" s="41"/>
      <c r="AQ60" s="41"/>
      <c r="AR60" s="41"/>
      <c r="AS60" s="42"/>
      <c r="AT60" s="43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>
      <c r="A61" s="70" t="str">
        <f>IF(B61="","",COUNTA($B$8:B61))</f>
        <v/>
      </c>
      <c r="B61" s="19"/>
      <c r="C61" s="20"/>
      <c r="D61" s="20"/>
      <c r="E61" s="20"/>
      <c r="F61" s="20"/>
      <c r="G61" s="20"/>
      <c r="H61" s="24"/>
      <c r="I61" s="22"/>
      <c r="J61" s="23"/>
      <c r="K61" s="23"/>
      <c r="L61" s="23"/>
      <c r="M61" s="23"/>
      <c r="N61" s="23"/>
      <c r="O61" s="23"/>
      <c r="P61" s="23"/>
      <c r="Q61" s="37"/>
      <c r="R61" s="19"/>
      <c r="S61" s="23"/>
      <c r="T61" s="23"/>
      <c r="U61" s="23"/>
      <c r="V61" s="23"/>
      <c r="W61" s="23"/>
      <c r="X61" s="24"/>
      <c r="Y61" s="419"/>
      <c r="Z61" s="420"/>
      <c r="AA61" s="421"/>
      <c r="AB61" s="422"/>
      <c r="AC61" s="423"/>
      <c r="AD61" s="30"/>
      <c r="AE61" s="41"/>
      <c r="AF61" s="41"/>
      <c r="AG61" s="40"/>
      <c r="AH61" s="40"/>
      <c r="AI61" s="40"/>
      <c r="AJ61" s="40"/>
      <c r="AK61" s="40"/>
      <c r="AL61" s="40"/>
      <c r="AM61" s="40"/>
      <c r="AN61" s="40"/>
      <c r="AO61" s="41"/>
      <c r="AP61" s="41"/>
      <c r="AQ61" s="41"/>
      <c r="AR61" s="41"/>
      <c r="AS61" s="42"/>
      <c r="AT61" s="43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>
      <c r="A62" s="70" t="str">
        <f>IF(B62="","",COUNTA($B$8:B62))</f>
        <v/>
      </c>
      <c r="B62" s="19"/>
      <c r="C62" s="20"/>
      <c r="D62" s="20"/>
      <c r="E62" s="20"/>
      <c r="F62" s="20"/>
      <c r="G62" s="20"/>
      <c r="H62" s="24"/>
      <c r="I62" s="22"/>
      <c r="J62" s="23"/>
      <c r="K62" s="23"/>
      <c r="L62" s="23"/>
      <c r="M62" s="23"/>
      <c r="N62" s="23"/>
      <c r="O62" s="23"/>
      <c r="P62" s="23"/>
      <c r="Q62" s="37"/>
      <c r="R62" s="19"/>
      <c r="S62" s="23"/>
      <c r="T62" s="23"/>
      <c r="U62" s="23"/>
      <c r="V62" s="23"/>
      <c r="W62" s="23"/>
      <c r="X62" s="24"/>
      <c r="Y62" s="419"/>
      <c r="Z62" s="420"/>
      <c r="AA62" s="421"/>
      <c r="AB62" s="422"/>
      <c r="AC62" s="423"/>
      <c r="AD62" s="30"/>
      <c r="AE62" s="41"/>
      <c r="AF62" s="41"/>
      <c r="AG62" s="40"/>
      <c r="AH62" s="40"/>
      <c r="AI62" s="40"/>
      <c r="AJ62" s="40"/>
      <c r="AK62" s="40"/>
      <c r="AL62" s="40"/>
      <c r="AM62" s="40"/>
      <c r="AN62" s="40"/>
      <c r="AO62" s="41"/>
      <c r="AP62" s="41"/>
      <c r="AQ62" s="41"/>
      <c r="AR62" s="41"/>
      <c r="AS62" s="42"/>
      <c r="AT62" s="43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>
      <c r="A63" s="70" t="str">
        <f>IF(B63="","",COUNTA($B$8:B63))</f>
        <v/>
      </c>
      <c r="B63" s="19"/>
      <c r="C63" s="20"/>
      <c r="D63" s="20"/>
      <c r="E63" s="20"/>
      <c r="F63" s="20"/>
      <c r="G63" s="20"/>
      <c r="H63" s="24"/>
      <c r="I63" s="22"/>
      <c r="J63" s="23"/>
      <c r="K63" s="23"/>
      <c r="L63" s="23"/>
      <c r="M63" s="23"/>
      <c r="N63" s="23"/>
      <c r="O63" s="23"/>
      <c r="P63" s="23"/>
      <c r="Q63" s="37"/>
      <c r="R63" s="19"/>
      <c r="S63" s="23"/>
      <c r="T63" s="23"/>
      <c r="U63" s="23"/>
      <c r="V63" s="23"/>
      <c r="W63" s="23"/>
      <c r="X63" s="24"/>
      <c r="Y63" s="419"/>
      <c r="Z63" s="420"/>
      <c r="AA63" s="421"/>
      <c r="AB63" s="422"/>
      <c r="AC63" s="423"/>
      <c r="AD63" s="30"/>
      <c r="AE63" s="41"/>
      <c r="AF63" s="41"/>
      <c r="AG63" s="40"/>
      <c r="AH63" s="40"/>
      <c r="AI63" s="40"/>
      <c r="AJ63" s="40"/>
      <c r="AK63" s="40"/>
      <c r="AL63" s="40"/>
      <c r="AM63" s="40"/>
      <c r="AN63" s="40"/>
      <c r="AO63" s="41"/>
      <c r="AP63" s="41"/>
      <c r="AQ63" s="41"/>
      <c r="AR63" s="41"/>
      <c r="AS63" s="42"/>
      <c r="AT63" s="43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>
      <c r="A64" s="70" t="str">
        <f>IF(B64="","",COUNTA($B$8:B64))</f>
        <v/>
      </c>
      <c r="B64" s="19"/>
      <c r="C64" s="20"/>
      <c r="D64" s="20"/>
      <c r="E64" s="20"/>
      <c r="F64" s="20"/>
      <c r="G64" s="20"/>
      <c r="H64" s="24"/>
      <c r="I64" s="22"/>
      <c r="J64" s="23"/>
      <c r="K64" s="23"/>
      <c r="L64" s="23"/>
      <c r="M64" s="23"/>
      <c r="N64" s="23"/>
      <c r="O64" s="23"/>
      <c r="P64" s="23"/>
      <c r="Q64" s="37"/>
      <c r="R64" s="19"/>
      <c r="S64" s="23"/>
      <c r="T64" s="23"/>
      <c r="U64" s="23"/>
      <c r="V64" s="23"/>
      <c r="W64" s="23"/>
      <c r="X64" s="24"/>
      <c r="Y64" s="419"/>
      <c r="Z64" s="420"/>
      <c r="AA64" s="421"/>
      <c r="AB64" s="422"/>
      <c r="AC64" s="423"/>
      <c r="AD64" s="30"/>
      <c r="AE64" s="41"/>
      <c r="AF64" s="41"/>
      <c r="AG64" s="40"/>
      <c r="AH64" s="40"/>
      <c r="AI64" s="40"/>
      <c r="AJ64" s="40"/>
      <c r="AK64" s="40"/>
      <c r="AL64" s="40"/>
      <c r="AM64" s="40"/>
      <c r="AN64" s="40"/>
      <c r="AO64" s="41"/>
      <c r="AP64" s="41"/>
      <c r="AQ64" s="41"/>
      <c r="AR64" s="41"/>
      <c r="AS64" s="42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>
      <c r="A65" s="70" t="str">
        <f>IF(B65="","",COUNTA($B$8:B65))</f>
        <v/>
      </c>
      <c r="B65" s="19"/>
      <c r="C65" s="20"/>
      <c r="D65" s="20"/>
      <c r="E65" s="20"/>
      <c r="F65" s="20"/>
      <c r="G65" s="20"/>
      <c r="H65" s="24"/>
      <c r="I65" s="22"/>
      <c r="J65" s="23"/>
      <c r="K65" s="23"/>
      <c r="L65" s="23"/>
      <c r="M65" s="23"/>
      <c r="N65" s="23"/>
      <c r="O65" s="23"/>
      <c r="P65" s="23"/>
      <c r="Q65" s="37"/>
      <c r="R65" s="19"/>
      <c r="S65" s="23"/>
      <c r="T65" s="23"/>
      <c r="U65" s="23"/>
      <c r="V65" s="23"/>
      <c r="W65" s="23"/>
      <c r="X65" s="24"/>
      <c r="Y65" s="419"/>
      <c r="Z65" s="420"/>
      <c r="AA65" s="421"/>
      <c r="AB65" s="422"/>
      <c r="AC65" s="423"/>
      <c r="AD65" s="30"/>
      <c r="AE65" s="41"/>
      <c r="AF65" s="41"/>
      <c r="AG65" s="40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42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>
      <c r="A66" s="70" t="str">
        <f>IF(B66="","",COUNTA($B$8:B66))</f>
        <v/>
      </c>
      <c r="B66" s="19"/>
      <c r="C66" s="20"/>
      <c r="D66" s="20"/>
      <c r="E66" s="20"/>
      <c r="F66" s="20"/>
      <c r="G66" s="20"/>
      <c r="H66" s="24"/>
      <c r="I66" s="22"/>
      <c r="J66" s="23"/>
      <c r="K66" s="23"/>
      <c r="L66" s="23"/>
      <c r="M66" s="23"/>
      <c r="N66" s="23"/>
      <c r="O66" s="23"/>
      <c r="P66" s="23"/>
      <c r="Q66" s="37"/>
      <c r="R66" s="19"/>
      <c r="S66" s="23"/>
      <c r="T66" s="23"/>
      <c r="U66" s="23"/>
      <c r="V66" s="23"/>
      <c r="W66" s="23"/>
      <c r="X66" s="24"/>
      <c r="Y66" s="419"/>
      <c r="Z66" s="420"/>
      <c r="AA66" s="421"/>
      <c r="AB66" s="422"/>
      <c r="AC66" s="423"/>
      <c r="AD66" s="30"/>
      <c r="AE66" s="41"/>
      <c r="AF66" s="41"/>
      <c r="AG66" s="40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42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>
      <c r="A67" s="70" t="str">
        <f>IF(B67="","",COUNTA($B$8:B67))</f>
        <v/>
      </c>
      <c r="B67" s="19"/>
      <c r="C67" s="20"/>
      <c r="D67" s="20"/>
      <c r="E67" s="20"/>
      <c r="F67" s="20"/>
      <c r="G67" s="20"/>
      <c r="H67" s="24"/>
      <c r="I67" s="22"/>
      <c r="J67" s="23"/>
      <c r="K67" s="23"/>
      <c r="L67" s="23"/>
      <c r="M67" s="23"/>
      <c r="N67" s="23"/>
      <c r="O67" s="23"/>
      <c r="P67" s="23"/>
      <c r="Q67" s="37"/>
      <c r="R67" s="19"/>
      <c r="S67" s="23"/>
      <c r="T67" s="23"/>
      <c r="U67" s="23"/>
      <c r="V67" s="23"/>
      <c r="W67" s="23"/>
      <c r="X67" s="24"/>
      <c r="Y67" s="419"/>
      <c r="Z67" s="420"/>
      <c r="AA67" s="421"/>
      <c r="AB67" s="422"/>
      <c r="AC67" s="423"/>
      <c r="AD67" s="30"/>
      <c r="AE67" s="41"/>
      <c r="AF67" s="41"/>
      <c r="AG67" s="40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42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22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419"/>
      <c r="Z68" s="420"/>
      <c r="AA68" s="421"/>
      <c r="AB68" s="422"/>
      <c r="AC68" s="423"/>
      <c r="AD68" s="30"/>
      <c r="AE68" s="41"/>
      <c r="AF68" s="41"/>
      <c r="AG68" s="40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42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22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419"/>
      <c r="Z69" s="420"/>
      <c r="AA69" s="421"/>
      <c r="AB69" s="422"/>
      <c r="AC69" s="423"/>
      <c r="AD69" s="30"/>
      <c r="AE69" s="41"/>
      <c r="AF69" s="41"/>
      <c r="AG69" s="40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42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22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419"/>
      <c r="Z70" s="420"/>
      <c r="AA70" s="421"/>
      <c r="AB70" s="422"/>
      <c r="AC70" s="423"/>
      <c r="AD70" s="30"/>
      <c r="AE70" s="41"/>
      <c r="AF70" s="41"/>
      <c r="AG70" s="40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42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22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419"/>
      <c r="Z71" s="420"/>
      <c r="AA71" s="421"/>
      <c r="AB71" s="422"/>
      <c r="AC71" s="423"/>
      <c r="AD71" s="30"/>
      <c r="AE71" s="41"/>
      <c r="AF71" s="41"/>
      <c r="AG71" s="40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42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22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419"/>
      <c r="Z72" s="420"/>
      <c r="AA72" s="421"/>
      <c r="AB72" s="422"/>
      <c r="AC72" s="423"/>
      <c r="AD72" s="30"/>
      <c r="AE72" s="41"/>
      <c r="AF72" s="41"/>
      <c r="AG72" s="40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42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22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419"/>
      <c r="Z73" s="420"/>
      <c r="AA73" s="421"/>
      <c r="AB73" s="422"/>
      <c r="AC73" s="423"/>
      <c r="AD73" s="30"/>
      <c r="AE73" s="41"/>
      <c r="AF73" s="41"/>
      <c r="AG73" s="40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42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22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419"/>
      <c r="Z74" s="420"/>
      <c r="AA74" s="421"/>
      <c r="AB74" s="422"/>
      <c r="AC74" s="423"/>
      <c r="AD74" s="30"/>
      <c r="AE74" s="41"/>
      <c r="AF74" s="41"/>
      <c r="AG74" s="40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42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22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419"/>
      <c r="Z75" s="420"/>
      <c r="AA75" s="421"/>
      <c r="AB75" s="422"/>
      <c r="AC75" s="423"/>
      <c r="AD75" s="30"/>
      <c r="AE75" s="41"/>
      <c r="AF75" s="41"/>
      <c r="AG75" s="40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42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22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419"/>
      <c r="Z76" s="420"/>
      <c r="AA76" s="421"/>
      <c r="AB76" s="422"/>
      <c r="AC76" s="423"/>
      <c r="AD76" s="30"/>
      <c r="AE76" s="41"/>
      <c r="AF76" s="41"/>
      <c r="AG76" s="40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22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419"/>
      <c r="Z77" s="420"/>
      <c r="AA77" s="421"/>
      <c r="AB77" s="422"/>
      <c r="AC77" s="423"/>
      <c r="AD77" s="30"/>
      <c r="AE77" s="41"/>
      <c r="AF77" s="41"/>
      <c r="AG77" s="40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22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419"/>
      <c r="Z78" s="420"/>
      <c r="AA78" s="421"/>
      <c r="AB78" s="422"/>
      <c r="AC78" s="423"/>
      <c r="AD78" s="30"/>
      <c r="AE78" s="41"/>
      <c r="AF78" s="41"/>
      <c r="AG78" s="40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22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419"/>
      <c r="Z79" s="420"/>
      <c r="AA79" s="421"/>
      <c r="AB79" s="422"/>
      <c r="AC79" s="423"/>
      <c r="AD79" s="30"/>
      <c r="AE79" s="41"/>
      <c r="AF79" s="41"/>
      <c r="AG79" s="40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22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419"/>
      <c r="Z80" s="420"/>
      <c r="AA80" s="421"/>
      <c r="AB80" s="422"/>
      <c r="AC80" s="423"/>
      <c r="AD80" s="30"/>
      <c r="AE80" s="41"/>
      <c r="AF80" s="41"/>
      <c r="AG80" s="40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22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419"/>
      <c r="Z81" s="420"/>
      <c r="AA81" s="421"/>
      <c r="AB81" s="422"/>
      <c r="AC81" s="423"/>
      <c r="AD81" s="30"/>
      <c r="AE81" s="41"/>
      <c r="AF81" s="41"/>
      <c r="AG81" s="40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22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419"/>
      <c r="Z82" s="420"/>
      <c r="AA82" s="421"/>
      <c r="AB82" s="422"/>
      <c r="AC82" s="423"/>
      <c r="AD82" s="30"/>
      <c r="AE82" s="41"/>
      <c r="AF82" s="41"/>
      <c r="AG82" s="40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22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419"/>
      <c r="Z83" s="420"/>
      <c r="AA83" s="421"/>
      <c r="AB83" s="422"/>
      <c r="AC83" s="423"/>
      <c r="AD83" s="30"/>
      <c r="AE83" s="41"/>
      <c r="AF83" s="41"/>
      <c r="AG83" s="40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22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419"/>
      <c r="Z84" s="420"/>
      <c r="AA84" s="421"/>
      <c r="AB84" s="422"/>
      <c r="AC84" s="423"/>
      <c r="AD84" s="30"/>
      <c r="AE84" s="41"/>
      <c r="AF84" s="41"/>
      <c r="AG84" s="40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22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419"/>
      <c r="Z85" s="420"/>
      <c r="AA85" s="421"/>
      <c r="AB85" s="422"/>
      <c r="AC85" s="423"/>
      <c r="AD85" s="30"/>
      <c r="AE85" s="41"/>
      <c r="AF85" s="41"/>
      <c r="AG85" s="40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3">
    <mergeCell ref="Y83:Z83"/>
    <mergeCell ref="AA83:AC83"/>
    <mergeCell ref="Y84:Z84"/>
    <mergeCell ref="AA84:AC84"/>
    <mergeCell ref="Y85:Z85"/>
    <mergeCell ref="AA85:AC85"/>
    <mergeCell ref="Y78:Z78"/>
    <mergeCell ref="AA78:AC78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74:Z74"/>
    <mergeCell ref="AA74:AC74"/>
    <mergeCell ref="Y40:Z40"/>
    <mergeCell ref="Y75:Z75"/>
    <mergeCell ref="AA75:AC75"/>
    <mergeCell ref="Y76:Z76"/>
    <mergeCell ref="AA76:AC76"/>
    <mergeCell ref="Y77:Z77"/>
    <mergeCell ref="AA77:AC77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3:Z63"/>
    <mergeCell ref="AA63:AC63"/>
    <mergeCell ref="Y61:Z61"/>
    <mergeCell ref="AA61:AC61"/>
    <mergeCell ref="Y62:Z62"/>
    <mergeCell ref="AA62:AC62"/>
    <mergeCell ref="Y56:Z56"/>
    <mergeCell ref="AA56:AC56"/>
    <mergeCell ref="Y57:Z57"/>
    <mergeCell ref="AA57:AC57"/>
    <mergeCell ref="Y58:Z58"/>
    <mergeCell ref="AA58:AC58"/>
    <mergeCell ref="Y59:Z59"/>
    <mergeCell ref="AA59:AC59"/>
    <mergeCell ref="Y60:Z60"/>
    <mergeCell ref="AA60:AC60"/>
    <mergeCell ref="Y51:Z51"/>
    <mergeCell ref="AA51:AC51"/>
    <mergeCell ref="Y52:Z52"/>
    <mergeCell ref="AA52:AC52"/>
    <mergeCell ref="Y53:Z53"/>
    <mergeCell ref="AA53:AC53"/>
    <mergeCell ref="Y54:Z54"/>
    <mergeCell ref="AA54:AC54"/>
    <mergeCell ref="Y55:Z55"/>
    <mergeCell ref="AA55:AC55"/>
    <mergeCell ref="Y46:Z46"/>
    <mergeCell ref="AA46:AC46"/>
    <mergeCell ref="Y47:Z47"/>
    <mergeCell ref="AA47:AC47"/>
    <mergeCell ref="Y48:Z48"/>
    <mergeCell ref="AA48:AC48"/>
    <mergeCell ref="Y49:Z49"/>
    <mergeCell ref="AA49:AC49"/>
    <mergeCell ref="Y50:Z50"/>
    <mergeCell ref="AA50:AC50"/>
    <mergeCell ref="AA43:AC43"/>
    <mergeCell ref="AA44:AC44"/>
    <mergeCell ref="Y45:Z45"/>
    <mergeCell ref="AA45:AC45"/>
    <mergeCell ref="Y39:Z39"/>
    <mergeCell ref="Y41:Z41"/>
    <mergeCell ref="Y42:Z42"/>
    <mergeCell ref="AA41:AC41"/>
    <mergeCell ref="AA42:AC42"/>
    <mergeCell ref="AA39:AC39"/>
    <mergeCell ref="AA40:AC40"/>
    <mergeCell ref="A1:H4"/>
    <mergeCell ref="AS6:BD7"/>
    <mergeCell ref="A6:A7"/>
    <mergeCell ref="AF6:AF7"/>
    <mergeCell ref="AG6:AG7"/>
    <mergeCell ref="AH6:AH7"/>
    <mergeCell ref="I2:Q4"/>
    <mergeCell ref="I1:Q1"/>
    <mergeCell ref="AP1:AT1"/>
    <mergeCell ref="AU1:AY1"/>
    <mergeCell ref="AZ1:BD1"/>
    <mergeCell ref="R1:X1"/>
    <mergeCell ref="R2:X4"/>
    <mergeCell ref="Y1:AO1"/>
    <mergeCell ref="AU3:AY3"/>
    <mergeCell ref="AU4:AY4"/>
    <mergeCell ref="AZ2:BD2"/>
    <mergeCell ref="AZ3:BD3"/>
    <mergeCell ref="AZ4:BD4"/>
    <mergeCell ref="Y2:AO3"/>
    <mergeCell ref="Y4:AO4"/>
    <mergeCell ref="AP2:AT2"/>
    <mergeCell ref="AP3:AT3"/>
    <mergeCell ref="AP4:AT4"/>
    <mergeCell ref="B6:H7"/>
    <mergeCell ref="I6:Q7"/>
    <mergeCell ref="R6:X7"/>
    <mergeCell ref="AA25:AC25"/>
    <mergeCell ref="Y36:Z36"/>
    <mergeCell ref="AA14:AC14"/>
    <mergeCell ref="AA10:AC10"/>
    <mergeCell ref="AA11:AC11"/>
    <mergeCell ref="AA12:AC12"/>
    <mergeCell ref="Y19:Z19"/>
    <mergeCell ref="Y20:Z20"/>
    <mergeCell ref="AA9:AC9"/>
    <mergeCell ref="AA18:AC18"/>
    <mergeCell ref="AA19:AC19"/>
    <mergeCell ref="AA20:AC20"/>
    <mergeCell ref="AA33:AC33"/>
    <mergeCell ref="AA34:AC34"/>
    <mergeCell ref="Y18:Z18"/>
    <mergeCell ref="Y28:Z28"/>
    <mergeCell ref="Y12:Z12"/>
    <mergeCell ref="Y16:Z16"/>
    <mergeCell ref="AI6:AR6"/>
    <mergeCell ref="Y6:Z7"/>
    <mergeCell ref="Y24:Z24"/>
    <mergeCell ref="Y27:Z27"/>
    <mergeCell ref="Y26:Z26"/>
    <mergeCell ref="Y29:Z29"/>
    <mergeCell ref="Y23:Z23"/>
    <mergeCell ref="Y25:Z25"/>
    <mergeCell ref="Y30:Z30"/>
    <mergeCell ref="AD6:AD7"/>
    <mergeCell ref="AE6:AE7"/>
    <mergeCell ref="Y17:Z17"/>
    <mergeCell ref="Y10:Z10"/>
    <mergeCell ref="Y8:Z8"/>
    <mergeCell ref="Y11:Z11"/>
    <mergeCell ref="Y9:Z9"/>
    <mergeCell ref="AA8:AC8"/>
    <mergeCell ref="AA13:AC13"/>
    <mergeCell ref="AA6:AC7"/>
    <mergeCell ref="AA15:AC15"/>
    <mergeCell ref="AA16:AC16"/>
    <mergeCell ref="AA17:AC17"/>
    <mergeCell ref="Y38:Z38"/>
    <mergeCell ref="AA35:AC35"/>
    <mergeCell ref="AA36:AC36"/>
    <mergeCell ref="AA37:AC37"/>
    <mergeCell ref="AA21:AC21"/>
    <mergeCell ref="AA22:AC22"/>
    <mergeCell ref="AA23:AC23"/>
    <mergeCell ref="AA26:AC26"/>
    <mergeCell ref="AA27:AC27"/>
    <mergeCell ref="AA28:AC28"/>
    <mergeCell ref="AA29:AC29"/>
    <mergeCell ref="AA30:AC30"/>
    <mergeCell ref="AA31:AC31"/>
    <mergeCell ref="AA32:AC32"/>
    <mergeCell ref="Y35:Z35"/>
    <mergeCell ref="Y21:Z21"/>
    <mergeCell ref="AA38:AC38"/>
    <mergeCell ref="AA24:AC24"/>
    <mergeCell ref="Y37:Z37"/>
    <mergeCell ref="Y33:Z33"/>
    <mergeCell ref="Y31:Z31"/>
    <mergeCell ref="Y32:Z32"/>
    <mergeCell ref="Y34:Z34"/>
    <mergeCell ref="Y22:Z22"/>
  </mergeCells>
  <phoneticPr fontId="5"/>
  <dataValidations count="3">
    <dataValidation imeMode="hiragana" allowBlank="1" showInputMessage="1" showErrorMessage="1" sqref="JO65518:JZ65520 TK65518:TV65520 ADG65518:ADR65520 ANC65518:ANN65520 AWY65518:AXJ65520 BGU65518:BHF65520 BQQ65518:BRB65520 CAM65518:CAX65520 CKI65518:CKT65520 CUE65518:CUP65520 DEA65518:DEL65520 DNW65518:DOH65520 DXS65518:DYD65520 EHO65518:EHZ65520 ERK65518:ERV65520 FBG65518:FBR65520 FLC65518:FLN65520 FUY65518:FVJ65520 GEU65518:GFF65520 GOQ65518:GPB65520 GYM65518:GYX65520 HII65518:HIT65520 HSE65518:HSP65520 ICA65518:ICL65520 ILW65518:IMH65520 IVS65518:IWD65520 JFO65518:JFZ65520 JPK65518:JPV65520 JZG65518:JZR65520 KJC65518:KJN65520 KSY65518:KTJ65520 LCU65518:LDF65520 LMQ65518:LNB65520 LWM65518:LWX65520 MGI65518:MGT65520 MQE65518:MQP65520 NAA65518:NAL65520 NJW65518:NKH65520 NTS65518:NUD65520 ODO65518:ODZ65520 ONK65518:ONV65520 OXG65518:OXR65520 PHC65518:PHN65520 PQY65518:PRJ65520 QAU65518:QBF65520 QKQ65518:QLB65520 QUM65518:QUX65520 REI65518:RET65520 ROE65518:ROP65520 RYA65518:RYL65520 SHW65518:SIH65520 SRS65518:SSD65520 TBO65518:TBZ65520 TLK65518:TLV65520 TVG65518:TVR65520 UFC65518:UFN65520 UOY65518:UPJ65520 UYU65518:UZF65520 VIQ65518:VJB65520 VSM65518:VSX65520 WCI65518:WCT65520 WME65518:WMP65520 WWA65518:WWL65520 JO131054:JZ131056 TK131054:TV131056 ADG131054:ADR131056 ANC131054:ANN131056 AWY131054:AXJ131056 BGU131054:BHF131056 BQQ131054:BRB131056 CAM131054:CAX131056 CKI131054:CKT131056 CUE131054:CUP131056 DEA131054:DEL131056 DNW131054:DOH131056 DXS131054:DYD131056 EHO131054:EHZ131056 ERK131054:ERV131056 FBG131054:FBR131056 FLC131054:FLN131056 FUY131054:FVJ131056 GEU131054:GFF131056 GOQ131054:GPB131056 GYM131054:GYX131056 HII131054:HIT131056 HSE131054:HSP131056 ICA131054:ICL131056 ILW131054:IMH131056 IVS131054:IWD131056 JFO131054:JFZ131056 JPK131054:JPV131056 JZG131054:JZR131056 KJC131054:KJN131056 KSY131054:KTJ131056 LCU131054:LDF131056 LMQ131054:LNB131056 LWM131054:LWX131056 MGI131054:MGT131056 MQE131054:MQP131056 NAA131054:NAL131056 NJW131054:NKH131056 NTS131054:NUD131056 ODO131054:ODZ131056 ONK131054:ONV131056 OXG131054:OXR131056 PHC131054:PHN131056 PQY131054:PRJ131056 QAU131054:QBF131056 QKQ131054:QLB131056 QUM131054:QUX131056 REI131054:RET131056 ROE131054:ROP131056 RYA131054:RYL131056 SHW131054:SIH131056 SRS131054:SSD131056 TBO131054:TBZ131056 TLK131054:TLV131056 TVG131054:TVR131056 UFC131054:UFN131056 UOY131054:UPJ131056 UYU131054:UZF131056 VIQ131054:VJB131056 VSM131054:VSX131056 WCI131054:WCT131056 WME131054:WMP131056 WWA131054:WWL131056 JO196590:JZ196592 TK196590:TV196592 ADG196590:ADR196592 ANC196590:ANN196592 AWY196590:AXJ196592 BGU196590:BHF196592 BQQ196590:BRB196592 CAM196590:CAX196592 CKI196590:CKT196592 CUE196590:CUP196592 DEA196590:DEL196592 DNW196590:DOH196592 DXS196590:DYD196592 EHO196590:EHZ196592 ERK196590:ERV196592 FBG196590:FBR196592 FLC196590:FLN196592 FUY196590:FVJ196592 GEU196590:GFF196592 GOQ196590:GPB196592 GYM196590:GYX196592 HII196590:HIT196592 HSE196590:HSP196592 ICA196590:ICL196592 ILW196590:IMH196592 IVS196590:IWD196592 JFO196590:JFZ196592 JPK196590:JPV196592 JZG196590:JZR196592 KJC196590:KJN196592 KSY196590:KTJ196592 LCU196590:LDF196592 LMQ196590:LNB196592 LWM196590:LWX196592 MGI196590:MGT196592 MQE196590:MQP196592 NAA196590:NAL196592 NJW196590:NKH196592 NTS196590:NUD196592 ODO196590:ODZ196592 ONK196590:ONV196592 OXG196590:OXR196592 PHC196590:PHN196592 PQY196590:PRJ196592 QAU196590:QBF196592 QKQ196590:QLB196592 QUM196590:QUX196592 REI196590:RET196592 ROE196590:ROP196592 RYA196590:RYL196592 SHW196590:SIH196592 SRS196590:SSD196592 TBO196590:TBZ196592 TLK196590:TLV196592 TVG196590:TVR196592 UFC196590:UFN196592 UOY196590:UPJ196592 UYU196590:UZF196592 VIQ196590:VJB196592 VSM196590:VSX196592 WCI196590:WCT196592 WME196590:WMP196592 WWA196590:WWL196592 JO262126:JZ262128 TK262126:TV262128 ADG262126:ADR262128 ANC262126:ANN262128 AWY262126:AXJ262128 BGU262126:BHF262128 BQQ262126:BRB262128 CAM262126:CAX262128 CKI262126:CKT262128 CUE262126:CUP262128 DEA262126:DEL262128 DNW262126:DOH262128 DXS262126:DYD262128 EHO262126:EHZ262128 ERK262126:ERV262128 FBG262126:FBR262128 FLC262126:FLN262128 FUY262126:FVJ262128 GEU262126:GFF262128 GOQ262126:GPB262128 GYM262126:GYX262128 HII262126:HIT262128 HSE262126:HSP262128 ICA262126:ICL262128 ILW262126:IMH262128 IVS262126:IWD262128 JFO262126:JFZ262128 JPK262126:JPV262128 JZG262126:JZR262128 KJC262126:KJN262128 KSY262126:KTJ262128 LCU262126:LDF262128 LMQ262126:LNB262128 LWM262126:LWX262128 MGI262126:MGT262128 MQE262126:MQP262128 NAA262126:NAL262128 NJW262126:NKH262128 NTS262126:NUD262128 ODO262126:ODZ262128 ONK262126:ONV262128 OXG262126:OXR262128 PHC262126:PHN262128 PQY262126:PRJ262128 QAU262126:QBF262128 QKQ262126:QLB262128 QUM262126:QUX262128 REI262126:RET262128 ROE262126:ROP262128 RYA262126:RYL262128 SHW262126:SIH262128 SRS262126:SSD262128 TBO262126:TBZ262128 TLK262126:TLV262128 TVG262126:TVR262128 UFC262126:UFN262128 UOY262126:UPJ262128 UYU262126:UZF262128 VIQ262126:VJB262128 VSM262126:VSX262128 WCI262126:WCT262128 WME262126:WMP262128 WWA262126:WWL262128 JO327662:JZ327664 TK327662:TV327664 ADG327662:ADR327664 ANC327662:ANN327664 AWY327662:AXJ327664 BGU327662:BHF327664 BQQ327662:BRB327664 CAM327662:CAX327664 CKI327662:CKT327664 CUE327662:CUP327664 DEA327662:DEL327664 DNW327662:DOH327664 DXS327662:DYD327664 EHO327662:EHZ327664 ERK327662:ERV327664 FBG327662:FBR327664 FLC327662:FLN327664 FUY327662:FVJ327664 GEU327662:GFF327664 GOQ327662:GPB327664 GYM327662:GYX327664 HII327662:HIT327664 HSE327662:HSP327664 ICA327662:ICL327664 ILW327662:IMH327664 IVS327662:IWD327664 JFO327662:JFZ327664 JPK327662:JPV327664 JZG327662:JZR327664 KJC327662:KJN327664 KSY327662:KTJ327664 LCU327662:LDF327664 LMQ327662:LNB327664 LWM327662:LWX327664 MGI327662:MGT327664 MQE327662:MQP327664 NAA327662:NAL327664 NJW327662:NKH327664 NTS327662:NUD327664 ODO327662:ODZ327664 ONK327662:ONV327664 OXG327662:OXR327664 PHC327662:PHN327664 PQY327662:PRJ327664 QAU327662:QBF327664 QKQ327662:QLB327664 QUM327662:QUX327664 REI327662:RET327664 ROE327662:ROP327664 RYA327662:RYL327664 SHW327662:SIH327664 SRS327662:SSD327664 TBO327662:TBZ327664 TLK327662:TLV327664 TVG327662:TVR327664 UFC327662:UFN327664 UOY327662:UPJ327664 UYU327662:UZF327664 VIQ327662:VJB327664 VSM327662:VSX327664 WCI327662:WCT327664 WME327662:WMP327664 WWA327662:WWL327664 JO393198:JZ393200 TK393198:TV393200 ADG393198:ADR393200 ANC393198:ANN393200 AWY393198:AXJ393200 BGU393198:BHF393200 BQQ393198:BRB393200 CAM393198:CAX393200 CKI393198:CKT393200 CUE393198:CUP393200 DEA393198:DEL393200 DNW393198:DOH393200 DXS393198:DYD393200 EHO393198:EHZ393200 ERK393198:ERV393200 FBG393198:FBR393200 FLC393198:FLN393200 FUY393198:FVJ393200 GEU393198:GFF393200 GOQ393198:GPB393200 GYM393198:GYX393200 HII393198:HIT393200 HSE393198:HSP393200 ICA393198:ICL393200 ILW393198:IMH393200 IVS393198:IWD393200 JFO393198:JFZ393200 JPK393198:JPV393200 JZG393198:JZR393200 KJC393198:KJN393200 KSY393198:KTJ393200 LCU393198:LDF393200 LMQ393198:LNB393200 LWM393198:LWX393200 MGI393198:MGT393200 MQE393198:MQP393200 NAA393198:NAL393200 NJW393198:NKH393200 NTS393198:NUD393200 ODO393198:ODZ393200 ONK393198:ONV393200 OXG393198:OXR393200 PHC393198:PHN393200 PQY393198:PRJ393200 QAU393198:QBF393200 QKQ393198:QLB393200 QUM393198:QUX393200 REI393198:RET393200 ROE393198:ROP393200 RYA393198:RYL393200 SHW393198:SIH393200 SRS393198:SSD393200 TBO393198:TBZ393200 TLK393198:TLV393200 TVG393198:TVR393200 UFC393198:UFN393200 UOY393198:UPJ393200 UYU393198:UZF393200 VIQ393198:VJB393200 VSM393198:VSX393200 WCI393198:WCT393200 WME393198:WMP393200 WWA393198:WWL393200 JO458734:JZ458736 TK458734:TV458736 ADG458734:ADR458736 ANC458734:ANN458736 AWY458734:AXJ458736 BGU458734:BHF458736 BQQ458734:BRB458736 CAM458734:CAX458736 CKI458734:CKT458736 CUE458734:CUP458736 DEA458734:DEL458736 DNW458734:DOH458736 DXS458734:DYD458736 EHO458734:EHZ458736 ERK458734:ERV458736 FBG458734:FBR458736 FLC458734:FLN458736 FUY458734:FVJ458736 GEU458734:GFF458736 GOQ458734:GPB458736 GYM458734:GYX458736 HII458734:HIT458736 HSE458734:HSP458736 ICA458734:ICL458736 ILW458734:IMH458736 IVS458734:IWD458736 JFO458734:JFZ458736 JPK458734:JPV458736 JZG458734:JZR458736 KJC458734:KJN458736 KSY458734:KTJ458736 LCU458734:LDF458736 LMQ458734:LNB458736 LWM458734:LWX458736 MGI458734:MGT458736 MQE458734:MQP458736 NAA458734:NAL458736 NJW458734:NKH458736 NTS458734:NUD458736 ODO458734:ODZ458736 ONK458734:ONV458736 OXG458734:OXR458736 PHC458734:PHN458736 PQY458734:PRJ458736 QAU458734:QBF458736 QKQ458734:QLB458736 QUM458734:QUX458736 REI458734:RET458736 ROE458734:ROP458736 RYA458734:RYL458736 SHW458734:SIH458736 SRS458734:SSD458736 TBO458734:TBZ458736 TLK458734:TLV458736 TVG458734:TVR458736 UFC458734:UFN458736 UOY458734:UPJ458736 UYU458734:UZF458736 VIQ458734:VJB458736 VSM458734:VSX458736 WCI458734:WCT458736 WME458734:WMP458736 WWA458734:WWL458736 JO524270:JZ524272 TK524270:TV524272 ADG524270:ADR524272 ANC524270:ANN524272 AWY524270:AXJ524272 BGU524270:BHF524272 BQQ524270:BRB524272 CAM524270:CAX524272 CKI524270:CKT524272 CUE524270:CUP524272 DEA524270:DEL524272 DNW524270:DOH524272 DXS524270:DYD524272 EHO524270:EHZ524272 ERK524270:ERV524272 FBG524270:FBR524272 FLC524270:FLN524272 FUY524270:FVJ524272 GEU524270:GFF524272 GOQ524270:GPB524272 GYM524270:GYX524272 HII524270:HIT524272 HSE524270:HSP524272 ICA524270:ICL524272 ILW524270:IMH524272 IVS524270:IWD524272 JFO524270:JFZ524272 JPK524270:JPV524272 JZG524270:JZR524272 KJC524270:KJN524272 KSY524270:KTJ524272 LCU524270:LDF524272 LMQ524270:LNB524272 LWM524270:LWX524272 MGI524270:MGT524272 MQE524270:MQP524272 NAA524270:NAL524272 NJW524270:NKH524272 NTS524270:NUD524272 ODO524270:ODZ524272 ONK524270:ONV524272 OXG524270:OXR524272 PHC524270:PHN524272 PQY524270:PRJ524272 QAU524270:QBF524272 QKQ524270:QLB524272 QUM524270:QUX524272 REI524270:RET524272 ROE524270:ROP524272 RYA524270:RYL524272 SHW524270:SIH524272 SRS524270:SSD524272 TBO524270:TBZ524272 TLK524270:TLV524272 TVG524270:TVR524272 UFC524270:UFN524272 UOY524270:UPJ524272 UYU524270:UZF524272 VIQ524270:VJB524272 VSM524270:VSX524272 WCI524270:WCT524272 WME524270:WMP524272 WWA524270:WWL524272 JO589806:JZ589808 TK589806:TV589808 ADG589806:ADR589808 ANC589806:ANN589808 AWY589806:AXJ589808 BGU589806:BHF589808 BQQ589806:BRB589808 CAM589806:CAX589808 CKI589806:CKT589808 CUE589806:CUP589808 DEA589806:DEL589808 DNW589806:DOH589808 DXS589806:DYD589808 EHO589806:EHZ589808 ERK589806:ERV589808 FBG589806:FBR589808 FLC589806:FLN589808 FUY589806:FVJ589808 GEU589806:GFF589808 GOQ589806:GPB589808 GYM589806:GYX589808 HII589806:HIT589808 HSE589806:HSP589808 ICA589806:ICL589808 ILW589806:IMH589808 IVS589806:IWD589808 JFO589806:JFZ589808 JPK589806:JPV589808 JZG589806:JZR589808 KJC589806:KJN589808 KSY589806:KTJ589808 LCU589806:LDF589808 LMQ589806:LNB589808 LWM589806:LWX589808 MGI589806:MGT589808 MQE589806:MQP589808 NAA589806:NAL589808 NJW589806:NKH589808 NTS589806:NUD589808 ODO589806:ODZ589808 ONK589806:ONV589808 OXG589806:OXR589808 PHC589806:PHN589808 PQY589806:PRJ589808 QAU589806:QBF589808 QKQ589806:QLB589808 QUM589806:QUX589808 REI589806:RET589808 ROE589806:ROP589808 RYA589806:RYL589808 SHW589806:SIH589808 SRS589806:SSD589808 TBO589806:TBZ589808 TLK589806:TLV589808 TVG589806:TVR589808 UFC589806:UFN589808 UOY589806:UPJ589808 UYU589806:UZF589808 VIQ589806:VJB589808 VSM589806:VSX589808 WCI589806:WCT589808 WME589806:WMP589808 WWA589806:WWL589808 JO655342:JZ655344 TK655342:TV655344 ADG655342:ADR655344 ANC655342:ANN655344 AWY655342:AXJ655344 BGU655342:BHF655344 BQQ655342:BRB655344 CAM655342:CAX655344 CKI655342:CKT655344 CUE655342:CUP655344 DEA655342:DEL655344 DNW655342:DOH655344 DXS655342:DYD655344 EHO655342:EHZ655344 ERK655342:ERV655344 FBG655342:FBR655344 FLC655342:FLN655344 FUY655342:FVJ655344 GEU655342:GFF655344 GOQ655342:GPB655344 GYM655342:GYX655344 HII655342:HIT655344 HSE655342:HSP655344 ICA655342:ICL655344 ILW655342:IMH655344 IVS655342:IWD655344 JFO655342:JFZ655344 JPK655342:JPV655344 JZG655342:JZR655344 KJC655342:KJN655344 KSY655342:KTJ655344 LCU655342:LDF655344 LMQ655342:LNB655344 LWM655342:LWX655344 MGI655342:MGT655344 MQE655342:MQP655344 NAA655342:NAL655344 NJW655342:NKH655344 NTS655342:NUD655344 ODO655342:ODZ655344 ONK655342:ONV655344 OXG655342:OXR655344 PHC655342:PHN655344 PQY655342:PRJ655344 QAU655342:QBF655344 QKQ655342:QLB655344 QUM655342:QUX655344 REI655342:RET655344 ROE655342:ROP655344 RYA655342:RYL655344 SHW655342:SIH655344 SRS655342:SSD655344 TBO655342:TBZ655344 TLK655342:TLV655344 TVG655342:TVR655344 UFC655342:UFN655344 UOY655342:UPJ655344 UYU655342:UZF655344 VIQ655342:VJB655344 VSM655342:VSX655344 WCI655342:WCT655344 WME655342:WMP655344 WWA655342:WWL655344 JO720878:JZ720880 TK720878:TV720880 ADG720878:ADR720880 ANC720878:ANN720880 AWY720878:AXJ720880 BGU720878:BHF720880 BQQ720878:BRB720880 CAM720878:CAX720880 CKI720878:CKT720880 CUE720878:CUP720880 DEA720878:DEL720880 DNW720878:DOH720880 DXS720878:DYD720880 EHO720878:EHZ720880 ERK720878:ERV720880 FBG720878:FBR720880 FLC720878:FLN720880 FUY720878:FVJ720880 GEU720878:GFF720880 GOQ720878:GPB720880 GYM720878:GYX720880 HII720878:HIT720880 HSE720878:HSP720880 ICA720878:ICL720880 ILW720878:IMH720880 IVS720878:IWD720880 JFO720878:JFZ720880 JPK720878:JPV720880 JZG720878:JZR720880 KJC720878:KJN720880 KSY720878:KTJ720880 LCU720878:LDF720880 LMQ720878:LNB720880 LWM720878:LWX720880 MGI720878:MGT720880 MQE720878:MQP720880 NAA720878:NAL720880 NJW720878:NKH720880 NTS720878:NUD720880 ODO720878:ODZ720880 ONK720878:ONV720880 OXG720878:OXR720880 PHC720878:PHN720880 PQY720878:PRJ720880 QAU720878:QBF720880 QKQ720878:QLB720880 QUM720878:QUX720880 REI720878:RET720880 ROE720878:ROP720880 RYA720878:RYL720880 SHW720878:SIH720880 SRS720878:SSD720880 TBO720878:TBZ720880 TLK720878:TLV720880 TVG720878:TVR720880 UFC720878:UFN720880 UOY720878:UPJ720880 UYU720878:UZF720880 VIQ720878:VJB720880 VSM720878:VSX720880 WCI720878:WCT720880 WME720878:WMP720880 WWA720878:WWL720880 JO786414:JZ786416 TK786414:TV786416 ADG786414:ADR786416 ANC786414:ANN786416 AWY786414:AXJ786416 BGU786414:BHF786416 BQQ786414:BRB786416 CAM786414:CAX786416 CKI786414:CKT786416 CUE786414:CUP786416 DEA786414:DEL786416 DNW786414:DOH786416 DXS786414:DYD786416 EHO786414:EHZ786416 ERK786414:ERV786416 FBG786414:FBR786416 FLC786414:FLN786416 FUY786414:FVJ786416 GEU786414:GFF786416 GOQ786414:GPB786416 GYM786414:GYX786416 HII786414:HIT786416 HSE786414:HSP786416 ICA786414:ICL786416 ILW786414:IMH786416 IVS786414:IWD786416 JFO786414:JFZ786416 JPK786414:JPV786416 JZG786414:JZR786416 KJC786414:KJN786416 KSY786414:KTJ786416 LCU786414:LDF786416 LMQ786414:LNB786416 LWM786414:LWX786416 MGI786414:MGT786416 MQE786414:MQP786416 NAA786414:NAL786416 NJW786414:NKH786416 NTS786414:NUD786416 ODO786414:ODZ786416 ONK786414:ONV786416 OXG786414:OXR786416 PHC786414:PHN786416 PQY786414:PRJ786416 QAU786414:QBF786416 QKQ786414:QLB786416 QUM786414:QUX786416 REI786414:RET786416 ROE786414:ROP786416 RYA786414:RYL786416 SHW786414:SIH786416 SRS786414:SSD786416 TBO786414:TBZ786416 TLK786414:TLV786416 TVG786414:TVR786416 UFC786414:UFN786416 UOY786414:UPJ786416 UYU786414:UZF786416 VIQ786414:VJB786416 VSM786414:VSX786416 WCI786414:WCT786416 WME786414:WMP786416 WWA786414:WWL786416 JO851950:JZ851952 TK851950:TV851952 ADG851950:ADR851952 ANC851950:ANN851952 AWY851950:AXJ851952 BGU851950:BHF851952 BQQ851950:BRB851952 CAM851950:CAX851952 CKI851950:CKT851952 CUE851950:CUP851952 DEA851950:DEL851952 DNW851950:DOH851952 DXS851950:DYD851952 EHO851950:EHZ851952 ERK851950:ERV851952 FBG851950:FBR851952 FLC851950:FLN851952 FUY851950:FVJ851952 GEU851950:GFF851952 GOQ851950:GPB851952 GYM851950:GYX851952 HII851950:HIT851952 HSE851950:HSP851952 ICA851950:ICL851952 ILW851950:IMH851952 IVS851950:IWD851952 JFO851950:JFZ851952 JPK851950:JPV851952 JZG851950:JZR851952 KJC851950:KJN851952 KSY851950:KTJ851952 LCU851950:LDF851952 LMQ851950:LNB851952 LWM851950:LWX851952 MGI851950:MGT851952 MQE851950:MQP851952 NAA851950:NAL851952 NJW851950:NKH851952 NTS851950:NUD851952 ODO851950:ODZ851952 ONK851950:ONV851952 OXG851950:OXR851952 PHC851950:PHN851952 PQY851950:PRJ851952 QAU851950:QBF851952 QKQ851950:QLB851952 QUM851950:QUX851952 REI851950:RET851952 ROE851950:ROP851952 RYA851950:RYL851952 SHW851950:SIH851952 SRS851950:SSD851952 TBO851950:TBZ851952 TLK851950:TLV851952 TVG851950:TVR851952 UFC851950:UFN851952 UOY851950:UPJ851952 UYU851950:UZF851952 VIQ851950:VJB851952 VSM851950:VSX851952 WCI851950:WCT851952 WME851950:WMP851952 WWA851950:WWL851952 JO917486:JZ917488 TK917486:TV917488 ADG917486:ADR917488 ANC917486:ANN917488 AWY917486:AXJ917488 BGU917486:BHF917488 BQQ917486:BRB917488 CAM917486:CAX917488 CKI917486:CKT917488 CUE917486:CUP917488 DEA917486:DEL917488 DNW917486:DOH917488 DXS917486:DYD917488 EHO917486:EHZ917488 ERK917486:ERV917488 FBG917486:FBR917488 FLC917486:FLN917488 FUY917486:FVJ917488 GEU917486:GFF917488 GOQ917486:GPB917488 GYM917486:GYX917488 HII917486:HIT917488 HSE917486:HSP917488 ICA917486:ICL917488 ILW917486:IMH917488 IVS917486:IWD917488 JFO917486:JFZ917488 JPK917486:JPV917488 JZG917486:JZR917488 KJC917486:KJN917488 KSY917486:KTJ917488 LCU917486:LDF917488 LMQ917486:LNB917488 LWM917486:LWX917488 MGI917486:MGT917488 MQE917486:MQP917488 NAA917486:NAL917488 NJW917486:NKH917488 NTS917486:NUD917488 ODO917486:ODZ917488 ONK917486:ONV917488 OXG917486:OXR917488 PHC917486:PHN917488 PQY917486:PRJ917488 QAU917486:QBF917488 QKQ917486:QLB917488 QUM917486:QUX917488 REI917486:RET917488 ROE917486:ROP917488 RYA917486:RYL917488 SHW917486:SIH917488 SRS917486:SSD917488 TBO917486:TBZ917488 TLK917486:TLV917488 TVG917486:TVR917488 UFC917486:UFN917488 UOY917486:UPJ917488 UYU917486:UZF917488 VIQ917486:VJB917488 VSM917486:VSX917488 WCI917486:WCT917488 WME917486:WMP917488 WWA917486:WWL917488 JO983022:JZ983024 TK983022:TV983024 ADG983022:ADR983024 ANC983022:ANN983024 AWY983022:AXJ983024 BGU983022:BHF983024 BQQ983022:BRB983024 CAM983022:CAX983024 CKI983022:CKT983024 CUE983022:CUP983024 DEA983022:DEL983024 DNW983022:DOH983024 DXS983022:DYD983024 EHO983022:EHZ983024 ERK983022:ERV983024 FBG983022:FBR983024 FLC983022:FLN983024 FUY983022:FVJ983024 GEU983022:GFF983024 GOQ983022:GPB983024 GYM983022:GYX983024 HII983022:HIT983024 HSE983022:HSP983024 ICA983022:ICL983024 ILW983022:IMH983024 IVS983022:IWD983024 JFO983022:JFZ983024 JPK983022:JPV983024 JZG983022:JZR983024 KJC983022:KJN983024 KSY983022:KTJ983024 LCU983022:LDF983024 LMQ983022:LNB983024 LWM983022:LWX983024 MGI983022:MGT983024 MQE983022:MQP983024 NAA983022:NAL983024 NJW983022:NKH983024 NTS983022:NUD983024 ODO983022:ODZ983024 ONK983022:ONV983024 OXG983022:OXR983024 PHC983022:PHN983024 PQY983022:PRJ983024 QAU983022:QBF983024 QKQ983022:QLB983024 QUM983022:QUX983024 REI983022:RET983024 ROE983022:ROP983024 RYA983022:RYL983024 SHW983022:SIH983024 SRS983022:SSD983024 TBO983022:TBZ983024 TLK983022:TLV983024 TVG983022:TVR983024 UFC983022:UFN983024 UOY983022:UPJ983024 UYU983022:UZF983024 VIQ983022:VJB983024 VSM983022:VSX983024 WCI983022:WCT983024 WME983022:WMP983024 WWA983022:WWL983024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18:AM65520 AC983022:AM983024 AC917486:AM917488 AC851950:AM851952 AC786414:AM786416 AC720878:AM720880 AC655342:AM655344 AC589806:AM589808 AC524270:AM524272 AC458734:AM458736 AC393198:AM393200 AC327662:AM327664 AC262126:AM262128 AC196590:AM196592 AC131054:AM131056 R2"/>
    <dataValidation type="list" allowBlank="1" showInputMessage="1" showErrorMessage="1" sqref="Y8:Z85">
      <formula1>"文字,数値,日付,時間"</formula1>
    </dataValidation>
    <dataValidation type="list" allowBlank="1" showInputMessage="1" showErrorMessage="1" sqref="AA8:AC85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6" s="17" customFormat="1" ht="14.4" customHeight="1">
      <c r="A1" s="396" t="s">
        <v>78</v>
      </c>
      <c r="B1" s="397"/>
      <c r="C1" s="397"/>
      <c r="D1" s="397"/>
      <c r="E1" s="397"/>
      <c r="F1" s="397"/>
      <c r="G1" s="397"/>
      <c r="H1" s="398"/>
      <c r="I1" s="336" t="s">
        <v>79</v>
      </c>
      <c r="J1" s="337"/>
      <c r="K1" s="337"/>
      <c r="L1" s="337"/>
      <c r="M1" s="337"/>
      <c r="N1" s="337"/>
      <c r="O1" s="337"/>
      <c r="P1" s="337"/>
      <c r="Q1" s="338"/>
      <c r="R1" s="336" t="s">
        <v>80</v>
      </c>
      <c r="S1" s="337"/>
      <c r="T1" s="337"/>
      <c r="U1" s="337"/>
      <c r="V1" s="337"/>
      <c r="W1" s="337"/>
      <c r="X1" s="338"/>
      <c r="Y1" s="336" t="s">
        <v>135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8"/>
      <c r="AP1" s="407" t="s">
        <v>82</v>
      </c>
      <c r="AQ1" s="408"/>
      <c r="AR1" s="408"/>
      <c r="AS1" s="408"/>
      <c r="AT1" s="409"/>
      <c r="AU1" s="407" t="s">
        <v>83</v>
      </c>
      <c r="AV1" s="408"/>
      <c r="AW1" s="408"/>
      <c r="AX1" s="408"/>
      <c r="AY1" s="409"/>
      <c r="AZ1" s="407" t="s">
        <v>84</v>
      </c>
      <c r="BA1" s="408"/>
      <c r="BB1" s="408"/>
      <c r="BC1" s="408"/>
      <c r="BD1" s="409"/>
    </row>
    <row r="2" spans="1:56" s="17" customFormat="1" ht="14.4" customHeight="1">
      <c r="A2" s="399"/>
      <c r="B2" s="400"/>
      <c r="C2" s="400"/>
      <c r="D2" s="400"/>
      <c r="E2" s="400"/>
      <c r="F2" s="400"/>
      <c r="G2" s="400"/>
      <c r="H2" s="401"/>
      <c r="I2" s="366" t="s">
        <v>85</v>
      </c>
      <c r="J2" s="367"/>
      <c r="K2" s="367"/>
      <c r="L2" s="367"/>
      <c r="M2" s="367"/>
      <c r="N2" s="367"/>
      <c r="O2" s="367"/>
      <c r="P2" s="367"/>
      <c r="Q2" s="368"/>
      <c r="R2" s="366" t="str">
        <f ca="1">VLOOKUP(RIGHT(CELL("filename",A2),LEN(CELL("filename",A2))-FIND("]",CELL("filename",A2))),テーブル一覧!B:AD,22,FALSE)</f>
        <v>B.生産計画</v>
      </c>
      <c r="S2" s="367"/>
      <c r="T2" s="367"/>
      <c r="U2" s="367"/>
      <c r="V2" s="367"/>
      <c r="W2" s="367"/>
      <c r="X2" s="368"/>
      <c r="Y2" s="366" t="str">
        <f ca="1">VLOOKUP(RIGHT(CELL("filename",A2),LEN(CELL("filename",A2))-FIND("]",CELL("filename",A2))),テーブル一覧!B:AD,1,FALSE)</f>
        <v>生産計画情報（熱加工）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8"/>
      <c r="AP2" s="339"/>
      <c r="AQ2" s="340"/>
      <c r="AR2" s="340"/>
      <c r="AS2" s="340"/>
      <c r="AT2" s="341"/>
      <c r="AU2" s="128" t="s">
        <v>88</v>
      </c>
      <c r="AV2" s="129"/>
      <c r="AW2" s="129"/>
      <c r="AX2" s="129"/>
      <c r="AY2" s="130"/>
      <c r="AZ2" s="432" t="s">
        <v>89</v>
      </c>
      <c r="BA2" s="433"/>
      <c r="BB2" s="433"/>
      <c r="BC2" s="433"/>
      <c r="BD2" s="434"/>
    </row>
    <row r="3" spans="1:56" s="17" customFormat="1" ht="14.4" customHeight="1">
      <c r="A3" s="399"/>
      <c r="B3" s="400"/>
      <c r="C3" s="400"/>
      <c r="D3" s="400"/>
      <c r="E3" s="400"/>
      <c r="F3" s="400"/>
      <c r="G3" s="400"/>
      <c r="H3" s="401"/>
      <c r="I3" s="369"/>
      <c r="J3" s="370"/>
      <c r="K3" s="370"/>
      <c r="L3" s="370"/>
      <c r="M3" s="370"/>
      <c r="N3" s="370"/>
      <c r="O3" s="370"/>
      <c r="P3" s="370"/>
      <c r="Q3" s="371"/>
      <c r="R3" s="369"/>
      <c r="S3" s="370"/>
      <c r="T3" s="370"/>
      <c r="U3" s="370"/>
      <c r="V3" s="370"/>
      <c r="W3" s="370"/>
      <c r="X3" s="371"/>
      <c r="Y3" s="372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4"/>
      <c r="AP3" s="339"/>
      <c r="AQ3" s="340"/>
      <c r="AR3" s="340"/>
      <c r="AS3" s="340"/>
      <c r="AT3" s="341"/>
      <c r="AU3" s="429"/>
      <c r="AV3" s="430"/>
      <c r="AW3" s="430"/>
      <c r="AX3" s="430"/>
      <c r="AY3" s="431"/>
      <c r="AZ3" s="432"/>
      <c r="BA3" s="433"/>
      <c r="BB3" s="433"/>
      <c r="BC3" s="433"/>
      <c r="BD3" s="434"/>
    </row>
    <row r="4" spans="1:56" s="17" customFormat="1" ht="14.4" customHeight="1">
      <c r="A4" s="402"/>
      <c r="B4" s="403"/>
      <c r="C4" s="403"/>
      <c r="D4" s="403"/>
      <c r="E4" s="403"/>
      <c r="F4" s="403"/>
      <c r="G4" s="403"/>
      <c r="H4" s="404"/>
      <c r="I4" s="372"/>
      <c r="J4" s="373"/>
      <c r="K4" s="373"/>
      <c r="L4" s="373"/>
      <c r="M4" s="373"/>
      <c r="N4" s="373"/>
      <c r="O4" s="373"/>
      <c r="P4" s="373"/>
      <c r="Q4" s="374"/>
      <c r="R4" s="372"/>
      <c r="S4" s="373"/>
      <c r="T4" s="373"/>
      <c r="U4" s="373"/>
      <c r="V4" s="373"/>
      <c r="W4" s="373"/>
      <c r="X4" s="374"/>
      <c r="Y4" s="41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t_seisan_keikaku_hc</v>
      </c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8"/>
      <c r="AP4" s="339"/>
      <c r="AQ4" s="340"/>
      <c r="AR4" s="340"/>
      <c r="AS4" s="340"/>
      <c r="AT4" s="341"/>
      <c r="AU4" s="429"/>
      <c r="AV4" s="430"/>
      <c r="AW4" s="430"/>
      <c r="AX4" s="430"/>
      <c r="AY4" s="431"/>
      <c r="AZ4" s="432"/>
      <c r="BA4" s="433"/>
      <c r="BB4" s="433"/>
      <c r="BC4" s="433"/>
      <c r="BD4" s="434"/>
    </row>
    <row r="6" spans="1:56" ht="14.4" customHeight="1">
      <c r="A6" s="405" t="s">
        <v>90</v>
      </c>
      <c r="B6" s="386" t="s">
        <v>136</v>
      </c>
      <c r="C6" s="394"/>
      <c r="D6" s="394"/>
      <c r="E6" s="394"/>
      <c r="F6" s="394"/>
      <c r="G6" s="394"/>
      <c r="H6" s="387"/>
      <c r="I6" s="386" t="s">
        <v>137</v>
      </c>
      <c r="J6" s="394"/>
      <c r="K6" s="394"/>
      <c r="L6" s="394"/>
      <c r="M6" s="394"/>
      <c r="N6" s="394"/>
      <c r="O6" s="394"/>
      <c r="P6" s="394"/>
      <c r="Q6" s="387"/>
      <c r="R6" s="386" t="s">
        <v>138</v>
      </c>
      <c r="S6" s="394"/>
      <c r="T6" s="394"/>
      <c r="U6" s="394"/>
      <c r="V6" s="394"/>
      <c r="W6" s="394"/>
      <c r="X6" s="387"/>
      <c r="Y6" s="386" t="s">
        <v>139</v>
      </c>
      <c r="Z6" s="387"/>
      <c r="AA6" s="386" t="s">
        <v>140</v>
      </c>
      <c r="AB6" s="394"/>
      <c r="AC6" s="387"/>
      <c r="AD6" s="390" t="s">
        <v>141</v>
      </c>
      <c r="AE6" s="392" t="s">
        <v>142</v>
      </c>
      <c r="AF6" s="390" t="s">
        <v>143</v>
      </c>
      <c r="AG6" s="390" t="s">
        <v>144</v>
      </c>
      <c r="AH6" s="390" t="s">
        <v>145</v>
      </c>
      <c r="AI6" s="383" t="s">
        <v>146</v>
      </c>
      <c r="AJ6" s="384"/>
      <c r="AK6" s="384"/>
      <c r="AL6" s="384"/>
      <c r="AM6" s="384"/>
      <c r="AN6" s="384"/>
      <c r="AO6" s="384"/>
      <c r="AP6" s="384"/>
      <c r="AQ6" s="384"/>
      <c r="AR6" s="385"/>
      <c r="AS6" s="386" t="s">
        <v>147</v>
      </c>
      <c r="AT6" s="394"/>
      <c r="AU6" s="394"/>
      <c r="AV6" s="394"/>
      <c r="AW6" s="394"/>
      <c r="AX6" s="394"/>
      <c r="AY6" s="394"/>
      <c r="AZ6" s="394"/>
      <c r="BA6" s="394"/>
      <c r="BB6" s="394"/>
      <c r="BC6" s="394"/>
      <c r="BD6" s="387"/>
    </row>
    <row r="7" spans="1:56" ht="14.4" customHeight="1">
      <c r="A7" s="406"/>
      <c r="B7" s="388"/>
      <c r="C7" s="395"/>
      <c r="D7" s="395"/>
      <c r="E7" s="395"/>
      <c r="F7" s="395"/>
      <c r="G7" s="395"/>
      <c r="H7" s="389"/>
      <c r="I7" s="388"/>
      <c r="J7" s="395"/>
      <c r="K7" s="395"/>
      <c r="L7" s="395"/>
      <c r="M7" s="395"/>
      <c r="N7" s="395"/>
      <c r="O7" s="395"/>
      <c r="P7" s="395"/>
      <c r="Q7" s="389"/>
      <c r="R7" s="388"/>
      <c r="S7" s="395"/>
      <c r="T7" s="395"/>
      <c r="U7" s="395"/>
      <c r="V7" s="395"/>
      <c r="W7" s="395"/>
      <c r="X7" s="389"/>
      <c r="Y7" s="388"/>
      <c r="Z7" s="389"/>
      <c r="AA7" s="388"/>
      <c r="AB7" s="395"/>
      <c r="AC7" s="389"/>
      <c r="AD7" s="391"/>
      <c r="AE7" s="393"/>
      <c r="AF7" s="391"/>
      <c r="AG7" s="391"/>
      <c r="AH7" s="39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88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89"/>
    </row>
    <row r="8" spans="1:56" s="1" customFormat="1" ht="14.4" customHeight="1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424" t="s">
        <v>150</v>
      </c>
      <c r="Z8" s="425"/>
      <c r="AA8" s="426" t="s">
        <v>151</v>
      </c>
      <c r="AB8" s="427"/>
      <c r="AC8" s="428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6" s="1" customFormat="1" ht="14.4" customHeight="1">
      <c r="A9" s="131">
        <f>IF(B9="","",COUNTA($B$8:B9))</f>
        <v>2</v>
      </c>
      <c r="B9" s="8" t="s">
        <v>153</v>
      </c>
      <c r="C9" s="114"/>
      <c r="D9" s="114"/>
      <c r="E9" s="114"/>
      <c r="F9" s="114"/>
      <c r="G9" s="114"/>
      <c r="H9" s="134"/>
      <c r="I9" s="115" t="s">
        <v>154</v>
      </c>
      <c r="J9" s="116"/>
      <c r="K9" s="116"/>
      <c r="L9" s="116"/>
      <c r="M9" s="116"/>
      <c r="N9" s="116"/>
      <c r="O9" s="116"/>
      <c r="P9" s="116"/>
      <c r="Q9" s="133"/>
      <c r="R9" s="8" t="s">
        <v>153</v>
      </c>
      <c r="S9" s="116"/>
      <c r="T9" s="116"/>
      <c r="U9" s="116"/>
      <c r="V9" s="116"/>
      <c r="W9" s="116"/>
      <c r="X9" s="134"/>
      <c r="Y9" s="424" t="s">
        <v>155</v>
      </c>
      <c r="Z9" s="425"/>
      <c r="AA9" s="426" t="s">
        <v>156</v>
      </c>
      <c r="AB9" s="427"/>
      <c r="AC9" s="428"/>
      <c r="AD9" s="126">
        <v>3</v>
      </c>
      <c r="AE9" s="111"/>
      <c r="AF9" s="111">
        <v>2</v>
      </c>
      <c r="AG9" s="120" t="s">
        <v>152</v>
      </c>
      <c r="AH9" s="120"/>
      <c r="AI9" s="120"/>
      <c r="AJ9" s="120"/>
      <c r="AK9" s="120"/>
      <c r="AL9" s="120"/>
      <c r="AM9" s="120"/>
      <c r="AN9" s="120"/>
      <c r="AO9" s="111"/>
      <c r="AP9" s="111"/>
      <c r="AQ9" s="111"/>
      <c r="AR9" s="111"/>
      <c r="AS9" s="118" t="s">
        <v>355</v>
      </c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6" s="1" customFormat="1" ht="14.4" customHeight="1">
      <c r="A10" s="131">
        <f>IF(B10="","",COUNTA($B$8:B10))</f>
        <v>3</v>
      </c>
      <c r="B10" s="8" t="s">
        <v>157</v>
      </c>
      <c r="C10" s="114"/>
      <c r="D10" s="114"/>
      <c r="E10" s="114"/>
      <c r="F10" s="114"/>
      <c r="G10" s="114"/>
      <c r="H10" s="134"/>
      <c r="I10" s="115" t="s">
        <v>158</v>
      </c>
      <c r="J10" s="116"/>
      <c r="K10" s="116"/>
      <c r="L10" s="116"/>
      <c r="M10" s="116"/>
      <c r="N10" s="116"/>
      <c r="O10" s="116"/>
      <c r="P10" s="116"/>
      <c r="Q10" s="133"/>
      <c r="R10" s="8" t="s">
        <v>157</v>
      </c>
      <c r="S10" s="116"/>
      <c r="T10" s="116"/>
      <c r="U10" s="116"/>
      <c r="V10" s="116"/>
      <c r="W10" s="116"/>
      <c r="X10" s="134"/>
      <c r="Y10" s="424" t="s">
        <v>150</v>
      </c>
      <c r="Z10" s="425"/>
      <c r="AA10" s="426" t="s">
        <v>151</v>
      </c>
      <c r="AB10" s="427"/>
      <c r="AC10" s="428"/>
      <c r="AD10" s="126">
        <v>10</v>
      </c>
      <c r="AE10" s="111"/>
      <c r="AF10" s="111"/>
      <c r="AG10" s="120"/>
      <c r="AH10" s="120"/>
      <c r="AI10" s="120"/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</row>
    <row r="11" spans="1:56" s="1" customFormat="1" ht="14.4" customHeight="1">
      <c r="A11" s="131">
        <f>IF(B11="","",COUNTA($B$8:B11))</f>
        <v>4</v>
      </c>
      <c r="B11" s="8" t="s">
        <v>159</v>
      </c>
      <c r="C11" s="114"/>
      <c r="D11" s="114"/>
      <c r="E11" s="114"/>
      <c r="F11" s="114"/>
      <c r="G11" s="114"/>
      <c r="H11" s="134"/>
      <c r="I11" s="115" t="s">
        <v>160</v>
      </c>
      <c r="J11" s="116"/>
      <c r="K11" s="116"/>
      <c r="L11" s="116"/>
      <c r="M11" s="116"/>
      <c r="N11" s="116"/>
      <c r="O11" s="116"/>
      <c r="P11" s="116"/>
      <c r="Q11" s="133"/>
      <c r="R11" s="8" t="s">
        <v>159</v>
      </c>
      <c r="S11" s="116"/>
      <c r="T11" s="116"/>
      <c r="U11" s="116"/>
      <c r="V11" s="116"/>
      <c r="W11" s="116"/>
      <c r="X11" s="134"/>
      <c r="Y11" s="424" t="s">
        <v>150</v>
      </c>
      <c r="Z11" s="425"/>
      <c r="AA11" s="426" t="s">
        <v>151</v>
      </c>
      <c r="AB11" s="427"/>
      <c r="AC11" s="428"/>
      <c r="AD11" s="126">
        <v>4</v>
      </c>
      <c r="AE11" s="111"/>
      <c r="AF11" s="111"/>
      <c r="AG11" s="120"/>
      <c r="AH11" s="120"/>
      <c r="AI11" s="120" t="s">
        <v>161</v>
      </c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6" s="1" customFormat="1" ht="14.4" customHeight="1">
      <c r="A12" s="131">
        <f>IF(B12="","",COUNTA($B$8:B12))</f>
        <v>5</v>
      </c>
      <c r="B12" s="165" t="s">
        <v>162</v>
      </c>
      <c r="D12" s="114"/>
      <c r="E12" s="114"/>
      <c r="F12" s="114"/>
      <c r="G12" s="114"/>
      <c r="H12" s="134"/>
      <c r="I12" s="165" t="s">
        <v>163</v>
      </c>
      <c r="J12" s="116"/>
      <c r="K12" s="116"/>
      <c r="L12" s="116"/>
      <c r="M12" s="116"/>
      <c r="N12" s="116"/>
      <c r="O12" s="116"/>
      <c r="P12" s="116"/>
      <c r="Q12" s="133"/>
      <c r="R12" s="8" t="s">
        <v>164</v>
      </c>
      <c r="S12" s="116"/>
      <c r="T12" s="116"/>
      <c r="U12" s="116"/>
      <c r="V12" s="116"/>
      <c r="W12" s="116"/>
      <c r="X12" s="134"/>
      <c r="Y12" s="424" t="s">
        <v>150</v>
      </c>
      <c r="Z12" s="425"/>
      <c r="AA12" s="426" t="s">
        <v>151</v>
      </c>
      <c r="AB12" s="427"/>
      <c r="AC12" s="428"/>
      <c r="AD12" s="126">
        <v>4</v>
      </c>
      <c r="AE12" s="111"/>
      <c r="AF12" s="111"/>
      <c r="AG12" s="120"/>
      <c r="AH12" s="120"/>
      <c r="AI12" s="120" t="s">
        <v>165</v>
      </c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6" s="1" customFormat="1" ht="14.4" customHeight="1">
      <c r="A13" s="131">
        <f>IF(B13="","",COUNTA($B$8:B13))</f>
        <v>6</v>
      </c>
      <c r="B13" s="8" t="s">
        <v>166</v>
      </c>
      <c r="C13" s="114"/>
      <c r="D13" s="114"/>
      <c r="E13" s="114"/>
      <c r="F13" s="114"/>
      <c r="G13" s="114"/>
      <c r="H13" s="134"/>
      <c r="I13" s="115" t="s">
        <v>167</v>
      </c>
      <c r="J13" s="116"/>
      <c r="K13" s="116"/>
      <c r="L13" s="116"/>
      <c r="M13" s="116"/>
      <c r="N13" s="116"/>
      <c r="O13" s="116"/>
      <c r="P13" s="116"/>
      <c r="Q13" s="133"/>
      <c r="R13" s="8" t="s">
        <v>168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426" t="s">
        <v>170</v>
      </c>
      <c r="AB13" s="427"/>
      <c r="AC13" s="428"/>
      <c r="AD13" s="126"/>
      <c r="AE13" s="111"/>
      <c r="AF13" s="111"/>
      <c r="AG13" s="120"/>
      <c r="AH13" s="120"/>
      <c r="AI13" s="120" t="s">
        <v>171</v>
      </c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6" s="1" customFormat="1" ht="14.4" customHeight="1">
      <c r="A14" s="131">
        <f>IF(B14="","",COUNTA($B$8:B14))</f>
        <v>7</v>
      </c>
      <c r="B14" s="8" t="s">
        <v>174</v>
      </c>
      <c r="C14" s="114"/>
      <c r="D14" s="114"/>
      <c r="E14" s="114"/>
      <c r="F14" s="114"/>
      <c r="G14" s="114"/>
      <c r="H14" s="134"/>
      <c r="I14" s="115" t="s">
        <v>175</v>
      </c>
      <c r="J14" s="116"/>
      <c r="K14" s="116"/>
      <c r="L14" s="116"/>
      <c r="M14" s="116"/>
      <c r="N14" s="116"/>
      <c r="O14" s="116"/>
      <c r="P14" s="116"/>
      <c r="Q14" s="133"/>
      <c r="R14" s="8" t="s">
        <v>176</v>
      </c>
      <c r="S14" s="116"/>
      <c r="T14" s="116"/>
      <c r="U14" s="116"/>
      <c r="V14" s="116"/>
      <c r="W14" s="116"/>
      <c r="X14" s="134"/>
      <c r="Y14" s="8" t="s">
        <v>169</v>
      </c>
      <c r="Z14" s="119"/>
      <c r="AA14" s="426" t="s">
        <v>170</v>
      </c>
      <c r="AB14" s="427"/>
      <c r="AC14" s="428"/>
      <c r="AD14" s="159"/>
      <c r="AE14" s="111"/>
      <c r="AF14" s="111"/>
      <c r="AG14" s="120"/>
      <c r="AH14" s="120"/>
      <c r="AI14" s="120" t="s">
        <v>173</v>
      </c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6" s="1" customFormat="1" ht="14.4" customHeight="1">
      <c r="A15" s="131">
        <f>IF(B15="","",COUNTA($B$8:B15))</f>
        <v>8</v>
      </c>
      <c r="B15" s="8" t="s">
        <v>172</v>
      </c>
      <c r="C15" s="114"/>
      <c r="D15" s="114"/>
      <c r="E15" s="114"/>
      <c r="F15" s="114"/>
      <c r="G15" s="114"/>
      <c r="H15" s="134"/>
      <c r="I15" s="115" t="s">
        <v>177</v>
      </c>
      <c r="J15" s="116"/>
      <c r="K15" s="116"/>
      <c r="L15" s="116"/>
      <c r="M15" s="116"/>
      <c r="N15" s="116"/>
      <c r="O15" s="116"/>
      <c r="P15" s="116"/>
      <c r="Q15" s="133"/>
      <c r="R15" s="8" t="s">
        <v>172</v>
      </c>
      <c r="S15" s="116"/>
      <c r="T15" s="116"/>
      <c r="U15" s="116"/>
      <c r="V15" s="116"/>
      <c r="W15" s="116"/>
      <c r="X15" s="134"/>
      <c r="Y15" s="8" t="s">
        <v>150</v>
      </c>
      <c r="Z15" s="119"/>
      <c r="AA15" s="426" t="s">
        <v>151</v>
      </c>
      <c r="AB15" s="427"/>
      <c r="AC15" s="428"/>
      <c r="AD15" s="159">
        <v>6</v>
      </c>
      <c r="AE15" s="111"/>
      <c r="AF15" s="111"/>
      <c r="AG15" s="120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 t="s">
        <v>265</v>
      </c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6" s="1" customFormat="1" ht="14.4" customHeight="1">
      <c r="A16" s="131">
        <f>IF(B16="","",COUNTA($B$8:B16))</f>
        <v>9</v>
      </c>
      <c r="B16" s="8" t="s">
        <v>178</v>
      </c>
      <c r="C16" s="114"/>
      <c r="D16" s="114"/>
      <c r="E16" s="114"/>
      <c r="F16" s="114"/>
      <c r="G16" s="114"/>
      <c r="H16" s="134"/>
      <c r="I16" s="115" t="s">
        <v>179</v>
      </c>
      <c r="J16" s="116"/>
      <c r="K16" s="116"/>
      <c r="L16" s="116"/>
      <c r="M16" s="116"/>
      <c r="N16" s="116"/>
      <c r="O16" s="116"/>
      <c r="P16" s="116"/>
      <c r="Q16" s="133"/>
      <c r="R16" s="8" t="s">
        <v>178</v>
      </c>
      <c r="S16" s="116"/>
      <c r="T16" s="116"/>
      <c r="U16" s="116"/>
      <c r="V16" s="116"/>
      <c r="W16" s="116"/>
      <c r="X16" s="134"/>
      <c r="Y16" s="424" t="s">
        <v>150</v>
      </c>
      <c r="Z16" s="425"/>
      <c r="AA16" s="426" t="s">
        <v>151</v>
      </c>
      <c r="AB16" s="427"/>
      <c r="AC16" s="428"/>
      <c r="AD16" s="126">
        <v>20</v>
      </c>
      <c r="AE16" s="111"/>
      <c r="AF16" s="111"/>
      <c r="AG16" s="120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 t="s">
        <v>180</v>
      </c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7" s="1" customFormat="1" ht="14.4" customHeight="1">
      <c r="A17" s="131">
        <f>IF(B17="","",COUNTA($B$8:B17))</f>
        <v>10</v>
      </c>
      <c r="B17" s="8" t="s">
        <v>181</v>
      </c>
      <c r="C17" s="114"/>
      <c r="D17" s="114"/>
      <c r="E17" s="114"/>
      <c r="F17" s="114"/>
      <c r="G17" s="114"/>
      <c r="H17" s="134"/>
      <c r="I17" s="115" t="s">
        <v>182</v>
      </c>
      <c r="J17" s="116"/>
      <c r="K17" s="116"/>
      <c r="L17" s="116"/>
      <c r="M17" s="116"/>
      <c r="N17" s="116"/>
      <c r="O17" s="116"/>
      <c r="P17" s="116"/>
      <c r="Q17" s="133"/>
      <c r="R17" s="8" t="s">
        <v>181</v>
      </c>
      <c r="S17" s="116"/>
      <c r="T17" s="116"/>
      <c r="U17" s="116"/>
      <c r="V17" s="116"/>
      <c r="W17" s="116"/>
      <c r="X17" s="133"/>
      <c r="Y17" s="424" t="s">
        <v>150</v>
      </c>
      <c r="Z17" s="425"/>
      <c r="AA17" s="426" t="s">
        <v>151</v>
      </c>
      <c r="AB17" s="427"/>
      <c r="AC17" s="428"/>
      <c r="AD17" s="126">
        <v>30</v>
      </c>
      <c r="AE17" s="111"/>
      <c r="AF17" s="111"/>
      <c r="AG17" s="120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 t="s">
        <v>1409</v>
      </c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7" s="1" customFormat="1" ht="14.4" customHeight="1">
      <c r="A18" s="131">
        <f>IF(B18="","",COUNTA($B$8:B18))</f>
        <v>11</v>
      </c>
      <c r="B18" s="8" t="s">
        <v>183</v>
      </c>
      <c r="C18" s="114"/>
      <c r="D18" s="114"/>
      <c r="E18" s="114"/>
      <c r="F18" s="114"/>
      <c r="G18" s="114"/>
      <c r="H18" s="134"/>
      <c r="I18" s="115" t="s">
        <v>184</v>
      </c>
      <c r="J18" s="116"/>
      <c r="K18" s="116"/>
      <c r="L18" s="116"/>
      <c r="M18" s="116"/>
      <c r="N18" s="116"/>
      <c r="O18" s="116"/>
      <c r="P18" s="116"/>
      <c r="Q18" s="133"/>
      <c r="R18" s="8" t="s">
        <v>183</v>
      </c>
      <c r="S18" s="116"/>
      <c r="T18" s="116"/>
      <c r="U18" s="116"/>
      <c r="V18" s="116"/>
      <c r="W18" s="116"/>
      <c r="X18" s="134"/>
      <c r="Y18" s="424" t="s">
        <v>150</v>
      </c>
      <c r="Z18" s="425"/>
      <c r="AA18" s="426" t="s">
        <v>151</v>
      </c>
      <c r="AB18" s="427"/>
      <c r="AC18" s="428"/>
      <c r="AD18" s="126">
        <v>1000</v>
      </c>
      <c r="AE18" s="111"/>
      <c r="AF18" s="111"/>
      <c r="AG18" s="120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7" s="1" customFormat="1" ht="14.4" customHeight="1">
      <c r="A19" s="131">
        <f>IF(B19="","",COUNTA($B$8:B19))</f>
        <v>12</v>
      </c>
      <c r="B19" s="8" t="s">
        <v>185</v>
      </c>
      <c r="C19" s="114"/>
      <c r="D19" s="114"/>
      <c r="E19" s="114"/>
      <c r="F19" s="114"/>
      <c r="G19" s="114"/>
      <c r="H19" s="134"/>
      <c r="I19" s="115" t="s">
        <v>186</v>
      </c>
      <c r="J19" s="116"/>
      <c r="K19" s="116"/>
      <c r="L19" s="116"/>
      <c r="M19" s="116"/>
      <c r="N19" s="116"/>
      <c r="O19" s="116"/>
      <c r="P19" s="116"/>
      <c r="Q19" s="133"/>
      <c r="R19" s="8" t="s">
        <v>185</v>
      </c>
      <c r="S19" s="116"/>
      <c r="T19" s="116"/>
      <c r="U19" s="116"/>
      <c r="V19" s="116"/>
      <c r="W19" s="116"/>
      <c r="X19" s="134"/>
      <c r="Y19" s="424" t="s">
        <v>150</v>
      </c>
      <c r="Z19" s="425"/>
      <c r="AA19" s="426" t="s">
        <v>151</v>
      </c>
      <c r="AB19" s="427"/>
      <c r="AC19" s="428"/>
      <c r="AD19" s="126">
        <v>75</v>
      </c>
      <c r="AE19" s="111"/>
      <c r="AF19" s="111"/>
      <c r="AG19" s="120"/>
      <c r="AH19" s="120"/>
      <c r="AI19" s="120"/>
      <c r="AJ19" s="120" t="s">
        <v>161</v>
      </c>
      <c r="AK19" s="120"/>
      <c r="AL19" s="120"/>
      <c r="AM19" s="120"/>
      <c r="AN19" s="120"/>
      <c r="AO19" s="111"/>
      <c r="AP19" s="111"/>
      <c r="AQ19" s="111"/>
      <c r="AR19" s="111"/>
      <c r="AS19" s="189" t="s">
        <v>1407</v>
      </c>
      <c r="AT19" s="176"/>
      <c r="AU19" s="176"/>
      <c r="AV19" s="176"/>
      <c r="AW19" s="176"/>
      <c r="AX19" s="176"/>
      <c r="AY19" s="176"/>
      <c r="AZ19" s="176"/>
      <c r="BA19" s="124"/>
      <c r="BB19" s="124"/>
      <c r="BC19" s="124"/>
      <c r="BD19" s="125"/>
      <c r="BE19" s="1" t="s">
        <v>1417</v>
      </c>
    </row>
    <row r="20" spans="1:57" s="1" customFormat="1" ht="14.4" customHeight="1">
      <c r="A20" s="131">
        <f>IF(B20="","",COUNTA($B$8:B20))</f>
        <v>13</v>
      </c>
      <c r="B20" s="8" t="s">
        <v>187</v>
      </c>
      <c r="C20" s="114"/>
      <c r="D20" s="114"/>
      <c r="E20" s="114"/>
      <c r="F20" s="114"/>
      <c r="G20" s="114"/>
      <c r="H20" s="134"/>
      <c r="I20" s="115" t="s">
        <v>188</v>
      </c>
      <c r="J20" s="116"/>
      <c r="K20" s="116"/>
      <c r="L20" s="116"/>
      <c r="M20" s="116"/>
      <c r="N20" s="116"/>
      <c r="O20" s="116"/>
      <c r="P20" s="116"/>
      <c r="Q20" s="133"/>
      <c r="R20" s="8" t="s">
        <v>187</v>
      </c>
      <c r="S20" s="116"/>
      <c r="T20" s="116"/>
      <c r="U20" s="116"/>
      <c r="V20" s="116"/>
      <c r="W20" s="116"/>
      <c r="X20" s="134"/>
      <c r="Y20" s="424" t="s">
        <v>155</v>
      </c>
      <c r="Z20" s="425"/>
      <c r="AA20" s="426" t="s">
        <v>156</v>
      </c>
      <c r="AB20" s="427"/>
      <c r="AC20" s="428"/>
      <c r="AD20" s="126">
        <v>3</v>
      </c>
      <c r="AE20" s="111"/>
      <c r="AF20" s="111"/>
      <c r="AG20" s="121"/>
      <c r="AH20" s="121"/>
      <c r="AI20" s="121"/>
      <c r="AJ20" s="121"/>
      <c r="AK20" s="121"/>
      <c r="AL20" s="121"/>
      <c r="AM20" s="121"/>
      <c r="AN20" s="121"/>
      <c r="AO20" s="122"/>
      <c r="AP20" s="122"/>
      <c r="AQ20" s="122"/>
      <c r="AR20" s="122"/>
      <c r="AS20" s="210"/>
      <c r="AT20" s="215"/>
      <c r="AU20" s="176"/>
      <c r="AV20" s="176"/>
      <c r="AW20" s="176"/>
      <c r="AX20" s="216"/>
      <c r="AY20" s="216"/>
      <c r="AZ20" s="216"/>
      <c r="BA20" s="157"/>
      <c r="BB20" s="157"/>
      <c r="BC20" s="157"/>
      <c r="BD20" s="158"/>
    </row>
    <row r="21" spans="1:57" s="1" customFormat="1" ht="14.4" customHeight="1">
      <c r="A21" s="286">
        <f>IF(B21="","",COUNTA($B$8:B21))</f>
        <v>14</v>
      </c>
      <c r="B21" s="287" t="s">
        <v>189</v>
      </c>
      <c r="C21" s="288"/>
      <c r="D21" s="288"/>
      <c r="E21" s="288"/>
      <c r="F21" s="288"/>
      <c r="G21" s="288"/>
      <c r="H21" s="289"/>
      <c r="I21" s="290" t="s">
        <v>190</v>
      </c>
      <c r="J21" s="291"/>
      <c r="K21" s="291"/>
      <c r="L21" s="291"/>
      <c r="M21" s="291"/>
      <c r="N21" s="291"/>
      <c r="O21" s="291"/>
      <c r="P21" s="291"/>
      <c r="Q21" s="292"/>
      <c r="R21" s="287" t="s">
        <v>189</v>
      </c>
      <c r="S21" s="291"/>
      <c r="T21" s="291"/>
      <c r="U21" s="291"/>
      <c r="V21" s="291"/>
      <c r="W21" s="291"/>
      <c r="X21" s="289"/>
      <c r="Y21" s="441" t="s">
        <v>155</v>
      </c>
      <c r="Z21" s="442"/>
      <c r="AA21" s="435" t="s">
        <v>156</v>
      </c>
      <c r="AB21" s="436"/>
      <c r="AC21" s="437"/>
      <c r="AD21" s="293">
        <v>3</v>
      </c>
      <c r="AE21" s="294"/>
      <c r="AF21" s="294"/>
      <c r="AG21" s="295"/>
      <c r="AH21" s="295">
        <v>0</v>
      </c>
      <c r="AI21" s="295"/>
      <c r="AJ21" s="295"/>
      <c r="AK21" s="295"/>
      <c r="AL21" s="295"/>
      <c r="AM21" s="295"/>
      <c r="AN21" s="295"/>
      <c r="AO21" s="294"/>
      <c r="AP21" s="294"/>
      <c r="AQ21" s="294"/>
      <c r="AR21" s="294"/>
      <c r="AS21" s="296" t="s">
        <v>191</v>
      </c>
      <c r="AT21" s="297"/>
      <c r="AU21" s="298"/>
      <c r="AV21" s="298"/>
      <c r="AW21" s="298"/>
      <c r="AX21" s="298"/>
      <c r="AY21" s="298"/>
      <c r="AZ21" s="298"/>
      <c r="BA21" s="299"/>
      <c r="BB21" s="299"/>
      <c r="BC21" s="299"/>
      <c r="BD21" s="300"/>
    </row>
    <row r="22" spans="1:57" s="1" customFormat="1" ht="14.4" customHeight="1">
      <c r="A22" s="301" t="str">
        <f>IF(B22="","",COUNTA($B$8:B22))</f>
        <v/>
      </c>
      <c r="B22" s="302"/>
      <c r="C22" s="303"/>
      <c r="D22" s="303"/>
      <c r="E22" s="303"/>
      <c r="F22" s="303"/>
      <c r="G22" s="303"/>
      <c r="H22" s="304"/>
      <c r="I22" s="305"/>
      <c r="J22" s="306"/>
      <c r="K22" s="306"/>
      <c r="L22" s="306"/>
      <c r="M22" s="306"/>
      <c r="N22" s="306"/>
      <c r="O22" s="306"/>
      <c r="P22" s="306"/>
      <c r="Q22" s="307"/>
      <c r="R22" s="302"/>
      <c r="S22" s="306"/>
      <c r="T22" s="306"/>
      <c r="U22" s="306"/>
      <c r="V22" s="306"/>
      <c r="W22" s="306"/>
      <c r="X22" s="304"/>
      <c r="Y22" s="443"/>
      <c r="Z22" s="444"/>
      <c r="AA22" s="438"/>
      <c r="AB22" s="439"/>
      <c r="AC22" s="440"/>
      <c r="AD22" s="308"/>
      <c r="AE22" s="309"/>
      <c r="AF22" s="309"/>
      <c r="AG22" s="310"/>
      <c r="AH22" s="310"/>
      <c r="AI22" s="310"/>
      <c r="AJ22" s="310"/>
      <c r="AK22" s="310"/>
      <c r="AL22" s="310"/>
      <c r="AM22" s="310"/>
      <c r="AN22" s="310"/>
      <c r="AO22" s="309"/>
      <c r="AP22" s="309"/>
      <c r="AQ22" s="309"/>
      <c r="AR22" s="309"/>
      <c r="AS22" s="311" t="s">
        <v>192</v>
      </c>
      <c r="AT22" s="312"/>
      <c r="AU22" s="313"/>
      <c r="AV22" s="313"/>
      <c r="AW22" s="313"/>
      <c r="AX22" s="313"/>
      <c r="AY22" s="313"/>
      <c r="AZ22" s="313"/>
      <c r="BA22" s="314"/>
      <c r="BB22" s="314"/>
      <c r="BC22" s="314"/>
      <c r="BD22" s="315"/>
    </row>
    <row r="23" spans="1:57" s="1" customFormat="1" ht="14.4" customHeight="1">
      <c r="A23" s="131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15" t="s">
        <v>194</v>
      </c>
      <c r="J23" s="116"/>
      <c r="K23" s="116"/>
      <c r="L23" s="116"/>
      <c r="M23" s="116"/>
      <c r="N23" s="116"/>
      <c r="O23" s="116"/>
      <c r="P23" s="116"/>
      <c r="Q23" s="133"/>
      <c r="R23" s="64" t="s">
        <v>193</v>
      </c>
      <c r="S23" s="116"/>
      <c r="T23" s="116"/>
      <c r="U23" s="116"/>
      <c r="V23" s="116"/>
      <c r="W23" s="116"/>
      <c r="X23" s="134"/>
      <c r="Y23" s="424" t="s">
        <v>150</v>
      </c>
      <c r="Z23" s="425"/>
      <c r="AA23" s="426" t="s">
        <v>151</v>
      </c>
      <c r="AB23" s="427"/>
      <c r="AC23" s="428"/>
      <c r="AD23" s="126">
        <v>25</v>
      </c>
      <c r="AE23" s="111"/>
      <c r="AF23" s="111"/>
      <c r="AG23" s="120"/>
      <c r="AH23" s="120"/>
      <c r="AI23" s="120"/>
      <c r="AJ23" s="120"/>
      <c r="AK23" s="120"/>
      <c r="AL23" s="120"/>
      <c r="AM23" s="120"/>
      <c r="AN23" s="120"/>
      <c r="AO23" s="111"/>
      <c r="AP23" s="111"/>
      <c r="AQ23" s="111"/>
      <c r="AR23" s="111"/>
      <c r="AS23" s="189" t="s">
        <v>1408</v>
      </c>
      <c r="AT23" s="216"/>
      <c r="AU23" s="216"/>
      <c r="AV23" s="216"/>
      <c r="AW23" s="216"/>
      <c r="AX23" s="216"/>
      <c r="AY23" s="216"/>
      <c r="AZ23" s="216"/>
      <c r="BA23" s="157"/>
      <c r="BB23" s="157"/>
      <c r="BC23" s="157"/>
      <c r="BD23" s="158"/>
      <c r="BE23" s="1" t="s">
        <v>1417</v>
      </c>
    </row>
    <row r="24" spans="1:57" s="1" customFormat="1" ht="14.4" customHeight="1">
      <c r="A24" s="131">
        <f>IF(B24="","",COUNTA($B$8:B24))</f>
        <v>16</v>
      </c>
      <c r="B24" s="8" t="s">
        <v>195</v>
      </c>
      <c r="C24" s="114"/>
      <c r="D24" s="114"/>
      <c r="E24" s="114"/>
      <c r="F24" s="114"/>
      <c r="G24" s="114"/>
      <c r="H24" s="134"/>
      <c r="I24" s="115" t="s">
        <v>196</v>
      </c>
      <c r="J24" s="116"/>
      <c r="K24" s="116"/>
      <c r="L24" s="116"/>
      <c r="M24" s="116"/>
      <c r="N24" s="116"/>
      <c r="O24" s="116"/>
      <c r="P24" s="116"/>
      <c r="Q24" s="133"/>
      <c r="R24" s="8" t="s">
        <v>195</v>
      </c>
      <c r="S24" s="116"/>
      <c r="T24" s="116"/>
      <c r="U24" s="116"/>
      <c r="V24" s="116"/>
      <c r="W24" s="116"/>
      <c r="X24" s="134"/>
      <c r="Y24" s="424" t="s">
        <v>150</v>
      </c>
      <c r="Z24" s="425"/>
      <c r="AA24" s="426" t="s">
        <v>151</v>
      </c>
      <c r="AB24" s="427"/>
      <c r="AC24" s="428"/>
      <c r="AD24" s="264">
        <v>400</v>
      </c>
      <c r="AE24" s="193"/>
      <c r="AF24" s="193"/>
      <c r="AG24" s="194"/>
      <c r="AH24" s="194"/>
      <c r="AI24" s="194"/>
      <c r="AJ24" s="194"/>
      <c r="AK24" s="194"/>
      <c r="AL24" s="194"/>
      <c r="AM24" s="194"/>
      <c r="AN24" s="194"/>
      <c r="AO24" s="193"/>
      <c r="AP24" s="193"/>
      <c r="AQ24" s="193"/>
      <c r="AR24" s="193"/>
      <c r="AS24" s="189" t="s">
        <v>1512</v>
      </c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  <c r="BE24" s="1" t="s">
        <v>1511</v>
      </c>
    </row>
    <row r="25" spans="1:57" s="1" customFormat="1" ht="14.4" customHeight="1">
      <c r="A25" s="131">
        <f>IF(B25="","",COUNTA($B$8:B25))</f>
        <v>17</v>
      </c>
      <c r="B25" s="8" t="s">
        <v>197</v>
      </c>
      <c r="C25" s="114"/>
      <c r="D25" s="114"/>
      <c r="E25" s="114"/>
      <c r="F25" s="114"/>
      <c r="G25" s="114"/>
      <c r="H25" s="134"/>
      <c r="I25" s="115" t="s">
        <v>198</v>
      </c>
      <c r="J25" s="116"/>
      <c r="K25" s="116"/>
      <c r="L25" s="116"/>
      <c r="M25" s="116"/>
      <c r="N25" s="116"/>
      <c r="O25" s="116"/>
      <c r="P25" s="116"/>
      <c r="Q25" s="133"/>
      <c r="R25" s="8" t="s">
        <v>197</v>
      </c>
      <c r="S25" s="116"/>
      <c r="T25" s="116"/>
      <c r="U25" s="116"/>
      <c r="V25" s="116"/>
      <c r="W25" s="116"/>
      <c r="X25" s="134"/>
      <c r="Y25" s="424" t="s">
        <v>150</v>
      </c>
      <c r="Z25" s="425"/>
      <c r="AA25" s="426" t="s">
        <v>151</v>
      </c>
      <c r="AB25" s="427"/>
      <c r="AC25" s="428"/>
      <c r="AD25" s="126">
        <v>5</v>
      </c>
      <c r="AE25" s="111"/>
      <c r="AF25" s="111"/>
      <c r="AG25" s="120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/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</row>
    <row r="26" spans="1:57" s="1" customFormat="1" ht="14.4" customHeight="1">
      <c r="A26" s="131">
        <f>IF(B26="","",COUNTA($B$8:B26))</f>
        <v>18</v>
      </c>
      <c r="B26" s="8" t="s">
        <v>199</v>
      </c>
      <c r="C26" s="114"/>
      <c r="D26" s="114"/>
      <c r="E26" s="114"/>
      <c r="F26" s="114"/>
      <c r="G26" s="114"/>
      <c r="H26" s="134"/>
      <c r="I26" s="115" t="s">
        <v>200</v>
      </c>
      <c r="J26" s="116"/>
      <c r="K26" s="116"/>
      <c r="L26" s="116"/>
      <c r="M26" s="116"/>
      <c r="N26" s="116"/>
      <c r="O26" s="116"/>
      <c r="P26" s="116"/>
      <c r="Q26" s="133"/>
      <c r="R26" s="8" t="s">
        <v>199</v>
      </c>
      <c r="S26" s="116"/>
      <c r="T26" s="116"/>
      <c r="U26" s="116"/>
      <c r="V26" s="116"/>
      <c r="W26" s="116"/>
      <c r="X26" s="134"/>
      <c r="Y26" s="424" t="s">
        <v>150</v>
      </c>
      <c r="Z26" s="425"/>
      <c r="AA26" s="426" t="s">
        <v>151</v>
      </c>
      <c r="AB26" s="427"/>
      <c r="AC26" s="428"/>
      <c r="AD26" s="126">
        <v>20</v>
      </c>
      <c r="AE26" s="111"/>
      <c r="AF26" s="111"/>
      <c r="AG26" s="120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</row>
    <row r="27" spans="1:57" s="1" customFormat="1" ht="14.4" customHeight="1">
      <c r="A27" s="131">
        <f>IF(B27="","",COUNTA($B$8:B27))</f>
        <v>19</v>
      </c>
      <c r="B27" s="8" t="s">
        <v>201</v>
      </c>
      <c r="C27" s="114"/>
      <c r="D27" s="114"/>
      <c r="E27" s="114"/>
      <c r="F27" s="114"/>
      <c r="G27" s="114"/>
      <c r="H27" s="134"/>
      <c r="I27" s="115" t="s">
        <v>202</v>
      </c>
      <c r="J27" s="116"/>
      <c r="K27" s="116"/>
      <c r="L27" s="116"/>
      <c r="M27" s="116"/>
      <c r="N27" s="116"/>
      <c r="O27" s="116"/>
      <c r="P27" s="116"/>
      <c r="Q27" s="133"/>
      <c r="R27" s="8" t="s">
        <v>201</v>
      </c>
      <c r="S27" s="116"/>
      <c r="T27" s="116"/>
      <c r="U27" s="116"/>
      <c r="V27" s="116"/>
      <c r="W27" s="116"/>
      <c r="X27" s="134"/>
      <c r="Y27" s="424" t="s">
        <v>150</v>
      </c>
      <c r="Z27" s="425"/>
      <c r="AA27" s="426" t="s">
        <v>151</v>
      </c>
      <c r="AB27" s="427"/>
      <c r="AC27" s="428"/>
      <c r="AD27" s="126">
        <v>30</v>
      </c>
      <c r="AE27" s="111"/>
      <c r="AF27" s="111"/>
      <c r="AG27" s="120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ht="14.4" customHeight="1">
      <c r="A28" s="131">
        <f>IF(B28="","",COUNTA($B$8:B28))</f>
        <v>20</v>
      </c>
      <c r="B28" s="132" t="s">
        <v>203</v>
      </c>
      <c r="C28" s="114"/>
      <c r="D28" s="114"/>
      <c r="E28" s="114"/>
      <c r="F28" s="114"/>
      <c r="G28" s="114"/>
      <c r="H28" s="134"/>
      <c r="I28" s="115" t="s">
        <v>204</v>
      </c>
      <c r="J28" s="116"/>
      <c r="K28" s="116"/>
      <c r="L28" s="116"/>
      <c r="M28" s="116"/>
      <c r="N28" s="116"/>
      <c r="O28" s="116"/>
      <c r="P28" s="116"/>
      <c r="Q28" s="133"/>
      <c r="R28" s="132" t="s">
        <v>203</v>
      </c>
      <c r="S28" s="116"/>
      <c r="T28" s="116"/>
      <c r="U28" s="116"/>
      <c r="V28" s="116"/>
      <c r="W28" s="116"/>
      <c r="X28" s="134"/>
      <c r="Y28" s="424" t="s">
        <v>155</v>
      </c>
      <c r="Z28" s="425"/>
      <c r="AA28" s="426" t="s">
        <v>156</v>
      </c>
      <c r="AB28" s="427"/>
      <c r="AC28" s="428"/>
      <c r="AD28" s="126">
        <v>5</v>
      </c>
      <c r="AE28" s="111">
        <v>2</v>
      </c>
      <c r="AF28" s="111"/>
      <c r="AG28" s="120"/>
      <c r="AH28" s="120"/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ht="14.4" customHeight="1">
      <c r="A29" s="131">
        <f>IF(B29="","",COUNTA($B$8:B29))</f>
        <v>21</v>
      </c>
      <c r="B29" s="132" t="s">
        <v>205</v>
      </c>
      <c r="C29" s="2"/>
      <c r="D29" s="2"/>
      <c r="E29" s="2"/>
      <c r="F29" s="2"/>
      <c r="G29" s="2"/>
      <c r="H29" s="3"/>
      <c r="I29" s="115" t="s">
        <v>206</v>
      </c>
      <c r="J29" s="116"/>
      <c r="K29" s="116"/>
      <c r="L29" s="116"/>
      <c r="M29" s="116"/>
      <c r="N29" s="116"/>
      <c r="O29" s="116"/>
      <c r="P29" s="116"/>
      <c r="Q29" s="133"/>
      <c r="R29" s="132" t="s">
        <v>207</v>
      </c>
      <c r="S29" s="116"/>
      <c r="T29" s="116"/>
      <c r="U29" s="116"/>
      <c r="V29" s="116"/>
      <c r="W29" s="116"/>
      <c r="X29" s="134"/>
      <c r="Y29" s="424" t="s">
        <v>155</v>
      </c>
      <c r="Z29" s="425"/>
      <c r="AA29" s="426" t="s">
        <v>156</v>
      </c>
      <c r="AB29" s="427"/>
      <c r="AC29" s="428"/>
      <c r="AD29" s="126">
        <v>4</v>
      </c>
      <c r="AE29" s="111"/>
      <c r="AF29" s="111"/>
      <c r="AG29" s="120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ht="14.4" customHeight="1">
      <c r="A30" s="131">
        <f>IF(B30="","",COUNTA($B$8:B30))</f>
        <v>22</v>
      </c>
      <c r="B30" s="132" t="s">
        <v>208</v>
      </c>
      <c r="C30" s="2"/>
      <c r="D30" s="2"/>
      <c r="E30" s="2"/>
      <c r="F30" s="2"/>
      <c r="G30" s="2"/>
      <c r="H30" s="3"/>
      <c r="I30" s="115" t="s">
        <v>209</v>
      </c>
      <c r="J30" s="116"/>
      <c r="K30" s="116"/>
      <c r="L30" s="116"/>
      <c r="M30" s="116"/>
      <c r="N30" s="116"/>
      <c r="O30" s="116"/>
      <c r="P30" s="116"/>
      <c r="Q30" s="133"/>
      <c r="R30" s="132" t="s">
        <v>210</v>
      </c>
      <c r="S30" s="116"/>
      <c r="T30" s="116"/>
      <c r="U30" s="116"/>
      <c r="V30" s="116"/>
      <c r="W30" s="116"/>
      <c r="X30" s="134"/>
      <c r="Y30" s="424" t="s">
        <v>155</v>
      </c>
      <c r="Z30" s="425"/>
      <c r="AA30" s="426" t="s">
        <v>156</v>
      </c>
      <c r="AB30" s="427"/>
      <c r="AC30" s="428"/>
      <c r="AD30" s="126">
        <v>5</v>
      </c>
      <c r="AE30" s="111"/>
      <c r="AF30" s="111"/>
      <c r="AG30" s="120"/>
      <c r="AH30" s="120"/>
      <c r="AI30" s="120"/>
      <c r="AJ30" s="120"/>
      <c r="AK30" s="120"/>
      <c r="AL30" s="120"/>
      <c r="AM30" s="120"/>
      <c r="AN30" s="120"/>
      <c r="AO30" s="111"/>
      <c r="AP30" s="111"/>
      <c r="AQ30" s="111"/>
      <c r="AR30" s="111"/>
      <c r="AS30" s="118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ht="14.4" customHeight="1">
      <c r="A31" s="131">
        <f>IF(B31="","",COUNTA($B$8:B31))</f>
        <v>23</v>
      </c>
      <c r="B31" s="132" t="s">
        <v>211</v>
      </c>
      <c r="C31" s="114"/>
      <c r="D31" s="114"/>
      <c r="E31" s="114"/>
      <c r="F31" s="114"/>
      <c r="G31" s="114"/>
      <c r="H31" s="134"/>
      <c r="I31" s="115" t="s">
        <v>212</v>
      </c>
      <c r="J31" s="116"/>
      <c r="K31" s="116"/>
      <c r="L31" s="116"/>
      <c r="M31" s="116"/>
      <c r="N31" s="116"/>
      <c r="O31" s="116"/>
      <c r="P31" s="116"/>
      <c r="Q31" s="133"/>
      <c r="R31" s="132" t="s">
        <v>213</v>
      </c>
      <c r="S31" s="116"/>
      <c r="T31" s="116"/>
      <c r="U31" s="116"/>
      <c r="V31" s="116"/>
      <c r="W31" s="116"/>
      <c r="X31" s="134"/>
      <c r="Y31" s="424" t="s">
        <v>155</v>
      </c>
      <c r="Z31" s="425"/>
      <c r="AA31" s="426" t="s">
        <v>156</v>
      </c>
      <c r="AB31" s="427"/>
      <c r="AC31" s="428"/>
      <c r="AD31" s="126">
        <v>5</v>
      </c>
      <c r="AE31" s="111"/>
      <c r="AF31" s="111"/>
      <c r="AG31" s="120"/>
      <c r="AH31" s="120"/>
      <c r="AI31" s="120"/>
      <c r="AJ31" s="120"/>
      <c r="AK31" s="120"/>
      <c r="AL31" s="120"/>
      <c r="AM31" s="120"/>
      <c r="AN31" s="120"/>
      <c r="AO31" s="111"/>
      <c r="AP31" s="111"/>
      <c r="AQ31" s="111"/>
      <c r="AR31" s="111"/>
      <c r="AS31" s="118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ht="14.4" customHeight="1">
      <c r="A32" s="131">
        <f>IF(B32="","",COUNTA($B$8:B32))</f>
        <v>24</v>
      </c>
      <c r="B32" s="132" t="s">
        <v>214</v>
      </c>
      <c r="C32" s="114"/>
      <c r="D32" s="114"/>
      <c r="E32" s="114"/>
      <c r="F32" s="114"/>
      <c r="G32" s="114"/>
      <c r="H32" s="134"/>
      <c r="I32" s="115" t="s">
        <v>215</v>
      </c>
      <c r="J32" s="116"/>
      <c r="K32" s="116"/>
      <c r="L32" s="116"/>
      <c r="M32" s="116"/>
      <c r="N32" s="116"/>
      <c r="O32" s="116"/>
      <c r="P32" s="116"/>
      <c r="Q32" s="133"/>
      <c r="R32" s="132" t="s">
        <v>216</v>
      </c>
      <c r="S32" s="116"/>
      <c r="T32" s="116"/>
      <c r="U32" s="116"/>
      <c r="V32" s="116"/>
      <c r="W32" s="116"/>
      <c r="X32" s="134"/>
      <c r="Y32" s="424" t="s">
        <v>155</v>
      </c>
      <c r="Z32" s="425"/>
      <c r="AA32" s="426" t="s">
        <v>156</v>
      </c>
      <c r="AB32" s="427"/>
      <c r="AC32" s="428"/>
      <c r="AD32" s="126">
        <v>5</v>
      </c>
      <c r="AE32" s="111"/>
      <c r="AF32" s="111"/>
      <c r="AG32" s="120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 ht="14.4" customHeight="1">
      <c r="A33" s="131">
        <f>IF(B33="","",COUNTA($B$8:B33))</f>
        <v>25</v>
      </c>
      <c r="B33" s="132" t="s">
        <v>217</v>
      </c>
      <c r="C33" s="114"/>
      <c r="D33" s="114"/>
      <c r="E33" s="114"/>
      <c r="F33" s="114"/>
      <c r="G33" s="114"/>
      <c r="H33" s="134"/>
      <c r="I33" s="115" t="s">
        <v>218</v>
      </c>
      <c r="J33" s="116"/>
      <c r="K33" s="116"/>
      <c r="L33" s="116"/>
      <c r="M33" s="116"/>
      <c r="N33" s="116"/>
      <c r="O33" s="116"/>
      <c r="P33" s="116"/>
      <c r="Q33" s="133"/>
      <c r="R33" s="132" t="s">
        <v>219</v>
      </c>
      <c r="S33" s="116"/>
      <c r="T33" s="116"/>
      <c r="U33" s="116"/>
      <c r="V33" s="116"/>
      <c r="W33" s="116"/>
      <c r="X33" s="134"/>
      <c r="Y33" s="424" t="s">
        <v>155</v>
      </c>
      <c r="Z33" s="425"/>
      <c r="AA33" s="426" t="s">
        <v>156</v>
      </c>
      <c r="AB33" s="427"/>
      <c r="AC33" s="428"/>
      <c r="AD33" s="166">
        <v>5</v>
      </c>
      <c r="AE33" s="111"/>
      <c r="AF33" s="111"/>
      <c r="AG33" s="120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 ht="14.4" customHeight="1">
      <c r="A34" s="131">
        <f>IF(B34="","",COUNTA($B$8:B34))</f>
        <v>26</v>
      </c>
      <c r="B34" s="8" t="s">
        <v>266</v>
      </c>
      <c r="C34" s="114"/>
      <c r="D34" s="114"/>
      <c r="E34" s="114"/>
      <c r="F34" s="114"/>
      <c r="G34" s="114"/>
      <c r="H34" s="134"/>
      <c r="I34" s="115" t="s">
        <v>267</v>
      </c>
      <c r="J34" s="116"/>
      <c r="K34" s="116"/>
      <c r="L34" s="116"/>
      <c r="M34" s="116"/>
      <c r="N34" s="116"/>
      <c r="O34" s="116"/>
      <c r="P34" s="116"/>
      <c r="Q34" s="133"/>
      <c r="R34" s="8" t="s">
        <v>266</v>
      </c>
      <c r="S34" s="116"/>
      <c r="T34" s="116"/>
      <c r="U34" s="116"/>
      <c r="V34" s="116"/>
      <c r="W34" s="116"/>
      <c r="X34" s="133"/>
      <c r="Y34" s="424" t="s">
        <v>155</v>
      </c>
      <c r="Z34" s="425"/>
      <c r="AA34" s="426" t="s">
        <v>156</v>
      </c>
      <c r="AB34" s="427"/>
      <c r="AC34" s="428"/>
      <c r="AD34" s="159">
        <v>5</v>
      </c>
      <c r="AE34" s="111"/>
      <c r="AF34" s="111"/>
      <c r="AG34" s="120"/>
      <c r="AH34" s="120"/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 ht="14.4" customHeight="1">
      <c r="A35" s="131">
        <f>IF(B35="","",COUNTA($B$8:B35))</f>
        <v>27</v>
      </c>
      <c r="B35" s="8" t="s">
        <v>268</v>
      </c>
      <c r="C35" s="114"/>
      <c r="D35" s="114"/>
      <c r="E35" s="114"/>
      <c r="F35" s="114"/>
      <c r="G35" s="114"/>
      <c r="H35" s="134"/>
      <c r="I35" s="115" t="s">
        <v>269</v>
      </c>
      <c r="J35" s="116"/>
      <c r="K35" s="116"/>
      <c r="L35" s="116"/>
      <c r="M35" s="116"/>
      <c r="N35" s="116"/>
      <c r="O35" s="116"/>
      <c r="P35" s="116"/>
      <c r="Q35" s="133"/>
      <c r="R35" s="8" t="s">
        <v>268</v>
      </c>
      <c r="S35" s="116"/>
      <c r="T35" s="116"/>
      <c r="U35" s="116"/>
      <c r="V35" s="116"/>
      <c r="W35" s="116"/>
      <c r="X35" s="133"/>
      <c r="Y35" s="8" t="s">
        <v>155</v>
      </c>
      <c r="Z35" s="119"/>
      <c r="AA35" s="426" t="s">
        <v>156</v>
      </c>
      <c r="AB35" s="427"/>
      <c r="AC35" s="428"/>
      <c r="AD35" s="159">
        <v>7</v>
      </c>
      <c r="AE35" s="111"/>
      <c r="AF35" s="111"/>
      <c r="AG35" s="120"/>
      <c r="AH35" s="120"/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ht="14.4" customHeight="1">
      <c r="A36" s="131">
        <f>IF(B36="","",COUNTA($B$8:B36))</f>
        <v>28</v>
      </c>
      <c r="B36" s="8" t="s">
        <v>226</v>
      </c>
      <c r="C36" s="114"/>
      <c r="D36" s="114"/>
      <c r="E36" s="114"/>
      <c r="F36" s="114"/>
      <c r="G36" s="114"/>
      <c r="H36" s="134"/>
      <c r="I36" s="115" t="s">
        <v>227</v>
      </c>
      <c r="J36" s="116"/>
      <c r="K36" s="116"/>
      <c r="L36" s="116"/>
      <c r="M36" s="116"/>
      <c r="N36" s="116"/>
      <c r="O36" s="116"/>
      <c r="P36" s="116"/>
      <c r="Q36" s="133"/>
      <c r="R36" s="8" t="s">
        <v>226</v>
      </c>
      <c r="S36" s="116"/>
      <c r="T36" s="116"/>
      <c r="U36" s="116"/>
      <c r="V36" s="116"/>
      <c r="W36" s="116"/>
      <c r="X36" s="134"/>
      <c r="Y36" s="424" t="s">
        <v>150</v>
      </c>
      <c r="Z36" s="425"/>
      <c r="AA36" s="426" t="s">
        <v>151</v>
      </c>
      <c r="AB36" s="427"/>
      <c r="AC36" s="428"/>
      <c r="AD36" s="126">
        <v>3</v>
      </c>
      <c r="AE36" s="111"/>
      <c r="AF36" s="111"/>
      <c r="AG36" s="120"/>
      <c r="AH36" s="120"/>
      <c r="AI36" s="120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ht="14.4" customHeight="1">
      <c r="A37" s="131">
        <f>IF(B37="","",COUNTA($B$8:B37))</f>
        <v>29</v>
      </c>
      <c r="B37" s="8" t="s">
        <v>228</v>
      </c>
      <c r="C37" s="114"/>
      <c r="D37" s="114"/>
      <c r="E37" s="114"/>
      <c r="F37" s="114"/>
      <c r="G37" s="114"/>
      <c r="H37" s="134"/>
      <c r="I37" s="115" t="s">
        <v>229</v>
      </c>
      <c r="J37" s="116"/>
      <c r="K37" s="116"/>
      <c r="L37" s="116"/>
      <c r="M37" s="116"/>
      <c r="N37" s="116"/>
      <c r="O37" s="116"/>
      <c r="P37" s="116"/>
      <c r="Q37" s="133"/>
      <c r="R37" s="8" t="s">
        <v>228</v>
      </c>
      <c r="S37" s="116"/>
      <c r="T37" s="116"/>
      <c r="U37" s="116"/>
      <c r="V37" s="116"/>
      <c r="W37" s="116"/>
      <c r="X37" s="134"/>
      <c r="Y37" s="424" t="s">
        <v>150</v>
      </c>
      <c r="Z37" s="425"/>
      <c r="AA37" s="426" t="s">
        <v>151</v>
      </c>
      <c r="AB37" s="427"/>
      <c r="AC37" s="428"/>
      <c r="AD37" s="126">
        <v>1000</v>
      </c>
      <c r="AE37" s="111"/>
      <c r="AF37" s="111"/>
      <c r="AG37" s="120"/>
      <c r="AH37" s="120"/>
      <c r="AI37" s="120"/>
      <c r="AJ37" s="120"/>
      <c r="AK37" s="120"/>
      <c r="AL37" s="120"/>
      <c r="AM37" s="120"/>
      <c r="AN37" s="120"/>
      <c r="AO37" s="111"/>
      <c r="AP37" s="111"/>
      <c r="AQ37" s="111"/>
      <c r="AR37" s="111"/>
      <c r="AS37" s="118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ht="14.4" customHeight="1">
      <c r="A38" s="131">
        <f>IF(B38="","",COUNTA($B$8:B38))</f>
        <v>30</v>
      </c>
      <c r="B38" s="8" t="s">
        <v>270</v>
      </c>
      <c r="C38" s="114"/>
      <c r="D38" s="114"/>
      <c r="E38" s="114"/>
      <c r="F38" s="114"/>
      <c r="G38" s="114"/>
      <c r="H38" s="134"/>
      <c r="I38" s="115" t="s">
        <v>271</v>
      </c>
      <c r="J38" s="116"/>
      <c r="K38" s="116"/>
      <c r="L38" s="116"/>
      <c r="M38" s="116"/>
      <c r="N38" s="116"/>
      <c r="O38" s="116"/>
      <c r="P38" s="116"/>
      <c r="Q38" s="133"/>
      <c r="R38" s="8" t="s">
        <v>270</v>
      </c>
      <c r="S38" s="116"/>
      <c r="T38" s="116"/>
      <c r="U38" s="116"/>
      <c r="V38" s="116"/>
      <c r="W38" s="116"/>
      <c r="X38" s="134"/>
      <c r="Y38" s="424" t="s">
        <v>150</v>
      </c>
      <c r="Z38" s="425"/>
      <c r="AA38" s="426" t="s">
        <v>151</v>
      </c>
      <c r="AB38" s="427"/>
      <c r="AC38" s="428"/>
      <c r="AD38" s="126">
        <v>1000</v>
      </c>
      <c r="AE38" s="111"/>
      <c r="AF38" s="111"/>
      <c r="AG38" s="120"/>
      <c r="AH38" s="120"/>
      <c r="AI38" s="120"/>
      <c r="AJ38" s="120"/>
      <c r="AK38" s="120"/>
      <c r="AL38" s="120"/>
      <c r="AM38" s="120"/>
      <c r="AN38" s="120"/>
      <c r="AO38" s="111"/>
      <c r="AP38" s="111"/>
      <c r="AQ38" s="111"/>
      <c r="AR38" s="111"/>
      <c r="AS38" s="118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ht="14.4" customHeight="1">
      <c r="A39" s="131">
        <f>IF(B39="","",COUNTA($B$8:B39))</f>
        <v>31</v>
      </c>
      <c r="B39" s="8" t="s">
        <v>272</v>
      </c>
      <c r="C39" s="114"/>
      <c r="D39" s="114"/>
      <c r="E39" s="114"/>
      <c r="F39" s="114"/>
      <c r="G39" s="114"/>
      <c r="H39" s="134"/>
      <c r="I39" s="115" t="s">
        <v>273</v>
      </c>
      <c r="J39" s="116"/>
      <c r="K39" s="116"/>
      <c r="L39" s="116"/>
      <c r="M39" s="116"/>
      <c r="N39" s="116"/>
      <c r="O39" s="116"/>
      <c r="P39" s="116"/>
      <c r="Q39" s="133"/>
      <c r="R39" s="8" t="s">
        <v>272</v>
      </c>
      <c r="S39" s="116"/>
      <c r="T39" s="116"/>
      <c r="U39" s="116"/>
      <c r="V39" s="116"/>
      <c r="W39" s="116"/>
      <c r="X39" s="134"/>
      <c r="Y39" s="424" t="s">
        <v>150</v>
      </c>
      <c r="Z39" s="425"/>
      <c r="AA39" s="426" t="s">
        <v>151</v>
      </c>
      <c r="AB39" s="427"/>
      <c r="AC39" s="428"/>
      <c r="AD39" s="126">
        <v>1000</v>
      </c>
      <c r="AE39" s="111"/>
      <c r="AF39" s="111"/>
      <c r="AG39" s="120"/>
      <c r="AH39" s="120"/>
      <c r="AI39" s="120"/>
      <c r="AJ39" s="120"/>
      <c r="AK39" s="120"/>
      <c r="AL39" s="120"/>
      <c r="AM39" s="120"/>
      <c r="AN39" s="120"/>
      <c r="AO39" s="111"/>
      <c r="AP39" s="111"/>
      <c r="AQ39" s="111"/>
      <c r="AR39" s="111"/>
      <c r="AS39" s="118"/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s="1" customFormat="1" ht="14.4" customHeight="1">
      <c r="A40" s="131">
        <f>IF(B40="","",COUNTA($B$8:B40))</f>
        <v>32</v>
      </c>
      <c r="B40" s="8" t="s">
        <v>274</v>
      </c>
      <c r="C40" s="114"/>
      <c r="D40" s="114"/>
      <c r="E40" s="114"/>
      <c r="F40" s="114"/>
      <c r="G40" s="114"/>
      <c r="H40" s="134"/>
      <c r="I40" s="115" t="s">
        <v>275</v>
      </c>
      <c r="J40" s="116"/>
      <c r="K40" s="116"/>
      <c r="L40" s="116"/>
      <c r="M40" s="116"/>
      <c r="N40" s="116"/>
      <c r="O40" s="116"/>
      <c r="P40" s="116"/>
      <c r="Q40" s="133"/>
      <c r="R40" s="8" t="s">
        <v>274</v>
      </c>
      <c r="S40" s="116"/>
      <c r="T40" s="116"/>
      <c r="U40" s="116"/>
      <c r="V40" s="116"/>
      <c r="W40" s="116"/>
      <c r="X40" s="134"/>
      <c r="Y40" s="424" t="s">
        <v>150</v>
      </c>
      <c r="Z40" s="425"/>
      <c r="AA40" s="426" t="s">
        <v>151</v>
      </c>
      <c r="AB40" s="427"/>
      <c r="AC40" s="428"/>
      <c r="AD40" s="126">
        <v>1000</v>
      </c>
      <c r="AE40" s="111"/>
      <c r="AF40" s="111"/>
      <c r="AG40" s="120"/>
      <c r="AH40" s="120"/>
      <c r="AI40" s="120"/>
      <c r="AJ40" s="120"/>
      <c r="AK40" s="120"/>
      <c r="AL40" s="120"/>
      <c r="AM40" s="120"/>
      <c r="AN40" s="120"/>
      <c r="AO40" s="111"/>
      <c r="AP40" s="111"/>
      <c r="AQ40" s="111"/>
      <c r="AR40" s="111"/>
      <c r="AS40" s="118"/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6" s="1" customFormat="1" ht="14.4" customHeight="1">
      <c r="A41" s="131">
        <f>IF(B41="","",COUNTA($B$8:B41))</f>
        <v>33</v>
      </c>
      <c r="B41" s="8" t="s">
        <v>230</v>
      </c>
      <c r="C41" s="114"/>
      <c r="D41" s="114"/>
      <c r="E41" s="114"/>
      <c r="F41" s="114"/>
      <c r="G41" s="114"/>
      <c r="H41" s="134"/>
      <c r="I41" s="115" t="s">
        <v>231</v>
      </c>
      <c r="J41" s="116"/>
      <c r="K41" s="116"/>
      <c r="L41" s="116"/>
      <c r="M41" s="116"/>
      <c r="N41" s="116"/>
      <c r="O41" s="116"/>
      <c r="P41" s="116"/>
      <c r="Q41" s="133"/>
      <c r="R41" s="8" t="s">
        <v>230</v>
      </c>
      <c r="S41" s="116"/>
      <c r="T41" s="116"/>
      <c r="U41" s="116"/>
      <c r="V41" s="116"/>
      <c r="W41" s="116"/>
      <c r="X41" s="134"/>
      <c r="Y41" s="424" t="s">
        <v>169</v>
      </c>
      <c r="Z41" s="425"/>
      <c r="AA41" s="426" t="s">
        <v>170</v>
      </c>
      <c r="AB41" s="427"/>
      <c r="AC41" s="428"/>
      <c r="AD41" s="126"/>
      <c r="AE41" s="111"/>
      <c r="AF41" s="111"/>
      <c r="AG41" s="120"/>
      <c r="AH41" s="120"/>
      <c r="AI41" s="120"/>
      <c r="AJ41" s="120"/>
      <c r="AK41" s="120"/>
      <c r="AL41" s="120"/>
      <c r="AM41" s="120"/>
      <c r="AN41" s="120"/>
      <c r="AO41" s="111"/>
      <c r="AP41" s="111"/>
      <c r="AQ41" s="111"/>
      <c r="AR41" s="111"/>
      <c r="AS41" s="118" t="s">
        <v>232</v>
      </c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6" s="1" customFormat="1" ht="14.4" customHeight="1">
      <c r="A42" s="131">
        <f>IF(B42="","",COUNTA($B$8:B42))</f>
        <v>34</v>
      </c>
      <c r="B42" s="8" t="s">
        <v>233</v>
      </c>
      <c r="C42" s="114"/>
      <c r="D42" s="114"/>
      <c r="E42" s="114"/>
      <c r="F42" s="114"/>
      <c r="G42" s="114"/>
      <c r="H42" s="134"/>
      <c r="I42" s="115" t="s">
        <v>234</v>
      </c>
      <c r="J42" s="116"/>
      <c r="K42" s="116"/>
      <c r="L42" s="116"/>
      <c r="M42" s="116"/>
      <c r="N42" s="116"/>
      <c r="O42" s="116"/>
      <c r="P42" s="116"/>
      <c r="Q42" s="133"/>
      <c r="R42" s="8" t="s">
        <v>233</v>
      </c>
      <c r="S42" s="116"/>
      <c r="T42" s="116"/>
      <c r="U42" s="116"/>
      <c r="V42" s="116"/>
      <c r="W42" s="116"/>
      <c r="X42" s="134"/>
      <c r="Y42" s="424" t="s">
        <v>155</v>
      </c>
      <c r="Z42" s="425"/>
      <c r="AA42" s="426" t="s">
        <v>156</v>
      </c>
      <c r="AB42" s="427"/>
      <c r="AC42" s="428"/>
      <c r="AD42" s="126">
        <v>1</v>
      </c>
      <c r="AE42" s="111"/>
      <c r="AF42" s="111"/>
      <c r="AG42" s="120"/>
      <c r="AH42" s="120">
        <v>0</v>
      </c>
      <c r="AI42" s="120"/>
      <c r="AJ42" s="120"/>
      <c r="AK42" s="120"/>
      <c r="AL42" s="120"/>
      <c r="AM42" s="120"/>
      <c r="AN42" s="120"/>
      <c r="AO42" s="111"/>
      <c r="AP42" s="111"/>
      <c r="AQ42" s="111"/>
      <c r="AR42" s="111"/>
      <c r="AS42" s="118"/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6" s="1" customFormat="1" ht="14.4" customHeight="1">
      <c r="A43" s="131">
        <f>IF(B43="","",COUNTA($B$8:B43))</f>
        <v>35</v>
      </c>
      <c r="B43" s="8" t="s">
        <v>236</v>
      </c>
      <c r="C43" s="114"/>
      <c r="D43" s="114"/>
      <c r="E43" s="114"/>
      <c r="F43" s="114"/>
      <c r="G43" s="114"/>
      <c r="H43" s="134"/>
      <c r="I43" s="115" t="s">
        <v>237</v>
      </c>
      <c r="J43" s="116"/>
      <c r="K43" s="116"/>
      <c r="L43" s="116"/>
      <c r="M43" s="116"/>
      <c r="N43" s="116"/>
      <c r="O43" s="116"/>
      <c r="P43" s="116"/>
      <c r="Q43" s="133"/>
      <c r="R43" s="8" t="s">
        <v>236</v>
      </c>
      <c r="S43" s="116"/>
      <c r="T43" s="116"/>
      <c r="U43" s="116"/>
      <c r="V43" s="116"/>
      <c r="W43" s="116"/>
      <c r="X43" s="134"/>
      <c r="Y43" s="424" t="s">
        <v>155</v>
      </c>
      <c r="Z43" s="425"/>
      <c r="AA43" s="426" t="s">
        <v>156</v>
      </c>
      <c r="AB43" s="427"/>
      <c r="AC43" s="428"/>
      <c r="AD43" s="126">
        <v>1</v>
      </c>
      <c r="AE43" s="111"/>
      <c r="AF43" s="111"/>
      <c r="AG43" s="120"/>
      <c r="AH43" s="120">
        <v>0</v>
      </c>
      <c r="AI43" s="120"/>
      <c r="AJ43" s="120"/>
      <c r="AK43" s="120"/>
      <c r="AL43" s="120"/>
      <c r="AM43" s="120"/>
      <c r="AN43" s="120"/>
      <c r="AO43" s="111"/>
      <c r="AP43" s="111"/>
      <c r="AQ43" s="111"/>
      <c r="AR43" s="111"/>
      <c r="AS43" s="118" t="s">
        <v>238</v>
      </c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6" s="1" customFormat="1" ht="14.4" customHeight="1">
      <c r="A44" s="131">
        <f>IF(B44="","",COUNTA($B$8:B44))</f>
        <v>36</v>
      </c>
      <c r="B44" s="8" t="s">
        <v>239</v>
      </c>
      <c r="C44" s="114"/>
      <c r="D44" s="114"/>
      <c r="E44" s="114"/>
      <c r="F44" s="114"/>
      <c r="G44" s="114"/>
      <c r="H44" s="134"/>
      <c r="I44" s="115" t="s">
        <v>240</v>
      </c>
      <c r="J44" s="116"/>
      <c r="K44" s="116"/>
      <c r="L44" s="116"/>
      <c r="M44" s="116"/>
      <c r="N44" s="116"/>
      <c r="O44" s="116"/>
      <c r="P44" s="116"/>
      <c r="Q44" s="133"/>
      <c r="R44" s="8" t="s">
        <v>239</v>
      </c>
      <c r="S44" s="116"/>
      <c r="T44" s="116"/>
      <c r="U44" s="116"/>
      <c r="V44" s="116"/>
      <c r="W44" s="116"/>
      <c r="X44" s="134"/>
      <c r="Y44" s="424" t="s">
        <v>169</v>
      </c>
      <c r="Z44" s="425"/>
      <c r="AA44" s="426" t="s">
        <v>170</v>
      </c>
      <c r="AB44" s="427"/>
      <c r="AC44" s="428"/>
      <c r="AD44" s="126"/>
      <c r="AE44" s="111"/>
      <c r="AF44" s="111"/>
      <c r="AG44" s="120"/>
      <c r="AH44" s="120"/>
      <c r="AI44" s="120"/>
      <c r="AJ44" s="120"/>
      <c r="AK44" s="120"/>
      <c r="AL44" s="120"/>
      <c r="AM44" s="120"/>
      <c r="AN44" s="120"/>
      <c r="AO44" s="111"/>
      <c r="AP44" s="111"/>
      <c r="AQ44" s="111"/>
      <c r="AR44" s="111"/>
      <c r="AS44" s="118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6" s="1" customFormat="1" ht="14.4" customHeight="1">
      <c r="A45" s="160">
        <f>IF(B45="","",COUNTA($B$8:B45))</f>
        <v>37</v>
      </c>
      <c r="B45" s="4" t="s">
        <v>241</v>
      </c>
      <c r="C45" s="114"/>
      <c r="D45" s="114"/>
      <c r="E45" s="114"/>
      <c r="F45" s="114"/>
      <c r="G45" s="114"/>
      <c r="H45" s="114"/>
      <c r="I45" s="115" t="s">
        <v>242</v>
      </c>
      <c r="J45" s="116"/>
      <c r="K45" s="116"/>
      <c r="L45" s="116"/>
      <c r="M45" s="116"/>
      <c r="N45" s="116"/>
      <c r="O45" s="116"/>
      <c r="P45" s="116"/>
      <c r="Q45" s="116"/>
      <c r="R45" s="4" t="s">
        <v>241</v>
      </c>
      <c r="S45" s="114"/>
      <c r="T45" s="5"/>
      <c r="U45" s="5"/>
      <c r="V45" s="5"/>
      <c r="W45" s="5"/>
      <c r="X45" s="5"/>
      <c r="Y45" s="8" t="s">
        <v>150</v>
      </c>
      <c r="Z45" s="119"/>
      <c r="AA45" s="426" t="s">
        <v>243</v>
      </c>
      <c r="AB45" s="427"/>
      <c r="AC45" s="428"/>
      <c r="AD45" s="117"/>
      <c r="AE45" s="120" t="s">
        <v>244</v>
      </c>
      <c r="AF45" s="121"/>
      <c r="AG45" s="121"/>
      <c r="AH45" s="121"/>
      <c r="AI45" s="121"/>
      <c r="AJ45" s="121"/>
      <c r="AK45" s="121"/>
      <c r="AL45" s="121"/>
      <c r="AM45" s="121"/>
      <c r="AN45" s="121"/>
      <c r="AO45" s="122"/>
      <c r="AP45" s="122"/>
      <c r="AQ45" s="122"/>
      <c r="AR45" s="122"/>
      <c r="AS45" s="123" t="s">
        <v>245</v>
      </c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  <row r="46" spans="1:56" s="1" customFormat="1" ht="14.4" customHeight="1">
      <c r="A46" s="160">
        <f>IF(B46="","",COUNTA($B$8:B46))</f>
        <v>38</v>
      </c>
      <c r="B46" s="4" t="s">
        <v>246</v>
      </c>
      <c r="C46" s="114"/>
      <c r="D46" s="114"/>
      <c r="E46" s="114"/>
      <c r="F46" s="114"/>
      <c r="G46" s="114"/>
      <c r="H46" s="114"/>
      <c r="I46" s="115" t="s">
        <v>247</v>
      </c>
      <c r="J46" s="116"/>
      <c r="K46" s="116"/>
      <c r="L46" s="116"/>
      <c r="M46" s="116"/>
      <c r="N46" s="116"/>
      <c r="O46" s="116"/>
      <c r="P46" s="116"/>
      <c r="Q46" s="116"/>
      <c r="R46" s="4" t="s">
        <v>246</v>
      </c>
      <c r="S46" s="114"/>
      <c r="T46" s="5"/>
      <c r="U46" s="5"/>
      <c r="V46" s="5"/>
      <c r="W46" s="5"/>
      <c r="X46" s="5"/>
      <c r="Y46" s="8" t="s">
        <v>150</v>
      </c>
      <c r="Z46" s="119"/>
      <c r="AA46" s="426" t="s">
        <v>243</v>
      </c>
      <c r="AB46" s="427"/>
      <c r="AC46" s="428"/>
      <c r="AD46" s="117"/>
      <c r="AE46" s="120" t="s">
        <v>244</v>
      </c>
      <c r="AF46" s="121"/>
      <c r="AG46" s="121"/>
      <c r="AH46" s="121"/>
      <c r="AI46" s="121"/>
      <c r="AJ46" s="121"/>
      <c r="AK46" s="121"/>
      <c r="AL46" s="121"/>
      <c r="AM46" s="121"/>
      <c r="AN46" s="121"/>
      <c r="AO46" s="122"/>
      <c r="AP46" s="122"/>
      <c r="AQ46" s="122"/>
      <c r="AR46" s="122"/>
      <c r="AS46" s="123" t="s">
        <v>248</v>
      </c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5"/>
    </row>
    <row r="47" spans="1:56" s="1" customFormat="1" ht="14.4" customHeight="1">
      <c r="A47" s="131">
        <f>IF(B47="","",COUNTA($B$8:B47))</f>
        <v>39</v>
      </c>
      <c r="B47" s="8" t="s">
        <v>249</v>
      </c>
      <c r="C47" s="114"/>
      <c r="D47" s="114"/>
      <c r="E47" s="114"/>
      <c r="F47" s="114"/>
      <c r="G47" s="114"/>
      <c r="H47" s="134"/>
      <c r="I47" s="115" t="s">
        <v>250</v>
      </c>
      <c r="J47" s="116"/>
      <c r="K47" s="116"/>
      <c r="L47" s="116"/>
      <c r="M47" s="116"/>
      <c r="N47" s="116"/>
      <c r="O47" s="116"/>
      <c r="P47" s="116"/>
      <c r="Q47" s="133"/>
      <c r="R47" s="8" t="s">
        <v>249</v>
      </c>
      <c r="S47" s="116"/>
      <c r="T47" s="116"/>
      <c r="U47" s="116"/>
      <c r="V47" s="116"/>
      <c r="W47" s="116"/>
      <c r="X47" s="134"/>
      <c r="Y47" s="424" t="s">
        <v>150</v>
      </c>
      <c r="Z47" s="425"/>
      <c r="AA47" s="426" t="s">
        <v>151</v>
      </c>
      <c r="AB47" s="427"/>
      <c r="AC47" s="428"/>
      <c r="AD47" s="126">
        <v>4</v>
      </c>
      <c r="AE47" s="111"/>
      <c r="AF47" s="111"/>
      <c r="AG47" s="120"/>
      <c r="AH47" s="120"/>
      <c r="AI47" s="120"/>
      <c r="AJ47" s="120"/>
      <c r="AK47" s="120"/>
      <c r="AL47" s="120"/>
      <c r="AM47" s="120"/>
      <c r="AN47" s="120"/>
      <c r="AO47" s="111"/>
      <c r="AP47" s="111"/>
      <c r="AQ47" s="111"/>
      <c r="AR47" s="111"/>
      <c r="AS47" s="118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5"/>
    </row>
    <row r="48" spans="1:56" s="1" customFormat="1" ht="14.4" customHeight="1">
      <c r="A48" s="131">
        <f>IF(B48="","",COUNTA($B$8:B48))</f>
        <v>40</v>
      </c>
      <c r="B48" s="8" t="s">
        <v>251</v>
      </c>
      <c r="C48" s="114"/>
      <c r="D48" s="114"/>
      <c r="E48" s="114"/>
      <c r="F48" s="114"/>
      <c r="G48" s="114"/>
      <c r="H48" s="134"/>
      <c r="I48" s="115" t="s">
        <v>252</v>
      </c>
      <c r="J48" s="116"/>
      <c r="K48" s="116"/>
      <c r="L48" s="116"/>
      <c r="M48" s="116"/>
      <c r="N48" s="116"/>
      <c r="O48" s="116"/>
      <c r="P48" s="116"/>
      <c r="Q48" s="133"/>
      <c r="R48" s="8" t="s">
        <v>251</v>
      </c>
      <c r="S48" s="116"/>
      <c r="T48" s="116"/>
      <c r="U48" s="116"/>
      <c r="V48" s="116"/>
      <c r="W48" s="116"/>
      <c r="X48" s="134"/>
      <c r="Y48" s="424" t="s">
        <v>150</v>
      </c>
      <c r="Z48" s="425"/>
      <c r="AA48" s="426" t="s">
        <v>151</v>
      </c>
      <c r="AB48" s="427"/>
      <c r="AC48" s="428"/>
      <c r="AD48" s="126">
        <v>4</v>
      </c>
      <c r="AE48" s="111"/>
      <c r="AF48" s="111"/>
      <c r="AG48" s="120"/>
      <c r="AH48" s="120"/>
      <c r="AI48" s="120"/>
      <c r="AJ48" s="120"/>
      <c r="AK48" s="120"/>
      <c r="AL48" s="120"/>
      <c r="AM48" s="120"/>
      <c r="AN48" s="120"/>
      <c r="AO48" s="111"/>
      <c r="AP48" s="111"/>
      <c r="AQ48" s="111"/>
      <c r="AR48" s="111"/>
      <c r="AS48" s="118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5"/>
    </row>
    <row r="49" spans="1:56" s="1" customFormat="1" ht="14.4" customHeight="1">
      <c r="A49" s="131">
        <f>IF(B49="","",COUNTA($B$8:B49))</f>
        <v>41</v>
      </c>
      <c r="B49" s="8" t="s">
        <v>253</v>
      </c>
      <c r="C49" s="114"/>
      <c r="D49" s="114"/>
      <c r="E49" s="114"/>
      <c r="F49" s="114"/>
      <c r="G49" s="114"/>
      <c r="H49" s="134"/>
      <c r="I49" s="118" t="s">
        <v>254</v>
      </c>
      <c r="J49" s="116"/>
      <c r="K49" s="116"/>
      <c r="L49" s="116"/>
      <c r="M49" s="116"/>
      <c r="N49" s="116"/>
      <c r="O49" s="116"/>
      <c r="P49" s="116"/>
      <c r="Q49" s="133"/>
      <c r="R49" s="8" t="s">
        <v>253</v>
      </c>
      <c r="S49" s="116"/>
      <c r="T49" s="116"/>
      <c r="U49" s="116"/>
      <c r="V49" s="116"/>
      <c r="W49" s="116"/>
      <c r="X49" s="134"/>
      <c r="Y49" s="424" t="s">
        <v>150</v>
      </c>
      <c r="Z49" s="425"/>
      <c r="AA49" s="426" t="s">
        <v>151</v>
      </c>
      <c r="AB49" s="427"/>
      <c r="AC49" s="428"/>
      <c r="AD49" s="126">
        <v>10</v>
      </c>
      <c r="AE49" s="111"/>
      <c r="AF49" s="111"/>
      <c r="AG49" s="120"/>
      <c r="AH49" s="120"/>
      <c r="AI49" s="120"/>
      <c r="AJ49" s="120"/>
      <c r="AK49" s="120"/>
      <c r="AL49" s="120"/>
      <c r="AM49" s="120"/>
      <c r="AN49" s="120"/>
      <c r="AO49" s="111"/>
      <c r="AP49" s="111"/>
      <c r="AQ49" s="111"/>
      <c r="AR49" s="111"/>
      <c r="AS49" s="118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5"/>
    </row>
    <row r="50" spans="1:56" s="1" customFormat="1" ht="14.4" customHeight="1">
      <c r="A50" s="131">
        <f>IF(B50="","",COUNTA($B$8:B50))</f>
        <v>42</v>
      </c>
      <c r="B50" s="8" t="s">
        <v>255</v>
      </c>
      <c r="C50" s="114"/>
      <c r="D50" s="114"/>
      <c r="E50" s="114"/>
      <c r="F50" s="114"/>
      <c r="G50" s="114"/>
      <c r="H50" s="134"/>
      <c r="I50" s="118" t="s">
        <v>256</v>
      </c>
      <c r="J50" s="116"/>
      <c r="K50" s="116"/>
      <c r="L50" s="116"/>
      <c r="M50" s="116"/>
      <c r="N50" s="116"/>
      <c r="O50" s="116"/>
      <c r="P50" s="116"/>
      <c r="Q50" s="133"/>
      <c r="R50" s="8" t="s">
        <v>255</v>
      </c>
      <c r="S50" s="116"/>
      <c r="T50" s="116"/>
      <c r="U50" s="116"/>
      <c r="V50" s="116"/>
      <c r="W50" s="116"/>
      <c r="X50" s="134"/>
      <c r="Y50" s="424" t="s">
        <v>150</v>
      </c>
      <c r="Z50" s="425"/>
      <c r="AA50" s="426" t="s">
        <v>151</v>
      </c>
      <c r="AB50" s="427"/>
      <c r="AC50" s="428"/>
      <c r="AD50" s="126">
        <v>10</v>
      </c>
      <c r="AE50" s="111"/>
      <c r="AF50" s="111"/>
      <c r="AG50" s="120"/>
      <c r="AH50" s="120"/>
      <c r="AI50" s="120"/>
      <c r="AJ50" s="120"/>
      <c r="AK50" s="120"/>
      <c r="AL50" s="120"/>
      <c r="AM50" s="120"/>
      <c r="AN50" s="120"/>
      <c r="AO50" s="111"/>
      <c r="AP50" s="111"/>
      <c r="AQ50" s="111"/>
      <c r="AR50" s="111"/>
      <c r="AS50" s="118"/>
      <c r="AT50" s="124"/>
      <c r="AU50" s="124"/>
      <c r="AV50" s="124"/>
      <c r="AW50" s="124"/>
      <c r="AX50" s="124"/>
      <c r="AY50" s="124"/>
      <c r="AZ50" s="124"/>
      <c r="BA50" s="124"/>
      <c r="BB50" s="124"/>
      <c r="BC50" s="124"/>
      <c r="BD50" s="125"/>
    </row>
    <row r="51" spans="1:56" s="1" customFormat="1" ht="14.4" customHeight="1">
      <c r="A51" s="131">
        <f>IF(B51="","",COUNTA($B$8:B51))</f>
        <v>43</v>
      </c>
      <c r="B51" s="8" t="s">
        <v>257</v>
      </c>
      <c r="C51" s="114"/>
      <c r="D51" s="114"/>
      <c r="E51" s="114"/>
      <c r="F51" s="114"/>
      <c r="G51" s="114"/>
      <c r="H51" s="134"/>
      <c r="I51" s="118" t="s">
        <v>258</v>
      </c>
      <c r="J51" s="116"/>
      <c r="K51" s="116"/>
      <c r="L51" s="116"/>
      <c r="M51" s="116"/>
      <c r="N51" s="116"/>
      <c r="O51" s="116"/>
      <c r="P51" s="116"/>
      <c r="Q51" s="133"/>
      <c r="R51" s="8" t="s">
        <v>257</v>
      </c>
      <c r="S51" s="116"/>
      <c r="T51" s="116"/>
      <c r="U51" s="116"/>
      <c r="V51" s="116"/>
      <c r="W51" s="116"/>
      <c r="X51" s="134"/>
      <c r="Y51" s="424" t="s">
        <v>169</v>
      </c>
      <c r="Z51" s="425"/>
      <c r="AA51" s="426" t="s">
        <v>243</v>
      </c>
      <c r="AB51" s="427"/>
      <c r="AC51" s="428"/>
      <c r="AD51" s="159"/>
      <c r="AE51" s="111"/>
      <c r="AF51" s="111"/>
      <c r="AG51" s="121"/>
      <c r="AH51" s="121"/>
      <c r="AI51" s="121"/>
      <c r="AJ51" s="120"/>
      <c r="AK51" s="120"/>
      <c r="AL51" s="120"/>
      <c r="AM51" s="120"/>
      <c r="AN51" s="120"/>
      <c r="AO51" s="111"/>
      <c r="AP51" s="111"/>
      <c r="AQ51" s="111"/>
      <c r="AR51" s="111"/>
      <c r="AS51" s="118"/>
      <c r="AT51" s="124"/>
      <c r="AU51" s="124"/>
      <c r="AV51" s="124"/>
      <c r="AW51" s="124"/>
      <c r="AX51" s="124"/>
      <c r="AY51" s="124"/>
      <c r="AZ51" s="124"/>
      <c r="BA51" s="124"/>
      <c r="BB51" s="124"/>
      <c r="BC51" s="124"/>
      <c r="BD51" s="125"/>
    </row>
    <row r="52" spans="1:56" s="1" customFormat="1" ht="14.4" customHeight="1">
      <c r="A52" s="131">
        <f>IF(B52="","",COUNTA($B$8:B52))</f>
        <v>44</v>
      </c>
      <c r="B52" s="8" t="s">
        <v>259</v>
      </c>
      <c r="C52" s="114"/>
      <c r="D52" s="114"/>
      <c r="E52" s="114"/>
      <c r="F52" s="114"/>
      <c r="G52" s="114"/>
      <c r="H52" s="134"/>
      <c r="I52" s="118" t="s">
        <v>260</v>
      </c>
      <c r="J52" s="116"/>
      <c r="K52" s="116"/>
      <c r="L52" s="116"/>
      <c r="M52" s="116"/>
      <c r="N52" s="116"/>
      <c r="O52" s="116"/>
      <c r="P52" s="116"/>
      <c r="Q52" s="133"/>
      <c r="R52" s="8" t="s">
        <v>259</v>
      </c>
      <c r="S52" s="116"/>
      <c r="T52" s="116"/>
      <c r="U52" s="116"/>
      <c r="V52" s="116"/>
      <c r="W52" s="116"/>
      <c r="X52" s="134"/>
      <c r="Y52" s="424" t="s">
        <v>150</v>
      </c>
      <c r="Z52" s="425"/>
      <c r="AA52" s="426" t="s">
        <v>151</v>
      </c>
      <c r="AB52" s="427"/>
      <c r="AC52" s="428"/>
      <c r="AD52" s="126">
        <v>10</v>
      </c>
      <c r="AE52" s="111"/>
      <c r="AF52" s="111"/>
      <c r="AG52" s="121"/>
      <c r="AH52" s="121"/>
      <c r="AI52" s="121"/>
      <c r="AJ52" s="120"/>
      <c r="AK52" s="120"/>
      <c r="AL52" s="120"/>
      <c r="AM52" s="120"/>
      <c r="AN52" s="120"/>
      <c r="AO52" s="111"/>
      <c r="AP52" s="111"/>
      <c r="AQ52" s="111"/>
      <c r="AR52" s="111"/>
      <c r="AS52" s="118"/>
      <c r="AT52" s="124"/>
      <c r="AU52" s="124"/>
      <c r="AV52" s="124"/>
      <c r="AW52" s="124"/>
      <c r="AX52" s="124"/>
      <c r="AY52" s="124"/>
      <c r="AZ52" s="124"/>
      <c r="BA52" s="124"/>
      <c r="BB52" s="124"/>
      <c r="BC52" s="124"/>
      <c r="BD52" s="125"/>
    </row>
    <row r="53" spans="1:56" s="1" customFormat="1" ht="14.4" customHeight="1">
      <c r="A53" s="131">
        <f>IF(B53="","",COUNTA($B$8:B53))</f>
        <v>45</v>
      </c>
      <c r="B53" s="8" t="s">
        <v>261</v>
      </c>
      <c r="C53" s="114"/>
      <c r="D53" s="114"/>
      <c r="E53" s="114"/>
      <c r="F53" s="114"/>
      <c r="G53" s="114"/>
      <c r="H53" s="134"/>
      <c r="I53" s="118" t="s">
        <v>262</v>
      </c>
      <c r="J53" s="116"/>
      <c r="K53" s="116"/>
      <c r="L53" s="116"/>
      <c r="M53" s="116"/>
      <c r="N53" s="116"/>
      <c r="O53" s="116"/>
      <c r="P53" s="116"/>
      <c r="Q53" s="133"/>
      <c r="R53" s="8" t="s">
        <v>261</v>
      </c>
      <c r="S53" s="116"/>
      <c r="T53" s="116"/>
      <c r="U53" s="116"/>
      <c r="V53" s="116"/>
      <c r="W53" s="116"/>
      <c r="X53" s="134"/>
      <c r="Y53" s="424" t="s">
        <v>150</v>
      </c>
      <c r="Z53" s="425"/>
      <c r="AA53" s="426" t="s">
        <v>151</v>
      </c>
      <c r="AB53" s="427"/>
      <c r="AC53" s="428"/>
      <c r="AD53" s="159">
        <v>10</v>
      </c>
      <c r="AE53" s="111"/>
      <c r="AF53" s="111"/>
      <c r="AG53" s="120"/>
      <c r="AH53" s="120"/>
      <c r="AI53" s="120"/>
      <c r="AJ53" s="120"/>
      <c r="AK53" s="120"/>
      <c r="AL53" s="121"/>
      <c r="AM53" s="121"/>
      <c r="AN53" s="121"/>
      <c r="AO53" s="122"/>
      <c r="AP53" s="122"/>
      <c r="AQ53" s="122"/>
      <c r="AR53" s="122"/>
      <c r="AS53" s="123"/>
      <c r="AT53" s="161"/>
      <c r="AU53" s="124"/>
      <c r="AV53" s="124"/>
      <c r="AW53" s="124"/>
      <c r="AX53" s="124"/>
      <c r="AY53" s="124"/>
      <c r="AZ53" s="124"/>
      <c r="BA53" s="124"/>
      <c r="BB53" s="124"/>
      <c r="BC53" s="124"/>
      <c r="BD53" s="125"/>
    </row>
    <row r="54" spans="1:56" s="1" customFormat="1" ht="14.4" customHeight="1">
      <c r="A54" s="131">
        <f>IF(B54="","",COUNTA($B$8:B54))</f>
        <v>46</v>
      </c>
      <c r="B54" s="8" t="s">
        <v>263</v>
      </c>
      <c r="C54" s="114"/>
      <c r="D54" s="114"/>
      <c r="E54" s="114"/>
      <c r="F54" s="114"/>
      <c r="G54" s="114"/>
      <c r="H54" s="134"/>
      <c r="I54" s="118" t="s">
        <v>264</v>
      </c>
      <c r="J54" s="116"/>
      <c r="K54" s="116"/>
      <c r="L54" s="116"/>
      <c r="M54" s="116"/>
      <c r="N54" s="116"/>
      <c r="O54" s="116"/>
      <c r="P54" s="116"/>
      <c r="Q54" s="133"/>
      <c r="R54" s="132" t="s">
        <v>263</v>
      </c>
      <c r="S54" s="116"/>
      <c r="T54" s="116"/>
      <c r="U54" s="116"/>
      <c r="V54" s="116"/>
      <c r="W54" s="116"/>
      <c r="X54" s="134"/>
      <c r="Y54" s="424" t="s">
        <v>169</v>
      </c>
      <c r="Z54" s="425"/>
      <c r="AA54" s="426" t="s">
        <v>243</v>
      </c>
      <c r="AB54" s="427"/>
      <c r="AC54" s="428"/>
      <c r="AD54" s="159"/>
      <c r="AE54" s="111"/>
      <c r="AF54" s="111"/>
      <c r="AG54" s="121"/>
      <c r="AH54" s="121"/>
      <c r="AI54" s="121"/>
      <c r="AJ54" s="121"/>
      <c r="AK54" s="121"/>
      <c r="AL54" s="121"/>
      <c r="AM54" s="121"/>
      <c r="AN54" s="121"/>
      <c r="AO54" s="122"/>
      <c r="AP54" s="122"/>
      <c r="AQ54" s="122"/>
      <c r="AR54" s="122"/>
      <c r="AS54" s="123"/>
      <c r="AT54" s="161"/>
      <c r="AU54" s="124"/>
      <c r="AV54" s="124"/>
      <c r="AW54" s="124"/>
      <c r="AX54" s="124"/>
      <c r="AY54" s="124"/>
      <c r="AZ54" s="124"/>
      <c r="BA54" s="124"/>
      <c r="BB54" s="124"/>
      <c r="BC54" s="124"/>
      <c r="BD54" s="125"/>
    </row>
    <row r="55" spans="1:56" s="1" customFormat="1" ht="14.4" customHeight="1">
      <c r="A55" s="131" t="str">
        <f>IF(B55="","",COUNTA($B$8:B55))</f>
        <v/>
      </c>
      <c r="B55" s="8"/>
      <c r="C55" s="114"/>
      <c r="D55" s="114"/>
      <c r="E55" s="114"/>
      <c r="F55" s="114"/>
      <c r="G55" s="114"/>
      <c r="H55" s="134"/>
      <c r="I55" s="132"/>
      <c r="J55" s="116"/>
      <c r="K55" s="116"/>
      <c r="L55" s="116"/>
      <c r="M55" s="116"/>
      <c r="N55" s="116"/>
      <c r="O55" s="116"/>
      <c r="P55" s="116"/>
      <c r="Q55" s="133"/>
      <c r="R55" s="8"/>
      <c r="S55" s="116"/>
      <c r="T55" s="116"/>
      <c r="U55" s="116"/>
      <c r="V55" s="116"/>
      <c r="W55" s="116"/>
      <c r="X55" s="134"/>
      <c r="Y55" s="424"/>
      <c r="Z55" s="425"/>
      <c r="AA55" s="426"/>
      <c r="AB55" s="427"/>
      <c r="AC55" s="428"/>
      <c r="AD55" s="159"/>
      <c r="AE55" s="111" t="s">
        <v>244</v>
      </c>
      <c r="AF55" s="111"/>
      <c r="AG55" s="121"/>
      <c r="AH55" s="121"/>
      <c r="AI55" s="121"/>
      <c r="AJ55" s="121"/>
      <c r="AK55" s="121"/>
      <c r="AL55" s="121"/>
      <c r="AM55" s="121"/>
      <c r="AN55" s="121"/>
      <c r="AO55" s="122"/>
      <c r="AP55" s="122"/>
      <c r="AQ55" s="122"/>
      <c r="AR55" s="122"/>
      <c r="AS55" s="123"/>
      <c r="AT55" s="161"/>
      <c r="AU55" s="124"/>
      <c r="AV55" s="124"/>
      <c r="AW55" s="124"/>
      <c r="AX55" s="124"/>
      <c r="AY55" s="124"/>
      <c r="AZ55" s="124"/>
      <c r="BA55" s="124"/>
      <c r="BB55" s="124"/>
      <c r="BC55" s="124"/>
      <c r="BD55" s="125"/>
    </row>
    <row r="56" spans="1:56" s="1" customFormat="1" ht="14.4" customHeight="1">
      <c r="A56" s="131" t="str">
        <f>IF(B56="","",COUNTA($B$8:B56))</f>
        <v/>
      </c>
      <c r="B56" s="8"/>
      <c r="C56" s="114"/>
      <c r="D56" s="114"/>
      <c r="E56" s="114"/>
      <c r="F56" s="114"/>
      <c r="G56" s="114"/>
      <c r="H56" s="134"/>
      <c r="I56" s="132"/>
      <c r="J56" s="116"/>
      <c r="K56" s="116"/>
      <c r="L56" s="116"/>
      <c r="M56" s="116"/>
      <c r="N56" s="116"/>
      <c r="O56" s="116"/>
      <c r="P56" s="116"/>
      <c r="Q56" s="133"/>
      <c r="R56" s="8"/>
      <c r="S56" s="116"/>
      <c r="T56" s="116"/>
      <c r="U56" s="116"/>
      <c r="V56" s="116"/>
      <c r="W56" s="116"/>
      <c r="X56" s="134"/>
      <c r="Y56" s="424"/>
      <c r="Z56" s="425"/>
      <c r="AA56" s="426"/>
      <c r="AB56" s="427"/>
      <c r="AC56" s="428"/>
      <c r="AD56" s="159"/>
      <c r="AE56" s="111" t="s">
        <v>244</v>
      </c>
      <c r="AF56" s="111"/>
      <c r="AG56" s="121"/>
      <c r="AH56" s="121"/>
      <c r="AI56" s="121"/>
      <c r="AJ56" s="121"/>
      <c r="AK56" s="121"/>
      <c r="AL56" s="121"/>
      <c r="AM56" s="121"/>
      <c r="AN56" s="121"/>
      <c r="AO56" s="122"/>
      <c r="AP56" s="122"/>
      <c r="AQ56" s="122"/>
      <c r="AR56" s="122"/>
      <c r="AS56" s="123"/>
      <c r="AT56" s="161"/>
      <c r="AU56" s="124"/>
      <c r="AV56" s="124"/>
      <c r="AW56" s="124"/>
      <c r="AX56" s="124"/>
      <c r="AY56" s="124"/>
      <c r="AZ56" s="124"/>
      <c r="BA56" s="124"/>
      <c r="BB56" s="124"/>
      <c r="BC56" s="124"/>
      <c r="BD56" s="125"/>
    </row>
    <row r="57" spans="1:56" s="1" customFormat="1" ht="14.4" customHeight="1">
      <c r="A57" s="131" t="str">
        <f>IF(B57="","",COUNTA($B$8:B57))</f>
        <v/>
      </c>
      <c r="B57" s="8"/>
      <c r="C57" s="114"/>
      <c r="D57" s="114"/>
      <c r="E57" s="114"/>
      <c r="F57" s="114"/>
      <c r="G57" s="114"/>
      <c r="H57" s="134"/>
      <c r="I57" s="132"/>
      <c r="J57" s="116"/>
      <c r="K57" s="116"/>
      <c r="L57" s="116"/>
      <c r="M57" s="116"/>
      <c r="N57" s="116"/>
      <c r="O57" s="116"/>
      <c r="P57" s="116"/>
      <c r="Q57" s="133"/>
      <c r="R57" s="8"/>
      <c r="S57" s="116"/>
      <c r="T57" s="116"/>
      <c r="U57" s="116"/>
      <c r="V57" s="116"/>
      <c r="W57" s="116"/>
      <c r="X57" s="134"/>
      <c r="Y57" s="424"/>
      <c r="Z57" s="425"/>
      <c r="AA57" s="426"/>
      <c r="AB57" s="427"/>
      <c r="AC57" s="428"/>
      <c r="AD57" s="159"/>
      <c r="AE57" s="111" t="s">
        <v>244</v>
      </c>
      <c r="AF57" s="111"/>
      <c r="AG57" s="121"/>
      <c r="AH57" s="121"/>
      <c r="AI57" s="121"/>
      <c r="AJ57" s="121"/>
      <c r="AK57" s="121"/>
      <c r="AL57" s="121"/>
      <c r="AM57" s="121"/>
      <c r="AN57" s="121"/>
      <c r="AO57" s="122"/>
      <c r="AP57" s="122"/>
      <c r="AQ57" s="122"/>
      <c r="AR57" s="122"/>
      <c r="AS57" s="123"/>
      <c r="AT57" s="161"/>
      <c r="AU57" s="124"/>
      <c r="AV57" s="124"/>
      <c r="AW57" s="124"/>
      <c r="AX57" s="124"/>
      <c r="AY57" s="124"/>
      <c r="AZ57" s="124"/>
      <c r="BA57" s="124"/>
      <c r="BB57" s="124"/>
      <c r="BC57" s="124"/>
      <c r="BD57" s="125"/>
    </row>
    <row r="58" spans="1:56" s="1" customFormat="1" ht="14.4" customHeight="1">
      <c r="A58" s="131" t="str">
        <f>IF(B58="","",COUNTA($B$8:B58))</f>
        <v/>
      </c>
      <c r="B58" s="8"/>
      <c r="C58" s="114"/>
      <c r="D58" s="114"/>
      <c r="E58" s="114"/>
      <c r="F58" s="114"/>
      <c r="G58" s="114"/>
      <c r="H58" s="134"/>
      <c r="I58" s="132"/>
      <c r="J58" s="116"/>
      <c r="K58" s="116"/>
      <c r="L58" s="116"/>
      <c r="M58" s="116"/>
      <c r="N58" s="116"/>
      <c r="O58" s="116"/>
      <c r="P58" s="116"/>
      <c r="Q58" s="133"/>
      <c r="R58" s="8"/>
      <c r="S58" s="116"/>
      <c r="T58" s="116"/>
      <c r="U58" s="116"/>
      <c r="V58" s="116"/>
      <c r="W58" s="116"/>
      <c r="X58" s="134"/>
      <c r="Y58" s="424"/>
      <c r="Z58" s="425"/>
      <c r="AA58" s="426"/>
      <c r="AB58" s="427"/>
      <c r="AC58" s="428"/>
      <c r="AD58" s="159"/>
      <c r="AE58" s="111" t="s">
        <v>244</v>
      </c>
      <c r="AF58" s="111"/>
      <c r="AG58" s="121"/>
      <c r="AH58" s="121"/>
      <c r="AI58" s="121"/>
      <c r="AJ58" s="121"/>
      <c r="AK58" s="121"/>
      <c r="AL58" s="121"/>
      <c r="AM58" s="121"/>
      <c r="AN58" s="121"/>
      <c r="AO58" s="122"/>
      <c r="AP58" s="122"/>
      <c r="AQ58" s="122"/>
      <c r="AR58" s="122"/>
      <c r="AS58" s="123"/>
      <c r="AT58" s="161"/>
      <c r="AU58" s="124"/>
      <c r="AV58" s="124"/>
      <c r="AW58" s="124"/>
      <c r="AX58" s="124"/>
      <c r="AY58" s="124"/>
      <c r="AZ58" s="124"/>
      <c r="BA58" s="124"/>
      <c r="BB58" s="124"/>
      <c r="BC58" s="124"/>
      <c r="BD58" s="125"/>
    </row>
    <row r="59" spans="1:56" s="1" customFormat="1" ht="14.4" customHeight="1">
      <c r="A59" s="131" t="str">
        <f>IF(B59="","",COUNTA($B$8:B59))</f>
        <v/>
      </c>
      <c r="B59" s="8"/>
      <c r="C59" s="114"/>
      <c r="D59" s="114"/>
      <c r="E59" s="114"/>
      <c r="F59" s="114"/>
      <c r="G59" s="114"/>
      <c r="H59" s="134"/>
      <c r="I59" s="132"/>
      <c r="J59" s="116"/>
      <c r="K59" s="116"/>
      <c r="L59" s="116"/>
      <c r="M59" s="116"/>
      <c r="N59" s="116"/>
      <c r="O59" s="116"/>
      <c r="P59" s="116"/>
      <c r="Q59" s="133"/>
      <c r="R59" s="8"/>
      <c r="S59" s="116"/>
      <c r="T59" s="116"/>
      <c r="U59" s="116"/>
      <c r="V59" s="116"/>
      <c r="W59" s="116"/>
      <c r="X59" s="134"/>
      <c r="Y59" s="424"/>
      <c r="Z59" s="425"/>
      <c r="AA59" s="426"/>
      <c r="AB59" s="427"/>
      <c r="AC59" s="428"/>
      <c r="AD59" s="159"/>
      <c r="AE59" s="111" t="s">
        <v>244</v>
      </c>
      <c r="AF59" s="111"/>
      <c r="AG59" s="121"/>
      <c r="AH59" s="121"/>
      <c r="AI59" s="121"/>
      <c r="AJ59" s="121"/>
      <c r="AK59" s="121"/>
      <c r="AL59" s="121"/>
      <c r="AM59" s="121"/>
      <c r="AN59" s="121"/>
      <c r="AO59" s="122"/>
      <c r="AP59" s="122"/>
      <c r="AQ59" s="122"/>
      <c r="AR59" s="122"/>
      <c r="AS59" s="123"/>
      <c r="AT59" s="161"/>
      <c r="AU59" s="124"/>
      <c r="AV59" s="124"/>
      <c r="AW59" s="124"/>
      <c r="AX59" s="124"/>
      <c r="AY59" s="124"/>
      <c r="AZ59" s="124"/>
      <c r="BA59" s="124"/>
      <c r="BB59" s="124"/>
      <c r="BC59" s="124"/>
      <c r="BD59" s="125"/>
    </row>
    <row r="60" spans="1:56" s="1" customFormat="1" ht="14.4" customHeight="1">
      <c r="A60" s="131" t="str">
        <f>IF(B60="","",COUNTA($B$8:B60))</f>
        <v/>
      </c>
      <c r="B60" s="8"/>
      <c r="C60" s="114"/>
      <c r="D60" s="114"/>
      <c r="E60" s="114"/>
      <c r="F60" s="114"/>
      <c r="G60" s="114"/>
      <c r="H60" s="134"/>
      <c r="I60" s="132"/>
      <c r="J60" s="116"/>
      <c r="K60" s="116"/>
      <c r="L60" s="116"/>
      <c r="M60" s="116"/>
      <c r="N60" s="116"/>
      <c r="O60" s="116"/>
      <c r="P60" s="116"/>
      <c r="Q60" s="133"/>
      <c r="R60" s="8"/>
      <c r="S60" s="116"/>
      <c r="T60" s="116"/>
      <c r="U60" s="116"/>
      <c r="V60" s="116"/>
      <c r="W60" s="116"/>
      <c r="X60" s="134"/>
      <c r="Y60" s="424"/>
      <c r="Z60" s="425"/>
      <c r="AA60" s="426"/>
      <c r="AB60" s="427"/>
      <c r="AC60" s="428"/>
      <c r="AD60" s="159"/>
      <c r="AE60" s="111" t="s">
        <v>244</v>
      </c>
      <c r="AF60" s="111"/>
      <c r="AG60" s="121"/>
      <c r="AH60" s="121"/>
      <c r="AI60" s="121"/>
      <c r="AJ60" s="121"/>
      <c r="AK60" s="121"/>
      <c r="AL60" s="121"/>
      <c r="AM60" s="121"/>
      <c r="AN60" s="121"/>
      <c r="AO60" s="122"/>
      <c r="AP60" s="122"/>
      <c r="AQ60" s="122"/>
      <c r="AR60" s="122"/>
      <c r="AS60" s="123"/>
      <c r="AT60" s="161"/>
      <c r="AU60" s="124"/>
      <c r="AV60" s="124"/>
      <c r="AW60" s="124"/>
      <c r="AX60" s="124"/>
      <c r="AY60" s="124"/>
      <c r="AZ60" s="124"/>
      <c r="BA60" s="124"/>
      <c r="BB60" s="124"/>
      <c r="BC60" s="124"/>
      <c r="BD60" s="125"/>
    </row>
    <row r="61" spans="1:56" s="1" customFormat="1" ht="14.4" customHeight="1">
      <c r="A61" s="131" t="str">
        <f>IF(B61="","",COUNTA($B$8:B61))</f>
        <v/>
      </c>
      <c r="B61" s="8"/>
      <c r="C61" s="114"/>
      <c r="D61" s="114"/>
      <c r="E61" s="114"/>
      <c r="F61" s="114"/>
      <c r="G61" s="114"/>
      <c r="H61" s="134"/>
      <c r="I61" s="132"/>
      <c r="J61" s="116"/>
      <c r="K61" s="116"/>
      <c r="L61" s="116"/>
      <c r="M61" s="116"/>
      <c r="N61" s="116"/>
      <c r="O61" s="116"/>
      <c r="P61" s="116"/>
      <c r="Q61" s="133"/>
      <c r="R61" s="8"/>
      <c r="S61" s="116"/>
      <c r="T61" s="116"/>
      <c r="U61" s="116"/>
      <c r="V61" s="116"/>
      <c r="W61" s="116"/>
      <c r="X61" s="134"/>
      <c r="Y61" s="424"/>
      <c r="Z61" s="425"/>
      <c r="AA61" s="426"/>
      <c r="AB61" s="427"/>
      <c r="AC61" s="428"/>
      <c r="AD61" s="159"/>
      <c r="AE61" s="111" t="s">
        <v>244</v>
      </c>
      <c r="AF61" s="111"/>
      <c r="AG61" s="121"/>
      <c r="AH61" s="121"/>
      <c r="AI61" s="121"/>
      <c r="AJ61" s="121"/>
      <c r="AK61" s="121"/>
      <c r="AL61" s="121"/>
      <c r="AM61" s="121"/>
      <c r="AN61" s="121"/>
      <c r="AO61" s="122"/>
      <c r="AP61" s="122"/>
      <c r="AQ61" s="122"/>
      <c r="AR61" s="122"/>
      <c r="AS61" s="123"/>
      <c r="AT61" s="161"/>
      <c r="AU61" s="124"/>
      <c r="AV61" s="124"/>
      <c r="AW61" s="124"/>
      <c r="AX61" s="124"/>
      <c r="AY61" s="124"/>
      <c r="AZ61" s="124"/>
      <c r="BA61" s="124"/>
      <c r="BB61" s="124"/>
      <c r="BC61" s="124"/>
      <c r="BD61" s="125"/>
    </row>
    <row r="62" spans="1:56" s="1" customFormat="1" ht="14.4" customHeight="1">
      <c r="A62" s="131" t="str">
        <f>IF(B62="","",COUNTA($B$8:B62))</f>
        <v/>
      </c>
      <c r="B62" s="8"/>
      <c r="C62" s="114"/>
      <c r="D62" s="114"/>
      <c r="E62" s="114"/>
      <c r="F62" s="114"/>
      <c r="G62" s="114"/>
      <c r="H62" s="134"/>
      <c r="I62" s="132"/>
      <c r="J62" s="116"/>
      <c r="K62" s="116"/>
      <c r="L62" s="116"/>
      <c r="M62" s="116"/>
      <c r="N62" s="116"/>
      <c r="O62" s="116"/>
      <c r="P62" s="116"/>
      <c r="Q62" s="133"/>
      <c r="R62" s="8"/>
      <c r="S62" s="116"/>
      <c r="T62" s="116"/>
      <c r="U62" s="116"/>
      <c r="V62" s="116"/>
      <c r="W62" s="116"/>
      <c r="X62" s="134"/>
      <c r="Y62" s="424"/>
      <c r="Z62" s="425"/>
      <c r="AA62" s="426"/>
      <c r="AB62" s="427"/>
      <c r="AC62" s="428"/>
      <c r="AD62" s="159"/>
      <c r="AE62" s="111" t="s">
        <v>244</v>
      </c>
      <c r="AF62" s="111"/>
      <c r="AG62" s="121"/>
      <c r="AH62" s="121"/>
      <c r="AI62" s="121"/>
      <c r="AJ62" s="121"/>
      <c r="AK62" s="121"/>
      <c r="AL62" s="121"/>
      <c r="AM62" s="121"/>
      <c r="AN62" s="121"/>
      <c r="AO62" s="122"/>
      <c r="AP62" s="122"/>
      <c r="AQ62" s="122"/>
      <c r="AR62" s="122"/>
      <c r="AS62" s="123"/>
      <c r="AT62" s="161"/>
      <c r="AU62" s="124"/>
      <c r="AV62" s="124"/>
      <c r="AW62" s="124"/>
      <c r="AX62" s="124"/>
      <c r="AY62" s="124"/>
      <c r="AZ62" s="124"/>
      <c r="BA62" s="124"/>
      <c r="BB62" s="124"/>
      <c r="BC62" s="124"/>
      <c r="BD62" s="125"/>
    </row>
    <row r="63" spans="1:56" s="1" customFormat="1" ht="14.4" customHeight="1">
      <c r="A63" s="131" t="str">
        <f>IF(B63="","",COUNTA($B$8:B63))</f>
        <v/>
      </c>
      <c r="B63" s="8"/>
      <c r="C63" s="114"/>
      <c r="D63" s="114"/>
      <c r="E63" s="114"/>
      <c r="F63" s="114"/>
      <c r="G63" s="114"/>
      <c r="H63" s="134"/>
      <c r="I63" s="132"/>
      <c r="J63" s="116"/>
      <c r="K63" s="116"/>
      <c r="L63" s="116"/>
      <c r="M63" s="116"/>
      <c r="N63" s="116"/>
      <c r="O63" s="116"/>
      <c r="P63" s="116"/>
      <c r="Q63" s="133"/>
      <c r="R63" s="8"/>
      <c r="S63" s="116"/>
      <c r="T63" s="116"/>
      <c r="U63" s="116"/>
      <c r="V63" s="116"/>
      <c r="W63" s="116"/>
      <c r="X63" s="134"/>
      <c r="Y63" s="424"/>
      <c r="Z63" s="425"/>
      <c r="AA63" s="426"/>
      <c r="AB63" s="427"/>
      <c r="AC63" s="428"/>
      <c r="AD63" s="159"/>
      <c r="AE63" s="111" t="s">
        <v>244</v>
      </c>
      <c r="AF63" s="111"/>
      <c r="AG63" s="121"/>
      <c r="AH63" s="121"/>
      <c r="AI63" s="121"/>
      <c r="AJ63" s="121"/>
      <c r="AK63" s="121"/>
      <c r="AL63" s="121"/>
      <c r="AM63" s="121"/>
      <c r="AN63" s="121"/>
      <c r="AO63" s="122"/>
      <c r="AP63" s="122"/>
      <c r="AQ63" s="122"/>
      <c r="AR63" s="122"/>
      <c r="AS63" s="123"/>
      <c r="AT63" s="161"/>
      <c r="AU63" s="124"/>
      <c r="AV63" s="124"/>
      <c r="AW63" s="124"/>
      <c r="AX63" s="124"/>
      <c r="AY63" s="124"/>
      <c r="AZ63" s="124"/>
      <c r="BA63" s="124"/>
      <c r="BB63" s="124"/>
      <c r="BC63" s="124"/>
      <c r="BD63" s="125"/>
    </row>
    <row r="64" spans="1:56" s="1" customFormat="1" ht="14.4" customHeight="1">
      <c r="A64" s="131" t="str">
        <f>IF(B64="","",COUNTA($B$8:B64))</f>
        <v/>
      </c>
      <c r="B64" s="8"/>
      <c r="C64" s="114"/>
      <c r="D64" s="114"/>
      <c r="E64" s="114"/>
      <c r="F64" s="114"/>
      <c r="G64" s="114"/>
      <c r="H64" s="134"/>
      <c r="I64" s="132"/>
      <c r="J64" s="116"/>
      <c r="K64" s="116"/>
      <c r="L64" s="116"/>
      <c r="M64" s="116"/>
      <c r="N64" s="116"/>
      <c r="O64" s="116"/>
      <c r="P64" s="116"/>
      <c r="Q64" s="133"/>
      <c r="R64" s="8"/>
      <c r="S64" s="116"/>
      <c r="T64" s="116"/>
      <c r="U64" s="116"/>
      <c r="V64" s="116"/>
      <c r="W64" s="116"/>
      <c r="X64" s="134"/>
      <c r="Y64" s="424"/>
      <c r="Z64" s="425"/>
      <c r="AA64" s="426"/>
      <c r="AB64" s="427"/>
      <c r="AC64" s="428"/>
      <c r="AD64" s="159"/>
      <c r="AE64" s="111" t="s">
        <v>244</v>
      </c>
      <c r="AF64" s="111"/>
      <c r="AG64" s="121"/>
      <c r="AH64" s="121"/>
      <c r="AI64" s="121"/>
      <c r="AJ64" s="121"/>
      <c r="AK64" s="121"/>
      <c r="AL64" s="121"/>
      <c r="AM64" s="121"/>
      <c r="AN64" s="121"/>
      <c r="AO64" s="122"/>
      <c r="AP64" s="122"/>
      <c r="AQ64" s="122"/>
      <c r="AR64" s="122"/>
      <c r="AS64" s="123"/>
      <c r="AT64" s="161"/>
      <c r="AU64" s="124"/>
      <c r="AV64" s="124"/>
      <c r="AW64" s="124"/>
      <c r="AX64" s="124"/>
      <c r="AY64" s="124"/>
      <c r="AZ64" s="124"/>
      <c r="BA64" s="124"/>
      <c r="BB64" s="124"/>
      <c r="BC64" s="124"/>
      <c r="BD64" s="125"/>
    </row>
    <row r="65" spans="1:56" s="1" customFormat="1" ht="14.4" customHeight="1">
      <c r="A65" s="131" t="str">
        <f>IF(B65="","",COUNTA($B$8:B65))</f>
        <v/>
      </c>
      <c r="B65" s="8"/>
      <c r="C65" s="114"/>
      <c r="D65" s="114"/>
      <c r="E65" s="114"/>
      <c r="F65" s="114"/>
      <c r="G65" s="114"/>
      <c r="H65" s="134"/>
      <c r="I65" s="132"/>
      <c r="J65" s="116"/>
      <c r="K65" s="116"/>
      <c r="L65" s="116"/>
      <c r="M65" s="116"/>
      <c r="N65" s="116"/>
      <c r="O65" s="116"/>
      <c r="P65" s="116"/>
      <c r="Q65" s="133"/>
      <c r="R65" s="8"/>
      <c r="S65" s="116"/>
      <c r="T65" s="116"/>
      <c r="U65" s="116"/>
      <c r="V65" s="116"/>
      <c r="W65" s="116"/>
      <c r="X65" s="134"/>
      <c r="Y65" s="424"/>
      <c r="Z65" s="425"/>
      <c r="AA65" s="426"/>
      <c r="AB65" s="427"/>
      <c r="AC65" s="428"/>
      <c r="AD65" s="159"/>
      <c r="AE65" s="111" t="s">
        <v>244</v>
      </c>
      <c r="AF65" s="111"/>
      <c r="AG65" s="121"/>
      <c r="AH65" s="121"/>
      <c r="AI65" s="121"/>
      <c r="AJ65" s="121"/>
      <c r="AK65" s="121"/>
      <c r="AL65" s="121"/>
      <c r="AM65" s="121"/>
      <c r="AN65" s="121"/>
      <c r="AO65" s="122"/>
      <c r="AP65" s="122"/>
      <c r="AQ65" s="122"/>
      <c r="AR65" s="122"/>
      <c r="AS65" s="123"/>
      <c r="AT65" s="161"/>
      <c r="AU65" s="124"/>
      <c r="AV65" s="124"/>
      <c r="AW65" s="124"/>
      <c r="AX65" s="124"/>
      <c r="AY65" s="124"/>
      <c r="AZ65" s="124"/>
      <c r="BA65" s="124"/>
      <c r="BB65" s="124"/>
      <c r="BC65" s="124"/>
      <c r="BD65" s="125"/>
    </row>
    <row r="66" spans="1:56" s="1" customFormat="1" ht="14.4" customHeight="1">
      <c r="A66" s="131" t="str">
        <f>IF(B66="","",COUNTA($B$8:B66))</f>
        <v/>
      </c>
      <c r="B66" s="8"/>
      <c r="C66" s="114"/>
      <c r="D66" s="114"/>
      <c r="E66" s="114"/>
      <c r="F66" s="114"/>
      <c r="G66" s="114"/>
      <c r="H66" s="134"/>
      <c r="I66" s="132"/>
      <c r="J66" s="116"/>
      <c r="K66" s="116"/>
      <c r="L66" s="116"/>
      <c r="M66" s="116"/>
      <c r="N66" s="116"/>
      <c r="O66" s="116"/>
      <c r="P66" s="116"/>
      <c r="Q66" s="133"/>
      <c r="R66" s="8"/>
      <c r="S66" s="116"/>
      <c r="T66" s="116"/>
      <c r="U66" s="116"/>
      <c r="V66" s="116"/>
      <c r="W66" s="116"/>
      <c r="X66" s="134"/>
      <c r="Y66" s="424"/>
      <c r="Z66" s="425"/>
      <c r="AA66" s="426"/>
      <c r="AB66" s="427"/>
      <c r="AC66" s="428"/>
      <c r="AD66" s="159"/>
      <c r="AE66" s="111" t="s">
        <v>244</v>
      </c>
      <c r="AF66" s="111"/>
      <c r="AG66" s="121"/>
      <c r="AH66" s="121"/>
      <c r="AI66" s="121"/>
      <c r="AJ66" s="121"/>
      <c r="AK66" s="121"/>
      <c r="AL66" s="121"/>
      <c r="AM66" s="121"/>
      <c r="AN66" s="121"/>
      <c r="AO66" s="122"/>
      <c r="AP66" s="122"/>
      <c r="AQ66" s="122"/>
      <c r="AR66" s="122"/>
      <c r="AS66" s="123"/>
      <c r="AT66" s="161"/>
      <c r="AU66" s="124"/>
      <c r="AV66" s="124"/>
      <c r="AW66" s="124"/>
      <c r="AX66" s="124"/>
      <c r="AY66" s="124"/>
      <c r="AZ66" s="124"/>
      <c r="BA66" s="124"/>
      <c r="BB66" s="124"/>
      <c r="BC66" s="124"/>
      <c r="BD66" s="125"/>
    </row>
    <row r="67" spans="1:56" s="1" customFormat="1" ht="14.4" customHeight="1">
      <c r="A67" s="131" t="str">
        <f>IF(B67="","",COUNTA($B$8:B67))</f>
        <v/>
      </c>
      <c r="B67" s="8"/>
      <c r="C67" s="114"/>
      <c r="D67" s="114"/>
      <c r="E67" s="114"/>
      <c r="F67" s="114"/>
      <c r="G67" s="114"/>
      <c r="H67" s="134"/>
      <c r="I67" s="132"/>
      <c r="J67" s="116"/>
      <c r="K67" s="116"/>
      <c r="L67" s="116"/>
      <c r="M67" s="116"/>
      <c r="N67" s="116"/>
      <c r="O67" s="116"/>
      <c r="P67" s="116"/>
      <c r="Q67" s="133"/>
      <c r="R67" s="8"/>
      <c r="S67" s="116"/>
      <c r="T67" s="116"/>
      <c r="U67" s="116"/>
      <c r="V67" s="116"/>
      <c r="W67" s="116"/>
      <c r="X67" s="134"/>
      <c r="Y67" s="424"/>
      <c r="Z67" s="425"/>
      <c r="AA67" s="426"/>
      <c r="AB67" s="427"/>
      <c r="AC67" s="428"/>
      <c r="AD67" s="159"/>
      <c r="AE67" s="111" t="s">
        <v>244</v>
      </c>
      <c r="AF67" s="111"/>
      <c r="AG67" s="121"/>
      <c r="AH67" s="121"/>
      <c r="AI67" s="121"/>
      <c r="AJ67" s="121"/>
      <c r="AK67" s="121"/>
      <c r="AL67" s="121"/>
      <c r="AM67" s="121"/>
      <c r="AN67" s="121"/>
      <c r="AO67" s="122"/>
      <c r="AP67" s="122"/>
      <c r="AQ67" s="122"/>
      <c r="AR67" s="122"/>
      <c r="AS67" s="123"/>
      <c r="AT67" s="161"/>
      <c r="AU67" s="124"/>
      <c r="AV67" s="124"/>
      <c r="AW67" s="124"/>
      <c r="AX67" s="124"/>
      <c r="AY67" s="124"/>
      <c r="AZ67" s="124"/>
      <c r="BA67" s="124"/>
      <c r="BB67" s="124"/>
      <c r="BC67" s="124"/>
      <c r="BD67" s="125"/>
    </row>
    <row r="68" spans="1:56" s="1" customFormat="1" ht="14.4" customHeight="1">
      <c r="A68" s="131" t="str">
        <f>IF(B68="","",COUNTA($B$8:B68))</f>
        <v/>
      </c>
      <c r="B68" s="8"/>
      <c r="C68" s="114"/>
      <c r="D68" s="114"/>
      <c r="E68" s="114"/>
      <c r="F68" s="114"/>
      <c r="G68" s="114"/>
      <c r="H68" s="134"/>
      <c r="I68" s="132"/>
      <c r="J68" s="116"/>
      <c r="K68" s="116"/>
      <c r="L68" s="116"/>
      <c r="M68" s="116"/>
      <c r="N68" s="116"/>
      <c r="O68" s="116"/>
      <c r="P68" s="116"/>
      <c r="Q68" s="133"/>
      <c r="R68" s="8"/>
      <c r="S68" s="116"/>
      <c r="T68" s="116"/>
      <c r="U68" s="116"/>
      <c r="V68" s="116"/>
      <c r="W68" s="116"/>
      <c r="X68" s="134"/>
      <c r="Y68" s="424"/>
      <c r="Z68" s="425"/>
      <c r="AA68" s="426"/>
      <c r="AB68" s="427"/>
      <c r="AC68" s="428"/>
      <c r="AD68" s="159"/>
      <c r="AE68" s="111" t="s">
        <v>244</v>
      </c>
      <c r="AF68" s="111"/>
      <c r="AG68" s="121"/>
      <c r="AH68" s="121"/>
      <c r="AI68" s="121"/>
      <c r="AJ68" s="121"/>
      <c r="AK68" s="121"/>
      <c r="AL68" s="121"/>
      <c r="AM68" s="121"/>
      <c r="AN68" s="121"/>
      <c r="AO68" s="122"/>
      <c r="AP68" s="122"/>
      <c r="AQ68" s="122"/>
      <c r="AR68" s="122"/>
      <c r="AS68" s="123"/>
      <c r="AT68" s="161"/>
      <c r="AU68" s="124"/>
      <c r="AV68" s="124"/>
      <c r="AW68" s="124"/>
      <c r="AX68" s="124"/>
      <c r="AY68" s="124"/>
      <c r="AZ68" s="124"/>
      <c r="BA68" s="124"/>
      <c r="BB68" s="124"/>
      <c r="BC68" s="124"/>
      <c r="BD68" s="125"/>
    </row>
    <row r="69" spans="1:56" s="1" customFormat="1" ht="14.4" customHeight="1">
      <c r="A69" s="131" t="str">
        <f>IF(B69="","",COUNTA($B$8:B69))</f>
        <v/>
      </c>
      <c r="B69" s="8"/>
      <c r="C69" s="114"/>
      <c r="D69" s="114"/>
      <c r="E69" s="114"/>
      <c r="F69" s="114"/>
      <c r="G69" s="114"/>
      <c r="H69" s="134"/>
      <c r="I69" s="132"/>
      <c r="J69" s="116"/>
      <c r="K69" s="116"/>
      <c r="L69" s="116"/>
      <c r="M69" s="116"/>
      <c r="N69" s="116"/>
      <c r="O69" s="116"/>
      <c r="P69" s="116"/>
      <c r="Q69" s="133"/>
      <c r="R69" s="8"/>
      <c r="S69" s="116"/>
      <c r="T69" s="116"/>
      <c r="U69" s="116"/>
      <c r="V69" s="116"/>
      <c r="W69" s="116"/>
      <c r="X69" s="134"/>
      <c r="Y69" s="424"/>
      <c r="Z69" s="425"/>
      <c r="AA69" s="426"/>
      <c r="AB69" s="427"/>
      <c r="AC69" s="428"/>
      <c r="AD69" s="159"/>
      <c r="AE69" s="111" t="s">
        <v>244</v>
      </c>
      <c r="AF69" s="111"/>
      <c r="AG69" s="121"/>
      <c r="AH69" s="121"/>
      <c r="AI69" s="121"/>
      <c r="AJ69" s="121"/>
      <c r="AK69" s="121"/>
      <c r="AL69" s="121"/>
      <c r="AM69" s="121"/>
      <c r="AN69" s="121"/>
      <c r="AO69" s="122"/>
      <c r="AP69" s="122"/>
      <c r="AQ69" s="122"/>
      <c r="AR69" s="122"/>
      <c r="AS69" s="123"/>
      <c r="AT69" s="161"/>
      <c r="AU69" s="124"/>
      <c r="AV69" s="124"/>
      <c r="AW69" s="124"/>
      <c r="AX69" s="124"/>
      <c r="AY69" s="124"/>
      <c r="AZ69" s="124"/>
      <c r="BA69" s="124"/>
      <c r="BB69" s="124"/>
      <c r="BC69" s="124"/>
      <c r="BD69" s="125"/>
    </row>
    <row r="70" spans="1:56" s="1" customFormat="1" ht="14.4" customHeight="1">
      <c r="A70" s="131" t="str">
        <f>IF(B70="","",COUNTA($B$8:B70))</f>
        <v/>
      </c>
      <c r="B70" s="8"/>
      <c r="C70" s="114"/>
      <c r="D70" s="114"/>
      <c r="E70" s="114"/>
      <c r="F70" s="114"/>
      <c r="G70" s="114"/>
      <c r="H70" s="134"/>
      <c r="I70" s="132"/>
      <c r="J70" s="116"/>
      <c r="K70" s="116"/>
      <c r="L70" s="116"/>
      <c r="M70" s="116"/>
      <c r="N70" s="116"/>
      <c r="O70" s="116"/>
      <c r="P70" s="116"/>
      <c r="Q70" s="133"/>
      <c r="R70" s="8"/>
      <c r="S70" s="116"/>
      <c r="T70" s="116"/>
      <c r="U70" s="116"/>
      <c r="V70" s="116"/>
      <c r="W70" s="116"/>
      <c r="X70" s="134"/>
      <c r="Y70" s="424"/>
      <c r="Z70" s="425"/>
      <c r="AA70" s="426"/>
      <c r="AB70" s="427"/>
      <c r="AC70" s="428"/>
      <c r="AD70" s="159"/>
      <c r="AE70" s="111" t="s">
        <v>244</v>
      </c>
      <c r="AF70" s="111"/>
      <c r="AG70" s="121"/>
      <c r="AH70" s="121"/>
      <c r="AI70" s="121"/>
      <c r="AJ70" s="121"/>
      <c r="AK70" s="121"/>
      <c r="AL70" s="121"/>
      <c r="AM70" s="121"/>
      <c r="AN70" s="121"/>
      <c r="AO70" s="122"/>
      <c r="AP70" s="122"/>
      <c r="AQ70" s="122"/>
      <c r="AR70" s="122"/>
      <c r="AS70" s="123"/>
      <c r="AT70" s="161"/>
      <c r="AU70" s="124"/>
      <c r="AV70" s="124"/>
      <c r="AW70" s="124"/>
      <c r="AX70" s="124"/>
      <c r="AY70" s="124"/>
      <c r="AZ70" s="124"/>
      <c r="BA70" s="124"/>
      <c r="BB70" s="124"/>
      <c r="BC70" s="124"/>
      <c r="BD70" s="125"/>
    </row>
    <row r="71" spans="1:56" s="1" customFormat="1" ht="14.4" customHeight="1">
      <c r="A71" s="131" t="str">
        <f>IF(B71="","",COUNTA($B$8:B71))</f>
        <v/>
      </c>
      <c r="B71" s="8"/>
      <c r="C71" s="114"/>
      <c r="D71" s="114"/>
      <c r="E71" s="114"/>
      <c r="F71" s="114"/>
      <c r="G71" s="114"/>
      <c r="H71" s="134"/>
      <c r="I71" s="132"/>
      <c r="J71" s="116"/>
      <c r="K71" s="116"/>
      <c r="L71" s="116"/>
      <c r="M71" s="116"/>
      <c r="N71" s="116"/>
      <c r="O71" s="116"/>
      <c r="P71" s="116"/>
      <c r="Q71" s="133"/>
      <c r="R71" s="8"/>
      <c r="S71" s="116"/>
      <c r="T71" s="116"/>
      <c r="U71" s="116"/>
      <c r="V71" s="116"/>
      <c r="W71" s="116"/>
      <c r="X71" s="134"/>
      <c r="Y71" s="424"/>
      <c r="Z71" s="425"/>
      <c r="AA71" s="426"/>
      <c r="AB71" s="427"/>
      <c r="AC71" s="428"/>
      <c r="AD71" s="159"/>
      <c r="AE71" s="111" t="s">
        <v>244</v>
      </c>
      <c r="AF71" s="111"/>
      <c r="AG71" s="121"/>
      <c r="AH71" s="121"/>
      <c r="AI71" s="121"/>
      <c r="AJ71" s="121"/>
      <c r="AK71" s="121"/>
      <c r="AL71" s="121"/>
      <c r="AM71" s="121"/>
      <c r="AN71" s="121"/>
      <c r="AO71" s="122"/>
      <c r="AP71" s="122"/>
      <c r="AQ71" s="122"/>
      <c r="AR71" s="122"/>
      <c r="AS71" s="123"/>
      <c r="AT71" s="161"/>
      <c r="AU71" s="124"/>
      <c r="AV71" s="124"/>
      <c r="AW71" s="124"/>
      <c r="AX71" s="124"/>
      <c r="AY71" s="124"/>
      <c r="AZ71" s="124"/>
      <c r="BA71" s="124"/>
      <c r="BB71" s="124"/>
      <c r="BC71" s="124"/>
      <c r="BD71" s="125"/>
    </row>
    <row r="72" spans="1:56" s="1" customFormat="1" ht="14.4" customHeight="1">
      <c r="A72" s="131" t="str">
        <f>IF(B72="","",COUNTA($B$8:B72))</f>
        <v/>
      </c>
      <c r="B72" s="8"/>
      <c r="C72" s="114"/>
      <c r="D72" s="114"/>
      <c r="E72" s="114"/>
      <c r="F72" s="114"/>
      <c r="G72" s="114"/>
      <c r="H72" s="134"/>
      <c r="I72" s="132"/>
      <c r="J72" s="116"/>
      <c r="K72" s="116"/>
      <c r="L72" s="116"/>
      <c r="M72" s="116"/>
      <c r="N72" s="116"/>
      <c r="O72" s="116"/>
      <c r="P72" s="116"/>
      <c r="Q72" s="133"/>
      <c r="R72" s="8"/>
      <c r="S72" s="116"/>
      <c r="T72" s="116"/>
      <c r="U72" s="116"/>
      <c r="V72" s="116"/>
      <c r="W72" s="116"/>
      <c r="X72" s="134"/>
      <c r="Y72" s="424"/>
      <c r="Z72" s="425"/>
      <c r="AA72" s="426"/>
      <c r="AB72" s="427"/>
      <c r="AC72" s="428"/>
      <c r="AD72" s="159"/>
      <c r="AE72" s="111" t="s">
        <v>244</v>
      </c>
      <c r="AF72" s="111"/>
      <c r="AG72" s="121"/>
      <c r="AH72" s="121"/>
      <c r="AI72" s="121"/>
      <c r="AJ72" s="121"/>
      <c r="AK72" s="121"/>
      <c r="AL72" s="121"/>
      <c r="AM72" s="121"/>
      <c r="AN72" s="121"/>
      <c r="AO72" s="122"/>
      <c r="AP72" s="122"/>
      <c r="AQ72" s="122"/>
      <c r="AR72" s="122"/>
      <c r="AS72" s="123"/>
      <c r="AT72" s="161"/>
      <c r="AU72" s="124"/>
      <c r="AV72" s="124"/>
      <c r="AW72" s="124"/>
      <c r="AX72" s="124"/>
      <c r="AY72" s="124"/>
      <c r="AZ72" s="124"/>
      <c r="BA72" s="124"/>
      <c r="BB72" s="124"/>
      <c r="BC72" s="124"/>
      <c r="BD72" s="125"/>
    </row>
    <row r="73" spans="1:56" s="1" customFormat="1" ht="14.4" customHeight="1">
      <c r="A73" s="131" t="str">
        <f>IF(B73="","",COUNTA($B$8:B73))</f>
        <v/>
      </c>
      <c r="B73" s="8"/>
      <c r="C73" s="114"/>
      <c r="D73" s="114"/>
      <c r="E73" s="114"/>
      <c r="F73" s="114"/>
      <c r="G73" s="114"/>
      <c r="H73" s="134"/>
      <c r="I73" s="132"/>
      <c r="J73" s="116"/>
      <c r="K73" s="116"/>
      <c r="L73" s="116"/>
      <c r="M73" s="116"/>
      <c r="N73" s="116"/>
      <c r="O73" s="116"/>
      <c r="P73" s="116"/>
      <c r="Q73" s="133"/>
      <c r="R73" s="8"/>
      <c r="S73" s="116"/>
      <c r="T73" s="116"/>
      <c r="U73" s="116"/>
      <c r="V73" s="116"/>
      <c r="W73" s="116"/>
      <c r="X73" s="134"/>
      <c r="Y73" s="424"/>
      <c r="Z73" s="425"/>
      <c r="AA73" s="426"/>
      <c r="AB73" s="427"/>
      <c r="AC73" s="428"/>
      <c r="AD73" s="159"/>
      <c r="AE73" s="111" t="s">
        <v>244</v>
      </c>
      <c r="AF73" s="111"/>
      <c r="AG73" s="121"/>
      <c r="AH73" s="121"/>
      <c r="AI73" s="121"/>
      <c r="AJ73" s="121"/>
      <c r="AK73" s="121"/>
      <c r="AL73" s="121"/>
      <c r="AM73" s="121"/>
      <c r="AN73" s="121"/>
      <c r="AO73" s="122"/>
      <c r="AP73" s="122"/>
      <c r="AQ73" s="122"/>
      <c r="AR73" s="122"/>
      <c r="AS73" s="123"/>
      <c r="AT73" s="161"/>
      <c r="AU73" s="124"/>
      <c r="AV73" s="124"/>
      <c r="AW73" s="124"/>
      <c r="AX73" s="124"/>
      <c r="AY73" s="124"/>
      <c r="AZ73" s="124"/>
      <c r="BA73" s="124"/>
      <c r="BB73" s="124"/>
      <c r="BC73" s="124"/>
      <c r="BD73" s="125"/>
    </row>
    <row r="74" spans="1:56" s="1" customFormat="1" ht="14.4" customHeight="1">
      <c r="A74" s="131" t="str">
        <f>IF(B74="","",COUNTA($B$8:B74))</f>
        <v/>
      </c>
      <c r="B74" s="8"/>
      <c r="C74" s="114"/>
      <c r="D74" s="114"/>
      <c r="E74" s="114"/>
      <c r="F74" s="114"/>
      <c r="G74" s="114"/>
      <c r="H74" s="134"/>
      <c r="I74" s="132"/>
      <c r="J74" s="116"/>
      <c r="K74" s="116"/>
      <c r="L74" s="116"/>
      <c r="M74" s="116"/>
      <c r="N74" s="116"/>
      <c r="O74" s="116"/>
      <c r="P74" s="116"/>
      <c r="Q74" s="133"/>
      <c r="R74" s="8"/>
      <c r="S74" s="116"/>
      <c r="T74" s="116"/>
      <c r="U74" s="116"/>
      <c r="V74" s="116"/>
      <c r="W74" s="116"/>
      <c r="X74" s="134"/>
      <c r="Y74" s="424"/>
      <c r="Z74" s="425"/>
      <c r="AA74" s="426"/>
      <c r="AB74" s="427"/>
      <c r="AC74" s="428"/>
      <c r="AD74" s="159"/>
      <c r="AE74" s="111" t="s">
        <v>244</v>
      </c>
      <c r="AF74" s="111"/>
      <c r="AG74" s="121"/>
      <c r="AH74" s="121"/>
      <c r="AI74" s="121"/>
      <c r="AJ74" s="121"/>
      <c r="AK74" s="121"/>
      <c r="AL74" s="121"/>
      <c r="AM74" s="121"/>
      <c r="AN74" s="121"/>
      <c r="AO74" s="122"/>
      <c r="AP74" s="122"/>
      <c r="AQ74" s="122"/>
      <c r="AR74" s="122"/>
      <c r="AS74" s="123"/>
      <c r="AT74" s="161"/>
      <c r="AU74" s="124"/>
      <c r="AV74" s="124"/>
      <c r="AW74" s="124"/>
      <c r="AX74" s="124"/>
      <c r="AY74" s="124"/>
      <c r="AZ74" s="124"/>
      <c r="BA74" s="124"/>
      <c r="BB74" s="124"/>
      <c r="BC74" s="124"/>
      <c r="BD74" s="125"/>
    </row>
    <row r="75" spans="1:56" s="1" customFormat="1" ht="14.4" customHeight="1">
      <c r="A75" s="131" t="str">
        <f>IF(B75="","",COUNTA($B$8:B75))</f>
        <v/>
      </c>
      <c r="B75" s="8"/>
      <c r="C75" s="114"/>
      <c r="D75" s="114"/>
      <c r="E75" s="114"/>
      <c r="F75" s="114"/>
      <c r="G75" s="114"/>
      <c r="H75" s="134"/>
      <c r="I75" s="132"/>
      <c r="J75" s="116"/>
      <c r="K75" s="116"/>
      <c r="L75" s="116"/>
      <c r="M75" s="116"/>
      <c r="N75" s="116"/>
      <c r="O75" s="116"/>
      <c r="P75" s="116"/>
      <c r="Q75" s="133"/>
      <c r="R75" s="8"/>
      <c r="S75" s="116"/>
      <c r="T75" s="116"/>
      <c r="U75" s="116"/>
      <c r="V75" s="116"/>
      <c r="W75" s="116"/>
      <c r="X75" s="134"/>
      <c r="Y75" s="424"/>
      <c r="Z75" s="425"/>
      <c r="AA75" s="426"/>
      <c r="AB75" s="427"/>
      <c r="AC75" s="428"/>
      <c r="AD75" s="159"/>
      <c r="AE75" s="111" t="s">
        <v>244</v>
      </c>
      <c r="AF75" s="111"/>
      <c r="AG75" s="121"/>
      <c r="AH75" s="121"/>
      <c r="AI75" s="121"/>
      <c r="AJ75" s="121"/>
      <c r="AK75" s="121"/>
      <c r="AL75" s="121"/>
      <c r="AM75" s="121"/>
      <c r="AN75" s="121"/>
      <c r="AO75" s="122"/>
      <c r="AP75" s="122"/>
      <c r="AQ75" s="122"/>
      <c r="AR75" s="122"/>
      <c r="AS75" s="123"/>
      <c r="AT75" s="161"/>
      <c r="AU75" s="124"/>
      <c r="AV75" s="124"/>
      <c r="AW75" s="124"/>
      <c r="AX75" s="124"/>
      <c r="AY75" s="124"/>
      <c r="AZ75" s="124"/>
      <c r="BA75" s="124"/>
      <c r="BB75" s="124"/>
      <c r="BC75" s="124"/>
      <c r="BD75" s="125"/>
    </row>
    <row r="76" spans="1:56" s="1" customFormat="1" ht="14.4" customHeight="1">
      <c r="A76" s="131" t="str">
        <f>IF(B76="","",COUNTA($B$8:B76))</f>
        <v/>
      </c>
      <c r="B76" s="8"/>
      <c r="C76" s="114"/>
      <c r="D76" s="114"/>
      <c r="E76" s="114"/>
      <c r="F76" s="114"/>
      <c r="G76" s="114"/>
      <c r="H76" s="134"/>
      <c r="I76" s="132"/>
      <c r="J76" s="116"/>
      <c r="K76" s="116"/>
      <c r="L76" s="116"/>
      <c r="M76" s="116"/>
      <c r="N76" s="116"/>
      <c r="O76" s="116"/>
      <c r="P76" s="116"/>
      <c r="Q76" s="133"/>
      <c r="R76" s="8"/>
      <c r="S76" s="116"/>
      <c r="T76" s="116"/>
      <c r="U76" s="116"/>
      <c r="V76" s="116"/>
      <c r="W76" s="116"/>
      <c r="X76" s="134"/>
      <c r="Y76" s="424"/>
      <c r="Z76" s="425"/>
      <c r="AA76" s="426"/>
      <c r="AB76" s="427"/>
      <c r="AC76" s="428"/>
      <c r="AD76" s="159"/>
      <c r="AE76" s="111" t="s">
        <v>244</v>
      </c>
      <c r="AF76" s="111"/>
      <c r="AG76" s="121"/>
      <c r="AH76" s="121"/>
      <c r="AI76" s="121"/>
      <c r="AJ76" s="121"/>
      <c r="AK76" s="121"/>
      <c r="AL76" s="121"/>
      <c r="AM76" s="121"/>
      <c r="AN76" s="121"/>
      <c r="AO76" s="122"/>
      <c r="AP76" s="122"/>
      <c r="AQ76" s="122"/>
      <c r="AR76" s="122"/>
      <c r="AS76" s="123"/>
      <c r="AT76" s="161"/>
      <c r="AU76" s="124"/>
      <c r="AV76" s="124"/>
      <c r="AW76" s="124"/>
      <c r="AX76" s="124"/>
      <c r="AY76" s="124"/>
      <c r="AZ76" s="124"/>
      <c r="BA76" s="124"/>
      <c r="BB76" s="124"/>
      <c r="BC76" s="124"/>
      <c r="BD76" s="125"/>
    </row>
    <row r="77" spans="1:56" s="1" customFormat="1" ht="14.4" customHeight="1">
      <c r="A77" s="131" t="str">
        <f>IF(B77="","",COUNTA($B$8:B77))</f>
        <v/>
      </c>
      <c r="B77" s="8"/>
      <c r="C77" s="114"/>
      <c r="D77" s="114"/>
      <c r="E77" s="114"/>
      <c r="F77" s="114"/>
      <c r="G77" s="114"/>
      <c r="H77" s="134"/>
      <c r="I77" s="132"/>
      <c r="J77" s="116"/>
      <c r="K77" s="116"/>
      <c r="L77" s="116"/>
      <c r="M77" s="116"/>
      <c r="N77" s="116"/>
      <c r="O77" s="116"/>
      <c r="P77" s="116"/>
      <c r="Q77" s="133"/>
      <c r="R77" s="8"/>
      <c r="S77" s="116"/>
      <c r="T77" s="116"/>
      <c r="U77" s="116"/>
      <c r="V77" s="116"/>
      <c r="W77" s="116"/>
      <c r="X77" s="134"/>
      <c r="Y77" s="424"/>
      <c r="Z77" s="425"/>
      <c r="AA77" s="426"/>
      <c r="AB77" s="427"/>
      <c r="AC77" s="428"/>
      <c r="AD77" s="159"/>
      <c r="AE77" s="111" t="s">
        <v>244</v>
      </c>
      <c r="AF77" s="111"/>
      <c r="AG77" s="121"/>
      <c r="AH77" s="121"/>
      <c r="AI77" s="121"/>
      <c r="AJ77" s="121"/>
      <c r="AK77" s="121"/>
      <c r="AL77" s="121"/>
      <c r="AM77" s="121"/>
      <c r="AN77" s="121"/>
      <c r="AO77" s="122"/>
      <c r="AP77" s="122"/>
      <c r="AQ77" s="122"/>
      <c r="AR77" s="122"/>
      <c r="AS77" s="123"/>
      <c r="AT77" s="161"/>
      <c r="AU77" s="124"/>
      <c r="AV77" s="124"/>
      <c r="AW77" s="124"/>
      <c r="AX77" s="124"/>
      <c r="AY77" s="124"/>
      <c r="AZ77" s="124"/>
      <c r="BA77" s="124"/>
      <c r="BB77" s="124"/>
      <c r="BC77" s="124"/>
      <c r="BD77" s="125"/>
    </row>
    <row r="78" spans="1:56" s="1" customFormat="1" ht="14.4" customHeight="1">
      <c r="A78" s="131" t="str">
        <f>IF(B78="","",COUNTA($B$8:B78))</f>
        <v/>
      </c>
      <c r="B78" s="8"/>
      <c r="C78" s="114"/>
      <c r="D78" s="114"/>
      <c r="E78" s="114"/>
      <c r="F78" s="114"/>
      <c r="G78" s="114"/>
      <c r="H78" s="134"/>
      <c r="I78" s="132"/>
      <c r="J78" s="116"/>
      <c r="K78" s="116"/>
      <c r="L78" s="116"/>
      <c r="M78" s="116"/>
      <c r="N78" s="116"/>
      <c r="O78" s="116"/>
      <c r="P78" s="116"/>
      <c r="Q78" s="133"/>
      <c r="R78" s="8"/>
      <c r="S78" s="116"/>
      <c r="T78" s="116"/>
      <c r="U78" s="116"/>
      <c r="V78" s="116"/>
      <c r="W78" s="116"/>
      <c r="X78" s="134"/>
      <c r="Y78" s="424"/>
      <c r="Z78" s="425"/>
      <c r="AA78" s="426"/>
      <c r="AB78" s="427"/>
      <c r="AC78" s="428"/>
      <c r="AD78" s="159"/>
      <c r="AE78" s="111" t="s">
        <v>244</v>
      </c>
      <c r="AF78" s="111"/>
      <c r="AG78" s="121"/>
      <c r="AH78" s="121"/>
      <c r="AI78" s="121"/>
      <c r="AJ78" s="121"/>
      <c r="AK78" s="121"/>
      <c r="AL78" s="121"/>
      <c r="AM78" s="121"/>
      <c r="AN78" s="121"/>
      <c r="AO78" s="122"/>
      <c r="AP78" s="122"/>
      <c r="AQ78" s="122"/>
      <c r="AR78" s="122"/>
      <c r="AS78" s="123"/>
      <c r="AT78" s="161"/>
      <c r="AU78" s="124"/>
      <c r="AV78" s="124"/>
      <c r="AW78" s="124"/>
      <c r="AX78" s="124"/>
      <c r="AY78" s="124"/>
      <c r="AZ78" s="124"/>
      <c r="BA78" s="124"/>
      <c r="BB78" s="124"/>
      <c r="BC78" s="124"/>
      <c r="BD78" s="125"/>
    </row>
    <row r="79" spans="1:56" s="1" customFormat="1" ht="14.4" customHeight="1">
      <c r="A79" s="131" t="str">
        <f>IF(B79="","",COUNTA($B$8:B79))</f>
        <v/>
      </c>
      <c r="B79" s="8"/>
      <c r="C79" s="114"/>
      <c r="D79" s="114"/>
      <c r="E79" s="114"/>
      <c r="F79" s="114"/>
      <c r="G79" s="114"/>
      <c r="H79" s="134"/>
      <c r="I79" s="132"/>
      <c r="J79" s="116"/>
      <c r="K79" s="116"/>
      <c r="L79" s="116"/>
      <c r="M79" s="116"/>
      <c r="N79" s="116"/>
      <c r="O79" s="116"/>
      <c r="P79" s="116"/>
      <c r="Q79" s="133"/>
      <c r="R79" s="8"/>
      <c r="S79" s="116"/>
      <c r="T79" s="116"/>
      <c r="U79" s="116"/>
      <c r="V79" s="116"/>
      <c r="W79" s="116"/>
      <c r="X79" s="134"/>
      <c r="Y79" s="424"/>
      <c r="Z79" s="425"/>
      <c r="AA79" s="426"/>
      <c r="AB79" s="427"/>
      <c r="AC79" s="428"/>
      <c r="AD79" s="159"/>
      <c r="AE79" s="111" t="s">
        <v>244</v>
      </c>
      <c r="AF79" s="111"/>
      <c r="AG79" s="121"/>
      <c r="AH79" s="121"/>
      <c r="AI79" s="121"/>
      <c r="AJ79" s="121"/>
      <c r="AK79" s="121"/>
      <c r="AL79" s="121"/>
      <c r="AM79" s="121"/>
      <c r="AN79" s="121"/>
      <c r="AO79" s="122"/>
      <c r="AP79" s="122"/>
      <c r="AQ79" s="122"/>
      <c r="AR79" s="122"/>
      <c r="AS79" s="123"/>
      <c r="AT79" s="161"/>
      <c r="AU79" s="124"/>
      <c r="AV79" s="124"/>
      <c r="AW79" s="124"/>
      <c r="AX79" s="124"/>
      <c r="AY79" s="124"/>
      <c r="AZ79" s="124"/>
      <c r="BA79" s="124"/>
      <c r="BB79" s="124"/>
      <c r="BC79" s="124"/>
      <c r="BD79" s="125"/>
    </row>
    <row r="80" spans="1:56" s="1" customFormat="1" ht="14.4" customHeight="1">
      <c r="A80" s="131" t="str">
        <f>IF(B80="","",COUNTA($B$8:B80))</f>
        <v/>
      </c>
      <c r="B80" s="8"/>
      <c r="C80" s="114"/>
      <c r="D80" s="114"/>
      <c r="E80" s="114"/>
      <c r="F80" s="114"/>
      <c r="G80" s="114"/>
      <c r="H80" s="134"/>
      <c r="I80" s="132"/>
      <c r="J80" s="116"/>
      <c r="K80" s="116"/>
      <c r="L80" s="116"/>
      <c r="M80" s="116"/>
      <c r="N80" s="116"/>
      <c r="O80" s="116"/>
      <c r="P80" s="116"/>
      <c r="Q80" s="133"/>
      <c r="R80" s="8"/>
      <c r="S80" s="116"/>
      <c r="T80" s="116"/>
      <c r="U80" s="116"/>
      <c r="V80" s="116"/>
      <c r="W80" s="116"/>
      <c r="X80" s="134"/>
      <c r="Y80" s="424"/>
      <c r="Z80" s="425"/>
      <c r="AA80" s="426"/>
      <c r="AB80" s="427"/>
      <c r="AC80" s="428"/>
      <c r="AD80" s="159"/>
      <c r="AE80" s="111" t="s">
        <v>244</v>
      </c>
      <c r="AF80" s="111"/>
      <c r="AG80" s="121"/>
      <c r="AH80" s="121"/>
      <c r="AI80" s="121"/>
      <c r="AJ80" s="121"/>
      <c r="AK80" s="121"/>
      <c r="AL80" s="121"/>
      <c r="AM80" s="121"/>
      <c r="AN80" s="121"/>
      <c r="AO80" s="122"/>
      <c r="AP80" s="122"/>
      <c r="AQ80" s="122"/>
      <c r="AR80" s="122"/>
      <c r="AS80" s="123"/>
      <c r="AT80" s="161"/>
      <c r="AU80" s="124"/>
      <c r="AV80" s="124"/>
      <c r="AW80" s="124"/>
      <c r="AX80" s="124"/>
      <c r="AY80" s="124"/>
      <c r="AZ80" s="124"/>
      <c r="BA80" s="124"/>
      <c r="BB80" s="124"/>
      <c r="BC80" s="124"/>
      <c r="BD80" s="125"/>
    </row>
    <row r="81" spans="1:56" s="1" customFormat="1" ht="14.4" customHeight="1">
      <c r="A81" s="131" t="str">
        <f>IF(B81="","",COUNTA($B$8:B81))</f>
        <v/>
      </c>
      <c r="B81" s="8"/>
      <c r="C81" s="114"/>
      <c r="D81" s="114"/>
      <c r="E81" s="114"/>
      <c r="F81" s="114"/>
      <c r="G81" s="114"/>
      <c r="H81" s="134"/>
      <c r="I81" s="132"/>
      <c r="J81" s="116"/>
      <c r="K81" s="116"/>
      <c r="L81" s="116"/>
      <c r="M81" s="116"/>
      <c r="N81" s="116"/>
      <c r="O81" s="116"/>
      <c r="P81" s="116"/>
      <c r="Q81" s="133"/>
      <c r="R81" s="8"/>
      <c r="S81" s="116"/>
      <c r="T81" s="116"/>
      <c r="U81" s="116"/>
      <c r="V81" s="116"/>
      <c r="W81" s="116"/>
      <c r="X81" s="134"/>
      <c r="Y81" s="424"/>
      <c r="Z81" s="425"/>
      <c r="AA81" s="426"/>
      <c r="AB81" s="427"/>
      <c r="AC81" s="428"/>
      <c r="AD81" s="159"/>
      <c r="AE81" s="111" t="s">
        <v>244</v>
      </c>
      <c r="AF81" s="111"/>
      <c r="AG81" s="121"/>
      <c r="AH81" s="121"/>
      <c r="AI81" s="121"/>
      <c r="AJ81" s="121"/>
      <c r="AK81" s="121"/>
      <c r="AL81" s="121"/>
      <c r="AM81" s="121"/>
      <c r="AN81" s="121"/>
      <c r="AO81" s="122"/>
      <c r="AP81" s="122"/>
      <c r="AQ81" s="122"/>
      <c r="AR81" s="122"/>
      <c r="AS81" s="123"/>
      <c r="AT81" s="161"/>
      <c r="AU81" s="124"/>
      <c r="AV81" s="124"/>
      <c r="AW81" s="124"/>
      <c r="AX81" s="124"/>
      <c r="AY81" s="124"/>
      <c r="AZ81" s="124"/>
      <c r="BA81" s="124"/>
      <c r="BB81" s="124"/>
      <c r="BC81" s="124"/>
      <c r="BD81" s="125"/>
    </row>
    <row r="82" spans="1:56" s="1" customFormat="1" ht="14.4" customHeight="1">
      <c r="A82" s="131" t="str">
        <f>IF(B82="","",COUNTA($B$8:B82))</f>
        <v/>
      </c>
      <c r="B82" s="8"/>
      <c r="C82" s="114"/>
      <c r="D82" s="114"/>
      <c r="E82" s="114"/>
      <c r="F82" s="114"/>
      <c r="G82" s="114"/>
      <c r="H82" s="134"/>
      <c r="I82" s="132"/>
      <c r="J82" s="116"/>
      <c r="K82" s="116"/>
      <c r="L82" s="116"/>
      <c r="M82" s="116"/>
      <c r="N82" s="116"/>
      <c r="O82" s="116"/>
      <c r="P82" s="116"/>
      <c r="Q82" s="133"/>
      <c r="R82" s="8"/>
      <c r="S82" s="116"/>
      <c r="T82" s="116"/>
      <c r="U82" s="116"/>
      <c r="V82" s="116"/>
      <c r="W82" s="116"/>
      <c r="X82" s="134"/>
      <c r="Y82" s="424"/>
      <c r="Z82" s="425"/>
      <c r="AA82" s="426"/>
      <c r="AB82" s="427"/>
      <c r="AC82" s="428"/>
      <c r="AD82" s="159"/>
      <c r="AE82" s="111" t="s">
        <v>244</v>
      </c>
      <c r="AF82" s="111"/>
      <c r="AG82" s="121"/>
      <c r="AH82" s="121"/>
      <c r="AI82" s="121"/>
      <c r="AJ82" s="121"/>
      <c r="AK82" s="121"/>
      <c r="AL82" s="121"/>
      <c r="AM82" s="121"/>
      <c r="AN82" s="121"/>
      <c r="AO82" s="122"/>
      <c r="AP82" s="122"/>
      <c r="AQ82" s="122"/>
      <c r="AR82" s="122"/>
      <c r="AS82" s="123"/>
      <c r="AT82" s="161"/>
      <c r="AU82" s="124"/>
      <c r="AV82" s="124"/>
      <c r="AW82" s="124"/>
      <c r="AX82" s="124"/>
      <c r="AY82" s="124"/>
      <c r="AZ82" s="124"/>
      <c r="BA82" s="124"/>
      <c r="BB82" s="124"/>
      <c r="BC82" s="124"/>
      <c r="BD82" s="125"/>
    </row>
    <row r="83" spans="1:56" s="1" customFormat="1" ht="14.4" customHeight="1">
      <c r="A83" s="131" t="str">
        <f>IF(B83="","",COUNTA($B$8:B83))</f>
        <v/>
      </c>
      <c r="B83" s="8"/>
      <c r="C83" s="114"/>
      <c r="D83" s="114"/>
      <c r="E83" s="114"/>
      <c r="F83" s="114"/>
      <c r="G83" s="114"/>
      <c r="H83" s="134"/>
      <c r="I83" s="132"/>
      <c r="J83" s="116"/>
      <c r="K83" s="116"/>
      <c r="L83" s="116"/>
      <c r="M83" s="116"/>
      <c r="N83" s="116"/>
      <c r="O83" s="116"/>
      <c r="P83" s="116"/>
      <c r="Q83" s="133"/>
      <c r="R83" s="8"/>
      <c r="S83" s="116"/>
      <c r="T83" s="116"/>
      <c r="U83" s="116"/>
      <c r="V83" s="116"/>
      <c r="W83" s="116"/>
      <c r="X83" s="134"/>
      <c r="Y83" s="424"/>
      <c r="Z83" s="425"/>
      <c r="AA83" s="426"/>
      <c r="AB83" s="427"/>
      <c r="AC83" s="428"/>
      <c r="AD83" s="159"/>
      <c r="AE83" s="111" t="s">
        <v>244</v>
      </c>
      <c r="AF83" s="111"/>
      <c r="AG83" s="121"/>
      <c r="AH83" s="121"/>
      <c r="AI83" s="121"/>
      <c r="AJ83" s="121"/>
      <c r="AK83" s="121"/>
      <c r="AL83" s="121"/>
      <c r="AM83" s="121"/>
      <c r="AN83" s="121"/>
      <c r="AO83" s="122"/>
      <c r="AP83" s="122"/>
      <c r="AQ83" s="122"/>
      <c r="AR83" s="122"/>
      <c r="AS83" s="123"/>
      <c r="AT83" s="161"/>
      <c r="AU83" s="124"/>
      <c r="AV83" s="124"/>
      <c r="AW83" s="124"/>
      <c r="AX83" s="124"/>
      <c r="AY83" s="124"/>
      <c r="AZ83" s="124"/>
      <c r="BA83" s="124"/>
      <c r="BB83" s="124"/>
      <c r="BC83" s="124"/>
      <c r="BD83" s="125"/>
    </row>
    <row r="84" spans="1:56" s="1" customFormat="1" ht="14.4" customHeight="1">
      <c r="A84" s="131" t="str">
        <f>IF(B84="","",COUNTA($B$8:B84))</f>
        <v/>
      </c>
      <c r="B84" s="8"/>
      <c r="C84" s="114"/>
      <c r="D84" s="114"/>
      <c r="E84" s="114"/>
      <c r="F84" s="114"/>
      <c r="G84" s="114"/>
      <c r="H84" s="134"/>
      <c r="I84" s="132"/>
      <c r="J84" s="116"/>
      <c r="K84" s="116"/>
      <c r="L84" s="116"/>
      <c r="M84" s="116"/>
      <c r="N84" s="116"/>
      <c r="O84" s="116"/>
      <c r="P84" s="116"/>
      <c r="Q84" s="133"/>
      <c r="R84" s="8"/>
      <c r="S84" s="116"/>
      <c r="T84" s="116"/>
      <c r="U84" s="116"/>
      <c r="V84" s="116"/>
      <c r="W84" s="116"/>
      <c r="X84" s="134"/>
      <c r="Y84" s="424"/>
      <c r="Z84" s="425"/>
      <c r="AA84" s="426"/>
      <c r="AB84" s="427"/>
      <c r="AC84" s="428"/>
      <c r="AD84" s="159"/>
      <c r="AE84" s="111" t="s">
        <v>244</v>
      </c>
      <c r="AF84" s="111"/>
      <c r="AG84" s="121"/>
      <c r="AH84" s="121"/>
      <c r="AI84" s="121"/>
      <c r="AJ84" s="121"/>
      <c r="AK84" s="121"/>
      <c r="AL84" s="121"/>
      <c r="AM84" s="121"/>
      <c r="AN84" s="121"/>
      <c r="AO84" s="122"/>
      <c r="AP84" s="122"/>
      <c r="AQ84" s="122"/>
      <c r="AR84" s="122"/>
      <c r="AS84" s="123"/>
      <c r="AT84" s="161"/>
      <c r="AU84" s="124"/>
      <c r="AV84" s="124"/>
      <c r="AW84" s="124"/>
      <c r="AX84" s="124"/>
      <c r="AY84" s="124"/>
      <c r="AZ84" s="124"/>
      <c r="BA84" s="124"/>
      <c r="BB84" s="124"/>
      <c r="BC84" s="124"/>
      <c r="BD84" s="125"/>
    </row>
    <row r="85" spans="1:56" s="1" customFormat="1" ht="14.4" customHeight="1">
      <c r="A85" s="131" t="str">
        <f>IF(B85="","",COUNTA($B$8:B85))</f>
        <v/>
      </c>
      <c r="B85" s="273"/>
      <c r="C85" s="114"/>
      <c r="D85" s="114"/>
      <c r="E85" s="114"/>
      <c r="F85" s="114"/>
      <c r="G85" s="114"/>
      <c r="H85" s="134"/>
      <c r="I85" s="132"/>
      <c r="J85" s="116"/>
      <c r="K85" s="116"/>
      <c r="L85" s="116"/>
      <c r="M85" s="116"/>
      <c r="N85" s="116"/>
      <c r="O85" s="116"/>
      <c r="P85" s="116"/>
      <c r="Q85" s="133"/>
      <c r="R85" s="273"/>
      <c r="S85" s="116"/>
      <c r="T85" s="116"/>
      <c r="U85" s="116"/>
      <c r="V85" s="116"/>
      <c r="W85" s="116"/>
      <c r="X85" s="134"/>
      <c r="Y85" s="424"/>
      <c r="Z85" s="425"/>
      <c r="AA85" s="426"/>
      <c r="AB85" s="427"/>
      <c r="AC85" s="428"/>
      <c r="AD85" s="159"/>
      <c r="AE85" s="111" t="s">
        <v>244</v>
      </c>
      <c r="AF85" s="111"/>
      <c r="AG85" s="121"/>
      <c r="AH85" s="121"/>
      <c r="AI85" s="121"/>
      <c r="AJ85" s="121"/>
      <c r="AK85" s="121"/>
      <c r="AL85" s="121"/>
      <c r="AM85" s="121"/>
      <c r="AN85" s="121"/>
      <c r="AO85" s="122"/>
      <c r="AP85" s="122"/>
      <c r="AQ85" s="122"/>
      <c r="AR85" s="122"/>
      <c r="AS85" s="123"/>
      <c r="AT85" s="161"/>
      <c r="AU85" s="124"/>
      <c r="AV85" s="124"/>
      <c r="AW85" s="124"/>
      <c r="AX85" s="124"/>
      <c r="AY85" s="124"/>
      <c r="AZ85" s="124"/>
      <c r="BA85" s="124"/>
      <c r="BB85" s="124"/>
      <c r="BC85" s="124"/>
      <c r="BD85" s="125"/>
    </row>
  </sheetData>
  <mergeCells count="182">
    <mergeCell ref="Y82:Z82"/>
    <mergeCell ref="AA82:AC82"/>
    <mergeCell ref="Y83:Z83"/>
    <mergeCell ref="AA83:AC83"/>
    <mergeCell ref="Y84:Z84"/>
    <mergeCell ref="AA84:AC84"/>
    <mergeCell ref="Y77:Z77"/>
    <mergeCell ref="AA77:AC77"/>
    <mergeCell ref="Y78:Z78"/>
    <mergeCell ref="AA78:AC78"/>
    <mergeCell ref="Y79:Z79"/>
    <mergeCell ref="AA79:AC79"/>
    <mergeCell ref="Y80:Z80"/>
    <mergeCell ref="AA80:AC80"/>
    <mergeCell ref="Y81:Z81"/>
    <mergeCell ref="AA81:AC81"/>
    <mergeCell ref="Y72:Z72"/>
    <mergeCell ref="AA72:AC72"/>
    <mergeCell ref="Y73:Z73"/>
    <mergeCell ref="AA73:AC73"/>
    <mergeCell ref="Y74:Z74"/>
    <mergeCell ref="AA74:AC74"/>
    <mergeCell ref="Y75:Z75"/>
    <mergeCell ref="AA75:AC75"/>
    <mergeCell ref="Y76:Z76"/>
    <mergeCell ref="AA76:AC76"/>
    <mergeCell ref="Y69:Z69"/>
    <mergeCell ref="AA69:AC69"/>
    <mergeCell ref="Y70:Z70"/>
    <mergeCell ref="AA70:AC70"/>
    <mergeCell ref="Y71:Z71"/>
    <mergeCell ref="AA71:AC71"/>
    <mergeCell ref="Y32:Z32"/>
    <mergeCell ref="Y41:Z41"/>
    <mergeCell ref="Y42:Z42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59:Z59"/>
    <mergeCell ref="AA59:AC59"/>
    <mergeCell ref="Y60:Z60"/>
    <mergeCell ref="AA60:AC60"/>
    <mergeCell ref="Y61:Z61"/>
    <mergeCell ref="Y62:Z62"/>
    <mergeCell ref="AA62:AC62"/>
    <mergeCell ref="Y63:Z63"/>
    <mergeCell ref="AA63:AC63"/>
    <mergeCell ref="Y56:Z56"/>
    <mergeCell ref="AA56:AC56"/>
    <mergeCell ref="Y57:Z57"/>
    <mergeCell ref="AA57:AC57"/>
    <mergeCell ref="Y58:Z58"/>
    <mergeCell ref="AA58:AC58"/>
    <mergeCell ref="Y54:Z54"/>
    <mergeCell ref="AA54:AC54"/>
    <mergeCell ref="Y55:Z55"/>
    <mergeCell ref="AA55:AC55"/>
    <mergeCell ref="Y51:Z51"/>
    <mergeCell ref="AA51:AC51"/>
    <mergeCell ref="Y52:Z52"/>
    <mergeCell ref="AA52:AC52"/>
    <mergeCell ref="AA61:AC61"/>
    <mergeCell ref="AA48:AC48"/>
    <mergeCell ref="Y49:Z49"/>
    <mergeCell ref="AA49:AC49"/>
    <mergeCell ref="Y50:Z50"/>
    <mergeCell ref="AA50:AC50"/>
    <mergeCell ref="AA45:AC45"/>
    <mergeCell ref="AA46:AC46"/>
    <mergeCell ref="Y53:Z53"/>
    <mergeCell ref="AA53:AC53"/>
    <mergeCell ref="I2:Q4"/>
    <mergeCell ref="R2:X4"/>
    <mergeCell ref="I1:Q1"/>
    <mergeCell ref="R1:X1"/>
    <mergeCell ref="Y9:Z9"/>
    <mergeCell ref="AA9:AC9"/>
    <mergeCell ref="Y4:AO4"/>
    <mergeCell ref="Y33:Z33"/>
    <mergeCell ref="Y30:Z30"/>
    <mergeCell ref="Y27:Z27"/>
    <mergeCell ref="Y19:Z19"/>
    <mergeCell ref="Y26:Z26"/>
    <mergeCell ref="Y31:Z31"/>
    <mergeCell ref="Y29:Z29"/>
    <mergeCell ref="Y8:Z8"/>
    <mergeCell ref="AA8:AC8"/>
    <mergeCell ref="Y2:AO3"/>
    <mergeCell ref="Y22:Z22"/>
    <mergeCell ref="Y20:Z20"/>
    <mergeCell ref="AA20:AC20"/>
    <mergeCell ref="Y16:Z16"/>
    <mergeCell ref="Y17:Z17"/>
    <mergeCell ref="Y10:Z10"/>
    <mergeCell ref="Y11:Z11"/>
    <mergeCell ref="AP2:AT2"/>
    <mergeCell ref="AU1:AY1"/>
    <mergeCell ref="Y44:Z44"/>
    <mergeCell ref="AA44:AC44"/>
    <mergeCell ref="Y43:Z43"/>
    <mergeCell ref="Y40:Z40"/>
    <mergeCell ref="Y39:Z39"/>
    <mergeCell ref="Y36:Z36"/>
    <mergeCell ref="Y37:Z37"/>
    <mergeCell ref="Y34:Z34"/>
    <mergeCell ref="Y38:Z38"/>
    <mergeCell ref="Y25:Z25"/>
    <mergeCell ref="Y23:Z23"/>
    <mergeCell ref="Y24:Z24"/>
    <mergeCell ref="Y28:Z28"/>
    <mergeCell ref="AA18:AC18"/>
    <mergeCell ref="AA19:AC19"/>
    <mergeCell ref="AA21:AC21"/>
    <mergeCell ref="AA22:AC22"/>
    <mergeCell ref="AA23:AC23"/>
    <mergeCell ref="AA24:AC24"/>
    <mergeCell ref="Y18:Z18"/>
    <mergeCell ref="Y21:Z21"/>
    <mergeCell ref="A1:H4"/>
    <mergeCell ref="AP4:AT4"/>
    <mergeCell ref="AU4:AY4"/>
    <mergeCell ref="AG6:AG7"/>
    <mergeCell ref="AH6:AH7"/>
    <mergeCell ref="AI6:AR6"/>
    <mergeCell ref="AS6:BD7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AZ4:BD4"/>
    <mergeCell ref="Y1:AO1"/>
    <mergeCell ref="AP1:AT1"/>
    <mergeCell ref="AZ2:BD2"/>
    <mergeCell ref="AP3:AT3"/>
    <mergeCell ref="AU3:AY3"/>
    <mergeCell ref="AZ3:BD3"/>
    <mergeCell ref="Y12:Z12"/>
    <mergeCell ref="AA13:AC13"/>
    <mergeCell ref="AA14:AC14"/>
    <mergeCell ref="AA10:AC10"/>
    <mergeCell ref="AA11:AC11"/>
    <mergeCell ref="AA12:AC12"/>
    <mergeCell ref="AA15:AC15"/>
    <mergeCell ref="AA16:AC16"/>
    <mergeCell ref="AA17:AC17"/>
    <mergeCell ref="Y85:Z85"/>
    <mergeCell ref="AA85:AC85"/>
    <mergeCell ref="AA43:AC43"/>
    <mergeCell ref="AA39:AC39"/>
    <mergeCell ref="AA40:AC40"/>
    <mergeCell ref="AA41:AC41"/>
    <mergeCell ref="AA25:AC25"/>
    <mergeCell ref="AA26:AC26"/>
    <mergeCell ref="AA27:AC27"/>
    <mergeCell ref="AA28:AC28"/>
    <mergeCell ref="AA29:AC29"/>
    <mergeCell ref="AA30:AC30"/>
    <mergeCell ref="AA32:AC32"/>
    <mergeCell ref="AA42:AC42"/>
    <mergeCell ref="AA31:AC31"/>
    <mergeCell ref="AA33:AC33"/>
    <mergeCell ref="AA34:AC34"/>
    <mergeCell ref="AA35:AC35"/>
    <mergeCell ref="AA36:AC36"/>
    <mergeCell ref="AA37:AC37"/>
    <mergeCell ref="AA38:AC38"/>
    <mergeCell ref="Y47:Z47"/>
    <mergeCell ref="AA47:AC47"/>
    <mergeCell ref="Y48:Z48"/>
  </mergeCells>
  <phoneticPr fontId="5"/>
  <dataValidations count="3">
    <dataValidation imeMode="hiragana" allowBlank="1" showInputMessage="1" showErrorMessage="1" sqref="JO65515:JZ65517 TK65515:TV65517 ADG65515:ADR65517 ANC65515:ANN65517 AWY65515:AXJ65517 BGU65515:BHF65517 BQQ65515:BRB65517 CAM65515:CAX65517 CKI65515:CKT65517 CUE65515:CUP65517 DEA65515:DEL65517 DNW65515:DOH65517 DXS65515:DYD65517 EHO65515:EHZ65517 ERK65515:ERV65517 FBG65515:FBR65517 FLC65515:FLN65517 FUY65515:FVJ65517 GEU65515:GFF65517 GOQ65515:GPB65517 GYM65515:GYX65517 HII65515:HIT65517 HSE65515:HSP65517 ICA65515:ICL65517 ILW65515:IMH65517 IVS65515:IWD65517 JFO65515:JFZ65517 JPK65515:JPV65517 JZG65515:JZR65517 KJC65515:KJN65517 KSY65515:KTJ65517 LCU65515:LDF65517 LMQ65515:LNB65517 LWM65515:LWX65517 MGI65515:MGT65517 MQE65515:MQP65517 NAA65515:NAL65517 NJW65515:NKH65517 NTS65515:NUD65517 ODO65515:ODZ65517 ONK65515:ONV65517 OXG65515:OXR65517 PHC65515:PHN65517 PQY65515:PRJ65517 QAU65515:QBF65517 QKQ65515:QLB65517 QUM65515:QUX65517 REI65515:RET65517 ROE65515:ROP65517 RYA65515:RYL65517 SHW65515:SIH65517 SRS65515:SSD65517 TBO65515:TBZ65517 TLK65515:TLV65517 TVG65515:TVR65517 UFC65515:UFN65517 UOY65515:UPJ65517 UYU65515:UZF65517 VIQ65515:VJB65517 VSM65515:VSX65517 WCI65515:WCT65517 WME65515:WMP65517 WWA65515:WWL65517 JO131051:JZ131053 TK131051:TV131053 ADG131051:ADR131053 ANC131051:ANN131053 AWY131051:AXJ131053 BGU131051:BHF131053 BQQ131051:BRB131053 CAM131051:CAX131053 CKI131051:CKT131053 CUE131051:CUP131053 DEA131051:DEL131053 DNW131051:DOH131053 DXS131051:DYD131053 EHO131051:EHZ131053 ERK131051:ERV131053 FBG131051:FBR131053 FLC131051:FLN131053 FUY131051:FVJ131053 GEU131051:GFF131053 GOQ131051:GPB131053 GYM131051:GYX131053 HII131051:HIT131053 HSE131051:HSP131053 ICA131051:ICL131053 ILW131051:IMH131053 IVS131051:IWD131053 JFO131051:JFZ131053 JPK131051:JPV131053 JZG131051:JZR131053 KJC131051:KJN131053 KSY131051:KTJ131053 LCU131051:LDF131053 LMQ131051:LNB131053 LWM131051:LWX131053 MGI131051:MGT131053 MQE131051:MQP131053 NAA131051:NAL131053 NJW131051:NKH131053 NTS131051:NUD131053 ODO131051:ODZ131053 ONK131051:ONV131053 OXG131051:OXR131053 PHC131051:PHN131053 PQY131051:PRJ131053 QAU131051:QBF131053 QKQ131051:QLB131053 QUM131051:QUX131053 REI131051:RET131053 ROE131051:ROP131053 RYA131051:RYL131053 SHW131051:SIH131053 SRS131051:SSD131053 TBO131051:TBZ131053 TLK131051:TLV131053 TVG131051:TVR131053 UFC131051:UFN131053 UOY131051:UPJ131053 UYU131051:UZF131053 VIQ131051:VJB131053 VSM131051:VSX131053 WCI131051:WCT131053 WME131051:WMP131053 WWA131051:WWL131053 JO196587:JZ196589 TK196587:TV196589 ADG196587:ADR196589 ANC196587:ANN196589 AWY196587:AXJ196589 BGU196587:BHF196589 BQQ196587:BRB196589 CAM196587:CAX196589 CKI196587:CKT196589 CUE196587:CUP196589 DEA196587:DEL196589 DNW196587:DOH196589 DXS196587:DYD196589 EHO196587:EHZ196589 ERK196587:ERV196589 FBG196587:FBR196589 FLC196587:FLN196589 FUY196587:FVJ196589 GEU196587:GFF196589 GOQ196587:GPB196589 GYM196587:GYX196589 HII196587:HIT196589 HSE196587:HSP196589 ICA196587:ICL196589 ILW196587:IMH196589 IVS196587:IWD196589 JFO196587:JFZ196589 JPK196587:JPV196589 JZG196587:JZR196589 KJC196587:KJN196589 KSY196587:KTJ196589 LCU196587:LDF196589 LMQ196587:LNB196589 LWM196587:LWX196589 MGI196587:MGT196589 MQE196587:MQP196589 NAA196587:NAL196589 NJW196587:NKH196589 NTS196587:NUD196589 ODO196587:ODZ196589 ONK196587:ONV196589 OXG196587:OXR196589 PHC196587:PHN196589 PQY196587:PRJ196589 QAU196587:QBF196589 QKQ196587:QLB196589 QUM196587:QUX196589 REI196587:RET196589 ROE196587:ROP196589 RYA196587:RYL196589 SHW196587:SIH196589 SRS196587:SSD196589 TBO196587:TBZ196589 TLK196587:TLV196589 TVG196587:TVR196589 UFC196587:UFN196589 UOY196587:UPJ196589 UYU196587:UZF196589 VIQ196587:VJB196589 VSM196587:VSX196589 WCI196587:WCT196589 WME196587:WMP196589 WWA196587:WWL196589 JO262123:JZ262125 TK262123:TV262125 ADG262123:ADR262125 ANC262123:ANN262125 AWY262123:AXJ262125 BGU262123:BHF262125 BQQ262123:BRB262125 CAM262123:CAX262125 CKI262123:CKT262125 CUE262123:CUP262125 DEA262123:DEL262125 DNW262123:DOH262125 DXS262123:DYD262125 EHO262123:EHZ262125 ERK262123:ERV262125 FBG262123:FBR262125 FLC262123:FLN262125 FUY262123:FVJ262125 GEU262123:GFF262125 GOQ262123:GPB262125 GYM262123:GYX262125 HII262123:HIT262125 HSE262123:HSP262125 ICA262123:ICL262125 ILW262123:IMH262125 IVS262123:IWD262125 JFO262123:JFZ262125 JPK262123:JPV262125 JZG262123:JZR262125 KJC262123:KJN262125 KSY262123:KTJ262125 LCU262123:LDF262125 LMQ262123:LNB262125 LWM262123:LWX262125 MGI262123:MGT262125 MQE262123:MQP262125 NAA262123:NAL262125 NJW262123:NKH262125 NTS262123:NUD262125 ODO262123:ODZ262125 ONK262123:ONV262125 OXG262123:OXR262125 PHC262123:PHN262125 PQY262123:PRJ262125 QAU262123:QBF262125 QKQ262123:QLB262125 QUM262123:QUX262125 REI262123:RET262125 ROE262123:ROP262125 RYA262123:RYL262125 SHW262123:SIH262125 SRS262123:SSD262125 TBO262123:TBZ262125 TLK262123:TLV262125 TVG262123:TVR262125 UFC262123:UFN262125 UOY262123:UPJ262125 UYU262123:UZF262125 VIQ262123:VJB262125 VSM262123:VSX262125 WCI262123:WCT262125 WME262123:WMP262125 WWA262123:WWL262125 JO327659:JZ327661 TK327659:TV327661 ADG327659:ADR327661 ANC327659:ANN327661 AWY327659:AXJ327661 BGU327659:BHF327661 BQQ327659:BRB327661 CAM327659:CAX327661 CKI327659:CKT327661 CUE327659:CUP327661 DEA327659:DEL327661 DNW327659:DOH327661 DXS327659:DYD327661 EHO327659:EHZ327661 ERK327659:ERV327661 FBG327659:FBR327661 FLC327659:FLN327661 FUY327659:FVJ327661 GEU327659:GFF327661 GOQ327659:GPB327661 GYM327659:GYX327661 HII327659:HIT327661 HSE327659:HSP327661 ICA327659:ICL327661 ILW327659:IMH327661 IVS327659:IWD327661 JFO327659:JFZ327661 JPK327659:JPV327661 JZG327659:JZR327661 KJC327659:KJN327661 KSY327659:KTJ327661 LCU327659:LDF327661 LMQ327659:LNB327661 LWM327659:LWX327661 MGI327659:MGT327661 MQE327659:MQP327661 NAA327659:NAL327661 NJW327659:NKH327661 NTS327659:NUD327661 ODO327659:ODZ327661 ONK327659:ONV327661 OXG327659:OXR327661 PHC327659:PHN327661 PQY327659:PRJ327661 QAU327659:QBF327661 QKQ327659:QLB327661 QUM327659:QUX327661 REI327659:RET327661 ROE327659:ROP327661 RYA327659:RYL327661 SHW327659:SIH327661 SRS327659:SSD327661 TBO327659:TBZ327661 TLK327659:TLV327661 TVG327659:TVR327661 UFC327659:UFN327661 UOY327659:UPJ327661 UYU327659:UZF327661 VIQ327659:VJB327661 VSM327659:VSX327661 WCI327659:WCT327661 WME327659:WMP327661 WWA327659:WWL327661 JO393195:JZ393197 TK393195:TV393197 ADG393195:ADR393197 ANC393195:ANN393197 AWY393195:AXJ393197 BGU393195:BHF393197 BQQ393195:BRB393197 CAM393195:CAX393197 CKI393195:CKT393197 CUE393195:CUP393197 DEA393195:DEL393197 DNW393195:DOH393197 DXS393195:DYD393197 EHO393195:EHZ393197 ERK393195:ERV393197 FBG393195:FBR393197 FLC393195:FLN393197 FUY393195:FVJ393197 GEU393195:GFF393197 GOQ393195:GPB393197 GYM393195:GYX393197 HII393195:HIT393197 HSE393195:HSP393197 ICA393195:ICL393197 ILW393195:IMH393197 IVS393195:IWD393197 JFO393195:JFZ393197 JPK393195:JPV393197 JZG393195:JZR393197 KJC393195:KJN393197 KSY393195:KTJ393197 LCU393195:LDF393197 LMQ393195:LNB393197 LWM393195:LWX393197 MGI393195:MGT393197 MQE393195:MQP393197 NAA393195:NAL393197 NJW393195:NKH393197 NTS393195:NUD393197 ODO393195:ODZ393197 ONK393195:ONV393197 OXG393195:OXR393197 PHC393195:PHN393197 PQY393195:PRJ393197 QAU393195:QBF393197 QKQ393195:QLB393197 QUM393195:QUX393197 REI393195:RET393197 ROE393195:ROP393197 RYA393195:RYL393197 SHW393195:SIH393197 SRS393195:SSD393197 TBO393195:TBZ393197 TLK393195:TLV393197 TVG393195:TVR393197 UFC393195:UFN393197 UOY393195:UPJ393197 UYU393195:UZF393197 VIQ393195:VJB393197 VSM393195:VSX393197 WCI393195:WCT393197 WME393195:WMP393197 WWA393195:WWL393197 JO458731:JZ458733 TK458731:TV458733 ADG458731:ADR458733 ANC458731:ANN458733 AWY458731:AXJ458733 BGU458731:BHF458733 BQQ458731:BRB458733 CAM458731:CAX458733 CKI458731:CKT458733 CUE458731:CUP458733 DEA458731:DEL458733 DNW458731:DOH458733 DXS458731:DYD458733 EHO458731:EHZ458733 ERK458731:ERV458733 FBG458731:FBR458733 FLC458731:FLN458733 FUY458731:FVJ458733 GEU458731:GFF458733 GOQ458731:GPB458733 GYM458731:GYX458733 HII458731:HIT458733 HSE458731:HSP458733 ICA458731:ICL458733 ILW458731:IMH458733 IVS458731:IWD458733 JFO458731:JFZ458733 JPK458731:JPV458733 JZG458731:JZR458733 KJC458731:KJN458733 KSY458731:KTJ458733 LCU458731:LDF458733 LMQ458731:LNB458733 LWM458731:LWX458733 MGI458731:MGT458733 MQE458731:MQP458733 NAA458731:NAL458733 NJW458731:NKH458733 NTS458731:NUD458733 ODO458731:ODZ458733 ONK458731:ONV458733 OXG458731:OXR458733 PHC458731:PHN458733 PQY458731:PRJ458733 QAU458731:QBF458733 QKQ458731:QLB458733 QUM458731:QUX458733 REI458731:RET458733 ROE458731:ROP458733 RYA458731:RYL458733 SHW458731:SIH458733 SRS458731:SSD458733 TBO458731:TBZ458733 TLK458731:TLV458733 TVG458731:TVR458733 UFC458731:UFN458733 UOY458731:UPJ458733 UYU458731:UZF458733 VIQ458731:VJB458733 VSM458731:VSX458733 WCI458731:WCT458733 WME458731:WMP458733 WWA458731:WWL458733 JO524267:JZ524269 TK524267:TV524269 ADG524267:ADR524269 ANC524267:ANN524269 AWY524267:AXJ524269 BGU524267:BHF524269 BQQ524267:BRB524269 CAM524267:CAX524269 CKI524267:CKT524269 CUE524267:CUP524269 DEA524267:DEL524269 DNW524267:DOH524269 DXS524267:DYD524269 EHO524267:EHZ524269 ERK524267:ERV524269 FBG524267:FBR524269 FLC524267:FLN524269 FUY524267:FVJ524269 GEU524267:GFF524269 GOQ524267:GPB524269 GYM524267:GYX524269 HII524267:HIT524269 HSE524267:HSP524269 ICA524267:ICL524269 ILW524267:IMH524269 IVS524267:IWD524269 JFO524267:JFZ524269 JPK524267:JPV524269 JZG524267:JZR524269 KJC524267:KJN524269 KSY524267:KTJ524269 LCU524267:LDF524269 LMQ524267:LNB524269 LWM524267:LWX524269 MGI524267:MGT524269 MQE524267:MQP524269 NAA524267:NAL524269 NJW524267:NKH524269 NTS524267:NUD524269 ODO524267:ODZ524269 ONK524267:ONV524269 OXG524267:OXR524269 PHC524267:PHN524269 PQY524267:PRJ524269 QAU524267:QBF524269 QKQ524267:QLB524269 QUM524267:QUX524269 REI524267:RET524269 ROE524267:ROP524269 RYA524267:RYL524269 SHW524267:SIH524269 SRS524267:SSD524269 TBO524267:TBZ524269 TLK524267:TLV524269 TVG524267:TVR524269 UFC524267:UFN524269 UOY524267:UPJ524269 UYU524267:UZF524269 VIQ524267:VJB524269 VSM524267:VSX524269 WCI524267:WCT524269 WME524267:WMP524269 WWA524267:WWL524269 JO589803:JZ589805 TK589803:TV589805 ADG589803:ADR589805 ANC589803:ANN589805 AWY589803:AXJ589805 BGU589803:BHF589805 BQQ589803:BRB589805 CAM589803:CAX589805 CKI589803:CKT589805 CUE589803:CUP589805 DEA589803:DEL589805 DNW589803:DOH589805 DXS589803:DYD589805 EHO589803:EHZ589805 ERK589803:ERV589805 FBG589803:FBR589805 FLC589803:FLN589805 FUY589803:FVJ589805 GEU589803:GFF589805 GOQ589803:GPB589805 GYM589803:GYX589805 HII589803:HIT589805 HSE589803:HSP589805 ICA589803:ICL589805 ILW589803:IMH589805 IVS589803:IWD589805 JFO589803:JFZ589805 JPK589803:JPV589805 JZG589803:JZR589805 KJC589803:KJN589805 KSY589803:KTJ589805 LCU589803:LDF589805 LMQ589803:LNB589805 LWM589803:LWX589805 MGI589803:MGT589805 MQE589803:MQP589805 NAA589803:NAL589805 NJW589803:NKH589805 NTS589803:NUD589805 ODO589803:ODZ589805 ONK589803:ONV589805 OXG589803:OXR589805 PHC589803:PHN589805 PQY589803:PRJ589805 QAU589803:QBF589805 QKQ589803:QLB589805 QUM589803:QUX589805 REI589803:RET589805 ROE589803:ROP589805 RYA589803:RYL589805 SHW589803:SIH589805 SRS589803:SSD589805 TBO589803:TBZ589805 TLK589803:TLV589805 TVG589803:TVR589805 UFC589803:UFN589805 UOY589803:UPJ589805 UYU589803:UZF589805 VIQ589803:VJB589805 VSM589803:VSX589805 WCI589803:WCT589805 WME589803:WMP589805 WWA589803:WWL589805 JO655339:JZ655341 TK655339:TV655341 ADG655339:ADR655341 ANC655339:ANN655341 AWY655339:AXJ655341 BGU655339:BHF655341 BQQ655339:BRB655341 CAM655339:CAX655341 CKI655339:CKT655341 CUE655339:CUP655341 DEA655339:DEL655341 DNW655339:DOH655341 DXS655339:DYD655341 EHO655339:EHZ655341 ERK655339:ERV655341 FBG655339:FBR655341 FLC655339:FLN655341 FUY655339:FVJ655341 GEU655339:GFF655341 GOQ655339:GPB655341 GYM655339:GYX655341 HII655339:HIT655341 HSE655339:HSP655341 ICA655339:ICL655341 ILW655339:IMH655341 IVS655339:IWD655341 JFO655339:JFZ655341 JPK655339:JPV655341 JZG655339:JZR655341 KJC655339:KJN655341 KSY655339:KTJ655341 LCU655339:LDF655341 LMQ655339:LNB655341 LWM655339:LWX655341 MGI655339:MGT655341 MQE655339:MQP655341 NAA655339:NAL655341 NJW655339:NKH655341 NTS655339:NUD655341 ODO655339:ODZ655341 ONK655339:ONV655341 OXG655339:OXR655341 PHC655339:PHN655341 PQY655339:PRJ655341 QAU655339:QBF655341 QKQ655339:QLB655341 QUM655339:QUX655341 REI655339:RET655341 ROE655339:ROP655341 RYA655339:RYL655341 SHW655339:SIH655341 SRS655339:SSD655341 TBO655339:TBZ655341 TLK655339:TLV655341 TVG655339:TVR655341 UFC655339:UFN655341 UOY655339:UPJ655341 UYU655339:UZF655341 VIQ655339:VJB655341 VSM655339:VSX655341 WCI655339:WCT655341 WME655339:WMP655341 WWA655339:WWL655341 JO720875:JZ720877 TK720875:TV720877 ADG720875:ADR720877 ANC720875:ANN720877 AWY720875:AXJ720877 BGU720875:BHF720877 BQQ720875:BRB720877 CAM720875:CAX720877 CKI720875:CKT720877 CUE720875:CUP720877 DEA720875:DEL720877 DNW720875:DOH720877 DXS720875:DYD720877 EHO720875:EHZ720877 ERK720875:ERV720877 FBG720875:FBR720877 FLC720875:FLN720877 FUY720875:FVJ720877 GEU720875:GFF720877 GOQ720875:GPB720877 GYM720875:GYX720877 HII720875:HIT720877 HSE720875:HSP720877 ICA720875:ICL720877 ILW720875:IMH720877 IVS720875:IWD720877 JFO720875:JFZ720877 JPK720875:JPV720877 JZG720875:JZR720877 KJC720875:KJN720877 KSY720875:KTJ720877 LCU720875:LDF720877 LMQ720875:LNB720877 LWM720875:LWX720877 MGI720875:MGT720877 MQE720875:MQP720877 NAA720875:NAL720877 NJW720875:NKH720877 NTS720875:NUD720877 ODO720875:ODZ720877 ONK720875:ONV720877 OXG720875:OXR720877 PHC720875:PHN720877 PQY720875:PRJ720877 QAU720875:QBF720877 QKQ720875:QLB720877 QUM720875:QUX720877 REI720875:RET720877 ROE720875:ROP720877 RYA720875:RYL720877 SHW720875:SIH720877 SRS720875:SSD720877 TBO720875:TBZ720877 TLK720875:TLV720877 TVG720875:TVR720877 UFC720875:UFN720877 UOY720875:UPJ720877 UYU720875:UZF720877 VIQ720875:VJB720877 VSM720875:VSX720877 WCI720875:WCT720877 WME720875:WMP720877 WWA720875:WWL720877 JO786411:JZ786413 TK786411:TV786413 ADG786411:ADR786413 ANC786411:ANN786413 AWY786411:AXJ786413 BGU786411:BHF786413 BQQ786411:BRB786413 CAM786411:CAX786413 CKI786411:CKT786413 CUE786411:CUP786413 DEA786411:DEL786413 DNW786411:DOH786413 DXS786411:DYD786413 EHO786411:EHZ786413 ERK786411:ERV786413 FBG786411:FBR786413 FLC786411:FLN786413 FUY786411:FVJ786413 GEU786411:GFF786413 GOQ786411:GPB786413 GYM786411:GYX786413 HII786411:HIT786413 HSE786411:HSP786413 ICA786411:ICL786413 ILW786411:IMH786413 IVS786411:IWD786413 JFO786411:JFZ786413 JPK786411:JPV786413 JZG786411:JZR786413 KJC786411:KJN786413 KSY786411:KTJ786413 LCU786411:LDF786413 LMQ786411:LNB786413 LWM786411:LWX786413 MGI786411:MGT786413 MQE786411:MQP786413 NAA786411:NAL786413 NJW786411:NKH786413 NTS786411:NUD786413 ODO786411:ODZ786413 ONK786411:ONV786413 OXG786411:OXR786413 PHC786411:PHN786413 PQY786411:PRJ786413 QAU786411:QBF786413 QKQ786411:QLB786413 QUM786411:QUX786413 REI786411:RET786413 ROE786411:ROP786413 RYA786411:RYL786413 SHW786411:SIH786413 SRS786411:SSD786413 TBO786411:TBZ786413 TLK786411:TLV786413 TVG786411:TVR786413 UFC786411:UFN786413 UOY786411:UPJ786413 UYU786411:UZF786413 VIQ786411:VJB786413 VSM786411:VSX786413 WCI786411:WCT786413 WME786411:WMP786413 WWA786411:WWL786413 JO851947:JZ851949 TK851947:TV851949 ADG851947:ADR851949 ANC851947:ANN851949 AWY851947:AXJ851949 BGU851947:BHF851949 BQQ851947:BRB851949 CAM851947:CAX851949 CKI851947:CKT851949 CUE851947:CUP851949 DEA851947:DEL851949 DNW851947:DOH851949 DXS851947:DYD851949 EHO851947:EHZ851949 ERK851947:ERV851949 FBG851947:FBR851949 FLC851947:FLN851949 FUY851947:FVJ851949 GEU851947:GFF851949 GOQ851947:GPB851949 GYM851947:GYX851949 HII851947:HIT851949 HSE851947:HSP851949 ICA851947:ICL851949 ILW851947:IMH851949 IVS851947:IWD851949 JFO851947:JFZ851949 JPK851947:JPV851949 JZG851947:JZR851949 KJC851947:KJN851949 KSY851947:KTJ851949 LCU851947:LDF851949 LMQ851947:LNB851949 LWM851947:LWX851949 MGI851947:MGT851949 MQE851947:MQP851949 NAA851947:NAL851949 NJW851947:NKH851949 NTS851947:NUD851949 ODO851947:ODZ851949 ONK851947:ONV851949 OXG851947:OXR851949 PHC851947:PHN851949 PQY851947:PRJ851949 QAU851947:QBF851949 QKQ851947:QLB851949 QUM851947:QUX851949 REI851947:RET851949 ROE851947:ROP851949 RYA851947:RYL851949 SHW851947:SIH851949 SRS851947:SSD851949 TBO851947:TBZ851949 TLK851947:TLV851949 TVG851947:TVR851949 UFC851947:UFN851949 UOY851947:UPJ851949 UYU851947:UZF851949 VIQ851947:VJB851949 VSM851947:VSX851949 WCI851947:WCT851949 WME851947:WMP851949 WWA851947:WWL851949 JO917483:JZ917485 TK917483:TV917485 ADG917483:ADR917485 ANC917483:ANN917485 AWY917483:AXJ917485 BGU917483:BHF917485 BQQ917483:BRB917485 CAM917483:CAX917485 CKI917483:CKT917485 CUE917483:CUP917485 DEA917483:DEL917485 DNW917483:DOH917485 DXS917483:DYD917485 EHO917483:EHZ917485 ERK917483:ERV917485 FBG917483:FBR917485 FLC917483:FLN917485 FUY917483:FVJ917485 GEU917483:GFF917485 GOQ917483:GPB917485 GYM917483:GYX917485 HII917483:HIT917485 HSE917483:HSP917485 ICA917483:ICL917485 ILW917483:IMH917485 IVS917483:IWD917485 JFO917483:JFZ917485 JPK917483:JPV917485 JZG917483:JZR917485 KJC917483:KJN917485 KSY917483:KTJ917485 LCU917483:LDF917485 LMQ917483:LNB917485 LWM917483:LWX917485 MGI917483:MGT917485 MQE917483:MQP917485 NAA917483:NAL917485 NJW917483:NKH917485 NTS917483:NUD917485 ODO917483:ODZ917485 ONK917483:ONV917485 OXG917483:OXR917485 PHC917483:PHN917485 PQY917483:PRJ917485 QAU917483:QBF917485 QKQ917483:QLB917485 QUM917483:QUX917485 REI917483:RET917485 ROE917483:ROP917485 RYA917483:RYL917485 SHW917483:SIH917485 SRS917483:SSD917485 TBO917483:TBZ917485 TLK917483:TLV917485 TVG917483:TVR917485 UFC917483:UFN917485 UOY917483:UPJ917485 UYU917483:UZF917485 VIQ917483:VJB917485 VSM917483:VSX917485 WCI917483:WCT917485 WME917483:WMP917485 WWA917483:WWL917485 JO983019:JZ983021 TK983019:TV983021 ADG983019:ADR983021 ANC983019:ANN983021 AWY983019:AXJ983021 BGU983019:BHF983021 BQQ983019:BRB983021 CAM983019:CAX983021 CKI983019:CKT983021 CUE983019:CUP983021 DEA983019:DEL983021 DNW983019:DOH983021 DXS983019:DYD983021 EHO983019:EHZ983021 ERK983019:ERV983021 FBG983019:FBR983021 FLC983019:FLN983021 FUY983019:FVJ983021 GEU983019:GFF983021 GOQ983019:GPB983021 GYM983019:GYX983021 HII983019:HIT983021 HSE983019:HSP983021 ICA983019:ICL983021 ILW983019:IMH983021 IVS983019:IWD983021 JFO983019:JFZ983021 JPK983019:JPV983021 JZG983019:JZR983021 KJC983019:KJN983021 KSY983019:KTJ983021 LCU983019:LDF983021 LMQ983019:LNB983021 LWM983019:LWX983021 MGI983019:MGT983021 MQE983019:MQP983021 NAA983019:NAL983021 NJW983019:NKH983021 NTS983019:NUD983021 ODO983019:ODZ983021 ONK983019:ONV983021 OXG983019:OXR983021 PHC983019:PHN983021 PQY983019:PRJ983021 QAU983019:QBF983021 QKQ983019:QLB983021 QUM983019:QUX983021 REI983019:RET983021 ROE983019:ROP983021 RYA983019:RYL983021 SHW983019:SIH983021 SRS983019:SSD983021 TBO983019:TBZ983021 TLK983019:TLV983021 TVG983019:TVR983021 UFC983019:UFN983021 UOY983019:UPJ983021 UYU983019:UZF983021 VIQ983019:VJB983021 VSM983019:VSX983021 WCI983019:WCT983021 WME983019:WMP983021 WWA983019:WWL983021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15:AM65517 AC983019:AM983021 AC917483:AM917485 AC851947:AM851949 AC786411:AM786413 AC720875:AM720877 AC655339:AM655341 AC589803:AM589805 AC524267:AM524269 AC458731:AM458733 AC393195:AM393197 AC327659:AM327661 AC262123:AM262125 AC196587:AM196589 AC131051:AM131053 R2"/>
    <dataValidation type="list" allowBlank="1" showInputMessage="1" showErrorMessage="1" sqref="Y8:Z85">
      <formula1>"文字,数値,日付,時間"</formula1>
    </dataValidation>
    <dataValidation type="list" allowBlank="1" showInputMessage="1" showErrorMessage="1" sqref="AA8:AC85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6" s="17" customFormat="1" ht="14.4" customHeight="1">
      <c r="A1" s="396" t="s">
        <v>78</v>
      </c>
      <c r="B1" s="397"/>
      <c r="C1" s="397"/>
      <c r="D1" s="397"/>
      <c r="E1" s="397"/>
      <c r="F1" s="397"/>
      <c r="G1" s="397"/>
      <c r="H1" s="398"/>
      <c r="I1" s="336" t="s">
        <v>79</v>
      </c>
      <c r="J1" s="337"/>
      <c r="K1" s="337"/>
      <c r="L1" s="337"/>
      <c r="M1" s="337"/>
      <c r="N1" s="337"/>
      <c r="O1" s="337"/>
      <c r="P1" s="337"/>
      <c r="Q1" s="338"/>
      <c r="R1" s="336" t="s">
        <v>80</v>
      </c>
      <c r="S1" s="337"/>
      <c r="T1" s="337"/>
      <c r="U1" s="337"/>
      <c r="V1" s="337"/>
      <c r="W1" s="337"/>
      <c r="X1" s="338"/>
      <c r="Y1" s="336" t="s">
        <v>135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8"/>
      <c r="AP1" s="407" t="s">
        <v>82</v>
      </c>
      <c r="AQ1" s="408"/>
      <c r="AR1" s="408"/>
      <c r="AS1" s="408"/>
      <c r="AT1" s="409"/>
      <c r="AU1" s="407" t="s">
        <v>83</v>
      </c>
      <c r="AV1" s="408"/>
      <c r="AW1" s="408"/>
      <c r="AX1" s="408"/>
      <c r="AY1" s="409"/>
      <c r="AZ1" s="407" t="s">
        <v>84</v>
      </c>
      <c r="BA1" s="408"/>
      <c r="BB1" s="408"/>
      <c r="BC1" s="408"/>
      <c r="BD1" s="409"/>
    </row>
    <row r="2" spans="1:56" s="17" customFormat="1" ht="14.4" customHeight="1">
      <c r="A2" s="399"/>
      <c r="B2" s="400"/>
      <c r="C2" s="400"/>
      <c r="D2" s="400"/>
      <c r="E2" s="400"/>
      <c r="F2" s="400"/>
      <c r="G2" s="400"/>
      <c r="H2" s="401"/>
      <c r="I2" s="366" t="s">
        <v>85</v>
      </c>
      <c r="J2" s="367"/>
      <c r="K2" s="367"/>
      <c r="L2" s="367"/>
      <c r="M2" s="367"/>
      <c r="N2" s="367"/>
      <c r="O2" s="367"/>
      <c r="P2" s="367"/>
      <c r="Q2" s="368"/>
      <c r="R2" s="366" t="str">
        <f ca="1">VLOOKUP(RIGHT(CELL("filename",A2),LEN(CELL("filename",A2))-FIND("]",CELL("filename",A2))),テーブル一覧!B:AD,22,FALSE)</f>
        <v>B.生産計画</v>
      </c>
      <c r="S2" s="367"/>
      <c r="T2" s="367"/>
      <c r="U2" s="367"/>
      <c r="V2" s="367"/>
      <c r="W2" s="367"/>
      <c r="X2" s="368"/>
      <c r="Y2" s="366" t="str">
        <f ca="1">VLOOKUP(RIGHT(CELL("filename",A2),LEN(CELL("filename",A2))-FIND("]",CELL("filename",A2))),テーブル一覧!B:AD,1,FALSE)</f>
        <v>生産計画情報（加工CM）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8"/>
      <c r="AP2" s="339"/>
      <c r="AQ2" s="340"/>
      <c r="AR2" s="340"/>
      <c r="AS2" s="340"/>
      <c r="AT2" s="341"/>
      <c r="AU2" s="58" t="s">
        <v>88</v>
      </c>
      <c r="AV2" s="59"/>
      <c r="AW2" s="59"/>
      <c r="AX2" s="59"/>
      <c r="AY2" s="60"/>
      <c r="AZ2" s="413" t="s">
        <v>89</v>
      </c>
      <c r="BA2" s="414"/>
      <c r="BB2" s="414"/>
      <c r="BC2" s="414"/>
      <c r="BD2" s="415"/>
    </row>
    <row r="3" spans="1:56" s="17" customFormat="1" ht="14.4" customHeight="1">
      <c r="A3" s="399"/>
      <c r="B3" s="400"/>
      <c r="C3" s="400"/>
      <c r="D3" s="400"/>
      <c r="E3" s="400"/>
      <c r="F3" s="400"/>
      <c r="G3" s="400"/>
      <c r="H3" s="401"/>
      <c r="I3" s="369"/>
      <c r="J3" s="370"/>
      <c r="K3" s="370"/>
      <c r="L3" s="370"/>
      <c r="M3" s="370"/>
      <c r="N3" s="370"/>
      <c r="O3" s="370"/>
      <c r="P3" s="370"/>
      <c r="Q3" s="371"/>
      <c r="R3" s="369"/>
      <c r="S3" s="370"/>
      <c r="T3" s="370"/>
      <c r="U3" s="370"/>
      <c r="V3" s="370"/>
      <c r="W3" s="370"/>
      <c r="X3" s="371"/>
      <c r="Y3" s="372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4"/>
      <c r="AP3" s="342"/>
      <c r="AQ3" s="343"/>
      <c r="AR3" s="343"/>
      <c r="AS3" s="343"/>
      <c r="AT3" s="344"/>
      <c r="AU3" s="410"/>
      <c r="AV3" s="411"/>
      <c r="AW3" s="411"/>
      <c r="AX3" s="411"/>
      <c r="AY3" s="412"/>
      <c r="AZ3" s="413"/>
      <c r="BA3" s="414"/>
      <c r="BB3" s="414"/>
      <c r="BC3" s="414"/>
      <c r="BD3" s="415"/>
    </row>
    <row r="4" spans="1:56" s="17" customFormat="1" ht="14.4" customHeight="1">
      <c r="A4" s="402"/>
      <c r="B4" s="403"/>
      <c r="C4" s="403"/>
      <c r="D4" s="403"/>
      <c r="E4" s="403"/>
      <c r="F4" s="403"/>
      <c r="G4" s="403"/>
      <c r="H4" s="404"/>
      <c r="I4" s="372"/>
      <c r="J4" s="373"/>
      <c r="K4" s="373"/>
      <c r="L4" s="373"/>
      <c r="M4" s="373"/>
      <c r="N4" s="373"/>
      <c r="O4" s="373"/>
      <c r="P4" s="373"/>
      <c r="Q4" s="374"/>
      <c r="R4" s="372"/>
      <c r="S4" s="373"/>
      <c r="T4" s="373"/>
      <c r="U4" s="373"/>
      <c r="V4" s="373"/>
      <c r="W4" s="373"/>
      <c r="X4" s="374"/>
      <c r="Y4" s="41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t_seisan_keikaku_cm</v>
      </c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8"/>
      <c r="AP4" s="342"/>
      <c r="AQ4" s="343"/>
      <c r="AR4" s="343"/>
      <c r="AS4" s="343"/>
      <c r="AT4" s="344"/>
      <c r="AU4" s="410"/>
      <c r="AV4" s="411"/>
      <c r="AW4" s="411"/>
      <c r="AX4" s="411"/>
      <c r="AY4" s="412"/>
      <c r="AZ4" s="413"/>
      <c r="BA4" s="414"/>
      <c r="BB4" s="414"/>
      <c r="BC4" s="414"/>
      <c r="BD4" s="415"/>
    </row>
    <row r="6" spans="1:56" ht="14.4" customHeight="1">
      <c r="A6" s="405" t="s">
        <v>90</v>
      </c>
      <c r="B6" s="386" t="s">
        <v>136</v>
      </c>
      <c r="C6" s="394"/>
      <c r="D6" s="394"/>
      <c r="E6" s="394"/>
      <c r="F6" s="394"/>
      <c r="G6" s="394"/>
      <c r="H6" s="387"/>
      <c r="I6" s="386" t="s">
        <v>137</v>
      </c>
      <c r="J6" s="394"/>
      <c r="K6" s="394"/>
      <c r="L6" s="394"/>
      <c r="M6" s="394"/>
      <c r="N6" s="394"/>
      <c r="O6" s="394"/>
      <c r="P6" s="394"/>
      <c r="Q6" s="387"/>
      <c r="R6" s="386" t="s">
        <v>138</v>
      </c>
      <c r="S6" s="394"/>
      <c r="T6" s="394"/>
      <c r="U6" s="394"/>
      <c r="V6" s="394"/>
      <c r="W6" s="394"/>
      <c r="X6" s="387"/>
      <c r="Y6" s="386" t="s">
        <v>139</v>
      </c>
      <c r="Z6" s="387"/>
      <c r="AA6" s="386" t="s">
        <v>140</v>
      </c>
      <c r="AB6" s="394"/>
      <c r="AC6" s="387"/>
      <c r="AD6" s="390" t="s">
        <v>141</v>
      </c>
      <c r="AE6" s="392" t="s">
        <v>142</v>
      </c>
      <c r="AF6" s="390" t="s">
        <v>143</v>
      </c>
      <c r="AG6" s="390" t="s">
        <v>144</v>
      </c>
      <c r="AH6" s="390" t="s">
        <v>145</v>
      </c>
      <c r="AI6" s="383" t="s">
        <v>146</v>
      </c>
      <c r="AJ6" s="384"/>
      <c r="AK6" s="384"/>
      <c r="AL6" s="384"/>
      <c r="AM6" s="384"/>
      <c r="AN6" s="384"/>
      <c r="AO6" s="384"/>
      <c r="AP6" s="384"/>
      <c r="AQ6" s="384"/>
      <c r="AR6" s="385"/>
      <c r="AS6" s="386" t="s">
        <v>147</v>
      </c>
      <c r="AT6" s="394"/>
      <c r="AU6" s="394"/>
      <c r="AV6" s="394"/>
      <c r="AW6" s="394"/>
      <c r="AX6" s="394"/>
      <c r="AY6" s="394"/>
      <c r="AZ6" s="394"/>
      <c r="BA6" s="394"/>
      <c r="BB6" s="394"/>
      <c r="BC6" s="394"/>
      <c r="BD6" s="387"/>
    </row>
    <row r="7" spans="1:56" ht="14.4" customHeight="1">
      <c r="A7" s="406"/>
      <c r="B7" s="388"/>
      <c r="C7" s="395"/>
      <c r="D7" s="395"/>
      <c r="E7" s="395"/>
      <c r="F7" s="395"/>
      <c r="G7" s="395"/>
      <c r="H7" s="389"/>
      <c r="I7" s="388"/>
      <c r="J7" s="395"/>
      <c r="K7" s="395"/>
      <c r="L7" s="395"/>
      <c r="M7" s="395"/>
      <c r="N7" s="395"/>
      <c r="O7" s="395"/>
      <c r="P7" s="395"/>
      <c r="Q7" s="389"/>
      <c r="R7" s="388"/>
      <c r="S7" s="395"/>
      <c r="T7" s="395"/>
      <c r="U7" s="395"/>
      <c r="V7" s="395"/>
      <c r="W7" s="395"/>
      <c r="X7" s="389"/>
      <c r="Y7" s="388"/>
      <c r="Z7" s="389"/>
      <c r="AA7" s="388"/>
      <c r="AB7" s="395"/>
      <c r="AC7" s="389"/>
      <c r="AD7" s="391"/>
      <c r="AE7" s="393"/>
      <c r="AF7" s="391"/>
      <c r="AG7" s="391"/>
      <c r="AH7" s="39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88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89"/>
    </row>
    <row r="8" spans="1:56" s="1" customFormat="1" ht="14.4" customHeight="1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424" t="s">
        <v>150</v>
      </c>
      <c r="Z8" s="425"/>
      <c r="AA8" s="426" t="s">
        <v>151</v>
      </c>
      <c r="AB8" s="427"/>
      <c r="AC8" s="428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96"/>
      <c r="AT8" s="174"/>
      <c r="AU8" s="174"/>
      <c r="AV8" s="174"/>
      <c r="AW8" s="174"/>
      <c r="AX8" s="174"/>
      <c r="AY8" s="174"/>
      <c r="AZ8" s="174"/>
      <c r="BA8" s="174"/>
      <c r="BB8" s="174"/>
      <c r="BC8" s="163"/>
      <c r="BD8" s="164"/>
    </row>
    <row r="9" spans="1:56" s="1" customFormat="1" ht="14.4" customHeight="1">
      <c r="A9" s="131">
        <f>IF(B9="","",COUNTA($B$8:B9))</f>
        <v>2</v>
      </c>
      <c r="B9" s="8" t="s">
        <v>153</v>
      </c>
      <c r="C9" s="114"/>
      <c r="D9" s="114"/>
      <c r="E9" s="114"/>
      <c r="F9" s="114"/>
      <c r="G9" s="114"/>
      <c r="H9" s="134"/>
      <c r="I9" s="115" t="s">
        <v>154</v>
      </c>
      <c r="J9" s="116"/>
      <c r="K9" s="116"/>
      <c r="L9" s="116"/>
      <c r="M9" s="116"/>
      <c r="N9" s="116"/>
      <c r="O9" s="116"/>
      <c r="P9" s="116"/>
      <c r="Q9" s="133"/>
      <c r="R9" s="8" t="s">
        <v>153</v>
      </c>
      <c r="S9" s="116"/>
      <c r="T9" s="116"/>
      <c r="U9" s="116"/>
      <c r="V9" s="116"/>
      <c r="W9" s="116"/>
      <c r="X9" s="134"/>
      <c r="Y9" s="424" t="s">
        <v>155</v>
      </c>
      <c r="Z9" s="425"/>
      <c r="AA9" s="426" t="s">
        <v>156</v>
      </c>
      <c r="AB9" s="427"/>
      <c r="AC9" s="428"/>
      <c r="AD9" s="126">
        <v>3</v>
      </c>
      <c r="AE9" s="111"/>
      <c r="AF9" s="111">
        <v>2</v>
      </c>
      <c r="AG9" s="120" t="s">
        <v>152</v>
      </c>
      <c r="AH9" s="120"/>
      <c r="AI9" s="120"/>
      <c r="AJ9" s="120"/>
      <c r="AK9" s="120"/>
      <c r="AL9" s="120"/>
      <c r="AM9" s="120"/>
      <c r="AN9" s="120"/>
      <c r="AO9" s="111"/>
      <c r="AP9" s="111"/>
      <c r="AQ9" s="111"/>
      <c r="AR9" s="111"/>
      <c r="AS9" s="189" t="s">
        <v>355</v>
      </c>
      <c r="AT9" s="176"/>
      <c r="AU9" s="176"/>
      <c r="AV9" s="176"/>
      <c r="AW9" s="176"/>
      <c r="AX9" s="176"/>
      <c r="AY9" s="176"/>
      <c r="AZ9" s="176"/>
      <c r="BA9" s="176"/>
      <c r="BB9" s="176"/>
      <c r="BC9" s="124"/>
      <c r="BD9" s="125"/>
    </row>
    <row r="10" spans="1:56" s="1" customFormat="1" ht="14.4" customHeight="1">
      <c r="A10" s="131">
        <f>IF(B10="","",COUNTA($B$8:B10))</f>
        <v>3</v>
      </c>
      <c r="B10" s="8" t="s">
        <v>157</v>
      </c>
      <c r="C10" s="114"/>
      <c r="D10" s="114"/>
      <c r="E10" s="114"/>
      <c r="F10" s="114"/>
      <c r="G10" s="114"/>
      <c r="H10" s="134"/>
      <c r="I10" s="115" t="s">
        <v>158</v>
      </c>
      <c r="J10" s="116"/>
      <c r="K10" s="116"/>
      <c r="L10" s="116"/>
      <c r="M10" s="116"/>
      <c r="N10" s="116"/>
      <c r="O10" s="116"/>
      <c r="P10" s="116"/>
      <c r="Q10" s="133"/>
      <c r="R10" s="8" t="s">
        <v>157</v>
      </c>
      <c r="S10" s="116"/>
      <c r="T10" s="116"/>
      <c r="U10" s="116"/>
      <c r="V10" s="116"/>
      <c r="W10" s="116"/>
      <c r="X10" s="134"/>
      <c r="Y10" s="424" t="s">
        <v>150</v>
      </c>
      <c r="Z10" s="425"/>
      <c r="AA10" s="426" t="s">
        <v>151</v>
      </c>
      <c r="AB10" s="427"/>
      <c r="AC10" s="428"/>
      <c r="AD10" s="126">
        <v>10</v>
      </c>
      <c r="AE10" s="111"/>
      <c r="AF10" s="111"/>
      <c r="AG10" s="111"/>
      <c r="AH10" s="120"/>
      <c r="AI10" s="120"/>
      <c r="AJ10" s="120"/>
      <c r="AK10" s="120"/>
      <c r="AL10" s="120"/>
      <c r="AM10" s="120"/>
      <c r="AN10" s="120"/>
      <c r="AO10" s="111"/>
      <c r="AP10" s="111"/>
      <c r="AQ10" s="111"/>
      <c r="AR10" s="111"/>
      <c r="AS10" s="189"/>
      <c r="AT10" s="176"/>
      <c r="AU10" s="176"/>
      <c r="AV10" s="176"/>
      <c r="AW10" s="176"/>
      <c r="AX10" s="176"/>
      <c r="AY10" s="176"/>
      <c r="AZ10" s="176"/>
      <c r="BA10" s="176"/>
      <c r="BB10" s="176"/>
      <c r="BC10" s="124"/>
      <c r="BD10" s="125"/>
    </row>
    <row r="11" spans="1:56" s="1" customFormat="1" ht="14.4" customHeight="1">
      <c r="A11" s="131">
        <f>IF(B11="","",COUNTA($B$8:B11))</f>
        <v>4</v>
      </c>
      <c r="B11" s="8" t="s">
        <v>159</v>
      </c>
      <c r="C11" s="114"/>
      <c r="D11" s="114"/>
      <c r="E11" s="114"/>
      <c r="F11" s="114"/>
      <c r="G11" s="114"/>
      <c r="H11" s="134"/>
      <c r="I11" s="115" t="s">
        <v>160</v>
      </c>
      <c r="J11" s="116"/>
      <c r="K11" s="116"/>
      <c r="L11" s="116"/>
      <c r="M11" s="116"/>
      <c r="N11" s="116"/>
      <c r="O11" s="116"/>
      <c r="P11" s="116"/>
      <c r="Q11" s="133"/>
      <c r="R11" s="8" t="s">
        <v>159</v>
      </c>
      <c r="S11" s="116"/>
      <c r="T11" s="116"/>
      <c r="U11" s="116"/>
      <c r="V11" s="116"/>
      <c r="W11" s="116"/>
      <c r="X11" s="134"/>
      <c r="Y11" s="424" t="s">
        <v>150</v>
      </c>
      <c r="Z11" s="425"/>
      <c r="AA11" s="426" t="s">
        <v>151</v>
      </c>
      <c r="AB11" s="427"/>
      <c r="AC11" s="428"/>
      <c r="AD11" s="126">
        <v>4</v>
      </c>
      <c r="AE11" s="111"/>
      <c r="AF11" s="111"/>
      <c r="AG11" s="111"/>
      <c r="AH11" s="120"/>
      <c r="AI11" s="120" t="s">
        <v>161</v>
      </c>
      <c r="AJ11" s="120"/>
      <c r="AK11" s="120"/>
      <c r="AL11" s="120"/>
      <c r="AM11" s="120"/>
      <c r="AN11" s="120"/>
      <c r="AO11" s="111"/>
      <c r="AP11" s="111"/>
      <c r="AQ11" s="111"/>
      <c r="AR11" s="111"/>
      <c r="AS11" s="189"/>
      <c r="AT11" s="176"/>
      <c r="AU11" s="176"/>
      <c r="AV11" s="176"/>
      <c r="AW11" s="176"/>
      <c r="AX11" s="176"/>
      <c r="AY11" s="176"/>
      <c r="AZ11" s="176"/>
      <c r="BA11" s="176"/>
      <c r="BB11" s="176"/>
      <c r="BC11" s="124"/>
      <c r="BD11" s="125"/>
    </row>
    <row r="12" spans="1:56" s="1" customFormat="1" ht="14.4" customHeight="1">
      <c r="A12" s="131">
        <f>IF(B12="","",COUNTA($B$8:B12))</f>
        <v>5</v>
      </c>
      <c r="B12" s="165" t="s">
        <v>162</v>
      </c>
      <c r="D12" s="114"/>
      <c r="E12" s="114"/>
      <c r="F12" s="114"/>
      <c r="G12" s="114"/>
      <c r="H12" s="134"/>
      <c r="I12" s="165" t="s">
        <v>163</v>
      </c>
      <c r="J12" s="116"/>
      <c r="K12" s="116"/>
      <c r="L12" s="116"/>
      <c r="M12" s="116"/>
      <c r="N12" s="116"/>
      <c r="O12" s="116"/>
      <c r="P12" s="116"/>
      <c r="Q12" s="133"/>
      <c r="R12" s="8" t="s">
        <v>164</v>
      </c>
      <c r="S12" s="116"/>
      <c r="T12" s="116"/>
      <c r="U12" s="116"/>
      <c r="V12" s="116"/>
      <c r="W12" s="116"/>
      <c r="X12" s="134"/>
      <c r="Y12" s="424" t="s">
        <v>150</v>
      </c>
      <c r="Z12" s="425"/>
      <c r="AA12" s="426" t="s">
        <v>151</v>
      </c>
      <c r="AB12" s="427"/>
      <c r="AC12" s="428"/>
      <c r="AD12" s="126">
        <v>4</v>
      </c>
      <c r="AE12" s="111"/>
      <c r="AF12" s="111"/>
      <c r="AG12" s="111"/>
      <c r="AH12" s="120"/>
      <c r="AI12" s="120" t="s">
        <v>165</v>
      </c>
      <c r="AJ12" s="120"/>
      <c r="AK12" s="120"/>
      <c r="AL12" s="120"/>
      <c r="AM12" s="120"/>
      <c r="AN12" s="120"/>
      <c r="AO12" s="111"/>
      <c r="AP12" s="111"/>
      <c r="AQ12" s="111"/>
      <c r="AR12" s="111"/>
      <c r="AS12" s="189"/>
      <c r="AT12" s="176"/>
      <c r="AU12" s="176"/>
      <c r="AV12" s="176"/>
      <c r="AW12" s="176"/>
      <c r="AX12" s="176"/>
      <c r="AY12" s="176"/>
      <c r="AZ12" s="176"/>
      <c r="BA12" s="176"/>
      <c r="BB12" s="176"/>
      <c r="BC12" s="124"/>
      <c r="BD12" s="125"/>
    </row>
    <row r="13" spans="1:56" s="1" customFormat="1" ht="14.4" customHeight="1">
      <c r="A13" s="131">
        <f>IF(B13="","",COUNTA($B$8:B13))</f>
        <v>6</v>
      </c>
      <c r="B13" s="8" t="s">
        <v>166</v>
      </c>
      <c r="C13" s="114"/>
      <c r="D13" s="114"/>
      <c r="E13" s="114"/>
      <c r="F13" s="114"/>
      <c r="G13" s="114"/>
      <c r="H13" s="134"/>
      <c r="I13" s="115" t="s">
        <v>167</v>
      </c>
      <c r="J13" s="116"/>
      <c r="K13" s="116"/>
      <c r="L13" s="116"/>
      <c r="M13" s="116"/>
      <c r="N13" s="116"/>
      <c r="O13" s="116"/>
      <c r="P13" s="116"/>
      <c r="Q13" s="133"/>
      <c r="R13" s="8" t="s">
        <v>168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426" t="s">
        <v>170</v>
      </c>
      <c r="AB13" s="427"/>
      <c r="AC13" s="428"/>
      <c r="AD13" s="126"/>
      <c r="AE13" s="111"/>
      <c r="AF13" s="111"/>
      <c r="AG13" s="111"/>
      <c r="AH13" s="120"/>
      <c r="AI13" s="120" t="s">
        <v>171</v>
      </c>
      <c r="AJ13" s="120"/>
      <c r="AK13" s="120"/>
      <c r="AL13" s="120"/>
      <c r="AM13" s="120"/>
      <c r="AN13" s="120"/>
      <c r="AO13" s="111"/>
      <c r="AP13" s="111"/>
      <c r="AQ13" s="111"/>
      <c r="AR13" s="111"/>
      <c r="AS13" s="189"/>
      <c r="AT13" s="176"/>
      <c r="AU13" s="176"/>
      <c r="AV13" s="176"/>
      <c r="AW13" s="176"/>
      <c r="AX13" s="176"/>
      <c r="AY13" s="176"/>
      <c r="AZ13" s="176"/>
      <c r="BA13" s="176"/>
      <c r="BB13" s="176"/>
      <c r="BC13" s="124"/>
      <c r="BD13" s="125"/>
    </row>
    <row r="14" spans="1:56" s="1" customFormat="1" ht="14.4" customHeight="1">
      <c r="A14" s="131">
        <f>IF(B14="","",COUNTA($B$8:B14))</f>
        <v>7</v>
      </c>
      <c r="B14" s="8" t="s">
        <v>174</v>
      </c>
      <c r="C14" s="114"/>
      <c r="D14" s="114"/>
      <c r="E14" s="114"/>
      <c r="F14" s="114"/>
      <c r="G14" s="114"/>
      <c r="H14" s="134"/>
      <c r="I14" s="115" t="s">
        <v>175</v>
      </c>
      <c r="J14" s="116"/>
      <c r="K14" s="116"/>
      <c r="L14" s="116"/>
      <c r="M14" s="116"/>
      <c r="N14" s="116"/>
      <c r="O14" s="116"/>
      <c r="P14" s="116"/>
      <c r="Q14" s="133"/>
      <c r="R14" s="8" t="s">
        <v>176</v>
      </c>
      <c r="S14" s="116"/>
      <c r="T14" s="116"/>
      <c r="U14" s="116"/>
      <c r="V14" s="116"/>
      <c r="W14" s="116"/>
      <c r="X14" s="134"/>
      <c r="Y14" s="8" t="s">
        <v>169</v>
      </c>
      <c r="Z14" s="119"/>
      <c r="AA14" s="426" t="s">
        <v>170</v>
      </c>
      <c r="AB14" s="427"/>
      <c r="AC14" s="428"/>
      <c r="AD14" s="159"/>
      <c r="AE14" s="111"/>
      <c r="AF14" s="111"/>
      <c r="AG14" s="111"/>
      <c r="AH14" s="120"/>
      <c r="AI14" s="120" t="s">
        <v>173</v>
      </c>
      <c r="AJ14" s="120"/>
      <c r="AK14" s="120"/>
      <c r="AL14" s="120"/>
      <c r="AM14" s="120"/>
      <c r="AN14" s="120"/>
      <c r="AO14" s="111"/>
      <c r="AP14" s="111"/>
      <c r="AQ14" s="111"/>
      <c r="AR14" s="111"/>
      <c r="AS14" s="189"/>
      <c r="AT14" s="176"/>
      <c r="AU14" s="176"/>
      <c r="AV14" s="176"/>
      <c r="AW14" s="176"/>
      <c r="AX14" s="176"/>
      <c r="AY14" s="176"/>
      <c r="AZ14" s="176"/>
      <c r="BA14" s="176"/>
      <c r="BB14" s="176"/>
      <c r="BC14" s="124"/>
      <c r="BD14" s="125"/>
    </row>
    <row r="15" spans="1:56" s="1" customFormat="1" ht="14.4" customHeight="1">
      <c r="A15" s="131">
        <f>IF(B15="","",COUNTA($B$8:B15))</f>
        <v>8</v>
      </c>
      <c r="B15" s="8" t="s">
        <v>172</v>
      </c>
      <c r="C15" s="114"/>
      <c r="D15" s="114"/>
      <c r="E15" s="114"/>
      <c r="F15" s="114"/>
      <c r="G15" s="114"/>
      <c r="H15" s="134"/>
      <c r="I15" s="115" t="s">
        <v>177</v>
      </c>
      <c r="J15" s="116"/>
      <c r="K15" s="116"/>
      <c r="L15" s="116"/>
      <c r="M15" s="116"/>
      <c r="N15" s="116"/>
      <c r="O15" s="116"/>
      <c r="P15" s="116"/>
      <c r="Q15" s="133"/>
      <c r="R15" s="8" t="s">
        <v>172</v>
      </c>
      <c r="S15" s="116"/>
      <c r="T15" s="116"/>
      <c r="U15" s="116"/>
      <c r="V15" s="116"/>
      <c r="W15" s="116"/>
      <c r="X15" s="134"/>
      <c r="Y15" s="8" t="s">
        <v>155</v>
      </c>
      <c r="Z15" s="119"/>
      <c r="AA15" s="426" t="s">
        <v>156</v>
      </c>
      <c r="AB15" s="427"/>
      <c r="AC15" s="428"/>
      <c r="AD15" s="159">
        <v>5</v>
      </c>
      <c r="AE15" s="111">
        <v>1</v>
      </c>
      <c r="AF15" s="111"/>
      <c r="AG15" s="111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89"/>
      <c r="AT15" s="176"/>
      <c r="AU15" s="176"/>
      <c r="AV15" s="176"/>
      <c r="AW15" s="176"/>
      <c r="AX15" s="176"/>
      <c r="AY15" s="176"/>
      <c r="AZ15" s="176"/>
      <c r="BA15" s="176"/>
      <c r="BB15" s="176"/>
      <c r="BC15" s="124"/>
      <c r="BD15" s="125"/>
    </row>
    <row r="16" spans="1:56" s="1" customFormat="1" ht="14.4" customHeight="1">
      <c r="A16" s="131">
        <f>IF(B16="","",COUNTA($B$8:B16))</f>
        <v>9</v>
      </c>
      <c r="B16" s="8" t="s">
        <v>178</v>
      </c>
      <c r="C16" s="114"/>
      <c r="D16" s="114"/>
      <c r="E16" s="114"/>
      <c r="F16" s="114"/>
      <c r="G16" s="114"/>
      <c r="H16" s="134"/>
      <c r="I16" s="115" t="s">
        <v>179</v>
      </c>
      <c r="J16" s="116"/>
      <c r="K16" s="116"/>
      <c r="L16" s="116"/>
      <c r="M16" s="116"/>
      <c r="N16" s="116"/>
      <c r="O16" s="116"/>
      <c r="P16" s="116"/>
      <c r="Q16" s="133"/>
      <c r="R16" s="8" t="s">
        <v>178</v>
      </c>
      <c r="S16" s="116"/>
      <c r="T16" s="116"/>
      <c r="U16" s="116"/>
      <c r="V16" s="116"/>
      <c r="W16" s="116"/>
      <c r="X16" s="134"/>
      <c r="Y16" s="424" t="s">
        <v>150</v>
      </c>
      <c r="Z16" s="425"/>
      <c r="AA16" s="426" t="s">
        <v>151</v>
      </c>
      <c r="AB16" s="427"/>
      <c r="AC16" s="428"/>
      <c r="AD16" s="126">
        <v>20</v>
      </c>
      <c r="AE16" s="111"/>
      <c r="AF16" s="111"/>
      <c r="AG16" s="111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89" t="s">
        <v>180</v>
      </c>
      <c r="AT16" s="176"/>
      <c r="AU16" s="176"/>
      <c r="AV16" s="176"/>
      <c r="AW16" s="176"/>
      <c r="AX16" s="176"/>
      <c r="AY16" s="176"/>
      <c r="AZ16" s="176"/>
      <c r="BA16" s="176"/>
      <c r="BB16" s="176"/>
      <c r="BC16" s="124"/>
      <c r="BD16" s="125"/>
    </row>
    <row r="17" spans="1:57" s="1" customFormat="1" ht="14.4" customHeight="1">
      <c r="A17" s="131">
        <f>IF(B17="","",COUNTA($B$8:B17))</f>
        <v>10</v>
      </c>
      <c r="B17" s="8" t="s">
        <v>181</v>
      </c>
      <c r="C17" s="114"/>
      <c r="D17" s="114"/>
      <c r="E17" s="114"/>
      <c r="F17" s="114"/>
      <c r="G17" s="114"/>
      <c r="H17" s="134"/>
      <c r="I17" s="115" t="s">
        <v>182</v>
      </c>
      <c r="J17" s="116"/>
      <c r="K17" s="116"/>
      <c r="L17" s="116"/>
      <c r="M17" s="116"/>
      <c r="N17" s="116"/>
      <c r="O17" s="116"/>
      <c r="P17" s="116"/>
      <c r="Q17" s="133"/>
      <c r="R17" s="8" t="s">
        <v>181</v>
      </c>
      <c r="S17" s="116"/>
      <c r="T17" s="116"/>
      <c r="U17" s="116"/>
      <c r="V17" s="116"/>
      <c r="W17" s="116"/>
      <c r="X17" s="133"/>
      <c r="Y17" s="424" t="s">
        <v>150</v>
      </c>
      <c r="Z17" s="425"/>
      <c r="AA17" s="426" t="s">
        <v>151</v>
      </c>
      <c r="AB17" s="427"/>
      <c r="AC17" s="428"/>
      <c r="AD17" s="126">
        <v>30</v>
      </c>
      <c r="AE17" s="111"/>
      <c r="AF17" s="111"/>
      <c r="AG17" s="111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89" t="s">
        <v>1411</v>
      </c>
      <c r="AT17" s="176"/>
      <c r="AU17" s="176"/>
      <c r="AV17" s="176"/>
      <c r="AW17" s="176"/>
      <c r="AX17" s="176"/>
      <c r="AY17" s="176"/>
      <c r="AZ17" s="176"/>
      <c r="BA17" s="176"/>
      <c r="BB17" s="176"/>
      <c r="BC17" s="124"/>
      <c r="BD17" s="125"/>
    </row>
    <row r="18" spans="1:57" s="1" customFormat="1" ht="14.4" customHeight="1">
      <c r="A18" s="131">
        <f>IF(B18="","",COUNTA($B$8:B18))</f>
        <v>11</v>
      </c>
      <c r="B18" s="8" t="s">
        <v>183</v>
      </c>
      <c r="C18" s="114"/>
      <c r="D18" s="114"/>
      <c r="E18" s="114"/>
      <c r="F18" s="114"/>
      <c r="G18" s="114"/>
      <c r="H18" s="134"/>
      <c r="I18" s="115" t="s">
        <v>184</v>
      </c>
      <c r="J18" s="116"/>
      <c r="K18" s="116"/>
      <c r="L18" s="116"/>
      <c r="M18" s="116"/>
      <c r="N18" s="116"/>
      <c r="O18" s="116"/>
      <c r="P18" s="116"/>
      <c r="Q18" s="133"/>
      <c r="R18" s="8" t="s">
        <v>183</v>
      </c>
      <c r="S18" s="116"/>
      <c r="T18" s="116"/>
      <c r="U18" s="116"/>
      <c r="V18" s="116"/>
      <c r="W18" s="116"/>
      <c r="X18" s="134"/>
      <c r="Y18" s="424" t="s">
        <v>150</v>
      </c>
      <c r="Z18" s="425"/>
      <c r="AA18" s="426" t="s">
        <v>151</v>
      </c>
      <c r="AB18" s="427"/>
      <c r="AC18" s="428"/>
      <c r="AD18" s="126">
        <v>1000</v>
      </c>
      <c r="AE18" s="111"/>
      <c r="AF18" s="111"/>
      <c r="AG18" s="111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89"/>
      <c r="AT18" s="176"/>
      <c r="AU18" s="176"/>
      <c r="AV18" s="176"/>
      <c r="AW18" s="176"/>
      <c r="AX18" s="176"/>
      <c r="AY18" s="176"/>
      <c r="AZ18" s="176"/>
      <c r="BA18" s="176"/>
      <c r="BB18" s="176"/>
      <c r="BC18" s="124"/>
      <c r="BD18" s="125"/>
    </row>
    <row r="19" spans="1:57" s="1" customFormat="1" ht="14.4" customHeight="1">
      <c r="A19" s="131">
        <f>IF(B19="","",COUNTA($B$8:B19))</f>
        <v>12</v>
      </c>
      <c r="B19" s="8" t="s">
        <v>185</v>
      </c>
      <c r="C19" s="114"/>
      <c r="D19" s="114"/>
      <c r="E19" s="114"/>
      <c r="F19" s="114"/>
      <c r="G19" s="114"/>
      <c r="H19" s="134"/>
      <c r="I19" s="115" t="s">
        <v>186</v>
      </c>
      <c r="J19" s="116"/>
      <c r="K19" s="116"/>
      <c r="L19" s="116"/>
      <c r="M19" s="116"/>
      <c r="N19" s="116"/>
      <c r="O19" s="116"/>
      <c r="P19" s="116"/>
      <c r="Q19" s="133"/>
      <c r="R19" s="8" t="s">
        <v>185</v>
      </c>
      <c r="S19" s="116"/>
      <c r="T19" s="116"/>
      <c r="U19" s="116"/>
      <c r="V19" s="116"/>
      <c r="W19" s="116"/>
      <c r="X19" s="134"/>
      <c r="Y19" s="424" t="s">
        <v>150</v>
      </c>
      <c r="Z19" s="425"/>
      <c r="AA19" s="426" t="s">
        <v>151</v>
      </c>
      <c r="AB19" s="427"/>
      <c r="AC19" s="428"/>
      <c r="AD19" s="126">
        <v>75</v>
      </c>
      <c r="AE19" s="111"/>
      <c r="AF19" s="111"/>
      <c r="AG19" s="111"/>
      <c r="AH19" s="120"/>
      <c r="AI19" s="120"/>
      <c r="AJ19" s="120" t="s">
        <v>161</v>
      </c>
      <c r="AK19" s="120"/>
      <c r="AL19" s="120"/>
      <c r="AM19" s="120"/>
      <c r="AN19" s="120"/>
      <c r="AO19" s="111"/>
      <c r="AP19" s="111"/>
      <c r="AQ19" s="111"/>
      <c r="AR19" s="111"/>
      <c r="AS19" s="189" t="s">
        <v>1407</v>
      </c>
      <c r="AT19" s="176"/>
      <c r="AU19" s="176"/>
      <c r="AV19" s="176"/>
      <c r="AW19" s="176"/>
      <c r="AX19" s="176"/>
      <c r="AY19" s="176"/>
      <c r="AZ19" s="176"/>
      <c r="BA19" s="176"/>
      <c r="BB19" s="176"/>
      <c r="BC19" s="124"/>
      <c r="BD19" s="125"/>
      <c r="BE19" s="1" t="s">
        <v>1417</v>
      </c>
    </row>
    <row r="20" spans="1:57" s="1" customFormat="1" ht="14.4" customHeight="1">
      <c r="A20" s="131">
        <f>IF(B20="","",COUNTA($B$8:B20))</f>
        <v>13</v>
      </c>
      <c r="B20" s="8" t="s">
        <v>187</v>
      </c>
      <c r="C20" s="114"/>
      <c r="D20" s="114"/>
      <c r="E20" s="114"/>
      <c r="F20" s="114"/>
      <c r="G20" s="114"/>
      <c r="H20" s="134"/>
      <c r="I20" s="115" t="s">
        <v>188</v>
      </c>
      <c r="J20" s="116"/>
      <c r="K20" s="116"/>
      <c r="L20" s="116"/>
      <c r="M20" s="116"/>
      <c r="N20" s="116"/>
      <c r="O20" s="116"/>
      <c r="P20" s="116"/>
      <c r="Q20" s="133"/>
      <c r="R20" s="8" t="s">
        <v>187</v>
      </c>
      <c r="S20" s="116"/>
      <c r="T20" s="116"/>
      <c r="U20" s="116"/>
      <c r="V20" s="116"/>
      <c r="W20" s="116"/>
      <c r="X20" s="134"/>
      <c r="Y20" s="424" t="s">
        <v>155</v>
      </c>
      <c r="Z20" s="425"/>
      <c r="AA20" s="426" t="s">
        <v>156</v>
      </c>
      <c r="AB20" s="427"/>
      <c r="AC20" s="428"/>
      <c r="AD20" s="126">
        <v>3</v>
      </c>
      <c r="AE20" s="111"/>
      <c r="AF20" s="111"/>
      <c r="AG20" s="111"/>
      <c r="AH20" s="121"/>
      <c r="AI20" s="121"/>
      <c r="AJ20" s="121"/>
      <c r="AK20" s="121"/>
      <c r="AL20" s="121"/>
      <c r="AM20" s="121"/>
      <c r="AN20" s="121"/>
      <c r="AO20" s="122"/>
      <c r="AP20" s="122"/>
      <c r="AQ20" s="122"/>
      <c r="AR20" s="122"/>
      <c r="AS20" s="210"/>
      <c r="AT20" s="215"/>
      <c r="AU20" s="176"/>
      <c r="AV20" s="176"/>
      <c r="AW20" s="176"/>
      <c r="AX20" s="216"/>
      <c r="AY20" s="216"/>
      <c r="AZ20" s="216"/>
      <c r="BA20" s="216"/>
      <c r="BB20" s="216"/>
      <c r="BC20" s="157"/>
      <c r="BD20" s="158"/>
    </row>
    <row r="21" spans="1:57" s="1" customFormat="1" ht="14.4" customHeight="1">
      <c r="A21" s="286">
        <f>IF(B21="","",COUNTA($B$8:B21))</f>
        <v>14</v>
      </c>
      <c r="B21" s="287" t="s">
        <v>189</v>
      </c>
      <c r="C21" s="288"/>
      <c r="D21" s="288"/>
      <c r="E21" s="288"/>
      <c r="F21" s="288"/>
      <c r="G21" s="288"/>
      <c r="H21" s="289"/>
      <c r="I21" s="290" t="s">
        <v>190</v>
      </c>
      <c r="J21" s="291"/>
      <c r="K21" s="291"/>
      <c r="L21" s="291"/>
      <c r="M21" s="291"/>
      <c r="N21" s="291"/>
      <c r="O21" s="291"/>
      <c r="P21" s="291"/>
      <c r="Q21" s="292"/>
      <c r="R21" s="287" t="s">
        <v>189</v>
      </c>
      <c r="S21" s="291"/>
      <c r="T21" s="291"/>
      <c r="U21" s="291"/>
      <c r="V21" s="291"/>
      <c r="W21" s="291"/>
      <c r="X21" s="289"/>
      <c r="Y21" s="441" t="s">
        <v>155</v>
      </c>
      <c r="Z21" s="442"/>
      <c r="AA21" s="435" t="s">
        <v>156</v>
      </c>
      <c r="AB21" s="436"/>
      <c r="AC21" s="437"/>
      <c r="AD21" s="293">
        <v>3</v>
      </c>
      <c r="AE21" s="294"/>
      <c r="AF21" s="294"/>
      <c r="AG21" s="295"/>
      <c r="AH21" s="295">
        <v>0</v>
      </c>
      <c r="AI21" s="295"/>
      <c r="AJ21" s="295"/>
      <c r="AK21" s="295"/>
      <c r="AL21" s="295"/>
      <c r="AM21" s="295"/>
      <c r="AN21" s="295"/>
      <c r="AO21" s="294"/>
      <c r="AP21" s="294"/>
      <c r="AQ21" s="294"/>
      <c r="AR21" s="294"/>
      <c r="AS21" s="296" t="s">
        <v>191</v>
      </c>
      <c r="AT21" s="297"/>
      <c r="AU21" s="298"/>
      <c r="AV21" s="298"/>
      <c r="AW21" s="298"/>
      <c r="AX21" s="298"/>
      <c r="AY21" s="298"/>
      <c r="AZ21" s="298"/>
      <c r="BA21" s="298"/>
      <c r="BB21" s="298"/>
      <c r="BC21" s="299"/>
      <c r="BD21" s="300"/>
    </row>
    <row r="22" spans="1:57" s="1" customFormat="1" ht="14.4" customHeight="1">
      <c r="A22" s="301" t="str">
        <f>IF(B22="","",COUNTA($B$8:B22))</f>
        <v/>
      </c>
      <c r="B22" s="302"/>
      <c r="C22" s="303"/>
      <c r="D22" s="303"/>
      <c r="E22" s="303"/>
      <c r="F22" s="303"/>
      <c r="G22" s="303"/>
      <c r="H22" s="304"/>
      <c r="I22" s="305"/>
      <c r="J22" s="306"/>
      <c r="K22" s="306"/>
      <c r="L22" s="306"/>
      <c r="M22" s="306"/>
      <c r="N22" s="306"/>
      <c r="O22" s="306"/>
      <c r="P22" s="306"/>
      <c r="Q22" s="307"/>
      <c r="R22" s="302"/>
      <c r="S22" s="306"/>
      <c r="T22" s="306"/>
      <c r="U22" s="306"/>
      <c r="V22" s="306"/>
      <c r="W22" s="306"/>
      <c r="X22" s="304"/>
      <c r="Y22" s="443"/>
      <c r="Z22" s="444"/>
      <c r="AA22" s="438"/>
      <c r="AB22" s="439"/>
      <c r="AC22" s="440"/>
      <c r="AD22" s="308"/>
      <c r="AE22" s="309"/>
      <c r="AF22" s="309"/>
      <c r="AG22" s="310"/>
      <c r="AH22" s="310"/>
      <c r="AI22" s="310"/>
      <c r="AJ22" s="310"/>
      <c r="AK22" s="310"/>
      <c r="AL22" s="310"/>
      <c r="AM22" s="310"/>
      <c r="AN22" s="310"/>
      <c r="AO22" s="309"/>
      <c r="AP22" s="309"/>
      <c r="AQ22" s="309"/>
      <c r="AR22" s="309"/>
      <c r="AS22" s="311" t="s">
        <v>192</v>
      </c>
      <c r="AT22" s="312"/>
      <c r="AU22" s="313"/>
      <c r="AV22" s="313"/>
      <c r="AW22" s="313"/>
      <c r="AX22" s="313"/>
      <c r="AY22" s="313"/>
      <c r="AZ22" s="313"/>
      <c r="BA22" s="313"/>
      <c r="BB22" s="313"/>
      <c r="BC22" s="314"/>
      <c r="BD22" s="315"/>
    </row>
    <row r="23" spans="1:57" s="1" customFormat="1" ht="14.4" customHeight="1">
      <c r="A23" s="131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15" t="s">
        <v>194</v>
      </c>
      <c r="J23" s="116"/>
      <c r="K23" s="116"/>
      <c r="L23" s="116"/>
      <c r="M23" s="116"/>
      <c r="N23" s="116"/>
      <c r="O23" s="116"/>
      <c r="P23" s="116"/>
      <c r="Q23" s="133"/>
      <c r="R23" s="64" t="s">
        <v>193</v>
      </c>
      <c r="S23" s="116"/>
      <c r="T23" s="116"/>
      <c r="U23" s="116"/>
      <c r="V23" s="116"/>
      <c r="W23" s="116"/>
      <c r="X23" s="134"/>
      <c r="Y23" s="424" t="s">
        <v>150</v>
      </c>
      <c r="Z23" s="425"/>
      <c r="AA23" s="426" t="s">
        <v>151</v>
      </c>
      <c r="AB23" s="427"/>
      <c r="AC23" s="428"/>
      <c r="AD23" s="126">
        <v>25</v>
      </c>
      <c r="AE23" s="111"/>
      <c r="AF23" s="111"/>
      <c r="AG23" s="111"/>
      <c r="AH23" s="120"/>
      <c r="AI23" s="120"/>
      <c r="AJ23" s="120"/>
      <c r="AK23" s="120"/>
      <c r="AL23" s="120"/>
      <c r="AM23" s="120"/>
      <c r="AN23" s="120"/>
      <c r="AO23" s="111"/>
      <c r="AP23" s="111"/>
      <c r="AQ23" s="111"/>
      <c r="AR23" s="111"/>
      <c r="AS23" s="189" t="s">
        <v>1408</v>
      </c>
      <c r="AT23" s="216"/>
      <c r="AU23" s="216"/>
      <c r="AV23" s="216"/>
      <c r="AW23" s="216"/>
      <c r="AX23" s="216"/>
      <c r="AY23" s="216"/>
      <c r="AZ23" s="216"/>
      <c r="BA23" s="216"/>
      <c r="BB23" s="216"/>
      <c r="BC23" s="157"/>
      <c r="BD23" s="158"/>
      <c r="BE23" s="1" t="s">
        <v>1417</v>
      </c>
    </row>
    <row r="24" spans="1:57" s="1" customFormat="1" ht="14.4" customHeight="1">
      <c r="A24" s="131">
        <f>IF(B24="","",COUNTA($B$8:B24))</f>
        <v>16</v>
      </c>
      <c r="B24" s="8" t="s">
        <v>195</v>
      </c>
      <c r="C24" s="114"/>
      <c r="D24" s="114"/>
      <c r="E24" s="114"/>
      <c r="F24" s="114"/>
      <c r="G24" s="114"/>
      <c r="H24" s="134"/>
      <c r="I24" s="115" t="s">
        <v>196</v>
      </c>
      <c r="J24" s="116"/>
      <c r="K24" s="116"/>
      <c r="L24" s="116"/>
      <c r="M24" s="116"/>
      <c r="N24" s="116"/>
      <c r="O24" s="116"/>
      <c r="P24" s="116"/>
      <c r="Q24" s="133"/>
      <c r="R24" s="8" t="s">
        <v>195</v>
      </c>
      <c r="S24" s="116"/>
      <c r="T24" s="116"/>
      <c r="U24" s="116"/>
      <c r="V24" s="116"/>
      <c r="W24" s="116"/>
      <c r="X24" s="134"/>
      <c r="Y24" s="424" t="s">
        <v>150</v>
      </c>
      <c r="Z24" s="425"/>
      <c r="AA24" s="426" t="s">
        <v>151</v>
      </c>
      <c r="AB24" s="427"/>
      <c r="AC24" s="428"/>
      <c r="AD24" s="264">
        <v>400</v>
      </c>
      <c r="AE24" s="193"/>
      <c r="AF24" s="193"/>
      <c r="AG24" s="194"/>
      <c r="AH24" s="194"/>
      <c r="AI24" s="194"/>
      <c r="AJ24" s="194"/>
      <c r="AK24" s="194"/>
      <c r="AL24" s="194"/>
      <c r="AM24" s="194"/>
      <c r="AN24" s="194"/>
      <c r="AO24" s="193"/>
      <c r="AP24" s="193"/>
      <c r="AQ24" s="193"/>
      <c r="AR24" s="193"/>
      <c r="AS24" s="189" t="s">
        <v>1512</v>
      </c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  <c r="BE24" s="1" t="s">
        <v>1511</v>
      </c>
    </row>
    <row r="25" spans="1:57" s="1" customFormat="1" ht="14.4" customHeight="1">
      <c r="A25" s="131">
        <f>IF(B25="","",COUNTA($B$8:B25))</f>
        <v>17</v>
      </c>
      <c r="B25" s="8" t="s">
        <v>197</v>
      </c>
      <c r="C25" s="114"/>
      <c r="D25" s="114"/>
      <c r="E25" s="114"/>
      <c r="F25" s="114"/>
      <c r="G25" s="114"/>
      <c r="H25" s="134"/>
      <c r="I25" s="115" t="s">
        <v>198</v>
      </c>
      <c r="J25" s="116"/>
      <c r="K25" s="116"/>
      <c r="L25" s="116"/>
      <c r="M25" s="116"/>
      <c r="N25" s="116"/>
      <c r="O25" s="116"/>
      <c r="P25" s="116"/>
      <c r="Q25" s="133"/>
      <c r="R25" s="8" t="s">
        <v>197</v>
      </c>
      <c r="S25" s="116"/>
      <c r="T25" s="116"/>
      <c r="U25" s="116"/>
      <c r="V25" s="116"/>
      <c r="W25" s="116"/>
      <c r="X25" s="134"/>
      <c r="Y25" s="424" t="s">
        <v>150</v>
      </c>
      <c r="Z25" s="425"/>
      <c r="AA25" s="426" t="s">
        <v>151</v>
      </c>
      <c r="AB25" s="427"/>
      <c r="AC25" s="428"/>
      <c r="AD25" s="126">
        <v>25</v>
      </c>
      <c r="AE25" s="111"/>
      <c r="AF25" s="111"/>
      <c r="AG25" s="111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89" t="s">
        <v>1408</v>
      </c>
      <c r="AT25" s="176"/>
      <c r="AU25" s="176"/>
      <c r="AV25" s="176"/>
      <c r="AW25" s="176"/>
      <c r="AX25" s="176"/>
      <c r="AY25" s="176"/>
      <c r="AZ25" s="176"/>
      <c r="BA25" s="176"/>
      <c r="BB25" s="176"/>
      <c r="BC25" s="124"/>
      <c r="BD25" s="125"/>
      <c r="BE25" s="1" t="s">
        <v>1417</v>
      </c>
    </row>
    <row r="26" spans="1:57" s="1" customFormat="1" ht="14.4" customHeight="1">
      <c r="A26" s="131">
        <f>IF(B26="","",COUNTA($B$8:B26))</f>
        <v>18</v>
      </c>
      <c r="B26" s="8" t="s">
        <v>199</v>
      </c>
      <c r="C26" s="114"/>
      <c r="D26" s="114"/>
      <c r="E26" s="114"/>
      <c r="F26" s="114"/>
      <c r="G26" s="114"/>
      <c r="H26" s="134"/>
      <c r="I26" s="115" t="s">
        <v>200</v>
      </c>
      <c r="J26" s="116"/>
      <c r="K26" s="116"/>
      <c r="L26" s="116"/>
      <c r="M26" s="116"/>
      <c r="N26" s="116"/>
      <c r="O26" s="116"/>
      <c r="P26" s="116"/>
      <c r="Q26" s="133"/>
      <c r="R26" s="8" t="s">
        <v>199</v>
      </c>
      <c r="S26" s="116"/>
      <c r="T26" s="116"/>
      <c r="U26" s="116"/>
      <c r="V26" s="116"/>
      <c r="W26" s="116"/>
      <c r="X26" s="134"/>
      <c r="Y26" s="424" t="s">
        <v>150</v>
      </c>
      <c r="Z26" s="425"/>
      <c r="AA26" s="426" t="s">
        <v>151</v>
      </c>
      <c r="AB26" s="427"/>
      <c r="AC26" s="428"/>
      <c r="AD26" s="126">
        <v>100</v>
      </c>
      <c r="AE26" s="111"/>
      <c r="AF26" s="111"/>
      <c r="AG26" s="111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89" t="s">
        <v>1410</v>
      </c>
      <c r="AT26" s="176"/>
      <c r="AU26" s="176"/>
      <c r="AV26" s="176"/>
      <c r="AW26" s="176"/>
      <c r="AX26" s="176"/>
      <c r="AY26" s="176"/>
      <c r="AZ26" s="176"/>
      <c r="BA26" s="176"/>
      <c r="BB26" s="176"/>
      <c r="BC26" s="124"/>
      <c r="BD26" s="125"/>
      <c r="BE26" s="1" t="s">
        <v>1417</v>
      </c>
    </row>
    <row r="27" spans="1:57" s="1" customFormat="1" ht="14.4" customHeight="1">
      <c r="A27" s="131">
        <f>IF(B27="","",COUNTA($B$8:B27))</f>
        <v>19</v>
      </c>
      <c r="B27" s="8" t="s">
        <v>201</v>
      </c>
      <c r="C27" s="114"/>
      <c r="D27" s="114"/>
      <c r="E27" s="114"/>
      <c r="F27" s="114"/>
      <c r="G27" s="114"/>
      <c r="H27" s="134"/>
      <c r="I27" s="115" t="s">
        <v>202</v>
      </c>
      <c r="J27" s="116"/>
      <c r="K27" s="116"/>
      <c r="L27" s="116"/>
      <c r="M27" s="116"/>
      <c r="N27" s="116"/>
      <c r="O27" s="116"/>
      <c r="P27" s="116"/>
      <c r="Q27" s="133"/>
      <c r="R27" s="8" t="s">
        <v>201</v>
      </c>
      <c r="S27" s="116"/>
      <c r="T27" s="116"/>
      <c r="U27" s="116"/>
      <c r="V27" s="116"/>
      <c r="W27" s="116"/>
      <c r="X27" s="134"/>
      <c r="Y27" s="424" t="s">
        <v>150</v>
      </c>
      <c r="Z27" s="425"/>
      <c r="AA27" s="426" t="s">
        <v>151</v>
      </c>
      <c r="AB27" s="427"/>
      <c r="AC27" s="428"/>
      <c r="AD27" s="126">
        <v>30</v>
      </c>
      <c r="AE27" s="111"/>
      <c r="AF27" s="111"/>
      <c r="AG27" s="111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89"/>
      <c r="AT27" s="176"/>
      <c r="AU27" s="176"/>
      <c r="AV27" s="176"/>
      <c r="AW27" s="176"/>
      <c r="AX27" s="176"/>
      <c r="AY27" s="176"/>
      <c r="AZ27" s="176"/>
      <c r="BA27" s="176"/>
      <c r="BB27" s="176"/>
      <c r="BC27" s="124"/>
      <c r="BD27" s="125"/>
    </row>
    <row r="28" spans="1:57" s="1" customFormat="1" ht="14.4" customHeight="1">
      <c r="A28" s="131">
        <f>IF(B28="","",COUNTA($B$8:B28))</f>
        <v>20</v>
      </c>
      <c r="B28" s="132" t="s">
        <v>203</v>
      </c>
      <c r="C28" s="114"/>
      <c r="D28" s="114"/>
      <c r="E28" s="114"/>
      <c r="F28" s="114"/>
      <c r="G28" s="114"/>
      <c r="H28" s="134"/>
      <c r="I28" s="115" t="s">
        <v>204</v>
      </c>
      <c r="J28" s="116"/>
      <c r="K28" s="116"/>
      <c r="L28" s="116"/>
      <c r="M28" s="116"/>
      <c r="N28" s="116"/>
      <c r="O28" s="116"/>
      <c r="P28" s="116"/>
      <c r="Q28" s="133"/>
      <c r="R28" s="132" t="s">
        <v>203</v>
      </c>
      <c r="S28" s="116"/>
      <c r="T28" s="116"/>
      <c r="U28" s="116"/>
      <c r="V28" s="116"/>
      <c r="W28" s="116"/>
      <c r="X28" s="134"/>
      <c r="Y28" s="424" t="s">
        <v>155</v>
      </c>
      <c r="Z28" s="425"/>
      <c r="AA28" s="426" t="s">
        <v>156</v>
      </c>
      <c r="AB28" s="427"/>
      <c r="AC28" s="428"/>
      <c r="AD28" s="126">
        <v>5</v>
      </c>
      <c r="AE28" s="111">
        <v>2</v>
      </c>
      <c r="AF28" s="111"/>
      <c r="AG28" s="111"/>
      <c r="AH28" s="120"/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89"/>
      <c r="AT28" s="176"/>
      <c r="AU28" s="176"/>
      <c r="AV28" s="176"/>
      <c r="AW28" s="176"/>
      <c r="AX28" s="176"/>
      <c r="AY28" s="176"/>
      <c r="AZ28" s="176"/>
      <c r="BA28" s="176"/>
      <c r="BB28" s="176"/>
      <c r="BC28" s="124"/>
      <c r="BD28" s="125"/>
    </row>
    <row r="29" spans="1:57" s="1" customFormat="1" ht="14.4" customHeight="1">
      <c r="A29" s="131">
        <f>IF(B29="","",COUNTA($B$8:B29))</f>
        <v>21</v>
      </c>
      <c r="B29" s="132" t="s">
        <v>205</v>
      </c>
      <c r="C29" s="2"/>
      <c r="D29" s="2"/>
      <c r="E29" s="2"/>
      <c r="F29" s="2"/>
      <c r="G29" s="2"/>
      <c r="H29" s="3"/>
      <c r="I29" s="115" t="s">
        <v>206</v>
      </c>
      <c r="J29" s="116"/>
      <c r="K29" s="116"/>
      <c r="L29" s="116"/>
      <c r="M29" s="116"/>
      <c r="N29" s="116"/>
      <c r="O29" s="116"/>
      <c r="P29" s="116"/>
      <c r="Q29" s="133"/>
      <c r="R29" s="132" t="s">
        <v>207</v>
      </c>
      <c r="S29" s="116"/>
      <c r="T29" s="116"/>
      <c r="U29" s="116"/>
      <c r="V29" s="116"/>
      <c r="W29" s="116"/>
      <c r="X29" s="134"/>
      <c r="Y29" s="424" t="s">
        <v>155</v>
      </c>
      <c r="Z29" s="425"/>
      <c r="AA29" s="426" t="s">
        <v>156</v>
      </c>
      <c r="AB29" s="427"/>
      <c r="AC29" s="428"/>
      <c r="AD29" s="126">
        <v>4</v>
      </c>
      <c r="AE29" s="111"/>
      <c r="AF29" s="111"/>
      <c r="AG29" s="111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89"/>
      <c r="AT29" s="176"/>
      <c r="AU29" s="176"/>
      <c r="AV29" s="176"/>
      <c r="AW29" s="176"/>
      <c r="AX29" s="176"/>
      <c r="AY29" s="176"/>
      <c r="AZ29" s="176"/>
      <c r="BA29" s="176"/>
      <c r="BB29" s="176"/>
      <c r="BC29" s="124"/>
      <c r="BD29" s="125"/>
    </row>
    <row r="30" spans="1:57" s="1" customFormat="1" ht="14.4" customHeight="1">
      <c r="A30" s="131">
        <f>IF(B30="","",COUNTA($B$8:B30))</f>
        <v>22</v>
      </c>
      <c r="B30" s="132" t="s">
        <v>208</v>
      </c>
      <c r="C30" s="2"/>
      <c r="D30" s="2"/>
      <c r="E30" s="2"/>
      <c r="F30" s="2"/>
      <c r="G30" s="2"/>
      <c r="H30" s="3"/>
      <c r="I30" s="115" t="s">
        <v>209</v>
      </c>
      <c r="J30" s="116"/>
      <c r="K30" s="116"/>
      <c r="L30" s="116"/>
      <c r="M30" s="116"/>
      <c r="N30" s="116"/>
      <c r="O30" s="116"/>
      <c r="P30" s="116"/>
      <c r="Q30" s="133"/>
      <c r="R30" s="132" t="s">
        <v>210</v>
      </c>
      <c r="S30" s="116"/>
      <c r="T30" s="116"/>
      <c r="U30" s="116"/>
      <c r="V30" s="116"/>
      <c r="W30" s="116"/>
      <c r="X30" s="134"/>
      <c r="Y30" s="424" t="s">
        <v>155</v>
      </c>
      <c r="Z30" s="425"/>
      <c r="AA30" s="426" t="s">
        <v>156</v>
      </c>
      <c r="AB30" s="427"/>
      <c r="AC30" s="428"/>
      <c r="AD30" s="126">
        <v>5</v>
      </c>
      <c r="AE30" s="111"/>
      <c r="AF30" s="111"/>
      <c r="AG30" s="111"/>
      <c r="AH30" s="120"/>
      <c r="AI30" s="120"/>
      <c r="AJ30" s="120"/>
      <c r="AK30" s="120"/>
      <c r="AL30" s="120"/>
      <c r="AM30" s="120"/>
      <c r="AN30" s="120"/>
      <c r="AO30" s="111"/>
      <c r="AP30" s="111"/>
      <c r="AQ30" s="111"/>
      <c r="AR30" s="111"/>
      <c r="AS30" s="118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ht="14.4" customHeight="1">
      <c r="A31" s="131">
        <f>IF(B31="","",COUNTA($B$8:B31))</f>
        <v>23</v>
      </c>
      <c r="B31" s="132" t="s">
        <v>211</v>
      </c>
      <c r="C31" s="114"/>
      <c r="D31" s="114"/>
      <c r="E31" s="114"/>
      <c r="F31" s="114"/>
      <c r="G31" s="114"/>
      <c r="H31" s="134"/>
      <c r="I31" s="115" t="s">
        <v>212</v>
      </c>
      <c r="J31" s="116"/>
      <c r="K31" s="116"/>
      <c r="L31" s="116"/>
      <c r="M31" s="116"/>
      <c r="N31" s="116"/>
      <c r="O31" s="116"/>
      <c r="P31" s="116"/>
      <c r="Q31" s="133"/>
      <c r="R31" s="132" t="s">
        <v>213</v>
      </c>
      <c r="S31" s="116"/>
      <c r="T31" s="116"/>
      <c r="U31" s="116"/>
      <c r="V31" s="116"/>
      <c r="W31" s="116"/>
      <c r="X31" s="134"/>
      <c r="Y31" s="424" t="s">
        <v>155</v>
      </c>
      <c r="Z31" s="425"/>
      <c r="AA31" s="426" t="s">
        <v>156</v>
      </c>
      <c r="AB31" s="427"/>
      <c r="AC31" s="428"/>
      <c r="AD31" s="126">
        <v>5</v>
      </c>
      <c r="AE31" s="111"/>
      <c r="AF31" s="111"/>
      <c r="AG31" s="111"/>
      <c r="AH31" s="120"/>
      <c r="AI31" s="120"/>
      <c r="AJ31" s="120"/>
      <c r="AK31" s="120"/>
      <c r="AL31" s="120"/>
      <c r="AM31" s="120"/>
      <c r="AN31" s="120"/>
      <c r="AO31" s="111"/>
      <c r="AP31" s="111"/>
      <c r="AQ31" s="111"/>
      <c r="AR31" s="111"/>
      <c r="AS31" s="118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ht="14.4" customHeight="1">
      <c r="A32" s="131">
        <f>IF(B32="","",COUNTA($B$8:B32))</f>
        <v>24</v>
      </c>
      <c r="B32" s="132" t="s">
        <v>214</v>
      </c>
      <c r="C32" s="114"/>
      <c r="D32" s="114"/>
      <c r="E32" s="114"/>
      <c r="F32" s="114"/>
      <c r="G32" s="114"/>
      <c r="H32" s="134"/>
      <c r="I32" s="115" t="s">
        <v>215</v>
      </c>
      <c r="J32" s="116"/>
      <c r="K32" s="116"/>
      <c r="L32" s="116"/>
      <c r="M32" s="116"/>
      <c r="N32" s="116"/>
      <c r="O32" s="116"/>
      <c r="P32" s="116"/>
      <c r="Q32" s="133"/>
      <c r="R32" s="132" t="s">
        <v>216</v>
      </c>
      <c r="S32" s="116"/>
      <c r="T32" s="116"/>
      <c r="U32" s="116"/>
      <c r="V32" s="116"/>
      <c r="W32" s="116"/>
      <c r="X32" s="134"/>
      <c r="Y32" s="424" t="s">
        <v>155</v>
      </c>
      <c r="Z32" s="425"/>
      <c r="AA32" s="426" t="s">
        <v>156</v>
      </c>
      <c r="AB32" s="427"/>
      <c r="AC32" s="428"/>
      <c r="AD32" s="126">
        <v>5</v>
      </c>
      <c r="AE32" s="111"/>
      <c r="AF32" s="111"/>
      <c r="AG32" s="111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 ht="14.4" customHeight="1">
      <c r="A33" s="131">
        <f>IF(B33="","",COUNTA($B$8:B33))</f>
        <v>25</v>
      </c>
      <c r="B33" s="132" t="s">
        <v>217</v>
      </c>
      <c r="C33" s="114"/>
      <c r="D33" s="114"/>
      <c r="E33" s="114"/>
      <c r="F33" s="114"/>
      <c r="G33" s="114"/>
      <c r="H33" s="134"/>
      <c r="I33" s="115" t="s">
        <v>218</v>
      </c>
      <c r="J33" s="116"/>
      <c r="K33" s="116"/>
      <c r="L33" s="116"/>
      <c r="M33" s="116"/>
      <c r="N33" s="116"/>
      <c r="O33" s="116"/>
      <c r="P33" s="116"/>
      <c r="Q33" s="133"/>
      <c r="R33" s="132" t="s">
        <v>219</v>
      </c>
      <c r="S33" s="116"/>
      <c r="T33" s="116"/>
      <c r="U33" s="116"/>
      <c r="V33" s="116"/>
      <c r="W33" s="116"/>
      <c r="X33" s="134"/>
      <c r="Y33" s="424" t="s">
        <v>155</v>
      </c>
      <c r="Z33" s="425"/>
      <c r="AA33" s="426" t="s">
        <v>156</v>
      </c>
      <c r="AB33" s="427"/>
      <c r="AC33" s="428"/>
      <c r="AD33" s="166">
        <v>5</v>
      </c>
      <c r="AE33" s="111"/>
      <c r="AF33" s="111"/>
      <c r="AG33" s="111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 ht="14.4" customHeight="1">
      <c r="A34" s="131">
        <f>IF(B34="","",COUNTA($B$8:B34))</f>
        <v>26</v>
      </c>
      <c r="B34" s="8" t="s">
        <v>266</v>
      </c>
      <c r="C34" s="114"/>
      <c r="D34" s="114"/>
      <c r="E34" s="114"/>
      <c r="F34" s="114"/>
      <c r="G34" s="114"/>
      <c r="H34" s="134"/>
      <c r="I34" s="115" t="s">
        <v>267</v>
      </c>
      <c r="J34" s="116"/>
      <c r="K34" s="116"/>
      <c r="L34" s="116"/>
      <c r="M34" s="116"/>
      <c r="N34" s="116"/>
      <c r="O34" s="116"/>
      <c r="P34" s="116"/>
      <c r="Q34" s="133"/>
      <c r="R34" s="8" t="s">
        <v>266</v>
      </c>
      <c r="S34" s="116"/>
      <c r="T34" s="116"/>
      <c r="U34" s="116"/>
      <c r="V34" s="116"/>
      <c r="W34" s="116"/>
      <c r="X34" s="133"/>
      <c r="Y34" s="424" t="s">
        <v>155</v>
      </c>
      <c r="Z34" s="425"/>
      <c r="AA34" s="426" t="s">
        <v>156</v>
      </c>
      <c r="AB34" s="427"/>
      <c r="AC34" s="428"/>
      <c r="AD34" s="159">
        <v>5</v>
      </c>
      <c r="AE34" s="111"/>
      <c r="AF34" s="111"/>
      <c r="AG34" s="111"/>
      <c r="AH34" s="120"/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 ht="14.4" customHeight="1">
      <c r="A35" s="131">
        <f>IF(B35="","",COUNTA($B$8:B35))</f>
        <v>27</v>
      </c>
      <c r="B35" s="8" t="s">
        <v>276</v>
      </c>
      <c r="C35" s="114"/>
      <c r="D35" s="114"/>
      <c r="E35" s="114"/>
      <c r="F35" s="114"/>
      <c r="G35" s="114"/>
      <c r="H35" s="134"/>
      <c r="I35" s="115" t="s">
        <v>277</v>
      </c>
      <c r="J35" s="116"/>
      <c r="K35" s="116"/>
      <c r="L35" s="116"/>
      <c r="M35" s="116"/>
      <c r="N35" s="116"/>
      <c r="O35" s="116"/>
      <c r="P35" s="116"/>
      <c r="Q35" s="133"/>
      <c r="R35" s="8" t="s">
        <v>276</v>
      </c>
      <c r="S35" s="116"/>
      <c r="T35" s="116"/>
      <c r="U35" s="116"/>
      <c r="V35" s="116"/>
      <c r="W35" s="116"/>
      <c r="X35" s="134"/>
      <c r="Y35" s="424" t="s">
        <v>150</v>
      </c>
      <c r="Z35" s="425"/>
      <c r="AA35" s="426" t="s">
        <v>151</v>
      </c>
      <c r="AB35" s="427"/>
      <c r="AC35" s="428"/>
      <c r="AD35" s="126">
        <v>4</v>
      </c>
      <c r="AE35" s="111"/>
      <c r="AF35" s="111"/>
      <c r="AG35" s="111"/>
      <c r="AH35" s="120"/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ht="14.4" customHeight="1">
      <c r="A36" s="131">
        <f>IF(B36="","",COUNTA($B$8:B36))</f>
        <v>28</v>
      </c>
      <c r="B36" s="8" t="s">
        <v>226</v>
      </c>
      <c r="C36" s="114"/>
      <c r="D36" s="114"/>
      <c r="E36" s="114"/>
      <c r="F36" s="114"/>
      <c r="G36" s="114"/>
      <c r="H36" s="134"/>
      <c r="I36" s="115" t="s">
        <v>227</v>
      </c>
      <c r="J36" s="116"/>
      <c r="K36" s="116"/>
      <c r="L36" s="116"/>
      <c r="M36" s="116"/>
      <c r="N36" s="116"/>
      <c r="O36" s="116"/>
      <c r="P36" s="116"/>
      <c r="Q36" s="133"/>
      <c r="R36" s="8" t="s">
        <v>226</v>
      </c>
      <c r="S36" s="116"/>
      <c r="T36" s="116"/>
      <c r="U36" s="116"/>
      <c r="V36" s="116"/>
      <c r="W36" s="116"/>
      <c r="X36" s="134"/>
      <c r="Y36" s="424" t="s">
        <v>150</v>
      </c>
      <c r="Z36" s="425"/>
      <c r="AA36" s="426" t="s">
        <v>151</v>
      </c>
      <c r="AB36" s="427"/>
      <c r="AC36" s="428"/>
      <c r="AD36" s="126">
        <v>3</v>
      </c>
      <c r="AE36" s="111"/>
      <c r="AF36" s="111"/>
      <c r="AG36" s="111"/>
      <c r="AH36" s="120"/>
      <c r="AI36" s="120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ht="14.4" customHeight="1">
      <c r="A37" s="131">
        <f>IF(B37="","",COUNTA($B$8:B37))</f>
        <v>29</v>
      </c>
      <c r="B37" s="8" t="s">
        <v>228</v>
      </c>
      <c r="C37" s="114"/>
      <c r="D37" s="114"/>
      <c r="E37" s="114"/>
      <c r="F37" s="114"/>
      <c r="G37" s="114"/>
      <c r="H37" s="134"/>
      <c r="I37" s="115" t="s">
        <v>229</v>
      </c>
      <c r="J37" s="116"/>
      <c r="K37" s="116"/>
      <c r="L37" s="116"/>
      <c r="M37" s="116"/>
      <c r="N37" s="116"/>
      <c r="O37" s="116"/>
      <c r="P37" s="116"/>
      <c r="Q37" s="133"/>
      <c r="R37" s="8" t="s">
        <v>228</v>
      </c>
      <c r="S37" s="116"/>
      <c r="T37" s="116"/>
      <c r="U37" s="116"/>
      <c r="V37" s="116"/>
      <c r="W37" s="116"/>
      <c r="X37" s="134"/>
      <c r="Y37" s="424" t="s">
        <v>150</v>
      </c>
      <c r="Z37" s="425"/>
      <c r="AA37" s="426" t="s">
        <v>151</v>
      </c>
      <c r="AB37" s="427"/>
      <c r="AC37" s="428"/>
      <c r="AD37" s="126">
        <v>1000</v>
      </c>
      <c r="AE37" s="111"/>
      <c r="AF37" s="111"/>
      <c r="AG37" s="111"/>
      <c r="AH37" s="120"/>
      <c r="AI37" s="120"/>
      <c r="AJ37" s="120"/>
      <c r="AK37" s="120"/>
      <c r="AL37" s="120"/>
      <c r="AM37" s="120"/>
      <c r="AN37" s="120"/>
      <c r="AO37" s="111"/>
      <c r="AP37" s="111"/>
      <c r="AQ37" s="111"/>
      <c r="AR37" s="111"/>
      <c r="AS37" s="118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ht="14.4" customHeight="1">
      <c r="A38" s="131">
        <f>IF(B38="","",COUNTA($B$8:B38))</f>
        <v>30</v>
      </c>
      <c r="B38" s="8" t="s">
        <v>230</v>
      </c>
      <c r="C38" s="114"/>
      <c r="D38" s="114"/>
      <c r="E38" s="114"/>
      <c r="F38" s="114"/>
      <c r="G38" s="114"/>
      <c r="H38" s="134"/>
      <c r="I38" s="115" t="s">
        <v>231</v>
      </c>
      <c r="J38" s="116"/>
      <c r="K38" s="116"/>
      <c r="L38" s="116"/>
      <c r="M38" s="116"/>
      <c r="N38" s="116"/>
      <c r="O38" s="116"/>
      <c r="P38" s="116"/>
      <c r="Q38" s="133"/>
      <c r="R38" s="8" t="s">
        <v>230</v>
      </c>
      <c r="S38" s="116"/>
      <c r="T38" s="116"/>
      <c r="U38" s="116"/>
      <c r="V38" s="116"/>
      <c r="W38" s="116"/>
      <c r="X38" s="134"/>
      <c r="Y38" s="424" t="s">
        <v>169</v>
      </c>
      <c r="Z38" s="425"/>
      <c r="AA38" s="426" t="s">
        <v>170</v>
      </c>
      <c r="AB38" s="427"/>
      <c r="AC38" s="428"/>
      <c r="AD38" s="126"/>
      <c r="AE38" s="111"/>
      <c r="AF38" s="111"/>
      <c r="AG38" s="111"/>
      <c r="AH38" s="120"/>
      <c r="AI38" s="120"/>
      <c r="AJ38" s="120"/>
      <c r="AK38" s="120"/>
      <c r="AL38" s="120"/>
      <c r="AM38" s="120"/>
      <c r="AN38" s="120"/>
      <c r="AO38" s="111"/>
      <c r="AP38" s="111"/>
      <c r="AQ38" s="111"/>
      <c r="AR38" s="111"/>
      <c r="AS38" s="118" t="s">
        <v>232</v>
      </c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ht="14.4" customHeight="1">
      <c r="A39" s="131">
        <f>IF(B39="","",COUNTA($B$8:B39))</f>
        <v>31</v>
      </c>
      <c r="B39" s="8" t="s">
        <v>233</v>
      </c>
      <c r="C39" s="114"/>
      <c r="D39" s="114"/>
      <c r="E39" s="114"/>
      <c r="F39" s="114"/>
      <c r="G39" s="114"/>
      <c r="H39" s="134"/>
      <c r="I39" s="115" t="s">
        <v>234</v>
      </c>
      <c r="J39" s="116"/>
      <c r="K39" s="116"/>
      <c r="L39" s="116"/>
      <c r="M39" s="116"/>
      <c r="N39" s="116"/>
      <c r="O39" s="116"/>
      <c r="P39" s="116"/>
      <c r="Q39" s="133"/>
      <c r="R39" s="8" t="s">
        <v>233</v>
      </c>
      <c r="S39" s="116"/>
      <c r="T39" s="116"/>
      <c r="U39" s="116"/>
      <c r="V39" s="116"/>
      <c r="W39" s="116"/>
      <c r="X39" s="134"/>
      <c r="Y39" s="424" t="s">
        <v>155</v>
      </c>
      <c r="Z39" s="425"/>
      <c r="AA39" s="426" t="s">
        <v>156</v>
      </c>
      <c r="AB39" s="427"/>
      <c r="AC39" s="428"/>
      <c r="AD39" s="126">
        <v>1</v>
      </c>
      <c r="AE39" s="111"/>
      <c r="AF39" s="111"/>
      <c r="AG39" s="111"/>
      <c r="AH39" s="120">
        <v>0</v>
      </c>
      <c r="AI39" s="120"/>
      <c r="AJ39" s="120"/>
      <c r="AK39" s="120"/>
      <c r="AL39" s="120"/>
      <c r="AM39" s="120"/>
      <c r="AN39" s="120"/>
      <c r="AO39" s="111"/>
      <c r="AP39" s="111"/>
      <c r="AQ39" s="111"/>
      <c r="AR39" s="111"/>
      <c r="AS39" s="118"/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s="1" customFormat="1" ht="14.4" customHeight="1">
      <c r="A40" s="131">
        <f>IF(B40="","",COUNTA($B$8:B40))</f>
        <v>32</v>
      </c>
      <c r="B40" s="8" t="s">
        <v>236</v>
      </c>
      <c r="C40" s="114"/>
      <c r="D40" s="114"/>
      <c r="E40" s="114"/>
      <c r="F40" s="114"/>
      <c r="G40" s="114"/>
      <c r="H40" s="134"/>
      <c r="I40" s="115" t="s">
        <v>237</v>
      </c>
      <c r="J40" s="116"/>
      <c r="K40" s="116"/>
      <c r="L40" s="116"/>
      <c r="M40" s="116"/>
      <c r="N40" s="116"/>
      <c r="O40" s="116"/>
      <c r="P40" s="116"/>
      <c r="Q40" s="133"/>
      <c r="R40" s="8" t="s">
        <v>236</v>
      </c>
      <c r="S40" s="116"/>
      <c r="T40" s="116"/>
      <c r="U40" s="116"/>
      <c r="V40" s="116"/>
      <c r="W40" s="116"/>
      <c r="X40" s="134"/>
      <c r="Y40" s="424" t="s">
        <v>155</v>
      </c>
      <c r="Z40" s="425"/>
      <c r="AA40" s="426" t="s">
        <v>156</v>
      </c>
      <c r="AB40" s="427"/>
      <c r="AC40" s="428"/>
      <c r="AD40" s="126">
        <v>1</v>
      </c>
      <c r="AE40" s="111"/>
      <c r="AF40" s="111"/>
      <c r="AG40" s="111"/>
      <c r="AH40" s="120">
        <v>0</v>
      </c>
      <c r="AI40" s="120"/>
      <c r="AJ40" s="120"/>
      <c r="AK40" s="120"/>
      <c r="AL40" s="120"/>
      <c r="AM40" s="120"/>
      <c r="AN40" s="120"/>
      <c r="AO40" s="111"/>
      <c r="AP40" s="111"/>
      <c r="AQ40" s="111"/>
      <c r="AR40" s="111"/>
      <c r="AS40" s="118" t="s">
        <v>238</v>
      </c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6" s="1" customFormat="1" ht="14.4" customHeight="1">
      <c r="A41" s="131">
        <f>IF(B41="","",COUNTA($B$8:B41))</f>
        <v>33</v>
      </c>
      <c r="B41" s="8" t="s">
        <v>239</v>
      </c>
      <c r="C41" s="114"/>
      <c r="D41" s="114"/>
      <c r="E41" s="114"/>
      <c r="F41" s="114"/>
      <c r="G41" s="114"/>
      <c r="H41" s="134"/>
      <c r="I41" s="115" t="s">
        <v>240</v>
      </c>
      <c r="J41" s="116"/>
      <c r="K41" s="116"/>
      <c r="L41" s="116"/>
      <c r="M41" s="116"/>
      <c r="N41" s="116"/>
      <c r="O41" s="116"/>
      <c r="P41" s="116"/>
      <c r="Q41" s="133"/>
      <c r="R41" s="8" t="s">
        <v>239</v>
      </c>
      <c r="S41" s="116"/>
      <c r="T41" s="116"/>
      <c r="U41" s="116"/>
      <c r="V41" s="116"/>
      <c r="W41" s="116"/>
      <c r="X41" s="134"/>
      <c r="Y41" s="424" t="s">
        <v>169</v>
      </c>
      <c r="Z41" s="425"/>
      <c r="AA41" s="426" t="s">
        <v>170</v>
      </c>
      <c r="AB41" s="427"/>
      <c r="AC41" s="428"/>
      <c r="AD41" s="126"/>
      <c r="AE41" s="111"/>
      <c r="AF41" s="111"/>
      <c r="AG41" s="111"/>
      <c r="AH41" s="120"/>
      <c r="AI41" s="120"/>
      <c r="AJ41" s="120"/>
      <c r="AK41" s="120"/>
      <c r="AL41" s="120"/>
      <c r="AM41" s="120"/>
      <c r="AN41" s="120"/>
      <c r="AO41" s="111"/>
      <c r="AP41" s="111"/>
      <c r="AQ41" s="111"/>
      <c r="AR41" s="111"/>
      <c r="AS41" s="118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6" s="1" customFormat="1" ht="14.4" customHeight="1">
      <c r="A42" s="160">
        <f>IF(B42="","",COUNTA($B$8:B42))</f>
        <v>34</v>
      </c>
      <c r="B42" s="4" t="s">
        <v>241</v>
      </c>
      <c r="C42" s="114"/>
      <c r="D42" s="114"/>
      <c r="E42" s="114"/>
      <c r="F42" s="114"/>
      <c r="G42" s="114"/>
      <c r="H42" s="114"/>
      <c r="I42" s="115" t="s">
        <v>242</v>
      </c>
      <c r="J42" s="116"/>
      <c r="K42" s="116"/>
      <c r="L42" s="116"/>
      <c r="M42" s="116"/>
      <c r="N42" s="116"/>
      <c r="O42" s="116"/>
      <c r="P42" s="116"/>
      <c r="Q42" s="116"/>
      <c r="R42" s="4" t="s">
        <v>241</v>
      </c>
      <c r="S42" s="114"/>
      <c r="T42" s="5"/>
      <c r="U42" s="5"/>
      <c r="V42" s="5"/>
      <c r="W42" s="5"/>
      <c r="X42" s="5"/>
      <c r="Y42" s="8" t="s">
        <v>150</v>
      </c>
      <c r="Z42" s="119"/>
      <c r="AA42" s="426" t="s">
        <v>243</v>
      </c>
      <c r="AB42" s="427"/>
      <c r="AC42" s="428"/>
      <c r="AD42" s="117"/>
      <c r="AE42" s="120" t="s">
        <v>244</v>
      </c>
      <c r="AF42" s="121"/>
      <c r="AG42" s="121"/>
      <c r="AH42" s="121"/>
      <c r="AI42" s="121"/>
      <c r="AJ42" s="121"/>
      <c r="AK42" s="121"/>
      <c r="AL42" s="121"/>
      <c r="AM42" s="121"/>
      <c r="AN42" s="121"/>
      <c r="AO42" s="122"/>
      <c r="AP42" s="122"/>
      <c r="AQ42" s="122"/>
      <c r="AR42" s="122"/>
      <c r="AS42" s="123" t="s">
        <v>245</v>
      </c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6" s="1" customFormat="1" ht="14.4" customHeight="1">
      <c r="A43" s="160">
        <f>IF(B43="","",COUNTA($B$8:B43))</f>
        <v>35</v>
      </c>
      <c r="B43" s="4" t="s">
        <v>246</v>
      </c>
      <c r="C43" s="114"/>
      <c r="D43" s="114"/>
      <c r="E43" s="114"/>
      <c r="F43" s="114"/>
      <c r="G43" s="114"/>
      <c r="H43" s="114"/>
      <c r="I43" s="115" t="s">
        <v>247</v>
      </c>
      <c r="J43" s="116"/>
      <c r="K43" s="116"/>
      <c r="L43" s="116"/>
      <c r="M43" s="116"/>
      <c r="N43" s="116"/>
      <c r="O43" s="116"/>
      <c r="P43" s="116"/>
      <c r="Q43" s="116"/>
      <c r="R43" s="4" t="s">
        <v>246</v>
      </c>
      <c r="S43" s="114"/>
      <c r="T43" s="5"/>
      <c r="U43" s="5"/>
      <c r="V43" s="5"/>
      <c r="W43" s="5"/>
      <c r="X43" s="5"/>
      <c r="Y43" s="8" t="s">
        <v>150</v>
      </c>
      <c r="Z43" s="119"/>
      <c r="AA43" s="426" t="s">
        <v>243</v>
      </c>
      <c r="AB43" s="427"/>
      <c r="AC43" s="428"/>
      <c r="AD43" s="117"/>
      <c r="AE43" s="120" t="s">
        <v>244</v>
      </c>
      <c r="AF43" s="121"/>
      <c r="AG43" s="121"/>
      <c r="AH43" s="121"/>
      <c r="AI43" s="121"/>
      <c r="AJ43" s="121"/>
      <c r="AK43" s="121"/>
      <c r="AL43" s="121"/>
      <c r="AM43" s="121"/>
      <c r="AN43" s="121"/>
      <c r="AO43" s="122"/>
      <c r="AP43" s="122"/>
      <c r="AQ43" s="122"/>
      <c r="AR43" s="122"/>
      <c r="AS43" s="123" t="s">
        <v>248</v>
      </c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6" s="1" customFormat="1" ht="14.4" customHeight="1">
      <c r="A44" s="131">
        <f>IF(B44="","",COUNTA($B$8:B44))</f>
        <v>36</v>
      </c>
      <c r="B44" s="8" t="s">
        <v>249</v>
      </c>
      <c r="C44" s="114"/>
      <c r="D44" s="114"/>
      <c r="E44" s="114"/>
      <c r="F44" s="114"/>
      <c r="G44" s="114"/>
      <c r="H44" s="134"/>
      <c r="I44" s="115" t="s">
        <v>250</v>
      </c>
      <c r="J44" s="116"/>
      <c r="K44" s="116"/>
      <c r="L44" s="116"/>
      <c r="M44" s="116"/>
      <c r="N44" s="116"/>
      <c r="O44" s="116"/>
      <c r="P44" s="116"/>
      <c r="Q44" s="133"/>
      <c r="R44" s="8" t="s">
        <v>249</v>
      </c>
      <c r="S44" s="116"/>
      <c r="T44" s="116"/>
      <c r="U44" s="116"/>
      <c r="V44" s="116"/>
      <c r="W44" s="116"/>
      <c r="X44" s="134"/>
      <c r="Y44" s="424" t="s">
        <v>150</v>
      </c>
      <c r="Z44" s="425"/>
      <c r="AA44" s="426" t="s">
        <v>151</v>
      </c>
      <c r="AB44" s="427"/>
      <c r="AC44" s="428"/>
      <c r="AD44" s="126">
        <v>4</v>
      </c>
      <c r="AE44" s="111"/>
      <c r="AF44" s="111"/>
      <c r="AG44" s="111"/>
      <c r="AH44" s="120"/>
      <c r="AI44" s="120"/>
      <c r="AJ44" s="120"/>
      <c r="AK44" s="120"/>
      <c r="AL44" s="120"/>
      <c r="AM44" s="120"/>
      <c r="AN44" s="120"/>
      <c r="AO44" s="111"/>
      <c r="AP44" s="111"/>
      <c r="AQ44" s="111"/>
      <c r="AR44" s="111"/>
      <c r="AS44" s="118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6" s="1" customFormat="1" ht="14.4" customHeight="1">
      <c r="A45" s="131">
        <f>IF(B45="","",COUNTA($B$8:B45))</f>
        <v>37</v>
      </c>
      <c r="B45" s="8" t="s">
        <v>251</v>
      </c>
      <c r="C45" s="114"/>
      <c r="D45" s="114"/>
      <c r="E45" s="114"/>
      <c r="F45" s="114"/>
      <c r="G45" s="114"/>
      <c r="H45" s="134"/>
      <c r="I45" s="115" t="s">
        <v>252</v>
      </c>
      <c r="J45" s="116"/>
      <c r="K45" s="116"/>
      <c r="L45" s="116"/>
      <c r="M45" s="116"/>
      <c r="N45" s="116"/>
      <c r="O45" s="116"/>
      <c r="P45" s="116"/>
      <c r="Q45" s="133"/>
      <c r="R45" s="8" t="s">
        <v>251</v>
      </c>
      <c r="S45" s="116"/>
      <c r="T45" s="116"/>
      <c r="U45" s="116"/>
      <c r="V45" s="116"/>
      <c r="W45" s="116"/>
      <c r="X45" s="134"/>
      <c r="Y45" s="424" t="s">
        <v>150</v>
      </c>
      <c r="Z45" s="425"/>
      <c r="AA45" s="426" t="s">
        <v>151</v>
      </c>
      <c r="AB45" s="427"/>
      <c r="AC45" s="428"/>
      <c r="AD45" s="126">
        <v>4</v>
      </c>
      <c r="AE45" s="111"/>
      <c r="AF45" s="111"/>
      <c r="AG45" s="111"/>
      <c r="AH45" s="120"/>
      <c r="AI45" s="120"/>
      <c r="AJ45" s="120"/>
      <c r="AK45" s="120"/>
      <c r="AL45" s="120"/>
      <c r="AM45" s="120"/>
      <c r="AN45" s="120"/>
      <c r="AO45" s="111"/>
      <c r="AP45" s="111"/>
      <c r="AQ45" s="111"/>
      <c r="AR45" s="111"/>
      <c r="AS45" s="118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  <row r="46" spans="1:56" s="1" customFormat="1" ht="14.4" customHeight="1">
      <c r="A46" s="131">
        <f>IF(B46="","",COUNTA($B$8:B46))</f>
        <v>38</v>
      </c>
      <c r="B46" s="8" t="s">
        <v>253</v>
      </c>
      <c r="C46" s="114"/>
      <c r="D46" s="114"/>
      <c r="E46" s="114"/>
      <c r="F46" s="114"/>
      <c r="G46" s="114"/>
      <c r="H46" s="134"/>
      <c r="I46" s="118" t="s">
        <v>254</v>
      </c>
      <c r="J46" s="116"/>
      <c r="K46" s="116"/>
      <c r="L46" s="116"/>
      <c r="M46" s="116"/>
      <c r="N46" s="116"/>
      <c r="O46" s="116"/>
      <c r="P46" s="116"/>
      <c r="Q46" s="133"/>
      <c r="R46" s="8" t="s">
        <v>253</v>
      </c>
      <c r="S46" s="116"/>
      <c r="T46" s="116"/>
      <c r="U46" s="116"/>
      <c r="V46" s="116"/>
      <c r="W46" s="116"/>
      <c r="X46" s="134"/>
      <c r="Y46" s="424" t="s">
        <v>150</v>
      </c>
      <c r="Z46" s="425"/>
      <c r="AA46" s="426" t="s">
        <v>151</v>
      </c>
      <c r="AB46" s="427"/>
      <c r="AC46" s="428"/>
      <c r="AD46" s="126">
        <v>10</v>
      </c>
      <c r="AE46" s="111"/>
      <c r="AF46" s="111"/>
      <c r="AG46" s="111"/>
      <c r="AH46" s="120"/>
      <c r="AI46" s="120"/>
      <c r="AJ46" s="120"/>
      <c r="AK46" s="120"/>
      <c r="AL46" s="120"/>
      <c r="AM46" s="120"/>
      <c r="AN46" s="120"/>
      <c r="AO46" s="111"/>
      <c r="AP46" s="111"/>
      <c r="AQ46" s="111"/>
      <c r="AR46" s="111"/>
      <c r="AS46" s="118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5"/>
    </row>
    <row r="47" spans="1:56" s="1" customFormat="1" ht="14.4" customHeight="1">
      <c r="A47" s="131">
        <f>IF(B47="","",COUNTA($B$8:B47))</f>
        <v>39</v>
      </c>
      <c r="B47" s="8" t="s">
        <v>255</v>
      </c>
      <c r="C47" s="114"/>
      <c r="D47" s="114"/>
      <c r="E47" s="114"/>
      <c r="F47" s="114"/>
      <c r="G47" s="114"/>
      <c r="H47" s="134"/>
      <c r="I47" s="118" t="s">
        <v>256</v>
      </c>
      <c r="J47" s="116"/>
      <c r="K47" s="116"/>
      <c r="L47" s="116"/>
      <c r="M47" s="116"/>
      <c r="N47" s="116"/>
      <c r="O47" s="116"/>
      <c r="P47" s="116"/>
      <c r="Q47" s="133"/>
      <c r="R47" s="8" t="s">
        <v>255</v>
      </c>
      <c r="S47" s="116"/>
      <c r="T47" s="116"/>
      <c r="U47" s="116"/>
      <c r="V47" s="116"/>
      <c r="W47" s="116"/>
      <c r="X47" s="134"/>
      <c r="Y47" s="424" t="s">
        <v>150</v>
      </c>
      <c r="Z47" s="425"/>
      <c r="AA47" s="426" t="s">
        <v>151</v>
      </c>
      <c r="AB47" s="427"/>
      <c r="AC47" s="428"/>
      <c r="AD47" s="126">
        <v>10</v>
      </c>
      <c r="AE47" s="111"/>
      <c r="AF47" s="111"/>
      <c r="AG47" s="111"/>
      <c r="AH47" s="120"/>
      <c r="AI47" s="120"/>
      <c r="AJ47" s="120"/>
      <c r="AK47" s="120"/>
      <c r="AL47" s="120"/>
      <c r="AM47" s="120"/>
      <c r="AN47" s="120"/>
      <c r="AO47" s="111"/>
      <c r="AP47" s="111"/>
      <c r="AQ47" s="111"/>
      <c r="AR47" s="111"/>
      <c r="AS47" s="118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5"/>
    </row>
    <row r="48" spans="1:56" s="1" customFormat="1" ht="14.4" customHeight="1">
      <c r="A48" s="131">
        <f>IF(B48="","",COUNTA($B$8:B48))</f>
        <v>40</v>
      </c>
      <c r="B48" s="8" t="s">
        <v>257</v>
      </c>
      <c r="C48" s="114"/>
      <c r="D48" s="114"/>
      <c r="E48" s="114"/>
      <c r="F48" s="114"/>
      <c r="G48" s="114"/>
      <c r="H48" s="134"/>
      <c r="I48" s="118" t="s">
        <v>258</v>
      </c>
      <c r="J48" s="116"/>
      <c r="K48" s="116"/>
      <c r="L48" s="116"/>
      <c r="M48" s="116"/>
      <c r="N48" s="116"/>
      <c r="O48" s="116"/>
      <c r="P48" s="116"/>
      <c r="Q48" s="133"/>
      <c r="R48" s="8" t="s">
        <v>257</v>
      </c>
      <c r="S48" s="116"/>
      <c r="T48" s="116"/>
      <c r="U48" s="116"/>
      <c r="V48" s="116"/>
      <c r="W48" s="116"/>
      <c r="X48" s="134"/>
      <c r="Y48" s="424" t="s">
        <v>169</v>
      </c>
      <c r="Z48" s="425"/>
      <c r="AA48" s="426" t="s">
        <v>243</v>
      </c>
      <c r="AB48" s="427"/>
      <c r="AC48" s="428"/>
      <c r="AD48" s="159"/>
      <c r="AE48" s="111"/>
      <c r="AF48" s="111"/>
      <c r="AG48" s="111"/>
      <c r="AH48" s="121"/>
      <c r="AI48" s="121"/>
      <c r="AJ48" s="120"/>
      <c r="AK48" s="120"/>
      <c r="AL48" s="120"/>
      <c r="AM48" s="120"/>
      <c r="AN48" s="120"/>
      <c r="AO48" s="111"/>
      <c r="AP48" s="111"/>
      <c r="AQ48" s="111"/>
      <c r="AR48" s="111"/>
      <c r="AS48" s="118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5"/>
    </row>
    <row r="49" spans="1:56" s="1" customFormat="1" ht="14.4" customHeight="1">
      <c r="A49" s="131">
        <f>IF(B49="","",COUNTA($B$8:B49))</f>
        <v>41</v>
      </c>
      <c r="B49" s="8" t="s">
        <v>259</v>
      </c>
      <c r="C49" s="114"/>
      <c r="D49" s="114"/>
      <c r="E49" s="114"/>
      <c r="F49" s="114"/>
      <c r="G49" s="114"/>
      <c r="H49" s="134"/>
      <c r="I49" s="118" t="s">
        <v>260</v>
      </c>
      <c r="J49" s="116"/>
      <c r="K49" s="116"/>
      <c r="L49" s="116"/>
      <c r="M49" s="116"/>
      <c r="N49" s="116"/>
      <c r="O49" s="116"/>
      <c r="P49" s="116"/>
      <c r="Q49" s="133"/>
      <c r="R49" s="8" t="s">
        <v>259</v>
      </c>
      <c r="S49" s="116"/>
      <c r="T49" s="116"/>
      <c r="U49" s="116"/>
      <c r="V49" s="116"/>
      <c r="W49" s="116"/>
      <c r="X49" s="134"/>
      <c r="Y49" s="424" t="s">
        <v>150</v>
      </c>
      <c r="Z49" s="425"/>
      <c r="AA49" s="426" t="s">
        <v>151</v>
      </c>
      <c r="AB49" s="427"/>
      <c r="AC49" s="428"/>
      <c r="AD49" s="126">
        <v>10</v>
      </c>
      <c r="AE49" s="111"/>
      <c r="AF49" s="111"/>
      <c r="AG49" s="111"/>
      <c r="AH49" s="121"/>
      <c r="AI49" s="121"/>
      <c r="AJ49" s="120"/>
      <c r="AK49" s="120"/>
      <c r="AL49" s="120"/>
      <c r="AM49" s="120"/>
      <c r="AN49" s="120"/>
      <c r="AO49" s="111"/>
      <c r="AP49" s="111"/>
      <c r="AQ49" s="111"/>
      <c r="AR49" s="111"/>
      <c r="AS49" s="118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5"/>
    </row>
    <row r="50" spans="1:56" s="1" customFormat="1" ht="14.4" customHeight="1">
      <c r="A50" s="131">
        <f>IF(B50="","",COUNTA($B$8:B50))</f>
        <v>42</v>
      </c>
      <c r="B50" s="8" t="s">
        <v>261</v>
      </c>
      <c r="C50" s="114"/>
      <c r="D50" s="114"/>
      <c r="E50" s="114"/>
      <c r="F50" s="114"/>
      <c r="G50" s="114"/>
      <c r="H50" s="134"/>
      <c r="I50" s="118" t="s">
        <v>262</v>
      </c>
      <c r="J50" s="116"/>
      <c r="K50" s="116"/>
      <c r="L50" s="116"/>
      <c r="M50" s="116"/>
      <c r="N50" s="116"/>
      <c r="O50" s="116"/>
      <c r="P50" s="116"/>
      <c r="Q50" s="133"/>
      <c r="R50" s="8" t="s">
        <v>261</v>
      </c>
      <c r="S50" s="116"/>
      <c r="T50" s="116"/>
      <c r="U50" s="116"/>
      <c r="V50" s="116"/>
      <c r="W50" s="116"/>
      <c r="X50" s="134"/>
      <c r="Y50" s="424" t="s">
        <v>150</v>
      </c>
      <c r="Z50" s="425"/>
      <c r="AA50" s="426" t="s">
        <v>151</v>
      </c>
      <c r="AB50" s="427"/>
      <c r="AC50" s="428"/>
      <c r="AD50" s="159">
        <v>10</v>
      </c>
      <c r="AE50" s="111"/>
      <c r="AF50" s="111"/>
      <c r="AG50" s="111"/>
      <c r="AH50" s="120"/>
      <c r="AI50" s="120"/>
      <c r="AJ50" s="120"/>
      <c r="AK50" s="120"/>
      <c r="AL50" s="121"/>
      <c r="AM50" s="121"/>
      <c r="AN50" s="121"/>
      <c r="AO50" s="122"/>
      <c r="AP50" s="122"/>
      <c r="AQ50" s="122"/>
      <c r="AR50" s="122"/>
      <c r="AS50" s="123"/>
      <c r="AT50" s="161"/>
      <c r="AU50" s="124"/>
      <c r="AV50" s="124"/>
      <c r="AW50" s="124"/>
      <c r="AX50" s="124"/>
      <c r="AY50" s="124"/>
      <c r="AZ50" s="124"/>
      <c r="BA50" s="124"/>
      <c r="BB50" s="124"/>
      <c r="BC50" s="124"/>
      <c r="BD50" s="125"/>
    </row>
    <row r="51" spans="1:56" s="1" customFormat="1" ht="14.4" customHeight="1">
      <c r="A51" s="131">
        <f>IF(B51="","",COUNTA($B$8:B51))</f>
        <v>43</v>
      </c>
      <c r="B51" s="8" t="s">
        <v>263</v>
      </c>
      <c r="C51" s="114"/>
      <c r="D51" s="114"/>
      <c r="E51" s="114"/>
      <c r="F51" s="114"/>
      <c r="G51" s="114"/>
      <c r="H51" s="134"/>
      <c r="I51" s="118" t="s">
        <v>264</v>
      </c>
      <c r="J51" s="116"/>
      <c r="K51" s="116"/>
      <c r="L51" s="116"/>
      <c r="M51" s="116"/>
      <c r="N51" s="116"/>
      <c r="O51" s="116"/>
      <c r="P51" s="116"/>
      <c r="Q51" s="133"/>
      <c r="R51" s="132" t="s">
        <v>263</v>
      </c>
      <c r="S51" s="116"/>
      <c r="T51" s="116"/>
      <c r="U51" s="116"/>
      <c r="V51" s="116"/>
      <c r="W51" s="116"/>
      <c r="X51" s="134"/>
      <c r="Y51" s="424" t="s">
        <v>169</v>
      </c>
      <c r="Z51" s="425"/>
      <c r="AA51" s="426" t="s">
        <v>243</v>
      </c>
      <c r="AB51" s="427"/>
      <c r="AC51" s="428"/>
      <c r="AD51" s="159"/>
      <c r="AE51" s="111"/>
      <c r="AF51" s="111"/>
      <c r="AG51" s="111"/>
      <c r="AH51" s="121"/>
      <c r="AI51" s="121"/>
      <c r="AJ51" s="121"/>
      <c r="AK51" s="121"/>
      <c r="AL51" s="121"/>
      <c r="AM51" s="121"/>
      <c r="AN51" s="121"/>
      <c r="AO51" s="122"/>
      <c r="AP51" s="122"/>
      <c r="AQ51" s="122"/>
      <c r="AR51" s="122"/>
      <c r="AS51" s="123"/>
      <c r="AT51" s="161"/>
      <c r="AU51" s="124"/>
      <c r="AV51" s="124"/>
      <c r="AW51" s="124"/>
      <c r="AX51" s="124"/>
      <c r="AY51" s="124"/>
      <c r="AZ51" s="124"/>
      <c r="BA51" s="124"/>
      <c r="BB51" s="124"/>
      <c r="BC51" s="124"/>
      <c r="BD51" s="125"/>
    </row>
    <row r="52" spans="1:56" s="1" customFormat="1" ht="14.4" customHeight="1">
      <c r="A52" s="131" t="str">
        <f>IF(B52="","",COUNTA($B$8:B52))</f>
        <v/>
      </c>
      <c r="B52" s="273"/>
      <c r="C52" s="114"/>
      <c r="D52" s="114"/>
      <c r="E52" s="114"/>
      <c r="F52" s="114"/>
      <c r="G52" s="114"/>
      <c r="H52" s="134"/>
      <c r="I52" s="115"/>
      <c r="J52" s="116"/>
      <c r="K52" s="116"/>
      <c r="L52" s="116"/>
      <c r="M52" s="116"/>
      <c r="N52" s="116"/>
      <c r="O52" s="116"/>
      <c r="P52" s="116"/>
      <c r="Q52" s="133"/>
      <c r="R52" s="273"/>
      <c r="S52" s="116"/>
      <c r="T52" s="116"/>
      <c r="U52" s="116"/>
      <c r="V52" s="116"/>
      <c r="W52" s="116"/>
      <c r="X52" s="134"/>
      <c r="Y52" s="424"/>
      <c r="Z52" s="425"/>
      <c r="AA52" s="426"/>
      <c r="AB52" s="427"/>
      <c r="AC52" s="428"/>
      <c r="AD52" s="159"/>
      <c r="AE52" s="111" t="s">
        <v>244</v>
      </c>
      <c r="AF52" s="111"/>
      <c r="AG52" s="111"/>
      <c r="AH52" s="121"/>
      <c r="AI52" s="121"/>
      <c r="AJ52" s="121"/>
      <c r="AK52" s="121"/>
      <c r="AL52" s="121"/>
      <c r="AM52" s="121"/>
      <c r="AN52" s="121"/>
      <c r="AO52" s="122"/>
      <c r="AP52" s="122"/>
      <c r="AQ52" s="122"/>
      <c r="AR52" s="122"/>
      <c r="AS52" s="123"/>
      <c r="AT52" s="161"/>
      <c r="AU52" s="124"/>
      <c r="AV52" s="124"/>
      <c r="AW52" s="124"/>
      <c r="AX52" s="124"/>
      <c r="AY52" s="124"/>
      <c r="AZ52" s="124"/>
      <c r="BA52" s="124"/>
      <c r="BB52" s="124"/>
      <c r="BC52" s="124"/>
      <c r="BD52" s="125"/>
    </row>
    <row r="53" spans="1:56" s="1" customFormat="1" ht="14.4" customHeight="1">
      <c r="A53" s="131" t="str">
        <f>IF(B53="","",COUNTA($B$8:B53))</f>
        <v/>
      </c>
      <c r="B53" s="8"/>
      <c r="C53" s="114"/>
      <c r="D53" s="114"/>
      <c r="E53" s="114"/>
      <c r="F53" s="114"/>
      <c r="G53" s="114"/>
      <c r="H53" s="134"/>
      <c r="I53" s="115"/>
      <c r="J53" s="116"/>
      <c r="K53" s="116"/>
      <c r="L53" s="116"/>
      <c r="M53" s="116"/>
      <c r="N53" s="116"/>
      <c r="O53" s="116"/>
      <c r="P53" s="116"/>
      <c r="Q53" s="133"/>
      <c r="R53" s="8"/>
      <c r="S53" s="116"/>
      <c r="T53" s="116"/>
      <c r="U53" s="116"/>
      <c r="V53" s="116"/>
      <c r="W53" s="116"/>
      <c r="X53" s="134"/>
      <c r="Y53" s="424"/>
      <c r="Z53" s="425"/>
      <c r="AA53" s="426"/>
      <c r="AB53" s="427"/>
      <c r="AC53" s="428"/>
      <c r="AD53" s="159"/>
      <c r="AE53" s="111" t="s">
        <v>244</v>
      </c>
      <c r="AF53" s="111"/>
      <c r="AG53" s="111"/>
      <c r="AH53" s="121"/>
      <c r="AI53" s="121"/>
      <c r="AJ53" s="121"/>
      <c r="AK53" s="121"/>
      <c r="AL53" s="121"/>
      <c r="AM53" s="121"/>
      <c r="AN53" s="121"/>
      <c r="AO53" s="122"/>
      <c r="AP53" s="122"/>
      <c r="AQ53" s="122"/>
      <c r="AR53" s="122"/>
      <c r="AS53" s="123"/>
      <c r="AT53" s="161"/>
      <c r="AU53" s="124"/>
      <c r="AV53" s="124"/>
      <c r="AW53" s="124"/>
      <c r="AX53" s="124"/>
      <c r="AY53" s="124"/>
      <c r="AZ53" s="124"/>
      <c r="BA53" s="124"/>
      <c r="BB53" s="124"/>
      <c r="BC53" s="124"/>
      <c r="BD53" s="125"/>
    </row>
    <row r="54" spans="1:56" s="1" customFormat="1" ht="14.4" customHeight="1">
      <c r="A54" s="131" t="str">
        <f>IF(B54="","",COUNTA($B$8:B54))</f>
        <v/>
      </c>
      <c r="B54" s="8"/>
      <c r="C54" s="114"/>
      <c r="D54" s="114"/>
      <c r="E54" s="114"/>
      <c r="F54" s="114"/>
      <c r="G54" s="114"/>
      <c r="H54" s="134"/>
      <c r="I54" s="115"/>
      <c r="J54" s="116"/>
      <c r="K54" s="116"/>
      <c r="L54" s="116"/>
      <c r="M54" s="116"/>
      <c r="N54" s="116"/>
      <c r="O54" s="116"/>
      <c r="P54" s="116"/>
      <c r="Q54" s="133"/>
      <c r="R54" s="8"/>
      <c r="S54" s="116"/>
      <c r="T54" s="116"/>
      <c r="U54" s="116"/>
      <c r="V54" s="116"/>
      <c r="W54" s="116"/>
      <c r="X54" s="134"/>
      <c r="Y54" s="424"/>
      <c r="Z54" s="425"/>
      <c r="AA54" s="426"/>
      <c r="AB54" s="427"/>
      <c r="AC54" s="428"/>
      <c r="AD54" s="159"/>
      <c r="AE54" s="111" t="s">
        <v>244</v>
      </c>
      <c r="AF54" s="111"/>
      <c r="AG54" s="111"/>
      <c r="AH54" s="121"/>
      <c r="AI54" s="121"/>
      <c r="AJ54" s="121"/>
      <c r="AK54" s="121"/>
      <c r="AL54" s="121"/>
      <c r="AM54" s="121"/>
      <c r="AN54" s="121"/>
      <c r="AO54" s="122"/>
      <c r="AP54" s="122"/>
      <c r="AQ54" s="122"/>
      <c r="AR54" s="122"/>
      <c r="AS54" s="123"/>
      <c r="AT54" s="161"/>
      <c r="AU54" s="124"/>
      <c r="AV54" s="124"/>
      <c r="AW54" s="124"/>
      <c r="AX54" s="124"/>
      <c r="AY54" s="124"/>
      <c r="AZ54" s="124"/>
      <c r="BA54" s="124"/>
      <c r="BB54" s="124"/>
      <c r="BC54" s="124"/>
      <c r="BD54" s="125"/>
    </row>
    <row r="55" spans="1:56" s="1" customFormat="1" ht="14.4" customHeight="1">
      <c r="A55" s="131" t="str">
        <f>IF(B55="","",COUNTA($B$8:B55))</f>
        <v/>
      </c>
      <c r="B55" s="8"/>
      <c r="C55" s="114"/>
      <c r="D55" s="114"/>
      <c r="E55" s="114"/>
      <c r="F55" s="114"/>
      <c r="G55" s="114"/>
      <c r="H55" s="134"/>
      <c r="I55" s="115"/>
      <c r="J55" s="116"/>
      <c r="K55" s="116"/>
      <c r="L55" s="116"/>
      <c r="M55" s="116"/>
      <c r="N55" s="116"/>
      <c r="O55" s="116"/>
      <c r="P55" s="116"/>
      <c r="Q55" s="133"/>
      <c r="R55" s="8"/>
      <c r="S55" s="116"/>
      <c r="T55" s="116"/>
      <c r="U55" s="116"/>
      <c r="V55" s="116"/>
      <c r="W55" s="116"/>
      <c r="X55" s="134"/>
      <c r="Y55" s="424"/>
      <c r="Z55" s="425"/>
      <c r="AA55" s="426"/>
      <c r="AB55" s="427"/>
      <c r="AC55" s="428"/>
      <c r="AD55" s="159"/>
      <c r="AE55" s="111" t="s">
        <v>244</v>
      </c>
      <c r="AF55" s="111"/>
      <c r="AG55" s="111"/>
      <c r="AH55" s="121"/>
      <c r="AI55" s="121"/>
      <c r="AJ55" s="121"/>
      <c r="AK55" s="121"/>
      <c r="AL55" s="121"/>
      <c r="AM55" s="121"/>
      <c r="AN55" s="121"/>
      <c r="AO55" s="122"/>
      <c r="AP55" s="122"/>
      <c r="AQ55" s="122"/>
      <c r="AR55" s="122"/>
      <c r="AS55" s="123"/>
      <c r="AT55" s="161"/>
      <c r="AU55" s="124"/>
      <c r="AV55" s="124"/>
      <c r="AW55" s="124"/>
      <c r="AX55" s="124"/>
      <c r="AY55" s="124"/>
      <c r="AZ55" s="124"/>
      <c r="BA55" s="124"/>
      <c r="BB55" s="124"/>
      <c r="BC55" s="124"/>
      <c r="BD55" s="125"/>
    </row>
    <row r="56" spans="1:56" s="1" customFormat="1" ht="14.4" customHeight="1">
      <c r="A56" s="131" t="str">
        <f>IF(B56="","",COUNTA($B$8:B56))</f>
        <v/>
      </c>
      <c r="B56" s="8"/>
      <c r="C56" s="114"/>
      <c r="D56" s="114"/>
      <c r="E56" s="114"/>
      <c r="F56" s="114"/>
      <c r="G56" s="114"/>
      <c r="H56" s="134"/>
      <c r="I56" s="115"/>
      <c r="J56" s="116"/>
      <c r="K56" s="116"/>
      <c r="L56" s="116"/>
      <c r="M56" s="116"/>
      <c r="N56" s="116"/>
      <c r="O56" s="116"/>
      <c r="P56" s="116"/>
      <c r="Q56" s="133"/>
      <c r="R56" s="8"/>
      <c r="S56" s="116"/>
      <c r="T56" s="116"/>
      <c r="U56" s="116"/>
      <c r="V56" s="116"/>
      <c r="W56" s="116"/>
      <c r="X56" s="134"/>
      <c r="Y56" s="424"/>
      <c r="Z56" s="425"/>
      <c r="AA56" s="426"/>
      <c r="AB56" s="427"/>
      <c r="AC56" s="428"/>
      <c r="AD56" s="159"/>
      <c r="AE56" s="111" t="s">
        <v>244</v>
      </c>
      <c r="AF56" s="111"/>
      <c r="AG56" s="111"/>
      <c r="AH56" s="121"/>
      <c r="AI56" s="121"/>
      <c r="AJ56" s="121"/>
      <c r="AK56" s="121"/>
      <c r="AL56" s="121"/>
      <c r="AM56" s="121"/>
      <c r="AN56" s="121"/>
      <c r="AO56" s="122"/>
      <c r="AP56" s="122"/>
      <c r="AQ56" s="122"/>
      <c r="AR56" s="122"/>
      <c r="AS56" s="123"/>
      <c r="AT56" s="161"/>
      <c r="AU56" s="124"/>
      <c r="AV56" s="124"/>
      <c r="AW56" s="124"/>
      <c r="AX56" s="124"/>
      <c r="AY56" s="124"/>
      <c r="AZ56" s="124"/>
      <c r="BA56" s="124"/>
      <c r="BB56" s="124"/>
      <c r="BC56" s="124"/>
      <c r="BD56" s="125"/>
    </row>
    <row r="57" spans="1:56" s="1" customFormat="1" ht="14.4" customHeight="1">
      <c r="A57" s="131" t="str">
        <f>IF(B57="","",COUNTA($B$8:B57))</f>
        <v/>
      </c>
      <c r="B57" s="8"/>
      <c r="C57" s="114"/>
      <c r="D57" s="114"/>
      <c r="E57" s="114"/>
      <c r="F57" s="114"/>
      <c r="G57" s="114"/>
      <c r="H57" s="134"/>
      <c r="I57" s="115"/>
      <c r="J57" s="116"/>
      <c r="K57" s="116"/>
      <c r="L57" s="116"/>
      <c r="M57" s="116"/>
      <c r="N57" s="116"/>
      <c r="O57" s="116"/>
      <c r="P57" s="116"/>
      <c r="Q57" s="133"/>
      <c r="R57" s="8"/>
      <c r="S57" s="116"/>
      <c r="T57" s="116"/>
      <c r="U57" s="116"/>
      <c r="V57" s="116"/>
      <c r="W57" s="116"/>
      <c r="X57" s="134"/>
      <c r="Y57" s="424"/>
      <c r="Z57" s="425"/>
      <c r="AA57" s="426"/>
      <c r="AB57" s="427"/>
      <c r="AC57" s="428"/>
      <c r="AD57" s="159"/>
      <c r="AE57" s="111" t="s">
        <v>244</v>
      </c>
      <c r="AF57" s="111"/>
      <c r="AG57" s="111"/>
      <c r="AH57" s="121"/>
      <c r="AI57" s="121"/>
      <c r="AJ57" s="121"/>
      <c r="AK57" s="121"/>
      <c r="AL57" s="121"/>
      <c r="AM57" s="121"/>
      <c r="AN57" s="121"/>
      <c r="AO57" s="122"/>
      <c r="AP57" s="122"/>
      <c r="AQ57" s="122"/>
      <c r="AR57" s="122"/>
      <c r="AS57" s="123"/>
      <c r="AT57" s="161"/>
      <c r="AU57" s="124"/>
      <c r="AV57" s="124"/>
      <c r="AW57" s="124"/>
      <c r="AX57" s="124"/>
      <c r="AY57" s="124"/>
      <c r="AZ57" s="124"/>
      <c r="BA57" s="124"/>
      <c r="BB57" s="124"/>
      <c r="BC57" s="124"/>
      <c r="BD57" s="125"/>
    </row>
    <row r="58" spans="1:56" s="1" customFormat="1" ht="14.4" customHeight="1">
      <c r="A58" s="131" t="str">
        <f>IF(B58="","",COUNTA($B$8:B58))</f>
        <v/>
      </c>
      <c r="B58" s="8"/>
      <c r="C58" s="114"/>
      <c r="D58" s="114"/>
      <c r="E58" s="114"/>
      <c r="F58" s="114"/>
      <c r="G58" s="114"/>
      <c r="H58" s="134"/>
      <c r="I58" s="115"/>
      <c r="J58" s="116"/>
      <c r="K58" s="116"/>
      <c r="L58" s="116"/>
      <c r="M58" s="116"/>
      <c r="N58" s="116"/>
      <c r="O58" s="116"/>
      <c r="P58" s="116"/>
      <c r="Q58" s="133"/>
      <c r="R58" s="8"/>
      <c r="S58" s="116"/>
      <c r="T58" s="116"/>
      <c r="U58" s="116"/>
      <c r="V58" s="116"/>
      <c r="W58" s="116"/>
      <c r="X58" s="134"/>
      <c r="Y58" s="424"/>
      <c r="Z58" s="425"/>
      <c r="AA58" s="426"/>
      <c r="AB58" s="427"/>
      <c r="AC58" s="428"/>
      <c r="AD58" s="159"/>
      <c r="AE58" s="111" t="s">
        <v>244</v>
      </c>
      <c r="AF58" s="111"/>
      <c r="AG58" s="111"/>
      <c r="AH58" s="121"/>
      <c r="AI58" s="121"/>
      <c r="AJ58" s="121"/>
      <c r="AK58" s="121"/>
      <c r="AL58" s="121"/>
      <c r="AM58" s="121"/>
      <c r="AN58" s="121"/>
      <c r="AO58" s="122"/>
      <c r="AP58" s="122"/>
      <c r="AQ58" s="122"/>
      <c r="AR58" s="122"/>
      <c r="AS58" s="123"/>
      <c r="AT58" s="161"/>
      <c r="AU58" s="124"/>
      <c r="AV58" s="124"/>
      <c r="AW58" s="124"/>
      <c r="AX58" s="124"/>
      <c r="AY58" s="124"/>
      <c r="AZ58" s="124"/>
      <c r="BA58" s="124"/>
      <c r="BB58" s="124"/>
      <c r="BC58" s="124"/>
      <c r="BD58" s="125"/>
    </row>
    <row r="59" spans="1:56" s="1" customFormat="1" ht="14.4" customHeight="1">
      <c r="A59" s="131" t="str">
        <f>IF(B59="","",COUNTA($B$8:B59))</f>
        <v/>
      </c>
      <c r="B59" s="8"/>
      <c r="C59" s="114"/>
      <c r="D59" s="114"/>
      <c r="E59" s="114"/>
      <c r="F59" s="114"/>
      <c r="G59" s="114"/>
      <c r="H59" s="134"/>
      <c r="I59" s="115"/>
      <c r="J59" s="116"/>
      <c r="K59" s="116"/>
      <c r="L59" s="116"/>
      <c r="M59" s="116"/>
      <c r="N59" s="116"/>
      <c r="O59" s="116"/>
      <c r="P59" s="116"/>
      <c r="Q59" s="133"/>
      <c r="R59" s="8"/>
      <c r="S59" s="116"/>
      <c r="T59" s="116"/>
      <c r="U59" s="116"/>
      <c r="V59" s="116"/>
      <c r="W59" s="116"/>
      <c r="X59" s="134"/>
      <c r="Y59" s="424"/>
      <c r="Z59" s="425"/>
      <c r="AA59" s="426"/>
      <c r="AB59" s="427"/>
      <c r="AC59" s="428"/>
      <c r="AD59" s="159"/>
      <c r="AE59" s="111" t="s">
        <v>244</v>
      </c>
      <c r="AF59" s="111"/>
      <c r="AG59" s="111"/>
      <c r="AH59" s="121"/>
      <c r="AI59" s="121"/>
      <c r="AJ59" s="121"/>
      <c r="AK59" s="121"/>
      <c r="AL59" s="121"/>
      <c r="AM59" s="121"/>
      <c r="AN59" s="121"/>
      <c r="AO59" s="122"/>
      <c r="AP59" s="122"/>
      <c r="AQ59" s="122"/>
      <c r="AR59" s="122"/>
      <c r="AS59" s="123"/>
      <c r="AT59" s="161"/>
      <c r="AU59" s="124"/>
      <c r="AV59" s="124"/>
      <c r="AW59" s="124"/>
      <c r="AX59" s="124"/>
      <c r="AY59" s="124"/>
      <c r="AZ59" s="124"/>
      <c r="BA59" s="124"/>
      <c r="BB59" s="124"/>
      <c r="BC59" s="124"/>
      <c r="BD59" s="125"/>
    </row>
    <row r="60" spans="1:56" s="1" customFormat="1" ht="14.4" customHeight="1">
      <c r="A60" s="131" t="str">
        <f>IF(B60="","",COUNTA($B$8:B60))</f>
        <v/>
      </c>
      <c r="B60" s="8"/>
      <c r="C60" s="114"/>
      <c r="D60" s="114"/>
      <c r="E60" s="114"/>
      <c r="F60" s="114"/>
      <c r="G60" s="114"/>
      <c r="H60" s="134"/>
      <c r="I60" s="115"/>
      <c r="J60" s="116"/>
      <c r="K60" s="116"/>
      <c r="L60" s="116"/>
      <c r="M60" s="116"/>
      <c r="N60" s="116"/>
      <c r="O60" s="116"/>
      <c r="P60" s="116"/>
      <c r="Q60" s="133"/>
      <c r="R60" s="8"/>
      <c r="S60" s="116"/>
      <c r="T60" s="116"/>
      <c r="U60" s="116"/>
      <c r="V60" s="116"/>
      <c r="W60" s="116"/>
      <c r="X60" s="134"/>
      <c r="Y60" s="424"/>
      <c r="Z60" s="425"/>
      <c r="AA60" s="426"/>
      <c r="AB60" s="427"/>
      <c r="AC60" s="428"/>
      <c r="AD60" s="159"/>
      <c r="AE60" s="111" t="s">
        <v>244</v>
      </c>
      <c r="AF60" s="111"/>
      <c r="AG60" s="111"/>
      <c r="AH60" s="121"/>
      <c r="AI60" s="121"/>
      <c r="AJ60" s="121"/>
      <c r="AK60" s="121"/>
      <c r="AL60" s="121"/>
      <c r="AM60" s="121"/>
      <c r="AN60" s="121"/>
      <c r="AO60" s="122"/>
      <c r="AP60" s="122"/>
      <c r="AQ60" s="122"/>
      <c r="AR60" s="122"/>
      <c r="AS60" s="123"/>
      <c r="AT60" s="161"/>
      <c r="AU60" s="124"/>
      <c r="AV60" s="124"/>
      <c r="AW60" s="124"/>
      <c r="AX60" s="124"/>
      <c r="AY60" s="124"/>
      <c r="AZ60" s="124"/>
      <c r="BA60" s="124"/>
      <c r="BB60" s="124"/>
      <c r="BC60" s="124"/>
      <c r="BD60" s="125"/>
    </row>
    <row r="61" spans="1:56" s="1" customFormat="1" ht="14.4" customHeight="1">
      <c r="A61" s="131" t="str">
        <f>IF(B61="","",COUNTA($B$8:B61))</f>
        <v/>
      </c>
      <c r="B61" s="8"/>
      <c r="C61" s="114"/>
      <c r="D61" s="114"/>
      <c r="E61" s="114"/>
      <c r="F61" s="114"/>
      <c r="G61" s="114"/>
      <c r="H61" s="134"/>
      <c r="I61" s="115"/>
      <c r="J61" s="116"/>
      <c r="K61" s="116"/>
      <c r="L61" s="116"/>
      <c r="M61" s="116"/>
      <c r="N61" s="116"/>
      <c r="O61" s="116"/>
      <c r="P61" s="116"/>
      <c r="Q61" s="133"/>
      <c r="R61" s="8"/>
      <c r="S61" s="116"/>
      <c r="T61" s="116"/>
      <c r="U61" s="116"/>
      <c r="V61" s="116"/>
      <c r="W61" s="116"/>
      <c r="X61" s="134"/>
      <c r="Y61" s="424"/>
      <c r="Z61" s="425"/>
      <c r="AA61" s="426"/>
      <c r="AB61" s="427"/>
      <c r="AC61" s="428"/>
      <c r="AD61" s="159"/>
      <c r="AE61" s="111" t="s">
        <v>244</v>
      </c>
      <c r="AF61" s="111"/>
      <c r="AG61" s="111"/>
      <c r="AH61" s="121"/>
      <c r="AI61" s="121"/>
      <c r="AJ61" s="121"/>
      <c r="AK61" s="121"/>
      <c r="AL61" s="121"/>
      <c r="AM61" s="121"/>
      <c r="AN61" s="121"/>
      <c r="AO61" s="122"/>
      <c r="AP61" s="122"/>
      <c r="AQ61" s="122"/>
      <c r="AR61" s="122"/>
      <c r="AS61" s="123"/>
      <c r="AT61" s="161"/>
      <c r="AU61" s="124"/>
      <c r="AV61" s="124"/>
      <c r="AW61" s="124"/>
      <c r="AX61" s="124"/>
      <c r="AY61" s="124"/>
      <c r="AZ61" s="124"/>
      <c r="BA61" s="124"/>
      <c r="BB61" s="124"/>
      <c r="BC61" s="124"/>
      <c r="BD61" s="125"/>
    </row>
    <row r="62" spans="1:56" s="1" customFormat="1" ht="14.4" customHeight="1">
      <c r="A62" s="131" t="str">
        <f>IF(B62="","",COUNTA($B$8:B62))</f>
        <v/>
      </c>
      <c r="B62" s="8"/>
      <c r="C62" s="114"/>
      <c r="D62" s="114"/>
      <c r="E62" s="114"/>
      <c r="F62" s="114"/>
      <c r="G62" s="114"/>
      <c r="H62" s="134"/>
      <c r="I62" s="115"/>
      <c r="J62" s="116"/>
      <c r="K62" s="116"/>
      <c r="L62" s="116"/>
      <c r="M62" s="116"/>
      <c r="N62" s="116"/>
      <c r="O62" s="116"/>
      <c r="P62" s="116"/>
      <c r="Q62" s="133"/>
      <c r="R62" s="8"/>
      <c r="S62" s="116"/>
      <c r="T62" s="116"/>
      <c r="U62" s="116"/>
      <c r="V62" s="116"/>
      <c r="W62" s="116"/>
      <c r="X62" s="134"/>
      <c r="Y62" s="424"/>
      <c r="Z62" s="425"/>
      <c r="AA62" s="426"/>
      <c r="AB62" s="427"/>
      <c r="AC62" s="428"/>
      <c r="AD62" s="159"/>
      <c r="AE62" s="111" t="s">
        <v>244</v>
      </c>
      <c r="AF62" s="111"/>
      <c r="AG62" s="111"/>
      <c r="AH62" s="121"/>
      <c r="AI62" s="121"/>
      <c r="AJ62" s="121"/>
      <c r="AK62" s="121"/>
      <c r="AL62" s="121"/>
      <c r="AM62" s="121"/>
      <c r="AN62" s="121"/>
      <c r="AO62" s="122"/>
      <c r="AP62" s="122"/>
      <c r="AQ62" s="122"/>
      <c r="AR62" s="122"/>
      <c r="AS62" s="123"/>
      <c r="AT62" s="161"/>
      <c r="AU62" s="124"/>
      <c r="AV62" s="124"/>
      <c r="AW62" s="124"/>
      <c r="AX62" s="124"/>
      <c r="AY62" s="124"/>
      <c r="AZ62" s="124"/>
      <c r="BA62" s="124"/>
      <c r="BB62" s="124"/>
      <c r="BC62" s="124"/>
      <c r="BD62" s="125"/>
    </row>
    <row r="63" spans="1:56" s="1" customFormat="1" ht="14.4" customHeight="1">
      <c r="A63" s="131" t="str">
        <f>IF(B63="","",COUNTA($B$8:B63))</f>
        <v/>
      </c>
      <c r="B63" s="8"/>
      <c r="C63" s="114"/>
      <c r="D63" s="114"/>
      <c r="E63" s="114"/>
      <c r="F63" s="114"/>
      <c r="G63" s="114"/>
      <c r="H63" s="134"/>
      <c r="I63" s="115"/>
      <c r="J63" s="116"/>
      <c r="K63" s="116"/>
      <c r="L63" s="116"/>
      <c r="M63" s="116"/>
      <c r="N63" s="116"/>
      <c r="O63" s="116"/>
      <c r="P63" s="116"/>
      <c r="Q63" s="133"/>
      <c r="R63" s="8"/>
      <c r="S63" s="116"/>
      <c r="T63" s="116"/>
      <c r="U63" s="116"/>
      <c r="V63" s="116"/>
      <c r="W63" s="116"/>
      <c r="X63" s="134"/>
      <c r="Y63" s="424"/>
      <c r="Z63" s="425"/>
      <c r="AA63" s="426"/>
      <c r="AB63" s="427"/>
      <c r="AC63" s="428"/>
      <c r="AD63" s="159"/>
      <c r="AE63" s="111" t="s">
        <v>244</v>
      </c>
      <c r="AF63" s="111"/>
      <c r="AG63" s="111"/>
      <c r="AH63" s="121"/>
      <c r="AI63" s="121"/>
      <c r="AJ63" s="121"/>
      <c r="AK63" s="121"/>
      <c r="AL63" s="121"/>
      <c r="AM63" s="121"/>
      <c r="AN63" s="121"/>
      <c r="AO63" s="122"/>
      <c r="AP63" s="122"/>
      <c r="AQ63" s="122"/>
      <c r="AR63" s="122"/>
      <c r="AS63" s="123"/>
      <c r="AT63" s="161"/>
      <c r="AU63" s="124"/>
      <c r="AV63" s="124"/>
      <c r="AW63" s="124"/>
      <c r="AX63" s="124"/>
      <c r="AY63" s="124"/>
      <c r="AZ63" s="124"/>
      <c r="BA63" s="124"/>
      <c r="BB63" s="124"/>
      <c r="BC63" s="124"/>
      <c r="BD63" s="125"/>
    </row>
    <row r="64" spans="1:56" s="1" customFormat="1" ht="14.4" customHeight="1">
      <c r="A64" s="131" t="str">
        <f>IF(B64="","",COUNTA($B$8:B64))</f>
        <v/>
      </c>
      <c r="B64" s="8"/>
      <c r="C64" s="114"/>
      <c r="D64" s="114"/>
      <c r="E64" s="114"/>
      <c r="F64" s="114"/>
      <c r="G64" s="114"/>
      <c r="H64" s="134"/>
      <c r="I64" s="115"/>
      <c r="J64" s="116"/>
      <c r="K64" s="116"/>
      <c r="L64" s="116"/>
      <c r="M64" s="116"/>
      <c r="N64" s="116"/>
      <c r="O64" s="116"/>
      <c r="P64" s="116"/>
      <c r="Q64" s="133"/>
      <c r="R64" s="8"/>
      <c r="S64" s="116"/>
      <c r="T64" s="116"/>
      <c r="U64" s="116"/>
      <c r="V64" s="116"/>
      <c r="W64" s="116"/>
      <c r="X64" s="134"/>
      <c r="Y64" s="424"/>
      <c r="Z64" s="425"/>
      <c r="AA64" s="426"/>
      <c r="AB64" s="427"/>
      <c r="AC64" s="428"/>
      <c r="AD64" s="159"/>
      <c r="AE64" s="111" t="s">
        <v>244</v>
      </c>
      <c r="AF64" s="111"/>
      <c r="AG64" s="111"/>
      <c r="AH64" s="121"/>
      <c r="AI64" s="121"/>
      <c r="AJ64" s="121"/>
      <c r="AK64" s="121"/>
      <c r="AL64" s="121"/>
      <c r="AM64" s="121"/>
      <c r="AN64" s="121"/>
      <c r="AO64" s="122"/>
      <c r="AP64" s="122"/>
      <c r="AQ64" s="122"/>
      <c r="AR64" s="122"/>
      <c r="AS64" s="123"/>
      <c r="AT64" s="161"/>
      <c r="AU64" s="124"/>
      <c r="AV64" s="124"/>
      <c r="AW64" s="124"/>
      <c r="AX64" s="124"/>
      <c r="AY64" s="124"/>
      <c r="AZ64" s="124"/>
      <c r="BA64" s="124"/>
      <c r="BB64" s="124"/>
      <c r="BC64" s="124"/>
      <c r="BD64" s="125"/>
    </row>
    <row r="65" spans="1:56" s="1" customFormat="1" ht="14.4" customHeight="1">
      <c r="A65" s="131" t="str">
        <f>IF(B65="","",COUNTA($B$8:B65))</f>
        <v/>
      </c>
      <c r="B65" s="8"/>
      <c r="C65" s="114"/>
      <c r="D65" s="114"/>
      <c r="E65" s="114"/>
      <c r="F65" s="114"/>
      <c r="G65" s="114"/>
      <c r="H65" s="134"/>
      <c r="I65" s="115"/>
      <c r="J65" s="116"/>
      <c r="K65" s="116"/>
      <c r="L65" s="116"/>
      <c r="M65" s="116"/>
      <c r="N65" s="116"/>
      <c r="O65" s="116"/>
      <c r="P65" s="116"/>
      <c r="Q65" s="133"/>
      <c r="R65" s="8"/>
      <c r="S65" s="116"/>
      <c r="T65" s="116"/>
      <c r="U65" s="116"/>
      <c r="V65" s="116"/>
      <c r="W65" s="116"/>
      <c r="X65" s="134"/>
      <c r="Y65" s="424"/>
      <c r="Z65" s="425"/>
      <c r="AA65" s="426"/>
      <c r="AB65" s="427"/>
      <c r="AC65" s="428"/>
      <c r="AD65" s="159"/>
      <c r="AE65" s="111" t="s">
        <v>244</v>
      </c>
      <c r="AF65" s="111"/>
      <c r="AG65" s="111"/>
      <c r="AH65" s="121"/>
      <c r="AI65" s="121"/>
      <c r="AJ65" s="121"/>
      <c r="AK65" s="121"/>
      <c r="AL65" s="121"/>
      <c r="AM65" s="121"/>
      <c r="AN65" s="121"/>
      <c r="AO65" s="122"/>
      <c r="AP65" s="122"/>
      <c r="AQ65" s="122"/>
      <c r="AR65" s="122"/>
      <c r="AS65" s="123"/>
      <c r="AT65" s="161"/>
      <c r="AU65" s="124"/>
      <c r="AV65" s="124"/>
      <c r="AW65" s="124"/>
      <c r="AX65" s="124"/>
      <c r="AY65" s="124"/>
      <c r="AZ65" s="124"/>
      <c r="BA65" s="124"/>
      <c r="BB65" s="124"/>
      <c r="BC65" s="124"/>
      <c r="BD65" s="125"/>
    </row>
    <row r="66" spans="1:56" s="1" customFormat="1" ht="14.4" customHeight="1">
      <c r="A66" s="131" t="str">
        <f>IF(B66="","",COUNTA($B$8:B66))</f>
        <v/>
      </c>
      <c r="B66" s="8"/>
      <c r="C66" s="114"/>
      <c r="D66" s="114"/>
      <c r="E66" s="114"/>
      <c r="F66" s="114"/>
      <c r="G66" s="114"/>
      <c r="H66" s="134"/>
      <c r="I66" s="115"/>
      <c r="J66" s="116"/>
      <c r="K66" s="116"/>
      <c r="L66" s="116"/>
      <c r="M66" s="116"/>
      <c r="N66" s="116"/>
      <c r="O66" s="116"/>
      <c r="P66" s="116"/>
      <c r="Q66" s="133"/>
      <c r="R66" s="8"/>
      <c r="S66" s="116"/>
      <c r="T66" s="116"/>
      <c r="U66" s="116"/>
      <c r="V66" s="116"/>
      <c r="W66" s="116"/>
      <c r="X66" s="134"/>
      <c r="Y66" s="424"/>
      <c r="Z66" s="425"/>
      <c r="AA66" s="426"/>
      <c r="AB66" s="427"/>
      <c r="AC66" s="428"/>
      <c r="AD66" s="159"/>
      <c r="AE66" s="111" t="s">
        <v>244</v>
      </c>
      <c r="AF66" s="111"/>
      <c r="AG66" s="111"/>
      <c r="AH66" s="121"/>
      <c r="AI66" s="121"/>
      <c r="AJ66" s="121"/>
      <c r="AK66" s="121"/>
      <c r="AL66" s="121"/>
      <c r="AM66" s="121"/>
      <c r="AN66" s="121"/>
      <c r="AO66" s="122"/>
      <c r="AP66" s="122"/>
      <c r="AQ66" s="122"/>
      <c r="AR66" s="122"/>
      <c r="AS66" s="123"/>
      <c r="AT66" s="161"/>
      <c r="AU66" s="124"/>
      <c r="AV66" s="124"/>
      <c r="AW66" s="124"/>
      <c r="AX66" s="124"/>
      <c r="AY66" s="124"/>
      <c r="AZ66" s="124"/>
      <c r="BA66" s="124"/>
      <c r="BB66" s="124"/>
      <c r="BC66" s="124"/>
      <c r="BD66" s="125"/>
    </row>
    <row r="67" spans="1:56" s="1" customFormat="1" ht="14.4" customHeight="1">
      <c r="A67" s="131" t="str">
        <f>IF(B67="","",COUNTA($B$8:B67))</f>
        <v/>
      </c>
      <c r="B67" s="8"/>
      <c r="C67" s="114"/>
      <c r="D67" s="114"/>
      <c r="E67" s="114"/>
      <c r="F67" s="114"/>
      <c r="G67" s="114"/>
      <c r="H67" s="134"/>
      <c r="I67" s="115"/>
      <c r="J67" s="116"/>
      <c r="K67" s="116"/>
      <c r="L67" s="116"/>
      <c r="M67" s="116"/>
      <c r="N67" s="116"/>
      <c r="O67" s="116"/>
      <c r="P67" s="116"/>
      <c r="Q67" s="133"/>
      <c r="R67" s="8"/>
      <c r="S67" s="116"/>
      <c r="T67" s="116"/>
      <c r="U67" s="116"/>
      <c r="V67" s="116"/>
      <c r="W67" s="116"/>
      <c r="X67" s="134"/>
      <c r="Y67" s="424"/>
      <c r="Z67" s="425"/>
      <c r="AA67" s="426"/>
      <c r="AB67" s="427"/>
      <c r="AC67" s="428"/>
      <c r="AD67" s="159"/>
      <c r="AE67" s="111" t="s">
        <v>244</v>
      </c>
      <c r="AF67" s="111"/>
      <c r="AG67" s="111"/>
      <c r="AH67" s="121"/>
      <c r="AI67" s="121"/>
      <c r="AJ67" s="121"/>
      <c r="AK67" s="121"/>
      <c r="AL67" s="121"/>
      <c r="AM67" s="121"/>
      <c r="AN67" s="121"/>
      <c r="AO67" s="122"/>
      <c r="AP67" s="122"/>
      <c r="AQ67" s="122"/>
      <c r="AR67" s="122"/>
      <c r="AS67" s="123"/>
      <c r="AT67" s="161"/>
      <c r="AU67" s="124"/>
      <c r="AV67" s="124"/>
      <c r="AW67" s="124"/>
      <c r="AX67" s="124"/>
      <c r="AY67" s="124"/>
      <c r="AZ67" s="124"/>
      <c r="BA67" s="124"/>
      <c r="BB67" s="124"/>
      <c r="BC67" s="124"/>
      <c r="BD67" s="125"/>
    </row>
    <row r="68" spans="1:56" s="1" customFormat="1" ht="14.4" customHeight="1">
      <c r="A68" s="131" t="str">
        <f>IF(B68="","",COUNTA($B$8:B68))</f>
        <v/>
      </c>
      <c r="B68" s="8"/>
      <c r="C68" s="114"/>
      <c r="D68" s="114"/>
      <c r="E68" s="114"/>
      <c r="F68" s="114"/>
      <c r="G68" s="114"/>
      <c r="H68" s="134"/>
      <c r="I68" s="115"/>
      <c r="J68" s="116"/>
      <c r="K68" s="116"/>
      <c r="L68" s="116"/>
      <c r="M68" s="116"/>
      <c r="N68" s="116"/>
      <c r="O68" s="116"/>
      <c r="P68" s="116"/>
      <c r="Q68" s="133"/>
      <c r="R68" s="8"/>
      <c r="S68" s="116"/>
      <c r="T68" s="116"/>
      <c r="U68" s="116"/>
      <c r="V68" s="116"/>
      <c r="W68" s="116"/>
      <c r="X68" s="134"/>
      <c r="Y68" s="424"/>
      <c r="Z68" s="425"/>
      <c r="AA68" s="426"/>
      <c r="AB68" s="427"/>
      <c r="AC68" s="428"/>
      <c r="AD68" s="159"/>
      <c r="AE68" s="111" t="s">
        <v>244</v>
      </c>
      <c r="AF68" s="111"/>
      <c r="AG68" s="111"/>
      <c r="AH68" s="121"/>
      <c r="AI68" s="121"/>
      <c r="AJ68" s="121"/>
      <c r="AK68" s="121"/>
      <c r="AL68" s="121"/>
      <c r="AM68" s="121"/>
      <c r="AN68" s="121"/>
      <c r="AO68" s="122"/>
      <c r="AP68" s="122"/>
      <c r="AQ68" s="122"/>
      <c r="AR68" s="122"/>
      <c r="AS68" s="123"/>
      <c r="AT68" s="161"/>
      <c r="AU68" s="124"/>
      <c r="AV68" s="124"/>
      <c r="AW68" s="124"/>
      <c r="AX68" s="124"/>
      <c r="AY68" s="124"/>
      <c r="AZ68" s="124"/>
      <c r="BA68" s="124"/>
      <c r="BB68" s="124"/>
      <c r="BC68" s="124"/>
      <c r="BD68" s="125"/>
    </row>
    <row r="69" spans="1:56" s="1" customFormat="1" ht="14.4" customHeight="1">
      <c r="A69" s="131" t="str">
        <f>IF(B69="","",COUNTA($B$8:B69))</f>
        <v/>
      </c>
      <c r="B69" s="8"/>
      <c r="C69" s="114"/>
      <c r="D69" s="114"/>
      <c r="E69" s="114"/>
      <c r="F69" s="114"/>
      <c r="G69" s="114"/>
      <c r="H69" s="134"/>
      <c r="I69" s="115"/>
      <c r="J69" s="116"/>
      <c r="K69" s="116"/>
      <c r="L69" s="116"/>
      <c r="M69" s="116"/>
      <c r="N69" s="116"/>
      <c r="O69" s="116"/>
      <c r="P69" s="116"/>
      <c r="Q69" s="133"/>
      <c r="R69" s="8"/>
      <c r="S69" s="116"/>
      <c r="T69" s="116"/>
      <c r="U69" s="116"/>
      <c r="V69" s="116"/>
      <c r="W69" s="116"/>
      <c r="X69" s="134"/>
      <c r="Y69" s="424"/>
      <c r="Z69" s="425"/>
      <c r="AA69" s="426"/>
      <c r="AB69" s="427"/>
      <c r="AC69" s="428"/>
      <c r="AD69" s="159"/>
      <c r="AE69" s="111" t="s">
        <v>244</v>
      </c>
      <c r="AF69" s="111"/>
      <c r="AG69" s="111"/>
      <c r="AH69" s="121"/>
      <c r="AI69" s="121"/>
      <c r="AJ69" s="121"/>
      <c r="AK69" s="121"/>
      <c r="AL69" s="121"/>
      <c r="AM69" s="121"/>
      <c r="AN69" s="121"/>
      <c r="AO69" s="122"/>
      <c r="AP69" s="122"/>
      <c r="AQ69" s="122"/>
      <c r="AR69" s="122"/>
      <c r="AS69" s="123"/>
      <c r="AT69" s="161"/>
      <c r="AU69" s="124"/>
      <c r="AV69" s="124"/>
      <c r="AW69" s="124"/>
      <c r="AX69" s="124"/>
      <c r="AY69" s="124"/>
      <c r="AZ69" s="124"/>
      <c r="BA69" s="124"/>
      <c r="BB69" s="124"/>
      <c r="BC69" s="124"/>
      <c r="BD69" s="125"/>
    </row>
    <row r="70" spans="1:56" s="1" customFormat="1" ht="14.4" customHeight="1">
      <c r="A70" s="131" t="str">
        <f>IF(B70="","",COUNTA($B$8:B70))</f>
        <v/>
      </c>
      <c r="B70" s="8"/>
      <c r="C70" s="114"/>
      <c r="D70" s="114"/>
      <c r="E70" s="114"/>
      <c r="F70" s="114"/>
      <c r="G70" s="114"/>
      <c r="H70" s="134"/>
      <c r="I70" s="115"/>
      <c r="J70" s="116"/>
      <c r="K70" s="116"/>
      <c r="L70" s="116"/>
      <c r="M70" s="116"/>
      <c r="N70" s="116"/>
      <c r="O70" s="116"/>
      <c r="P70" s="116"/>
      <c r="Q70" s="133"/>
      <c r="R70" s="8"/>
      <c r="S70" s="116"/>
      <c r="T70" s="116"/>
      <c r="U70" s="116"/>
      <c r="V70" s="116"/>
      <c r="W70" s="116"/>
      <c r="X70" s="134"/>
      <c r="Y70" s="424"/>
      <c r="Z70" s="425"/>
      <c r="AA70" s="426"/>
      <c r="AB70" s="427"/>
      <c r="AC70" s="428"/>
      <c r="AD70" s="159"/>
      <c r="AE70" s="111" t="s">
        <v>244</v>
      </c>
      <c r="AF70" s="111"/>
      <c r="AG70" s="111"/>
      <c r="AH70" s="121"/>
      <c r="AI70" s="121"/>
      <c r="AJ70" s="121"/>
      <c r="AK70" s="121"/>
      <c r="AL70" s="121"/>
      <c r="AM70" s="121"/>
      <c r="AN70" s="121"/>
      <c r="AO70" s="122"/>
      <c r="AP70" s="122"/>
      <c r="AQ70" s="122"/>
      <c r="AR70" s="122"/>
      <c r="AS70" s="123"/>
      <c r="AT70" s="161"/>
      <c r="AU70" s="124"/>
      <c r="AV70" s="124"/>
      <c r="AW70" s="124"/>
      <c r="AX70" s="124"/>
      <c r="AY70" s="124"/>
      <c r="AZ70" s="124"/>
      <c r="BA70" s="124"/>
      <c r="BB70" s="124"/>
      <c r="BC70" s="124"/>
      <c r="BD70" s="125"/>
    </row>
    <row r="71" spans="1:56" s="1" customFormat="1" ht="14.4" customHeight="1">
      <c r="A71" s="131" t="str">
        <f>IF(B71="","",COUNTA($B$8:B71))</f>
        <v/>
      </c>
      <c r="B71" s="8"/>
      <c r="C71" s="114"/>
      <c r="D71" s="114"/>
      <c r="E71" s="114"/>
      <c r="F71" s="114"/>
      <c r="G71" s="114"/>
      <c r="H71" s="134"/>
      <c r="I71" s="115"/>
      <c r="J71" s="116"/>
      <c r="K71" s="116"/>
      <c r="L71" s="116"/>
      <c r="M71" s="116"/>
      <c r="N71" s="116"/>
      <c r="O71" s="116"/>
      <c r="P71" s="116"/>
      <c r="Q71" s="133"/>
      <c r="R71" s="8"/>
      <c r="S71" s="116"/>
      <c r="T71" s="116"/>
      <c r="U71" s="116"/>
      <c r="V71" s="116"/>
      <c r="W71" s="116"/>
      <c r="X71" s="134"/>
      <c r="Y71" s="424"/>
      <c r="Z71" s="425"/>
      <c r="AA71" s="426"/>
      <c r="AB71" s="427"/>
      <c r="AC71" s="428"/>
      <c r="AD71" s="159"/>
      <c r="AE71" s="111" t="s">
        <v>244</v>
      </c>
      <c r="AF71" s="111"/>
      <c r="AG71" s="111"/>
      <c r="AH71" s="121"/>
      <c r="AI71" s="121"/>
      <c r="AJ71" s="121"/>
      <c r="AK71" s="121"/>
      <c r="AL71" s="121"/>
      <c r="AM71" s="121"/>
      <c r="AN71" s="121"/>
      <c r="AO71" s="122"/>
      <c r="AP71" s="122"/>
      <c r="AQ71" s="122"/>
      <c r="AR71" s="122"/>
      <c r="AS71" s="123"/>
      <c r="AT71" s="161"/>
      <c r="AU71" s="124"/>
      <c r="AV71" s="124"/>
      <c r="AW71" s="124"/>
      <c r="AX71" s="124"/>
      <c r="AY71" s="124"/>
      <c r="AZ71" s="124"/>
      <c r="BA71" s="124"/>
      <c r="BB71" s="124"/>
      <c r="BC71" s="124"/>
      <c r="BD71" s="125"/>
    </row>
    <row r="72" spans="1:56" s="1" customFormat="1" ht="14.4" customHeight="1">
      <c r="A72" s="131" t="str">
        <f>IF(B72="","",COUNTA($B$8:B72))</f>
        <v/>
      </c>
      <c r="B72" s="8"/>
      <c r="C72" s="114"/>
      <c r="D72" s="114"/>
      <c r="E72" s="114"/>
      <c r="F72" s="114"/>
      <c r="G72" s="114"/>
      <c r="H72" s="134"/>
      <c r="I72" s="115"/>
      <c r="J72" s="116"/>
      <c r="K72" s="116"/>
      <c r="L72" s="116"/>
      <c r="M72" s="116"/>
      <c r="N72" s="116"/>
      <c r="O72" s="116"/>
      <c r="P72" s="116"/>
      <c r="Q72" s="133"/>
      <c r="R72" s="8"/>
      <c r="S72" s="116"/>
      <c r="T72" s="116"/>
      <c r="U72" s="116"/>
      <c r="V72" s="116"/>
      <c r="W72" s="116"/>
      <c r="X72" s="134"/>
      <c r="Y72" s="424"/>
      <c r="Z72" s="425"/>
      <c r="AA72" s="426"/>
      <c r="AB72" s="427"/>
      <c r="AC72" s="428"/>
      <c r="AD72" s="159"/>
      <c r="AE72" s="111" t="s">
        <v>244</v>
      </c>
      <c r="AF72" s="111"/>
      <c r="AG72" s="111"/>
      <c r="AH72" s="121"/>
      <c r="AI72" s="121"/>
      <c r="AJ72" s="121"/>
      <c r="AK72" s="121"/>
      <c r="AL72" s="121"/>
      <c r="AM72" s="121"/>
      <c r="AN72" s="121"/>
      <c r="AO72" s="122"/>
      <c r="AP72" s="122"/>
      <c r="AQ72" s="122"/>
      <c r="AR72" s="122"/>
      <c r="AS72" s="123"/>
      <c r="AT72" s="161"/>
      <c r="AU72" s="124"/>
      <c r="AV72" s="124"/>
      <c r="AW72" s="124"/>
      <c r="AX72" s="124"/>
      <c r="AY72" s="124"/>
      <c r="AZ72" s="124"/>
      <c r="BA72" s="124"/>
      <c r="BB72" s="124"/>
      <c r="BC72" s="124"/>
      <c r="BD72" s="125"/>
    </row>
    <row r="73" spans="1:56" s="1" customFormat="1" ht="14.4" customHeight="1">
      <c r="A73" s="131" t="str">
        <f>IF(B73="","",COUNTA($B$8:B73))</f>
        <v/>
      </c>
      <c r="B73" s="8"/>
      <c r="C73" s="114"/>
      <c r="D73" s="114"/>
      <c r="E73" s="114"/>
      <c r="F73" s="114"/>
      <c r="G73" s="114"/>
      <c r="H73" s="134"/>
      <c r="I73" s="115"/>
      <c r="J73" s="116"/>
      <c r="K73" s="116"/>
      <c r="L73" s="116"/>
      <c r="M73" s="116"/>
      <c r="N73" s="116"/>
      <c r="O73" s="116"/>
      <c r="P73" s="116"/>
      <c r="Q73" s="133"/>
      <c r="R73" s="8"/>
      <c r="S73" s="116"/>
      <c r="T73" s="116"/>
      <c r="U73" s="116"/>
      <c r="V73" s="116"/>
      <c r="W73" s="116"/>
      <c r="X73" s="134"/>
      <c r="Y73" s="424"/>
      <c r="Z73" s="425"/>
      <c r="AA73" s="426"/>
      <c r="AB73" s="427"/>
      <c r="AC73" s="428"/>
      <c r="AD73" s="159"/>
      <c r="AE73" s="111" t="s">
        <v>244</v>
      </c>
      <c r="AF73" s="111"/>
      <c r="AG73" s="111"/>
      <c r="AH73" s="121"/>
      <c r="AI73" s="121"/>
      <c r="AJ73" s="121"/>
      <c r="AK73" s="121"/>
      <c r="AL73" s="121"/>
      <c r="AM73" s="121"/>
      <c r="AN73" s="121"/>
      <c r="AO73" s="122"/>
      <c r="AP73" s="122"/>
      <c r="AQ73" s="122"/>
      <c r="AR73" s="122"/>
      <c r="AS73" s="123"/>
      <c r="AT73" s="161"/>
      <c r="AU73" s="124"/>
      <c r="AV73" s="124"/>
      <c r="AW73" s="124"/>
      <c r="AX73" s="124"/>
      <c r="AY73" s="124"/>
      <c r="AZ73" s="124"/>
      <c r="BA73" s="124"/>
      <c r="BB73" s="124"/>
      <c r="BC73" s="124"/>
      <c r="BD73" s="125"/>
    </row>
    <row r="74" spans="1:56" s="1" customFormat="1" ht="14.4" customHeight="1">
      <c r="A74" s="131" t="str">
        <f>IF(B74="","",COUNTA($B$8:B74))</f>
        <v/>
      </c>
      <c r="B74" s="8"/>
      <c r="C74" s="114"/>
      <c r="D74" s="114"/>
      <c r="E74" s="114"/>
      <c r="F74" s="114"/>
      <c r="G74" s="114"/>
      <c r="H74" s="134"/>
      <c r="I74" s="115"/>
      <c r="J74" s="116"/>
      <c r="K74" s="116"/>
      <c r="L74" s="116"/>
      <c r="M74" s="116"/>
      <c r="N74" s="116"/>
      <c r="O74" s="116"/>
      <c r="P74" s="116"/>
      <c r="Q74" s="133"/>
      <c r="R74" s="8"/>
      <c r="S74" s="116"/>
      <c r="T74" s="116"/>
      <c r="U74" s="116"/>
      <c r="V74" s="116"/>
      <c r="W74" s="116"/>
      <c r="X74" s="134"/>
      <c r="Y74" s="424"/>
      <c r="Z74" s="425"/>
      <c r="AA74" s="426"/>
      <c r="AB74" s="427"/>
      <c r="AC74" s="428"/>
      <c r="AD74" s="159"/>
      <c r="AE74" s="111" t="s">
        <v>244</v>
      </c>
      <c r="AF74" s="111"/>
      <c r="AG74" s="111"/>
      <c r="AH74" s="121"/>
      <c r="AI74" s="121"/>
      <c r="AJ74" s="121"/>
      <c r="AK74" s="121"/>
      <c r="AL74" s="121"/>
      <c r="AM74" s="121"/>
      <c r="AN74" s="121"/>
      <c r="AO74" s="122"/>
      <c r="AP74" s="122"/>
      <c r="AQ74" s="122"/>
      <c r="AR74" s="122"/>
      <c r="AS74" s="123"/>
      <c r="AT74" s="161"/>
      <c r="AU74" s="124"/>
      <c r="AV74" s="124"/>
      <c r="AW74" s="124"/>
      <c r="AX74" s="124"/>
      <c r="AY74" s="124"/>
      <c r="AZ74" s="124"/>
      <c r="BA74" s="124"/>
      <c r="BB74" s="124"/>
      <c r="BC74" s="124"/>
      <c r="BD74" s="125"/>
    </row>
    <row r="75" spans="1:56" s="1" customFormat="1" ht="14.4" customHeight="1">
      <c r="A75" s="131" t="str">
        <f>IF(B75="","",COUNTA($B$8:B75))</f>
        <v/>
      </c>
      <c r="B75" s="8"/>
      <c r="C75" s="114"/>
      <c r="D75" s="114"/>
      <c r="E75" s="114"/>
      <c r="F75" s="114"/>
      <c r="G75" s="114"/>
      <c r="H75" s="134"/>
      <c r="I75" s="115"/>
      <c r="J75" s="116"/>
      <c r="K75" s="116"/>
      <c r="L75" s="116"/>
      <c r="M75" s="116"/>
      <c r="N75" s="116"/>
      <c r="O75" s="116"/>
      <c r="P75" s="116"/>
      <c r="Q75" s="133"/>
      <c r="R75" s="8"/>
      <c r="S75" s="116"/>
      <c r="T75" s="116"/>
      <c r="U75" s="116"/>
      <c r="V75" s="116"/>
      <c r="W75" s="116"/>
      <c r="X75" s="134"/>
      <c r="Y75" s="424"/>
      <c r="Z75" s="425"/>
      <c r="AA75" s="426"/>
      <c r="AB75" s="427"/>
      <c r="AC75" s="428"/>
      <c r="AD75" s="159"/>
      <c r="AE75" s="111" t="s">
        <v>244</v>
      </c>
      <c r="AF75" s="111"/>
      <c r="AG75" s="111"/>
      <c r="AH75" s="121"/>
      <c r="AI75" s="121"/>
      <c r="AJ75" s="121"/>
      <c r="AK75" s="121"/>
      <c r="AL75" s="121"/>
      <c r="AM75" s="121"/>
      <c r="AN75" s="121"/>
      <c r="AO75" s="122"/>
      <c r="AP75" s="122"/>
      <c r="AQ75" s="122"/>
      <c r="AR75" s="122"/>
      <c r="AS75" s="123"/>
      <c r="AT75" s="161"/>
      <c r="AU75" s="124"/>
      <c r="AV75" s="124"/>
      <c r="AW75" s="124"/>
      <c r="AX75" s="124"/>
      <c r="AY75" s="124"/>
      <c r="AZ75" s="124"/>
      <c r="BA75" s="124"/>
      <c r="BB75" s="124"/>
      <c r="BC75" s="124"/>
      <c r="BD75" s="125"/>
    </row>
    <row r="76" spans="1:56" ht="14.4" customHeight="1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419"/>
      <c r="Z76" s="420"/>
      <c r="AA76" s="421"/>
      <c r="AB76" s="422"/>
      <c r="AC76" s="423"/>
      <c r="AD76" s="30"/>
      <c r="AE76" s="29" t="s">
        <v>244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" customHeight="1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419"/>
      <c r="Z77" s="420"/>
      <c r="AA77" s="421"/>
      <c r="AB77" s="422"/>
      <c r="AC77" s="423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" customHeight="1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419"/>
      <c r="Z78" s="420"/>
      <c r="AA78" s="421"/>
      <c r="AB78" s="422"/>
      <c r="AC78" s="423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" customHeight="1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419"/>
      <c r="Z79" s="420"/>
      <c r="AA79" s="421"/>
      <c r="AB79" s="422"/>
      <c r="AC79" s="423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" customHeight="1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419"/>
      <c r="Z80" s="420"/>
      <c r="AA80" s="421"/>
      <c r="AB80" s="422"/>
      <c r="AC80" s="423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" customHeight="1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419"/>
      <c r="Z81" s="420"/>
      <c r="AA81" s="421"/>
      <c r="AB81" s="422"/>
      <c r="AC81" s="423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" customHeight="1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419"/>
      <c r="Z82" s="420"/>
      <c r="AA82" s="421"/>
      <c r="AB82" s="422"/>
      <c r="AC82" s="423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" customHeight="1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419"/>
      <c r="Z83" s="420"/>
      <c r="AA83" s="421"/>
      <c r="AB83" s="422"/>
      <c r="AC83" s="423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" customHeight="1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419"/>
      <c r="Z84" s="420"/>
      <c r="AA84" s="421"/>
      <c r="AB84" s="422"/>
      <c r="AC84" s="423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" customHeight="1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419"/>
      <c r="Z85" s="420"/>
      <c r="AA85" s="421"/>
      <c r="AB85" s="422"/>
      <c r="AC85" s="423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3">
    <mergeCell ref="Y84:Z84"/>
    <mergeCell ref="AA84:AC84"/>
    <mergeCell ref="Y85:Z85"/>
    <mergeCell ref="AA85:AC85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83:Z83"/>
    <mergeCell ref="AA83:AC83"/>
    <mergeCell ref="Y74:Z74"/>
    <mergeCell ref="AA74:AC74"/>
    <mergeCell ref="Y75:Z75"/>
    <mergeCell ref="AA75:AC75"/>
    <mergeCell ref="Y76:Z76"/>
    <mergeCell ref="AA76:AC76"/>
    <mergeCell ref="Y77:Z77"/>
    <mergeCell ref="AA77:AC77"/>
    <mergeCell ref="Y78:Z78"/>
    <mergeCell ref="AA78:AC78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3:Z63"/>
    <mergeCell ref="AA63:AC63"/>
    <mergeCell ref="Y58:Z58"/>
    <mergeCell ref="AA58:AC58"/>
    <mergeCell ref="Y59:Z59"/>
    <mergeCell ref="AA59:AC59"/>
    <mergeCell ref="Y60:Z60"/>
    <mergeCell ref="AA60:AC60"/>
    <mergeCell ref="Y49:Z49"/>
    <mergeCell ref="AA49:AC49"/>
    <mergeCell ref="Y52:Z52"/>
    <mergeCell ref="AA52:AC52"/>
    <mergeCell ref="Y32:Z32"/>
    <mergeCell ref="Y39:Z39"/>
    <mergeCell ref="Y61:Z61"/>
    <mergeCell ref="AA61:AC61"/>
    <mergeCell ref="Y62:Z62"/>
    <mergeCell ref="AA62:AC62"/>
    <mergeCell ref="Y55:Z55"/>
    <mergeCell ref="AA55:AC55"/>
    <mergeCell ref="Y56:Z56"/>
    <mergeCell ref="AA56:AC56"/>
    <mergeCell ref="Y57:Z57"/>
    <mergeCell ref="AA57:AC57"/>
    <mergeCell ref="Y51:Z51"/>
    <mergeCell ref="AA51:AC51"/>
    <mergeCell ref="Y53:Z53"/>
    <mergeCell ref="AA53:AC53"/>
    <mergeCell ref="Y54:Z54"/>
    <mergeCell ref="AA54:AC54"/>
    <mergeCell ref="Y48:Z48"/>
    <mergeCell ref="AA48:AC48"/>
    <mergeCell ref="Y50:Z50"/>
    <mergeCell ref="AA50:AC50"/>
    <mergeCell ref="Y45:Z45"/>
    <mergeCell ref="AA45:AC45"/>
    <mergeCell ref="Y46:Z46"/>
    <mergeCell ref="AA46:AC46"/>
    <mergeCell ref="Y47:Z47"/>
    <mergeCell ref="AA47:AC47"/>
    <mergeCell ref="AA43:AC43"/>
    <mergeCell ref="Y44:Z44"/>
    <mergeCell ref="AA44:AC44"/>
    <mergeCell ref="Y33:Z33"/>
    <mergeCell ref="Y34:Z34"/>
    <mergeCell ref="AA42:AC42"/>
    <mergeCell ref="Y35:Z35"/>
    <mergeCell ref="Y36:Z36"/>
    <mergeCell ref="Y41:Z41"/>
    <mergeCell ref="Y37:Z37"/>
    <mergeCell ref="Y40:Z40"/>
    <mergeCell ref="Y38:Z38"/>
    <mergeCell ref="AA34:AC34"/>
    <mergeCell ref="AA35:AC35"/>
    <mergeCell ref="AA36:AC36"/>
    <mergeCell ref="AA37:AC37"/>
    <mergeCell ref="AA38:AC38"/>
    <mergeCell ref="AA39:AC39"/>
    <mergeCell ref="Y12:Z12"/>
    <mergeCell ref="A6:A7"/>
    <mergeCell ref="B6:H7"/>
    <mergeCell ref="I6:Q7"/>
    <mergeCell ref="AZ4:BD4"/>
    <mergeCell ref="AU1:AY1"/>
    <mergeCell ref="AU4:AY4"/>
    <mergeCell ref="I1:Q1"/>
    <mergeCell ref="R1:X1"/>
    <mergeCell ref="R6:X7"/>
    <mergeCell ref="AA10:AC10"/>
    <mergeCell ref="AA11:AC11"/>
    <mergeCell ref="AA12:AC12"/>
    <mergeCell ref="A1:H4"/>
    <mergeCell ref="AZ1:BD1"/>
    <mergeCell ref="I2:Q4"/>
    <mergeCell ref="R2:X4"/>
    <mergeCell ref="Y2:AO3"/>
    <mergeCell ref="AP2:AT2"/>
    <mergeCell ref="AZ2:BD2"/>
    <mergeCell ref="Y9:Z9"/>
    <mergeCell ref="Y11:Z11"/>
    <mergeCell ref="AA13:AC13"/>
    <mergeCell ref="Y24:Z24"/>
    <mergeCell ref="Y25:Z25"/>
    <mergeCell ref="Y22:Z22"/>
    <mergeCell ref="Y21:Z21"/>
    <mergeCell ref="Y10:Z10"/>
    <mergeCell ref="Y18:Z18"/>
    <mergeCell ref="AP1:AT1"/>
    <mergeCell ref="Y4:AO4"/>
    <mergeCell ref="AP4:AT4"/>
    <mergeCell ref="Y1:AO1"/>
    <mergeCell ref="AF6:AF7"/>
    <mergeCell ref="AA14:AC14"/>
    <mergeCell ref="AA15:AC15"/>
    <mergeCell ref="AA16:AC16"/>
    <mergeCell ref="AA17:AC17"/>
    <mergeCell ref="AA18:AC18"/>
    <mergeCell ref="AA19:AC19"/>
    <mergeCell ref="AA20:AC20"/>
    <mergeCell ref="AA8:AC8"/>
    <mergeCell ref="AA9:AC9"/>
    <mergeCell ref="AA22:AC22"/>
    <mergeCell ref="AA23:AC23"/>
    <mergeCell ref="AA24:AC24"/>
    <mergeCell ref="Y31:Z31"/>
    <mergeCell ref="Y16:Z16"/>
    <mergeCell ref="Y26:Z26"/>
    <mergeCell ref="Y27:Z27"/>
    <mergeCell ref="Y29:Z29"/>
    <mergeCell ref="Y23:Z23"/>
    <mergeCell ref="AP3:AT3"/>
    <mergeCell ref="AG6:AG7"/>
    <mergeCell ref="AH6:AH7"/>
    <mergeCell ref="AI6:AR6"/>
    <mergeCell ref="AS6:BD7"/>
    <mergeCell ref="Y8:Z8"/>
    <mergeCell ref="AU3:AY3"/>
    <mergeCell ref="AZ3:BD3"/>
    <mergeCell ref="Y30:Z30"/>
    <mergeCell ref="Y19:Z19"/>
    <mergeCell ref="Y20:Z20"/>
    <mergeCell ref="Y28:Z28"/>
    <mergeCell ref="AE6:AE7"/>
    <mergeCell ref="Y17:Z17"/>
    <mergeCell ref="Y6:Z7"/>
    <mergeCell ref="AA6:AC7"/>
    <mergeCell ref="AD6:AD7"/>
    <mergeCell ref="AA21:AC21"/>
    <mergeCell ref="AA41:AC41"/>
    <mergeCell ref="AA40:AC40"/>
    <mergeCell ref="AA25:AC25"/>
    <mergeCell ref="AA26:AC26"/>
    <mergeCell ref="AA27:AC27"/>
    <mergeCell ref="AA28:AC28"/>
    <mergeCell ref="AA29:AC29"/>
    <mergeCell ref="AA30:AC30"/>
    <mergeCell ref="AA31:AC31"/>
    <mergeCell ref="AA32:AC32"/>
    <mergeCell ref="AA33:AC33"/>
  </mergeCells>
  <phoneticPr fontId="5"/>
  <dataValidations count="3">
    <dataValidation imeMode="hiragana" allowBlank="1" showInputMessage="1" showErrorMessage="1" sqref="JK65517:JV65519 TG65517:TR65519 ADC65517:ADN65519 AMY65517:ANJ65519 AWU65517:AXF65519 BGQ65517:BHB65519 BQM65517:BQX65519 CAI65517:CAT65519 CKE65517:CKP65519 CUA65517:CUL65519 DDW65517:DEH65519 DNS65517:DOD65519 DXO65517:DXZ65519 EHK65517:EHV65519 ERG65517:ERR65519 FBC65517:FBN65519 FKY65517:FLJ65519 FUU65517:FVF65519 GEQ65517:GFB65519 GOM65517:GOX65519 GYI65517:GYT65519 HIE65517:HIP65519 HSA65517:HSL65519 IBW65517:ICH65519 ILS65517:IMD65519 IVO65517:IVZ65519 JFK65517:JFV65519 JPG65517:JPR65519 JZC65517:JZN65519 KIY65517:KJJ65519 KSU65517:KTF65519 LCQ65517:LDB65519 LMM65517:LMX65519 LWI65517:LWT65519 MGE65517:MGP65519 MQA65517:MQL65519 MZW65517:NAH65519 NJS65517:NKD65519 NTO65517:NTZ65519 ODK65517:ODV65519 ONG65517:ONR65519 OXC65517:OXN65519 PGY65517:PHJ65519 PQU65517:PRF65519 QAQ65517:QBB65519 QKM65517:QKX65519 QUI65517:QUT65519 REE65517:REP65519 ROA65517:ROL65519 RXW65517:RYH65519 SHS65517:SID65519 SRO65517:SRZ65519 TBK65517:TBV65519 TLG65517:TLR65519 TVC65517:TVN65519 UEY65517:UFJ65519 UOU65517:UPF65519 UYQ65517:UZB65519 VIM65517:VIX65519 VSI65517:VST65519 WCE65517:WCP65519 WMA65517:WML65519 WVW65517:WWH65519 JK131053:JV131055 TG131053:TR131055 ADC131053:ADN131055 AMY131053:ANJ131055 AWU131053:AXF131055 BGQ131053:BHB131055 BQM131053:BQX131055 CAI131053:CAT131055 CKE131053:CKP131055 CUA131053:CUL131055 DDW131053:DEH131055 DNS131053:DOD131055 DXO131053:DXZ131055 EHK131053:EHV131055 ERG131053:ERR131055 FBC131053:FBN131055 FKY131053:FLJ131055 FUU131053:FVF131055 GEQ131053:GFB131055 GOM131053:GOX131055 GYI131053:GYT131055 HIE131053:HIP131055 HSA131053:HSL131055 IBW131053:ICH131055 ILS131053:IMD131055 IVO131053:IVZ131055 JFK131053:JFV131055 JPG131053:JPR131055 JZC131053:JZN131055 KIY131053:KJJ131055 KSU131053:KTF131055 LCQ131053:LDB131055 LMM131053:LMX131055 LWI131053:LWT131055 MGE131053:MGP131055 MQA131053:MQL131055 MZW131053:NAH131055 NJS131053:NKD131055 NTO131053:NTZ131055 ODK131053:ODV131055 ONG131053:ONR131055 OXC131053:OXN131055 PGY131053:PHJ131055 PQU131053:PRF131055 QAQ131053:QBB131055 QKM131053:QKX131055 QUI131053:QUT131055 REE131053:REP131055 ROA131053:ROL131055 RXW131053:RYH131055 SHS131053:SID131055 SRO131053:SRZ131055 TBK131053:TBV131055 TLG131053:TLR131055 TVC131053:TVN131055 UEY131053:UFJ131055 UOU131053:UPF131055 UYQ131053:UZB131055 VIM131053:VIX131055 VSI131053:VST131055 WCE131053:WCP131055 WMA131053:WML131055 WVW131053:WWH131055 JK196589:JV196591 TG196589:TR196591 ADC196589:ADN196591 AMY196589:ANJ196591 AWU196589:AXF196591 BGQ196589:BHB196591 BQM196589:BQX196591 CAI196589:CAT196591 CKE196589:CKP196591 CUA196589:CUL196591 DDW196589:DEH196591 DNS196589:DOD196591 DXO196589:DXZ196591 EHK196589:EHV196591 ERG196589:ERR196591 FBC196589:FBN196591 FKY196589:FLJ196591 FUU196589:FVF196591 GEQ196589:GFB196591 GOM196589:GOX196591 GYI196589:GYT196591 HIE196589:HIP196591 HSA196589:HSL196591 IBW196589:ICH196591 ILS196589:IMD196591 IVO196589:IVZ196591 JFK196589:JFV196591 JPG196589:JPR196591 JZC196589:JZN196591 KIY196589:KJJ196591 KSU196589:KTF196591 LCQ196589:LDB196591 LMM196589:LMX196591 LWI196589:LWT196591 MGE196589:MGP196591 MQA196589:MQL196591 MZW196589:NAH196591 NJS196589:NKD196591 NTO196589:NTZ196591 ODK196589:ODV196591 ONG196589:ONR196591 OXC196589:OXN196591 PGY196589:PHJ196591 PQU196589:PRF196591 QAQ196589:QBB196591 QKM196589:QKX196591 QUI196589:QUT196591 REE196589:REP196591 ROA196589:ROL196591 RXW196589:RYH196591 SHS196589:SID196591 SRO196589:SRZ196591 TBK196589:TBV196591 TLG196589:TLR196591 TVC196589:TVN196591 UEY196589:UFJ196591 UOU196589:UPF196591 UYQ196589:UZB196591 VIM196589:VIX196591 VSI196589:VST196591 WCE196589:WCP196591 WMA196589:WML196591 WVW196589:WWH196591 JK262125:JV262127 TG262125:TR262127 ADC262125:ADN262127 AMY262125:ANJ262127 AWU262125:AXF262127 BGQ262125:BHB262127 BQM262125:BQX262127 CAI262125:CAT262127 CKE262125:CKP262127 CUA262125:CUL262127 DDW262125:DEH262127 DNS262125:DOD262127 DXO262125:DXZ262127 EHK262125:EHV262127 ERG262125:ERR262127 FBC262125:FBN262127 FKY262125:FLJ262127 FUU262125:FVF262127 GEQ262125:GFB262127 GOM262125:GOX262127 GYI262125:GYT262127 HIE262125:HIP262127 HSA262125:HSL262127 IBW262125:ICH262127 ILS262125:IMD262127 IVO262125:IVZ262127 JFK262125:JFV262127 JPG262125:JPR262127 JZC262125:JZN262127 KIY262125:KJJ262127 KSU262125:KTF262127 LCQ262125:LDB262127 LMM262125:LMX262127 LWI262125:LWT262127 MGE262125:MGP262127 MQA262125:MQL262127 MZW262125:NAH262127 NJS262125:NKD262127 NTO262125:NTZ262127 ODK262125:ODV262127 ONG262125:ONR262127 OXC262125:OXN262127 PGY262125:PHJ262127 PQU262125:PRF262127 QAQ262125:QBB262127 QKM262125:QKX262127 QUI262125:QUT262127 REE262125:REP262127 ROA262125:ROL262127 RXW262125:RYH262127 SHS262125:SID262127 SRO262125:SRZ262127 TBK262125:TBV262127 TLG262125:TLR262127 TVC262125:TVN262127 UEY262125:UFJ262127 UOU262125:UPF262127 UYQ262125:UZB262127 VIM262125:VIX262127 VSI262125:VST262127 WCE262125:WCP262127 WMA262125:WML262127 WVW262125:WWH262127 JK327661:JV327663 TG327661:TR327663 ADC327661:ADN327663 AMY327661:ANJ327663 AWU327661:AXF327663 BGQ327661:BHB327663 BQM327661:BQX327663 CAI327661:CAT327663 CKE327661:CKP327663 CUA327661:CUL327663 DDW327661:DEH327663 DNS327661:DOD327663 DXO327661:DXZ327663 EHK327661:EHV327663 ERG327661:ERR327663 FBC327661:FBN327663 FKY327661:FLJ327663 FUU327661:FVF327663 GEQ327661:GFB327663 GOM327661:GOX327663 GYI327661:GYT327663 HIE327661:HIP327663 HSA327661:HSL327663 IBW327661:ICH327663 ILS327661:IMD327663 IVO327661:IVZ327663 JFK327661:JFV327663 JPG327661:JPR327663 JZC327661:JZN327663 KIY327661:KJJ327663 KSU327661:KTF327663 LCQ327661:LDB327663 LMM327661:LMX327663 LWI327661:LWT327663 MGE327661:MGP327663 MQA327661:MQL327663 MZW327661:NAH327663 NJS327661:NKD327663 NTO327661:NTZ327663 ODK327661:ODV327663 ONG327661:ONR327663 OXC327661:OXN327663 PGY327661:PHJ327663 PQU327661:PRF327663 QAQ327661:QBB327663 QKM327661:QKX327663 QUI327661:QUT327663 REE327661:REP327663 ROA327661:ROL327663 RXW327661:RYH327663 SHS327661:SID327663 SRO327661:SRZ327663 TBK327661:TBV327663 TLG327661:TLR327663 TVC327661:TVN327663 UEY327661:UFJ327663 UOU327661:UPF327663 UYQ327661:UZB327663 VIM327661:VIX327663 VSI327661:VST327663 WCE327661:WCP327663 WMA327661:WML327663 WVW327661:WWH327663 JK393197:JV393199 TG393197:TR393199 ADC393197:ADN393199 AMY393197:ANJ393199 AWU393197:AXF393199 BGQ393197:BHB393199 BQM393197:BQX393199 CAI393197:CAT393199 CKE393197:CKP393199 CUA393197:CUL393199 DDW393197:DEH393199 DNS393197:DOD393199 DXO393197:DXZ393199 EHK393197:EHV393199 ERG393197:ERR393199 FBC393197:FBN393199 FKY393197:FLJ393199 FUU393197:FVF393199 GEQ393197:GFB393199 GOM393197:GOX393199 GYI393197:GYT393199 HIE393197:HIP393199 HSA393197:HSL393199 IBW393197:ICH393199 ILS393197:IMD393199 IVO393197:IVZ393199 JFK393197:JFV393199 JPG393197:JPR393199 JZC393197:JZN393199 KIY393197:KJJ393199 KSU393197:KTF393199 LCQ393197:LDB393199 LMM393197:LMX393199 LWI393197:LWT393199 MGE393197:MGP393199 MQA393197:MQL393199 MZW393197:NAH393199 NJS393197:NKD393199 NTO393197:NTZ393199 ODK393197:ODV393199 ONG393197:ONR393199 OXC393197:OXN393199 PGY393197:PHJ393199 PQU393197:PRF393199 QAQ393197:QBB393199 QKM393197:QKX393199 QUI393197:QUT393199 REE393197:REP393199 ROA393197:ROL393199 RXW393197:RYH393199 SHS393197:SID393199 SRO393197:SRZ393199 TBK393197:TBV393199 TLG393197:TLR393199 TVC393197:TVN393199 UEY393197:UFJ393199 UOU393197:UPF393199 UYQ393197:UZB393199 VIM393197:VIX393199 VSI393197:VST393199 WCE393197:WCP393199 WMA393197:WML393199 WVW393197:WWH393199 JK458733:JV458735 TG458733:TR458735 ADC458733:ADN458735 AMY458733:ANJ458735 AWU458733:AXF458735 BGQ458733:BHB458735 BQM458733:BQX458735 CAI458733:CAT458735 CKE458733:CKP458735 CUA458733:CUL458735 DDW458733:DEH458735 DNS458733:DOD458735 DXO458733:DXZ458735 EHK458733:EHV458735 ERG458733:ERR458735 FBC458733:FBN458735 FKY458733:FLJ458735 FUU458733:FVF458735 GEQ458733:GFB458735 GOM458733:GOX458735 GYI458733:GYT458735 HIE458733:HIP458735 HSA458733:HSL458735 IBW458733:ICH458735 ILS458733:IMD458735 IVO458733:IVZ458735 JFK458733:JFV458735 JPG458733:JPR458735 JZC458733:JZN458735 KIY458733:KJJ458735 KSU458733:KTF458735 LCQ458733:LDB458735 LMM458733:LMX458735 LWI458733:LWT458735 MGE458733:MGP458735 MQA458733:MQL458735 MZW458733:NAH458735 NJS458733:NKD458735 NTO458733:NTZ458735 ODK458733:ODV458735 ONG458733:ONR458735 OXC458733:OXN458735 PGY458733:PHJ458735 PQU458733:PRF458735 QAQ458733:QBB458735 QKM458733:QKX458735 QUI458733:QUT458735 REE458733:REP458735 ROA458733:ROL458735 RXW458733:RYH458735 SHS458733:SID458735 SRO458733:SRZ458735 TBK458733:TBV458735 TLG458733:TLR458735 TVC458733:TVN458735 UEY458733:UFJ458735 UOU458733:UPF458735 UYQ458733:UZB458735 VIM458733:VIX458735 VSI458733:VST458735 WCE458733:WCP458735 WMA458733:WML458735 WVW458733:WWH458735 JK524269:JV524271 TG524269:TR524271 ADC524269:ADN524271 AMY524269:ANJ524271 AWU524269:AXF524271 BGQ524269:BHB524271 BQM524269:BQX524271 CAI524269:CAT524271 CKE524269:CKP524271 CUA524269:CUL524271 DDW524269:DEH524271 DNS524269:DOD524271 DXO524269:DXZ524271 EHK524269:EHV524271 ERG524269:ERR524271 FBC524269:FBN524271 FKY524269:FLJ524271 FUU524269:FVF524271 GEQ524269:GFB524271 GOM524269:GOX524271 GYI524269:GYT524271 HIE524269:HIP524271 HSA524269:HSL524271 IBW524269:ICH524271 ILS524269:IMD524271 IVO524269:IVZ524271 JFK524269:JFV524271 JPG524269:JPR524271 JZC524269:JZN524271 KIY524269:KJJ524271 KSU524269:KTF524271 LCQ524269:LDB524271 LMM524269:LMX524271 LWI524269:LWT524271 MGE524269:MGP524271 MQA524269:MQL524271 MZW524269:NAH524271 NJS524269:NKD524271 NTO524269:NTZ524271 ODK524269:ODV524271 ONG524269:ONR524271 OXC524269:OXN524271 PGY524269:PHJ524271 PQU524269:PRF524271 QAQ524269:QBB524271 QKM524269:QKX524271 QUI524269:QUT524271 REE524269:REP524271 ROA524269:ROL524271 RXW524269:RYH524271 SHS524269:SID524271 SRO524269:SRZ524271 TBK524269:TBV524271 TLG524269:TLR524271 TVC524269:TVN524271 UEY524269:UFJ524271 UOU524269:UPF524271 UYQ524269:UZB524271 VIM524269:VIX524271 VSI524269:VST524271 WCE524269:WCP524271 WMA524269:WML524271 WVW524269:WWH524271 JK589805:JV589807 TG589805:TR589807 ADC589805:ADN589807 AMY589805:ANJ589807 AWU589805:AXF589807 BGQ589805:BHB589807 BQM589805:BQX589807 CAI589805:CAT589807 CKE589805:CKP589807 CUA589805:CUL589807 DDW589805:DEH589807 DNS589805:DOD589807 DXO589805:DXZ589807 EHK589805:EHV589807 ERG589805:ERR589807 FBC589805:FBN589807 FKY589805:FLJ589807 FUU589805:FVF589807 GEQ589805:GFB589807 GOM589805:GOX589807 GYI589805:GYT589807 HIE589805:HIP589807 HSA589805:HSL589807 IBW589805:ICH589807 ILS589805:IMD589807 IVO589805:IVZ589807 JFK589805:JFV589807 JPG589805:JPR589807 JZC589805:JZN589807 KIY589805:KJJ589807 KSU589805:KTF589807 LCQ589805:LDB589807 LMM589805:LMX589807 LWI589805:LWT589807 MGE589805:MGP589807 MQA589805:MQL589807 MZW589805:NAH589807 NJS589805:NKD589807 NTO589805:NTZ589807 ODK589805:ODV589807 ONG589805:ONR589807 OXC589805:OXN589807 PGY589805:PHJ589807 PQU589805:PRF589807 QAQ589805:QBB589807 QKM589805:QKX589807 QUI589805:QUT589807 REE589805:REP589807 ROA589805:ROL589807 RXW589805:RYH589807 SHS589805:SID589807 SRO589805:SRZ589807 TBK589805:TBV589807 TLG589805:TLR589807 TVC589805:TVN589807 UEY589805:UFJ589807 UOU589805:UPF589807 UYQ589805:UZB589807 VIM589805:VIX589807 VSI589805:VST589807 WCE589805:WCP589807 WMA589805:WML589807 WVW589805:WWH589807 JK655341:JV655343 TG655341:TR655343 ADC655341:ADN655343 AMY655341:ANJ655343 AWU655341:AXF655343 BGQ655341:BHB655343 BQM655341:BQX655343 CAI655341:CAT655343 CKE655341:CKP655343 CUA655341:CUL655343 DDW655341:DEH655343 DNS655341:DOD655343 DXO655341:DXZ655343 EHK655341:EHV655343 ERG655341:ERR655343 FBC655341:FBN655343 FKY655341:FLJ655343 FUU655341:FVF655343 GEQ655341:GFB655343 GOM655341:GOX655343 GYI655341:GYT655343 HIE655341:HIP655343 HSA655341:HSL655343 IBW655341:ICH655343 ILS655341:IMD655343 IVO655341:IVZ655343 JFK655341:JFV655343 JPG655341:JPR655343 JZC655341:JZN655343 KIY655341:KJJ655343 KSU655341:KTF655343 LCQ655341:LDB655343 LMM655341:LMX655343 LWI655341:LWT655343 MGE655341:MGP655343 MQA655341:MQL655343 MZW655341:NAH655343 NJS655341:NKD655343 NTO655341:NTZ655343 ODK655341:ODV655343 ONG655341:ONR655343 OXC655341:OXN655343 PGY655341:PHJ655343 PQU655341:PRF655343 QAQ655341:QBB655343 QKM655341:QKX655343 QUI655341:QUT655343 REE655341:REP655343 ROA655341:ROL655343 RXW655341:RYH655343 SHS655341:SID655343 SRO655341:SRZ655343 TBK655341:TBV655343 TLG655341:TLR655343 TVC655341:TVN655343 UEY655341:UFJ655343 UOU655341:UPF655343 UYQ655341:UZB655343 VIM655341:VIX655343 VSI655341:VST655343 WCE655341:WCP655343 WMA655341:WML655343 WVW655341:WWH655343 JK720877:JV720879 TG720877:TR720879 ADC720877:ADN720879 AMY720877:ANJ720879 AWU720877:AXF720879 BGQ720877:BHB720879 BQM720877:BQX720879 CAI720877:CAT720879 CKE720877:CKP720879 CUA720877:CUL720879 DDW720877:DEH720879 DNS720877:DOD720879 DXO720877:DXZ720879 EHK720877:EHV720879 ERG720877:ERR720879 FBC720877:FBN720879 FKY720877:FLJ720879 FUU720877:FVF720879 GEQ720877:GFB720879 GOM720877:GOX720879 GYI720877:GYT720879 HIE720877:HIP720879 HSA720877:HSL720879 IBW720877:ICH720879 ILS720877:IMD720879 IVO720877:IVZ720879 JFK720877:JFV720879 JPG720877:JPR720879 JZC720877:JZN720879 KIY720877:KJJ720879 KSU720877:KTF720879 LCQ720877:LDB720879 LMM720877:LMX720879 LWI720877:LWT720879 MGE720877:MGP720879 MQA720877:MQL720879 MZW720877:NAH720879 NJS720877:NKD720879 NTO720877:NTZ720879 ODK720877:ODV720879 ONG720877:ONR720879 OXC720877:OXN720879 PGY720877:PHJ720879 PQU720877:PRF720879 QAQ720877:QBB720879 QKM720877:QKX720879 QUI720877:QUT720879 REE720877:REP720879 ROA720877:ROL720879 RXW720877:RYH720879 SHS720877:SID720879 SRO720877:SRZ720879 TBK720877:TBV720879 TLG720877:TLR720879 TVC720877:TVN720879 UEY720877:UFJ720879 UOU720877:UPF720879 UYQ720877:UZB720879 VIM720877:VIX720879 VSI720877:VST720879 WCE720877:WCP720879 WMA720877:WML720879 WVW720877:WWH720879 JK786413:JV786415 TG786413:TR786415 ADC786413:ADN786415 AMY786413:ANJ786415 AWU786413:AXF786415 BGQ786413:BHB786415 BQM786413:BQX786415 CAI786413:CAT786415 CKE786413:CKP786415 CUA786413:CUL786415 DDW786413:DEH786415 DNS786413:DOD786415 DXO786413:DXZ786415 EHK786413:EHV786415 ERG786413:ERR786415 FBC786413:FBN786415 FKY786413:FLJ786415 FUU786413:FVF786415 GEQ786413:GFB786415 GOM786413:GOX786415 GYI786413:GYT786415 HIE786413:HIP786415 HSA786413:HSL786415 IBW786413:ICH786415 ILS786413:IMD786415 IVO786413:IVZ786415 JFK786413:JFV786415 JPG786413:JPR786415 JZC786413:JZN786415 KIY786413:KJJ786415 KSU786413:KTF786415 LCQ786413:LDB786415 LMM786413:LMX786415 LWI786413:LWT786415 MGE786413:MGP786415 MQA786413:MQL786415 MZW786413:NAH786415 NJS786413:NKD786415 NTO786413:NTZ786415 ODK786413:ODV786415 ONG786413:ONR786415 OXC786413:OXN786415 PGY786413:PHJ786415 PQU786413:PRF786415 QAQ786413:QBB786415 QKM786413:QKX786415 QUI786413:QUT786415 REE786413:REP786415 ROA786413:ROL786415 RXW786413:RYH786415 SHS786413:SID786415 SRO786413:SRZ786415 TBK786413:TBV786415 TLG786413:TLR786415 TVC786413:TVN786415 UEY786413:UFJ786415 UOU786413:UPF786415 UYQ786413:UZB786415 VIM786413:VIX786415 VSI786413:VST786415 WCE786413:WCP786415 WMA786413:WML786415 WVW786413:WWH786415 JK851949:JV851951 TG851949:TR851951 ADC851949:ADN851951 AMY851949:ANJ851951 AWU851949:AXF851951 BGQ851949:BHB851951 BQM851949:BQX851951 CAI851949:CAT851951 CKE851949:CKP851951 CUA851949:CUL851951 DDW851949:DEH851951 DNS851949:DOD851951 DXO851949:DXZ851951 EHK851949:EHV851951 ERG851949:ERR851951 FBC851949:FBN851951 FKY851949:FLJ851951 FUU851949:FVF851951 GEQ851949:GFB851951 GOM851949:GOX851951 GYI851949:GYT851951 HIE851949:HIP851951 HSA851949:HSL851951 IBW851949:ICH851951 ILS851949:IMD851951 IVO851949:IVZ851951 JFK851949:JFV851951 JPG851949:JPR851951 JZC851949:JZN851951 KIY851949:KJJ851951 KSU851949:KTF851951 LCQ851949:LDB851951 LMM851949:LMX851951 LWI851949:LWT851951 MGE851949:MGP851951 MQA851949:MQL851951 MZW851949:NAH851951 NJS851949:NKD851951 NTO851949:NTZ851951 ODK851949:ODV851951 ONG851949:ONR851951 OXC851949:OXN851951 PGY851949:PHJ851951 PQU851949:PRF851951 QAQ851949:QBB851951 QKM851949:QKX851951 QUI851949:QUT851951 REE851949:REP851951 ROA851949:ROL851951 RXW851949:RYH851951 SHS851949:SID851951 SRO851949:SRZ851951 TBK851949:TBV851951 TLG851949:TLR851951 TVC851949:TVN851951 UEY851949:UFJ851951 UOU851949:UPF851951 UYQ851949:UZB851951 VIM851949:VIX851951 VSI851949:VST851951 WCE851949:WCP851951 WMA851949:WML851951 WVW851949:WWH851951 JK917485:JV917487 TG917485:TR917487 ADC917485:ADN917487 AMY917485:ANJ917487 AWU917485:AXF917487 BGQ917485:BHB917487 BQM917485:BQX917487 CAI917485:CAT917487 CKE917485:CKP917487 CUA917485:CUL917487 DDW917485:DEH917487 DNS917485:DOD917487 DXO917485:DXZ917487 EHK917485:EHV917487 ERG917485:ERR917487 FBC917485:FBN917487 FKY917485:FLJ917487 FUU917485:FVF917487 GEQ917485:GFB917487 GOM917485:GOX917487 GYI917485:GYT917487 HIE917485:HIP917487 HSA917485:HSL917487 IBW917485:ICH917487 ILS917485:IMD917487 IVO917485:IVZ917487 JFK917485:JFV917487 JPG917485:JPR917487 JZC917485:JZN917487 KIY917485:KJJ917487 KSU917485:KTF917487 LCQ917485:LDB917487 LMM917485:LMX917487 LWI917485:LWT917487 MGE917485:MGP917487 MQA917485:MQL917487 MZW917485:NAH917487 NJS917485:NKD917487 NTO917485:NTZ917487 ODK917485:ODV917487 ONG917485:ONR917487 OXC917485:OXN917487 PGY917485:PHJ917487 PQU917485:PRF917487 QAQ917485:QBB917487 QKM917485:QKX917487 QUI917485:QUT917487 REE917485:REP917487 ROA917485:ROL917487 RXW917485:RYH917487 SHS917485:SID917487 SRO917485:SRZ917487 TBK917485:TBV917487 TLG917485:TLR917487 TVC917485:TVN917487 UEY917485:UFJ917487 UOU917485:UPF917487 UYQ917485:UZB917487 VIM917485:VIX917487 VSI917485:VST917487 WCE917485:WCP917487 WMA917485:WML917487 WVW917485:WWH917487 JK983021:JV983023 TG983021:TR983023 ADC983021:ADN983023 AMY983021:ANJ983023 AWU983021:AXF983023 BGQ983021:BHB983023 BQM983021:BQX983023 CAI983021:CAT983023 CKE983021:CKP983023 CUA983021:CUL983023 DDW983021:DEH983023 DNS983021:DOD983023 DXO983021:DXZ983023 EHK983021:EHV983023 ERG983021:ERR983023 FBC983021:FBN983023 FKY983021:FLJ983023 FUU983021:FVF983023 GEQ983021:GFB983023 GOM983021:GOX983023 GYI983021:GYT983023 HIE983021:HIP983023 HSA983021:HSL983023 IBW983021:ICH983023 ILS983021:IMD983023 IVO983021:IVZ983023 JFK983021:JFV983023 JPG983021:JPR983023 JZC983021:JZN983023 KIY983021:KJJ983023 KSU983021:KTF983023 LCQ983021:LDB983023 LMM983021:LMX983023 LWI983021:LWT983023 MGE983021:MGP983023 MQA983021:MQL983023 MZW983021:NAH983023 NJS983021:NKD983023 NTO983021:NTZ983023 ODK983021:ODV983023 ONG983021:ONR983023 OXC983021:OXN983023 PGY983021:PHJ983023 PQU983021:PRF983023 QAQ983021:QBB983023 QKM983021:QKX983023 QUI983021:QUT983023 REE983021:REP983023 ROA983021:ROL983023 RXW983021:RYH983023 SHS983021:SID983023 SRO983021:SRZ983023 TBK983021:TBV983023 TLG983021:TLR983023 TVC983021:TVN983023 UEY983021:UFJ983023 UOU983021:UPF983023 UYQ983021:UZB983023 VIM983021:VIX983023 VSI983021:VST983023 WCE983021:WCP983023 WMA983021:WML983023 WVW983021:WWH983023 JL2:JW4 TH2:TS4 ADD2:ADO4 AMZ2:ANK4 AWV2:AXG4 BGR2:BHC4 BQN2:BQY4 CAJ2:CAU4 CKF2:CKQ4 CUB2:CUM4 DDX2:DEI4 DNT2:DOE4 DXP2:DYA4 EHL2:EHW4 ERH2:ERS4 FBD2:FBO4 FKZ2:FLK4 FUV2:FVG4 GER2:GFC4 GON2:GOY4 GYJ2:GYU4 HIF2:HIQ4 HSB2:HSM4 IBX2:ICI4 ILT2:IME4 IVP2:IWA4 JFL2:JFW4 JPH2:JPS4 JZD2:JZO4 KIZ2:KJK4 KSV2:KTG4 LCR2:LDC4 LMN2:LMY4 LWJ2:LWU4 MGF2:MGQ4 MQB2:MQM4 MZX2:NAI4 NJT2:NKE4 NTP2:NUA4 ODL2:ODW4 ONH2:ONS4 OXD2:OXO4 PGZ2:PHK4 PQV2:PRG4 QAR2:QBC4 QKN2:QKY4 QUJ2:QUU4 REF2:REQ4 ROB2:ROM4 RXX2:RYI4 SHT2:SIE4 SRP2:SSA4 TBL2:TBW4 TLH2:TLS4 TVD2:TVO4 UEZ2:UFK4 UOV2:UPG4 UYR2:UZC4 VIN2:VIY4 VSJ2:VSU4 WCF2:WCQ4 WMB2:WMM4 WVX2:WWI4 AC65517:AM65519 AC983021:AM983023 AC917485:AM917487 AC851949:AM851951 AC786413:AM786415 AC720877:AM720879 AC655341:AM655343 AC589805:AM589807 AC524269:AM524271 AC458733:AM458735 AC393197:AM393199 AC327661:AM327663 AC262125:AM262127 AC196589:AM196591 AC131053:AM131055 R2"/>
    <dataValidation type="list" allowBlank="1" showInputMessage="1" showErrorMessage="1" sqref="Y8:Z85">
      <formula1>"文字,数値,日付,時間"</formula1>
    </dataValidation>
    <dataValidation type="list" allowBlank="1" showInputMessage="1" showErrorMessage="1" sqref="AA8:AC85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6" s="17" customFormat="1" ht="14.4" customHeight="1">
      <c r="A1" s="396" t="s">
        <v>78</v>
      </c>
      <c r="B1" s="397"/>
      <c r="C1" s="397"/>
      <c r="D1" s="397"/>
      <c r="E1" s="397"/>
      <c r="F1" s="397"/>
      <c r="G1" s="397"/>
      <c r="H1" s="398"/>
      <c r="I1" s="336" t="s">
        <v>79</v>
      </c>
      <c r="J1" s="337"/>
      <c r="K1" s="337"/>
      <c r="L1" s="337"/>
      <c r="M1" s="337"/>
      <c r="N1" s="337"/>
      <c r="O1" s="337"/>
      <c r="P1" s="337"/>
      <c r="Q1" s="338"/>
      <c r="R1" s="336" t="s">
        <v>80</v>
      </c>
      <c r="S1" s="337"/>
      <c r="T1" s="337"/>
      <c r="U1" s="337"/>
      <c r="V1" s="337"/>
      <c r="W1" s="337"/>
      <c r="X1" s="338"/>
      <c r="Y1" s="336" t="s">
        <v>135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8"/>
      <c r="AP1" s="407" t="s">
        <v>82</v>
      </c>
      <c r="AQ1" s="408"/>
      <c r="AR1" s="408"/>
      <c r="AS1" s="408"/>
      <c r="AT1" s="409"/>
      <c r="AU1" s="407" t="s">
        <v>83</v>
      </c>
      <c r="AV1" s="408"/>
      <c r="AW1" s="408"/>
      <c r="AX1" s="408"/>
      <c r="AY1" s="409"/>
      <c r="AZ1" s="407" t="s">
        <v>84</v>
      </c>
      <c r="BA1" s="408"/>
      <c r="BB1" s="408"/>
      <c r="BC1" s="408"/>
      <c r="BD1" s="409"/>
    </row>
    <row r="2" spans="1:56" s="17" customFormat="1" ht="14.4" customHeight="1">
      <c r="A2" s="399"/>
      <c r="B2" s="400"/>
      <c r="C2" s="400"/>
      <c r="D2" s="400"/>
      <c r="E2" s="400"/>
      <c r="F2" s="400"/>
      <c r="G2" s="400"/>
      <c r="H2" s="401"/>
      <c r="I2" s="366" t="s">
        <v>85</v>
      </c>
      <c r="J2" s="367"/>
      <c r="K2" s="367"/>
      <c r="L2" s="367"/>
      <c r="M2" s="367"/>
      <c r="N2" s="367"/>
      <c r="O2" s="367"/>
      <c r="P2" s="367"/>
      <c r="Q2" s="368"/>
      <c r="R2" s="366" t="str">
        <f ca="1">VLOOKUP(RIGHT(CELL("filename",A2),LEN(CELL("filename",A2))-FIND("]",CELL("filename",A2))),テーブル一覧!B:AD,22,FALSE)</f>
        <v>B.生産計画</v>
      </c>
      <c r="S2" s="367"/>
      <c r="T2" s="367"/>
      <c r="U2" s="367"/>
      <c r="V2" s="367"/>
      <c r="W2" s="367"/>
      <c r="X2" s="368"/>
      <c r="Y2" s="366" t="str">
        <f ca="1">VLOOKUP(RIGHT(CELL("filename",A2),LEN(CELL("filename",A2))-FIND("]",CELL("filename",A2))),テーブル一覧!B:AD,1,FALSE)</f>
        <v>生産計画情報（加工SC）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8"/>
      <c r="AP2" s="339"/>
      <c r="AQ2" s="340"/>
      <c r="AR2" s="340"/>
      <c r="AS2" s="340"/>
      <c r="AT2" s="341"/>
      <c r="AU2" s="58" t="s">
        <v>88</v>
      </c>
      <c r="AV2" s="59"/>
      <c r="AW2" s="59"/>
      <c r="AX2" s="59"/>
      <c r="AY2" s="60"/>
      <c r="AZ2" s="413" t="s">
        <v>89</v>
      </c>
      <c r="BA2" s="414"/>
      <c r="BB2" s="414"/>
      <c r="BC2" s="414"/>
      <c r="BD2" s="415"/>
    </row>
    <row r="3" spans="1:56" s="17" customFormat="1" ht="14.4" customHeight="1">
      <c r="A3" s="399"/>
      <c r="B3" s="400"/>
      <c r="C3" s="400"/>
      <c r="D3" s="400"/>
      <c r="E3" s="400"/>
      <c r="F3" s="400"/>
      <c r="G3" s="400"/>
      <c r="H3" s="401"/>
      <c r="I3" s="369"/>
      <c r="J3" s="370"/>
      <c r="K3" s="370"/>
      <c r="L3" s="370"/>
      <c r="M3" s="370"/>
      <c r="N3" s="370"/>
      <c r="O3" s="370"/>
      <c r="P3" s="370"/>
      <c r="Q3" s="371"/>
      <c r="R3" s="369"/>
      <c r="S3" s="370"/>
      <c r="T3" s="370"/>
      <c r="U3" s="370"/>
      <c r="V3" s="370"/>
      <c r="W3" s="370"/>
      <c r="X3" s="371"/>
      <c r="Y3" s="372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4"/>
      <c r="AP3" s="342"/>
      <c r="AQ3" s="343"/>
      <c r="AR3" s="343"/>
      <c r="AS3" s="343"/>
      <c r="AT3" s="344"/>
      <c r="AU3" s="410"/>
      <c r="AV3" s="411"/>
      <c r="AW3" s="411"/>
      <c r="AX3" s="411"/>
      <c r="AY3" s="412"/>
      <c r="AZ3" s="413"/>
      <c r="BA3" s="414"/>
      <c r="BB3" s="414"/>
      <c r="BC3" s="414"/>
      <c r="BD3" s="415"/>
    </row>
    <row r="4" spans="1:56" s="17" customFormat="1" ht="14.4" customHeight="1">
      <c r="A4" s="402"/>
      <c r="B4" s="403"/>
      <c r="C4" s="403"/>
      <c r="D4" s="403"/>
      <c r="E4" s="403"/>
      <c r="F4" s="403"/>
      <c r="G4" s="403"/>
      <c r="H4" s="404"/>
      <c r="I4" s="372"/>
      <c r="J4" s="373"/>
      <c r="K4" s="373"/>
      <c r="L4" s="373"/>
      <c r="M4" s="373"/>
      <c r="N4" s="373"/>
      <c r="O4" s="373"/>
      <c r="P4" s="373"/>
      <c r="Q4" s="374"/>
      <c r="R4" s="372"/>
      <c r="S4" s="373"/>
      <c r="T4" s="373"/>
      <c r="U4" s="373"/>
      <c r="V4" s="373"/>
      <c r="W4" s="373"/>
      <c r="X4" s="374"/>
      <c r="Y4" s="41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t_seisan_keikaku_sc</v>
      </c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8"/>
      <c r="AP4" s="342"/>
      <c r="AQ4" s="343"/>
      <c r="AR4" s="343"/>
      <c r="AS4" s="343"/>
      <c r="AT4" s="344"/>
      <c r="AU4" s="410"/>
      <c r="AV4" s="411"/>
      <c r="AW4" s="411"/>
      <c r="AX4" s="411"/>
      <c r="AY4" s="412"/>
      <c r="AZ4" s="413"/>
      <c r="BA4" s="414"/>
      <c r="BB4" s="414"/>
      <c r="BC4" s="414"/>
      <c r="BD4" s="415"/>
    </row>
    <row r="6" spans="1:56" ht="14.4" customHeight="1">
      <c r="A6" s="405" t="s">
        <v>90</v>
      </c>
      <c r="B6" s="386" t="s">
        <v>136</v>
      </c>
      <c r="C6" s="394"/>
      <c r="D6" s="394"/>
      <c r="E6" s="394"/>
      <c r="F6" s="394"/>
      <c r="G6" s="394"/>
      <c r="H6" s="387"/>
      <c r="I6" s="386" t="s">
        <v>137</v>
      </c>
      <c r="J6" s="394"/>
      <c r="K6" s="394"/>
      <c r="L6" s="394"/>
      <c r="M6" s="394"/>
      <c r="N6" s="394"/>
      <c r="O6" s="394"/>
      <c r="P6" s="394"/>
      <c r="Q6" s="387"/>
      <c r="R6" s="386" t="s">
        <v>138</v>
      </c>
      <c r="S6" s="394"/>
      <c r="T6" s="394"/>
      <c r="U6" s="394"/>
      <c r="V6" s="394"/>
      <c r="W6" s="394"/>
      <c r="X6" s="387"/>
      <c r="Y6" s="386" t="s">
        <v>139</v>
      </c>
      <c r="Z6" s="387"/>
      <c r="AA6" s="386" t="s">
        <v>140</v>
      </c>
      <c r="AB6" s="394"/>
      <c r="AC6" s="387"/>
      <c r="AD6" s="390" t="s">
        <v>141</v>
      </c>
      <c r="AE6" s="392" t="s">
        <v>142</v>
      </c>
      <c r="AF6" s="390" t="s">
        <v>143</v>
      </c>
      <c r="AG6" s="390" t="s">
        <v>144</v>
      </c>
      <c r="AH6" s="390" t="s">
        <v>145</v>
      </c>
      <c r="AI6" s="383" t="s">
        <v>146</v>
      </c>
      <c r="AJ6" s="384"/>
      <c r="AK6" s="384"/>
      <c r="AL6" s="384"/>
      <c r="AM6" s="384"/>
      <c r="AN6" s="384"/>
      <c r="AO6" s="384"/>
      <c r="AP6" s="384"/>
      <c r="AQ6" s="384"/>
      <c r="AR6" s="385"/>
      <c r="AS6" s="386" t="s">
        <v>147</v>
      </c>
      <c r="AT6" s="394"/>
      <c r="AU6" s="394"/>
      <c r="AV6" s="394"/>
      <c r="AW6" s="394"/>
      <c r="AX6" s="394"/>
      <c r="AY6" s="394"/>
      <c r="AZ6" s="394"/>
      <c r="BA6" s="394"/>
      <c r="BB6" s="394"/>
      <c r="BC6" s="394"/>
      <c r="BD6" s="387"/>
    </row>
    <row r="7" spans="1:56" ht="14.4" customHeight="1">
      <c r="A7" s="406"/>
      <c r="B7" s="388"/>
      <c r="C7" s="395"/>
      <c r="D7" s="395"/>
      <c r="E7" s="395"/>
      <c r="F7" s="395"/>
      <c r="G7" s="395"/>
      <c r="H7" s="389"/>
      <c r="I7" s="388"/>
      <c r="J7" s="395"/>
      <c r="K7" s="395"/>
      <c r="L7" s="395"/>
      <c r="M7" s="395"/>
      <c r="N7" s="395"/>
      <c r="O7" s="395"/>
      <c r="P7" s="395"/>
      <c r="Q7" s="389"/>
      <c r="R7" s="388"/>
      <c r="S7" s="395"/>
      <c r="T7" s="395"/>
      <c r="U7" s="395"/>
      <c r="V7" s="395"/>
      <c r="W7" s="395"/>
      <c r="X7" s="389"/>
      <c r="Y7" s="388"/>
      <c r="Z7" s="389"/>
      <c r="AA7" s="388"/>
      <c r="AB7" s="395"/>
      <c r="AC7" s="389"/>
      <c r="AD7" s="391"/>
      <c r="AE7" s="393"/>
      <c r="AF7" s="391"/>
      <c r="AG7" s="391"/>
      <c r="AH7" s="39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88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89"/>
    </row>
    <row r="8" spans="1:56" s="1" customFormat="1" ht="14.4" customHeight="1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424" t="s">
        <v>150</v>
      </c>
      <c r="Z8" s="425"/>
      <c r="AA8" s="426" t="s">
        <v>151</v>
      </c>
      <c r="AB8" s="427"/>
      <c r="AC8" s="428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6" s="1" customFormat="1" ht="14.4" customHeight="1">
      <c r="A9" s="131">
        <f>IF(B9="","",COUNTA($B$8:B9))</f>
        <v>2</v>
      </c>
      <c r="B9" s="8" t="s">
        <v>153</v>
      </c>
      <c r="C9" s="114"/>
      <c r="D9" s="114"/>
      <c r="E9" s="114"/>
      <c r="F9" s="114"/>
      <c r="G9" s="114"/>
      <c r="H9" s="134"/>
      <c r="I9" s="115" t="s">
        <v>154</v>
      </c>
      <c r="J9" s="116"/>
      <c r="K9" s="116"/>
      <c r="L9" s="116"/>
      <c r="M9" s="116"/>
      <c r="N9" s="116"/>
      <c r="O9" s="116"/>
      <c r="P9" s="116"/>
      <c r="Q9" s="133"/>
      <c r="R9" s="8" t="s">
        <v>153</v>
      </c>
      <c r="S9" s="116"/>
      <c r="T9" s="116"/>
      <c r="U9" s="116"/>
      <c r="V9" s="116"/>
      <c r="W9" s="116"/>
      <c r="X9" s="134"/>
      <c r="Y9" s="424" t="s">
        <v>155</v>
      </c>
      <c r="Z9" s="425"/>
      <c r="AA9" s="426" t="s">
        <v>156</v>
      </c>
      <c r="AB9" s="427"/>
      <c r="AC9" s="428"/>
      <c r="AD9" s="126">
        <v>3</v>
      </c>
      <c r="AE9" s="111"/>
      <c r="AF9" s="111">
        <v>2</v>
      </c>
      <c r="AG9" s="120" t="s">
        <v>152</v>
      </c>
      <c r="AH9" s="120"/>
      <c r="AI9" s="120"/>
      <c r="AJ9" s="120"/>
      <c r="AK9" s="120"/>
      <c r="AL9" s="120"/>
      <c r="AM9" s="120"/>
      <c r="AN9" s="120"/>
      <c r="AO9" s="111"/>
      <c r="AP9" s="111"/>
      <c r="AQ9" s="111"/>
      <c r="AR9" s="111"/>
      <c r="AS9" s="118" t="s">
        <v>355</v>
      </c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6" s="1" customFormat="1" ht="14.4" customHeight="1">
      <c r="A10" s="131">
        <f>IF(B10="","",COUNTA($B$8:B10))</f>
        <v>3</v>
      </c>
      <c r="B10" s="8" t="s">
        <v>157</v>
      </c>
      <c r="C10" s="114"/>
      <c r="D10" s="114"/>
      <c r="E10" s="114"/>
      <c r="F10" s="114"/>
      <c r="G10" s="114"/>
      <c r="H10" s="134"/>
      <c r="I10" s="115" t="s">
        <v>158</v>
      </c>
      <c r="J10" s="116"/>
      <c r="K10" s="116"/>
      <c r="L10" s="116"/>
      <c r="M10" s="116"/>
      <c r="N10" s="116"/>
      <c r="O10" s="116"/>
      <c r="P10" s="116"/>
      <c r="Q10" s="133"/>
      <c r="R10" s="8" t="s">
        <v>157</v>
      </c>
      <c r="S10" s="116"/>
      <c r="T10" s="116"/>
      <c r="U10" s="116"/>
      <c r="V10" s="116"/>
      <c r="W10" s="116"/>
      <c r="X10" s="134"/>
      <c r="Y10" s="424" t="s">
        <v>150</v>
      </c>
      <c r="Z10" s="425"/>
      <c r="AA10" s="426" t="s">
        <v>151</v>
      </c>
      <c r="AB10" s="427"/>
      <c r="AC10" s="428"/>
      <c r="AD10" s="126">
        <v>10</v>
      </c>
      <c r="AE10" s="111"/>
      <c r="AF10" s="111"/>
      <c r="AG10" s="111"/>
      <c r="AH10" s="120"/>
      <c r="AI10" s="120"/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</row>
    <row r="11" spans="1:56" s="1" customFormat="1" ht="14.4" customHeight="1">
      <c r="A11" s="131">
        <f>IF(B11="","",COUNTA($B$8:B11))</f>
        <v>4</v>
      </c>
      <c r="B11" s="8" t="s">
        <v>159</v>
      </c>
      <c r="C11" s="114"/>
      <c r="D11" s="114"/>
      <c r="E11" s="114"/>
      <c r="F11" s="114"/>
      <c r="G11" s="114"/>
      <c r="H11" s="134"/>
      <c r="I11" s="115" t="s">
        <v>160</v>
      </c>
      <c r="J11" s="116"/>
      <c r="K11" s="116"/>
      <c r="L11" s="116"/>
      <c r="M11" s="116"/>
      <c r="N11" s="116"/>
      <c r="O11" s="116"/>
      <c r="P11" s="116"/>
      <c r="Q11" s="133"/>
      <c r="R11" s="8" t="s">
        <v>159</v>
      </c>
      <c r="S11" s="116"/>
      <c r="T11" s="116"/>
      <c r="U11" s="116"/>
      <c r="V11" s="116"/>
      <c r="W11" s="116"/>
      <c r="X11" s="134"/>
      <c r="Y11" s="424" t="s">
        <v>150</v>
      </c>
      <c r="Z11" s="425"/>
      <c r="AA11" s="426" t="s">
        <v>151</v>
      </c>
      <c r="AB11" s="427"/>
      <c r="AC11" s="428"/>
      <c r="AD11" s="126">
        <v>4</v>
      </c>
      <c r="AE11" s="111"/>
      <c r="AF11" s="111"/>
      <c r="AG11" s="111"/>
      <c r="AH11" s="120"/>
      <c r="AI11" s="120" t="s">
        <v>161</v>
      </c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6" s="1" customFormat="1" ht="14.4" customHeight="1">
      <c r="A12" s="131">
        <f>IF(B12="","",COUNTA($B$8:B12))</f>
        <v>5</v>
      </c>
      <c r="B12" s="165" t="s">
        <v>162</v>
      </c>
      <c r="D12" s="114"/>
      <c r="E12" s="114"/>
      <c r="F12" s="114"/>
      <c r="G12" s="114"/>
      <c r="H12" s="134"/>
      <c r="I12" s="165" t="s">
        <v>163</v>
      </c>
      <c r="J12" s="116"/>
      <c r="K12" s="116"/>
      <c r="L12" s="116"/>
      <c r="M12" s="116"/>
      <c r="N12" s="116"/>
      <c r="O12" s="116"/>
      <c r="P12" s="116"/>
      <c r="Q12" s="133"/>
      <c r="R12" s="8" t="s">
        <v>164</v>
      </c>
      <c r="S12" s="116"/>
      <c r="T12" s="116"/>
      <c r="U12" s="116"/>
      <c r="V12" s="116"/>
      <c r="W12" s="116"/>
      <c r="X12" s="134"/>
      <c r="Y12" s="424" t="s">
        <v>150</v>
      </c>
      <c r="Z12" s="425"/>
      <c r="AA12" s="426" t="s">
        <v>151</v>
      </c>
      <c r="AB12" s="427"/>
      <c r="AC12" s="428"/>
      <c r="AD12" s="126">
        <v>4</v>
      </c>
      <c r="AE12" s="111"/>
      <c r="AF12" s="111"/>
      <c r="AG12" s="111"/>
      <c r="AH12" s="120"/>
      <c r="AI12" s="120" t="s">
        <v>165</v>
      </c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6" s="1" customFormat="1" ht="14.4" customHeight="1">
      <c r="A13" s="131">
        <f>IF(B13="","",COUNTA($B$8:B13))</f>
        <v>6</v>
      </c>
      <c r="B13" s="8" t="s">
        <v>166</v>
      </c>
      <c r="C13" s="114"/>
      <c r="D13" s="114"/>
      <c r="E13" s="114"/>
      <c r="F13" s="114"/>
      <c r="G13" s="114"/>
      <c r="H13" s="134"/>
      <c r="I13" s="115" t="s">
        <v>167</v>
      </c>
      <c r="J13" s="116"/>
      <c r="K13" s="116"/>
      <c r="L13" s="116"/>
      <c r="M13" s="116"/>
      <c r="N13" s="116"/>
      <c r="O13" s="116"/>
      <c r="P13" s="116"/>
      <c r="Q13" s="133"/>
      <c r="R13" s="8" t="s">
        <v>168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426" t="s">
        <v>170</v>
      </c>
      <c r="AB13" s="427"/>
      <c r="AC13" s="428"/>
      <c r="AD13" s="126"/>
      <c r="AE13" s="111"/>
      <c r="AF13" s="111"/>
      <c r="AG13" s="111"/>
      <c r="AH13" s="120"/>
      <c r="AI13" s="120" t="s">
        <v>171</v>
      </c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6" s="1" customFormat="1" ht="14.4" customHeight="1">
      <c r="A14" s="131">
        <f>IF(B14="","",COUNTA($B$8:B14))</f>
        <v>7</v>
      </c>
      <c r="B14" s="8" t="s">
        <v>174</v>
      </c>
      <c r="C14" s="114"/>
      <c r="D14" s="114"/>
      <c r="E14" s="114"/>
      <c r="F14" s="114"/>
      <c r="G14" s="114"/>
      <c r="H14" s="134"/>
      <c r="I14" s="115" t="s">
        <v>175</v>
      </c>
      <c r="J14" s="116"/>
      <c r="K14" s="116"/>
      <c r="L14" s="116"/>
      <c r="M14" s="116"/>
      <c r="N14" s="116"/>
      <c r="O14" s="116"/>
      <c r="P14" s="116"/>
      <c r="Q14" s="133"/>
      <c r="R14" s="8" t="s">
        <v>176</v>
      </c>
      <c r="S14" s="116"/>
      <c r="T14" s="116"/>
      <c r="U14" s="116"/>
      <c r="V14" s="116"/>
      <c r="W14" s="116"/>
      <c r="X14" s="134"/>
      <c r="Y14" s="8" t="s">
        <v>169</v>
      </c>
      <c r="Z14" s="119"/>
      <c r="AA14" s="426" t="s">
        <v>170</v>
      </c>
      <c r="AB14" s="427"/>
      <c r="AC14" s="428"/>
      <c r="AD14" s="159"/>
      <c r="AE14" s="111"/>
      <c r="AF14" s="111"/>
      <c r="AG14" s="111"/>
      <c r="AH14" s="120"/>
      <c r="AI14" s="120" t="s">
        <v>173</v>
      </c>
      <c r="AJ14" s="120"/>
      <c r="AK14" s="120"/>
      <c r="AL14" s="120"/>
      <c r="AM14" s="120"/>
      <c r="AN14" s="120"/>
      <c r="AO14" s="111"/>
      <c r="AP14" s="111"/>
      <c r="AQ14" s="111"/>
      <c r="AR14" s="111"/>
      <c r="AS14" s="189"/>
      <c r="AT14" s="176"/>
      <c r="AU14" s="176"/>
      <c r="AV14" s="176"/>
      <c r="AW14" s="176"/>
      <c r="AX14" s="176"/>
      <c r="AY14" s="124"/>
      <c r="AZ14" s="124"/>
      <c r="BA14" s="124"/>
      <c r="BB14" s="124"/>
      <c r="BC14" s="124"/>
      <c r="BD14" s="125"/>
    </row>
    <row r="15" spans="1:56" s="1" customFormat="1" ht="14.4" customHeight="1">
      <c r="A15" s="131">
        <f>IF(B15="","",COUNTA($B$8:B15))</f>
        <v>8</v>
      </c>
      <c r="B15" s="8" t="s">
        <v>172</v>
      </c>
      <c r="C15" s="114"/>
      <c r="D15" s="114"/>
      <c r="E15" s="114"/>
      <c r="F15" s="114"/>
      <c r="G15" s="114"/>
      <c r="H15" s="134"/>
      <c r="I15" s="115" t="s">
        <v>177</v>
      </c>
      <c r="J15" s="116"/>
      <c r="K15" s="116"/>
      <c r="L15" s="116"/>
      <c r="M15" s="116"/>
      <c r="N15" s="116"/>
      <c r="O15" s="116"/>
      <c r="P15" s="116"/>
      <c r="Q15" s="133"/>
      <c r="R15" s="8" t="s">
        <v>172</v>
      </c>
      <c r="S15" s="116"/>
      <c r="T15" s="116"/>
      <c r="U15" s="116"/>
      <c r="V15" s="116"/>
      <c r="W15" s="116"/>
      <c r="X15" s="134"/>
      <c r="Y15" s="8" t="s">
        <v>155</v>
      </c>
      <c r="Z15" s="119"/>
      <c r="AA15" s="426" t="s">
        <v>156</v>
      </c>
      <c r="AB15" s="427"/>
      <c r="AC15" s="428"/>
      <c r="AD15" s="159">
        <v>5</v>
      </c>
      <c r="AE15" s="111">
        <v>1</v>
      </c>
      <c r="AF15" s="111"/>
      <c r="AG15" s="111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89"/>
      <c r="AT15" s="176"/>
      <c r="AU15" s="176"/>
      <c r="AV15" s="176"/>
      <c r="AW15" s="176"/>
      <c r="AX15" s="176"/>
      <c r="AY15" s="124"/>
      <c r="AZ15" s="124"/>
      <c r="BA15" s="124"/>
      <c r="BB15" s="124"/>
      <c r="BC15" s="124"/>
      <c r="BD15" s="125"/>
    </row>
    <row r="16" spans="1:56" s="1" customFormat="1" ht="14.4" customHeight="1">
      <c r="A16" s="131">
        <f>IF(B16="","",COUNTA($B$8:B16))</f>
        <v>9</v>
      </c>
      <c r="B16" s="8" t="s">
        <v>178</v>
      </c>
      <c r="C16" s="114"/>
      <c r="D16" s="114"/>
      <c r="E16" s="114"/>
      <c r="F16" s="114"/>
      <c r="G16" s="114"/>
      <c r="H16" s="134"/>
      <c r="I16" s="115" t="s">
        <v>179</v>
      </c>
      <c r="J16" s="116"/>
      <c r="K16" s="116"/>
      <c r="L16" s="116"/>
      <c r="M16" s="116"/>
      <c r="N16" s="116"/>
      <c r="O16" s="116"/>
      <c r="P16" s="116"/>
      <c r="Q16" s="133"/>
      <c r="R16" s="8" t="s">
        <v>178</v>
      </c>
      <c r="S16" s="116"/>
      <c r="T16" s="116"/>
      <c r="U16" s="116"/>
      <c r="V16" s="116"/>
      <c r="W16" s="116"/>
      <c r="X16" s="134"/>
      <c r="Y16" s="424" t="s">
        <v>150</v>
      </c>
      <c r="Z16" s="425"/>
      <c r="AA16" s="426" t="s">
        <v>151</v>
      </c>
      <c r="AB16" s="427"/>
      <c r="AC16" s="428"/>
      <c r="AD16" s="126">
        <v>20</v>
      </c>
      <c r="AE16" s="111"/>
      <c r="AF16" s="111"/>
      <c r="AG16" s="111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89" t="s">
        <v>180</v>
      </c>
      <c r="AT16" s="176"/>
      <c r="AU16" s="176"/>
      <c r="AV16" s="176"/>
      <c r="AW16" s="176"/>
      <c r="AX16" s="176"/>
      <c r="AY16" s="124"/>
      <c r="AZ16" s="124"/>
      <c r="BA16" s="124"/>
      <c r="BB16" s="124"/>
      <c r="BC16" s="124"/>
      <c r="BD16" s="125"/>
    </row>
    <row r="17" spans="1:57" s="1" customFormat="1" ht="14.4" customHeight="1">
      <c r="A17" s="131">
        <f>IF(B17="","",COUNTA($B$8:B17))</f>
        <v>10</v>
      </c>
      <c r="B17" s="8" t="s">
        <v>181</v>
      </c>
      <c r="C17" s="114"/>
      <c r="D17" s="114"/>
      <c r="E17" s="114"/>
      <c r="F17" s="114"/>
      <c r="G17" s="114"/>
      <c r="H17" s="134"/>
      <c r="I17" s="115" t="s">
        <v>182</v>
      </c>
      <c r="J17" s="116"/>
      <c r="K17" s="116"/>
      <c r="L17" s="116"/>
      <c r="M17" s="116"/>
      <c r="N17" s="116"/>
      <c r="O17" s="116"/>
      <c r="P17" s="116"/>
      <c r="Q17" s="133"/>
      <c r="R17" s="8" t="s">
        <v>181</v>
      </c>
      <c r="S17" s="116"/>
      <c r="T17" s="116"/>
      <c r="U17" s="116"/>
      <c r="V17" s="116"/>
      <c r="W17" s="116"/>
      <c r="X17" s="133"/>
      <c r="Y17" s="424" t="s">
        <v>150</v>
      </c>
      <c r="Z17" s="425"/>
      <c r="AA17" s="426" t="s">
        <v>151</v>
      </c>
      <c r="AB17" s="427"/>
      <c r="AC17" s="428"/>
      <c r="AD17" s="126">
        <v>30</v>
      </c>
      <c r="AE17" s="111"/>
      <c r="AF17" s="111"/>
      <c r="AG17" s="111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89" t="s">
        <v>1412</v>
      </c>
      <c r="AT17" s="176"/>
      <c r="AU17" s="176"/>
      <c r="AV17" s="176"/>
      <c r="AW17" s="176"/>
      <c r="AX17" s="176"/>
      <c r="AY17" s="124"/>
      <c r="AZ17" s="124"/>
      <c r="BA17" s="124"/>
      <c r="BB17" s="124"/>
      <c r="BC17" s="124"/>
      <c r="BD17" s="125"/>
    </row>
    <row r="18" spans="1:57" s="1" customFormat="1" ht="14.4" customHeight="1">
      <c r="A18" s="131">
        <f>IF(B18="","",COUNTA($B$8:B18))</f>
        <v>11</v>
      </c>
      <c r="B18" s="8" t="s">
        <v>183</v>
      </c>
      <c r="C18" s="114"/>
      <c r="D18" s="114"/>
      <c r="E18" s="114"/>
      <c r="F18" s="114"/>
      <c r="G18" s="114"/>
      <c r="H18" s="134"/>
      <c r="I18" s="115" t="s">
        <v>184</v>
      </c>
      <c r="J18" s="116"/>
      <c r="K18" s="116"/>
      <c r="L18" s="116"/>
      <c r="M18" s="116"/>
      <c r="N18" s="116"/>
      <c r="O18" s="116"/>
      <c r="P18" s="116"/>
      <c r="Q18" s="133"/>
      <c r="R18" s="8" t="s">
        <v>183</v>
      </c>
      <c r="S18" s="116"/>
      <c r="T18" s="116"/>
      <c r="U18" s="116"/>
      <c r="V18" s="116"/>
      <c r="W18" s="116"/>
      <c r="X18" s="134"/>
      <c r="Y18" s="424" t="s">
        <v>150</v>
      </c>
      <c r="Z18" s="425"/>
      <c r="AA18" s="426" t="s">
        <v>151</v>
      </c>
      <c r="AB18" s="427"/>
      <c r="AC18" s="428"/>
      <c r="AD18" s="126">
        <v>1000</v>
      </c>
      <c r="AE18" s="111"/>
      <c r="AF18" s="111"/>
      <c r="AG18" s="111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89"/>
      <c r="AT18" s="176"/>
      <c r="AU18" s="176"/>
      <c r="AV18" s="176"/>
      <c r="AW18" s="176"/>
      <c r="AX18" s="176"/>
      <c r="AY18" s="124"/>
      <c r="AZ18" s="124"/>
      <c r="BA18" s="124"/>
      <c r="BB18" s="124"/>
      <c r="BC18" s="124"/>
      <c r="BD18" s="125"/>
    </row>
    <row r="19" spans="1:57" s="1" customFormat="1" ht="14.4" customHeight="1">
      <c r="A19" s="131">
        <f>IF(B19="","",COUNTA($B$8:B19))</f>
        <v>12</v>
      </c>
      <c r="B19" s="8" t="s">
        <v>185</v>
      </c>
      <c r="C19" s="114"/>
      <c r="D19" s="114"/>
      <c r="E19" s="114"/>
      <c r="F19" s="114"/>
      <c r="G19" s="114"/>
      <c r="H19" s="134"/>
      <c r="I19" s="115" t="s">
        <v>186</v>
      </c>
      <c r="J19" s="116"/>
      <c r="K19" s="116"/>
      <c r="L19" s="116"/>
      <c r="M19" s="116"/>
      <c r="N19" s="116"/>
      <c r="O19" s="116"/>
      <c r="P19" s="116"/>
      <c r="Q19" s="133"/>
      <c r="R19" s="8" t="s">
        <v>185</v>
      </c>
      <c r="S19" s="116"/>
      <c r="T19" s="116"/>
      <c r="U19" s="116"/>
      <c r="V19" s="116"/>
      <c r="W19" s="116"/>
      <c r="X19" s="134"/>
      <c r="Y19" s="424" t="s">
        <v>150</v>
      </c>
      <c r="Z19" s="425"/>
      <c r="AA19" s="426" t="s">
        <v>151</v>
      </c>
      <c r="AB19" s="427"/>
      <c r="AC19" s="428"/>
      <c r="AD19" s="126">
        <v>75</v>
      </c>
      <c r="AE19" s="111"/>
      <c r="AF19" s="111"/>
      <c r="AG19" s="111"/>
      <c r="AH19" s="120"/>
      <c r="AI19" s="120"/>
      <c r="AJ19" s="120" t="s">
        <v>161</v>
      </c>
      <c r="AK19" s="120"/>
      <c r="AL19" s="120"/>
      <c r="AM19" s="120"/>
      <c r="AN19" s="120"/>
      <c r="AO19" s="111"/>
      <c r="AP19" s="111"/>
      <c r="AQ19" s="111"/>
      <c r="AR19" s="111"/>
      <c r="AS19" s="189" t="s">
        <v>1407</v>
      </c>
      <c r="AT19" s="176"/>
      <c r="AU19" s="176"/>
      <c r="AV19" s="176"/>
      <c r="AW19" s="176"/>
      <c r="AX19" s="176"/>
      <c r="AY19" s="124"/>
      <c r="AZ19" s="124"/>
      <c r="BA19" s="124"/>
      <c r="BB19" s="124"/>
      <c r="BC19" s="124"/>
      <c r="BD19" s="125"/>
      <c r="BE19" s="1" t="s">
        <v>1417</v>
      </c>
    </row>
    <row r="20" spans="1:57" s="1" customFormat="1" ht="14.4" customHeight="1">
      <c r="A20" s="131">
        <f>IF(B20="","",COUNTA($B$8:B20))</f>
        <v>13</v>
      </c>
      <c r="B20" s="8" t="s">
        <v>187</v>
      </c>
      <c r="C20" s="114"/>
      <c r="D20" s="114"/>
      <c r="E20" s="114"/>
      <c r="F20" s="114"/>
      <c r="G20" s="114"/>
      <c r="H20" s="134"/>
      <c r="I20" s="115" t="s">
        <v>188</v>
      </c>
      <c r="J20" s="116"/>
      <c r="K20" s="116"/>
      <c r="L20" s="116"/>
      <c r="M20" s="116"/>
      <c r="N20" s="116"/>
      <c r="O20" s="116"/>
      <c r="P20" s="116"/>
      <c r="Q20" s="133"/>
      <c r="R20" s="8" t="s">
        <v>187</v>
      </c>
      <c r="S20" s="116"/>
      <c r="T20" s="116"/>
      <c r="U20" s="116"/>
      <c r="V20" s="116"/>
      <c r="W20" s="116"/>
      <c r="X20" s="134"/>
      <c r="Y20" s="424" t="s">
        <v>155</v>
      </c>
      <c r="Z20" s="425"/>
      <c r="AA20" s="426" t="s">
        <v>156</v>
      </c>
      <c r="AB20" s="427"/>
      <c r="AC20" s="428"/>
      <c r="AD20" s="126">
        <v>3</v>
      </c>
      <c r="AE20" s="111"/>
      <c r="AF20" s="111"/>
      <c r="AG20" s="111"/>
      <c r="AH20" s="121"/>
      <c r="AI20" s="121"/>
      <c r="AJ20" s="121"/>
      <c r="AK20" s="121"/>
      <c r="AL20" s="121"/>
      <c r="AM20" s="121"/>
      <c r="AN20" s="121"/>
      <c r="AO20" s="122"/>
      <c r="AP20" s="122"/>
      <c r="AQ20" s="122"/>
      <c r="AR20" s="122"/>
      <c r="AS20" s="210"/>
      <c r="AT20" s="215"/>
      <c r="AU20" s="176"/>
      <c r="AV20" s="176"/>
      <c r="AW20" s="176"/>
      <c r="AX20" s="216"/>
      <c r="AY20" s="157"/>
      <c r="AZ20" s="157"/>
      <c r="BA20" s="157"/>
      <c r="BB20" s="157"/>
      <c r="BC20" s="157"/>
      <c r="BD20" s="158"/>
    </row>
    <row r="21" spans="1:57" s="1" customFormat="1" ht="14.4" customHeight="1">
      <c r="A21" s="286">
        <f>IF(B21="","",COUNTA($B$8:B21))</f>
        <v>14</v>
      </c>
      <c r="B21" s="287" t="s">
        <v>189</v>
      </c>
      <c r="C21" s="288"/>
      <c r="D21" s="288"/>
      <c r="E21" s="288"/>
      <c r="F21" s="288"/>
      <c r="G21" s="288"/>
      <c r="H21" s="289"/>
      <c r="I21" s="290" t="s">
        <v>190</v>
      </c>
      <c r="J21" s="291"/>
      <c r="K21" s="291"/>
      <c r="L21" s="291"/>
      <c r="M21" s="291"/>
      <c r="N21" s="291"/>
      <c r="O21" s="291"/>
      <c r="P21" s="291"/>
      <c r="Q21" s="292"/>
      <c r="R21" s="287" t="s">
        <v>189</v>
      </c>
      <c r="S21" s="291"/>
      <c r="T21" s="291"/>
      <c r="U21" s="291"/>
      <c r="V21" s="291"/>
      <c r="W21" s="291"/>
      <c r="X21" s="289"/>
      <c r="Y21" s="441" t="s">
        <v>155</v>
      </c>
      <c r="Z21" s="442"/>
      <c r="AA21" s="435" t="s">
        <v>156</v>
      </c>
      <c r="AB21" s="436"/>
      <c r="AC21" s="437"/>
      <c r="AD21" s="293">
        <v>3</v>
      </c>
      <c r="AE21" s="294"/>
      <c r="AF21" s="294"/>
      <c r="AG21" s="295"/>
      <c r="AH21" s="295">
        <v>0</v>
      </c>
      <c r="AI21" s="295"/>
      <c r="AJ21" s="295"/>
      <c r="AK21" s="295"/>
      <c r="AL21" s="295"/>
      <c r="AM21" s="295"/>
      <c r="AN21" s="295"/>
      <c r="AO21" s="294"/>
      <c r="AP21" s="294"/>
      <c r="AQ21" s="294"/>
      <c r="AR21" s="294"/>
      <c r="AS21" s="296" t="s">
        <v>191</v>
      </c>
      <c r="AT21" s="297"/>
      <c r="AU21" s="298"/>
      <c r="AV21" s="298"/>
      <c r="AW21" s="298"/>
      <c r="AX21" s="298"/>
      <c r="AY21" s="299"/>
      <c r="AZ21" s="299"/>
      <c r="BA21" s="299"/>
      <c r="BB21" s="299"/>
      <c r="BC21" s="299"/>
      <c r="BD21" s="300"/>
    </row>
    <row r="22" spans="1:57" s="1" customFormat="1" ht="14.4" customHeight="1">
      <c r="A22" s="301" t="str">
        <f>IF(B22="","",COUNTA($B$8:B22))</f>
        <v/>
      </c>
      <c r="B22" s="302"/>
      <c r="C22" s="303"/>
      <c r="D22" s="303"/>
      <c r="E22" s="303"/>
      <c r="F22" s="303"/>
      <c r="G22" s="303"/>
      <c r="H22" s="304"/>
      <c r="I22" s="305"/>
      <c r="J22" s="306"/>
      <c r="K22" s="306"/>
      <c r="L22" s="306"/>
      <c r="M22" s="306"/>
      <c r="N22" s="306"/>
      <c r="O22" s="306"/>
      <c r="P22" s="306"/>
      <c r="Q22" s="307"/>
      <c r="R22" s="302"/>
      <c r="S22" s="306"/>
      <c r="T22" s="306"/>
      <c r="U22" s="306"/>
      <c r="V22" s="306"/>
      <c r="W22" s="306"/>
      <c r="X22" s="304"/>
      <c r="Y22" s="443"/>
      <c r="Z22" s="444"/>
      <c r="AA22" s="438"/>
      <c r="AB22" s="439"/>
      <c r="AC22" s="440"/>
      <c r="AD22" s="308"/>
      <c r="AE22" s="309"/>
      <c r="AF22" s="309"/>
      <c r="AG22" s="310"/>
      <c r="AH22" s="310"/>
      <c r="AI22" s="310"/>
      <c r="AJ22" s="310"/>
      <c r="AK22" s="310"/>
      <c r="AL22" s="310"/>
      <c r="AM22" s="310"/>
      <c r="AN22" s="310"/>
      <c r="AO22" s="309"/>
      <c r="AP22" s="309"/>
      <c r="AQ22" s="309"/>
      <c r="AR22" s="309"/>
      <c r="AS22" s="311" t="s">
        <v>192</v>
      </c>
      <c r="AT22" s="312"/>
      <c r="AU22" s="313"/>
      <c r="AV22" s="313"/>
      <c r="AW22" s="313"/>
      <c r="AX22" s="313"/>
      <c r="AY22" s="314"/>
      <c r="AZ22" s="314"/>
      <c r="BA22" s="314"/>
      <c r="BB22" s="314"/>
      <c r="BC22" s="314"/>
      <c r="BD22" s="315"/>
    </row>
    <row r="23" spans="1:57" s="1" customFormat="1" ht="14.4" customHeight="1">
      <c r="A23" s="131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15" t="s">
        <v>194</v>
      </c>
      <c r="J23" s="116"/>
      <c r="K23" s="116"/>
      <c r="L23" s="116"/>
      <c r="M23" s="116"/>
      <c r="N23" s="116"/>
      <c r="O23" s="116"/>
      <c r="P23" s="116"/>
      <c r="Q23" s="133"/>
      <c r="R23" s="64" t="s">
        <v>193</v>
      </c>
      <c r="S23" s="116"/>
      <c r="T23" s="116"/>
      <c r="U23" s="116"/>
      <c r="V23" s="116"/>
      <c r="W23" s="116"/>
      <c r="X23" s="134"/>
      <c r="Y23" s="424" t="s">
        <v>150</v>
      </c>
      <c r="Z23" s="425"/>
      <c r="AA23" s="426" t="s">
        <v>151</v>
      </c>
      <c r="AB23" s="427"/>
      <c r="AC23" s="428"/>
      <c r="AD23" s="126">
        <v>25</v>
      </c>
      <c r="AE23" s="111"/>
      <c r="AF23" s="111"/>
      <c r="AG23" s="111"/>
      <c r="AH23" s="120"/>
      <c r="AI23" s="120"/>
      <c r="AJ23" s="120"/>
      <c r="AK23" s="120"/>
      <c r="AL23" s="120"/>
      <c r="AM23" s="120"/>
      <c r="AN23" s="120"/>
      <c r="AO23" s="111"/>
      <c r="AP23" s="111"/>
      <c r="AQ23" s="111"/>
      <c r="AR23" s="111"/>
      <c r="AS23" s="189" t="s">
        <v>1408</v>
      </c>
      <c r="AT23" s="216"/>
      <c r="AU23" s="216"/>
      <c r="AV23" s="216"/>
      <c r="AW23" s="216"/>
      <c r="AX23" s="216"/>
      <c r="AY23" s="157"/>
      <c r="AZ23" s="157"/>
      <c r="BA23" s="157"/>
      <c r="BB23" s="157"/>
      <c r="BC23" s="157"/>
      <c r="BD23" s="158"/>
      <c r="BE23" s="1" t="s">
        <v>1417</v>
      </c>
    </row>
    <row r="24" spans="1:57" s="1" customFormat="1" ht="14.4" customHeight="1">
      <c r="A24" s="131">
        <f>IF(B24="","",COUNTA($B$8:B24))</f>
        <v>16</v>
      </c>
      <c r="B24" s="8" t="s">
        <v>195</v>
      </c>
      <c r="C24" s="114"/>
      <c r="D24" s="114"/>
      <c r="E24" s="114"/>
      <c r="F24" s="114"/>
      <c r="G24" s="114"/>
      <c r="H24" s="134"/>
      <c r="I24" s="115" t="s">
        <v>196</v>
      </c>
      <c r="J24" s="116"/>
      <c r="K24" s="116"/>
      <c r="L24" s="116"/>
      <c r="M24" s="116"/>
      <c r="N24" s="116"/>
      <c r="O24" s="116"/>
      <c r="P24" s="116"/>
      <c r="Q24" s="133"/>
      <c r="R24" s="8" t="s">
        <v>195</v>
      </c>
      <c r="S24" s="116"/>
      <c r="T24" s="116"/>
      <c r="U24" s="116"/>
      <c r="V24" s="116"/>
      <c r="W24" s="116"/>
      <c r="X24" s="134"/>
      <c r="Y24" s="424" t="s">
        <v>150</v>
      </c>
      <c r="Z24" s="425"/>
      <c r="AA24" s="426" t="s">
        <v>151</v>
      </c>
      <c r="AB24" s="427"/>
      <c r="AC24" s="428"/>
      <c r="AD24" s="264">
        <v>400</v>
      </c>
      <c r="AE24" s="193"/>
      <c r="AF24" s="193"/>
      <c r="AG24" s="194"/>
      <c r="AH24" s="194"/>
      <c r="AI24" s="194"/>
      <c r="AJ24" s="194"/>
      <c r="AK24" s="194"/>
      <c r="AL24" s="194"/>
      <c r="AM24" s="194"/>
      <c r="AN24" s="194"/>
      <c r="AO24" s="193"/>
      <c r="AP24" s="193"/>
      <c r="AQ24" s="193"/>
      <c r="AR24" s="193"/>
      <c r="AS24" s="189" t="s">
        <v>1512</v>
      </c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  <c r="BE24" s="1" t="s">
        <v>1511</v>
      </c>
    </row>
    <row r="25" spans="1:57" s="1" customFormat="1" ht="14.4" customHeight="1">
      <c r="A25" s="131">
        <f>IF(B25="","",COUNTA($B$8:B25))</f>
        <v>17</v>
      </c>
      <c r="B25" s="8" t="s">
        <v>197</v>
      </c>
      <c r="C25" s="114"/>
      <c r="D25" s="114"/>
      <c r="E25" s="114"/>
      <c r="F25" s="114"/>
      <c r="G25" s="114"/>
      <c r="H25" s="134"/>
      <c r="I25" s="115" t="s">
        <v>198</v>
      </c>
      <c r="J25" s="116"/>
      <c r="K25" s="116"/>
      <c r="L25" s="116"/>
      <c r="M25" s="116"/>
      <c r="N25" s="116"/>
      <c r="O25" s="116"/>
      <c r="P25" s="116"/>
      <c r="Q25" s="133"/>
      <c r="R25" s="8" t="s">
        <v>197</v>
      </c>
      <c r="S25" s="116"/>
      <c r="T25" s="116"/>
      <c r="U25" s="116"/>
      <c r="V25" s="116"/>
      <c r="W25" s="116"/>
      <c r="X25" s="134"/>
      <c r="Y25" s="424" t="s">
        <v>150</v>
      </c>
      <c r="Z25" s="425"/>
      <c r="AA25" s="426" t="s">
        <v>151</v>
      </c>
      <c r="AB25" s="427"/>
      <c r="AC25" s="428"/>
      <c r="AD25" s="126">
        <v>5</v>
      </c>
      <c r="AE25" s="111"/>
      <c r="AF25" s="111"/>
      <c r="AG25" s="111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89"/>
      <c r="AT25" s="176"/>
      <c r="AU25" s="176"/>
      <c r="AV25" s="176"/>
      <c r="AW25" s="176"/>
      <c r="AX25" s="176"/>
      <c r="AY25" s="124"/>
      <c r="AZ25" s="124"/>
      <c r="BA25" s="124"/>
      <c r="BB25" s="124"/>
      <c r="BC25" s="124"/>
      <c r="BD25" s="125"/>
    </row>
    <row r="26" spans="1:57" s="1" customFormat="1" ht="14.4" customHeight="1">
      <c r="A26" s="131">
        <f>IF(B26="","",COUNTA($B$8:B26))</f>
        <v>18</v>
      </c>
      <c r="B26" s="8" t="s">
        <v>199</v>
      </c>
      <c r="C26" s="114"/>
      <c r="D26" s="114"/>
      <c r="E26" s="114"/>
      <c r="F26" s="114"/>
      <c r="G26" s="114"/>
      <c r="H26" s="134"/>
      <c r="I26" s="115" t="s">
        <v>200</v>
      </c>
      <c r="J26" s="116"/>
      <c r="K26" s="116"/>
      <c r="L26" s="116"/>
      <c r="M26" s="116"/>
      <c r="N26" s="116"/>
      <c r="O26" s="116"/>
      <c r="P26" s="116"/>
      <c r="Q26" s="133"/>
      <c r="R26" s="8" t="s">
        <v>199</v>
      </c>
      <c r="S26" s="116"/>
      <c r="T26" s="116"/>
      <c r="U26" s="116"/>
      <c r="V26" s="116"/>
      <c r="W26" s="116"/>
      <c r="X26" s="134"/>
      <c r="Y26" s="424" t="s">
        <v>150</v>
      </c>
      <c r="Z26" s="425"/>
      <c r="AA26" s="426" t="s">
        <v>151</v>
      </c>
      <c r="AB26" s="427"/>
      <c r="AC26" s="428"/>
      <c r="AD26" s="126">
        <v>20</v>
      </c>
      <c r="AE26" s="111"/>
      <c r="AF26" s="111"/>
      <c r="AG26" s="111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89"/>
      <c r="AT26" s="176"/>
      <c r="AU26" s="176"/>
      <c r="AV26" s="176"/>
      <c r="AW26" s="176"/>
      <c r="AX26" s="176"/>
      <c r="AY26" s="124"/>
      <c r="AZ26" s="124"/>
      <c r="BA26" s="124"/>
      <c r="BB26" s="124"/>
      <c r="BC26" s="124"/>
      <c r="BD26" s="125"/>
    </row>
    <row r="27" spans="1:57" s="1" customFormat="1" ht="14.4" customHeight="1">
      <c r="A27" s="131">
        <f>IF(B27="","",COUNTA($B$8:B27))</f>
        <v>19</v>
      </c>
      <c r="B27" s="8" t="s">
        <v>201</v>
      </c>
      <c r="C27" s="114"/>
      <c r="D27" s="114"/>
      <c r="E27" s="114"/>
      <c r="F27" s="114"/>
      <c r="G27" s="114"/>
      <c r="H27" s="134"/>
      <c r="I27" s="115" t="s">
        <v>202</v>
      </c>
      <c r="J27" s="116"/>
      <c r="K27" s="116"/>
      <c r="L27" s="116"/>
      <c r="M27" s="116"/>
      <c r="N27" s="116"/>
      <c r="O27" s="116"/>
      <c r="P27" s="116"/>
      <c r="Q27" s="133"/>
      <c r="R27" s="8" t="s">
        <v>201</v>
      </c>
      <c r="S27" s="116"/>
      <c r="T27" s="116"/>
      <c r="U27" s="116"/>
      <c r="V27" s="116"/>
      <c r="W27" s="116"/>
      <c r="X27" s="134"/>
      <c r="Y27" s="424" t="s">
        <v>150</v>
      </c>
      <c r="Z27" s="425"/>
      <c r="AA27" s="426" t="s">
        <v>151</v>
      </c>
      <c r="AB27" s="427"/>
      <c r="AC27" s="428"/>
      <c r="AD27" s="126">
        <v>30</v>
      </c>
      <c r="AE27" s="111"/>
      <c r="AF27" s="111"/>
      <c r="AG27" s="111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ht="14.4" customHeight="1">
      <c r="A28" s="131">
        <f>IF(B28="","",COUNTA($B$8:B28))</f>
        <v>20</v>
      </c>
      <c r="B28" s="132" t="s">
        <v>203</v>
      </c>
      <c r="C28" s="114"/>
      <c r="D28" s="114"/>
      <c r="E28" s="114"/>
      <c r="F28" s="114"/>
      <c r="G28" s="114"/>
      <c r="H28" s="134"/>
      <c r="I28" s="115" t="s">
        <v>204</v>
      </c>
      <c r="J28" s="116"/>
      <c r="K28" s="116"/>
      <c r="L28" s="116"/>
      <c r="M28" s="116"/>
      <c r="N28" s="116"/>
      <c r="O28" s="116"/>
      <c r="P28" s="116"/>
      <c r="Q28" s="133"/>
      <c r="R28" s="132" t="s">
        <v>203</v>
      </c>
      <c r="S28" s="116"/>
      <c r="T28" s="116"/>
      <c r="U28" s="116"/>
      <c r="V28" s="116"/>
      <c r="W28" s="116"/>
      <c r="X28" s="134"/>
      <c r="Y28" s="424" t="s">
        <v>155</v>
      </c>
      <c r="Z28" s="425"/>
      <c r="AA28" s="426" t="s">
        <v>156</v>
      </c>
      <c r="AB28" s="427"/>
      <c r="AC28" s="428"/>
      <c r="AD28" s="126">
        <v>5</v>
      </c>
      <c r="AE28" s="111">
        <v>2</v>
      </c>
      <c r="AF28" s="111"/>
      <c r="AG28" s="111"/>
      <c r="AH28" s="120"/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ht="14.4" customHeight="1">
      <c r="A29" s="131">
        <f>IF(B29="","",COUNTA($B$8:B29))</f>
        <v>21</v>
      </c>
      <c r="B29" s="132" t="s">
        <v>205</v>
      </c>
      <c r="C29" s="2"/>
      <c r="D29" s="2"/>
      <c r="E29" s="2"/>
      <c r="F29" s="2"/>
      <c r="G29" s="2"/>
      <c r="H29" s="3"/>
      <c r="I29" s="115" t="s">
        <v>206</v>
      </c>
      <c r="J29" s="116"/>
      <c r="K29" s="116"/>
      <c r="L29" s="116"/>
      <c r="M29" s="116"/>
      <c r="N29" s="116"/>
      <c r="O29" s="116"/>
      <c r="P29" s="116"/>
      <c r="Q29" s="133"/>
      <c r="R29" s="132" t="s">
        <v>207</v>
      </c>
      <c r="S29" s="116"/>
      <c r="T29" s="116"/>
      <c r="U29" s="116"/>
      <c r="V29" s="116"/>
      <c r="W29" s="116"/>
      <c r="X29" s="134"/>
      <c r="Y29" s="424" t="s">
        <v>155</v>
      </c>
      <c r="Z29" s="425"/>
      <c r="AA29" s="426" t="s">
        <v>156</v>
      </c>
      <c r="AB29" s="427"/>
      <c r="AC29" s="428"/>
      <c r="AD29" s="126">
        <v>4</v>
      </c>
      <c r="AE29" s="111"/>
      <c r="AF29" s="111"/>
      <c r="AG29" s="111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ht="14.4" customHeight="1">
      <c r="A30" s="131">
        <f>IF(B30="","",COUNTA($B$8:B30))</f>
        <v>22</v>
      </c>
      <c r="B30" s="132" t="s">
        <v>208</v>
      </c>
      <c r="C30" s="2"/>
      <c r="D30" s="2"/>
      <c r="E30" s="2"/>
      <c r="F30" s="2"/>
      <c r="G30" s="2"/>
      <c r="H30" s="3"/>
      <c r="I30" s="115" t="s">
        <v>209</v>
      </c>
      <c r="J30" s="116"/>
      <c r="K30" s="116"/>
      <c r="L30" s="116"/>
      <c r="M30" s="116"/>
      <c r="N30" s="116"/>
      <c r="O30" s="116"/>
      <c r="P30" s="116"/>
      <c r="Q30" s="133"/>
      <c r="R30" s="132" t="s">
        <v>210</v>
      </c>
      <c r="S30" s="116"/>
      <c r="T30" s="116"/>
      <c r="U30" s="116"/>
      <c r="V30" s="116"/>
      <c r="W30" s="116"/>
      <c r="X30" s="134"/>
      <c r="Y30" s="424" t="s">
        <v>155</v>
      </c>
      <c r="Z30" s="425"/>
      <c r="AA30" s="426" t="s">
        <v>156</v>
      </c>
      <c r="AB30" s="427"/>
      <c r="AC30" s="428"/>
      <c r="AD30" s="126">
        <v>5</v>
      </c>
      <c r="AE30" s="111"/>
      <c r="AF30" s="111"/>
      <c r="AG30" s="111"/>
      <c r="AH30" s="120"/>
      <c r="AI30" s="120"/>
      <c r="AJ30" s="120"/>
      <c r="AK30" s="120"/>
      <c r="AL30" s="120"/>
      <c r="AM30" s="120"/>
      <c r="AN30" s="120"/>
      <c r="AO30" s="111"/>
      <c r="AP30" s="111"/>
      <c r="AQ30" s="111"/>
      <c r="AR30" s="111"/>
      <c r="AS30" s="118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ht="14.4" customHeight="1">
      <c r="A31" s="131">
        <f>IF(B31="","",COUNTA($B$8:B31))</f>
        <v>23</v>
      </c>
      <c r="B31" s="132" t="s">
        <v>211</v>
      </c>
      <c r="C31" s="114"/>
      <c r="D31" s="114"/>
      <c r="E31" s="114"/>
      <c r="F31" s="114"/>
      <c r="G31" s="114"/>
      <c r="H31" s="134"/>
      <c r="I31" s="115" t="s">
        <v>212</v>
      </c>
      <c r="J31" s="116"/>
      <c r="K31" s="116"/>
      <c r="L31" s="116"/>
      <c r="M31" s="116"/>
      <c r="N31" s="116"/>
      <c r="O31" s="116"/>
      <c r="P31" s="116"/>
      <c r="Q31" s="133"/>
      <c r="R31" s="132" t="s">
        <v>213</v>
      </c>
      <c r="S31" s="116"/>
      <c r="T31" s="116"/>
      <c r="U31" s="116"/>
      <c r="V31" s="116"/>
      <c r="W31" s="116"/>
      <c r="X31" s="134"/>
      <c r="Y31" s="424" t="s">
        <v>155</v>
      </c>
      <c r="Z31" s="425"/>
      <c r="AA31" s="426" t="s">
        <v>156</v>
      </c>
      <c r="AB31" s="427"/>
      <c r="AC31" s="428"/>
      <c r="AD31" s="126">
        <v>5</v>
      </c>
      <c r="AE31" s="111"/>
      <c r="AF31" s="111"/>
      <c r="AG31" s="111"/>
      <c r="AH31" s="120"/>
      <c r="AI31" s="120"/>
      <c r="AJ31" s="120"/>
      <c r="AK31" s="120"/>
      <c r="AL31" s="120"/>
      <c r="AM31" s="120"/>
      <c r="AN31" s="120"/>
      <c r="AO31" s="111"/>
      <c r="AP31" s="111"/>
      <c r="AQ31" s="111"/>
      <c r="AR31" s="111"/>
      <c r="AS31" s="118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ht="14.4" customHeight="1">
      <c r="A32" s="131">
        <f>IF(B32="","",COUNTA($B$8:B32))</f>
        <v>24</v>
      </c>
      <c r="B32" s="132" t="s">
        <v>214</v>
      </c>
      <c r="C32" s="114"/>
      <c r="D32" s="114"/>
      <c r="E32" s="114"/>
      <c r="F32" s="114"/>
      <c r="G32" s="114"/>
      <c r="H32" s="134"/>
      <c r="I32" s="115" t="s">
        <v>215</v>
      </c>
      <c r="J32" s="116"/>
      <c r="K32" s="116"/>
      <c r="L32" s="116"/>
      <c r="M32" s="116"/>
      <c r="N32" s="116"/>
      <c r="O32" s="116"/>
      <c r="P32" s="116"/>
      <c r="Q32" s="133"/>
      <c r="R32" s="132" t="s">
        <v>216</v>
      </c>
      <c r="S32" s="116"/>
      <c r="T32" s="116"/>
      <c r="U32" s="116"/>
      <c r="V32" s="116"/>
      <c r="W32" s="116"/>
      <c r="X32" s="134"/>
      <c r="Y32" s="424" t="s">
        <v>155</v>
      </c>
      <c r="Z32" s="425"/>
      <c r="AA32" s="426" t="s">
        <v>156</v>
      </c>
      <c r="AB32" s="427"/>
      <c r="AC32" s="428"/>
      <c r="AD32" s="126">
        <v>5</v>
      </c>
      <c r="AE32" s="111"/>
      <c r="AF32" s="111"/>
      <c r="AG32" s="111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 ht="14.4" customHeight="1">
      <c r="A33" s="131">
        <f>IF(B33="","",COUNTA($B$8:B33))</f>
        <v>25</v>
      </c>
      <c r="B33" s="132" t="s">
        <v>217</v>
      </c>
      <c r="C33" s="114"/>
      <c r="D33" s="114"/>
      <c r="E33" s="114"/>
      <c r="F33" s="114"/>
      <c r="G33" s="114"/>
      <c r="H33" s="134"/>
      <c r="I33" s="115" t="s">
        <v>218</v>
      </c>
      <c r="J33" s="116"/>
      <c r="K33" s="116"/>
      <c r="L33" s="116"/>
      <c r="M33" s="116"/>
      <c r="N33" s="116"/>
      <c r="O33" s="116"/>
      <c r="P33" s="116"/>
      <c r="Q33" s="133"/>
      <c r="R33" s="132" t="s">
        <v>219</v>
      </c>
      <c r="S33" s="116"/>
      <c r="T33" s="116"/>
      <c r="U33" s="116"/>
      <c r="V33" s="116"/>
      <c r="W33" s="116"/>
      <c r="X33" s="134"/>
      <c r="Y33" s="424" t="s">
        <v>155</v>
      </c>
      <c r="Z33" s="425"/>
      <c r="AA33" s="426" t="s">
        <v>156</v>
      </c>
      <c r="AB33" s="427"/>
      <c r="AC33" s="428"/>
      <c r="AD33" s="166">
        <v>5</v>
      </c>
      <c r="AE33" s="111"/>
      <c r="AF33" s="111"/>
      <c r="AG33" s="111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 ht="14.4" customHeight="1">
      <c r="A34" s="131">
        <f>IF(B34="","",COUNTA($B$8:B34))</f>
        <v>26</v>
      </c>
      <c r="B34" s="8" t="s">
        <v>266</v>
      </c>
      <c r="C34" s="114"/>
      <c r="D34" s="114"/>
      <c r="E34" s="114"/>
      <c r="F34" s="114"/>
      <c r="G34" s="114"/>
      <c r="H34" s="134"/>
      <c r="I34" s="115" t="s">
        <v>267</v>
      </c>
      <c r="J34" s="116"/>
      <c r="K34" s="116"/>
      <c r="L34" s="116"/>
      <c r="M34" s="116"/>
      <c r="N34" s="116"/>
      <c r="O34" s="116"/>
      <c r="P34" s="116"/>
      <c r="Q34" s="133"/>
      <c r="R34" s="8" t="s">
        <v>266</v>
      </c>
      <c r="S34" s="116"/>
      <c r="T34" s="116"/>
      <c r="U34" s="116"/>
      <c r="V34" s="116"/>
      <c r="W34" s="116"/>
      <c r="X34" s="133"/>
      <c r="Y34" s="424" t="s">
        <v>155</v>
      </c>
      <c r="Z34" s="425"/>
      <c r="AA34" s="426" t="s">
        <v>156</v>
      </c>
      <c r="AB34" s="427"/>
      <c r="AC34" s="428"/>
      <c r="AD34" s="159">
        <v>5</v>
      </c>
      <c r="AE34" s="111"/>
      <c r="AF34" s="111"/>
      <c r="AG34" s="111"/>
      <c r="AH34" s="120"/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 ht="14.4" customHeight="1">
      <c r="A35" s="131">
        <f>IF(B35="","",COUNTA($B$8:B35))</f>
        <v>27</v>
      </c>
      <c r="B35" s="8" t="s">
        <v>226</v>
      </c>
      <c r="C35" s="114"/>
      <c r="D35" s="114"/>
      <c r="E35" s="114"/>
      <c r="F35" s="114"/>
      <c r="G35" s="114"/>
      <c r="H35" s="134"/>
      <c r="I35" s="115" t="s">
        <v>227</v>
      </c>
      <c r="J35" s="116"/>
      <c r="K35" s="116"/>
      <c r="L35" s="116"/>
      <c r="M35" s="116"/>
      <c r="N35" s="116"/>
      <c r="O35" s="116"/>
      <c r="P35" s="116"/>
      <c r="Q35" s="133"/>
      <c r="R35" s="8" t="s">
        <v>226</v>
      </c>
      <c r="S35" s="116"/>
      <c r="T35" s="116"/>
      <c r="U35" s="116"/>
      <c r="V35" s="116"/>
      <c r="W35" s="116"/>
      <c r="X35" s="134"/>
      <c r="Y35" s="424" t="s">
        <v>150</v>
      </c>
      <c r="Z35" s="425"/>
      <c r="AA35" s="426" t="s">
        <v>151</v>
      </c>
      <c r="AB35" s="427"/>
      <c r="AC35" s="428"/>
      <c r="AD35" s="126">
        <v>3</v>
      </c>
      <c r="AE35" s="111"/>
      <c r="AF35" s="111"/>
      <c r="AG35" s="111"/>
      <c r="AH35" s="120"/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ht="14.4" customHeight="1">
      <c r="A36" s="131">
        <f>IF(B36="","",COUNTA($B$8:B36))</f>
        <v>28</v>
      </c>
      <c r="B36" s="8" t="s">
        <v>228</v>
      </c>
      <c r="C36" s="114"/>
      <c r="D36" s="114"/>
      <c r="E36" s="114"/>
      <c r="F36" s="114"/>
      <c r="G36" s="114"/>
      <c r="H36" s="134"/>
      <c r="I36" s="115" t="s">
        <v>229</v>
      </c>
      <c r="J36" s="116"/>
      <c r="K36" s="116"/>
      <c r="L36" s="116"/>
      <c r="M36" s="116"/>
      <c r="N36" s="116"/>
      <c r="O36" s="116"/>
      <c r="P36" s="116"/>
      <c r="Q36" s="133"/>
      <c r="R36" s="8" t="s">
        <v>228</v>
      </c>
      <c r="S36" s="116"/>
      <c r="T36" s="116"/>
      <c r="U36" s="116"/>
      <c r="V36" s="116"/>
      <c r="W36" s="116"/>
      <c r="X36" s="134"/>
      <c r="Y36" s="424" t="s">
        <v>150</v>
      </c>
      <c r="Z36" s="425"/>
      <c r="AA36" s="426" t="s">
        <v>151</v>
      </c>
      <c r="AB36" s="427"/>
      <c r="AC36" s="428"/>
      <c r="AD36" s="126">
        <v>1000</v>
      </c>
      <c r="AE36" s="111"/>
      <c r="AF36" s="111"/>
      <c r="AG36" s="111"/>
      <c r="AH36" s="120"/>
      <c r="AI36" s="120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ht="14.4" customHeight="1">
      <c r="A37" s="131">
        <f>IF(B37="","",COUNTA($B$8:B37))</f>
        <v>29</v>
      </c>
      <c r="B37" s="8" t="s">
        <v>230</v>
      </c>
      <c r="C37" s="114"/>
      <c r="D37" s="114"/>
      <c r="E37" s="114"/>
      <c r="F37" s="114"/>
      <c r="G37" s="114"/>
      <c r="H37" s="134"/>
      <c r="I37" s="115" t="s">
        <v>231</v>
      </c>
      <c r="J37" s="116"/>
      <c r="K37" s="116"/>
      <c r="L37" s="116"/>
      <c r="M37" s="116"/>
      <c r="N37" s="116"/>
      <c r="O37" s="116"/>
      <c r="P37" s="116"/>
      <c r="Q37" s="133"/>
      <c r="R37" s="8" t="s">
        <v>230</v>
      </c>
      <c r="S37" s="116"/>
      <c r="T37" s="116"/>
      <c r="U37" s="116"/>
      <c r="V37" s="116"/>
      <c r="W37" s="116"/>
      <c r="X37" s="134"/>
      <c r="Y37" s="424" t="s">
        <v>169</v>
      </c>
      <c r="Z37" s="425"/>
      <c r="AA37" s="426" t="s">
        <v>170</v>
      </c>
      <c r="AB37" s="427"/>
      <c r="AC37" s="428"/>
      <c r="AD37" s="126"/>
      <c r="AE37" s="111"/>
      <c r="AF37" s="111"/>
      <c r="AG37" s="111"/>
      <c r="AH37" s="120"/>
      <c r="AI37" s="120"/>
      <c r="AJ37" s="120"/>
      <c r="AK37" s="120"/>
      <c r="AL37" s="120"/>
      <c r="AM37" s="120"/>
      <c r="AN37" s="120"/>
      <c r="AO37" s="111"/>
      <c r="AP37" s="111"/>
      <c r="AQ37" s="111"/>
      <c r="AR37" s="111"/>
      <c r="AS37" s="118" t="s">
        <v>232</v>
      </c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ht="14.4" customHeight="1">
      <c r="A38" s="131">
        <f>IF(B38="","",COUNTA($B$8:B38))</f>
        <v>30</v>
      </c>
      <c r="B38" s="8" t="s">
        <v>233</v>
      </c>
      <c r="C38" s="114"/>
      <c r="D38" s="114"/>
      <c r="E38" s="114"/>
      <c r="F38" s="114"/>
      <c r="G38" s="114"/>
      <c r="H38" s="134"/>
      <c r="I38" s="115" t="s">
        <v>234</v>
      </c>
      <c r="J38" s="116"/>
      <c r="K38" s="116"/>
      <c r="L38" s="116"/>
      <c r="M38" s="116"/>
      <c r="N38" s="116"/>
      <c r="O38" s="116"/>
      <c r="P38" s="116"/>
      <c r="Q38" s="133"/>
      <c r="R38" s="8" t="s">
        <v>233</v>
      </c>
      <c r="S38" s="116"/>
      <c r="T38" s="116"/>
      <c r="U38" s="116"/>
      <c r="V38" s="116"/>
      <c r="W38" s="116"/>
      <c r="X38" s="134"/>
      <c r="Y38" s="424" t="s">
        <v>155</v>
      </c>
      <c r="Z38" s="425"/>
      <c r="AA38" s="426" t="s">
        <v>156</v>
      </c>
      <c r="AB38" s="427"/>
      <c r="AC38" s="428"/>
      <c r="AD38" s="126">
        <v>1</v>
      </c>
      <c r="AE38" s="111"/>
      <c r="AF38" s="111"/>
      <c r="AG38" s="111"/>
      <c r="AH38" s="120">
        <v>0</v>
      </c>
      <c r="AI38" s="120"/>
      <c r="AJ38" s="120"/>
      <c r="AK38" s="120"/>
      <c r="AL38" s="120"/>
      <c r="AM38" s="120"/>
      <c r="AN38" s="120"/>
      <c r="AO38" s="111"/>
      <c r="AP38" s="111"/>
      <c r="AQ38" s="111"/>
      <c r="AR38" s="111"/>
      <c r="AS38" s="118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ht="14.4" customHeight="1">
      <c r="A39" s="131">
        <f>IF(B39="","",COUNTA($B$8:B39))</f>
        <v>31</v>
      </c>
      <c r="B39" s="8" t="s">
        <v>236</v>
      </c>
      <c r="C39" s="114"/>
      <c r="D39" s="114"/>
      <c r="E39" s="114"/>
      <c r="F39" s="114"/>
      <c r="G39" s="114"/>
      <c r="H39" s="134"/>
      <c r="I39" s="115" t="s">
        <v>237</v>
      </c>
      <c r="J39" s="116"/>
      <c r="K39" s="116"/>
      <c r="L39" s="116"/>
      <c r="M39" s="116"/>
      <c r="N39" s="116"/>
      <c r="O39" s="116"/>
      <c r="P39" s="116"/>
      <c r="Q39" s="133"/>
      <c r="R39" s="8" t="s">
        <v>236</v>
      </c>
      <c r="S39" s="116"/>
      <c r="T39" s="116"/>
      <c r="U39" s="116"/>
      <c r="V39" s="116"/>
      <c r="W39" s="116"/>
      <c r="X39" s="134"/>
      <c r="Y39" s="424" t="s">
        <v>155</v>
      </c>
      <c r="Z39" s="425"/>
      <c r="AA39" s="426" t="s">
        <v>156</v>
      </c>
      <c r="AB39" s="427"/>
      <c r="AC39" s="428"/>
      <c r="AD39" s="126">
        <v>1</v>
      </c>
      <c r="AE39" s="111"/>
      <c r="AF39" s="111"/>
      <c r="AG39" s="111"/>
      <c r="AH39" s="120">
        <v>0</v>
      </c>
      <c r="AI39" s="120"/>
      <c r="AJ39" s="120"/>
      <c r="AK39" s="120"/>
      <c r="AL39" s="120"/>
      <c r="AM39" s="120"/>
      <c r="AN39" s="120"/>
      <c r="AO39" s="111"/>
      <c r="AP39" s="111"/>
      <c r="AQ39" s="111"/>
      <c r="AR39" s="111"/>
      <c r="AS39" s="118" t="s">
        <v>238</v>
      </c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s="1" customFormat="1" ht="14.4" customHeight="1">
      <c r="A40" s="131">
        <f>IF(B40="","",COUNTA($B$8:B40))</f>
        <v>32</v>
      </c>
      <c r="B40" s="8" t="s">
        <v>239</v>
      </c>
      <c r="C40" s="114"/>
      <c r="D40" s="114"/>
      <c r="E40" s="114"/>
      <c r="F40" s="114"/>
      <c r="G40" s="114"/>
      <c r="H40" s="134"/>
      <c r="I40" s="115" t="s">
        <v>240</v>
      </c>
      <c r="J40" s="116"/>
      <c r="K40" s="116"/>
      <c r="L40" s="116"/>
      <c r="M40" s="116"/>
      <c r="N40" s="116"/>
      <c r="O40" s="116"/>
      <c r="P40" s="116"/>
      <c r="Q40" s="133"/>
      <c r="R40" s="8" t="s">
        <v>239</v>
      </c>
      <c r="S40" s="116"/>
      <c r="T40" s="116"/>
      <c r="U40" s="116"/>
      <c r="V40" s="116"/>
      <c r="W40" s="116"/>
      <c r="X40" s="134"/>
      <c r="Y40" s="424" t="s">
        <v>169</v>
      </c>
      <c r="Z40" s="425"/>
      <c r="AA40" s="426" t="s">
        <v>170</v>
      </c>
      <c r="AB40" s="427"/>
      <c r="AC40" s="428"/>
      <c r="AD40" s="126"/>
      <c r="AE40" s="111"/>
      <c r="AF40" s="111"/>
      <c r="AG40" s="111"/>
      <c r="AH40" s="120"/>
      <c r="AI40" s="120"/>
      <c r="AJ40" s="120"/>
      <c r="AK40" s="120"/>
      <c r="AL40" s="120"/>
      <c r="AM40" s="120"/>
      <c r="AN40" s="120"/>
      <c r="AO40" s="111"/>
      <c r="AP40" s="111"/>
      <c r="AQ40" s="111"/>
      <c r="AR40" s="111"/>
      <c r="AS40" s="118"/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6" s="1" customFormat="1" ht="14.4" customHeight="1">
      <c r="A41" s="131">
        <f>IF(B41="","",COUNTA($B$8:B41))</f>
        <v>33</v>
      </c>
      <c r="B41" s="8" t="s">
        <v>278</v>
      </c>
      <c r="C41" s="114"/>
      <c r="D41" s="114"/>
      <c r="E41" s="114"/>
      <c r="F41" s="114"/>
      <c r="G41" s="114"/>
      <c r="H41" s="134"/>
      <c r="I41" s="115" t="s">
        <v>279</v>
      </c>
      <c r="J41" s="116"/>
      <c r="K41" s="116"/>
      <c r="L41" s="116"/>
      <c r="M41" s="116"/>
      <c r="N41" s="116"/>
      <c r="O41" s="116"/>
      <c r="P41" s="116"/>
      <c r="Q41" s="133"/>
      <c r="R41" s="8" t="s">
        <v>278</v>
      </c>
      <c r="S41" s="116"/>
      <c r="T41" s="116"/>
      <c r="U41" s="116"/>
      <c r="V41" s="116"/>
      <c r="W41" s="116"/>
      <c r="X41" s="134"/>
      <c r="Y41" s="424" t="s">
        <v>155</v>
      </c>
      <c r="Z41" s="425"/>
      <c r="AA41" s="426" t="s">
        <v>156</v>
      </c>
      <c r="AB41" s="427"/>
      <c r="AC41" s="428"/>
      <c r="AD41" s="126">
        <v>1</v>
      </c>
      <c r="AE41" s="111"/>
      <c r="AF41" s="111"/>
      <c r="AG41" s="111"/>
      <c r="AH41" s="120">
        <v>0</v>
      </c>
      <c r="AI41" s="120"/>
      <c r="AJ41" s="120"/>
      <c r="AK41" s="120"/>
      <c r="AL41" s="120"/>
      <c r="AM41" s="120"/>
      <c r="AN41" s="120"/>
      <c r="AO41" s="111"/>
      <c r="AP41" s="111"/>
      <c r="AQ41" s="111"/>
      <c r="AR41" s="111"/>
      <c r="AS41" s="118" t="s">
        <v>280</v>
      </c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6" s="1" customFormat="1" ht="14.4" customHeight="1">
      <c r="A42" s="131">
        <f>IF(B42="","",COUNTA($B$8:B42))</f>
        <v>34</v>
      </c>
      <c r="B42" s="8" t="s">
        <v>281</v>
      </c>
      <c r="C42" s="114"/>
      <c r="D42" s="114"/>
      <c r="E42" s="114"/>
      <c r="F42" s="114"/>
      <c r="G42" s="114"/>
      <c r="H42" s="134"/>
      <c r="I42" s="115" t="s">
        <v>282</v>
      </c>
      <c r="J42" s="116"/>
      <c r="K42" s="116"/>
      <c r="L42" s="116"/>
      <c r="M42" s="116"/>
      <c r="N42" s="116"/>
      <c r="O42" s="116"/>
      <c r="P42" s="116"/>
      <c r="Q42" s="133"/>
      <c r="R42" s="8" t="s">
        <v>281</v>
      </c>
      <c r="S42" s="116"/>
      <c r="T42" s="116"/>
      <c r="U42" s="116"/>
      <c r="V42" s="116"/>
      <c r="W42" s="116"/>
      <c r="X42" s="134"/>
      <c r="Y42" s="424" t="s">
        <v>155</v>
      </c>
      <c r="Z42" s="425"/>
      <c r="AA42" s="426" t="s">
        <v>156</v>
      </c>
      <c r="AB42" s="427"/>
      <c r="AC42" s="428"/>
      <c r="AD42" s="126">
        <v>1</v>
      </c>
      <c r="AE42" s="111"/>
      <c r="AF42" s="111"/>
      <c r="AG42" s="111"/>
      <c r="AH42" s="120">
        <v>0</v>
      </c>
      <c r="AI42" s="120"/>
      <c r="AJ42" s="120"/>
      <c r="AK42" s="120"/>
      <c r="AL42" s="120"/>
      <c r="AM42" s="120"/>
      <c r="AN42" s="120"/>
      <c r="AO42" s="111"/>
      <c r="AP42" s="111"/>
      <c r="AQ42" s="111"/>
      <c r="AR42" s="111"/>
      <c r="AS42" s="118" t="s">
        <v>283</v>
      </c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6" s="1" customFormat="1" ht="14.4" customHeight="1">
      <c r="A43" s="131">
        <f>IF(B43="","",COUNTA($B$8:B43))</f>
        <v>35</v>
      </c>
      <c r="B43" s="8" t="s">
        <v>284</v>
      </c>
      <c r="C43" s="114"/>
      <c r="D43" s="114"/>
      <c r="E43" s="114"/>
      <c r="F43" s="114"/>
      <c r="G43" s="114"/>
      <c r="H43" s="134"/>
      <c r="I43" s="115" t="s">
        <v>285</v>
      </c>
      <c r="J43" s="116"/>
      <c r="K43" s="116"/>
      <c r="L43" s="116"/>
      <c r="M43" s="116"/>
      <c r="N43" s="116"/>
      <c r="O43" s="116"/>
      <c r="P43" s="116"/>
      <c r="Q43" s="133"/>
      <c r="R43" s="8" t="s">
        <v>284</v>
      </c>
      <c r="S43" s="116"/>
      <c r="T43" s="116"/>
      <c r="U43" s="116"/>
      <c r="V43" s="116"/>
      <c r="W43" s="116"/>
      <c r="X43" s="134"/>
      <c r="Y43" s="424" t="s">
        <v>155</v>
      </c>
      <c r="Z43" s="425"/>
      <c r="AA43" s="426" t="s">
        <v>156</v>
      </c>
      <c r="AB43" s="427"/>
      <c r="AC43" s="428"/>
      <c r="AD43" s="126">
        <v>1</v>
      </c>
      <c r="AE43" s="111"/>
      <c r="AF43" s="111"/>
      <c r="AG43" s="111"/>
      <c r="AH43" s="120">
        <v>0</v>
      </c>
      <c r="AI43" s="120"/>
      <c r="AJ43" s="120"/>
      <c r="AK43" s="120"/>
      <c r="AL43" s="120"/>
      <c r="AM43" s="120"/>
      <c r="AN43" s="120"/>
      <c r="AO43" s="111"/>
      <c r="AP43" s="111"/>
      <c r="AQ43" s="111"/>
      <c r="AR43" s="111"/>
      <c r="AS43" s="118" t="s">
        <v>286</v>
      </c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6" s="1" customFormat="1" ht="14.4" customHeight="1">
      <c r="A44" s="131">
        <f>IF(B44="","",COUNTA($B$8:B44))</f>
        <v>36</v>
      </c>
      <c r="B44" s="8" t="s">
        <v>249</v>
      </c>
      <c r="C44" s="114"/>
      <c r="D44" s="114"/>
      <c r="E44" s="114"/>
      <c r="F44" s="114"/>
      <c r="G44" s="114"/>
      <c r="H44" s="134"/>
      <c r="I44" s="115" t="s">
        <v>250</v>
      </c>
      <c r="J44" s="116"/>
      <c r="K44" s="116"/>
      <c r="L44" s="116"/>
      <c r="M44" s="116"/>
      <c r="N44" s="116"/>
      <c r="O44" s="116"/>
      <c r="P44" s="116"/>
      <c r="Q44" s="133"/>
      <c r="R44" s="8" t="s">
        <v>249</v>
      </c>
      <c r="S44" s="116"/>
      <c r="T44" s="116"/>
      <c r="U44" s="116"/>
      <c r="V44" s="116"/>
      <c r="W44" s="116"/>
      <c r="X44" s="134"/>
      <c r="Y44" s="424" t="s">
        <v>150</v>
      </c>
      <c r="Z44" s="425"/>
      <c r="AA44" s="426" t="s">
        <v>151</v>
      </c>
      <c r="AB44" s="427"/>
      <c r="AC44" s="428"/>
      <c r="AD44" s="126">
        <v>4</v>
      </c>
      <c r="AE44" s="111"/>
      <c r="AF44" s="111"/>
      <c r="AG44" s="111"/>
      <c r="AH44" s="120"/>
      <c r="AI44" s="120"/>
      <c r="AJ44" s="120"/>
      <c r="AK44" s="120"/>
      <c r="AL44" s="120"/>
      <c r="AM44" s="120"/>
      <c r="AN44" s="120"/>
      <c r="AO44" s="111"/>
      <c r="AP44" s="111"/>
      <c r="AQ44" s="111"/>
      <c r="AR44" s="111"/>
      <c r="AS44" s="118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6" s="1" customFormat="1" ht="14.4" customHeight="1">
      <c r="A45" s="131">
        <f>IF(B45="","",COUNTA($B$8:B45))</f>
        <v>37</v>
      </c>
      <c r="B45" s="8" t="s">
        <v>251</v>
      </c>
      <c r="C45" s="114"/>
      <c r="D45" s="114"/>
      <c r="E45" s="114"/>
      <c r="F45" s="114"/>
      <c r="G45" s="114"/>
      <c r="H45" s="134"/>
      <c r="I45" s="115" t="s">
        <v>252</v>
      </c>
      <c r="J45" s="116"/>
      <c r="K45" s="116"/>
      <c r="L45" s="116"/>
      <c r="M45" s="116"/>
      <c r="N45" s="116"/>
      <c r="O45" s="116"/>
      <c r="P45" s="116"/>
      <c r="Q45" s="133"/>
      <c r="R45" s="8" t="s">
        <v>251</v>
      </c>
      <c r="S45" s="116"/>
      <c r="T45" s="116"/>
      <c r="U45" s="116"/>
      <c r="V45" s="116"/>
      <c r="W45" s="116"/>
      <c r="X45" s="134"/>
      <c r="Y45" s="424" t="s">
        <v>150</v>
      </c>
      <c r="Z45" s="425"/>
      <c r="AA45" s="426" t="s">
        <v>151</v>
      </c>
      <c r="AB45" s="427"/>
      <c r="AC45" s="428"/>
      <c r="AD45" s="126">
        <v>4</v>
      </c>
      <c r="AE45" s="111"/>
      <c r="AF45" s="111"/>
      <c r="AG45" s="111"/>
      <c r="AH45" s="120"/>
      <c r="AI45" s="120"/>
      <c r="AJ45" s="120"/>
      <c r="AK45" s="120"/>
      <c r="AL45" s="120"/>
      <c r="AM45" s="120"/>
      <c r="AN45" s="120"/>
      <c r="AO45" s="111"/>
      <c r="AP45" s="111"/>
      <c r="AQ45" s="111"/>
      <c r="AR45" s="111"/>
      <c r="AS45" s="118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  <row r="46" spans="1:56" s="1" customFormat="1" ht="14.4" customHeight="1">
      <c r="A46" s="131">
        <f>IF(B46="","",COUNTA($B$8:B46))</f>
        <v>38</v>
      </c>
      <c r="B46" s="8" t="s">
        <v>253</v>
      </c>
      <c r="C46" s="114"/>
      <c r="D46" s="114"/>
      <c r="E46" s="114"/>
      <c r="F46" s="114"/>
      <c r="G46" s="114"/>
      <c r="H46" s="134"/>
      <c r="I46" s="118" t="s">
        <v>254</v>
      </c>
      <c r="J46" s="116"/>
      <c r="K46" s="116"/>
      <c r="L46" s="116"/>
      <c r="M46" s="116"/>
      <c r="N46" s="116"/>
      <c r="O46" s="116"/>
      <c r="P46" s="116"/>
      <c r="Q46" s="133"/>
      <c r="R46" s="8" t="s">
        <v>253</v>
      </c>
      <c r="S46" s="116"/>
      <c r="T46" s="116"/>
      <c r="U46" s="116"/>
      <c r="V46" s="116"/>
      <c r="W46" s="116"/>
      <c r="X46" s="134"/>
      <c r="Y46" s="424" t="s">
        <v>150</v>
      </c>
      <c r="Z46" s="425"/>
      <c r="AA46" s="426" t="s">
        <v>151</v>
      </c>
      <c r="AB46" s="427"/>
      <c r="AC46" s="428"/>
      <c r="AD46" s="126">
        <v>10</v>
      </c>
      <c r="AE46" s="111"/>
      <c r="AF46" s="111"/>
      <c r="AG46" s="111"/>
      <c r="AH46" s="120"/>
      <c r="AI46" s="120"/>
      <c r="AJ46" s="120"/>
      <c r="AK46" s="120"/>
      <c r="AL46" s="120"/>
      <c r="AM46" s="120"/>
      <c r="AN46" s="120"/>
      <c r="AO46" s="111"/>
      <c r="AP46" s="111"/>
      <c r="AQ46" s="111"/>
      <c r="AR46" s="111"/>
      <c r="AS46" s="118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5"/>
    </row>
    <row r="47" spans="1:56" s="1" customFormat="1" ht="14.4" customHeight="1">
      <c r="A47" s="131">
        <f>IF(B47="","",COUNTA($B$8:B47))</f>
        <v>39</v>
      </c>
      <c r="B47" s="8" t="s">
        <v>255</v>
      </c>
      <c r="C47" s="114"/>
      <c r="D47" s="114"/>
      <c r="E47" s="114"/>
      <c r="F47" s="114"/>
      <c r="G47" s="114"/>
      <c r="H47" s="134"/>
      <c r="I47" s="118" t="s">
        <v>256</v>
      </c>
      <c r="J47" s="116"/>
      <c r="K47" s="116"/>
      <c r="L47" s="116"/>
      <c r="M47" s="116"/>
      <c r="N47" s="116"/>
      <c r="O47" s="116"/>
      <c r="P47" s="116"/>
      <c r="Q47" s="133"/>
      <c r="R47" s="8" t="s">
        <v>255</v>
      </c>
      <c r="S47" s="116"/>
      <c r="T47" s="116"/>
      <c r="U47" s="116"/>
      <c r="V47" s="116"/>
      <c r="W47" s="116"/>
      <c r="X47" s="134"/>
      <c r="Y47" s="424" t="s">
        <v>150</v>
      </c>
      <c r="Z47" s="425"/>
      <c r="AA47" s="426" t="s">
        <v>151</v>
      </c>
      <c r="AB47" s="427"/>
      <c r="AC47" s="428"/>
      <c r="AD47" s="126">
        <v>10</v>
      </c>
      <c r="AE47" s="111"/>
      <c r="AF47" s="111"/>
      <c r="AG47" s="111"/>
      <c r="AH47" s="120"/>
      <c r="AI47" s="120"/>
      <c r="AJ47" s="120"/>
      <c r="AK47" s="120"/>
      <c r="AL47" s="120"/>
      <c r="AM47" s="120"/>
      <c r="AN47" s="120"/>
      <c r="AO47" s="111"/>
      <c r="AP47" s="111"/>
      <c r="AQ47" s="111"/>
      <c r="AR47" s="111"/>
      <c r="AS47" s="118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5"/>
    </row>
    <row r="48" spans="1:56" s="1" customFormat="1" ht="14.4" customHeight="1">
      <c r="A48" s="131">
        <f>IF(B48="","",COUNTA($B$8:B48))</f>
        <v>40</v>
      </c>
      <c r="B48" s="8" t="s">
        <v>257</v>
      </c>
      <c r="C48" s="114"/>
      <c r="D48" s="114"/>
      <c r="E48" s="114"/>
      <c r="F48" s="114"/>
      <c r="G48" s="114"/>
      <c r="H48" s="134"/>
      <c r="I48" s="118" t="s">
        <v>258</v>
      </c>
      <c r="J48" s="116"/>
      <c r="K48" s="116"/>
      <c r="L48" s="116"/>
      <c r="M48" s="116"/>
      <c r="N48" s="116"/>
      <c r="O48" s="116"/>
      <c r="P48" s="116"/>
      <c r="Q48" s="133"/>
      <c r="R48" s="8" t="s">
        <v>257</v>
      </c>
      <c r="S48" s="116"/>
      <c r="T48" s="116"/>
      <c r="U48" s="116"/>
      <c r="V48" s="116"/>
      <c r="W48" s="116"/>
      <c r="X48" s="134"/>
      <c r="Y48" s="424" t="s">
        <v>169</v>
      </c>
      <c r="Z48" s="425"/>
      <c r="AA48" s="426" t="s">
        <v>243</v>
      </c>
      <c r="AB48" s="427"/>
      <c r="AC48" s="428"/>
      <c r="AD48" s="159"/>
      <c r="AE48" s="111"/>
      <c r="AF48" s="111"/>
      <c r="AG48" s="111"/>
      <c r="AH48" s="121"/>
      <c r="AI48" s="121"/>
      <c r="AJ48" s="120"/>
      <c r="AK48" s="120"/>
      <c r="AL48" s="120"/>
      <c r="AM48" s="120"/>
      <c r="AN48" s="120"/>
      <c r="AO48" s="111"/>
      <c r="AP48" s="111"/>
      <c r="AQ48" s="111"/>
      <c r="AR48" s="111"/>
      <c r="AS48" s="118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5"/>
    </row>
    <row r="49" spans="1:56" s="1" customFormat="1" ht="14.4" customHeight="1">
      <c r="A49" s="131">
        <f>IF(B49="","",COUNTA($B$8:B49))</f>
        <v>41</v>
      </c>
      <c r="B49" s="8" t="s">
        <v>259</v>
      </c>
      <c r="C49" s="114"/>
      <c r="D49" s="114"/>
      <c r="E49" s="114"/>
      <c r="F49" s="114"/>
      <c r="G49" s="114"/>
      <c r="H49" s="134"/>
      <c r="I49" s="118" t="s">
        <v>260</v>
      </c>
      <c r="J49" s="116"/>
      <c r="K49" s="116"/>
      <c r="L49" s="116"/>
      <c r="M49" s="116"/>
      <c r="N49" s="116"/>
      <c r="O49" s="116"/>
      <c r="P49" s="116"/>
      <c r="Q49" s="133"/>
      <c r="R49" s="8" t="s">
        <v>259</v>
      </c>
      <c r="S49" s="116"/>
      <c r="T49" s="116"/>
      <c r="U49" s="116"/>
      <c r="V49" s="116"/>
      <c r="W49" s="116"/>
      <c r="X49" s="134"/>
      <c r="Y49" s="424" t="s">
        <v>150</v>
      </c>
      <c r="Z49" s="425"/>
      <c r="AA49" s="426" t="s">
        <v>151</v>
      </c>
      <c r="AB49" s="427"/>
      <c r="AC49" s="428"/>
      <c r="AD49" s="126">
        <v>10</v>
      </c>
      <c r="AE49" s="111"/>
      <c r="AF49" s="111"/>
      <c r="AG49" s="111"/>
      <c r="AH49" s="121"/>
      <c r="AI49" s="121"/>
      <c r="AJ49" s="120"/>
      <c r="AK49" s="120"/>
      <c r="AL49" s="120"/>
      <c r="AM49" s="120"/>
      <c r="AN49" s="120"/>
      <c r="AO49" s="111"/>
      <c r="AP49" s="111"/>
      <c r="AQ49" s="111"/>
      <c r="AR49" s="111"/>
      <c r="AS49" s="118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5"/>
    </row>
    <row r="50" spans="1:56" s="1" customFormat="1" ht="14.4" customHeight="1">
      <c r="A50" s="131">
        <f>IF(B50="","",COUNTA($B$8:B50))</f>
        <v>42</v>
      </c>
      <c r="B50" s="8" t="s">
        <v>261</v>
      </c>
      <c r="C50" s="114"/>
      <c r="D50" s="114"/>
      <c r="E50" s="114"/>
      <c r="F50" s="114"/>
      <c r="G50" s="114"/>
      <c r="H50" s="134"/>
      <c r="I50" s="118" t="s">
        <v>262</v>
      </c>
      <c r="J50" s="116"/>
      <c r="K50" s="116"/>
      <c r="L50" s="116"/>
      <c r="M50" s="116"/>
      <c r="N50" s="116"/>
      <c r="O50" s="116"/>
      <c r="P50" s="116"/>
      <c r="Q50" s="133"/>
      <c r="R50" s="8" t="s">
        <v>261</v>
      </c>
      <c r="S50" s="116"/>
      <c r="T50" s="116"/>
      <c r="U50" s="116"/>
      <c r="V50" s="116"/>
      <c r="W50" s="116"/>
      <c r="X50" s="134"/>
      <c r="Y50" s="424" t="s">
        <v>150</v>
      </c>
      <c r="Z50" s="425"/>
      <c r="AA50" s="426" t="s">
        <v>151</v>
      </c>
      <c r="AB50" s="427"/>
      <c r="AC50" s="428"/>
      <c r="AD50" s="159">
        <v>10</v>
      </c>
      <c r="AE50" s="111"/>
      <c r="AF50" s="111"/>
      <c r="AG50" s="111"/>
      <c r="AH50" s="120"/>
      <c r="AI50" s="120"/>
      <c r="AJ50" s="120"/>
      <c r="AK50" s="120"/>
      <c r="AL50" s="121"/>
      <c r="AM50" s="121"/>
      <c r="AN50" s="121"/>
      <c r="AO50" s="122"/>
      <c r="AP50" s="122"/>
      <c r="AQ50" s="122"/>
      <c r="AR50" s="122"/>
      <c r="AS50" s="123"/>
      <c r="AT50" s="161"/>
      <c r="AU50" s="124"/>
      <c r="AV50" s="124"/>
      <c r="AW50" s="124"/>
      <c r="AX50" s="124"/>
      <c r="AY50" s="124"/>
      <c r="AZ50" s="124"/>
      <c r="BA50" s="124"/>
      <c r="BB50" s="124"/>
      <c r="BC50" s="124"/>
      <c r="BD50" s="125"/>
    </row>
    <row r="51" spans="1:56" s="1" customFormat="1" ht="14.4" customHeight="1">
      <c r="A51" s="131">
        <f>IF(B51="","",COUNTA($B$8:B51))</f>
        <v>43</v>
      </c>
      <c r="B51" s="8" t="s">
        <v>263</v>
      </c>
      <c r="C51" s="114"/>
      <c r="D51" s="114"/>
      <c r="E51" s="114"/>
      <c r="F51" s="114"/>
      <c r="G51" s="114"/>
      <c r="H51" s="134"/>
      <c r="I51" s="118" t="s">
        <v>264</v>
      </c>
      <c r="J51" s="116"/>
      <c r="K51" s="116"/>
      <c r="L51" s="116"/>
      <c r="M51" s="116"/>
      <c r="N51" s="116"/>
      <c r="O51" s="116"/>
      <c r="P51" s="116"/>
      <c r="Q51" s="133"/>
      <c r="R51" s="132" t="s">
        <v>263</v>
      </c>
      <c r="S51" s="116"/>
      <c r="T51" s="116"/>
      <c r="U51" s="116"/>
      <c r="V51" s="116"/>
      <c r="W51" s="116"/>
      <c r="X51" s="134"/>
      <c r="Y51" s="424" t="s">
        <v>169</v>
      </c>
      <c r="Z51" s="425"/>
      <c r="AA51" s="426" t="s">
        <v>243</v>
      </c>
      <c r="AB51" s="427"/>
      <c r="AC51" s="428"/>
      <c r="AD51" s="159"/>
      <c r="AE51" s="111"/>
      <c r="AF51" s="111"/>
      <c r="AG51" s="111"/>
      <c r="AH51" s="121"/>
      <c r="AI51" s="121"/>
      <c r="AJ51" s="121"/>
      <c r="AK51" s="121"/>
      <c r="AL51" s="121"/>
      <c r="AM51" s="121"/>
      <c r="AN51" s="121"/>
      <c r="AO51" s="122"/>
      <c r="AP51" s="122"/>
      <c r="AQ51" s="122"/>
      <c r="AR51" s="122"/>
      <c r="AS51" s="123"/>
      <c r="AT51" s="161"/>
      <c r="AU51" s="124"/>
      <c r="AV51" s="124"/>
      <c r="AW51" s="124"/>
      <c r="AX51" s="124"/>
      <c r="AY51" s="124"/>
      <c r="AZ51" s="124"/>
      <c r="BA51" s="124"/>
      <c r="BB51" s="124"/>
      <c r="BC51" s="124"/>
      <c r="BD51" s="125"/>
    </row>
    <row r="52" spans="1:56" ht="14.4" customHeight="1">
      <c r="A52" s="70" t="str">
        <f>IF(B52="","",COUNTA($B$8:B52))</f>
        <v/>
      </c>
      <c r="B52" s="272"/>
      <c r="C52" s="20"/>
      <c r="D52" s="20"/>
      <c r="E52" s="20"/>
      <c r="F52" s="20"/>
      <c r="G52" s="20"/>
      <c r="H52" s="24"/>
      <c r="I52" s="34"/>
      <c r="J52" s="23"/>
      <c r="K52" s="23"/>
      <c r="L52" s="23"/>
      <c r="M52" s="23"/>
      <c r="N52" s="23"/>
      <c r="O52" s="23"/>
      <c r="P52" s="23"/>
      <c r="Q52" s="37"/>
      <c r="R52" s="272"/>
      <c r="S52" s="23"/>
      <c r="T52" s="23"/>
      <c r="U52" s="23"/>
      <c r="V52" s="23"/>
      <c r="W52" s="23"/>
      <c r="X52" s="24"/>
      <c r="Y52" s="419"/>
      <c r="Z52" s="420"/>
      <c r="AA52" s="421"/>
      <c r="AB52" s="422"/>
      <c r="AC52" s="423"/>
      <c r="AD52" s="30"/>
      <c r="AE52" s="29" t="s">
        <v>244</v>
      </c>
      <c r="AF52" s="29"/>
      <c r="AG52" s="29"/>
      <c r="AH52" s="40"/>
      <c r="AI52" s="40"/>
      <c r="AJ52" s="40"/>
      <c r="AK52" s="40"/>
      <c r="AL52" s="40"/>
      <c r="AM52" s="40"/>
      <c r="AN52" s="40"/>
      <c r="AO52" s="41"/>
      <c r="AP52" s="41"/>
      <c r="AQ52" s="41"/>
      <c r="AR52" s="41"/>
      <c r="AS52" s="42"/>
      <c r="AT52" s="43"/>
      <c r="AU52" s="67"/>
      <c r="AV52" s="67"/>
      <c r="AW52" s="67"/>
      <c r="AX52" s="67"/>
      <c r="AY52" s="67"/>
      <c r="AZ52" s="67"/>
      <c r="BA52" s="67"/>
      <c r="BB52" s="67"/>
      <c r="BC52" s="67"/>
      <c r="BD52" s="68"/>
    </row>
    <row r="53" spans="1:56" ht="14.4" customHeight="1">
      <c r="A53" s="70" t="str">
        <f>IF(B53="","",COUNTA($B$8:B53))</f>
        <v/>
      </c>
      <c r="B53" s="19"/>
      <c r="C53" s="20"/>
      <c r="D53" s="20"/>
      <c r="E53" s="20"/>
      <c r="F53" s="20"/>
      <c r="G53" s="20"/>
      <c r="H53" s="24"/>
      <c r="I53" s="34"/>
      <c r="J53" s="23"/>
      <c r="K53" s="23"/>
      <c r="L53" s="23"/>
      <c r="M53" s="23"/>
      <c r="N53" s="23"/>
      <c r="O53" s="23"/>
      <c r="P53" s="23"/>
      <c r="Q53" s="37"/>
      <c r="R53" s="19"/>
      <c r="S53" s="23"/>
      <c r="T53" s="23"/>
      <c r="U53" s="23"/>
      <c r="V53" s="23"/>
      <c r="W53" s="23"/>
      <c r="X53" s="24"/>
      <c r="Y53" s="419"/>
      <c r="Z53" s="420"/>
      <c r="AA53" s="421"/>
      <c r="AB53" s="422"/>
      <c r="AC53" s="423"/>
      <c r="AD53" s="30"/>
      <c r="AE53" s="29" t="s">
        <v>244</v>
      </c>
      <c r="AF53" s="29"/>
      <c r="AG53" s="29"/>
      <c r="AH53" s="40"/>
      <c r="AI53" s="40"/>
      <c r="AJ53" s="40"/>
      <c r="AK53" s="40"/>
      <c r="AL53" s="40"/>
      <c r="AM53" s="40"/>
      <c r="AN53" s="40"/>
      <c r="AO53" s="41"/>
      <c r="AP53" s="41"/>
      <c r="AQ53" s="41"/>
      <c r="AR53" s="41"/>
      <c r="AS53" s="42"/>
      <c r="AT53" s="43"/>
      <c r="AU53" s="67"/>
      <c r="AV53" s="67"/>
      <c r="AW53" s="67"/>
      <c r="AX53" s="67"/>
      <c r="AY53" s="67"/>
      <c r="AZ53" s="67"/>
      <c r="BA53" s="67"/>
      <c r="BB53" s="67"/>
      <c r="BC53" s="67"/>
      <c r="BD53" s="68"/>
    </row>
    <row r="54" spans="1:56" ht="14.4" customHeight="1">
      <c r="A54" s="70" t="str">
        <f>IF(B54="","",COUNTA($B$8:B54))</f>
        <v/>
      </c>
      <c r="B54" s="19"/>
      <c r="C54" s="20"/>
      <c r="D54" s="20"/>
      <c r="E54" s="20"/>
      <c r="F54" s="20"/>
      <c r="G54" s="20"/>
      <c r="H54" s="24"/>
      <c r="I54" s="34"/>
      <c r="J54" s="23"/>
      <c r="K54" s="23"/>
      <c r="L54" s="23"/>
      <c r="M54" s="23"/>
      <c r="N54" s="23"/>
      <c r="O54" s="23"/>
      <c r="P54" s="23"/>
      <c r="Q54" s="37"/>
      <c r="R54" s="19"/>
      <c r="S54" s="23"/>
      <c r="T54" s="23"/>
      <c r="U54" s="23"/>
      <c r="V54" s="23"/>
      <c r="W54" s="23"/>
      <c r="X54" s="24"/>
      <c r="Y54" s="419"/>
      <c r="Z54" s="420"/>
      <c r="AA54" s="421"/>
      <c r="AB54" s="422"/>
      <c r="AC54" s="423"/>
      <c r="AD54" s="30"/>
      <c r="AE54" s="29" t="s">
        <v>244</v>
      </c>
      <c r="AF54" s="29"/>
      <c r="AG54" s="29"/>
      <c r="AH54" s="40"/>
      <c r="AI54" s="40"/>
      <c r="AJ54" s="40"/>
      <c r="AK54" s="40"/>
      <c r="AL54" s="40"/>
      <c r="AM54" s="40"/>
      <c r="AN54" s="40"/>
      <c r="AO54" s="41"/>
      <c r="AP54" s="41"/>
      <c r="AQ54" s="41"/>
      <c r="AR54" s="41"/>
      <c r="AS54" s="42"/>
      <c r="AT54" s="43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ht="14.4" customHeight="1">
      <c r="A55" s="70" t="str">
        <f>IF(B55="","",COUNTA($B$8:B55))</f>
        <v/>
      </c>
      <c r="B55" s="19"/>
      <c r="C55" s="20"/>
      <c r="D55" s="20"/>
      <c r="E55" s="20"/>
      <c r="F55" s="20"/>
      <c r="G55" s="20"/>
      <c r="H55" s="24"/>
      <c r="I55" s="34"/>
      <c r="J55" s="23"/>
      <c r="K55" s="23"/>
      <c r="L55" s="23"/>
      <c r="M55" s="23"/>
      <c r="N55" s="23"/>
      <c r="O55" s="23"/>
      <c r="P55" s="23"/>
      <c r="Q55" s="37"/>
      <c r="R55" s="19"/>
      <c r="S55" s="23"/>
      <c r="T55" s="23"/>
      <c r="U55" s="23"/>
      <c r="V55" s="23"/>
      <c r="W55" s="23"/>
      <c r="X55" s="24"/>
      <c r="Y55" s="419"/>
      <c r="Z55" s="420"/>
      <c r="AA55" s="421"/>
      <c r="AB55" s="422"/>
      <c r="AC55" s="423"/>
      <c r="AD55" s="30"/>
      <c r="AE55" s="29" t="s">
        <v>244</v>
      </c>
      <c r="AF55" s="29"/>
      <c r="AG55" s="29"/>
      <c r="AH55" s="40"/>
      <c r="AI55" s="40"/>
      <c r="AJ55" s="40"/>
      <c r="AK55" s="40"/>
      <c r="AL55" s="40"/>
      <c r="AM55" s="40"/>
      <c r="AN55" s="40"/>
      <c r="AO55" s="41"/>
      <c r="AP55" s="41"/>
      <c r="AQ55" s="41"/>
      <c r="AR55" s="41"/>
      <c r="AS55" s="42"/>
      <c r="AT55" s="43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 ht="14.4" customHeight="1">
      <c r="A56" s="70" t="str">
        <f>IF(B56="","",COUNTA($B$8:B56))</f>
        <v/>
      </c>
      <c r="B56" s="19"/>
      <c r="C56" s="20"/>
      <c r="D56" s="20"/>
      <c r="E56" s="20"/>
      <c r="F56" s="20"/>
      <c r="G56" s="20"/>
      <c r="H56" s="24"/>
      <c r="I56" s="34"/>
      <c r="J56" s="23"/>
      <c r="K56" s="23"/>
      <c r="L56" s="23"/>
      <c r="M56" s="23"/>
      <c r="N56" s="23"/>
      <c r="O56" s="23"/>
      <c r="P56" s="23"/>
      <c r="Q56" s="37"/>
      <c r="R56" s="19"/>
      <c r="S56" s="23"/>
      <c r="T56" s="23"/>
      <c r="U56" s="23"/>
      <c r="V56" s="23"/>
      <c r="W56" s="23"/>
      <c r="X56" s="24"/>
      <c r="Y56" s="419"/>
      <c r="Z56" s="420"/>
      <c r="AA56" s="421"/>
      <c r="AB56" s="422"/>
      <c r="AC56" s="423"/>
      <c r="AD56" s="30"/>
      <c r="AE56" s="29" t="s">
        <v>244</v>
      </c>
      <c r="AF56" s="29"/>
      <c r="AG56" s="29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42"/>
      <c r="AT56" s="43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ht="14.4" customHeight="1">
      <c r="A57" s="70" t="str">
        <f>IF(B57="","",COUNTA($B$8:B57))</f>
        <v/>
      </c>
      <c r="B57" s="19"/>
      <c r="C57" s="20"/>
      <c r="D57" s="20"/>
      <c r="E57" s="20"/>
      <c r="F57" s="20"/>
      <c r="G57" s="20"/>
      <c r="H57" s="24"/>
      <c r="I57" s="34"/>
      <c r="J57" s="23"/>
      <c r="K57" s="23"/>
      <c r="L57" s="23"/>
      <c r="M57" s="23"/>
      <c r="N57" s="23"/>
      <c r="O57" s="23"/>
      <c r="P57" s="23"/>
      <c r="Q57" s="37"/>
      <c r="R57" s="19"/>
      <c r="S57" s="23"/>
      <c r="T57" s="23"/>
      <c r="U57" s="23"/>
      <c r="V57" s="23"/>
      <c r="W57" s="23"/>
      <c r="X57" s="24"/>
      <c r="Y57" s="419"/>
      <c r="Z57" s="420"/>
      <c r="AA57" s="421"/>
      <c r="AB57" s="422"/>
      <c r="AC57" s="423"/>
      <c r="AD57" s="30"/>
      <c r="AE57" s="29" t="s">
        <v>244</v>
      </c>
      <c r="AF57" s="29"/>
      <c r="AG57" s="29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42"/>
      <c r="AT57" s="43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ht="14.4" customHeight="1">
      <c r="A58" s="70" t="str">
        <f>IF(B58="","",COUNTA($B$8:B58))</f>
        <v/>
      </c>
      <c r="B58" s="19"/>
      <c r="C58" s="20"/>
      <c r="D58" s="20"/>
      <c r="E58" s="20"/>
      <c r="F58" s="20"/>
      <c r="G58" s="20"/>
      <c r="H58" s="24"/>
      <c r="I58" s="34"/>
      <c r="J58" s="23"/>
      <c r="K58" s="23"/>
      <c r="L58" s="23"/>
      <c r="M58" s="23"/>
      <c r="N58" s="23"/>
      <c r="O58" s="23"/>
      <c r="P58" s="23"/>
      <c r="Q58" s="37"/>
      <c r="R58" s="19"/>
      <c r="S58" s="23"/>
      <c r="T58" s="23"/>
      <c r="U58" s="23"/>
      <c r="V58" s="23"/>
      <c r="W58" s="23"/>
      <c r="X58" s="24"/>
      <c r="Y58" s="419"/>
      <c r="Z58" s="420"/>
      <c r="AA58" s="421"/>
      <c r="AB58" s="422"/>
      <c r="AC58" s="423"/>
      <c r="AD58" s="30"/>
      <c r="AE58" s="29" t="s">
        <v>244</v>
      </c>
      <c r="AF58" s="29"/>
      <c r="AG58" s="29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42"/>
      <c r="AT58" s="43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ht="14.4" customHeight="1">
      <c r="A59" s="70" t="str">
        <f>IF(B59="","",COUNTA($B$8:B59))</f>
        <v/>
      </c>
      <c r="B59" s="19"/>
      <c r="C59" s="20"/>
      <c r="D59" s="20"/>
      <c r="E59" s="20"/>
      <c r="F59" s="20"/>
      <c r="G59" s="20"/>
      <c r="H59" s="24"/>
      <c r="I59" s="34"/>
      <c r="J59" s="23"/>
      <c r="K59" s="23"/>
      <c r="L59" s="23"/>
      <c r="M59" s="23"/>
      <c r="N59" s="23"/>
      <c r="O59" s="23"/>
      <c r="P59" s="23"/>
      <c r="Q59" s="37"/>
      <c r="R59" s="19"/>
      <c r="S59" s="23"/>
      <c r="T59" s="23"/>
      <c r="U59" s="23"/>
      <c r="V59" s="23"/>
      <c r="W59" s="23"/>
      <c r="X59" s="24"/>
      <c r="Y59" s="419"/>
      <c r="Z59" s="420"/>
      <c r="AA59" s="421"/>
      <c r="AB59" s="422"/>
      <c r="AC59" s="423"/>
      <c r="AD59" s="30"/>
      <c r="AE59" s="29" t="s">
        <v>244</v>
      </c>
      <c r="AF59" s="29"/>
      <c r="AG59" s="29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42"/>
      <c r="AT59" s="43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ht="14.4" customHeight="1">
      <c r="A60" s="70" t="str">
        <f>IF(B60="","",COUNTA($B$8:B60))</f>
        <v/>
      </c>
      <c r="B60" s="19"/>
      <c r="C60" s="20"/>
      <c r="D60" s="20"/>
      <c r="E60" s="20"/>
      <c r="F60" s="20"/>
      <c r="G60" s="20"/>
      <c r="H60" s="24"/>
      <c r="I60" s="34"/>
      <c r="J60" s="23"/>
      <c r="K60" s="23"/>
      <c r="L60" s="23"/>
      <c r="M60" s="23"/>
      <c r="N60" s="23"/>
      <c r="O60" s="23"/>
      <c r="P60" s="23"/>
      <c r="Q60" s="37"/>
      <c r="R60" s="19"/>
      <c r="S60" s="23"/>
      <c r="T60" s="23"/>
      <c r="U60" s="23"/>
      <c r="V60" s="23"/>
      <c r="W60" s="23"/>
      <c r="X60" s="24"/>
      <c r="Y60" s="419"/>
      <c r="Z60" s="420"/>
      <c r="AA60" s="421"/>
      <c r="AB60" s="422"/>
      <c r="AC60" s="423"/>
      <c r="AD60" s="30"/>
      <c r="AE60" s="29" t="s">
        <v>244</v>
      </c>
      <c r="AF60" s="29"/>
      <c r="AG60" s="29"/>
      <c r="AH60" s="40"/>
      <c r="AI60" s="40"/>
      <c r="AJ60" s="40"/>
      <c r="AK60" s="40"/>
      <c r="AL60" s="40"/>
      <c r="AM60" s="40"/>
      <c r="AN60" s="40"/>
      <c r="AO60" s="41"/>
      <c r="AP60" s="41"/>
      <c r="AQ60" s="41"/>
      <c r="AR60" s="41"/>
      <c r="AS60" s="42"/>
      <c r="AT60" s="43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ht="14.4" customHeight="1">
      <c r="A61" s="70" t="str">
        <f>IF(B61="","",COUNTA($B$8:B61))</f>
        <v/>
      </c>
      <c r="B61" s="19"/>
      <c r="C61" s="20"/>
      <c r="D61" s="20"/>
      <c r="E61" s="20"/>
      <c r="F61" s="20"/>
      <c r="G61" s="20"/>
      <c r="H61" s="24"/>
      <c r="I61" s="34"/>
      <c r="J61" s="23"/>
      <c r="K61" s="23"/>
      <c r="L61" s="23"/>
      <c r="M61" s="23"/>
      <c r="N61" s="23"/>
      <c r="O61" s="23"/>
      <c r="P61" s="23"/>
      <c r="Q61" s="37"/>
      <c r="R61" s="19"/>
      <c r="S61" s="23"/>
      <c r="T61" s="23"/>
      <c r="U61" s="23"/>
      <c r="V61" s="23"/>
      <c r="W61" s="23"/>
      <c r="X61" s="24"/>
      <c r="Y61" s="419"/>
      <c r="Z61" s="420"/>
      <c r="AA61" s="421"/>
      <c r="AB61" s="422"/>
      <c r="AC61" s="423"/>
      <c r="AD61" s="30"/>
      <c r="AE61" s="29" t="s">
        <v>244</v>
      </c>
      <c r="AF61" s="29"/>
      <c r="AG61" s="29"/>
      <c r="AH61" s="40"/>
      <c r="AI61" s="40"/>
      <c r="AJ61" s="40"/>
      <c r="AK61" s="40"/>
      <c r="AL61" s="40"/>
      <c r="AM61" s="40"/>
      <c r="AN61" s="40"/>
      <c r="AO61" s="41"/>
      <c r="AP61" s="41"/>
      <c r="AQ61" s="41"/>
      <c r="AR61" s="41"/>
      <c r="AS61" s="42"/>
      <c r="AT61" s="43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ht="14.4" customHeight="1">
      <c r="A62" s="70" t="str">
        <f>IF(B62="","",COUNTA($B$8:B62))</f>
        <v/>
      </c>
      <c r="B62" s="19"/>
      <c r="C62" s="20"/>
      <c r="D62" s="20"/>
      <c r="E62" s="20"/>
      <c r="F62" s="20"/>
      <c r="G62" s="20"/>
      <c r="H62" s="24"/>
      <c r="I62" s="34"/>
      <c r="J62" s="23"/>
      <c r="K62" s="23"/>
      <c r="L62" s="23"/>
      <c r="M62" s="23"/>
      <c r="N62" s="23"/>
      <c r="O62" s="23"/>
      <c r="P62" s="23"/>
      <c r="Q62" s="37"/>
      <c r="R62" s="19"/>
      <c r="S62" s="23"/>
      <c r="T62" s="23"/>
      <c r="U62" s="23"/>
      <c r="V62" s="23"/>
      <c r="W62" s="23"/>
      <c r="X62" s="24"/>
      <c r="Y62" s="419"/>
      <c r="Z62" s="420"/>
      <c r="AA62" s="421"/>
      <c r="AB62" s="422"/>
      <c r="AC62" s="423"/>
      <c r="AD62" s="30"/>
      <c r="AE62" s="29" t="s">
        <v>244</v>
      </c>
      <c r="AF62" s="29"/>
      <c r="AG62" s="29"/>
      <c r="AH62" s="40"/>
      <c r="AI62" s="40"/>
      <c r="AJ62" s="40"/>
      <c r="AK62" s="40"/>
      <c r="AL62" s="40"/>
      <c r="AM62" s="40"/>
      <c r="AN62" s="40"/>
      <c r="AO62" s="41"/>
      <c r="AP62" s="41"/>
      <c r="AQ62" s="41"/>
      <c r="AR62" s="41"/>
      <c r="AS62" s="42"/>
      <c r="AT62" s="43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ht="14.4" customHeight="1">
      <c r="A63" s="70" t="str">
        <f>IF(B63="","",COUNTA($B$8:B63))</f>
        <v/>
      </c>
      <c r="B63" s="19"/>
      <c r="C63" s="20"/>
      <c r="D63" s="20"/>
      <c r="E63" s="20"/>
      <c r="F63" s="20"/>
      <c r="G63" s="20"/>
      <c r="H63" s="24"/>
      <c r="I63" s="34"/>
      <c r="J63" s="23"/>
      <c r="K63" s="23"/>
      <c r="L63" s="23"/>
      <c r="M63" s="23"/>
      <c r="N63" s="23"/>
      <c r="O63" s="23"/>
      <c r="P63" s="23"/>
      <c r="Q63" s="37"/>
      <c r="R63" s="19"/>
      <c r="S63" s="23"/>
      <c r="T63" s="23"/>
      <c r="U63" s="23"/>
      <c r="V63" s="23"/>
      <c r="W63" s="23"/>
      <c r="X63" s="24"/>
      <c r="Y63" s="419"/>
      <c r="Z63" s="420"/>
      <c r="AA63" s="421"/>
      <c r="AB63" s="422"/>
      <c r="AC63" s="423"/>
      <c r="AD63" s="30"/>
      <c r="AE63" s="29" t="s">
        <v>244</v>
      </c>
      <c r="AF63" s="29"/>
      <c r="AG63" s="29"/>
      <c r="AH63" s="40"/>
      <c r="AI63" s="40"/>
      <c r="AJ63" s="40"/>
      <c r="AK63" s="40"/>
      <c r="AL63" s="40"/>
      <c r="AM63" s="40"/>
      <c r="AN63" s="40"/>
      <c r="AO63" s="41"/>
      <c r="AP63" s="41"/>
      <c r="AQ63" s="41"/>
      <c r="AR63" s="41"/>
      <c r="AS63" s="42"/>
      <c r="AT63" s="43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ht="14.4" customHeight="1">
      <c r="A64" s="70" t="str">
        <f>IF(B64="","",COUNTA($B$8:B64))</f>
        <v/>
      </c>
      <c r="B64" s="19"/>
      <c r="C64" s="20"/>
      <c r="D64" s="20"/>
      <c r="E64" s="20"/>
      <c r="F64" s="20"/>
      <c r="G64" s="20"/>
      <c r="H64" s="24"/>
      <c r="I64" s="34"/>
      <c r="J64" s="23"/>
      <c r="K64" s="23"/>
      <c r="L64" s="23"/>
      <c r="M64" s="23"/>
      <c r="N64" s="23"/>
      <c r="O64" s="23"/>
      <c r="P64" s="23"/>
      <c r="Q64" s="37"/>
      <c r="R64" s="19"/>
      <c r="S64" s="23"/>
      <c r="T64" s="23"/>
      <c r="U64" s="23"/>
      <c r="V64" s="23"/>
      <c r="W64" s="23"/>
      <c r="X64" s="24"/>
      <c r="Y64" s="419"/>
      <c r="Z64" s="420"/>
      <c r="AA64" s="421"/>
      <c r="AB64" s="422"/>
      <c r="AC64" s="423"/>
      <c r="AD64" s="30"/>
      <c r="AE64" s="29" t="s">
        <v>244</v>
      </c>
      <c r="AF64" s="29"/>
      <c r="AG64" s="29"/>
      <c r="AH64" s="40"/>
      <c r="AI64" s="40"/>
      <c r="AJ64" s="40"/>
      <c r="AK64" s="40"/>
      <c r="AL64" s="40"/>
      <c r="AM64" s="40"/>
      <c r="AN64" s="40"/>
      <c r="AO64" s="41"/>
      <c r="AP64" s="41"/>
      <c r="AQ64" s="41"/>
      <c r="AR64" s="41"/>
      <c r="AS64" s="42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ht="14.4" customHeight="1">
      <c r="A65" s="70" t="str">
        <f>IF(B65="","",COUNTA($B$8:B65))</f>
        <v/>
      </c>
      <c r="B65" s="19"/>
      <c r="C65" s="20"/>
      <c r="D65" s="20"/>
      <c r="E65" s="20"/>
      <c r="F65" s="20"/>
      <c r="G65" s="20"/>
      <c r="H65" s="24"/>
      <c r="I65" s="34"/>
      <c r="J65" s="23"/>
      <c r="K65" s="23"/>
      <c r="L65" s="23"/>
      <c r="M65" s="23"/>
      <c r="N65" s="23"/>
      <c r="O65" s="23"/>
      <c r="P65" s="23"/>
      <c r="Q65" s="37"/>
      <c r="R65" s="19"/>
      <c r="S65" s="23"/>
      <c r="T65" s="23"/>
      <c r="U65" s="23"/>
      <c r="V65" s="23"/>
      <c r="W65" s="23"/>
      <c r="X65" s="24"/>
      <c r="Y65" s="419"/>
      <c r="Z65" s="420"/>
      <c r="AA65" s="421"/>
      <c r="AB65" s="422"/>
      <c r="AC65" s="423"/>
      <c r="AD65" s="30"/>
      <c r="AE65" s="29" t="s">
        <v>244</v>
      </c>
      <c r="AF65" s="29"/>
      <c r="AG65" s="29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42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ht="14.4" customHeight="1">
      <c r="A66" s="70" t="str">
        <f>IF(B66="","",COUNTA($B$8:B66))</f>
        <v/>
      </c>
      <c r="B66" s="19"/>
      <c r="C66" s="20"/>
      <c r="D66" s="20"/>
      <c r="E66" s="20"/>
      <c r="F66" s="20"/>
      <c r="G66" s="20"/>
      <c r="H66" s="24"/>
      <c r="I66" s="34"/>
      <c r="J66" s="23"/>
      <c r="K66" s="23"/>
      <c r="L66" s="23"/>
      <c r="M66" s="23"/>
      <c r="N66" s="23"/>
      <c r="O66" s="23"/>
      <c r="P66" s="23"/>
      <c r="Q66" s="37"/>
      <c r="R66" s="19"/>
      <c r="S66" s="23"/>
      <c r="T66" s="23"/>
      <c r="U66" s="23"/>
      <c r="V66" s="23"/>
      <c r="W66" s="23"/>
      <c r="X66" s="24"/>
      <c r="Y66" s="419"/>
      <c r="Z66" s="420"/>
      <c r="AA66" s="421"/>
      <c r="AB66" s="422"/>
      <c r="AC66" s="423"/>
      <c r="AD66" s="30"/>
      <c r="AE66" s="29" t="s">
        <v>244</v>
      </c>
      <c r="AF66" s="29"/>
      <c r="AG66" s="29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42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ht="14.4" customHeight="1">
      <c r="A67" s="70" t="str">
        <f>IF(B67="","",COUNTA($B$8:B67))</f>
        <v/>
      </c>
      <c r="B67" s="19"/>
      <c r="C67" s="20"/>
      <c r="D67" s="20"/>
      <c r="E67" s="20"/>
      <c r="F67" s="20"/>
      <c r="G67" s="20"/>
      <c r="H67" s="24"/>
      <c r="I67" s="34"/>
      <c r="J67" s="23"/>
      <c r="K67" s="23"/>
      <c r="L67" s="23"/>
      <c r="M67" s="23"/>
      <c r="N67" s="23"/>
      <c r="O67" s="23"/>
      <c r="P67" s="23"/>
      <c r="Q67" s="37"/>
      <c r="R67" s="19"/>
      <c r="S67" s="23"/>
      <c r="T67" s="23"/>
      <c r="U67" s="23"/>
      <c r="V67" s="23"/>
      <c r="W67" s="23"/>
      <c r="X67" s="24"/>
      <c r="Y67" s="419"/>
      <c r="Z67" s="420"/>
      <c r="AA67" s="421"/>
      <c r="AB67" s="422"/>
      <c r="AC67" s="423"/>
      <c r="AD67" s="30"/>
      <c r="AE67" s="29" t="s">
        <v>244</v>
      </c>
      <c r="AF67" s="29"/>
      <c r="AG67" s="29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42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ht="14.4" customHeight="1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34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419"/>
      <c r="Z68" s="420"/>
      <c r="AA68" s="421"/>
      <c r="AB68" s="422"/>
      <c r="AC68" s="423"/>
      <c r="AD68" s="30"/>
      <c r="AE68" s="29" t="s">
        <v>244</v>
      </c>
      <c r="AF68" s="29"/>
      <c r="AG68" s="29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42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ht="14.4" customHeight="1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34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419"/>
      <c r="Z69" s="420"/>
      <c r="AA69" s="421"/>
      <c r="AB69" s="422"/>
      <c r="AC69" s="423"/>
      <c r="AD69" s="30"/>
      <c r="AE69" s="29" t="s">
        <v>244</v>
      </c>
      <c r="AF69" s="29"/>
      <c r="AG69" s="29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42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ht="14.4" customHeight="1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34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419"/>
      <c r="Z70" s="420"/>
      <c r="AA70" s="421"/>
      <c r="AB70" s="422"/>
      <c r="AC70" s="423"/>
      <c r="AD70" s="30"/>
      <c r="AE70" s="29" t="s">
        <v>244</v>
      </c>
      <c r="AF70" s="29"/>
      <c r="AG70" s="29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42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ht="14.4" customHeight="1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34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419"/>
      <c r="Z71" s="420"/>
      <c r="AA71" s="421"/>
      <c r="AB71" s="422"/>
      <c r="AC71" s="423"/>
      <c r="AD71" s="30"/>
      <c r="AE71" s="29" t="s">
        <v>244</v>
      </c>
      <c r="AF71" s="29"/>
      <c r="AG71" s="29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42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ht="14.4" customHeight="1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34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419"/>
      <c r="Z72" s="420"/>
      <c r="AA72" s="421"/>
      <c r="AB72" s="422"/>
      <c r="AC72" s="423"/>
      <c r="AD72" s="30"/>
      <c r="AE72" s="29" t="s">
        <v>244</v>
      </c>
      <c r="AF72" s="29"/>
      <c r="AG72" s="29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42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ht="14.4" customHeight="1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34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419"/>
      <c r="Z73" s="420"/>
      <c r="AA73" s="421"/>
      <c r="AB73" s="422"/>
      <c r="AC73" s="423"/>
      <c r="AD73" s="30"/>
      <c r="AE73" s="29" t="s">
        <v>244</v>
      </c>
      <c r="AF73" s="29"/>
      <c r="AG73" s="29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42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ht="14.4" customHeight="1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34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419"/>
      <c r="Z74" s="420"/>
      <c r="AA74" s="421"/>
      <c r="AB74" s="422"/>
      <c r="AC74" s="423"/>
      <c r="AD74" s="30"/>
      <c r="AE74" s="29" t="s">
        <v>244</v>
      </c>
      <c r="AF74" s="29"/>
      <c r="AG74" s="29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42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ht="14.4" customHeight="1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34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419"/>
      <c r="Z75" s="420"/>
      <c r="AA75" s="421"/>
      <c r="AB75" s="422"/>
      <c r="AC75" s="423"/>
      <c r="AD75" s="30"/>
      <c r="AE75" s="29" t="s">
        <v>244</v>
      </c>
      <c r="AF75" s="29"/>
      <c r="AG75" s="29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42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ht="14.4" customHeight="1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419"/>
      <c r="Z76" s="420"/>
      <c r="AA76" s="421"/>
      <c r="AB76" s="422"/>
      <c r="AC76" s="423"/>
      <c r="AD76" s="30"/>
      <c r="AE76" s="29" t="s">
        <v>244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" customHeight="1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419"/>
      <c r="Z77" s="420"/>
      <c r="AA77" s="421"/>
      <c r="AB77" s="422"/>
      <c r="AC77" s="423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" customHeight="1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419"/>
      <c r="Z78" s="420"/>
      <c r="AA78" s="421"/>
      <c r="AB78" s="422"/>
      <c r="AC78" s="423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" customHeight="1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419"/>
      <c r="Z79" s="420"/>
      <c r="AA79" s="421"/>
      <c r="AB79" s="422"/>
      <c r="AC79" s="423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" customHeight="1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419"/>
      <c r="Z80" s="420"/>
      <c r="AA80" s="421"/>
      <c r="AB80" s="422"/>
      <c r="AC80" s="423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" customHeight="1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419"/>
      <c r="Z81" s="420"/>
      <c r="AA81" s="421"/>
      <c r="AB81" s="422"/>
      <c r="AC81" s="423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" customHeight="1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419"/>
      <c r="Z82" s="420"/>
      <c r="AA82" s="421"/>
      <c r="AB82" s="422"/>
      <c r="AC82" s="423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" customHeight="1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419"/>
      <c r="Z83" s="420"/>
      <c r="AA83" s="421"/>
      <c r="AB83" s="422"/>
      <c r="AC83" s="423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" customHeight="1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419"/>
      <c r="Z84" s="420"/>
      <c r="AA84" s="421"/>
      <c r="AB84" s="422"/>
      <c r="AC84" s="423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" customHeight="1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419"/>
      <c r="Z85" s="420"/>
      <c r="AA85" s="421"/>
      <c r="AB85" s="422"/>
      <c r="AC85" s="423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5">
    <mergeCell ref="Y84:Z84"/>
    <mergeCell ref="AA84:AC84"/>
    <mergeCell ref="Y85:Z85"/>
    <mergeCell ref="AA85:AC85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83:Z83"/>
    <mergeCell ref="AA83:AC83"/>
    <mergeCell ref="Y74:Z74"/>
    <mergeCell ref="AA74:AC74"/>
    <mergeCell ref="Y75:Z75"/>
    <mergeCell ref="AA75:AC75"/>
    <mergeCell ref="Y76:Z76"/>
    <mergeCell ref="AA76:AC76"/>
    <mergeCell ref="Y77:Z77"/>
    <mergeCell ref="AA77:AC77"/>
    <mergeCell ref="Y78:Z78"/>
    <mergeCell ref="AA78:AC78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Y9:Z9"/>
    <mergeCell ref="AS6:BD7"/>
    <mergeCell ref="Y8:Z8"/>
    <mergeCell ref="AZ4:BD4"/>
    <mergeCell ref="Y11:Z11"/>
    <mergeCell ref="Y12:Z12"/>
    <mergeCell ref="AG6:AG7"/>
    <mergeCell ref="AH6:AH7"/>
    <mergeCell ref="AI6:AR6"/>
    <mergeCell ref="AA8:AC8"/>
    <mergeCell ref="AA9:AC9"/>
    <mergeCell ref="AA10:AC10"/>
    <mergeCell ref="AA11:AC11"/>
    <mergeCell ref="AA12:AC12"/>
    <mergeCell ref="Y10:Z10"/>
    <mergeCell ref="Y16:Z16"/>
    <mergeCell ref="Y18:Z18"/>
    <mergeCell ref="Y30:Z30"/>
    <mergeCell ref="Y31:Z31"/>
    <mergeCell ref="Y32:Z32"/>
    <mergeCell ref="Y26:Z26"/>
    <mergeCell ref="Y27:Z27"/>
    <mergeCell ref="Y29:Z29"/>
    <mergeCell ref="Y28:Z28"/>
    <mergeCell ref="Y23:Z23"/>
    <mergeCell ref="Y24:Z24"/>
    <mergeCell ref="Y25:Z25"/>
    <mergeCell ref="Y36:Z36"/>
    <mergeCell ref="Y37:Z37"/>
    <mergeCell ref="Y33:Z33"/>
    <mergeCell ref="Y34:Z34"/>
    <mergeCell ref="Y35:Z35"/>
    <mergeCell ref="Y40:Z40"/>
    <mergeCell ref="Y21:Z21"/>
    <mergeCell ref="Y22:Z22"/>
    <mergeCell ref="Y17:Z17"/>
    <mergeCell ref="Y19:Z19"/>
    <mergeCell ref="Y20:Z20"/>
    <mergeCell ref="Y59:Z59"/>
    <mergeCell ref="Y60:Z60"/>
    <mergeCell ref="Y61:Z61"/>
    <mergeCell ref="Y56:Z56"/>
    <mergeCell ref="Y57:Z57"/>
    <mergeCell ref="Y58:Z58"/>
    <mergeCell ref="Y53:Z53"/>
    <mergeCell ref="Y54:Z54"/>
    <mergeCell ref="Y55:Z55"/>
    <mergeCell ref="Y49:Z49"/>
    <mergeCell ref="Y50:Z50"/>
    <mergeCell ref="Y51:Z51"/>
    <mergeCell ref="Y46:Z46"/>
    <mergeCell ref="Y47:Z47"/>
    <mergeCell ref="Y48:Z48"/>
    <mergeCell ref="Y43:Z43"/>
    <mergeCell ref="Y44:Z44"/>
    <mergeCell ref="Y45:Z45"/>
    <mergeCell ref="Y41:Z41"/>
    <mergeCell ref="Y42:Z42"/>
    <mergeCell ref="Y39:Z39"/>
    <mergeCell ref="Y38:Z38"/>
    <mergeCell ref="AA13:AC13"/>
    <mergeCell ref="AA14:AC14"/>
    <mergeCell ref="AA15:AC15"/>
    <mergeCell ref="AA16:AC16"/>
    <mergeCell ref="AA17:AC17"/>
    <mergeCell ref="AA18:AC18"/>
    <mergeCell ref="AA19:AC19"/>
    <mergeCell ref="AA20:AC20"/>
    <mergeCell ref="AA21:AC21"/>
    <mergeCell ref="AA31:AC31"/>
    <mergeCell ref="AA32:AC32"/>
    <mergeCell ref="AA33:AC33"/>
    <mergeCell ref="AA34:AC34"/>
    <mergeCell ref="AA35:AC35"/>
    <mergeCell ref="AA36:AC36"/>
    <mergeCell ref="AA37:AC37"/>
    <mergeCell ref="AA38:AC38"/>
    <mergeCell ref="AA22:AC22"/>
    <mergeCell ref="AA23:AC23"/>
    <mergeCell ref="AA24:AC24"/>
    <mergeCell ref="AA25:AC25"/>
    <mergeCell ref="AA26:AC26"/>
    <mergeCell ref="AA27:AC27"/>
    <mergeCell ref="AA28:AC28"/>
    <mergeCell ref="AA29:AC29"/>
    <mergeCell ref="AA30:AC30"/>
    <mergeCell ref="AA39:AC39"/>
    <mergeCell ref="AA40:AC40"/>
    <mergeCell ref="AA41:AC41"/>
    <mergeCell ref="AA42:AC42"/>
    <mergeCell ref="AA43:AC43"/>
    <mergeCell ref="AA44:AC44"/>
    <mergeCell ref="AA45:AC45"/>
    <mergeCell ref="AA46:AC46"/>
    <mergeCell ref="AA47:AC47"/>
    <mergeCell ref="Y52:Z52"/>
    <mergeCell ref="AA52:AC52"/>
    <mergeCell ref="AA58:AC58"/>
    <mergeCell ref="AA59:AC59"/>
    <mergeCell ref="AA60:AC60"/>
    <mergeCell ref="AA61:AC61"/>
    <mergeCell ref="AA62:AC62"/>
    <mergeCell ref="AA63:AC63"/>
    <mergeCell ref="AA48:AC48"/>
    <mergeCell ref="AA49:AC49"/>
    <mergeCell ref="AA50:AC50"/>
    <mergeCell ref="AA51:AC51"/>
    <mergeCell ref="AA53:AC53"/>
    <mergeCell ref="AA54:AC54"/>
    <mergeCell ref="AA55:AC55"/>
    <mergeCell ref="AA56:AC56"/>
    <mergeCell ref="AA57:AC57"/>
    <mergeCell ref="Y63:Z63"/>
    <mergeCell ref="Y62:Z62"/>
  </mergeCells>
  <phoneticPr fontId="5"/>
  <dataValidations count="3">
    <dataValidation imeMode="hiragana" allowBlank="1" showInputMessage="1" showErrorMessage="1" sqref="JO65521:JZ65523 TK65521:TV65523 ADG65521:ADR65523 ANC65521:ANN65523 AWY65521:AXJ65523 BGU65521:BHF65523 BQQ65521:BRB65523 CAM65521:CAX65523 CKI65521:CKT65523 CUE65521:CUP65523 DEA65521:DEL65523 DNW65521:DOH65523 DXS65521:DYD65523 EHO65521:EHZ65523 ERK65521:ERV65523 FBG65521:FBR65523 FLC65521:FLN65523 FUY65521:FVJ65523 GEU65521:GFF65523 GOQ65521:GPB65523 GYM65521:GYX65523 HII65521:HIT65523 HSE65521:HSP65523 ICA65521:ICL65523 ILW65521:IMH65523 IVS65521:IWD65523 JFO65521:JFZ65523 JPK65521:JPV65523 JZG65521:JZR65523 KJC65521:KJN65523 KSY65521:KTJ65523 LCU65521:LDF65523 LMQ65521:LNB65523 LWM65521:LWX65523 MGI65521:MGT65523 MQE65521:MQP65523 NAA65521:NAL65523 NJW65521:NKH65523 NTS65521:NUD65523 ODO65521:ODZ65523 ONK65521:ONV65523 OXG65521:OXR65523 PHC65521:PHN65523 PQY65521:PRJ65523 QAU65521:QBF65523 QKQ65521:QLB65523 QUM65521:QUX65523 REI65521:RET65523 ROE65521:ROP65523 RYA65521:RYL65523 SHW65521:SIH65523 SRS65521:SSD65523 TBO65521:TBZ65523 TLK65521:TLV65523 TVG65521:TVR65523 UFC65521:UFN65523 UOY65521:UPJ65523 UYU65521:UZF65523 VIQ65521:VJB65523 VSM65521:VSX65523 WCI65521:WCT65523 WME65521:WMP65523 WWA65521:WWL65523 JO131057:JZ131059 TK131057:TV131059 ADG131057:ADR131059 ANC131057:ANN131059 AWY131057:AXJ131059 BGU131057:BHF131059 BQQ131057:BRB131059 CAM131057:CAX131059 CKI131057:CKT131059 CUE131057:CUP131059 DEA131057:DEL131059 DNW131057:DOH131059 DXS131057:DYD131059 EHO131057:EHZ131059 ERK131057:ERV131059 FBG131057:FBR131059 FLC131057:FLN131059 FUY131057:FVJ131059 GEU131057:GFF131059 GOQ131057:GPB131059 GYM131057:GYX131059 HII131057:HIT131059 HSE131057:HSP131059 ICA131057:ICL131059 ILW131057:IMH131059 IVS131057:IWD131059 JFO131057:JFZ131059 JPK131057:JPV131059 JZG131057:JZR131059 KJC131057:KJN131059 KSY131057:KTJ131059 LCU131057:LDF131059 LMQ131057:LNB131059 LWM131057:LWX131059 MGI131057:MGT131059 MQE131057:MQP131059 NAA131057:NAL131059 NJW131057:NKH131059 NTS131057:NUD131059 ODO131057:ODZ131059 ONK131057:ONV131059 OXG131057:OXR131059 PHC131057:PHN131059 PQY131057:PRJ131059 QAU131057:QBF131059 QKQ131057:QLB131059 QUM131057:QUX131059 REI131057:RET131059 ROE131057:ROP131059 RYA131057:RYL131059 SHW131057:SIH131059 SRS131057:SSD131059 TBO131057:TBZ131059 TLK131057:TLV131059 TVG131057:TVR131059 UFC131057:UFN131059 UOY131057:UPJ131059 UYU131057:UZF131059 VIQ131057:VJB131059 VSM131057:VSX131059 WCI131057:WCT131059 WME131057:WMP131059 WWA131057:WWL131059 JO196593:JZ196595 TK196593:TV196595 ADG196593:ADR196595 ANC196593:ANN196595 AWY196593:AXJ196595 BGU196593:BHF196595 BQQ196593:BRB196595 CAM196593:CAX196595 CKI196593:CKT196595 CUE196593:CUP196595 DEA196593:DEL196595 DNW196593:DOH196595 DXS196593:DYD196595 EHO196593:EHZ196595 ERK196593:ERV196595 FBG196593:FBR196595 FLC196593:FLN196595 FUY196593:FVJ196595 GEU196593:GFF196595 GOQ196593:GPB196595 GYM196593:GYX196595 HII196593:HIT196595 HSE196593:HSP196595 ICA196593:ICL196595 ILW196593:IMH196595 IVS196593:IWD196595 JFO196593:JFZ196595 JPK196593:JPV196595 JZG196593:JZR196595 KJC196593:KJN196595 KSY196593:KTJ196595 LCU196593:LDF196595 LMQ196593:LNB196595 LWM196593:LWX196595 MGI196593:MGT196595 MQE196593:MQP196595 NAA196593:NAL196595 NJW196593:NKH196595 NTS196593:NUD196595 ODO196593:ODZ196595 ONK196593:ONV196595 OXG196593:OXR196595 PHC196593:PHN196595 PQY196593:PRJ196595 QAU196593:QBF196595 QKQ196593:QLB196595 QUM196593:QUX196595 REI196593:RET196595 ROE196593:ROP196595 RYA196593:RYL196595 SHW196593:SIH196595 SRS196593:SSD196595 TBO196593:TBZ196595 TLK196593:TLV196595 TVG196593:TVR196595 UFC196593:UFN196595 UOY196593:UPJ196595 UYU196593:UZF196595 VIQ196593:VJB196595 VSM196593:VSX196595 WCI196593:WCT196595 WME196593:WMP196595 WWA196593:WWL196595 JO262129:JZ262131 TK262129:TV262131 ADG262129:ADR262131 ANC262129:ANN262131 AWY262129:AXJ262131 BGU262129:BHF262131 BQQ262129:BRB262131 CAM262129:CAX262131 CKI262129:CKT262131 CUE262129:CUP262131 DEA262129:DEL262131 DNW262129:DOH262131 DXS262129:DYD262131 EHO262129:EHZ262131 ERK262129:ERV262131 FBG262129:FBR262131 FLC262129:FLN262131 FUY262129:FVJ262131 GEU262129:GFF262131 GOQ262129:GPB262131 GYM262129:GYX262131 HII262129:HIT262131 HSE262129:HSP262131 ICA262129:ICL262131 ILW262129:IMH262131 IVS262129:IWD262131 JFO262129:JFZ262131 JPK262129:JPV262131 JZG262129:JZR262131 KJC262129:KJN262131 KSY262129:KTJ262131 LCU262129:LDF262131 LMQ262129:LNB262131 LWM262129:LWX262131 MGI262129:MGT262131 MQE262129:MQP262131 NAA262129:NAL262131 NJW262129:NKH262131 NTS262129:NUD262131 ODO262129:ODZ262131 ONK262129:ONV262131 OXG262129:OXR262131 PHC262129:PHN262131 PQY262129:PRJ262131 QAU262129:QBF262131 QKQ262129:QLB262131 QUM262129:QUX262131 REI262129:RET262131 ROE262129:ROP262131 RYA262129:RYL262131 SHW262129:SIH262131 SRS262129:SSD262131 TBO262129:TBZ262131 TLK262129:TLV262131 TVG262129:TVR262131 UFC262129:UFN262131 UOY262129:UPJ262131 UYU262129:UZF262131 VIQ262129:VJB262131 VSM262129:VSX262131 WCI262129:WCT262131 WME262129:WMP262131 WWA262129:WWL262131 JO327665:JZ327667 TK327665:TV327667 ADG327665:ADR327667 ANC327665:ANN327667 AWY327665:AXJ327667 BGU327665:BHF327667 BQQ327665:BRB327667 CAM327665:CAX327667 CKI327665:CKT327667 CUE327665:CUP327667 DEA327665:DEL327667 DNW327665:DOH327667 DXS327665:DYD327667 EHO327665:EHZ327667 ERK327665:ERV327667 FBG327665:FBR327667 FLC327665:FLN327667 FUY327665:FVJ327667 GEU327665:GFF327667 GOQ327665:GPB327667 GYM327665:GYX327667 HII327665:HIT327667 HSE327665:HSP327667 ICA327665:ICL327667 ILW327665:IMH327667 IVS327665:IWD327667 JFO327665:JFZ327667 JPK327665:JPV327667 JZG327665:JZR327667 KJC327665:KJN327667 KSY327665:KTJ327667 LCU327665:LDF327667 LMQ327665:LNB327667 LWM327665:LWX327667 MGI327665:MGT327667 MQE327665:MQP327667 NAA327665:NAL327667 NJW327665:NKH327667 NTS327665:NUD327667 ODO327665:ODZ327667 ONK327665:ONV327667 OXG327665:OXR327667 PHC327665:PHN327667 PQY327665:PRJ327667 QAU327665:QBF327667 QKQ327665:QLB327667 QUM327665:QUX327667 REI327665:RET327667 ROE327665:ROP327667 RYA327665:RYL327667 SHW327665:SIH327667 SRS327665:SSD327667 TBO327665:TBZ327667 TLK327665:TLV327667 TVG327665:TVR327667 UFC327665:UFN327667 UOY327665:UPJ327667 UYU327665:UZF327667 VIQ327665:VJB327667 VSM327665:VSX327667 WCI327665:WCT327667 WME327665:WMP327667 WWA327665:WWL327667 JO393201:JZ393203 TK393201:TV393203 ADG393201:ADR393203 ANC393201:ANN393203 AWY393201:AXJ393203 BGU393201:BHF393203 BQQ393201:BRB393203 CAM393201:CAX393203 CKI393201:CKT393203 CUE393201:CUP393203 DEA393201:DEL393203 DNW393201:DOH393203 DXS393201:DYD393203 EHO393201:EHZ393203 ERK393201:ERV393203 FBG393201:FBR393203 FLC393201:FLN393203 FUY393201:FVJ393203 GEU393201:GFF393203 GOQ393201:GPB393203 GYM393201:GYX393203 HII393201:HIT393203 HSE393201:HSP393203 ICA393201:ICL393203 ILW393201:IMH393203 IVS393201:IWD393203 JFO393201:JFZ393203 JPK393201:JPV393203 JZG393201:JZR393203 KJC393201:KJN393203 KSY393201:KTJ393203 LCU393201:LDF393203 LMQ393201:LNB393203 LWM393201:LWX393203 MGI393201:MGT393203 MQE393201:MQP393203 NAA393201:NAL393203 NJW393201:NKH393203 NTS393201:NUD393203 ODO393201:ODZ393203 ONK393201:ONV393203 OXG393201:OXR393203 PHC393201:PHN393203 PQY393201:PRJ393203 QAU393201:QBF393203 QKQ393201:QLB393203 QUM393201:QUX393203 REI393201:RET393203 ROE393201:ROP393203 RYA393201:RYL393203 SHW393201:SIH393203 SRS393201:SSD393203 TBO393201:TBZ393203 TLK393201:TLV393203 TVG393201:TVR393203 UFC393201:UFN393203 UOY393201:UPJ393203 UYU393201:UZF393203 VIQ393201:VJB393203 VSM393201:VSX393203 WCI393201:WCT393203 WME393201:WMP393203 WWA393201:WWL393203 JO458737:JZ458739 TK458737:TV458739 ADG458737:ADR458739 ANC458737:ANN458739 AWY458737:AXJ458739 BGU458737:BHF458739 BQQ458737:BRB458739 CAM458737:CAX458739 CKI458737:CKT458739 CUE458737:CUP458739 DEA458737:DEL458739 DNW458737:DOH458739 DXS458737:DYD458739 EHO458737:EHZ458739 ERK458737:ERV458739 FBG458737:FBR458739 FLC458737:FLN458739 FUY458737:FVJ458739 GEU458737:GFF458739 GOQ458737:GPB458739 GYM458737:GYX458739 HII458737:HIT458739 HSE458737:HSP458739 ICA458737:ICL458739 ILW458737:IMH458739 IVS458737:IWD458739 JFO458737:JFZ458739 JPK458737:JPV458739 JZG458737:JZR458739 KJC458737:KJN458739 KSY458737:KTJ458739 LCU458737:LDF458739 LMQ458737:LNB458739 LWM458737:LWX458739 MGI458737:MGT458739 MQE458737:MQP458739 NAA458737:NAL458739 NJW458737:NKH458739 NTS458737:NUD458739 ODO458737:ODZ458739 ONK458737:ONV458739 OXG458737:OXR458739 PHC458737:PHN458739 PQY458737:PRJ458739 QAU458737:QBF458739 QKQ458737:QLB458739 QUM458737:QUX458739 REI458737:RET458739 ROE458737:ROP458739 RYA458737:RYL458739 SHW458737:SIH458739 SRS458737:SSD458739 TBO458737:TBZ458739 TLK458737:TLV458739 TVG458737:TVR458739 UFC458737:UFN458739 UOY458737:UPJ458739 UYU458737:UZF458739 VIQ458737:VJB458739 VSM458737:VSX458739 WCI458737:WCT458739 WME458737:WMP458739 WWA458737:WWL458739 JO524273:JZ524275 TK524273:TV524275 ADG524273:ADR524275 ANC524273:ANN524275 AWY524273:AXJ524275 BGU524273:BHF524275 BQQ524273:BRB524275 CAM524273:CAX524275 CKI524273:CKT524275 CUE524273:CUP524275 DEA524273:DEL524275 DNW524273:DOH524275 DXS524273:DYD524275 EHO524273:EHZ524275 ERK524273:ERV524275 FBG524273:FBR524275 FLC524273:FLN524275 FUY524273:FVJ524275 GEU524273:GFF524275 GOQ524273:GPB524275 GYM524273:GYX524275 HII524273:HIT524275 HSE524273:HSP524275 ICA524273:ICL524275 ILW524273:IMH524275 IVS524273:IWD524275 JFO524273:JFZ524275 JPK524273:JPV524275 JZG524273:JZR524275 KJC524273:KJN524275 KSY524273:KTJ524275 LCU524273:LDF524275 LMQ524273:LNB524275 LWM524273:LWX524275 MGI524273:MGT524275 MQE524273:MQP524275 NAA524273:NAL524275 NJW524273:NKH524275 NTS524273:NUD524275 ODO524273:ODZ524275 ONK524273:ONV524275 OXG524273:OXR524275 PHC524273:PHN524275 PQY524273:PRJ524275 QAU524273:QBF524275 QKQ524273:QLB524275 QUM524273:QUX524275 REI524273:RET524275 ROE524273:ROP524275 RYA524273:RYL524275 SHW524273:SIH524275 SRS524273:SSD524275 TBO524273:TBZ524275 TLK524273:TLV524275 TVG524273:TVR524275 UFC524273:UFN524275 UOY524273:UPJ524275 UYU524273:UZF524275 VIQ524273:VJB524275 VSM524273:VSX524275 WCI524273:WCT524275 WME524273:WMP524275 WWA524273:WWL524275 JO589809:JZ589811 TK589809:TV589811 ADG589809:ADR589811 ANC589809:ANN589811 AWY589809:AXJ589811 BGU589809:BHF589811 BQQ589809:BRB589811 CAM589809:CAX589811 CKI589809:CKT589811 CUE589809:CUP589811 DEA589809:DEL589811 DNW589809:DOH589811 DXS589809:DYD589811 EHO589809:EHZ589811 ERK589809:ERV589811 FBG589809:FBR589811 FLC589809:FLN589811 FUY589809:FVJ589811 GEU589809:GFF589811 GOQ589809:GPB589811 GYM589809:GYX589811 HII589809:HIT589811 HSE589809:HSP589811 ICA589809:ICL589811 ILW589809:IMH589811 IVS589809:IWD589811 JFO589809:JFZ589811 JPK589809:JPV589811 JZG589809:JZR589811 KJC589809:KJN589811 KSY589809:KTJ589811 LCU589809:LDF589811 LMQ589809:LNB589811 LWM589809:LWX589811 MGI589809:MGT589811 MQE589809:MQP589811 NAA589809:NAL589811 NJW589809:NKH589811 NTS589809:NUD589811 ODO589809:ODZ589811 ONK589809:ONV589811 OXG589809:OXR589811 PHC589809:PHN589811 PQY589809:PRJ589811 QAU589809:QBF589811 QKQ589809:QLB589811 QUM589809:QUX589811 REI589809:RET589811 ROE589809:ROP589811 RYA589809:RYL589811 SHW589809:SIH589811 SRS589809:SSD589811 TBO589809:TBZ589811 TLK589809:TLV589811 TVG589809:TVR589811 UFC589809:UFN589811 UOY589809:UPJ589811 UYU589809:UZF589811 VIQ589809:VJB589811 VSM589809:VSX589811 WCI589809:WCT589811 WME589809:WMP589811 WWA589809:WWL589811 JO655345:JZ655347 TK655345:TV655347 ADG655345:ADR655347 ANC655345:ANN655347 AWY655345:AXJ655347 BGU655345:BHF655347 BQQ655345:BRB655347 CAM655345:CAX655347 CKI655345:CKT655347 CUE655345:CUP655347 DEA655345:DEL655347 DNW655345:DOH655347 DXS655345:DYD655347 EHO655345:EHZ655347 ERK655345:ERV655347 FBG655345:FBR655347 FLC655345:FLN655347 FUY655345:FVJ655347 GEU655345:GFF655347 GOQ655345:GPB655347 GYM655345:GYX655347 HII655345:HIT655347 HSE655345:HSP655347 ICA655345:ICL655347 ILW655345:IMH655347 IVS655345:IWD655347 JFO655345:JFZ655347 JPK655345:JPV655347 JZG655345:JZR655347 KJC655345:KJN655347 KSY655345:KTJ655347 LCU655345:LDF655347 LMQ655345:LNB655347 LWM655345:LWX655347 MGI655345:MGT655347 MQE655345:MQP655347 NAA655345:NAL655347 NJW655345:NKH655347 NTS655345:NUD655347 ODO655345:ODZ655347 ONK655345:ONV655347 OXG655345:OXR655347 PHC655345:PHN655347 PQY655345:PRJ655347 QAU655345:QBF655347 QKQ655345:QLB655347 QUM655345:QUX655347 REI655345:RET655347 ROE655345:ROP655347 RYA655345:RYL655347 SHW655345:SIH655347 SRS655345:SSD655347 TBO655345:TBZ655347 TLK655345:TLV655347 TVG655345:TVR655347 UFC655345:UFN655347 UOY655345:UPJ655347 UYU655345:UZF655347 VIQ655345:VJB655347 VSM655345:VSX655347 WCI655345:WCT655347 WME655345:WMP655347 WWA655345:WWL655347 JO720881:JZ720883 TK720881:TV720883 ADG720881:ADR720883 ANC720881:ANN720883 AWY720881:AXJ720883 BGU720881:BHF720883 BQQ720881:BRB720883 CAM720881:CAX720883 CKI720881:CKT720883 CUE720881:CUP720883 DEA720881:DEL720883 DNW720881:DOH720883 DXS720881:DYD720883 EHO720881:EHZ720883 ERK720881:ERV720883 FBG720881:FBR720883 FLC720881:FLN720883 FUY720881:FVJ720883 GEU720881:GFF720883 GOQ720881:GPB720883 GYM720881:GYX720883 HII720881:HIT720883 HSE720881:HSP720883 ICA720881:ICL720883 ILW720881:IMH720883 IVS720881:IWD720883 JFO720881:JFZ720883 JPK720881:JPV720883 JZG720881:JZR720883 KJC720881:KJN720883 KSY720881:KTJ720883 LCU720881:LDF720883 LMQ720881:LNB720883 LWM720881:LWX720883 MGI720881:MGT720883 MQE720881:MQP720883 NAA720881:NAL720883 NJW720881:NKH720883 NTS720881:NUD720883 ODO720881:ODZ720883 ONK720881:ONV720883 OXG720881:OXR720883 PHC720881:PHN720883 PQY720881:PRJ720883 QAU720881:QBF720883 QKQ720881:QLB720883 QUM720881:QUX720883 REI720881:RET720883 ROE720881:ROP720883 RYA720881:RYL720883 SHW720881:SIH720883 SRS720881:SSD720883 TBO720881:TBZ720883 TLK720881:TLV720883 TVG720881:TVR720883 UFC720881:UFN720883 UOY720881:UPJ720883 UYU720881:UZF720883 VIQ720881:VJB720883 VSM720881:VSX720883 WCI720881:WCT720883 WME720881:WMP720883 WWA720881:WWL720883 JO786417:JZ786419 TK786417:TV786419 ADG786417:ADR786419 ANC786417:ANN786419 AWY786417:AXJ786419 BGU786417:BHF786419 BQQ786417:BRB786419 CAM786417:CAX786419 CKI786417:CKT786419 CUE786417:CUP786419 DEA786417:DEL786419 DNW786417:DOH786419 DXS786417:DYD786419 EHO786417:EHZ786419 ERK786417:ERV786419 FBG786417:FBR786419 FLC786417:FLN786419 FUY786417:FVJ786419 GEU786417:GFF786419 GOQ786417:GPB786419 GYM786417:GYX786419 HII786417:HIT786419 HSE786417:HSP786419 ICA786417:ICL786419 ILW786417:IMH786419 IVS786417:IWD786419 JFO786417:JFZ786419 JPK786417:JPV786419 JZG786417:JZR786419 KJC786417:KJN786419 KSY786417:KTJ786419 LCU786417:LDF786419 LMQ786417:LNB786419 LWM786417:LWX786419 MGI786417:MGT786419 MQE786417:MQP786419 NAA786417:NAL786419 NJW786417:NKH786419 NTS786417:NUD786419 ODO786417:ODZ786419 ONK786417:ONV786419 OXG786417:OXR786419 PHC786417:PHN786419 PQY786417:PRJ786419 QAU786417:QBF786419 QKQ786417:QLB786419 QUM786417:QUX786419 REI786417:RET786419 ROE786417:ROP786419 RYA786417:RYL786419 SHW786417:SIH786419 SRS786417:SSD786419 TBO786417:TBZ786419 TLK786417:TLV786419 TVG786417:TVR786419 UFC786417:UFN786419 UOY786417:UPJ786419 UYU786417:UZF786419 VIQ786417:VJB786419 VSM786417:VSX786419 WCI786417:WCT786419 WME786417:WMP786419 WWA786417:WWL786419 JO851953:JZ851955 TK851953:TV851955 ADG851953:ADR851955 ANC851953:ANN851955 AWY851953:AXJ851955 BGU851953:BHF851955 BQQ851953:BRB851955 CAM851953:CAX851955 CKI851953:CKT851955 CUE851953:CUP851955 DEA851953:DEL851955 DNW851953:DOH851955 DXS851953:DYD851955 EHO851953:EHZ851955 ERK851953:ERV851955 FBG851953:FBR851955 FLC851953:FLN851955 FUY851953:FVJ851955 GEU851953:GFF851955 GOQ851953:GPB851955 GYM851953:GYX851955 HII851953:HIT851955 HSE851953:HSP851955 ICA851953:ICL851955 ILW851953:IMH851955 IVS851953:IWD851955 JFO851953:JFZ851955 JPK851953:JPV851955 JZG851953:JZR851955 KJC851953:KJN851955 KSY851953:KTJ851955 LCU851953:LDF851955 LMQ851953:LNB851955 LWM851953:LWX851955 MGI851953:MGT851955 MQE851953:MQP851955 NAA851953:NAL851955 NJW851953:NKH851955 NTS851953:NUD851955 ODO851953:ODZ851955 ONK851953:ONV851955 OXG851953:OXR851955 PHC851953:PHN851955 PQY851953:PRJ851955 QAU851953:QBF851955 QKQ851953:QLB851955 QUM851953:QUX851955 REI851953:RET851955 ROE851953:ROP851955 RYA851953:RYL851955 SHW851953:SIH851955 SRS851953:SSD851955 TBO851953:TBZ851955 TLK851953:TLV851955 TVG851953:TVR851955 UFC851953:UFN851955 UOY851953:UPJ851955 UYU851953:UZF851955 VIQ851953:VJB851955 VSM851953:VSX851955 WCI851953:WCT851955 WME851953:WMP851955 WWA851953:WWL851955 JO917489:JZ917491 TK917489:TV917491 ADG917489:ADR917491 ANC917489:ANN917491 AWY917489:AXJ917491 BGU917489:BHF917491 BQQ917489:BRB917491 CAM917489:CAX917491 CKI917489:CKT917491 CUE917489:CUP917491 DEA917489:DEL917491 DNW917489:DOH917491 DXS917489:DYD917491 EHO917489:EHZ917491 ERK917489:ERV917491 FBG917489:FBR917491 FLC917489:FLN917491 FUY917489:FVJ917491 GEU917489:GFF917491 GOQ917489:GPB917491 GYM917489:GYX917491 HII917489:HIT917491 HSE917489:HSP917491 ICA917489:ICL917491 ILW917489:IMH917491 IVS917489:IWD917491 JFO917489:JFZ917491 JPK917489:JPV917491 JZG917489:JZR917491 KJC917489:KJN917491 KSY917489:KTJ917491 LCU917489:LDF917491 LMQ917489:LNB917491 LWM917489:LWX917491 MGI917489:MGT917491 MQE917489:MQP917491 NAA917489:NAL917491 NJW917489:NKH917491 NTS917489:NUD917491 ODO917489:ODZ917491 ONK917489:ONV917491 OXG917489:OXR917491 PHC917489:PHN917491 PQY917489:PRJ917491 QAU917489:QBF917491 QKQ917489:QLB917491 QUM917489:QUX917491 REI917489:RET917491 ROE917489:ROP917491 RYA917489:RYL917491 SHW917489:SIH917491 SRS917489:SSD917491 TBO917489:TBZ917491 TLK917489:TLV917491 TVG917489:TVR917491 UFC917489:UFN917491 UOY917489:UPJ917491 UYU917489:UZF917491 VIQ917489:VJB917491 VSM917489:VSX917491 WCI917489:WCT917491 WME917489:WMP917491 WWA917489:WWL917491 JO983025:JZ983027 TK983025:TV983027 ADG983025:ADR983027 ANC983025:ANN983027 AWY983025:AXJ983027 BGU983025:BHF983027 BQQ983025:BRB983027 CAM983025:CAX983027 CKI983025:CKT983027 CUE983025:CUP983027 DEA983025:DEL983027 DNW983025:DOH983027 DXS983025:DYD983027 EHO983025:EHZ983027 ERK983025:ERV983027 FBG983025:FBR983027 FLC983025:FLN983027 FUY983025:FVJ983027 GEU983025:GFF983027 GOQ983025:GPB983027 GYM983025:GYX983027 HII983025:HIT983027 HSE983025:HSP983027 ICA983025:ICL983027 ILW983025:IMH983027 IVS983025:IWD983027 JFO983025:JFZ983027 JPK983025:JPV983027 JZG983025:JZR983027 KJC983025:KJN983027 KSY983025:KTJ983027 LCU983025:LDF983027 LMQ983025:LNB983027 LWM983025:LWX983027 MGI983025:MGT983027 MQE983025:MQP983027 NAA983025:NAL983027 NJW983025:NKH983027 NTS983025:NUD983027 ODO983025:ODZ983027 ONK983025:ONV983027 OXG983025:OXR983027 PHC983025:PHN983027 PQY983025:PRJ983027 QAU983025:QBF983027 QKQ983025:QLB983027 QUM983025:QUX983027 REI983025:RET983027 ROE983025:ROP983027 RYA983025:RYL983027 SHW983025:SIH983027 SRS983025:SSD983027 TBO983025:TBZ983027 TLK983025:TLV983027 TVG983025:TVR983027 UFC983025:UFN983027 UOY983025:UPJ983027 UYU983025:UZF983027 VIQ983025:VJB983027 VSM983025:VSX983027 WCI983025:WCT983027 WME983025:WMP983027 WWA983025:WWL983027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21:AM65523 AC983025:AM983027 AC917489:AM917491 AC851953:AM851955 AC786417:AM786419 AC720881:AM720883 AC655345:AM655347 AC589809:AM589811 AC524273:AM524275 AC458737:AM458739 AC393201:AM393203 AC327665:AM327667 AC262129:AM262131 AC196593:AM196595 AC131057:AM131059 R2"/>
    <dataValidation type="list" allowBlank="1" showInputMessage="1" showErrorMessage="1" sqref="Y8:Z85">
      <formula1>"文字,数値,日付,時間"</formula1>
    </dataValidation>
    <dataValidation type="list" allowBlank="1" showInputMessage="1" showErrorMessage="1" sqref="AA8:AC85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6" s="17" customFormat="1" ht="14.4" customHeight="1">
      <c r="A1" s="396" t="s">
        <v>78</v>
      </c>
      <c r="B1" s="397"/>
      <c r="C1" s="397"/>
      <c r="D1" s="397"/>
      <c r="E1" s="397"/>
      <c r="F1" s="397"/>
      <c r="G1" s="397"/>
      <c r="H1" s="398"/>
      <c r="I1" s="336" t="s">
        <v>79</v>
      </c>
      <c r="J1" s="337"/>
      <c r="K1" s="337"/>
      <c r="L1" s="337"/>
      <c r="M1" s="337"/>
      <c r="N1" s="337"/>
      <c r="O1" s="337"/>
      <c r="P1" s="337"/>
      <c r="Q1" s="338"/>
      <c r="R1" s="336" t="s">
        <v>80</v>
      </c>
      <c r="S1" s="337"/>
      <c r="T1" s="337"/>
      <c r="U1" s="337"/>
      <c r="V1" s="337"/>
      <c r="W1" s="337"/>
      <c r="X1" s="338"/>
      <c r="Y1" s="336" t="s">
        <v>135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8"/>
      <c r="AP1" s="407" t="s">
        <v>82</v>
      </c>
      <c r="AQ1" s="408"/>
      <c r="AR1" s="408"/>
      <c r="AS1" s="408"/>
      <c r="AT1" s="409"/>
      <c r="AU1" s="407" t="s">
        <v>83</v>
      </c>
      <c r="AV1" s="408"/>
      <c r="AW1" s="408"/>
      <c r="AX1" s="408"/>
      <c r="AY1" s="409"/>
      <c r="AZ1" s="407" t="s">
        <v>84</v>
      </c>
      <c r="BA1" s="408"/>
      <c r="BB1" s="408"/>
      <c r="BC1" s="408"/>
      <c r="BD1" s="409"/>
    </row>
    <row r="2" spans="1:56" s="17" customFormat="1" ht="14.4" customHeight="1">
      <c r="A2" s="399"/>
      <c r="B2" s="400"/>
      <c r="C2" s="400"/>
      <c r="D2" s="400"/>
      <c r="E2" s="400"/>
      <c r="F2" s="400"/>
      <c r="G2" s="400"/>
      <c r="H2" s="401"/>
      <c r="I2" s="366" t="s">
        <v>85</v>
      </c>
      <c r="J2" s="367"/>
      <c r="K2" s="367"/>
      <c r="L2" s="367"/>
      <c r="M2" s="367"/>
      <c r="N2" s="367"/>
      <c r="O2" s="367"/>
      <c r="P2" s="367"/>
      <c r="Q2" s="368"/>
      <c r="R2" s="366" t="str">
        <f ca="1">VLOOKUP(RIGHT(CELL("filename",A2),LEN(CELL("filename",A2))-FIND("]",CELL("filename",A2))),テーブル一覧!B:AD,22,FALSE)</f>
        <v>B.生産計画</v>
      </c>
      <c r="S2" s="367"/>
      <c r="T2" s="367"/>
      <c r="U2" s="367"/>
      <c r="V2" s="367"/>
      <c r="W2" s="367"/>
      <c r="X2" s="368"/>
      <c r="Y2" s="366" t="str">
        <f ca="1">VLOOKUP(RIGHT(CELL("filename",A2),LEN(CELL("filename",A2))-FIND("]",CELL("filename",A2))),テーブル一覧!B:AD,1,FALSE)</f>
        <v>生産計画情報（コーヒーフィルタ）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8"/>
      <c r="AP2" s="339"/>
      <c r="AQ2" s="340"/>
      <c r="AR2" s="340"/>
      <c r="AS2" s="340"/>
      <c r="AT2" s="341"/>
      <c r="AU2" s="58" t="s">
        <v>88</v>
      </c>
      <c r="AV2" s="59"/>
      <c r="AW2" s="59"/>
      <c r="AX2" s="59"/>
      <c r="AY2" s="60"/>
      <c r="AZ2" s="413" t="s">
        <v>89</v>
      </c>
      <c r="BA2" s="414"/>
      <c r="BB2" s="414"/>
      <c r="BC2" s="414"/>
      <c r="BD2" s="415"/>
    </row>
    <row r="3" spans="1:56" s="17" customFormat="1" ht="14.4" customHeight="1">
      <c r="A3" s="399"/>
      <c r="B3" s="400"/>
      <c r="C3" s="400"/>
      <c r="D3" s="400"/>
      <c r="E3" s="400"/>
      <c r="F3" s="400"/>
      <c r="G3" s="400"/>
      <c r="H3" s="401"/>
      <c r="I3" s="369"/>
      <c r="J3" s="370"/>
      <c r="K3" s="370"/>
      <c r="L3" s="370"/>
      <c r="M3" s="370"/>
      <c r="N3" s="370"/>
      <c r="O3" s="370"/>
      <c r="P3" s="370"/>
      <c r="Q3" s="371"/>
      <c r="R3" s="369"/>
      <c r="S3" s="370"/>
      <c r="T3" s="370"/>
      <c r="U3" s="370"/>
      <c r="V3" s="370"/>
      <c r="W3" s="370"/>
      <c r="X3" s="371"/>
      <c r="Y3" s="372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4"/>
      <c r="AP3" s="342"/>
      <c r="AQ3" s="343"/>
      <c r="AR3" s="343"/>
      <c r="AS3" s="343"/>
      <c r="AT3" s="344"/>
      <c r="AU3" s="410"/>
      <c r="AV3" s="411"/>
      <c r="AW3" s="411"/>
      <c r="AX3" s="411"/>
      <c r="AY3" s="412"/>
      <c r="AZ3" s="413"/>
      <c r="BA3" s="414"/>
      <c r="BB3" s="414"/>
      <c r="BC3" s="414"/>
      <c r="BD3" s="415"/>
    </row>
    <row r="4" spans="1:56" s="17" customFormat="1" ht="14.4" customHeight="1">
      <c r="A4" s="402"/>
      <c r="B4" s="403"/>
      <c r="C4" s="403"/>
      <c r="D4" s="403"/>
      <c r="E4" s="403"/>
      <c r="F4" s="403"/>
      <c r="G4" s="403"/>
      <c r="H4" s="404"/>
      <c r="I4" s="372"/>
      <c r="J4" s="373"/>
      <c r="K4" s="373"/>
      <c r="L4" s="373"/>
      <c r="M4" s="373"/>
      <c r="N4" s="373"/>
      <c r="O4" s="373"/>
      <c r="P4" s="373"/>
      <c r="Q4" s="374"/>
      <c r="R4" s="372"/>
      <c r="S4" s="373"/>
      <c r="T4" s="373"/>
      <c r="U4" s="373"/>
      <c r="V4" s="373"/>
      <c r="W4" s="373"/>
      <c r="X4" s="374"/>
      <c r="Y4" s="41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t_seisan_keikaku_cf</v>
      </c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8"/>
      <c r="AP4" s="342"/>
      <c r="AQ4" s="343"/>
      <c r="AR4" s="343"/>
      <c r="AS4" s="343"/>
      <c r="AT4" s="344"/>
      <c r="AU4" s="410"/>
      <c r="AV4" s="411"/>
      <c r="AW4" s="411"/>
      <c r="AX4" s="411"/>
      <c r="AY4" s="412"/>
      <c r="AZ4" s="413"/>
      <c r="BA4" s="414"/>
      <c r="BB4" s="414"/>
      <c r="BC4" s="414"/>
      <c r="BD4" s="415"/>
    </row>
    <row r="6" spans="1:56" ht="14.4" customHeight="1">
      <c r="A6" s="405" t="s">
        <v>90</v>
      </c>
      <c r="B6" s="386" t="s">
        <v>136</v>
      </c>
      <c r="C6" s="394"/>
      <c r="D6" s="394"/>
      <c r="E6" s="394"/>
      <c r="F6" s="394"/>
      <c r="G6" s="394"/>
      <c r="H6" s="387"/>
      <c r="I6" s="386" t="s">
        <v>137</v>
      </c>
      <c r="J6" s="394"/>
      <c r="K6" s="394"/>
      <c r="L6" s="394"/>
      <c r="M6" s="394"/>
      <c r="N6" s="394"/>
      <c r="O6" s="394"/>
      <c r="P6" s="394"/>
      <c r="Q6" s="387"/>
      <c r="R6" s="386" t="s">
        <v>138</v>
      </c>
      <c r="S6" s="394"/>
      <c r="T6" s="394"/>
      <c r="U6" s="394"/>
      <c r="V6" s="394"/>
      <c r="W6" s="394"/>
      <c r="X6" s="387"/>
      <c r="Y6" s="386" t="s">
        <v>139</v>
      </c>
      <c r="Z6" s="387"/>
      <c r="AA6" s="386" t="s">
        <v>140</v>
      </c>
      <c r="AB6" s="394"/>
      <c r="AC6" s="387"/>
      <c r="AD6" s="390" t="s">
        <v>141</v>
      </c>
      <c r="AE6" s="392" t="s">
        <v>142</v>
      </c>
      <c r="AF6" s="390" t="s">
        <v>143</v>
      </c>
      <c r="AG6" s="390" t="s">
        <v>144</v>
      </c>
      <c r="AH6" s="390" t="s">
        <v>145</v>
      </c>
      <c r="AI6" s="383" t="s">
        <v>146</v>
      </c>
      <c r="AJ6" s="384"/>
      <c r="AK6" s="384"/>
      <c r="AL6" s="384"/>
      <c r="AM6" s="384"/>
      <c r="AN6" s="384"/>
      <c r="AO6" s="384"/>
      <c r="AP6" s="384"/>
      <c r="AQ6" s="384"/>
      <c r="AR6" s="385"/>
      <c r="AS6" s="386" t="s">
        <v>147</v>
      </c>
      <c r="AT6" s="394"/>
      <c r="AU6" s="394"/>
      <c r="AV6" s="394"/>
      <c r="AW6" s="394"/>
      <c r="AX6" s="394"/>
      <c r="AY6" s="394"/>
      <c r="AZ6" s="394"/>
      <c r="BA6" s="394"/>
      <c r="BB6" s="394"/>
      <c r="BC6" s="394"/>
      <c r="BD6" s="387"/>
    </row>
    <row r="7" spans="1:56" ht="14.4" customHeight="1">
      <c r="A7" s="406"/>
      <c r="B7" s="388"/>
      <c r="C7" s="395"/>
      <c r="D7" s="395"/>
      <c r="E7" s="395"/>
      <c r="F7" s="395"/>
      <c r="G7" s="395"/>
      <c r="H7" s="389"/>
      <c r="I7" s="388"/>
      <c r="J7" s="395"/>
      <c r="K7" s="395"/>
      <c r="L7" s="395"/>
      <c r="M7" s="395"/>
      <c r="N7" s="395"/>
      <c r="O7" s="395"/>
      <c r="P7" s="395"/>
      <c r="Q7" s="389"/>
      <c r="R7" s="388"/>
      <c r="S7" s="395"/>
      <c r="T7" s="395"/>
      <c r="U7" s="395"/>
      <c r="V7" s="395"/>
      <c r="W7" s="395"/>
      <c r="X7" s="389"/>
      <c r="Y7" s="388"/>
      <c r="Z7" s="389"/>
      <c r="AA7" s="388"/>
      <c r="AB7" s="395"/>
      <c r="AC7" s="389"/>
      <c r="AD7" s="391"/>
      <c r="AE7" s="393"/>
      <c r="AF7" s="391"/>
      <c r="AG7" s="391"/>
      <c r="AH7" s="39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88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89"/>
    </row>
    <row r="8" spans="1:56" s="1" customFormat="1" ht="14.4" customHeight="1">
      <c r="A8" s="131">
        <f>IF(B8="","",COUNTA($B$8:B8))</f>
        <v>1</v>
      </c>
      <c r="B8" s="195" t="s">
        <v>148</v>
      </c>
      <c r="C8" s="190"/>
      <c r="D8" s="190"/>
      <c r="E8" s="190"/>
      <c r="F8" s="190"/>
      <c r="G8" s="190"/>
      <c r="H8" s="191"/>
      <c r="I8" s="204" t="s">
        <v>149</v>
      </c>
      <c r="J8" s="190"/>
      <c r="K8" s="190"/>
      <c r="L8" s="190"/>
      <c r="M8" s="190"/>
      <c r="N8" s="190"/>
      <c r="O8" s="190"/>
      <c r="P8" s="190"/>
      <c r="Q8" s="191"/>
      <c r="R8" s="195" t="s">
        <v>148</v>
      </c>
      <c r="S8" s="190"/>
      <c r="T8" s="190"/>
      <c r="U8" s="190"/>
      <c r="V8" s="190"/>
      <c r="W8" s="190"/>
      <c r="X8" s="188"/>
      <c r="Y8" s="378" t="s">
        <v>150</v>
      </c>
      <c r="Z8" s="379"/>
      <c r="AA8" s="380" t="s">
        <v>151</v>
      </c>
      <c r="AB8" s="381"/>
      <c r="AC8" s="382"/>
      <c r="AD8" s="205">
        <v>15</v>
      </c>
      <c r="AE8" s="193"/>
      <c r="AF8" s="193">
        <v>1</v>
      </c>
      <c r="AG8" s="194" t="s">
        <v>152</v>
      </c>
      <c r="AH8" s="194"/>
      <c r="AI8" s="194"/>
      <c r="AJ8" s="194"/>
      <c r="AK8" s="194"/>
      <c r="AL8" s="194"/>
      <c r="AM8" s="194"/>
      <c r="AN8" s="194"/>
      <c r="AO8" s="193"/>
      <c r="AP8" s="193"/>
      <c r="AQ8" s="193"/>
      <c r="AR8" s="193"/>
      <c r="AS8" s="196"/>
      <c r="AT8" s="174"/>
      <c r="AU8" s="174"/>
      <c r="AV8" s="174"/>
      <c r="AW8" s="174"/>
      <c r="AX8" s="174"/>
      <c r="AY8" s="174"/>
      <c r="AZ8" s="174"/>
      <c r="BA8" s="174"/>
      <c r="BB8" s="174"/>
      <c r="BC8" s="174"/>
      <c r="BD8" s="175"/>
    </row>
    <row r="9" spans="1:56" s="1" customFormat="1" ht="14.4" customHeight="1">
      <c r="A9" s="131">
        <f>IF(B9="","",COUNTA($B$8:B9))</f>
        <v>2</v>
      </c>
      <c r="B9" s="270" t="s">
        <v>157</v>
      </c>
      <c r="C9" s="187"/>
      <c r="D9" s="187"/>
      <c r="E9" s="187"/>
      <c r="F9" s="187"/>
      <c r="G9" s="187"/>
      <c r="H9" s="188"/>
      <c r="I9" s="204" t="s">
        <v>158</v>
      </c>
      <c r="J9" s="190"/>
      <c r="K9" s="190"/>
      <c r="L9" s="190"/>
      <c r="M9" s="190"/>
      <c r="N9" s="190"/>
      <c r="O9" s="190"/>
      <c r="P9" s="190"/>
      <c r="Q9" s="191"/>
      <c r="R9" s="270" t="s">
        <v>157</v>
      </c>
      <c r="S9" s="190"/>
      <c r="T9" s="190"/>
      <c r="U9" s="190"/>
      <c r="V9" s="190"/>
      <c r="W9" s="190"/>
      <c r="X9" s="188"/>
      <c r="Y9" s="378" t="s">
        <v>150</v>
      </c>
      <c r="Z9" s="379"/>
      <c r="AA9" s="380" t="s">
        <v>151</v>
      </c>
      <c r="AB9" s="381"/>
      <c r="AC9" s="382"/>
      <c r="AD9" s="205">
        <v>10</v>
      </c>
      <c r="AE9" s="193"/>
      <c r="AF9" s="193"/>
      <c r="AG9" s="193"/>
      <c r="AH9" s="194"/>
      <c r="AI9" s="194"/>
      <c r="AJ9" s="194"/>
      <c r="AK9" s="194"/>
      <c r="AL9" s="194"/>
      <c r="AM9" s="194"/>
      <c r="AN9" s="194"/>
      <c r="AO9" s="193"/>
      <c r="AP9" s="193"/>
      <c r="AQ9" s="193"/>
      <c r="AR9" s="193"/>
      <c r="AS9" s="189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7"/>
    </row>
    <row r="10" spans="1:56" s="1" customFormat="1" ht="14.4" customHeight="1">
      <c r="A10" s="131">
        <f>IF(B10="","",COUNTA($B$8:B10))</f>
        <v>3</v>
      </c>
      <c r="B10" s="270" t="s">
        <v>159</v>
      </c>
      <c r="C10" s="187"/>
      <c r="D10" s="187"/>
      <c r="E10" s="187"/>
      <c r="F10" s="187"/>
      <c r="G10" s="187"/>
      <c r="H10" s="188"/>
      <c r="I10" s="204" t="s">
        <v>160</v>
      </c>
      <c r="J10" s="190"/>
      <c r="K10" s="190"/>
      <c r="L10" s="190"/>
      <c r="M10" s="190"/>
      <c r="N10" s="190"/>
      <c r="O10" s="190"/>
      <c r="P10" s="190"/>
      <c r="Q10" s="191"/>
      <c r="R10" s="270" t="s">
        <v>159</v>
      </c>
      <c r="S10" s="190"/>
      <c r="T10" s="190"/>
      <c r="U10" s="190"/>
      <c r="V10" s="190"/>
      <c r="W10" s="190"/>
      <c r="X10" s="188"/>
      <c r="Y10" s="378" t="s">
        <v>150</v>
      </c>
      <c r="Z10" s="379"/>
      <c r="AA10" s="380" t="s">
        <v>151</v>
      </c>
      <c r="AB10" s="381"/>
      <c r="AC10" s="382"/>
      <c r="AD10" s="205">
        <v>4</v>
      </c>
      <c r="AE10" s="193"/>
      <c r="AF10" s="193"/>
      <c r="AG10" s="193"/>
      <c r="AH10" s="194"/>
      <c r="AI10" s="194" t="s">
        <v>161</v>
      </c>
      <c r="AJ10" s="194"/>
      <c r="AK10" s="194"/>
      <c r="AL10" s="194"/>
      <c r="AM10" s="194"/>
      <c r="AN10" s="194"/>
      <c r="AO10" s="193"/>
      <c r="AP10" s="193"/>
      <c r="AQ10" s="193"/>
      <c r="AR10" s="193"/>
      <c r="AS10" s="189"/>
      <c r="AT10" s="176"/>
      <c r="AU10" s="176"/>
      <c r="AV10" s="176"/>
      <c r="AW10" s="176"/>
      <c r="AX10" s="176"/>
      <c r="AY10" s="176"/>
      <c r="AZ10" s="176"/>
      <c r="BA10" s="176"/>
      <c r="BB10" s="176"/>
      <c r="BC10" s="176"/>
      <c r="BD10" s="177"/>
    </row>
    <row r="11" spans="1:56" s="1" customFormat="1" ht="14.4" customHeight="1">
      <c r="A11" s="131">
        <f>IF(B11="","",COUNTA($B$8:B11))</f>
        <v>4</v>
      </c>
      <c r="B11" s="206" t="s">
        <v>162</v>
      </c>
      <c r="C11" s="207"/>
      <c r="D11" s="187"/>
      <c r="E11" s="187"/>
      <c r="F11" s="187"/>
      <c r="G11" s="187"/>
      <c r="H11" s="188"/>
      <c r="I11" s="206" t="s">
        <v>163</v>
      </c>
      <c r="J11" s="190"/>
      <c r="K11" s="190"/>
      <c r="L11" s="190"/>
      <c r="M11" s="190"/>
      <c r="N11" s="190"/>
      <c r="O11" s="190"/>
      <c r="P11" s="190"/>
      <c r="Q11" s="191"/>
      <c r="R11" s="270" t="s">
        <v>164</v>
      </c>
      <c r="S11" s="190"/>
      <c r="T11" s="190"/>
      <c r="U11" s="190"/>
      <c r="V11" s="190"/>
      <c r="W11" s="190"/>
      <c r="X11" s="188"/>
      <c r="Y11" s="378" t="s">
        <v>150</v>
      </c>
      <c r="Z11" s="379"/>
      <c r="AA11" s="380" t="s">
        <v>151</v>
      </c>
      <c r="AB11" s="381"/>
      <c r="AC11" s="382"/>
      <c r="AD11" s="205">
        <v>4</v>
      </c>
      <c r="AE11" s="193"/>
      <c r="AF11" s="193"/>
      <c r="AG11" s="193"/>
      <c r="AH11" s="194"/>
      <c r="AI11" s="194" t="s">
        <v>165</v>
      </c>
      <c r="AJ11" s="194"/>
      <c r="AK11" s="194"/>
      <c r="AL11" s="194"/>
      <c r="AM11" s="194"/>
      <c r="AN11" s="194"/>
      <c r="AO11" s="193"/>
      <c r="AP11" s="193"/>
      <c r="AQ11" s="193"/>
      <c r="AR11" s="193"/>
      <c r="AS11" s="189"/>
      <c r="AT11" s="176"/>
      <c r="AU11" s="176"/>
      <c r="AV11" s="176"/>
      <c r="AW11" s="176"/>
      <c r="AX11" s="176"/>
      <c r="AY11" s="176"/>
      <c r="AZ11" s="176"/>
      <c r="BA11" s="176"/>
      <c r="BB11" s="176"/>
      <c r="BC11" s="176"/>
      <c r="BD11" s="177"/>
    </row>
    <row r="12" spans="1:56" s="1" customFormat="1" ht="14.4" customHeight="1">
      <c r="A12" s="131">
        <f>IF(B12="","",COUNTA($B$8:B12))</f>
        <v>5</v>
      </c>
      <c r="B12" s="270" t="s">
        <v>166</v>
      </c>
      <c r="C12" s="187"/>
      <c r="D12" s="187"/>
      <c r="E12" s="187"/>
      <c r="F12" s="187"/>
      <c r="G12" s="187"/>
      <c r="H12" s="188"/>
      <c r="I12" s="204" t="s">
        <v>167</v>
      </c>
      <c r="J12" s="190"/>
      <c r="K12" s="190"/>
      <c r="L12" s="190"/>
      <c r="M12" s="190"/>
      <c r="N12" s="190"/>
      <c r="O12" s="190"/>
      <c r="P12" s="190"/>
      <c r="Q12" s="191"/>
      <c r="R12" s="270" t="s">
        <v>168</v>
      </c>
      <c r="S12" s="190"/>
      <c r="T12" s="190"/>
      <c r="U12" s="190"/>
      <c r="V12" s="190"/>
      <c r="W12" s="190"/>
      <c r="X12" s="188"/>
      <c r="Y12" s="270" t="s">
        <v>169</v>
      </c>
      <c r="Z12" s="271"/>
      <c r="AA12" s="380" t="s">
        <v>170</v>
      </c>
      <c r="AB12" s="381"/>
      <c r="AC12" s="382"/>
      <c r="AD12" s="205"/>
      <c r="AE12" s="193"/>
      <c r="AF12" s="193"/>
      <c r="AG12" s="193"/>
      <c r="AH12" s="194"/>
      <c r="AI12" s="194" t="s">
        <v>171</v>
      </c>
      <c r="AJ12" s="194"/>
      <c r="AK12" s="194"/>
      <c r="AL12" s="194"/>
      <c r="AM12" s="194"/>
      <c r="AN12" s="194"/>
      <c r="AO12" s="193"/>
      <c r="AP12" s="193"/>
      <c r="AQ12" s="193"/>
      <c r="AR12" s="193"/>
      <c r="AS12" s="189"/>
      <c r="AT12" s="176"/>
      <c r="AU12" s="176"/>
      <c r="AV12" s="176"/>
      <c r="AW12" s="176"/>
      <c r="AX12" s="176"/>
      <c r="AY12" s="176"/>
      <c r="AZ12" s="176"/>
      <c r="BA12" s="176"/>
      <c r="BB12" s="176"/>
      <c r="BC12" s="176"/>
      <c r="BD12" s="177"/>
    </row>
    <row r="13" spans="1:56" s="1" customFormat="1" ht="14.4" customHeight="1">
      <c r="A13" s="131">
        <f>IF(B13="","",COUNTA($B$8:B13))</f>
        <v>6</v>
      </c>
      <c r="B13" s="270" t="s">
        <v>174</v>
      </c>
      <c r="C13" s="187"/>
      <c r="D13" s="187"/>
      <c r="E13" s="187"/>
      <c r="F13" s="187"/>
      <c r="G13" s="187"/>
      <c r="H13" s="188"/>
      <c r="I13" s="204" t="s">
        <v>175</v>
      </c>
      <c r="J13" s="190"/>
      <c r="K13" s="190"/>
      <c r="L13" s="190"/>
      <c r="M13" s="190"/>
      <c r="N13" s="190"/>
      <c r="O13" s="190"/>
      <c r="P13" s="190"/>
      <c r="Q13" s="191"/>
      <c r="R13" s="270" t="s">
        <v>176</v>
      </c>
      <c r="S13" s="190"/>
      <c r="T13" s="190"/>
      <c r="U13" s="190"/>
      <c r="V13" s="190"/>
      <c r="W13" s="190"/>
      <c r="X13" s="188"/>
      <c r="Y13" s="270" t="s">
        <v>169</v>
      </c>
      <c r="Z13" s="271"/>
      <c r="AA13" s="380" t="s">
        <v>170</v>
      </c>
      <c r="AB13" s="381"/>
      <c r="AC13" s="382"/>
      <c r="AD13" s="192"/>
      <c r="AE13" s="193"/>
      <c r="AF13" s="193"/>
      <c r="AG13" s="193"/>
      <c r="AH13" s="194"/>
      <c r="AI13" s="194" t="s">
        <v>173</v>
      </c>
      <c r="AJ13" s="194"/>
      <c r="AK13" s="194"/>
      <c r="AL13" s="194"/>
      <c r="AM13" s="194"/>
      <c r="AN13" s="194"/>
      <c r="AO13" s="193"/>
      <c r="AP13" s="193"/>
      <c r="AQ13" s="193"/>
      <c r="AR13" s="193"/>
      <c r="AS13" s="189"/>
      <c r="AT13" s="176"/>
      <c r="AU13" s="176"/>
      <c r="AV13" s="176"/>
      <c r="AW13" s="176"/>
      <c r="AX13" s="176"/>
      <c r="AY13" s="176"/>
      <c r="AZ13" s="176"/>
      <c r="BA13" s="176"/>
      <c r="BB13" s="176"/>
      <c r="BC13" s="176"/>
      <c r="BD13" s="177"/>
    </row>
    <row r="14" spans="1:56" s="1" customFormat="1" ht="14.4" customHeight="1">
      <c r="A14" s="131">
        <f>IF(B14="","",COUNTA($B$8:B14))</f>
        <v>7</v>
      </c>
      <c r="B14" s="270" t="s">
        <v>172</v>
      </c>
      <c r="C14" s="187"/>
      <c r="D14" s="187"/>
      <c r="E14" s="187"/>
      <c r="F14" s="187"/>
      <c r="G14" s="187"/>
      <c r="H14" s="188"/>
      <c r="I14" s="204" t="s">
        <v>177</v>
      </c>
      <c r="J14" s="190"/>
      <c r="K14" s="190"/>
      <c r="L14" s="190"/>
      <c r="M14" s="190"/>
      <c r="N14" s="190"/>
      <c r="O14" s="190"/>
      <c r="P14" s="190"/>
      <c r="Q14" s="191"/>
      <c r="R14" s="270" t="s">
        <v>172</v>
      </c>
      <c r="S14" s="190"/>
      <c r="T14" s="190"/>
      <c r="U14" s="190"/>
      <c r="V14" s="190"/>
      <c r="W14" s="190"/>
      <c r="X14" s="188"/>
      <c r="Y14" s="270" t="s">
        <v>155</v>
      </c>
      <c r="Z14" s="271"/>
      <c r="AA14" s="380" t="s">
        <v>156</v>
      </c>
      <c r="AB14" s="381"/>
      <c r="AC14" s="382"/>
      <c r="AD14" s="192">
        <v>5</v>
      </c>
      <c r="AE14" s="193">
        <v>1</v>
      </c>
      <c r="AF14" s="193"/>
      <c r="AG14" s="193"/>
      <c r="AH14" s="194"/>
      <c r="AI14" s="194"/>
      <c r="AJ14" s="194"/>
      <c r="AK14" s="194"/>
      <c r="AL14" s="194"/>
      <c r="AM14" s="194"/>
      <c r="AN14" s="194"/>
      <c r="AO14" s="193"/>
      <c r="AP14" s="193"/>
      <c r="AQ14" s="193"/>
      <c r="AR14" s="193"/>
      <c r="AS14" s="189"/>
      <c r="AT14" s="176"/>
      <c r="AU14" s="176"/>
      <c r="AV14" s="176"/>
      <c r="AW14" s="176"/>
      <c r="AX14" s="176"/>
      <c r="AY14" s="176"/>
      <c r="AZ14" s="176"/>
      <c r="BA14" s="176"/>
      <c r="BB14" s="176"/>
      <c r="BC14" s="176"/>
      <c r="BD14" s="177"/>
    </row>
    <row r="15" spans="1:56" s="1" customFormat="1" ht="14.4" customHeight="1">
      <c r="A15" s="131">
        <f>IF(B15="","",COUNTA($B$8:B15))</f>
        <v>8</v>
      </c>
      <c r="B15" s="270" t="s">
        <v>178</v>
      </c>
      <c r="C15" s="187"/>
      <c r="D15" s="187"/>
      <c r="E15" s="187"/>
      <c r="F15" s="187"/>
      <c r="G15" s="187"/>
      <c r="H15" s="188"/>
      <c r="I15" s="204" t="s">
        <v>179</v>
      </c>
      <c r="J15" s="190"/>
      <c r="K15" s="190"/>
      <c r="L15" s="190"/>
      <c r="M15" s="190"/>
      <c r="N15" s="190"/>
      <c r="O15" s="190"/>
      <c r="P15" s="190"/>
      <c r="Q15" s="191"/>
      <c r="R15" s="270" t="s">
        <v>178</v>
      </c>
      <c r="S15" s="190"/>
      <c r="T15" s="190"/>
      <c r="U15" s="190"/>
      <c r="V15" s="190"/>
      <c r="W15" s="190"/>
      <c r="X15" s="188"/>
      <c r="Y15" s="378" t="s">
        <v>150</v>
      </c>
      <c r="Z15" s="379"/>
      <c r="AA15" s="380" t="s">
        <v>151</v>
      </c>
      <c r="AB15" s="381"/>
      <c r="AC15" s="382"/>
      <c r="AD15" s="205">
        <v>20</v>
      </c>
      <c r="AE15" s="193"/>
      <c r="AF15" s="193"/>
      <c r="AG15" s="193"/>
      <c r="AH15" s="194"/>
      <c r="AI15" s="194"/>
      <c r="AJ15" s="194"/>
      <c r="AK15" s="194"/>
      <c r="AL15" s="194"/>
      <c r="AM15" s="194"/>
      <c r="AN15" s="194"/>
      <c r="AO15" s="193"/>
      <c r="AP15" s="193"/>
      <c r="AQ15" s="193"/>
      <c r="AR15" s="193"/>
      <c r="AS15" s="189" t="s">
        <v>180</v>
      </c>
      <c r="AT15" s="176"/>
      <c r="AU15" s="176"/>
      <c r="AV15" s="176"/>
      <c r="AW15" s="176"/>
      <c r="AX15" s="176"/>
      <c r="AY15" s="176"/>
      <c r="AZ15" s="176"/>
      <c r="BA15" s="176"/>
      <c r="BB15" s="176"/>
      <c r="BC15" s="176"/>
      <c r="BD15" s="177"/>
    </row>
    <row r="16" spans="1:56" s="1" customFormat="1" ht="14.4" customHeight="1">
      <c r="A16" s="131">
        <f>IF(B16="","",COUNTA($B$8:B16))</f>
        <v>9</v>
      </c>
      <c r="B16" s="270" t="s">
        <v>181</v>
      </c>
      <c r="C16" s="187"/>
      <c r="D16" s="187"/>
      <c r="E16" s="187"/>
      <c r="F16" s="187"/>
      <c r="G16" s="187"/>
      <c r="H16" s="188"/>
      <c r="I16" s="204" t="s">
        <v>182</v>
      </c>
      <c r="J16" s="190"/>
      <c r="K16" s="190"/>
      <c r="L16" s="190"/>
      <c r="M16" s="190"/>
      <c r="N16" s="190"/>
      <c r="O16" s="190"/>
      <c r="P16" s="190"/>
      <c r="Q16" s="191"/>
      <c r="R16" s="270" t="s">
        <v>181</v>
      </c>
      <c r="S16" s="190"/>
      <c r="T16" s="190"/>
      <c r="U16" s="190"/>
      <c r="V16" s="190"/>
      <c r="W16" s="190"/>
      <c r="X16" s="191"/>
      <c r="Y16" s="378" t="s">
        <v>150</v>
      </c>
      <c r="Z16" s="379"/>
      <c r="AA16" s="380" t="s">
        <v>151</v>
      </c>
      <c r="AB16" s="381"/>
      <c r="AC16" s="382"/>
      <c r="AD16" s="205">
        <v>30</v>
      </c>
      <c r="AE16" s="193"/>
      <c r="AF16" s="193"/>
      <c r="AG16" s="193"/>
      <c r="AH16" s="194"/>
      <c r="AI16" s="194"/>
      <c r="AJ16" s="194"/>
      <c r="AK16" s="194"/>
      <c r="AL16" s="194"/>
      <c r="AM16" s="194"/>
      <c r="AN16" s="194"/>
      <c r="AO16" s="193"/>
      <c r="AP16" s="193"/>
      <c r="AQ16" s="193"/>
      <c r="AR16" s="193"/>
      <c r="AS16" s="189" t="s">
        <v>1413</v>
      </c>
      <c r="AT16" s="176"/>
      <c r="AU16" s="176"/>
      <c r="AV16" s="176"/>
      <c r="AW16" s="176"/>
      <c r="AX16" s="176"/>
      <c r="AY16" s="176"/>
      <c r="AZ16" s="176"/>
      <c r="BA16" s="176"/>
      <c r="BB16" s="176"/>
      <c r="BC16" s="176"/>
      <c r="BD16" s="177"/>
    </row>
    <row r="17" spans="1:57" s="1" customFormat="1" ht="14.4" customHeight="1">
      <c r="A17" s="131">
        <f>IF(B17="","",COUNTA($B$8:B17))</f>
        <v>10</v>
      </c>
      <c r="B17" s="270" t="s">
        <v>183</v>
      </c>
      <c r="C17" s="187"/>
      <c r="D17" s="187"/>
      <c r="E17" s="187"/>
      <c r="F17" s="187"/>
      <c r="G17" s="187"/>
      <c r="H17" s="188"/>
      <c r="I17" s="204" t="s">
        <v>184</v>
      </c>
      <c r="J17" s="190"/>
      <c r="K17" s="190"/>
      <c r="L17" s="190"/>
      <c r="M17" s="190"/>
      <c r="N17" s="190"/>
      <c r="O17" s="190"/>
      <c r="P17" s="190"/>
      <c r="Q17" s="191"/>
      <c r="R17" s="270" t="s">
        <v>183</v>
      </c>
      <c r="S17" s="190"/>
      <c r="T17" s="190"/>
      <c r="U17" s="190"/>
      <c r="V17" s="190"/>
      <c r="W17" s="190"/>
      <c r="X17" s="188"/>
      <c r="Y17" s="378" t="s">
        <v>150</v>
      </c>
      <c r="Z17" s="379"/>
      <c r="AA17" s="380" t="s">
        <v>151</v>
      </c>
      <c r="AB17" s="381"/>
      <c r="AC17" s="382"/>
      <c r="AD17" s="205">
        <v>1000</v>
      </c>
      <c r="AE17" s="193"/>
      <c r="AF17" s="193"/>
      <c r="AG17" s="193"/>
      <c r="AH17" s="194"/>
      <c r="AI17" s="194"/>
      <c r="AJ17" s="194"/>
      <c r="AK17" s="194"/>
      <c r="AL17" s="194"/>
      <c r="AM17" s="194"/>
      <c r="AN17" s="194"/>
      <c r="AO17" s="193"/>
      <c r="AP17" s="193"/>
      <c r="AQ17" s="193"/>
      <c r="AR17" s="193"/>
      <c r="AS17" s="189"/>
      <c r="AT17" s="176"/>
      <c r="AU17" s="176"/>
      <c r="AV17" s="176"/>
      <c r="AW17" s="176"/>
      <c r="AX17" s="176"/>
      <c r="AY17" s="176"/>
      <c r="AZ17" s="176"/>
      <c r="BA17" s="176"/>
      <c r="BB17" s="176"/>
      <c r="BC17" s="176"/>
      <c r="BD17" s="177"/>
    </row>
    <row r="18" spans="1:57" ht="14.4" customHeight="1">
      <c r="A18" s="131">
        <f>IF(B18="","",COUNTA($B$8:B18))</f>
        <v>11</v>
      </c>
      <c r="B18" s="274" t="s">
        <v>185</v>
      </c>
      <c r="C18" s="179"/>
      <c r="D18" s="179"/>
      <c r="E18" s="179"/>
      <c r="F18" s="179"/>
      <c r="G18" s="179"/>
      <c r="H18" s="180"/>
      <c r="I18" s="316" t="s">
        <v>186</v>
      </c>
      <c r="J18" s="182"/>
      <c r="K18" s="182"/>
      <c r="L18" s="182"/>
      <c r="M18" s="182"/>
      <c r="N18" s="182"/>
      <c r="O18" s="182"/>
      <c r="P18" s="182"/>
      <c r="Q18" s="183"/>
      <c r="R18" s="274" t="s">
        <v>185</v>
      </c>
      <c r="S18" s="182"/>
      <c r="T18" s="182"/>
      <c r="U18" s="182"/>
      <c r="V18" s="182"/>
      <c r="W18" s="182"/>
      <c r="X18" s="180"/>
      <c r="Y18" s="445" t="s">
        <v>150</v>
      </c>
      <c r="Z18" s="446"/>
      <c r="AA18" s="380" t="s">
        <v>151</v>
      </c>
      <c r="AB18" s="381"/>
      <c r="AC18" s="382"/>
      <c r="AD18" s="205">
        <v>75</v>
      </c>
      <c r="AE18" s="193"/>
      <c r="AF18" s="193"/>
      <c r="AG18" s="193"/>
      <c r="AH18" s="194"/>
      <c r="AI18" s="194"/>
      <c r="AJ18" s="194" t="s">
        <v>161</v>
      </c>
      <c r="AK18" s="194"/>
      <c r="AL18" s="194"/>
      <c r="AM18" s="194"/>
      <c r="AN18" s="194"/>
      <c r="AO18" s="193"/>
      <c r="AP18" s="193"/>
      <c r="AQ18" s="193"/>
      <c r="AR18" s="193"/>
      <c r="AS18" s="189" t="s">
        <v>1407</v>
      </c>
      <c r="AT18" s="176"/>
      <c r="AU18" s="176"/>
      <c r="AV18" s="176"/>
      <c r="AW18" s="176"/>
      <c r="AX18" s="219"/>
      <c r="AY18" s="219"/>
      <c r="AZ18" s="219"/>
      <c r="BA18" s="219"/>
      <c r="BB18" s="219"/>
      <c r="BC18" s="219"/>
      <c r="BD18" s="231"/>
      <c r="BE18" s="18" t="s">
        <v>1414</v>
      </c>
    </row>
    <row r="19" spans="1:57" ht="14.4" customHeight="1">
      <c r="A19" s="131">
        <f>IF(B19="","",COUNTA($B$8:B19))</f>
        <v>12</v>
      </c>
      <c r="B19" s="275" t="s">
        <v>193</v>
      </c>
      <c r="C19" s="276"/>
      <c r="D19" s="276"/>
      <c r="E19" s="276"/>
      <c r="F19" s="276"/>
      <c r="G19" s="276"/>
      <c r="H19" s="277"/>
      <c r="I19" s="316" t="s">
        <v>194</v>
      </c>
      <c r="J19" s="182"/>
      <c r="K19" s="182"/>
      <c r="L19" s="182"/>
      <c r="M19" s="182"/>
      <c r="N19" s="182"/>
      <c r="O19" s="182"/>
      <c r="P19" s="182"/>
      <c r="Q19" s="183"/>
      <c r="R19" s="275" t="s">
        <v>193</v>
      </c>
      <c r="S19" s="182"/>
      <c r="T19" s="182"/>
      <c r="U19" s="182"/>
      <c r="V19" s="182"/>
      <c r="W19" s="182"/>
      <c r="X19" s="180"/>
      <c r="Y19" s="445" t="s">
        <v>150</v>
      </c>
      <c r="Z19" s="446"/>
      <c r="AA19" s="380" t="s">
        <v>151</v>
      </c>
      <c r="AB19" s="381"/>
      <c r="AC19" s="382"/>
      <c r="AD19" s="205">
        <v>25</v>
      </c>
      <c r="AE19" s="193"/>
      <c r="AF19" s="193"/>
      <c r="AG19" s="193"/>
      <c r="AH19" s="194"/>
      <c r="AI19" s="194"/>
      <c r="AJ19" s="194"/>
      <c r="AK19" s="194"/>
      <c r="AL19" s="194"/>
      <c r="AM19" s="194"/>
      <c r="AN19" s="194"/>
      <c r="AO19" s="193"/>
      <c r="AP19" s="193"/>
      <c r="AQ19" s="193"/>
      <c r="AR19" s="193"/>
      <c r="AS19" s="189" t="s">
        <v>1408</v>
      </c>
      <c r="AT19" s="216"/>
      <c r="AU19" s="216"/>
      <c r="AV19" s="216"/>
      <c r="AW19" s="216"/>
      <c r="AX19" s="220"/>
      <c r="AY19" s="220"/>
      <c r="AZ19" s="220"/>
      <c r="BA19" s="220"/>
      <c r="BB19" s="220"/>
      <c r="BC19" s="220"/>
      <c r="BD19" s="317"/>
      <c r="BE19" s="18" t="s">
        <v>1414</v>
      </c>
    </row>
    <row r="20" spans="1:57" s="1" customFormat="1" ht="14.4" customHeight="1">
      <c r="A20" s="131">
        <f>IF(B20="","",COUNTA($B$8:B20))</f>
        <v>13</v>
      </c>
      <c r="B20" s="270" t="s">
        <v>195</v>
      </c>
      <c r="C20" s="187"/>
      <c r="D20" s="187"/>
      <c r="E20" s="187"/>
      <c r="F20" s="187"/>
      <c r="G20" s="187"/>
      <c r="H20" s="188"/>
      <c r="I20" s="204" t="s">
        <v>196</v>
      </c>
      <c r="J20" s="190"/>
      <c r="K20" s="190"/>
      <c r="L20" s="190"/>
      <c r="M20" s="190"/>
      <c r="N20" s="190"/>
      <c r="O20" s="190"/>
      <c r="P20" s="190"/>
      <c r="Q20" s="191"/>
      <c r="R20" s="270" t="s">
        <v>195</v>
      </c>
      <c r="S20" s="190"/>
      <c r="T20" s="190"/>
      <c r="U20" s="190"/>
      <c r="V20" s="190"/>
      <c r="W20" s="190"/>
      <c r="X20" s="188"/>
      <c r="Y20" s="378" t="s">
        <v>150</v>
      </c>
      <c r="Z20" s="379"/>
      <c r="AA20" s="380" t="s">
        <v>151</v>
      </c>
      <c r="AB20" s="381"/>
      <c r="AC20" s="382"/>
      <c r="AD20" s="264">
        <v>400</v>
      </c>
      <c r="AE20" s="193"/>
      <c r="AF20" s="193"/>
      <c r="AG20" s="194"/>
      <c r="AH20" s="194"/>
      <c r="AI20" s="194"/>
      <c r="AJ20" s="194"/>
      <c r="AK20" s="194"/>
      <c r="AL20" s="194"/>
      <c r="AM20" s="194"/>
      <c r="AN20" s="194"/>
      <c r="AO20" s="193"/>
      <c r="AP20" s="193"/>
      <c r="AQ20" s="193"/>
      <c r="AR20" s="193"/>
      <c r="AS20" s="189" t="s">
        <v>1512</v>
      </c>
      <c r="AT20" s="124"/>
      <c r="AU20" s="124"/>
      <c r="AV20" s="124"/>
      <c r="AW20" s="124"/>
      <c r="AX20" s="124"/>
      <c r="AY20" s="124"/>
      <c r="AZ20" s="124"/>
      <c r="BA20" s="124"/>
      <c r="BB20" s="124"/>
      <c r="BC20" s="124"/>
      <c r="BD20" s="125"/>
      <c r="BE20" s="1" t="s">
        <v>1511</v>
      </c>
    </row>
    <row r="21" spans="1:57" s="1" customFormat="1" ht="14.4" customHeight="1">
      <c r="A21" s="131">
        <f>IF(B21="","",COUNTA($B$8:B21))</f>
        <v>14</v>
      </c>
      <c r="B21" s="270" t="s">
        <v>197</v>
      </c>
      <c r="C21" s="187"/>
      <c r="D21" s="187"/>
      <c r="E21" s="187"/>
      <c r="F21" s="187"/>
      <c r="G21" s="187"/>
      <c r="H21" s="188"/>
      <c r="I21" s="204" t="s">
        <v>198</v>
      </c>
      <c r="J21" s="190"/>
      <c r="K21" s="190"/>
      <c r="L21" s="190"/>
      <c r="M21" s="190"/>
      <c r="N21" s="190"/>
      <c r="O21" s="190"/>
      <c r="P21" s="190"/>
      <c r="Q21" s="191"/>
      <c r="R21" s="270" t="s">
        <v>197</v>
      </c>
      <c r="S21" s="190"/>
      <c r="T21" s="190"/>
      <c r="U21" s="190"/>
      <c r="V21" s="190"/>
      <c r="W21" s="190"/>
      <c r="X21" s="188"/>
      <c r="Y21" s="378" t="s">
        <v>150</v>
      </c>
      <c r="Z21" s="379"/>
      <c r="AA21" s="380" t="s">
        <v>151</v>
      </c>
      <c r="AB21" s="381"/>
      <c r="AC21" s="382"/>
      <c r="AD21" s="205">
        <v>5</v>
      </c>
      <c r="AE21" s="193"/>
      <c r="AF21" s="193"/>
      <c r="AG21" s="193"/>
      <c r="AH21" s="194"/>
      <c r="AI21" s="194"/>
      <c r="AJ21" s="194"/>
      <c r="AK21" s="194"/>
      <c r="AL21" s="194"/>
      <c r="AM21" s="194"/>
      <c r="AN21" s="194"/>
      <c r="AO21" s="193"/>
      <c r="AP21" s="193"/>
      <c r="AQ21" s="193"/>
      <c r="AR21" s="193"/>
      <c r="AS21" s="189"/>
      <c r="AT21" s="176"/>
      <c r="AU21" s="176"/>
      <c r="AV21" s="176"/>
      <c r="AW21" s="176"/>
      <c r="AX21" s="176"/>
      <c r="AY21" s="176"/>
      <c r="AZ21" s="176"/>
      <c r="BA21" s="176"/>
      <c r="BB21" s="176"/>
      <c r="BC21" s="176"/>
      <c r="BD21" s="177"/>
    </row>
    <row r="22" spans="1:57" s="1" customFormat="1" ht="14.4" customHeight="1">
      <c r="A22" s="131">
        <f>IF(B22="","",COUNTA($B$8:B22))</f>
        <v>15</v>
      </c>
      <c r="B22" s="270" t="s">
        <v>199</v>
      </c>
      <c r="C22" s="187"/>
      <c r="D22" s="187"/>
      <c r="E22" s="187"/>
      <c r="F22" s="187"/>
      <c r="G22" s="187"/>
      <c r="H22" s="188"/>
      <c r="I22" s="204" t="s">
        <v>200</v>
      </c>
      <c r="J22" s="190"/>
      <c r="K22" s="190"/>
      <c r="L22" s="190"/>
      <c r="M22" s="190"/>
      <c r="N22" s="190"/>
      <c r="O22" s="190"/>
      <c r="P22" s="190"/>
      <c r="Q22" s="191"/>
      <c r="R22" s="270" t="s">
        <v>199</v>
      </c>
      <c r="S22" s="190"/>
      <c r="T22" s="190"/>
      <c r="U22" s="190"/>
      <c r="V22" s="190"/>
      <c r="W22" s="190"/>
      <c r="X22" s="188"/>
      <c r="Y22" s="378" t="s">
        <v>150</v>
      </c>
      <c r="Z22" s="379"/>
      <c r="AA22" s="380" t="s">
        <v>151</v>
      </c>
      <c r="AB22" s="381"/>
      <c r="AC22" s="382"/>
      <c r="AD22" s="205">
        <v>20</v>
      </c>
      <c r="AE22" s="193"/>
      <c r="AF22" s="193"/>
      <c r="AG22" s="193"/>
      <c r="AH22" s="194"/>
      <c r="AI22" s="194"/>
      <c r="AJ22" s="194"/>
      <c r="AK22" s="194"/>
      <c r="AL22" s="194"/>
      <c r="AM22" s="194"/>
      <c r="AN22" s="194"/>
      <c r="AO22" s="193"/>
      <c r="AP22" s="193"/>
      <c r="AQ22" s="193"/>
      <c r="AR22" s="193"/>
      <c r="AS22" s="189"/>
      <c r="AT22" s="176"/>
      <c r="AU22" s="176"/>
      <c r="AV22" s="176"/>
      <c r="AW22" s="176"/>
      <c r="AX22" s="176"/>
      <c r="AY22" s="176"/>
      <c r="AZ22" s="176"/>
      <c r="BA22" s="176"/>
      <c r="BB22" s="176"/>
      <c r="BC22" s="176"/>
      <c r="BD22" s="177"/>
    </row>
    <row r="23" spans="1:57" s="1" customFormat="1" ht="14.4" customHeight="1">
      <c r="A23" s="131">
        <f>IF(B23="","",COUNTA($B$8:B23))</f>
        <v>16</v>
      </c>
      <c r="B23" s="270" t="s">
        <v>201</v>
      </c>
      <c r="C23" s="187"/>
      <c r="D23" s="187"/>
      <c r="E23" s="187"/>
      <c r="F23" s="187"/>
      <c r="G23" s="187"/>
      <c r="H23" s="188"/>
      <c r="I23" s="204" t="s">
        <v>202</v>
      </c>
      <c r="J23" s="190"/>
      <c r="K23" s="190"/>
      <c r="L23" s="190"/>
      <c r="M23" s="190"/>
      <c r="N23" s="190"/>
      <c r="O23" s="190"/>
      <c r="P23" s="190"/>
      <c r="Q23" s="191"/>
      <c r="R23" s="270" t="s">
        <v>201</v>
      </c>
      <c r="S23" s="190"/>
      <c r="T23" s="190"/>
      <c r="U23" s="190"/>
      <c r="V23" s="190"/>
      <c r="W23" s="190"/>
      <c r="X23" s="188"/>
      <c r="Y23" s="378" t="s">
        <v>150</v>
      </c>
      <c r="Z23" s="379"/>
      <c r="AA23" s="380" t="s">
        <v>151</v>
      </c>
      <c r="AB23" s="381"/>
      <c r="AC23" s="382"/>
      <c r="AD23" s="205">
        <v>30</v>
      </c>
      <c r="AE23" s="193"/>
      <c r="AF23" s="193"/>
      <c r="AG23" s="193"/>
      <c r="AH23" s="194"/>
      <c r="AI23" s="194"/>
      <c r="AJ23" s="194"/>
      <c r="AK23" s="194"/>
      <c r="AL23" s="194"/>
      <c r="AM23" s="194"/>
      <c r="AN23" s="194"/>
      <c r="AO23" s="193"/>
      <c r="AP23" s="193"/>
      <c r="AQ23" s="193"/>
      <c r="AR23" s="193"/>
      <c r="AS23" s="189"/>
      <c r="AT23" s="176"/>
      <c r="AU23" s="176"/>
      <c r="AV23" s="176"/>
      <c r="AW23" s="176"/>
      <c r="AX23" s="176"/>
      <c r="AY23" s="176"/>
      <c r="AZ23" s="176"/>
      <c r="BA23" s="176"/>
      <c r="BB23" s="176"/>
      <c r="BC23" s="176"/>
      <c r="BD23" s="177"/>
    </row>
    <row r="24" spans="1:57" s="1" customFormat="1" ht="14.4" customHeight="1">
      <c r="A24" s="131">
        <f>IF(B24="","",COUNTA($B$8:B24))</f>
        <v>17</v>
      </c>
      <c r="B24" s="270" t="s">
        <v>621</v>
      </c>
      <c r="C24" s="187"/>
      <c r="D24" s="187"/>
      <c r="E24" s="187"/>
      <c r="F24" s="187"/>
      <c r="G24" s="187"/>
      <c r="H24" s="188"/>
      <c r="I24" s="204" t="s">
        <v>1399</v>
      </c>
      <c r="J24" s="190"/>
      <c r="K24" s="190"/>
      <c r="L24" s="190"/>
      <c r="M24" s="190"/>
      <c r="N24" s="190"/>
      <c r="O24" s="190"/>
      <c r="P24" s="190"/>
      <c r="Q24" s="191"/>
      <c r="R24" s="270" t="s">
        <v>621</v>
      </c>
      <c r="S24" s="190"/>
      <c r="T24" s="190"/>
      <c r="U24" s="190"/>
      <c r="V24" s="190"/>
      <c r="W24" s="190"/>
      <c r="X24" s="191"/>
      <c r="Y24" s="378" t="s">
        <v>150</v>
      </c>
      <c r="Z24" s="379"/>
      <c r="AA24" s="380" t="s">
        <v>151</v>
      </c>
      <c r="AB24" s="381"/>
      <c r="AC24" s="382"/>
      <c r="AD24" s="205">
        <v>30</v>
      </c>
      <c r="AE24" s="193"/>
      <c r="AF24" s="193"/>
      <c r="AG24" s="193"/>
      <c r="AH24" s="194"/>
      <c r="AI24" s="194"/>
      <c r="AJ24" s="194"/>
      <c r="AK24" s="194"/>
      <c r="AL24" s="194"/>
      <c r="AM24" s="194"/>
      <c r="AN24" s="194"/>
      <c r="AO24" s="193"/>
      <c r="AP24" s="193"/>
      <c r="AQ24" s="193"/>
      <c r="AR24" s="193"/>
      <c r="AS24" s="189" t="s">
        <v>1458</v>
      </c>
      <c r="AT24" s="176"/>
      <c r="AU24" s="176"/>
      <c r="AV24" s="176"/>
      <c r="AW24" s="176"/>
      <c r="AX24" s="176"/>
      <c r="AY24" s="176"/>
      <c r="AZ24" s="176"/>
      <c r="BA24" s="176"/>
      <c r="BB24" s="176"/>
      <c r="BC24" s="176"/>
      <c r="BD24" s="177"/>
      <c r="BE24" s="1" t="s">
        <v>1459</v>
      </c>
    </row>
    <row r="25" spans="1:57" s="1" customFormat="1" ht="14.4" customHeight="1">
      <c r="A25" s="131">
        <f>IF(B25="","",COUNTA($B$8:B25))</f>
        <v>18</v>
      </c>
      <c r="B25" s="195" t="s">
        <v>287</v>
      </c>
      <c r="C25" s="187"/>
      <c r="D25" s="187"/>
      <c r="E25" s="187"/>
      <c r="F25" s="187"/>
      <c r="G25" s="187"/>
      <c r="H25" s="188"/>
      <c r="I25" s="204" t="s">
        <v>288</v>
      </c>
      <c r="J25" s="190"/>
      <c r="K25" s="190"/>
      <c r="L25" s="190"/>
      <c r="M25" s="190"/>
      <c r="N25" s="190"/>
      <c r="O25" s="190"/>
      <c r="P25" s="190"/>
      <c r="Q25" s="191"/>
      <c r="R25" s="195" t="s">
        <v>287</v>
      </c>
      <c r="S25" s="187"/>
      <c r="T25" s="187"/>
      <c r="U25" s="187"/>
      <c r="V25" s="187"/>
      <c r="W25" s="187"/>
      <c r="X25" s="188"/>
      <c r="Y25" s="378" t="s">
        <v>155</v>
      </c>
      <c r="Z25" s="379"/>
      <c r="AA25" s="380" t="s">
        <v>156</v>
      </c>
      <c r="AB25" s="381"/>
      <c r="AC25" s="382"/>
      <c r="AD25" s="205">
        <v>5</v>
      </c>
      <c r="AE25" s="193"/>
      <c r="AF25" s="193"/>
      <c r="AG25" s="193"/>
      <c r="AH25" s="194"/>
      <c r="AI25" s="194"/>
      <c r="AJ25" s="194"/>
      <c r="AK25" s="194"/>
      <c r="AL25" s="194"/>
      <c r="AM25" s="194"/>
      <c r="AN25" s="194"/>
      <c r="AO25" s="193"/>
      <c r="AP25" s="193"/>
      <c r="AQ25" s="193"/>
      <c r="AR25" s="193"/>
      <c r="AS25" s="189" t="s">
        <v>289</v>
      </c>
      <c r="AT25" s="176"/>
      <c r="AU25" s="176"/>
      <c r="AV25" s="176"/>
      <c r="AW25" s="176"/>
      <c r="AX25" s="176"/>
      <c r="AY25" s="176"/>
      <c r="AZ25" s="176"/>
      <c r="BA25" s="176"/>
      <c r="BB25" s="176"/>
      <c r="BC25" s="176"/>
      <c r="BD25" s="177"/>
    </row>
    <row r="26" spans="1:57" s="1" customFormat="1" ht="14.4" customHeight="1">
      <c r="A26" s="131">
        <f>IF(B26="","",COUNTA($B$8:B26))</f>
        <v>19</v>
      </c>
      <c r="B26" s="195" t="s">
        <v>290</v>
      </c>
      <c r="C26" s="187"/>
      <c r="D26" s="187"/>
      <c r="E26" s="187"/>
      <c r="F26" s="187"/>
      <c r="G26" s="187"/>
      <c r="H26" s="188"/>
      <c r="I26" s="204" t="s">
        <v>291</v>
      </c>
      <c r="J26" s="190"/>
      <c r="K26" s="190"/>
      <c r="L26" s="190"/>
      <c r="M26" s="190"/>
      <c r="N26" s="190"/>
      <c r="O26" s="190"/>
      <c r="P26" s="190"/>
      <c r="Q26" s="191"/>
      <c r="R26" s="195" t="s">
        <v>290</v>
      </c>
      <c r="S26" s="187"/>
      <c r="T26" s="187"/>
      <c r="U26" s="187"/>
      <c r="V26" s="187"/>
      <c r="W26" s="187"/>
      <c r="X26" s="188"/>
      <c r="Y26" s="378" t="s">
        <v>155</v>
      </c>
      <c r="Z26" s="379"/>
      <c r="AA26" s="380" t="s">
        <v>156</v>
      </c>
      <c r="AB26" s="381"/>
      <c r="AC26" s="382"/>
      <c r="AD26" s="205">
        <v>5</v>
      </c>
      <c r="AE26" s="193"/>
      <c r="AF26" s="193"/>
      <c r="AG26" s="193"/>
      <c r="AH26" s="194"/>
      <c r="AI26" s="194"/>
      <c r="AJ26" s="194"/>
      <c r="AK26" s="194"/>
      <c r="AL26" s="194"/>
      <c r="AM26" s="194"/>
      <c r="AN26" s="194"/>
      <c r="AO26" s="193"/>
      <c r="AP26" s="193"/>
      <c r="AQ26" s="193"/>
      <c r="AR26" s="193"/>
      <c r="AS26" s="189" t="s">
        <v>289</v>
      </c>
      <c r="AT26" s="176"/>
      <c r="AU26" s="176"/>
      <c r="AV26" s="176"/>
      <c r="AW26" s="176"/>
      <c r="AX26" s="176"/>
      <c r="AY26" s="176"/>
      <c r="AZ26" s="176"/>
      <c r="BA26" s="176"/>
      <c r="BB26" s="176"/>
      <c r="BC26" s="176"/>
      <c r="BD26" s="177"/>
    </row>
    <row r="27" spans="1:57" s="1" customFormat="1" ht="14.4" customHeight="1">
      <c r="A27" s="131">
        <f>IF(B27="","",COUNTA($B$8:B27))</f>
        <v>20</v>
      </c>
      <c r="B27" s="195" t="s">
        <v>292</v>
      </c>
      <c r="C27" s="187"/>
      <c r="D27" s="187"/>
      <c r="E27" s="187"/>
      <c r="F27" s="187"/>
      <c r="G27" s="187"/>
      <c r="H27" s="188"/>
      <c r="I27" s="204" t="s">
        <v>293</v>
      </c>
      <c r="J27" s="190"/>
      <c r="K27" s="190"/>
      <c r="L27" s="190"/>
      <c r="M27" s="190"/>
      <c r="N27" s="190"/>
      <c r="O27" s="190"/>
      <c r="P27" s="190"/>
      <c r="Q27" s="191"/>
      <c r="R27" s="195" t="s">
        <v>292</v>
      </c>
      <c r="S27" s="190"/>
      <c r="T27" s="190"/>
      <c r="U27" s="190"/>
      <c r="V27" s="190"/>
      <c r="W27" s="190"/>
      <c r="X27" s="188"/>
      <c r="Y27" s="378" t="s">
        <v>155</v>
      </c>
      <c r="Z27" s="379"/>
      <c r="AA27" s="380" t="s">
        <v>156</v>
      </c>
      <c r="AB27" s="381"/>
      <c r="AC27" s="382"/>
      <c r="AD27" s="205">
        <v>5</v>
      </c>
      <c r="AE27" s="193"/>
      <c r="AF27" s="193"/>
      <c r="AG27" s="193"/>
      <c r="AH27" s="194"/>
      <c r="AI27" s="194"/>
      <c r="AJ27" s="194"/>
      <c r="AK27" s="194"/>
      <c r="AL27" s="194"/>
      <c r="AM27" s="194"/>
      <c r="AN27" s="194"/>
      <c r="AO27" s="193"/>
      <c r="AP27" s="193"/>
      <c r="AQ27" s="193"/>
      <c r="AR27" s="193"/>
      <c r="AS27" s="189" t="s">
        <v>289</v>
      </c>
      <c r="AT27" s="176"/>
      <c r="AU27" s="176"/>
      <c r="AV27" s="176"/>
      <c r="AW27" s="176"/>
      <c r="AX27" s="176"/>
      <c r="AY27" s="176"/>
      <c r="AZ27" s="176"/>
      <c r="BA27" s="176"/>
      <c r="BB27" s="176"/>
      <c r="BC27" s="176"/>
      <c r="BD27" s="177"/>
    </row>
    <row r="28" spans="1:57" s="1" customFormat="1" ht="14.4" customHeight="1">
      <c r="A28" s="131">
        <f>IF(B28="","",COUNTA($B$8:B28))</f>
        <v>21</v>
      </c>
      <c r="B28" s="195" t="s">
        <v>294</v>
      </c>
      <c r="C28" s="187"/>
      <c r="D28" s="187"/>
      <c r="E28" s="187"/>
      <c r="F28" s="187"/>
      <c r="G28" s="187"/>
      <c r="H28" s="188"/>
      <c r="I28" s="204" t="s">
        <v>295</v>
      </c>
      <c r="J28" s="190"/>
      <c r="K28" s="190"/>
      <c r="L28" s="190"/>
      <c r="M28" s="190"/>
      <c r="N28" s="190"/>
      <c r="O28" s="190"/>
      <c r="P28" s="190"/>
      <c r="Q28" s="191"/>
      <c r="R28" s="195" t="s">
        <v>294</v>
      </c>
      <c r="S28" s="190"/>
      <c r="T28" s="190"/>
      <c r="U28" s="190"/>
      <c r="V28" s="190"/>
      <c r="W28" s="190"/>
      <c r="X28" s="188"/>
      <c r="Y28" s="378" t="s">
        <v>155</v>
      </c>
      <c r="Z28" s="379"/>
      <c r="AA28" s="380" t="s">
        <v>156</v>
      </c>
      <c r="AB28" s="381"/>
      <c r="AC28" s="382"/>
      <c r="AD28" s="205">
        <v>5</v>
      </c>
      <c r="AE28" s="193"/>
      <c r="AF28" s="193"/>
      <c r="AG28" s="193"/>
      <c r="AH28" s="194"/>
      <c r="AI28" s="194"/>
      <c r="AJ28" s="194"/>
      <c r="AK28" s="194"/>
      <c r="AL28" s="194"/>
      <c r="AM28" s="194"/>
      <c r="AN28" s="194"/>
      <c r="AO28" s="193"/>
      <c r="AP28" s="193"/>
      <c r="AQ28" s="193"/>
      <c r="AR28" s="193"/>
      <c r="AS28" s="189" t="s">
        <v>289</v>
      </c>
      <c r="AT28" s="176"/>
      <c r="AU28" s="176"/>
      <c r="AV28" s="176"/>
      <c r="AW28" s="176"/>
      <c r="AX28" s="176"/>
      <c r="AY28" s="176"/>
      <c r="AZ28" s="176"/>
      <c r="BA28" s="176"/>
      <c r="BB28" s="176"/>
      <c r="BC28" s="176"/>
      <c r="BD28" s="177"/>
    </row>
    <row r="29" spans="1:57" s="1" customFormat="1" ht="14.4" customHeight="1">
      <c r="A29" s="131">
        <f>IF(B29="","",COUNTA($B$8:B29))</f>
        <v>22</v>
      </c>
      <c r="B29" s="195" t="s">
        <v>296</v>
      </c>
      <c r="C29" s="187"/>
      <c r="D29" s="187"/>
      <c r="E29" s="187"/>
      <c r="F29" s="187"/>
      <c r="G29" s="187"/>
      <c r="H29" s="188"/>
      <c r="I29" s="204" t="s">
        <v>297</v>
      </c>
      <c r="J29" s="190"/>
      <c r="K29" s="190"/>
      <c r="L29" s="190"/>
      <c r="M29" s="190"/>
      <c r="N29" s="190"/>
      <c r="O29" s="190"/>
      <c r="P29" s="190"/>
      <c r="Q29" s="191"/>
      <c r="R29" s="195" t="s">
        <v>296</v>
      </c>
      <c r="S29" s="190"/>
      <c r="T29" s="190"/>
      <c r="U29" s="190"/>
      <c r="V29" s="190"/>
      <c r="W29" s="190"/>
      <c r="X29" s="188"/>
      <c r="Y29" s="378" t="s">
        <v>155</v>
      </c>
      <c r="Z29" s="379"/>
      <c r="AA29" s="380" t="s">
        <v>156</v>
      </c>
      <c r="AB29" s="381"/>
      <c r="AC29" s="382"/>
      <c r="AD29" s="205">
        <v>5</v>
      </c>
      <c r="AE29" s="193"/>
      <c r="AF29" s="193"/>
      <c r="AG29" s="193"/>
      <c r="AH29" s="194"/>
      <c r="AI29" s="194"/>
      <c r="AJ29" s="194"/>
      <c r="AK29" s="194"/>
      <c r="AL29" s="194"/>
      <c r="AM29" s="194"/>
      <c r="AN29" s="194"/>
      <c r="AO29" s="193"/>
      <c r="AP29" s="193"/>
      <c r="AQ29" s="193"/>
      <c r="AR29" s="193"/>
      <c r="AS29" s="189"/>
      <c r="AT29" s="176"/>
      <c r="AU29" s="176"/>
      <c r="AV29" s="176"/>
      <c r="AW29" s="176"/>
      <c r="AX29" s="176"/>
      <c r="AY29" s="176"/>
      <c r="AZ29" s="176"/>
      <c r="BA29" s="176"/>
      <c r="BB29" s="176"/>
      <c r="BC29" s="176"/>
      <c r="BD29" s="177"/>
    </row>
    <row r="30" spans="1:57" s="1" customFormat="1" ht="14.4" customHeight="1">
      <c r="A30" s="131">
        <f>IF(B30="","",COUNTA($B$8:B30))</f>
        <v>23</v>
      </c>
      <c r="B30" s="195" t="s">
        <v>298</v>
      </c>
      <c r="C30" s="187"/>
      <c r="D30" s="187"/>
      <c r="E30" s="187"/>
      <c r="F30" s="187"/>
      <c r="G30" s="187"/>
      <c r="H30" s="188"/>
      <c r="I30" s="204" t="s">
        <v>299</v>
      </c>
      <c r="J30" s="190"/>
      <c r="K30" s="190"/>
      <c r="L30" s="190"/>
      <c r="M30" s="190"/>
      <c r="N30" s="190"/>
      <c r="O30" s="190"/>
      <c r="P30" s="190"/>
      <c r="Q30" s="191"/>
      <c r="R30" s="195" t="s">
        <v>298</v>
      </c>
      <c r="S30" s="190"/>
      <c r="T30" s="190"/>
      <c r="U30" s="190"/>
      <c r="V30" s="190"/>
      <c r="W30" s="190"/>
      <c r="X30" s="188"/>
      <c r="Y30" s="378" t="s">
        <v>155</v>
      </c>
      <c r="Z30" s="379"/>
      <c r="AA30" s="380" t="s">
        <v>156</v>
      </c>
      <c r="AB30" s="381"/>
      <c r="AC30" s="382"/>
      <c r="AD30" s="211">
        <v>5</v>
      </c>
      <c r="AE30" s="193"/>
      <c r="AF30" s="193"/>
      <c r="AG30" s="193"/>
      <c r="AH30" s="194"/>
      <c r="AI30" s="194"/>
      <c r="AJ30" s="194"/>
      <c r="AK30" s="194"/>
      <c r="AL30" s="194"/>
      <c r="AM30" s="194"/>
      <c r="AN30" s="194"/>
      <c r="AO30" s="193"/>
      <c r="AP30" s="193"/>
      <c r="AQ30" s="193"/>
      <c r="AR30" s="193"/>
      <c r="AS30" s="189"/>
      <c r="AT30" s="176"/>
      <c r="AU30" s="176"/>
      <c r="AV30" s="176"/>
      <c r="AW30" s="176"/>
      <c r="AX30" s="176"/>
      <c r="AY30" s="176"/>
      <c r="AZ30" s="176"/>
      <c r="BA30" s="176"/>
      <c r="BB30" s="176"/>
      <c r="BC30" s="176"/>
      <c r="BD30" s="177"/>
    </row>
    <row r="31" spans="1:57" s="1" customFormat="1" ht="14.4" customHeight="1">
      <c r="A31" s="131">
        <f>IF(B31="","",COUNTA($B$8:B31))</f>
        <v>24</v>
      </c>
      <c r="B31" s="270" t="s">
        <v>226</v>
      </c>
      <c r="C31" s="187"/>
      <c r="D31" s="187"/>
      <c r="E31" s="187"/>
      <c r="F31" s="187"/>
      <c r="G31" s="187"/>
      <c r="H31" s="188"/>
      <c r="I31" s="204" t="s">
        <v>227</v>
      </c>
      <c r="J31" s="190"/>
      <c r="K31" s="190"/>
      <c r="L31" s="190"/>
      <c r="M31" s="190"/>
      <c r="N31" s="190"/>
      <c r="O31" s="190"/>
      <c r="P31" s="190"/>
      <c r="Q31" s="191"/>
      <c r="R31" s="270" t="s">
        <v>226</v>
      </c>
      <c r="S31" s="190"/>
      <c r="T31" s="190"/>
      <c r="U31" s="190"/>
      <c r="V31" s="190"/>
      <c r="W31" s="190"/>
      <c r="X31" s="188"/>
      <c r="Y31" s="378" t="s">
        <v>150</v>
      </c>
      <c r="Z31" s="379"/>
      <c r="AA31" s="380" t="s">
        <v>151</v>
      </c>
      <c r="AB31" s="381"/>
      <c r="AC31" s="382"/>
      <c r="AD31" s="205">
        <v>3</v>
      </c>
      <c r="AE31" s="193"/>
      <c r="AF31" s="193"/>
      <c r="AG31" s="193"/>
      <c r="AH31" s="194"/>
      <c r="AI31" s="194"/>
      <c r="AJ31" s="194"/>
      <c r="AK31" s="194"/>
      <c r="AL31" s="194"/>
      <c r="AM31" s="194"/>
      <c r="AN31" s="194"/>
      <c r="AO31" s="193"/>
      <c r="AP31" s="193"/>
      <c r="AQ31" s="193"/>
      <c r="AR31" s="193"/>
      <c r="AS31" s="189"/>
      <c r="AT31" s="176"/>
      <c r="AU31" s="176"/>
      <c r="AV31" s="176"/>
      <c r="AW31" s="176"/>
      <c r="AX31" s="176"/>
      <c r="AY31" s="176"/>
      <c r="AZ31" s="176"/>
      <c r="BA31" s="176"/>
      <c r="BB31" s="176"/>
      <c r="BC31" s="176"/>
      <c r="BD31" s="177"/>
    </row>
    <row r="32" spans="1:57" s="1" customFormat="1" ht="14.4" customHeight="1">
      <c r="A32" s="131">
        <f>IF(B32="","",COUNTA($B$8:B32))</f>
        <v>25</v>
      </c>
      <c r="B32" s="270" t="s">
        <v>228</v>
      </c>
      <c r="C32" s="187"/>
      <c r="D32" s="187"/>
      <c r="E32" s="187"/>
      <c r="F32" s="187"/>
      <c r="G32" s="187"/>
      <c r="H32" s="188"/>
      <c r="I32" s="204" t="s">
        <v>229</v>
      </c>
      <c r="J32" s="190"/>
      <c r="K32" s="190"/>
      <c r="L32" s="190"/>
      <c r="M32" s="190"/>
      <c r="N32" s="190"/>
      <c r="O32" s="190"/>
      <c r="P32" s="190"/>
      <c r="Q32" s="191"/>
      <c r="R32" s="270" t="s">
        <v>228</v>
      </c>
      <c r="S32" s="190"/>
      <c r="T32" s="190"/>
      <c r="U32" s="190"/>
      <c r="V32" s="190"/>
      <c r="W32" s="190"/>
      <c r="X32" s="188"/>
      <c r="Y32" s="378" t="s">
        <v>150</v>
      </c>
      <c r="Z32" s="379"/>
      <c r="AA32" s="380" t="s">
        <v>151</v>
      </c>
      <c r="AB32" s="381"/>
      <c r="AC32" s="382"/>
      <c r="AD32" s="205">
        <v>1000</v>
      </c>
      <c r="AE32" s="193"/>
      <c r="AF32" s="193"/>
      <c r="AG32" s="193"/>
      <c r="AH32" s="194"/>
      <c r="AI32" s="194"/>
      <c r="AJ32" s="194"/>
      <c r="AK32" s="194"/>
      <c r="AL32" s="194"/>
      <c r="AM32" s="194"/>
      <c r="AN32" s="194"/>
      <c r="AO32" s="193"/>
      <c r="AP32" s="193"/>
      <c r="AQ32" s="193"/>
      <c r="AR32" s="193"/>
      <c r="AS32" s="189"/>
      <c r="AT32" s="176"/>
      <c r="AU32" s="176"/>
      <c r="AV32" s="176"/>
      <c r="AW32" s="176"/>
      <c r="AX32" s="176"/>
      <c r="AY32" s="176"/>
      <c r="AZ32" s="176"/>
      <c r="BA32" s="176"/>
      <c r="BB32" s="176"/>
      <c r="BC32" s="176"/>
      <c r="BD32" s="177"/>
    </row>
    <row r="33" spans="1:56" s="1" customFormat="1" ht="14.4" customHeight="1">
      <c r="A33" s="131">
        <f>IF(B33="","",COUNTA($B$8:B33))</f>
        <v>26</v>
      </c>
      <c r="B33" s="270" t="s">
        <v>230</v>
      </c>
      <c r="C33" s="187"/>
      <c r="D33" s="187"/>
      <c r="E33" s="187"/>
      <c r="F33" s="187"/>
      <c r="G33" s="187"/>
      <c r="H33" s="188"/>
      <c r="I33" s="204" t="s">
        <v>231</v>
      </c>
      <c r="J33" s="190"/>
      <c r="K33" s="190"/>
      <c r="L33" s="190"/>
      <c r="M33" s="190"/>
      <c r="N33" s="190"/>
      <c r="O33" s="190"/>
      <c r="P33" s="190"/>
      <c r="Q33" s="191"/>
      <c r="R33" s="270" t="s">
        <v>230</v>
      </c>
      <c r="S33" s="190"/>
      <c r="T33" s="190"/>
      <c r="U33" s="190"/>
      <c r="V33" s="190"/>
      <c r="W33" s="190"/>
      <c r="X33" s="188"/>
      <c r="Y33" s="378" t="s">
        <v>169</v>
      </c>
      <c r="Z33" s="379"/>
      <c r="AA33" s="380" t="s">
        <v>170</v>
      </c>
      <c r="AB33" s="381"/>
      <c r="AC33" s="382"/>
      <c r="AD33" s="205"/>
      <c r="AE33" s="193"/>
      <c r="AF33" s="193"/>
      <c r="AG33" s="193"/>
      <c r="AH33" s="194"/>
      <c r="AI33" s="194"/>
      <c r="AJ33" s="194"/>
      <c r="AK33" s="194"/>
      <c r="AL33" s="194"/>
      <c r="AM33" s="194"/>
      <c r="AN33" s="194"/>
      <c r="AO33" s="193"/>
      <c r="AP33" s="193"/>
      <c r="AQ33" s="193"/>
      <c r="AR33" s="193"/>
      <c r="AS33" s="189" t="s">
        <v>232</v>
      </c>
      <c r="AT33" s="176"/>
      <c r="AU33" s="176"/>
      <c r="AV33" s="176"/>
      <c r="AW33" s="176"/>
      <c r="AX33" s="176"/>
      <c r="AY33" s="176"/>
      <c r="AZ33" s="176"/>
      <c r="BA33" s="176"/>
      <c r="BB33" s="176"/>
      <c r="BC33" s="176"/>
      <c r="BD33" s="177"/>
    </row>
    <row r="34" spans="1:56" s="1" customFormat="1" ht="14.4" customHeight="1">
      <c r="A34" s="131">
        <f>IF(B34="","",COUNTA($B$8:B34))</f>
        <v>27</v>
      </c>
      <c r="B34" s="270" t="s">
        <v>233</v>
      </c>
      <c r="C34" s="187"/>
      <c r="D34" s="187"/>
      <c r="E34" s="187"/>
      <c r="F34" s="187"/>
      <c r="G34" s="187"/>
      <c r="H34" s="188"/>
      <c r="I34" s="204" t="s">
        <v>234</v>
      </c>
      <c r="J34" s="190"/>
      <c r="K34" s="190"/>
      <c r="L34" s="190"/>
      <c r="M34" s="190"/>
      <c r="N34" s="190"/>
      <c r="O34" s="190"/>
      <c r="P34" s="190"/>
      <c r="Q34" s="191"/>
      <c r="R34" s="270" t="s">
        <v>233</v>
      </c>
      <c r="S34" s="190"/>
      <c r="T34" s="190"/>
      <c r="U34" s="190"/>
      <c r="V34" s="190"/>
      <c r="W34" s="190"/>
      <c r="X34" s="188"/>
      <c r="Y34" s="378" t="s">
        <v>155</v>
      </c>
      <c r="Z34" s="379"/>
      <c r="AA34" s="380" t="s">
        <v>156</v>
      </c>
      <c r="AB34" s="381"/>
      <c r="AC34" s="382"/>
      <c r="AD34" s="205">
        <v>1</v>
      </c>
      <c r="AE34" s="193"/>
      <c r="AF34" s="193"/>
      <c r="AG34" s="193"/>
      <c r="AH34" s="194">
        <v>0</v>
      </c>
      <c r="AI34" s="194"/>
      <c r="AJ34" s="194"/>
      <c r="AK34" s="194"/>
      <c r="AL34" s="194"/>
      <c r="AM34" s="194"/>
      <c r="AN34" s="194"/>
      <c r="AO34" s="193"/>
      <c r="AP34" s="193"/>
      <c r="AQ34" s="193"/>
      <c r="AR34" s="193"/>
      <c r="AS34" s="189"/>
      <c r="AT34" s="176"/>
      <c r="AU34" s="176"/>
      <c r="AV34" s="176"/>
      <c r="AW34" s="176"/>
      <c r="AX34" s="176"/>
      <c r="AY34" s="176"/>
      <c r="AZ34" s="176"/>
      <c r="BA34" s="176"/>
      <c r="BB34" s="176"/>
      <c r="BC34" s="176"/>
      <c r="BD34" s="177"/>
    </row>
    <row r="35" spans="1:56" s="1" customFormat="1" ht="14.4" customHeight="1">
      <c r="A35" s="131">
        <f>IF(B35="","",COUNTA($B$8:B35))</f>
        <v>28</v>
      </c>
      <c r="B35" s="8" t="s">
        <v>236</v>
      </c>
      <c r="C35" s="114"/>
      <c r="D35" s="114"/>
      <c r="E35" s="114"/>
      <c r="F35" s="114"/>
      <c r="G35" s="114"/>
      <c r="H35" s="134"/>
      <c r="I35" s="115" t="s">
        <v>237</v>
      </c>
      <c r="J35" s="116"/>
      <c r="K35" s="116"/>
      <c r="L35" s="116"/>
      <c r="M35" s="116"/>
      <c r="N35" s="116"/>
      <c r="O35" s="116"/>
      <c r="P35" s="116"/>
      <c r="Q35" s="133"/>
      <c r="R35" s="8" t="s">
        <v>236</v>
      </c>
      <c r="S35" s="116"/>
      <c r="T35" s="116"/>
      <c r="U35" s="116"/>
      <c r="V35" s="116"/>
      <c r="W35" s="116"/>
      <c r="X35" s="134"/>
      <c r="Y35" s="424" t="s">
        <v>155</v>
      </c>
      <c r="Z35" s="425"/>
      <c r="AA35" s="426" t="s">
        <v>156</v>
      </c>
      <c r="AB35" s="427"/>
      <c r="AC35" s="428"/>
      <c r="AD35" s="126">
        <v>1</v>
      </c>
      <c r="AE35" s="111"/>
      <c r="AF35" s="111"/>
      <c r="AG35" s="111"/>
      <c r="AH35" s="120">
        <v>0</v>
      </c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 t="s">
        <v>238</v>
      </c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ht="14.4" customHeight="1">
      <c r="A36" s="131">
        <f>IF(B36="","",COUNTA($B$8:B36))</f>
        <v>29</v>
      </c>
      <c r="B36" s="8" t="s">
        <v>239</v>
      </c>
      <c r="C36" s="114"/>
      <c r="D36" s="114"/>
      <c r="E36" s="114"/>
      <c r="F36" s="114"/>
      <c r="G36" s="114"/>
      <c r="H36" s="134"/>
      <c r="I36" s="115" t="s">
        <v>240</v>
      </c>
      <c r="J36" s="116"/>
      <c r="K36" s="116"/>
      <c r="L36" s="116"/>
      <c r="M36" s="116"/>
      <c r="N36" s="116"/>
      <c r="O36" s="116"/>
      <c r="P36" s="116"/>
      <c r="Q36" s="133"/>
      <c r="R36" s="8" t="s">
        <v>239</v>
      </c>
      <c r="S36" s="116"/>
      <c r="T36" s="116"/>
      <c r="U36" s="116"/>
      <c r="V36" s="116"/>
      <c r="W36" s="116"/>
      <c r="X36" s="134"/>
      <c r="Y36" s="424" t="s">
        <v>169</v>
      </c>
      <c r="Z36" s="425"/>
      <c r="AA36" s="426" t="s">
        <v>170</v>
      </c>
      <c r="AB36" s="427"/>
      <c r="AC36" s="428"/>
      <c r="AD36" s="126"/>
      <c r="AE36" s="111"/>
      <c r="AF36" s="111"/>
      <c r="AG36" s="111"/>
      <c r="AH36" s="120"/>
      <c r="AI36" s="120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ht="14.4" customHeight="1">
      <c r="A37" s="160">
        <f>IF(B37="","",COUNTA($B$8:B37))</f>
        <v>30</v>
      </c>
      <c r="B37" s="4" t="s">
        <v>241</v>
      </c>
      <c r="C37" s="114"/>
      <c r="D37" s="114"/>
      <c r="E37" s="114"/>
      <c r="F37" s="114"/>
      <c r="G37" s="114"/>
      <c r="H37" s="114"/>
      <c r="I37" s="115" t="s">
        <v>242</v>
      </c>
      <c r="J37" s="116"/>
      <c r="K37" s="116"/>
      <c r="L37" s="116"/>
      <c r="M37" s="116"/>
      <c r="N37" s="116"/>
      <c r="O37" s="116"/>
      <c r="P37" s="116"/>
      <c r="Q37" s="116"/>
      <c r="R37" s="4" t="s">
        <v>241</v>
      </c>
      <c r="S37" s="114"/>
      <c r="T37" s="5"/>
      <c r="U37" s="5"/>
      <c r="V37" s="5"/>
      <c r="W37" s="5"/>
      <c r="X37" s="5"/>
      <c r="Y37" s="8" t="s">
        <v>150</v>
      </c>
      <c r="Z37" s="119"/>
      <c r="AA37" s="426" t="s">
        <v>243</v>
      </c>
      <c r="AB37" s="427"/>
      <c r="AC37" s="428"/>
      <c r="AD37" s="117"/>
      <c r="AE37" s="120" t="s">
        <v>244</v>
      </c>
      <c r="AF37" s="121"/>
      <c r="AG37" s="121"/>
      <c r="AH37" s="121"/>
      <c r="AI37" s="121"/>
      <c r="AJ37" s="121"/>
      <c r="AK37" s="121"/>
      <c r="AL37" s="121"/>
      <c r="AM37" s="121"/>
      <c r="AN37" s="121"/>
      <c r="AO37" s="122"/>
      <c r="AP37" s="122"/>
      <c r="AQ37" s="122"/>
      <c r="AR37" s="122"/>
      <c r="AS37" s="123" t="s">
        <v>245</v>
      </c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ht="14.4" customHeight="1">
      <c r="A38" s="160">
        <f>IF(B38="","",COUNTA($B$8:B38))</f>
        <v>31</v>
      </c>
      <c r="B38" s="4" t="s">
        <v>246</v>
      </c>
      <c r="C38" s="114"/>
      <c r="D38" s="114"/>
      <c r="E38" s="114"/>
      <c r="F38" s="114"/>
      <c r="G38" s="114"/>
      <c r="H38" s="114"/>
      <c r="I38" s="115" t="s">
        <v>247</v>
      </c>
      <c r="J38" s="116"/>
      <c r="K38" s="116"/>
      <c r="L38" s="116"/>
      <c r="M38" s="116"/>
      <c r="N38" s="116"/>
      <c r="O38" s="116"/>
      <c r="P38" s="116"/>
      <c r="Q38" s="116"/>
      <c r="R38" s="4" t="s">
        <v>246</v>
      </c>
      <c r="S38" s="114"/>
      <c r="T38" s="5"/>
      <c r="U38" s="5"/>
      <c r="V38" s="5"/>
      <c r="W38" s="5"/>
      <c r="X38" s="5"/>
      <c r="Y38" s="8" t="s">
        <v>150</v>
      </c>
      <c r="Z38" s="119"/>
      <c r="AA38" s="426" t="s">
        <v>243</v>
      </c>
      <c r="AB38" s="427"/>
      <c r="AC38" s="428"/>
      <c r="AD38" s="117"/>
      <c r="AE38" s="120" t="s">
        <v>244</v>
      </c>
      <c r="AF38" s="121"/>
      <c r="AG38" s="121"/>
      <c r="AH38" s="121"/>
      <c r="AI38" s="121"/>
      <c r="AJ38" s="121"/>
      <c r="AK38" s="121"/>
      <c r="AL38" s="121"/>
      <c r="AM38" s="121"/>
      <c r="AN38" s="121"/>
      <c r="AO38" s="122"/>
      <c r="AP38" s="122"/>
      <c r="AQ38" s="122"/>
      <c r="AR38" s="122"/>
      <c r="AS38" s="123" t="s">
        <v>248</v>
      </c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ht="14.4" customHeight="1">
      <c r="A39" s="131">
        <f>IF(B39="","",COUNTA($B$8:B39))</f>
        <v>32</v>
      </c>
      <c r="B39" s="8" t="s">
        <v>249</v>
      </c>
      <c r="C39" s="114"/>
      <c r="D39" s="114"/>
      <c r="E39" s="114"/>
      <c r="F39" s="114"/>
      <c r="G39" s="114"/>
      <c r="H39" s="134"/>
      <c r="I39" s="115" t="s">
        <v>250</v>
      </c>
      <c r="J39" s="116"/>
      <c r="K39" s="116"/>
      <c r="L39" s="116"/>
      <c r="M39" s="116"/>
      <c r="N39" s="116"/>
      <c r="O39" s="116"/>
      <c r="P39" s="116"/>
      <c r="Q39" s="133"/>
      <c r="R39" s="8" t="s">
        <v>249</v>
      </c>
      <c r="S39" s="116"/>
      <c r="T39" s="116"/>
      <c r="U39" s="116"/>
      <c r="V39" s="116"/>
      <c r="W39" s="116"/>
      <c r="X39" s="134"/>
      <c r="Y39" s="424" t="s">
        <v>150</v>
      </c>
      <c r="Z39" s="425"/>
      <c r="AA39" s="426" t="s">
        <v>151</v>
      </c>
      <c r="AB39" s="427"/>
      <c r="AC39" s="428"/>
      <c r="AD39" s="126">
        <v>4</v>
      </c>
      <c r="AE39" s="111"/>
      <c r="AF39" s="111"/>
      <c r="AG39" s="111"/>
      <c r="AH39" s="120"/>
      <c r="AI39" s="120"/>
      <c r="AJ39" s="120"/>
      <c r="AK39" s="120"/>
      <c r="AL39" s="120"/>
      <c r="AM39" s="120"/>
      <c r="AN39" s="120"/>
      <c r="AO39" s="111"/>
      <c r="AP39" s="111"/>
      <c r="AQ39" s="111"/>
      <c r="AR39" s="111"/>
      <c r="AS39" s="118"/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ht="14.4" customHeight="1">
      <c r="A40" s="70">
        <f>IF(B40="","",COUNTA($B$8:B40))</f>
        <v>33</v>
      </c>
      <c r="B40" s="19" t="s">
        <v>251</v>
      </c>
      <c r="C40" s="20"/>
      <c r="D40" s="20"/>
      <c r="E40" s="20"/>
      <c r="F40" s="20"/>
      <c r="G40" s="20"/>
      <c r="H40" s="24"/>
      <c r="I40" s="34" t="s">
        <v>252</v>
      </c>
      <c r="J40" s="23"/>
      <c r="K40" s="23"/>
      <c r="L40" s="23"/>
      <c r="M40" s="23"/>
      <c r="N40" s="23"/>
      <c r="O40" s="23"/>
      <c r="P40" s="23"/>
      <c r="Q40" s="37"/>
      <c r="R40" s="19" t="s">
        <v>251</v>
      </c>
      <c r="S40" s="23"/>
      <c r="T40" s="23"/>
      <c r="U40" s="23"/>
      <c r="V40" s="23"/>
      <c r="W40" s="23"/>
      <c r="X40" s="24"/>
      <c r="Y40" s="419" t="s">
        <v>150</v>
      </c>
      <c r="Z40" s="420"/>
      <c r="AA40" s="421" t="s">
        <v>151</v>
      </c>
      <c r="AB40" s="422"/>
      <c r="AC40" s="423"/>
      <c r="AD40" s="27">
        <v>4</v>
      </c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70">
        <f>IF(B41="","",COUNTA($B$8:B41))</f>
        <v>34</v>
      </c>
      <c r="B41" s="19" t="s">
        <v>253</v>
      </c>
      <c r="C41" s="20"/>
      <c r="D41" s="20"/>
      <c r="E41" s="20"/>
      <c r="F41" s="20"/>
      <c r="G41" s="20"/>
      <c r="H41" s="24"/>
      <c r="I41" s="31" t="s">
        <v>254</v>
      </c>
      <c r="J41" s="23"/>
      <c r="K41" s="23"/>
      <c r="L41" s="23"/>
      <c r="M41" s="23"/>
      <c r="N41" s="23"/>
      <c r="O41" s="23"/>
      <c r="P41" s="23"/>
      <c r="Q41" s="37"/>
      <c r="R41" s="19" t="s">
        <v>253</v>
      </c>
      <c r="S41" s="23"/>
      <c r="T41" s="23"/>
      <c r="U41" s="23"/>
      <c r="V41" s="23"/>
      <c r="W41" s="23"/>
      <c r="X41" s="24"/>
      <c r="Y41" s="419" t="s">
        <v>150</v>
      </c>
      <c r="Z41" s="420"/>
      <c r="AA41" s="421" t="s">
        <v>151</v>
      </c>
      <c r="AB41" s="422"/>
      <c r="AC41" s="423"/>
      <c r="AD41" s="27">
        <v>10</v>
      </c>
      <c r="AE41" s="29"/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70">
        <f>IF(B42="","",COUNTA($B$8:B42))</f>
        <v>35</v>
      </c>
      <c r="B42" s="19" t="s">
        <v>255</v>
      </c>
      <c r="C42" s="20"/>
      <c r="D42" s="20"/>
      <c r="E42" s="20"/>
      <c r="F42" s="20"/>
      <c r="G42" s="20"/>
      <c r="H42" s="24"/>
      <c r="I42" s="31" t="s">
        <v>256</v>
      </c>
      <c r="J42" s="23"/>
      <c r="K42" s="23"/>
      <c r="L42" s="23"/>
      <c r="M42" s="23"/>
      <c r="N42" s="23"/>
      <c r="O42" s="23"/>
      <c r="P42" s="23"/>
      <c r="Q42" s="37"/>
      <c r="R42" s="19" t="s">
        <v>255</v>
      </c>
      <c r="S42" s="23"/>
      <c r="T42" s="23"/>
      <c r="U42" s="23"/>
      <c r="V42" s="23"/>
      <c r="W42" s="23"/>
      <c r="X42" s="24"/>
      <c r="Y42" s="419" t="s">
        <v>150</v>
      </c>
      <c r="Z42" s="420"/>
      <c r="AA42" s="421" t="s">
        <v>151</v>
      </c>
      <c r="AB42" s="422"/>
      <c r="AC42" s="423"/>
      <c r="AD42" s="27">
        <v>10</v>
      </c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70">
        <f>IF(B43="","",COUNTA($B$8:B43))</f>
        <v>36</v>
      </c>
      <c r="B43" s="19" t="s">
        <v>257</v>
      </c>
      <c r="C43" s="20"/>
      <c r="D43" s="20"/>
      <c r="E43" s="20"/>
      <c r="F43" s="20"/>
      <c r="G43" s="20"/>
      <c r="H43" s="24"/>
      <c r="I43" s="31" t="s">
        <v>258</v>
      </c>
      <c r="J43" s="23"/>
      <c r="K43" s="23"/>
      <c r="L43" s="23"/>
      <c r="M43" s="23"/>
      <c r="N43" s="23"/>
      <c r="O43" s="23"/>
      <c r="P43" s="23"/>
      <c r="Q43" s="37"/>
      <c r="R43" s="19" t="s">
        <v>257</v>
      </c>
      <c r="S43" s="23"/>
      <c r="T43" s="23"/>
      <c r="U43" s="23"/>
      <c r="V43" s="23"/>
      <c r="W43" s="23"/>
      <c r="X43" s="24"/>
      <c r="Y43" s="419" t="s">
        <v>169</v>
      </c>
      <c r="Z43" s="420"/>
      <c r="AA43" s="421" t="s">
        <v>243</v>
      </c>
      <c r="AB43" s="422"/>
      <c r="AC43" s="423"/>
      <c r="AD43" s="30"/>
      <c r="AE43" s="29"/>
      <c r="AF43" s="29"/>
      <c r="AG43" s="29"/>
      <c r="AH43" s="40"/>
      <c r="AI43" s="40"/>
      <c r="AJ43" s="28"/>
      <c r="AK43" s="28"/>
      <c r="AL43" s="28"/>
      <c r="AM43" s="28"/>
      <c r="AN43" s="28"/>
      <c r="AO43" s="29"/>
      <c r="AP43" s="29"/>
      <c r="AQ43" s="29"/>
      <c r="AR43" s="29"/>
      <c r="AS43" s="31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70">
        <f>IF(B44="","",COUNTA($B$8:B44))</f>
        <v>37</v>
      </c>
      <c r="B44" s="19" t="s">
        <v>259</v>
      </c>
      <c r="C44" s="20"/>
      <c r="D44" s="20"/>
      <c r="E44" s="20"/>
      <c r="F44" s="20"/>
      <c r="G44" s="20"/>
      <c r="H44" s="24"/>
      <c r="I44" s="31" t="s">
        <v>260</v>
      </c>
      <c r="J44" s="23"/>
      <c r="K44" s="23"/>
      <c r="L44" s="23"/>
      <c r="M44" s="23"/>
      <c r="N44" s="23"/>
      <c r="O44" s="23"/>
      <c r="P44" s="23"/>
      <c r="Q44" s="37"/>
      <c r="R44" s="19" t="s">
        <v>259</v>
      </c>
      <c r="S44" s="23"/>
      <c r="T44" s="23"/>
      <c r="U44" s="23"/>
      <c r="V44" s="23"/>
      <c r="W44" s="23"/>
      <c r="X44" s="24"/>
      <c r="Y44" s="419" t="s">
        <v>150</v>
      </c>
      <c r="Z44" s="420"/>
      <c r="AA44" s="421" t="s">
        <v>151</v>
      </c>
      <c r="AB44" s="422"/>
      <c r="AC44" s="423"/>
      <c r="AD44" s="27">
        <v>10</v>
      </c>
      <c r="AE44" s="29"/>
      <c r="AF44" s="29"/>
      <c r="AG44" s="29"/>
      <c r="AH44" s="40"/>
      <c r="AI44" s="40"/>
      <c r="AJ44" s="28"/>
      <c r="AK44" s="28"/>
      <c r="AL44" s="28"/>
      <c r="AM44" s="28"/>
      <c r="AN44" s="28"/>
      <c r="AO44" s="29"/>
      <c r="AP44" s="29"/>
      <c r="AQ44" s="29"/>
      <c r="AR44" s="29"/>
      <c r="AS44" s="31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>
      <c r="A45" s="70">
        <f>IF(B45="","",COUNTA($B$8:B45))</f>
        <v>38</v>
      </c>
      <c r="B45" s="19" t="s">
        <v>261</v>
      </c>
      <c r="C45" s="20"/>
      <c r="D45" s="20"/>
      <c r="E45" s="20"/>
      <c r="F45" s="20"/>
      <c r="G45" s="20"/>
      <c r="H45" s="24"/>
      <c r="I45" s="31" t="s">
        <v>262</v>
      </c>
      <c r="J45" s="23"/>
      <c r="K45" s="23"/>
      <c r="L45" s="23"/>
      <c r="M45" s="23"/>
      <c r="N45" s="23"/>
      <c r="O45" s="23"/>
      <c r="P45" s="23"/>
      <c r="Q45" s="37"/>
      <c r="R45" s="19" t="s">
        <v>261</v>
      </c>
      <c r="S45" s="23"/>
      <c r="T45" s="23"/>
      <c r="U45" s="23"/>
      <c r="V45" s="23"/>
      <c r="W45" s="23"/>
      <c r="X45" s="24"/>
      <c r="Y45" s="419" t="s">
        <v>150</v>
      </c>
      <c r="Z45" s="420"/>
      <c r="AA45" s="421" t="s">
        <v>151</v>
      </c>
      <c r="AB45" s="422"/>
      <c r="AC45" s="423"/>
      <c r="AD45" s="30">
        <v>10</v>
      </c>
      <c r="AE45" s="29"/>
      <c r="AF45" s="29"/>
      <c r="AG45" s="29"/>
      <c r="AH45" s="28"/>
      <c r="AI45" s="28"/>
      <c r="AJ45" s="28"/>
      <c r="AK45" s="28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70">
        <f>IF(B46="","",COUNTA($B$8:B46))</f>
        <v>39</v>
      </c>
      <c r="B46" s="19" t="s">
        <v>263</v>
      </c>
      <c r="C46" s="20"/>
      <c r="D46" s="20"/>
      <c r="E46" s="20"/>
      <c r="F46" s="20"/>
      <c r="G46" s="20"/>
      <c r="H46" s="24"/>
      <c r="I46" s="31" t="s">
        <v>264</v>
      </c>
      <c r="J46" s="23"/>
      <c r="K46" s="23"/>
      <c r="L46" s="23"/>
      <c r="M46" s="23"/>
      <c r="N46" s="23"/>
      <c r="O46" s="23"/>
      <c r="P46" s="23"/>
      <c r="Q46" s="37"/>
      <c r="R46" s="22" t="s">
        <v>263</v>
      </c>
      <c r="S46" s="23"/>
      <c r="T46" s="23"/>
      <c r="U46" s="23"/>
      <c r="V46" s="23"/>
      <c r="W46" s="23"/>
      <c r="X46" s="24"/>
      <c r="Y46" s="419" t="s">
        <v>169</v>
      </c>
      <c r="Z46" s="420"/>
      <c r="AA46" s="421" t="s">
        <v>243</v>
      </c>
      <c r="AB46" s="422"/>
      <c r="AC46" s="423"/>
      <c r="AD46" s="30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5">
    <mergeCell ref="Y41:Z41"/>
    <mergeCell ref="Y45:Z45"/>
    <mergeCell ref="Y46:Z46"/>
    <mergeCell ref="Y42:Z42"/>
    <mergeCell ref="Y43:Z43"/>
    <mergeCell ref="Y44:Z44"/>
    <mergeCell ref="AA37:AC37"/>
    <mergeCell ref="AA38:AC38"/>
    <mergeCell ref="AA39:AC39"/>
    <mergeCell ref="AA40:AC40"/>
    <mergeCell ref="Y36:Z36"/>
    <mergeCell ref="Y35:Z35"/>
    <mergeCell ref="Y32:Z32"/>
    <mergeCell ref="Y28:Z28"/>
    <mergeCell ref="Y29:Z29"/>
    <mergeCell ref="Y33:Z33"/>
    <mergeCell ref="Y34:Z34"/>
    <mergeCell ref="Y30:Z30"/>
    <mergeCell ref="Y39:Z39"/>
    <mergeCell ref="Y40:Z40"/>
    <mergeCell ref="Y18:Z18"/>
    <mergeCell ref="Y31:Z31"/>
    <mergeCell ref="Y24:Z24"/>
    <mergeCell ref="Y17:Z17"/>
    <mergeCell ref="Y16:Z16"/>
    <mergeCell ref="Y9:Z9"/>
    <mergeCell ref="Y15:Z15"/>
    <mergeCell ref="Y10:Z10"/>
    <mergeCell ref="Y11:Z11"/>
    <mergeCell ref="Y19:Z19"/>
    <mergeCell ref="Y27:Z27"/>
    <mergeCell ref="Y20:Z20"/>
    <mergeCell ref="Y21:Z21"/>
    <mergeCell ref="Y22:Z22"/>
    <mergeCell ref="Y23:Z23"/>
    <mergeCell ref="Y25:Z25"/>
    <mergeCell ref="Y26:Z26"/>
    <mergeCell ref="AA27:AC27"/>
    <mergeCell ref="AA8:AC8"/>
    <mergeCell ref="AA9:AC9"/>
    <mergeCell ref="AG6:AG7"/>
    <mergeCell ref="AH6:AH7"/>
    <mergeCell ref="AA10:AC10"/>
    <mergeCell ref="AA11:AC11"/>
    <mergeCell ref="AA12:AC12"/>
    <mergeCell ref="AA13:AC13"/>
    <mergeCell ref="AA14:AC14"/>
    <mergeCell ref="AA15:AC15"/>
    <mergeCell ref="AA16:AC16"/>
    <mergeCell ref="AA18:AC18"/>
    <mergeCell ref="AA19:AC19"/>
    <mergeCell ref="AA20:AC20"/>
    <mergeCell ref="AA24:AC2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AA6:AC7"/>
    <mergeCell ref="AD6:AD7"/>
    <mergeCell ref="I1:Q1"/>
    <mergeCell ref="R1:X1"/>
    <mergeCell ref="Y1:AO1"/>
    <mergeCell ref="AI6:AR6"/>
    <mergeCell ref="A1:H4"/>
    <mergeCell ref="AE6:AE7"/>
    <mergeCell ref="AF6:AF7"/>
    <mergeCell ref="AS6:BD7"/>
    <mergeCell ref="Y8:Z8"/>
    <mergeCell ref="AZ4:BD4"/>
    <mergeCell ref="AA36:AC36"/>
    <mergeCell ref="AA42:AC42"/>
    <mergeCell ref="AA43:AC43"/>
    <mergeCell ref="AA44:AC44"/>
    <mergeCell ref="AA45:AC45"/>
    <mergeCell ref="AA46:AC46"/>
    <mergeCell ref="AA28:AC28"/>
    <mergeCell ref="AA29:AC29"/>
    <mergeCell ref="AA30:AC30"/>
    <mergeCell ref="AA31:AC31"/>
    <mergeCell ref="AA32:AC32"/>
    <mergeCell ref="AA33:AC33"/>
    <mergeCell ref="AA34:AC34"/>
    <mergeCell ref="AA35:AC35"/>
    <mergeCell ref="AA41:AC41"/>
    <mergeCell ref="AA17:AC17"/>
    <mergeCell ref="AA21:AC21"/>
    <mergeCell ref="AA22:AC22"/>
    <mergeCell ref="AA23:AC23"/>
    <mergeCell ref="AA25:AC25"/>
    <mergeCell ref="AA26:AC26"/>
  </mergeCells>
  <phoneticPr fontId="5"/>
  <dataValidations count="3">
    <dataValidation imeMode="hiragana" allowBlank="1" showInputMessage="1" showErrorMessage="1" sqref="JO65448:JZ65450 TK65448:TV65450 ADG65448:ADR65450 ANC65448:ANN65450 AWY65448:AXJ65450 BGU65448:BHF65450 BQQ65448:BRB65450 CAM65448:CAX65450 CKI65448:CKT65450 CUE65448:CUP65450 DEA65448:DEL65450 DNW65448:DOH65450 DXS65448:DYD65450 EHO65448:EHZ65450 ERK65448:ERV65450 FBG65448:FBR65450 FLC65448:FLN65450 FUY65448:FVJ65450 GEU65448:GFF65450 GOQ65448:GPB65450 GYM65448:GYX65450 HII65448:HIT65450 HSE65448:HSP65450 ICA65448:ICL65450 ILW65448:IMH65450 IVS65448:IWD65450 JFO65448:JFZ65450 JPK65448:JPV65450 JZG65448:JZR65450 KJC65448:KJN65450 KSY65448:KTJ65450 LCU65448:LDF65450 LMQ65448:LNB65450 LWM65448:LWX65450 MGI65448:MGT65450 MQE65448:MQP65450 NAA65448:NAL65450 NJW65448:NKH65450 NTS65448:NUD65450 ODO65448:ODZ65450 ONK65448:ONV65450 OXG65448:OXR65450 PHC65448:PHN65450 PQY65448:PRJ65450 QAU65448:QBF65450 QKQ65448:QLB65450 QUM65448:QUX65450 REI65448:RET65450 ROE65448:ROP65450 RYA65448:RYL65450 SHW65448:SIH65450 SRS65448:SSD65450 TBO65448:TBZ65450 TLK65448:TLV65450 TVG65448:TVR65450 UFC65448:UFN65450 UOY65448:UPJ65450 UYU65448:UZF65450 VIQ65448:VJB65450 VSM65448:VSX65450 WCI65448:WCT65450 WME65448:WMP65450 WWA65448:WWL65450 JO130984:JZ130986 TK130984:TV130986 ADG130984:ADR130986 ANC130984:ANN130986 AWY130984:AXJ130986 BGU130984:BHF130986 BQQ130984:BRB130986 CAM130984:CAX130986 CKI130984:CKT130986 CUE130984:CUP130986 DEA130984:DEL130986 DNW130984:DOH130986 DXS130984:DYD130986 EHO130984:EHZ130986 ERK130984:ERV130986 FBG130984:FBR130986 FLC130984:FLN130986 FUY130984:FVJ130986 GEU130984:GFF130986 GOQ130984:GPB130986 GYM130984:GYX130986 HII130984:HIT130986 HSE130984:HSP130986 ICA130984:ICL130986 ILW130984:IMH130986 IVS130984:IWD130986 JFO130984:JFZ130986 JPK130984:JPV130986 JZG130984:JZR130986 KJC130984:KJN130986 KSY130984:KTJ130986 LCU130984:LDF130986 LMQ130984:LNB130986 LWM130984:LWX130986 MGI130984:MGT130986 MQE130984:MQP130986 NAA130984:NAL130986 NJW130984:NKH130986 NTS130984:NUD130986 ODO130984:ODZ130986 ONK130984:ONV130986 OXG130984:OXR130986 PHC130984:PHN130986 PQY130984:PRJ130986 QAU130984:QBF130986 QKQ130984:QLB130986 QUM130984:QUX130986 REI130984:RET130986 ROE130984:ROP130986 RYA130984:RYL130986 SHW130984:SIH130986 SRS130984:SSD130986 TBO130984:TBZ130986 TLK130984:TLV130986 TVG130984:TVR130986 UFC130984:UFN130986 UOY130984:UPJ130986 UYU130984:UZF130986 VIQ130984:VJB130986 VSM130984:VSX130986 WCI130984:WCT130986 WME130984:WMP130986 WWA130984:WWL130986 JO196520:JZ196522 TK196520:TV196522 ADG196520:ADR196522 ANC196520:ANN196522 AWY196520:AXJ196522 BGU196520:BHF196522 BQQ196520:BRB196522 CAM196520:CAX196522 CKI196520:CKT196522 CUE196520:CUP196522 DEA196520:DEL196522 DNW196520:DOH196522 DXS196520:DYD196522 EHO196520:EHZ196522 ERK196520:ERV196522 FBG196520:FBR196522 FLC196520:FLN196522 FUY196520:FVJ196522 GEU196520:GFF196522 GOQ196520:GPB196522 GYM196520:GYX196522 HII196520:HIT196522 HSE196520:HSP196522 ICA196520:ICL196522 ILW196520:IMH196522 IVS196520:IWD196522 JFO196520:JFZ196522 JPK196520:JPV196522 JZG196520:JZR196522 KJC196520:KJN196522 KSY196520:KTJ196522 LCU196520:LDF196522 LMQ196520:LNB196522 LWM196520:LWX196522 MGI196520:MGT196522 MQE196520:MQP196522 NAA196520:NAL196522 NJW196520:NKH196522 NTS196520:NUD196522 ODO196520:ODZ196522 ONK196520:ONV196522 OXG196520:OXR196522 PHC196520:PHN196522 PQY196520:PRJ196522 QAU196520:QBF196522 QKQ196520:QLB196522 QUM196520:QUX196522 REI196520:RET196522 ROE196520:ROP196522 RYA196520:RYL196522 SHW196520:SIH196522 SRS196520:SSD196522 TBO196520:TBZ196522 TLK196520:TLV196522 TVG196520:TVR196522 UFC196520:UFN196522 UOY196520:UPJ196522 UYU196520:UZF196522 VIQ196520:VJB196522 VSM196520:VSX196522 WCI196520:WCT196522 WME196520:WMP196522 WWA196520:WWL196522 JO262056:JZ262058 TK262056:TV262058 ADG262056:ADR262058 ANC262056:ANN262058 AWY262056:AXJ262058 BGU262056:BHF262058 BQQ262056:BRB262058 CAM262056:CAX262058 CKI262056:CKT262058 CUE262056:CUP262058 DEA262056:DEL262058 DNW262056:DOH262058 DXS262056:DYD262058 EHO262056:EHZ262058 ERK262056:ERV262058 FBG262056:FBR262058 FLC262056:FLN262058 FUY262056:FVJ262058 GEU262056:GFF262058 GOQ262056:GPB262058 GYM262056:GYX262058 HII262056:HIT262058 HSE262056:HSP262058 ICA262056:ICL262058 ILW262056:IMH262058 IVS262056:IWD262058 JFO262056:JFZ262058 JPK262056:JPV262058 JZG262056:JZR262058 KJC262056:KJN262058 KSY262056:KTJ262058 LCU262056:LDF262058 LMQ262056:LNB262058 LWM262056:LWX262058 MGI262056:MGT262058 MQE262056:MQP262058 NAA262056:NAL262058 NJW262056:NKH262058 NTS262056:NUD262058 ODO262056:ODZ262058 ONK262056:ONV262058 OXG262056:OXR262058 PHC262056:PHN262058 PQY262056:PRJ262058 QAU262056:QBF262058 QKQ262056:QLB262058 QUM262056:QUX262058 REI262056:RET262058 ROE262056:ROP262058 RYA262056:RYL262058 SHW262056:SIH262058 SRS262056:SSD262058 TBO262056:TBZ262058 TLK262056:TLV262058 TVG262056:TVR262058 UFC262056:UFN262058 UOY262056:UPJ262058 UYU262056:UZF262058 VIQ262056:VJB262058 VSM262056:VSX262058 WCI262056:WCT262058 WME262056:WMP262058 WWA262056:WWL262058 JO327592:JZ327594 TK327592:TV327594 ADG327592:ADR327594 ANC327592:ANN327594 AWY327592:AXJ327594 BGU327592:BHF327594 BQQ327592:BRB327594 CAM327592:CAX327594 CKI327592:CKT327594 CUE327592:CUP327594 DEA327592:DEL327594 DNW327592:DOH327594 DXS327592:DYD327594 EHO327592:EHZ327594 ERK327592:ERV327594 FBG327592:FBR327594 FLC327592:FLN327594 FUY327592:FVJ327594 GEU327592:GFF327594 GOQ327592:GPB327594 GYM327592:GYX327594 HII327592:HIT327594 HSE327592:HSP327594 ICA327592:ICL327594 ILW327592:IMH327594 IVS327592:IWD327594 JFO327592:JFZ327594 JPK327592:JPV327594 JZG327592:JZR327594 KJC327592:KJN327594 KSY327592:KTJ327594 LCU327592:LDF327594 LMQ327592:LNB327594 LWM327592:LWX327594 MGI327592:MGT327594 MQE327592:MQP327594 NAA327592:NAL327594 NJW327592:NKH327594 NTS327592:NUD327594 ODO327592:ODZ327594 ONK327592:ONV327594 OXG327592:OXR327594 PHC327592:PHN327594 PQY327592:PRJ327594 QAU327592:QBF327594 QKQ327592:QLB327594 QUM327592:QUX327594 REI327592:RET327594 ROE327592:ROP327594 RYA327592:RYL327594 SHW327592:SIH327594 SRS327592:SSD327594 TBO327592:TBZ327594 TLK327592:TLV327594 TVG327592:TVR327594 UFC327592:UFN327594 UOY327592:UPJ327594 UYU327592:UZF327594 VIQ327592:VJB327594 VSM327592:VSX327594 WCI327592:WCT327594 WME327592:WMP327594 WWA327592:WWL327594 JO393128:JZ393130 TK393128:TV393130 ADG393128:ADR393130 ANC393128:ANN393130 AWY393128:AXJ393130 BGU393128:BHF393130 BQQ393128:BRB393130 CAM393128:CAX393130 CKI393128:CKT393130 CUE393128:CUP393130 DEA393128:DEL393130 DNW393128:DOH393130 DXS393128:DYD393130 EHO393128:EHZ393130 ERK393128:ERV393130 FBG393128:FBR393130 FLC393128:FLN393130 FUY393128:FVJ393130 GEU393128:GFF393130 GOQ393128:GPB393130 GYM393128:GYX393130 HII393128:HIT393130 HSE393128:HSP393130 ICA393128:ICL393130 ILW393128:IMH393130 IVS393128:IWD393130 JFO393128:JFZ393130 JPK393128:JPV393130 JZG393128:JZR393130 KJC393128:KJN393130 KSY393128:KTJ393130 LCU393128:LDF393130 LMQ393128:LNB393130 LWM393128:LWX393130 MGI393128:MGT393130 MQE393128:MQP393130 NAA393128:NAL393130 NJW393128:NKH393130 NTS393128:NUD393130 ODO393128:ODZ393130 ONK393128:ONV393130 OXG393128:OXR393130 PHC393128:PHN393130 PQY393128:PRJ393130 QAU393128:QBF393130 QKQ393128:QLB393130 QUM393128:QUX393130 REI393128:RET393130 ROE393128:ROP393130 RYA393128:RYL393130 SHW393128:SIH393130 SRS393128:SSD393130 TBO393128:TBZ393130 TLK393128:TLV393130 TVG393128:TVR393130 UFC393128:UFN393130 UOY393128:UPJ393130 UYU393128:UZF393130 VIQ393128:VJB393130 VSM393128:VSX393130 WCI393128:WCT393130 WME393128:WMP393130 WWA393128:WWL393130 JO458664:JZ458666 TK458664:TV458666 ADG458664:ADR458666 ANC458664:ANN458666 AWY458664:AXJ458666 BGU458664:BHF458666 BQQ458664:BRB458666 CAM458664:CAX458666 CKI458664:CKT458666 CUE458664:CUP458666 DEA458664:DEL458666 DNW458664:DOH458666 DXS458664:DYD458666 EHO458664:EHZ458666 ERK458664:ERV458666 FBG458664:FBR458666 FLC458664:FLN458666 FUY458664:FVJ458666 GEU458664:GFF458666 GOQ458664:GPB458666 GYM458664:GYX458666 HII458664:HIT458666 HSE458664:HSP458666 ICA458664:ICL458666 ILW458664:IMH458666 IVS458664:IWD458666 JFO458664:JFZ458666 JPK458664:JPV458666 JZG458664:JZR458666 KJC458664:KJN458666 KSY458664:KTJ458666 LCU458664:LDF458666 LMQ458664:LNB458666 LWM458664:LWX458666 MGI458664:MGT458666 MQE458664:MQP458666 NAA458664:NAL458666 NJW458664:NKH458666 NTS458664:NUD458666 ODO458664:ODZ458666 ONK458664:ONV458666 OXG458664:OXR458666 PHC458664:PHN458666 PQY458664:PRJ458666 QAU458664:QBF458666 QKQ458664:QLB458666 QUM458664:QUX458666 REI458664:RET458666 ROE458664:ROP458666 RYA458664:RYL458666 SHW458664:SIH458666 SRS458664:SSD458666 TBO458664:TBZ458666 TLK458664:TLV458666 TVG458664:TVR458666 UFC458664:UFN458666 UOY458664:UPJ458666 UYU458664:UZF458666 VIQ458664:VJB458666 VSM458664:VSX458666 WCI458664:WCT458666 WME458664:WMP458666 WWA458664:WWL458666 JO524200:JZ524202 TK524200:TV524202 ADG524200:ADR524202 ANC524200:ANN524202 AWY524200:AXJ524202 BGU524200:BHF524202 BQQ524200:BRB524202 CAM524200:CAX524202 CKI524200:CKT524202 CUE524200:CUP524202 DEA524200:DEL524202 DNW524200:DOH524202 DXS524200:DYD524202 EHO524200:EHZ524202 ERK524200:ERV524202 FBG524200:FBR524202 FLC524200:FLN524202 FUY524200:FVJ524202 GEU524200:GFF524202 GOQ524200:GPB524202 GYM524200:GYX524202 HII524200:HIT524202 HSE524200:HSP524202 ICA524200:ICL524202 ILW524200:IMH524202 IVS524200:IWD524202 JFO524200:JFZ524202 JPK524200:JPV524202 JZG524200:JZR524202 KJC524200:KJN524202 KSY524200:KTJ524202 LCU524200:LDF524202 LMQ524200:LNB524202 LWM524200:LWX524202 MGI524200:MGT524202 MQE524200:MQP524202 NAA524200:NAL524202 NJW524200:NKH524202 NTS524200:NUD524202 ODO524200:ODZ524202 ONK524200:ONV524202 OXG524200:OXR524202 PHC524200:PHN524202 PQY524200:PRJ524202 QAU524200:QBF524202 QKQ524200:QLB524202 QUM524200:QUX524202 REI524200:RET524202 ROE524200:ROP524202 RYA524200:RYL524202 SHW524200:SIH524202 SRS524200:SSD524202 TBO524200:TBZ524202 TLK524200:TLV524202 TVG524200:TVR524202 UFC524200:UFN524202 UOY524200:UPJ524202 UYU524200:UZF524202 VIQ524200:VJB524202 VSM524200:VSX524202 WCI524200:WCT524202 WME524200:WMP524202 WWA524200:WWL524202 JO589736:JZ589738 TK589736:TV589738 ADG589736:ADR589738 ANC589736:ANN589738 AWY589736:AXJ589738 BGU589736:BHF589738 BQQ589736:BRB589738 CAM589736:CAX589738 CKI589736:CKT589738 CUE589736:CUP589738 DEA589736:DEL589738 DNW589736:DOH589738 DXS589736:DYD589738 EHO589736:EHZ589738 ERK589736:ERV589738 FBG589736:FBR589738 FLC589736:FLN589738 FUY589736:FVJ589738 GEU589736:GFF589738 GOQ589736:GPB589738 GYM589736:GYX589738 HII589736:HIT589738 HSE589736:HSP589738 ICA589736:ICL589738 ILW589736:IMH589738 IVS589736:IWD589738 JFO589736:JFZ589738 JPK589736:JPV589738 JZG589736:JZR589738 KJC589736:KJN589738 KSY589736:KTJ589738 LCU589736:LDF589738 LMQ589736:LNB589738 LWM589736:LWX589738 MGI589736:MGT589738 MQE589736:MQP589738 NAA589736:NAL589738 NJW589736:NKH589738 NTS589736:NUD589738 ODO589736:ODZ589738 ONK589736:ONV589738 OXG589736:OXR589738 PHC589736:PHN589738 PQY589736:PRJ589738 QAU589736:QBF589738 QKQ589736:QLB589738 QUM589736:QUX589738 REI589736:RET589738 ROE589736:ROP589738 RYA589736:RYL589738 SHW589736:SIH589738 SRS589736:SSD589738 TBO589736:TBZ589738 TLK589736:TLV589738 TVG589736:TVR589738 UFC589736:UFN589738 UOY589736:UPJ589738 UYU589736:UZF589738 VIQ589736:VJB589738 VSM589736:VSX589738 WCI589736:WCT589738 WME589736:WMP589738 WWA589736:WWL589738 JO655272:JZ655274 TK655272:TV655274 ADG655272:ADR655274 ANC655272:ANN655274 AWY655272:AXJ655274 BGU655272:BHF655274 BQQ655272:BRB655274 CAM655272:CAX655274 CKI655272:CKT655274 CUE655272:CUP655274 DEA655272:DEL655274 DNW655272:DOH655274 DXS655272:DYD655274 EHO655272:EHZ655274 ERK655272:ERV655274 FBG655272:FBR655274 FLC655272:FLN655274 FUY655272:FVJ655274 GEU655272:GFF655274 GOQ655272:GPB655274 GYM655272:GYX655274 HII655272:HIT655274 HSE655272:HSP655274 ICA655272:ICL655274 ILW655272:IMH655274 IVS655272:IWD655274 JFO655272:JFZ655274 JPK655272:JPV655274 JZG655272:JZR655274 KJC655272:KJN655274 KSY655272:KTJ655274 LCU655272:LDF655274 LMQ655272:LNB655274 LWM655272:LWX655274 MGI655272:MGT655274 MQE655272:MQP655274 NAA655272:NAL655274 NJW655272:NKH655274 NTS655272:NUD655274 ODO655272:ODZ655274 ONK655272:ONV655274 OXG655272:OXR655274 PHC655272:PHN655274 PQY655272:PRJ655274 QAU655272:QBF655274 QKQ655272:QLB655274 QUM655272:QUX655274 REI655272:RET655274 ROE655272:ROP655274 RYA655272:RYL655274 SHW655272:SIH655274 SRS655272:SSD655274 TBO655272:TBZ655274 TLK655272:TLV655274 TVG655272:TVR655274 UFC655272:UFN655274 UOY655272:UPJ655274 UYU655272:UZF655274 VIQ655272:VJB655274 VSM655272:VSX655274 WCI655272:WCT655274 WME655272:WMP655274 WWA655272:WWL655274 JO720808:JZ720810 TK720808:TV720810 ADG720808:ADR720810 ANC720808:ANN720810 AWY720808:AXJ720810 BGU720808:BHF720810 BQQ720808:BRB720810 CAM720808:CAX720810 CKI720808:CKT720810 CUE720808:CUP720810 DEA720808:DEL720810 DNW720808:DOH720810 DXS720808:DYD720810 EHO720808:EHZ720810 ERK720808:ERV720810 FBG720808:FBR720810 FLC720808:FLN720810 FUY720808:FVJ720810 GEU720808:GFF720810 GOQ720808:GPB720810 GYM720808:GYX720810 HII720808:HIT720810 HSE720808:HSP720810 ICA720808:ICL720810 ILW720808:IMH720810 IVS720808:IWD720810 JFO720808:JFZ720810 JPK720808:JPV720810 JZG720808:JZR720810 KJC720808:KJN720810 KSY720808:KTJ720810 LCU720808:LDF720810 LMQ720808:LNB720810 LWM720808:LWX720810 MGI720808:MGT720810 MQE720808:MQP720810 NAA720808:NAL720810 NJW720808:NKH720810 NTS720808:NUD720810 ODO720808:ODZ720810 ONK720808:ONV720810 OXG720808:OXR720810 PHC720808:PHN720810 PQY720808:PRJ720810 QAU720808:QBF720810 QKQ720808:QLB720810 QUM720808:QUX720810 REI720808:RET720810 ROE720808:ROP720810 RYA720808:RYL720810 SHW720808:SIH720810 SRS720808:SSD720810 TBO720808:TBZ720810 TLK720808:TLV720810 TVG720808:TVR720810 UFC720808:UFN720810 UOY720808:UPJ720810 UYU720808:UZF720810 VIQ720808:VJB720810 VSM720808:VSX720810 WCI720808:WCT720810 WME720808:WMP720810 WWA720808:WWL720810 JO786344:JZ786346 TK786344:TV786346 ADG786344:ADR786346 ANC786344:ANN786346 AWY786344:AXJ786346 BGU786344:BHF786346 BQQ786344:BRB786346 CAM786344:CAX786346 CKI786344:CKT786346 CUE786344:CUP786346 DEA786344:DEL786346 DNW786344:DOH786346 DXS786344:DYD786346 EHO786344:EHZ786346 ERK786344:ERV786346 FBG786344:FBR786346 FLC786344:FLN786346 FUY786344:FVJ786346 GEU786344:GFF786346 GOQ786344:GPB786346 GYM786344:GYX786346 HII786344:HIT786346 HSE786344:HSP786346 ICA786344:ICL786346 ILW786344:IMH786346 IVS786344:IWD786346 JFO786344:JFZ786346 JPK786344:JPV786346 JZG786344:JZR786346 KJC786344:KJN786346 KSY786344:KTJ786346 LCU786344:LDF786346 LMQ786344:LNB786346 LWM786344:LWX786346 MGI786344:MGT786346 MQE786344:MQP786346 NAA786344:NAL786346 NJW786344:NKH786346 NTS786344:NUD786346 ODO786344:ODZ786346 ONK786344:ONV786346 OXG786344:OXR786346 PHC786344:PHN786346 PQY786344:PRJ786346 QAU786344:QBF786346 QKQ786344:QLB786346 QUM786344:QUX786346 REI786344:RET786346 ROE786344:ROP786346 RYA786344:RYL786346 SHW786344:SIH786346 SRS786344:SSD786346 TBO786344:TBZ786346 TLK786344:TLV786346 TVG786344:TVR786346 UFC786344:UFN786346 UOY786344:UPJ786346 UYU786344:UZF786346 VIQ786344:VJB786346 VSM786344:VSX786346 WCI786344:WCT786346 WME786344:WMP786346 WWA786344:WWL786346 JO851880:JZ851882 TK851880:TV851882 ADG851880:ADR851882 ANC851880:ANN851882 AWY851880:AXJ851882 BGU851880:BHF851882 BQQ851880:BRB851882 CAM851880:CAX851882 CKI851880:CKT851882 CUE851880:CUP851882 DEA851880:DEL851882 DNW851880:DOH851882 DXS851880:DYD851882 EHO851880:EHZ851882 ERK851880:ERV851882 FBG851880:FBR851882 FLC851880:FLN851882 FUY851880:FVJ851882 GEU851880:GFF851882 GOQ851880:GPB851882 GYM851880:GYX851882 HII851880:HIT851882 HSE851880:HSP851882 ICA851880:ICL851882 ILW851880:IMH851882 IVS851880:IWD851882 JFO851880:JFZ851882 JPK851880:JPV851882 JZG851880:JZR851882 KJC851880:KJN851882 KSY851880:KTJ851882 LCU851880:LDF851882 LMQ851880:LNB851882 LWM851880:LWX851882 MGI851880:MGT851882 MQE851880:MQP851882 NAA851880:NAL851882 NJW851880:NKH851882 NTS851880:NUD851882 ODO851880:ODZ851882 ONK851880:ONV851882 OXG851880:OXR851882 PHC851880:PHN851882 PQY851880:PRJ851882 QAU851880:QBF851882 QKQ851880:QLB851882 QUM851880:QUX851882 REI851880:RET851882 ROE851880:ROP851882 RYA851880:RYL851882 SHW851880:SIH851882 SRS851880:SSD851882 TBO851880:TBZ851882 TLK851880:TLV851882 TVG851880:TVR851882 UFC851880:UFN851882 UOY851880:UPJ851882 UYU851880:UZF851882 VIQ851880:VJB851882 VSM851880:VSX851882 WCI851880:WCT851882 WME851880:WMP851882 WWA851880:WWL851882 JO917416:JZ917418 TK917416:TV917418 ADG917416:ADR917418 ANC917416:ANN917418 AWY917416:AXJ917418 BGU917416:BHF917418 BQQ917416:BRB917418 CAM917416:CAX917418 CKI917416:CKT917418 CUE917416:CUP917418 DEA917416:DEL917418 DNW917416:DOH917418 DXS917416:DYD917418 EHO917416:EHZ917418 ERK917416:ERV917418 FBG917416:FBR917418 FLC917416:FLN917418 FUY917416:FVJ917418 GEU917416:GFF917418 GOQ917416:GPB917418 GYM917416:GYX917418 HII917416:HIT917418 HSE917416:HSP917418 ICA917416:ICL917418 ILW917416:IMH917418 IVS917416:IWD917418 JFO917416:JFZ917418 JPK917416:JPV917418 JZG917416:JZR917418 KJC917416:KJN917418 KSY917416:KTJ917418 LCU917416:LDF917418 LMQ917416:LNB917418 LWM917416:LWX917418 MGI917416:MGT917418 MQE917416:MQP917418 NAA917416:NAL917418 NJW917416:NKH917418 NTS917416:NUD917418 ODO917416:ODZ917418 ONK917416:ONV917418 OXG917416:OXR917418 PHC917416:PHN917418 PQY917416:PRJ917418 QAU917416:QBF917418 QKQ917416:QLB917418 QUM917416:QUX917418 REI917416:RET917418 ROE917416:ROP917418 RYA917416:RYL917418 SHW917416:SIH917418 SRS917416:SSD917418 TBO917416:TBZ917418 TLK917416:TLV917418 TVG917416:TVR917418 UFC917416:UFN917418 UOY917416:UPJ917418 UYU917416:UZF917418 VIQ917416:VJB917418 VSM917416:VSX917418 WCI917416:WCT917418 WME917416:WMP917418 WWA917416:WWL917418 JO982952:JZ982954 TK982952:TV982954 ADG982952:ADR982954 ANC982952:ANN982954 AWY982952:AXJ982954 BGU982952:BHF982954 BQQ982952:BRB982954 CAM982952:CAX982954 CKI982952:CKT982954 CUE982952:CUP982954 DEA982952:DEL982954 DNW982952:DOH982954 DXS982952:DYD982954 EHO982952:EHZ982954 ERK982952:ERV982954 FBG982952:FBR982954 FLC982952:FLN982954 FUY982952:FVJ982954 GEU982952:GFF982954 GOQ982952:GPB982954 GYM982952:GYX982954 HII982952:HIT982954 HSE982952:HSP982954 ICA982952:ICL982954 ILW982952:IMH982954 IVS982952:IWD982954 JFO982952:JFZ982954 JPK982952:JPV982954 JZG982952:JZR982954 KJC982952:KJN982954 KSY982952:KTJ982954 LCU982952:LDF982954 LMQ982952:LNB982954 LWM982952:LWX982954 MGI982952:MGT982954 MQE982952:MQP982954 NAA982952:NAL982954 NJW982952:NKH982954 NTS982952:NUD982954 ODO982952:ODZ982954 ONK982952:ONV982954 OXG982952:OXR982954 PHC982952:PHN982954 PQY982952:PRJ982954 QAU982952:QBF982954 QKQ982952:QLB982954 QUM982952:QUX982954 REI982952:RET982954 ROE982952:ROP982954 RYA982952:RYL982954 SHW982952:SIH982954 SRS982952:SSD982954 TBO982952:TBZ982954 TLK982952:TLV982954 TVG982952:TVR982954 UFC982952:UFN982954 UOY982952:UPJ982954 UYU982952:UZF982954 VIQ982952:VJB982954 VSM982952:VSX982954 WCI982952:WCT982954 WME982952:WMP982954 WWA982952:WWL982954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448:AM65450 AC982952:AM982954 AC917416:AM917418 AC851880:AM851882 AC786344:AM786346 AC720808:AM720810 AC655272:AM655274 AC589736:AM589738 AC524200:AM524202 AC458664:AM458666 AC393128:AM393130 AC327592:AM327594 AC262056:AM262058 AC196520:AM196522 AC130984:AM130986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6" s="17" customFormat="1" ht="14.4" customHeight="1">
      <c r="A1" s="396" t="s">
        <v>78</v>
      </c>
      <c r="B1" s="397"/>
      <c r="C1" s="397"/>
      <c r="D1" s="397"/>
      <c r="E1" s="397"/>
      <c r="F1" s="397"/>
      <c r="G1" s="397"/>
      <c r="H1" s="398"/>
      <c r="I1" s="336" t="s">
        <v>79</v>
      </c>
      <c r="J1" s="337"/>
      <c r="K1" s="337"/>
      <c r="L1" s="337"/>
      <c r="M1" s="337"/>
      <c r="N1" s="337"/>
      <c r="O1" s="337"/>
      <c r="P1" s="337"/>
      <c r="Q1" s="338"/>
      <c r="R1" s="336" t="s">
        <v>80</v>
      </c>
      <c r="S1" s="337"/>
      <c r="T1" s="337"/>
      <c r="U1" s="337"/>
      <c r="V1" s="337"/>
      <c r="W1" s="337"/>
      <c r="X1" s="338"/>
      <c r="Y1" s="336" t="s">
        <v>135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8"/>
      <c r="AP1" s="407" t="s">
        <v>82</v>
      </c>
      <c r="AQ1" s="408"/>
      <c r="AR1" s="408"/>
      <c r="AS1" s="408"/>
      <c r="AT1" s="409"/>
      <c r="AU1" s="407" t="s">
        <v>83</v>
      </c>
      <c r="AV1" s="408"/>
      <c r="AW1" s="408"/>
      <c r="AX1" s="408"/>
      <c r="AY1" s="409"/>
      <c r="AZ1" s="407" t="s">
        <v>84</v>
      </c>
      <c r="BA1" s="408"/>
      <c r="BB1" s="408"/>
      <c r="BC1" s="408"/>
      <c r="BD1" s="409"/>
    </row>
    <row r="2" spans="1:56" s="17" customFormat="1" ht="14.4" customHeight="1">
      <c r="A2" s="399"/>
      <c r="B2" s="400"/>
      <c r="C2" s="400"/>
      <c r="D2" s="400"/>
      <c r="E2" s="400"/>
      <c r="F2" s="400"/>
      <c r="G2" s="400"/>
      <c r="H2" s="401"/>
      <c r="I2" s="366" t="s">
        <v>85</v>
      </c>
      <c r="J2" s="367"/>
      <c r="K2" s="367"/>
      <c r="L2" s="367"/>
      <c r="M2" s="367"/>
      <c r="N2" s="367"/>
      <c r="O2" s="367"/>
      <c r="P2" s="367"/>
      <c r="Q2" s="368"/>
      <c r="R2" s="366" t="str">
        <f ca="1">VLOOKUP(RIGHT(CELL("filename",A2),LEN(CELL("filename",A2))-FIND("]",CELL("filename",A2))),テーブル一覧!B:AD,22,FALSE)</f>
        <v>B.生産計画</v>
      </c>
      <c r="S2" s="367"/>
      <c r="T2" s="367"/>
      <c r="U2" s="367"/>
      <c r="V2" s="367"/>
      <c r="W2" s="367"/>
      <c r="X2" s="368"/>
      <c r="Y2" s="366" t="str">
        <f ca="1">VLOOKUP(RIGHT(CELL("filename",A2),LEN(CELL("filename",A2))-FIND("]",CELL("filename",A2))),テーブル一覧!B:AD,1,FALSE)</f>
        <v>生産計画情報（パッケージ工場）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8"/>
      <c r="AP2" s="339"/>
      <c r="AQ2" s="340"/>
      <c r="AR2" s="340"/>
      <c r="AS2" s="340"/>
      <c r="AT2" s="341"/>
      <c r="AU2" s="58" t="s">
        <v>88</v>
      </c>
      <c r="AV2" s="59"/>
      <c r="AW2" s="59"/>
      <c r="AX2" s="59"/>
      <c r="AY2" s="60"/>
      <c r="AZ2" s="413" t="s">
        <v>89</v>
      </c>
      <c r="BA2" s="414"/>
      <c r="BB2" s="414"/>
      <c r="BC2" s="414"/>
      <c r="BD2" s="415"/>
    </row>
    <row r="3" spans="1:56" s="17" customFormat="1" ht="14.4" customHeight="1">
      <c r="A3" s="399"/>
      <c r="B3" s="400"/>
      <c r="C3" s="400"/>
      <c r="D3" s="400"/>
      <c r="E3" s="400"/>
      <c r="F3" s="400"/>
      <c r="G3" s="400"/>
      <c r="H3" s="401"/>
      <c r="I3" s="369"/>
      <c r="J3" s="370"/>
      <c r="K3" s="370"/>
      <c r="L3" s="370"/>
      <c r="M3" s="370"/>
      <c r="N3" s="370"/>
      <c r="O3" s="370"/>
      <c r="P3" s="370"/>
      <c r="Q3" s="371"/>
      <c r="R3" s="369"/>
      <c r="S3" s="370"/>
      <c r="T3" s="370"/>
      <c r="U3" s="370"/>
      <c r="V3" s="370"/>
      <c r="W3" s="370"/>
      <c r="X3" s="371"/>
      <c r="Y3" s="372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4"/>
      <c r="AP3" s="342"/>
      <c r="AQ3" s="343"/>
      <c r="AR3" s="343"/>
      <c r="AS3" s="343"/>
      <c r="AT3" s="344"/>
      <c r="AU3" s="410"/>
      <c r="AV3" s="411"/>
      <c r="AW3" s="411"/>
      <c r="AX3" s="411"/>
      <c r="AY3" s="412"/>
      <c r="AZ3" s="413"/>
      <c r="BA3" s="414"/>
      <c r="BB3" s="414"/>
      <c r="BC3" s="414"/>
      <c r="BD3" s="415"/>
    </row>
    <row r="4" spans="1:56" s="17" customFormat="1" ht="14.4" customHeight="1">
      <c r="A4" s="402"/>
      <c r="B4" s="403"/>
      <c r="C4" s="403"/>
      <c r="D4" s="403"/>
      <c r="E4" s="403"/>
      <c r="F4" s="403"/>
      <c r="G4" s="403"/>
      <c r="H4" s="404"/>
      <c r="I4" s="372"/>
      <c r="J4" s="373"/>
      <c r="K4" s="373"/>
      <c r="L4" s="373"/>
      <c r="M4" s="373"/>
      <c r="N4" s="373"/>
      <c r="O4" s="373"/>
      <c r="P4" s="373"/>
      <c r="Q4" s="374"/>
      <c r="R4" s="372"/>
      <c r="S4" s="373"/>
      <c r="T4" s="373"/>
      <c r="U4" s="373"/>
      <c r="V4" s="373"/>
      <c r="W4" s="373"/>
      <c r="X4" s="374"/>
      <c r="Y4" s="41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t_seisan_keikaku_pk</v>
      </c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8"/>
      <c r="AP4" s="342"/>
      <c r="AQ4" s="343"/>
      <c r="AR4" s="343"/>
      <c r="AS4" s="343"/>
      <c r="AT4" s="344"/>
      <c r="AU4" s="410"/>
      <c r="AV4" s="411"/>
      <c r="AW4" s="411"/>
      <c r="AX4" s="411"/>
      <c r="AY4" s="412"/>
      <c r="AZ4" s="413"/>
      <c r="BA4" s="414"/>
      <c r="BB4" s="414"/>
      <c r="BC4" s="414"/>
      <c r="BD4" s="415"/>
    </row>
    <row r="6" spans="1:56" ht="14.4" customHeight="1">
      <c r="A6" s="405" t="s">
        <v>90</v>
      </c>
      <c r="B6" s="386" t="s">
        <v>136</v>
      </c>
      <c r="C6" s="394"/>
      <c r="D6" s="394"/>
      <c r="E6" s="394"/>
      <c r="F6" s="394"/>
      <c r="G6" s="394"/>
      <c r="H6" s="387"/>
      <c r="I6" s="386" t="s">
        <v>137</v>
      </c>
      <c r="J6" s="394"/>
      <c r="K6" s="394"/>
      <c r="L6" s="394"/>
      <c r="M6" s="394"/>
      <c r="N6" s="394"/>
      <c r="O6" s="394"/>
      <c r="P6" s="394"/>
      <c r="Q6" s="387"/>
      <c r="R6" s="386" t="s">
        <v>138</v>
      </c>
      <c r="S6" s="394"/>
      <c r="T6" s="394"/>
      <c r="U6" s="394"/>
      <c r="V6" s="394"/>
      <c r="W6" s="394"/>
      <c r="X6" s="387"/>
      <c r="Y6" s="386" t="s">
        <v>139</v>
      </c>
      <c r="Z6" s="387"/>
      <c r="AA6" s="386" t="s">
        <v>140</v>
      </c>
      <c r="AB6" s="394"/>
      <c r="AC6" s="387"/>
      <c r="AD6" s="390" t="s">
        <v>141</v>
      </c>
      <c r="AE6" s="392" t="s">
        <v>142</v>
      </c>
      <c r="AF6" s="390" t="s">
        <v>143</v>
      </c>
      <c r="AG6" s="390" t="s">
        <v>144</v>
      </c>
      <c r="AH6" s="390" t="s">
        <v>145</v>
      </c>
      <c r="AI6" s="383" t="s">
        <v>146</v>
      </c>
      <c r="AJ6" s="384"/>
      <c r="AK6" s="384"/>
      <c r="AL6" s="384"/>
      <c r="AM6" s="384"/>
      <c r="AN6" s="384"/>
      <c r="AO6" s="384"/>
      <c r="AP6" s="384"/>
      <c r="AQ6" s="384"/>
      <c r="AR6" s="385"/>
      <c r="AS6" s="386" t="s">
        <v>147</v>
      </c>
      <c r="AT6" s="394"/>
      <c r="AU6" s="394"/>
      <c r="AV6" s="394"/>
      <c r="AW6" s="394"/>
      <c r="AX6" s="394"/>
      <c r="AY6" s="394"/>
      <c r="AZ6" s="394"/>
      <c r="BA6" s="394"/>
      <c r="BB6" s="394"/>
      <c r="BC6" s="394"/>
      <c r="BD6" s="387"/>
    </row>
    <row r="7" spans="1:56" ht="14.4" customHeight="1">
      <c r="A7" s="406"/>
      <c r="B7" s="388"/>
      <c r="C7" s="395"/>
      <c r="D7" s="395"/>
      <c r="E7" s="395"/>
      <c r="F7" s="395"/>
      <c r="G7" s="395"/>
      <c r="H7" s="389"/>
      <c r="I7" s="388"/>
      <c r="J7" s="395"/>
      <c r="K7" s="395"/>
      <c r="L7" s="395"/>
      <c r="M7" s="395"/>
      <c r="N7" s="395"/>
      <c r="O7" s="395"/>
      <c r="P7" s="395"/>
      <c r="Q7" s="389"/>
      <c r="R7" s="388"/>
      <c r="S7" s="395"/>
      <c r="T7" s="395"/>
      <c r="U7" s="395"/>
      <c r="V7" s="395"/>
      <c r="W7" s="395"/>
      <c r="X7" s="389"/>
      <c r="Y7" s="388"/>
      <c r="Z7" s="389"/>
      <c r="AA7" s="388"/>
      <c r="AB7" s="395"/>
      <c r="AC7" s="389"/>
      <c r="AD7" s="391"/>
      <c r="AE7" s="393"/>
      <c r="AF7" s="391"/>
      <c r="AG7" s="391"/>
      <c r="AH7" s="39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88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89"/>
    </row>
    <row r="8" spans="1:56" s="1" customFormat="1" ht="14.4" customHeight="1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424" t="s">
        <v>150</v>
      </c>
      <c r="Z8" s="425"/>
      <c r="AA8" s="426" t="s">
        <v>151</v>
      </c>
      <c r="AB8" s="427"/>
      <c r="AC8" s="428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6" s="1" customFormat="1" ht="14.4" customHeight="1">
      <c r="A9" s="131">
        <f>IF(B9="","",COUNTA($B$8:B9))</f>
        <v>2</v>
      </c>
      <c r="B9" s="169" t="s">
        <v>157</v>
      </c>
      <c r="C9" s="114"/>
      <c r="D9" s="114"/>
      <c r="E9" s="114"/>
      <c r="F9" s="114"/>
      <c r="G9" s="114"/>
      <c r="H9" s="134"/>
      <c r="I9" s="115" t="s">
        <v>158</v>
      </c>
      <c r="J9" s="116"/>
      <c r="K9" s="116"/>
      <c r="L9" s="116"/>
      <c r="M9" s="116"/>
      <c r="N9" s="116"/>
      <c r="O9" s="116"/>
      <c r="P9" s="116"/>
      <c r="Q9" s="133"/>
      <c r="R9" s="169" t="s">
        <v>157</v>
      </c>
      <c r="S9" s="116"/>
      <c r="T9" s="116"/>
      <c r="U9" s="116"/>
      <c r="V9" s="116"/>
      <c r="W9" s="116"/>
      <c r="X9" s="134"/>
      <c r="Y9" s="424" t="s">
        <v>150</v>
      </c>
      <c r="Z9" s="425"/>
      <c r="AA9" s="426" t="s">
        <v>151</v>
      </c>
      <c r="AB9" s="427"/>
      <c r="AC9" s="428"/>
      <c r="AD9" s="126">
        <v>10</v>
      </c>
      <c r="AE9" s="111"/>
      <c r="AF9" s="111"/>
      <c r="AG9" s="111"/>
      <c r="AH9" s="120"/>
      <c r="AI9" s="120"/>
      <c r="AJ9" s="120"/>
      <c r="AK9" s="120"/>
      <c r="AL9" s="120"/>
      <c r="AM9" s="120"/>
      <c r="AN9" s="120"/>
      <c r="AO9" s="111"/>
      <c r="AP9" s="111"/>
      <c r="AQ9" s="111"/>
      <c r="AR9" s="111"/>
      <c r="AS9" s="118"/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6" s="1" customFormat="1" ht="14.4" customHeight="1">
      <c r="A10" s="131">
        <f>IF(B10="","",COUNTA($B$8:B10))</f>
        <v>3</v>
      </c>
      <c r="B10" s="169" t="s">
        <v>159</v>
      </c>
      <c r="C10" s="114"/>
      <c r="D10" s="114"/>
      <c r="E10" s="114"/>
      <c r="F10" s="114"/>
      <c r="G10" s="114"/>
      <c r="H10" s="134"/>
      <c r="I10" s="115" t="s">
        <v>160</v>
      </c>
      <c r="J10" s="116"/>
      <c r="K10" s="116"/>
      <c r="L10" s="116"/>
      <c r="M10" s="116"/>
      <c r="N10" s="116"/>
      <c r="O10" s="116"/>
      <c r="P10" s="116"/>
      <c r="Q10" s="133"/>
      <c r="R10" s="169" t="s">
        <v>159</v>
      </c>
      <c r="S10" s="116"/>
      <c r="T10" s="116"/>
      <c r="U10" s="116"/>
      <c r="V10" s="116"/>
      <c r="W10" s="116"/>
      <c r="X10" s="134"/>
      <c r="Y10" s="424" t="s">
        <v>150</v>
      </c>
      <c r="Z10" s="425"/>
      <c r="AA10" s="426" t="s">
        <v>151</v>
      </c>
      <c r="AB10" s="427"/>
      <c r="AC10" s="428"/>
      <c r="AD10" s="126">
        <v>4</v>
      </c>
      <c r="AE10" s="111"/>
      <c r="AF10" s="111"/>
      <c r="AG10" s="111"/>
      <c r="AH10" s="120"/>
      <c r="AI10" s="120" t="s">
        <v>161</v>
      </c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</row>
    <row r="11" spans="1:56" s="1" customFormat="1" ht="14.4" customHeight="1">
      <c r="A11" s="131">
        <f>IF(B11="","",COUNTA($B$8:B11))</f>
        <v>4</v>
      </c>
      <c r="B11" s="165" t="s">
        <v>162</v>
      </c>
      <c r="D11" s="114"/>
      <c r="E11" s="114"/>
      <c r="F11" s="114"/>
      <c r="G11" s="114"/>
      <c r="H11" s="134"/>
      <c r="I11" s="165" t="s">
        <v>163</v>
      </c>
      <c r="J11" s="116"/>
      <c r="K11" s="116"/>
      <c r="L11" s="116"/>
      <c r="M11" s="116"/>
      <c r="N11" s="116"/>
      <c r="O11" s="116"/>
      <c r="P11" s="116"/>
      <c r="Q11" s="133"/>
      <c r="R11" s="169" t="s">
        <v>164</v>
      </c>
      <c r="S11" s="116"/>
      <c r="T11" s="116"/>
      <c r="U11" s="116"/>
      <c r="V11" s="116"/>
      <c r="W11" s="116"/>
      <c r="X11" s="134"/>
      <c r="Y11" s="424" t="s">
        <v>150</v>
      </c>
      <c r="Z11" s="425"/>
      <c r="AA11" s="426" t="s">
        <v>151</v>
      </c>
      <c r="AB11" s="427"/>
      <c r="AC11" s="428"/>
      <c r="AD11" s="126">
        <v>4</v>
      </c>
      <c r="AE11" s="111"/>
      <c r="AF11" s="111"/>
      <c r="AG11" s="111"/>
      <c r="AH11" s="120"/>
      <c r="AI11" s="120" t="s">
        <v>165</v>
      </c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6" s="1" customFormat="1" ht="14.4" customHeight="1">
      <c r="A12" s="131">
        <f>IF(B12="","",COUNTA($B$8:B12))</f>
        <v>5</v>
      </c>
      <c r="B12" s="169" t="s">
        <v>166</v>
      </c>
      <c r="C12" s="114"/>
      <c r="D12" s="114"/>
      <c r="E12" s="114"/>
      <c r="F12" s="114"/>
      <c r="G12" s="114"/>
      <c r="H12" s="134"/>
      <c r="I12" s="115" t="s">
        <v>167</v>
      </c>
      <c r="J12" s="116"/>
      <c r="K12" s="116"/>
      <c r="L12" s="116"/>
      <c r="M12" s="116"/>
      <c r="N12" s="116"/>
      <c r="O12" s="116"/>
      <c r="P12" s="116"/>
      <c r="Q12" s="133"/>
      <c r="R12" s="169" t="s">
        <v>168</v>
      </c>
      <c r="S12" s="116"/>
      <c r="T12" s="116"/>
      <c r="U12" s="116"/>
      <c r="V12" s="116"/>
      <c r="W12" s="116"/>
      <c r="X12" s="134"/>
      <c r="Y12" s="169" t="s">
        <v>169</v>
      </c>
      <c r="Z12" s="170"/>
      <c r="AA12" s="171" t="s">
        <v>170</v>
      </c>
      <c r="AB12" s="172"/>
      <c r="AC12" s="173"/>
      <c r="AD12" s="126"/>
      <c r="AE12" s="111"/>
      <c r="AF12" s="111"/>
      <c r="AG12" s="111"/>
      <c r="AH12" s="120"/>
      <c r="AI12" s="120" t="s">
        <v>171</v>
      </c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6" s="1" customFormat="1" ht="14.4" customHeight="1">
      <c r="A13" s="131">
        <f>IF(B13="","",COUNTA($B$8:B13))</f>
        <v>6</v>
      </c>
      <c r="B13" s="169" t="s">
        <v>174</v>
      </c>
      <c r="C13" s="114"/>
      <c r="D13" s="114"/>
      <c r="E13" s="114"/>
      <c r="F13" s="114"/>
      <c r="G13" s="114"/>
      <c r="H13" s="134"/>
      <c r="I13" s="115" t="s">
        <v>175</v>
      </c>
      <c r="J13" s="116"/>
      <c r="K13" s="116"/>
      <c r="L13" s="116"/>
      <c r="M13" s="116"/>
      <c r="N13" s="116"/>
      <c r="O13" s="116"/>
      <c r="P13" s="116"/>
      <c r="Q13" s="133"/>
      <c r="R13" s="169" t="s">
        <v>176</v>
      </c>
      <c r="S13" s="116"/>
      <c r="T13" s="116"/>
      <c r="U13" s="116"/>
      <c r="V13" s="116"/>
      <c r="W13" s="116"/>
      <c r="X13" s="134"/>
      <c r="Y13" s="169" t="s">
        <v>169</v>
      </c>
      <c r="Z13" s="170"/>
      <c r="AA13" s="171" t="s">
        <v>170</v>
      </c>
      <c r="AB13" s="172"/>
      <c r="AC13" s="173"/>
      <c r="AD13" s="159"/>
      <c r="AE13" s="111"/>
      <c r="AF13" s="111"/>
      <c r="AG13" s="111"/>
      <c r="AH13" s="120"/>
      <c r="AI13" s="120" t="s">
        <v>173</v>
      </c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6" s="1" customFormat="1" ht="14.4" customHeight="1">
      <c r="A14" s="131">
        <f>IF(B14="","",COUNTA($B$8:B14))</f>
        <v>7</v>
      </c>
      <c r="B14" s="169" t="s">
        <v>172</v>
      </c>
      <c r="C14" s="114"/>
      <c r="D14" s="114"/>
      <c r="E14" s="114"/>
      <c r="F14" s="114"/>
      <c r="G14" s="114"/>
      <c r="H14" s="134"/>
      <c r="I14" s="115" t="s">
        <v>177</v>
      </c>
      <c r="J14" s="116"/>
      <c r="K14" s="116"/>
      <c r="L14" s="116"/>
      <c r="M14" s="116"/>
      <c r="N14" s="116"/>
      <c r="O14" s="116"/>
      <c r="P14" s="116"/>
      <c r="Q14" s="133"/>
      <c r="R14" s="169" t="s">
        <v>172</v>
      </c>
      <c r="S14" s="116"/>
      <c r="T14" s="116"/>
      <c r="U14" s="116"/>
      <c r="V14" s="116"/>
      <c r="W14" s="116"/>
      <c r="X14" s="134"/>
      <c r="Y14" s="169" t="s">
        <v>155</v>
      </c>
      <c r="Z14" s="170"/>
      <c r="AA14" s="171" t="s">
        <v>156</v>
      </c>
      <c r="AB14" s="172"/>
      <c r="AC14" s="173"/>
      <c r="AD14" s="159">
        <v>5</v>
      </c>
      <c r="AE14" s="111">
        <v>1</v>
      </c>
      <c r="AF14" s="120"/>
      <c r="AG14" s="120"/>
      <c r="AH14" s="120"/>
      <c r="AI14" s="120"/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6" s="1" customFormat="1" ht="14.4" customHeight="1">
      <c r="A15" s="131">
        <f>IF(B15="","",COUNTA($B$8:B15))</f>
        <v>8</v>
      </c>
      <c r="B15" s="169" t="s">
        <v>178</v>
      </c>
      <c r="C15" s="114"/>
      <c r="D15" s="114"/>
      <c r="E15" s="114"/>
      <c r="F15" s="114"/>
      <c r="G15" s="114"/>
      <c r="H15" s="134"/>
      <c r="I15" s="115" t="s">
        <v>179</v>
      </c>
      <c r="J15" s="116"/>
      <c r="K15" s="116"/>
      <c r="L15" s="116"/>
      <c r="M15" s="116"/>
      <c r="N15" s="116"/>
      <c r="O15" s="116"/>
      <c r="P15" s="116"/>
      <c r="Q15" s="133"/>
      <c r="R15" s="169" t="s">
        <v>178</v>
      </c>
      <c r="S15" s="116"/>
      <c r="T15" s="116"/>
      <c r="U15" s="116"/>
      <c r="V15" s="116"/>
      <c r="W15" s="116"/>
      <c r="X15" s="134"/>
      <c r="Y15" s="424" t="s">
        <v>150</v>
      </c>
      <c r="Z15" s="425"/>
      <c r="AA15" s="426" t="s">
        <v>151</v>
      </c>
      <c r="AB15" s="427"/>
      <c r="AC15" s="428"/>
      <c r="AD15" s="126">
        <v>20</v>
      </c>
      <c r="AE15" s="111"/>
      <c r="AF15" s="111"/>
      <c r="AG15" s="111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 t="s">
        <v>180</v>
      </c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6" s="1" customFormat="1" ht="14.4" customHeight="1">
      <c r="A16" s="131">
        <f>IF(B16="","",COUNTA($B$8:B16))</f>
        <v>9</v>
      </c>
      <c r="B16" s="168" t="s">
        <v>1489</v>
      </c>
      <c r="C16" s="172"/>
      <c r="D16" s="172"/>
      <c r="E16" s="172"/>
      <c r="F16" s="172"/>
      <c r="G16" s="172"/>
      <c r="H16" s="173"/>
      <c r="I16" s="115" t="s">
        <v>1422</v>
      </c>
      <c r="J16" s="116"/>
      <c r="K16" s="116"/>
      <c r="L16" s="116"/>
      <c r="M16" s="116"/>
      <c r="N16" s="116"/>
      <c r="O16" s="116"/>
      <c r="P16" s="116"/>
      <c r="Q16" s="133"/>
      <c r="R16" s="168" t="s">
        <v>1489</v>
      </c>
      <c r="S16" s="116"/>
      <c r="T16" s="116"/>
      <c r="U16" s="116"/>
      <c r="V16" s="116"/>
      <c r="W16" s="116"/>
      <c r="X16" s="134"/>
      <c r="Y16" s="424" t="s">
        <v>150</v>
      </c>
      <c r="Z16" s="425"/>
      <c r="AA16" s="426" t="s">
        <v>151</v>
      </c>
      <c r="AB16" s="427"/>
      <c r="AC16" s="428"/>
      <c r="AD16" s="126">
        <v>30</v>
      </c>
      <c r="AE16" s="111"/>
      <c r="AF16" s="111"/>
      <c r="AG16" s="111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 t="s">
        <v>1415</v>
      </c>
      <c r="AT16" s="157"/>
      <c r="AU16" s="157"/>
      <c r="AV16" s="157"/>
      <c r="AW16" s="157"/>
      <c r="AX16" s="157"/>
      <c r="AY16" s="157"/>
      <c r="AZ16" s="157"/>
      <c r="BA16" s="157"/>
      <c r="BB16" s="157"/>
      <c r="BC16" s="157"/>
      <c r="BD16" s="158"/>
    </row>
    <row r="17" spans="1:57" s="1" customFormat="1" ht="14.4" customHeight="1">
      <c r="A17" s="131">
        <f>IF(B17="","",COUNTA($B$8:B17))</f>
        <v>10</v>
      </c>
      <c r="B17" s="171" t="s">
        <v>1394</v>
      </c>
      <c r="C17" s="172"/>
      <c r="D17" s="172"/>
      <c r="E17" s="172"/>
      <c r="F17" s="172"/>
      <c r="G17" s="172"/>
      <c r="H17" s="173"/>
      <c r="I17" s="115" t="s">
        <v>1395</v>
      </c>
      <c r="J17" s="116"/>
      <c r="K17" s="116"/>
      <c r="L17" s="116"/>
      <c r="M17" s="116"/>
      <c r="N17" s="116"/>
      <c r="O17" s="116"/>
      <c r="P17" s="116"/>
      <c r="Q17" s="133"/>
      <c r="R17" s="171" t="s">
        <v>1394</v>
      </c>
      <c r="S17" s="116"/>
      <c r="T17" s="116"/>
      <c r="U17" s="116"/>
      <c r="V17" s="116"/>
      <c r="W17" s="116"/>
      <c r="X17" s="134"/>
      <c r="Y17" s="424" t="s">
        <v>150</v>
      </c>
      <c r="Z17" s="425"/>
      <c r="AA17" s="426" t="s">
        <v>151</v>
      </c>
      <c r="AB17" s="427"/>
      <c r="AC17" s="428"/>
      <c r="AD17" s="126">
        <v>30</v>
      </c>
      <c r="AE17" s="111"/>
      <c r="AF17" s="111"/>
      <c r="AG17" s="111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8"/>
      <c r="BE17" s="1" t="s">
        <v>455</v>
      </c>
    </row>
    <row r="18" spans="1:57" s="1" customFormat="1" ht="14.4" customHeight="1">
      <c r="A18" s="131">
        <f>IF(B18="","",COUNTA($B$8:B18))</f>
        <v>11</v>
      </c>
      <c r="B18" s="169" t="s">
        <v>197</v>
      </c>
      <c r="C18" s="114"/>
      <c r="D18" s="114"/>
      <c r="E18" s="114"/>
      <c r="F18" s="114"/>
      <c r="G18" s="114"/>
      <c r="H18" s="134"/>
      <c r="I18" s="115" t="s">
        <v>198</v>
      </c>
      <c r="J18" s="116"/>
      <c r="K18" s="116"/>
      <c r="L18" s="116"/>
      <c r="M18" s="116"/>
      <c r="N18" s="116"/>
      <c r="O18" s="116"/>
      <c r="P18" s="116"/>
      <c r="Q18" s="133"/>
      <c r="R18" s="169" t="s">
        <v>197</v>
      </c>
      <c r="S18" s="116"/>
      <c r="T18" s="116"/>
      <c r="U18" s="116"/>
      <c r="V18" s="116"/>
      <c r="W18" s="116"/>
      <c r="X18" s="134"/>
      <c r="Y18" s="424" t="s">
        <v>150</v>
      </c>
      <c r="Z18" s="425"/>
      <c r="AA18" s="426" t="s">
        <v>151</v>
      </c>
      <c r="AB18" s="427"/>
      <c r="AC18" s="428"/>
      <c r="AD18" s="126">
        <v>5</v>
      </c>
      <c r="AE18" s="111"/>
      <c r="AF18" s="111"/>
      <c r="AG18" s="111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7" s="1" customFormat="1" ht="14.4" customHeight="1">
      <c r="A19" s="131">
        <f>IF(B19="","",COUNTA($B$8:B19))</f>
        <v>12</v>
      </c>
      <c r="B19" s="169" t="s">
        <v>199</v>
      </c>
      <c r="C19" s="114"/>
      <c r="D19" s="114"/>
      <c r="E19" s="114"/>
      <c r="F19" s="114"/>
      <c r="G19" s="114"/>
      <c r="H19" s="134"/>
      <c r="I19" s="115" t="s">
        <v>200</v>
      </c>
      <c r="J19" s="116"/>
      <c r="K19" s="116"/>
      <c r="L19" s="116"/>
      <c r="M19" s="116"/>
      <c r="N19" s="116"/>
      <c r="O19" s="116"/>
      <c r="P19" s="116"/>
      <c r="Q19" s="133"/>
      <c r="R19" s="169" t="s">
        <v>199</v>
      </c>
      <c r="S19" s="116"/>
      <c r="T19" s="116"/>
      <c r="U19" s="116"/>
      <c r="V19" s="116"/>
      <c r="W19" s="116"/>
      <c r="X19" s="134"/>
      <c r="Y19" s="424" t="s">
        <v>150</v>
      </c>
      <c r="Z19" s="425"/>
      <c r="AA19" s="426" t="s">
        <v>151</v>
      </c>
      <c r="AB19" s="427"/>
      <c r="AC19" s="428"/>
      <c r="AD19" s="126">
        <v>20</v>
      </c>
      <c r="AE19" s="111"/>
      <c r="AF19" s="111"/>
      <c r="AG19" s="111"/>
      <c r="AH19" s="120"/>
      <c r="AI19" s="120"/>
      <c r="AJ19" s="120"/>
      <c r="AK19" s="120"/>
      <c r="AL19" s="120"/>
      <c r="AM19" s="120"/>
      <c r="AN19" s="120"/>
      <c r="AO19" s="111"/>
      <c r="AP19" s="111"/>
      <c r="AQ19" s="111"/>
      <c r="AR19" s="111"/>
      <c r="AS19" s="118"/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5"/>
    </row>
    <row r="20" spans="1:57" s="1" customFormat="1" ht="14.4" customHeight="1">
      <c r="A20" s="131">
        <f>IF(B20="","",COUNTA($B$8:B20))</f>
        <v>13</v>
      </c>
      <c r="B20" s="169" t="s">
        <v>201</v>
      </c>
      <c r="C20" s="114"/>
      <c r="D20" s="114"/>
      <c r="E20" s="114"/>
      <c r="F20" s="114"/>
      <c r="G20" s="114"/>
      <c r="H20" s="134"/>
      <c r="I20" s="115" t="s">
        <v>202</v>
      </c>
      <c r="J20" s="116"/>
      <c r="K20" s="116"/>
      <c r="L20" s="116"/>
      <c r="M20" s="116"/>
      <c r="N20" s="116"/>
      <c r="O20" s="116"/>
      <c r="P20" s="116"/>
      <c r="Q20" s="133"/>
      <c r="R20" s="169" t="s">
        <v>201</v>
      </c>
      <c r="S20" s="116"/>
      <c r="T20" s="116"/>
      <c r="U20" s="116"/>
      <c r="V20" s="116"/>
      <c r="W20" s="116"/>
      <c r="X20" s="134"/>
      <c r="Y20" s="424" t="s">
        <v>150</v>
      </c>
      <c r="Z20" s="425"/>
      <c r="AA20" s="426" t="s">
        <v>151</v>
      </c>
      <c r="AB20" s="427"/>
      <c r="AC20" s="428"/>
      <c r="AD20" s="126">
        <v>30</v>
      </c>
      <c r="AE20" s="111"/>
      <c r="AF20" s="111"/>
      <c r="AG20" s="111"/>
      <c r="AH20" s="120"/>
      <c r="AI20" s="120"/>
      <c r="AJ20" s="120"/>
      <c r="AK20" s="120"/>
      <c r="AL20" s="120"/>
      <c r="AM20" s="120"/>
      <c r="AN20" s="120"/>
      <c r="AO20" s="111"/>
      <c r="AP20" s="111"/>
      <c r="AQ20" s="111"/>
      <c r="AR20" s="111"/>
      <c r="AS20" s="118"/>
      <c r="AT20" s="124"/>
      <c r="AU20" s="124"/>
      <c r="AV20" s="124"/>
      <c r="AW20" s="124"/>
      <c r="AX20" s="124"/>
      <c r="AY20" s="124"/>
      <c r="AZ20" s="124"/>
      <c r="BA20" s="124"/>
      <c r="BB20" s="124"/>
      <c r="BC20" s="124"/>
      <c r="BD20" s="125"/>
    </row>
    <row r="21" spans="1:57" s="207" customFormat="1" ht="14.4" customHeight="1">
      <c r="A21" s="221">
        <f>IF(B21="","",COUNTA($B$8:B21))</f>
        <v>14</v>
      </c>
      <c r="B21" s="270" t="s">
        <v>1472</v>
      </c>
      <c r="C21" s="187"/>
      <c r="D21" s="187"/>
      <c r="E21" s="187"/>
      <c r="F21" s="187"/>
      <c r="G21" s="187"/>
      <c r="H21" s="188"/>
      <c r="I21" s="204" t="s">
        <v>1470</v>
      </c>
      <c r="J21" s="190"/>
      <c r="K21" s="190"/>
      <c r="L21" s="190"/>
      <c r="M21" s="190"/>
      <c r="N21" s="190"/>
      <c r="O21" s="190"/>
      <c r="P21" s="190"/>
      <c r="Q21" s="191"/>
      <c r="R21" s="270" t="s">
        <v>1472</v>
      </c>
      <c r="S21" s="190"/>
      <c r="T21" s="190"/>
      <c r="U21" s="190"/>
      <c r="V21" s="190"/>
      <c r="W21" s="190"/>
      <c r="X21" s="188"/>
      <c r="Y21" s="378" t="s">
        <v>150</v>
      </c>
      <c r="Z21" s="379"/>
      <c r="AA21" s="380" t="s">
        <v>151</v>
      </c>
      <c r="AB21" s="381"/>
      <c r="AC21" s="382"/>
      <c r="AD21" s="205">
        <v>30</v>
      </c>
      <c r="AE21" s="193"/>
      <c r="AF21" s="193"/>
      <c r="AG21" s="193"/>
      <c r="AH21" s="194"/>
      <c r="AI21" s="194"/>
      <c r="AJ21" s="194"/>
      <c r="AK21" s="194"/>
      <c r="AL21" s="194"/>
      <c r="AM21" s="194"/>
      <c r="AN21" s="194"/>
      <c r="AO21" s="193"/>
      <c r="AP21" s="193"/>
      <c r="AQ21" s="193"/>
      <c r="AR21" s="193"/>
      <c r="AS21" s="189" t="s">
        <v>1476</v>
      </c>
      <c r="AT21" s="176"/>
      <c r="AU21" s="176"/>
      <c r="AV21" s="176"/>
      <c r="AW21" s="176"/>
      <c r="AX21" s="176"/>
      <c r="AY21" s="176"/>
      <c r="AZ21" s="176"/>
      <c r="BA21" s="176"/>
      <c r="BB21" s="176"/>
      <c r="BC21" s="176"/>
      <c r="BD21" s="177"/>
      <c r="BE21" s="318" t="s">
        <v>1471</v>
      </c>
    </row>
    <row r="22" spans="1:57" s="1" customFormat="1" ht="14.4" customHeight="1">
      <c r="A22" s="131">
        <f>IF(B22="","",COUNTA($B$8:B22))</f>
        <v>15</v>
      </c>
      <c r="B22" s="169" t="s">
        <v>298</v>
      </c>
      <c r="C22" s="114"/>
      <c r="D22" s="114"/>
      <c r="E22" s="114"/>
      <c r="F22" s="114"/>
      <c r="G22" s="114"/>
      <c r="H22" s="134"/>
      <c r="I22" s="115" t="s">
        <v>299</v>
      </c>
      <c r="J22" s="116"/>
      <c r="K22" s="116"/>
      <c r="L22" s="116"/>
      <c r="M22" s="116"/>
      <c r="N22" s="116"/>
      <c r="O22" s="116"/>
      <c r="P22" s="116"/>
      <c r="Q22" s="133"/>
      <c r="R22" s="169" t="s">
        <v>298</v>
      </c>
      <c r="S22" s="116"/>
      <c r="T22" s="116"/>
      <c r="U22" s="116"/>
      <c r="V22" s="116"/>
      <c r="W22" s="116"/>
      <c r="X22" s="134"/>
      <c r="Y22" s="169" t="s">
        <v>155</v>
      </c>
      <c r="Z22" s="170"/>
      <c r="AA22" s="171" t="s">
        <v>156</v>
      </c>
      <c r="AB22" s="172"/>
      <c r="AC22" s="173"/>
      <c r="AD22" s="159">
        <v>5</v>
      </c>
      <c r="AE22" s="111"/>
      <c r="AF22" s="111"/>
      <c r="AG22" s="111"/>
      <c r="AH22" s="120"/>
      <c r="AI22" s="120"/>
      <c r="AJ22" s="120"/>
      <c r="AK22" s="120"/>
      <c r="AL22" s="120"/>
      <c r="AM22" s="120"/>
      <c r="AN22" s="120"/>
      <c r="AO22" s="111"/>
      <c r="AP22" s="111"/>
      <c r="AQ22" s="111"/>
      <c r="AR22" s="111"/>
      <c r="AS22" s="118"/>
      <c r="AT22" s="124"/>
      <c r="AU22" s="124"/>
      <c r="AV22" s="124"/>
      <c r="AW22" s="124"/>
      <c r="AX22" s="124"/>
      <c r="AY22" s="124"/>
      <c r="AZ22" s="124"/>
      <c r="BA22" s="124"/>
      <c r="BB22" s="124"/>
      <c r="BC22" s="124"/>
      <c r="BD22" s="125"/>
    </row>
    <row r="23" spans="1:57" s="1" customFormat="1" ht="14.4" customHeight="1">
      <c r="A23" s="131">
        <f>IF(B23="","",COUNTA($B$8:B23))</f>
        <v>16</v>
      </c>
      <c r="B23" s="169" t="s">
        <v>226</v>
      </c>
      <c r="C23" s="114"/>
      <c r="D23" s="114"/>
      <c r="E23" s="114"/>
      <c r="F23" s="114"/>
      <c r="G23" s="114"/>
      <c r="H23" s="134"/>
      <c r="I23" s="115" t="s">
        <v>227</v>
      </c>
      <c r="J23" s="116"/>
      <c r="K23" s="116"/>
      <c r="L23" s="116"/>
      <c r="M23" s="116"/>
      <c r="N23" s="116"/>
      <c r="O23" s="116"/>
      <c r="P23" s="116"/>
      <c r="Q23" s="133"/>
      <c r="R23" s="169" t="s">
        <v>226</v>
      </c>
      <c r="S23" s="116"/>
      <c r="T23" s="116"/>
      <c r="U23" s="116"/>
      <c r="V23" s="116"/>
      <c r="W23" s="116"/>
      <c r="X23" s="134"/>
      <c r="Y23" s="424" t="s">
        <v>150</v>
      </c>
      <c r="Z23" s="425"/>
      <c r="AA23" s="426" t="s">
        <v>151</v>
      </c>
      <c r="AB23" s="427"/>
      <c r="AC23" s="428"/>
      <c r="AD23" s="126">
        <v>3</v>
      </c>
      <c r="AE23" s="111"/>
      <c r="AF23" s="111"/>
      <c r="AG23" s="111"/>
      <c r="AH23" s="120"/>
      <c r="AI23" s="120"/>
      <c r="AJ23" s="120"/>
      <c r="AK23" s="120"/>
      <c r="AL23" s="120"/>
      <c r="AM23" s="120"/>
      <c r="AN23" s="120"/>
      <c r="AO23" s="111"/>
      <c r="AP23" s="111"/>
      <c r="AQ23" s="111"/>
      <c r="AR23" s="111"/>
      <c r="AS23" s="118"/>
      <c r="AT23" s="124"/>
      <c r="AU23" s="124"/>
      <c r="AV23" s="124"/>
      <c r="AW23" s="124"/>
      <c r="AX23" s="124"/>
      <c r="AY23" s="124"/>
      <c r="AZ23" s="124"/>
      <c r="BA23" s="124"/>
      <c r="BB23" s="124"/>
      <c r="BC23" s="124"/>
      <c r="BD23" s="125"/>
    </row>
    <row r="24" spans="1:57" s="1" customFormat="1" ht="14.4" customHeight="1">
      <c r="A24" s="131">
        <f>IF(B24="","",COUNTA($B$8:B24))</f>
        <v>17</v>
      </c>
      <c r="B24" s="169" t="s">
        <v>228</v>
      </c>
      <c r="C24" s="114"/>
      <c r="D24" s="114"/>
      <c r="E24" s="114"/>
      <c r="F24" s="114"/>
      <c r="G24" s="114"/>
      <c r="H24" s="134"/>
      <c r="I24" s="115" t="s">
        <v>229</v>
      </c>
      <c r="J24" s="116"/>
      <c r="K24" s="116"/>
      <c r="L24" s="116"/>
      <c r="M24" s="116"/>
      <c r="N24" s="116"/>
      <c r="O24" s="116"/>
      <c r="P24" s="116"/>
      <c r="Q24" s="133"/>
      <c r="R24" s="169" t="s">
        <v>228</v>
      </c>
      <c r="S24" s="116"/>
      <c r="T24" s="116"/>
      <c r="U24" s="116"/>
      <c r="V24" s="116"/>
      <c r="W24" s="116"/>
      <c r="X24" s="134"/>
      <c r="Y24" s="424" t="s">
        <v>150</v>
      </c>
      <c r="Z24" s="425"/>
      <c r="AA24" s="426" t="s">
        <v>151</v>
      </c>
      <c r="AB24" s="427"/>
      <c r="AC24" s="428"/>
      <c r="AD24" s="126">
        <v>1000</v>
      </c>
      <c r="AE24" s="111"/>
      <c r="AF24" s="111"/>
      <c r="AG24" s="111"/>
      <c r="AH24" s="120"/>
      <c r="AI24" s="120"/>
      <c r="AJ24" s="120"/>
      <c r="AK24" s="120"/>
      <c r="AL24" s="120"/>
      <c r="AM24" s="120"/>
      <c r="AN24" s="120"/>
      <c r="AO24" s="111"/>
      <c r="AP24" s="111"/>
      <c r="AQ24" s="111"/>
      <c r="AR24" s="111"/>
      <c r="AS24" s="118"/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</row>
    <row r="25" spans="1:57" s="1" customFormat="1" ht="14.4" customHeight="1">
      <c r="A25" s="131">
        <f>IF(B25="","",COUNTA($B$8:B25))</f>
        <v>18</v>
      </c>
      <c r="B25" s="169" t="s">
        <v>230</v>
      </c>
      <c r="C25" s="114"/>
      <c r="D25" s="114"/>
      <c r="E25" s="114"/>
      <c r="F25" s="114"/>
      <c r="G25" s="114"/>
      <c r="H25" s="134"/>
      <c r="I25" s="115" t="s">
        <v>231</v>
      </c>
      <c r="J25" s="116"/>
      <c r="K25" s="116"/>
      <c r="L25" s="116"/>
      <c r="M25" s="116"/>
      <c r="N25" s="116"/>
      <c r="O25" s="116"/>
      <c r="P25" s="116"/>
      <c r="Q25" s="133"/>
      <c r="R25" s="169" t="s">
        <v>230</v>
      </c>
      <c r="S25" s="116"/>
      <c r="T25" s="116"/>
      <c r="U25" s="116"/>
      <c r="V25" s="116"/>
      <c r="W25" s="116"/>
      <c r="X25" s="134"/>
      <c r="Y25" s="424" t="s">
        <v>169</v>
      </c>
      <c r="Z25" s="425"/>
      <c r="AA25" s="426" t="s">
        <v>170</v>
      </c>
      <c r="AB25" s="427"/>
      <c r="AC25" s="428"/>
      <c r="AD25" s="126"/>
      <c r="AE25" s="111"/>
      <c r="AF25" s="111"/>
      <c r="AG25" s="111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 t="s">
        <v>232</v>
      </c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</row>
    <row r="26" spans="1:57" s="1" customFormat="1" ht="14.4" customHeight="1">
      <c r="A26" s="131">
        <f>IF(B26="","",COUNTA($B$8:B26))</f>
        <v>19</v>
      </c>
      <c r="B26" s="169" t="s">
        <v>233</v>
      </c>
      <c r="C26" s="114"/>
      <c r="D26" s="114"/>
      <c r="E26" s="114"/>
      <c r="F26" s="114"/>
      <c r="G26" s="114"/>
      <c r="H26" s="134"/>
      <c r="I26" s="115" t="s">
        <v>234</v>
      </c>
      <c r="J26" s="116"/>
      <c r="K26" s="116"/>
      <c r="L26" s="116"/>
      <c r="M26" s="116"/>
      <c r="N26" s="116"/>
      <c r="O26" s="116"/>
      <c r="P26" s="116"/>
      <c r="Q26" s="133"/>
      <c r="R26" s="169" t="s">
        <v>233</v>
      </c>
      <c r="S26" s="116"/>
      <c r="T26" s="116"/>
      <c r="U26" s="116"/>
      <c r="V26" s="116"/>
      <c r="W26" s="116"/>
      <c r="X26" s="134"/>
      <c r="Y26" s="424" t="s">
        <v>155</v>
      </c>
      <c r="Z26" s="425"/>
      <c r="AA26" s="426" t="s">
        <v>156</v>
      </c>
      <c r="AB26" s="427"/>
      <c r="AC26" s="428"/>
      <c r="AD26" s="126">
        <v>1</v>
      </c>
      <c r="AE26" s="111"/>
      <c r="AF26" s="111"/>
      <c r="AG26" s="111"/>
      <c r="AH26" s="120">
        <v>0</v>
      </c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</row>
    <row r="27" spans="1:57" s="1" customFormat="1" ht="14.4" customHeight="1">
      <c r="A27" s="131">
        <f>IF(B27="","",COUNTA($B$8:B27))</f>
        <v>20</v>
      </c>
      <c r="B27" s="169" t="s">
        <v>239</v>
      </c>
      <c r="C27" s="114"/>
      <c r="D27" s="114"/>
      <c r="E27" s="114"/>
      <c r="F27" s="114"/>
      <c r="G27" s="114"/>
      <c r="H27" s="134"/>
      <c r="I27" s="115" t="s">
        <v>240</v>
      </c>
      <c r="J27" s="116"/>
      <c r="K27" s="116"/>
      <c r="L27" s="116"/>
      <c r="M27" s="116"/>
      <c r="N27" s="116"/>
      <c r="O27" s="116"/>
      <c r="P27" s="116"/>
      <c r="Q27" s="133"/>
      <c r="R27" s="169" t="s">
        <v>239</v>
      </c>
      <c r="S27" s="116"/>
      <c r="T27" s="116"/>
      <c r="U27" s="116"/>
      <c r="V27" s="116"/>
      <c r="W27" s="116"/>
      <c r="X27" s="134"/>
      <c r="Y27" s="424" t="s">
        <v>169</v>
      </c>
      <c r="Z27" s="425"/>
      <c r="AA27" s="426" t="s">
        <v>170</v>
      </c>
      <c r="AB27" s="427"/>
      <c r="AC27" s="428"/>
      <c r="AD27" s="126"/>
      <c r="AE27" s="111"/>
      <c r="AF27" s="111"/>
      <c r="AG27" s="111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ht="14.4" customHeight="1">
      <c r="A28" s="160">
        <f>IF(B28="","",COUNTA($B$8:B28))</f>
        <v>21</v>
      </c>
      <c r="B28" s="4" t="s">
        <v>241</v>
      </c>
      <c r="C28" s="114"/>
      <c r="D28" s="114"/>
      <c r="E28" s="114"/>
      <c r="F28" s="114"/>
      <c r="G28" s="114"/>
      <c r="H28" s="114"/>
      <c r="I28" s="115" t="s">
        <v>242</v>
      </c>
      <c r="J28" s="116"/>
      <c r="K28" s="116"/>
      <c r="L28" s="116"/>
      <c r="M28" s="116"/>
      <c r="N28" s="116"/>
      <c r="O28" s="116"/>
      <c r="P28" s="116"/>
      <c r="Q28" s="116"/>
      <c r="R28" s="4" t="s">
        <v>241</v>
      </c>
      <c r="S28" s="114"/>
      <c r="T28" s="5"/>
      <c r="U28" s="5"/>
      <c r="V28" s="5"/>
      <c r="W28" s="5"/>
      <c r="X28" s="5"/>
      <c r="Y28" s="169" t="s">
        <v>150</v>
      </c>
      <c r="Z28" s="170"/>
      <c r="AA28" s="426" t="s">
        <v>243</v>
      </c>
      <c r="AB28" s="427"/>
      <c r="AC28" s="428"/>
      <c r="AD28" s="117"/>
      <c r="AE28" s="120" t="s">
        <v>244</v>
      </c>
      <c r="AF28" s="121"/>
      <c r="AG28" s="121"/>
      <c r="AH28" s="121"/>
      <c r="AI28" s="121"/>
      <c r="AJ28" s="121"/>
      <c r="AK28" s="121"/>
      <c r="AL28" s="121"/>
      <c r="AM28" s="121"/>
      <c r="AN28" s="121"/>
      <c r="AO28" s="122"/>
      <c r="AP28" s="122"/>
      <c r="AQ28" s="122"/>
      <c r="AR28" s="122"/>
      <c r="AS28" s="123" t="s">
        <v>245</v>
      </c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ht="14.4" customHeight="1">
      <c r="A29" s="160">
        <f>IF(B29="","",COUNTA($B$8:B29))</f>
        <v>22</v>
      </c>
      <c r="B29" s="4" t="s">
        <v>246</v>
      </c>
      <c r="C29" s="114"/>
      <c r="D29" s="114"/>
      <c r="E29" s="114"/>
      <c r="F29" s="114"/>
      <c r="G29" s="114"/>
      <c r="H29" s="114"/>
      <c r="I29" s="115" t="s">
        <v>247</v>
      </c>
      <c r="J29" s="116"/>
      <c r="K29" s="116"/>
      <c r="L29" s="116"/>
      <c r="M29" s="116"/>
      <c r="N29" s="116"/>
      <c r="O29" s="116"/>
      <c r="P29" s="116"/>
      <c r="Q29" s="116"/>
      <c r="R29" s="4" t="s">
        <v>246</v>
      </c>
      <c r="S29" s="114"/>
      <c r="T29" s="5"/>
      <c r="U29" s="5"/>
      <c r="V29" s="5"/>
      <c r="W29" s="5"/>
      <c r="X29" s="5"/>
      <c r="Y29" s="169" t="s">
        <v>150</v>
      </c>
      <c r="Z29" s="170"/>
      <c r="AA29" s="426" t="s">
        <v>243</v>
      </c>
      <c r="AB29" s="427"/>
      <c r="AC29" s="428"/>
      <c r="AD29" s="117"/>
      <c r="AE29" s="120" t="s">
        <v>244</v>
      </c>
      <c r="AF29" s="121"/>
      <c r="AG29" s="121"/>
      <c r="AH29" s="121"/>
      <c r="AI29" s="121"/>
      <c r="AJ29" s="121"/>
      <c r="AK29" s="121"/>
      <c r="AL29" s="121"/>
      <c r="AM29" s="121"/>
      <c r="AN29" s="121"/>
      <c r="AO29" s="122"/>
      <c r="AP29" s="122"/>
      <c r="AQ29" s="122"/>
      <c r="AR29" s="122"/>
      <c r="AS29" s="123" t="s">
        <v>248</v>
      </c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ht="14.4" customHeight="1">
      <c r="A30" s="131">
        <f>IF(B30="","",COUNTA($B$8:B30))</f>
        <v>23</v>
      </c>
      <c r="B30" s="169" t="s">
        <v>249</v>
      </c>
      <c r="C30" s="114"/>
      <c r="D30" s="114"/>
      <c r="E30" s="114"/>
      <c r="F30" s="114"/>
      <c r="G30" s="114"/>
      <c r="H30" s="134"/>
      <c r="I30" s="115" t="s">
        <v>250</v>
      </c>
      <c r="J30" s="116"/>
      <c r="K30" s="116"/>
      <c r="L30" s="116"/>
      <c r="M30" s="116"/>
      <c r="N30" s="116"/>
      <c r="O30" s="116"/>
      <c r="P30" s="116"/>
      <c r="Q30" s="133"/>
      <c r="R30" s="169" t="s">
        <v>249</v>
      </c>
      <c r="S30" s="116"/>
      <c r="T30" s="116"/>
      <c r="U30" s="116"/>
      <c r="V30" s="116"/>
      <c r="W30" s="116"/>
      <c r="X30" s="134"/>
      <c r="Y30" s="424" t="s">
        <v>150</v>
      </c>
      <c r="Z30" s="425"/>
      <c r="AA30" s="426" t="s">
        <v>151</v>
      </c>
      <c r="AB30" s="427"/>
      <c r="AC30" s="428"/>
      <c r="AD30" s="126">
        <v>4</v>
      </c>
      <c r="AE30" s="111"/>
      <c r="AF30" s="111"/>
      <c r="AG30" s="111"/>
      <c r="AH30" s="120"/>
      <c r="AI30" s="120"/>
      <c r="AJ30" s="120"/>
      <c r="AK30" s="120"/>
      <c r="AL30" s="120"/>
      <c r="AM30" s="120"/>
      <c r="AN30" s="120"/>
      <c r="AO30" s="111"/>
      <c r="AP30" s="111"/>
      <c r="AQ30" s="111"/>
      <c r="AR30" s="111"/>
      <c r="AS30" s="118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ht="14.4" customHeight="1">
      <c r="A31" s="131">
        <f>IF(B31="","",COUNTA($B$8:B31))</f>
        <v>24</v>
      </c>
      <c r="B31" s="169" t="s">
        <v>251</v>
      </c>
      <c r="C31" s="114"/>
      <c r="D31" s="114"/>
      <c r="E31" s="114"/>
      <c r="F31" s="114"/>
      <c r="G31" s="114"/>
      <c r="H31" s="134"/>
      <c r="I31" s="115" t="s">
        <v>252</v>
      </c>
      <c r="J31" s="116"/>
      <c r="K31" s="116"/>
      <c r="L31" s="116"/>
      <c r="M31" s="116"/>
      <c r="N31" s="116"/>
      <c r="O31" s="116"/>
      <c r="P31" s="116"/>
      <c r="Q31" s="133"/>
      <c r="R31" s="169" t="s">
        <v>251</v>
      </c>
      <c r="S31" s="116"/>
      <c r="T31" s="116"/>
      <c r="U31" s="116"/>
      <c r="V31" s="116"/>
      <c r="W31" s="116"/>
      <c r="X31" s="134"/>
      <c r="Y31" s="424" t="s">
        <v>150</v>
      </c>
      <c r="Z31" s="425"/>
      <c r="AA31" s="426" t="s">
        <v>151</v>
      </c>
      <c r="AB31" s="427"/>
      <c r="AC31" s="428"/>
      <c r="AD31" s="126">
        <v>4</v>
      </c>
      <c r="AE31" s="111"/>
      <c r="AF31" s="111"/>
      <c r="AG31" s="111"/>
      <c r="AH31" s="120"/>
      <c r="AI31" s="120"/>
      <c r="AJ31" s="120"/>
      <c r="AK31" s="120"/>
      <c r="AL31" s="120"/>
      <c r="AM31" s="120"/>
      <c r="AN31" s="120"/>
      <c r="AO31" s="111"/>
      <c r="AP31" s="111"/>
      <c r="AQ31" s="111"/>
      <c r="AR31" s="111"/>
      <c r="AS31" s="118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ht="14.4" customHeight="1">
      <c r="A32" s="131">
        <f>IF(B32="","",COUNTA($B$8:B32))</f>
        <v>25</v>
      </c>
      <c r="B32" s="169" t="s">
        <v>253</v>
      </c>
      <c r="C32" s="114"/>
      <c r="D32" s="114"/>
      <c r="E32" s="114"/>
      <c r="F32" s="114"/>
      <c r="G32" s="114"/>
      <c r="H32" s="134"/>
      <c r="I32" s="118" t="s">
        <v>254</v>
      </c>
      <c r="J32" s="116"/>
      <c r="K32" s="116"/>
      <c r="L32" s="116"/>
      <c r="M32" s="116"/>
      <c r="N32" s="116"/>
      <c r="O32" s="116"/>
      <c r="P32" s="116"/>
      <c r="Q32" s="133"/>
      <c r="R32" s="169" t="s">
        <v>253</v>
      </c>
      <c r="S32" s="116"/>
      <c r="T32" s="116"/>
      <c r="U32" s="116"/>
      <c r="V32" s="116"/>
      <c r="W32" s="116"/>
      <c r="X32" s="134"/>
      <c r="Y32" s="424" t="s">
        <v>150</v>
      </c>
      <c r="Z32" s="425"/>
      <c r="AA32" s="426" t="s">
        <v>151</v>
      </c>
      <c r="AB32" s="427"/>
      <c r="AC32" s="428"/>
      <c r="AD32" s="126">
        <v>10</v>
      </c>
      <c r="AE32" s="111"/>
      <c r="AF32" s="111"/>
      <c r="AG32" s="111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 ht="14.4" customHeight="1">
      <c r="A33" s="131">
        <f>IF(B33="","",COUNTA($B$8:B33))</f>
        <v>26</v>
      </c>
      <c r="B33" s="169" t="s">
        <v>255</v>
      </c>
      <c r="C33" s="114"/>
      <c r="D33" s="114"/>
      <c r="E33" s="114"/>
      <c r="F33" s="114"/>
      <c r="G33" s="114"/>
      <c r="H33" s="134"/>
      <c r="I33" s="118" t="s">
        <v>256</v>
      </c>
      <c r="J33" s="116"/>
      <c r="K33" s="116"/>
      <c r="L33" s="116"/>
      <c r="M33" s="116"/>
      <c r="N33" s="116"/>
      <c r="O33" s="116"/>
      <c r="P33" s="116"/>
      <c r="Q33" s="133"/>
      <c r="R33" s="169" t="s">
        <v>255</v>
      </c>
      <c r="S33" s="116"/>
      <c r="T33" s="116"/>
      <c r="U33" s="116"/>
      <c r="V33" s="116"/>
      <c r="W33" s="116"/>
      <c r="X33" s="134"/>
      <c r="Y33" s="424" t="s">
        <v>150</v>
      </c>
      <c r="Z33" s="425"/>
      <c r="AA33" s="426" t="s">
        <v>151</v>
      </c>
      <c r="AB33" s="427"/>
      <c r="AC33" s="428"/>
      <c r="AD33" s="126">
        <v>10</v>
      </c>
      <c r="AE33" s="111"/>
      <c r="AF33" s="111"/>
      <c r="AG33" s="111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 ht="14.4" customHeight="1">
      <c r="A34" s="131">
        <f>IF(B34="","",COUNTA($B$8:B34))</f>
        <v>27</v>
      </c>
      <c r="B34" s="169" t="s">
        <v>257</v>
      </c>
      <c r="C34" s="114"/>
      <c r="D34" s="114"/>
      <c r="E34" s="114"/>
      <c r="F34" s="114"/>
      <c r="G34" s="114"/>
      <c r="H34" s="134"/>
      <c r="I34" s="118" t="s">
        <v>258</v>
      </c>
      <c r="J34" s="116"/>
      <c r="K34" s="116"/>
      <c r="L34" s="116"/>
      <c r="M34" s="116"/>
      <c r="N34" s="116"/>
      <c r="O34" s="116"/>
      <c r="P34" s="116"/>
      <c r="Q34" s="133"/>
      <c r="R34" s="169" t="s">
        <v>257</v>
      </c>
      <c r="S34" s="116"/>
      <c r="T34" s="116"/>
      <c r="U34" s="116"/>
      <c r="V34" s="116"/>
      <c r="W34" s="116"/>
      <c r="X34" s="134"/>
      <c r="Y34" s="424" t="s">
        <v>169</v>
      </c>
      <c r="Z34" s="425"/>
      <c r="AA34" s="426" t="s">
        <v>243</v>
      </c>
      <c r="AB34" s="427"/>
      <c r="AC34" s="428"/>
      <c r="AD34" s="159"/>
      <c r="AE34" s="111"/>
      <c r="AF34" s="111"/>
      <c r="AG34" s="111"/>
      <c r="AH34" s="121"/>
      <c r="AI34" s="121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 ht="14.4" customHeight="1">
      <c r="A35" s="131">
        <f>IF(B35="","",COUNTA($B$8:B35))</f>
        <v>28</v>
      </c>
      <c r="B35" s="169" t="s">
        <v>259</v>
      </c>
      <c r="C35" s="114"/>
      <c r="D35" s="114"/>
      <c r="E35" s="114"/>
      <c r="F35" s="114"/>
      <c r="G35" s="114"/>
      <c r="H35" s="134"/>
      <c r="I35" s="118" t="s">
        <v>260</v>
      </c>
      <c r="J35" s="116"/>
      <c r="K35" s="116"/>
      <c r="L35" s="116"/>
      <c r="M35" s="116"/>
      <c r="N35" s="116"/>
      <c r="O35" s="116"/>
      <c r="P35" s="116"/>
      <c r="Q35" s="133"/>
      <c r="R35" s="169" t="s">
        <v>259</v>
      </c>
      <c r="S35" s="116"/>
      <c r="T35" s="116"/>
      <c r="U35" s="116"/>
      <c r="V35" s="116"/>
      <c r="W35" s="116"/>
      <c r="X35" s="134"/>
      <c r="Y35" s="424" t="s">
        <v>150</v>
      </c>
      <c r="Z35" s="425"/>
      <c r="AA35" s="426" t="s">
        <v>151</v>
      </c>
      <c r="AB35" s="427"/>
      <c r="AC35" s="428"/>
      <c r="AD35" s="126">
        <v>10</v>
      </c>
      <c r="AE35" s="111"/>
      <c r="AF35" s="111"/>
      <c r="AG35" s="111"/>
      <c r="AH35" s="121"/>
      <c r="AI35" s="121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ht="14.4" customHeight="1">
      <c r="A36" s="131">
        <f>IF(B36="","",COUNTA($B$8:B36))</f>
        <v>29</v>
      </c>
      <c r="B36" s="169" t="s">
        <v>261</v>
      </c>
      <c r="C36" s="114"/>
      <c r="D36" s="114"/>
      <c r="E36" s="114"/>
      <c r="F36" s="114"/>
      <c r="G36" s="114"/>
      <c r="H36" s="134"/>
      <c r="I36" s="118" t="s">
        <v>262</v>
      </c>
      <c r="J36" s="116"/>
      <c r="K36" s="116"/>
      <c r="L36" s="116"/>
      <c r="M36" s="116"/>
      <c r="N36" s="116"/>
      <c r="O36" s="116"/>
      <c r="P36" s="116"/>
      <c r="Q36" s="133"/>
      <c r="R36" s="169" t="s">
        <v>261</v>
      </c>
      <c r="S36" s="116"/>
      <c r="T36" s="116"/>
      <c r="U36" s="116"/>
      <c r="V36" s="116"/>
      <c r="W36" s="116"/>
      <c r="X36" s="134"/>
      <c r="Y36" s="424" t="s">
        <v>150</v>
      </c>
      <c r="Z36" s="425"/>
      <c r="AA36" s="426" t="s">
        <v>151</v>
      </c>
      <c r="AB36" s="427"/>
      <c r="AC36" s="428"/>
      <c r="AD36" s="159">
        <v>10</v>
      </c>
      <c r="AE36" s="111"/>
      <c r="AF36" s="111"/>
      <c r="AG36" s="111"/>
      <c r="AH36" s="120"/>
      <c r="AI36" s="120"/>
      <c r="AJ36" s="120"/>
      <c r="AK36" s="120"/>
      <c r="AL36" s="121"/>
      <c r="AM36" s="121"/>
      <c r="AN36" s="121"/>
      <c r="AO36" s="122"/>
      <c r="AP36" s="122"/>
      <c r="AQ36" s="122"/>
      <c r="AR36" s="122"/>
      <c r="AS36" s="123"/>
      <c r="AT36" s="161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ht="14.4" customHeight="1">
      <c r="A37" s="131">
        <f>IF(B37="","",COUNTA($B$8:B37))</f>
        <v>30</v>
      </c>
      <c r="B37" s="169" t="s">
        <v>263</v>
      </c>
      <c r="C37" s="114"/>
      <c r="D37" s="114"/>
      <c r="E37" s="114"/>
      <c r="F37" s="114"/>
      <c r="G37" s="114"/>
      <c r="H37" s="134"/>
      <c r="I37" s="118" t="s">
        <v>264</v>
      </c>
      <c r="J37" s="116"/>
      <c r="K37" s="116"/>
      <c r="L37" s="116"/>
      <c r="M37" s="116"/>
      <c r="N37" s="116"/>
      <c r="O37" s="116"/>
      <c r="P37" s="116"/>
      <c r="Q37" s="133"/>
      <c r="R37" s="132" t="s">
        <v>263</v>
      </c>
      <c r="S37" s="116"/>
      <c r="T37" s="116"/>
      <c r="U37" s="116"/>
      <c r="V37" s="116"/>
      <c r="W37" s="116"/>
      <c r="X37" s="134"/>
      <c r="Y37" s="424" t="s">
        <v>169</v>
      </c>
      <c r="Z37" s="425"/>
      <c r="AA37" s="426" t="s">
        <v>243</v>
      </c>
      <c r="AB37" s="427"/>
      <c r="AC37" s="428"/>
      <c r="AD37" s="159"/>
      <c r="AE37" s="111"/>
      <c r="AF37" s="111"/>
      <c r="AG37" s="111"/>
      <c r="AH37" s="121"/>
      <c r="AI37" s="121"/>
      <c r="AJ37" s="121"/>
      <c r="AK37" s="121"/>
      <c r="AL37" s="121"/>
      <c r="AM37" s="121"/>
      <c r="AN37" s="121"/>
      <c r="AO37" s="122"/>
      <c r="AP37" s="122"/>
      <c r="AQ37" s="122"/>
      <c r="AR37" s="122"/>
      <c r="AS37" s="123"/>
      <c r="AT37" s="161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ht="14.4" customHeight="1">
      <c r="A38" s="131" t="str">
        <f>IF(B38="","",COUNTA($B$8:B38))</f>
        <v/>
      </c>
      <c r="B38" s="169"/>
      <c r="C38" s="114"/>
      <c r="D38" s="114"/>
      <c r="E38" s="114"/>
      <c r="F38" s="114"/>
      <c r="G38" s="114"/>
      <c r="H38" s="134"/>
      <c r="I38" s="115"/>
      <c r="J38" s="116"/>
      <c r="K38" s="116"/>
      <c r="L38" s="116"/>
      <c r="M38" s="116"/>
      <c r="N38" s="116"/>
      <c r="O38" s="116"/>
      <c r="P38" s="116"/>
      <c r="Q38" s="133"/>
      <c r="R38" s="169"/>
      <c r="S38" s="116"/>
      <c r="T38" s="116"/>
      <c r="U38" s="116"/>
      <c r="V38" s="116"/>
      <c r="W38" s="116"/>
      <c r="X38" s="134"/>
      <c r="Y38" s="424"/>
      <c r="Z38" s="425"/>
      <c r="AA38" s="426"/>
      <c r="AB38" s="427"/>
      <c r="AC38" s="428"/>
      <c r="AD38" s="159"/>
      <c r="AE38" s="111" t="s">
        <v>244</v>
      </c>
      <c r="AF38" s="111"/>
      <c r="AG38" s="111"/>
      <c r="AH38" s="121"/>
      <c r="AI38" s="121"/>
      <c r="AJ38" s="121"/>
      <c r="AK38" s="121"/>
      <c r="AL38" s="121"/>
      <c r="AM38" s="121"/>
      <c r="AN38" s="121"/>
      <c r="AO38" s="122"/>
      <c r="AP38" s="122"/>
      <c r="AQ38" s="122"/>
      <c r="AR38" s="122"/>
      <c r="AS38" s="123"/>
      <c r="AT38" s="161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ht="14.4" customHeight="1">
      <c r="A39" s="131" t="str">
        <f>IF(B39="","",COUNTA($B$8:B39))</f>
        <v/>
      </c>
      <c r="B39" s="169"/>
      <c r="C39" s="114"/>
      <c r="D39" s="114"/>
      <c r="E39" s="114"/>
      <c r="F39" s="114"/>
      <c r="G39" s="114"/>
      <c r="H39" s="134"/>
      <c r="I39" s="115"/>
      <c r="J39" s="116"/>
      <c r="K39" s="116"/>
      <c r="L39" s="116"/>
      <c r="M39" s="116"/>
      <c r="N39" s="116"/>
      <c r="O39" s="116"/>
      <c r="P39" s="116"/>
      <c r="Q39" s="133"/>
      <c r="R39" s="169"/>
      <c r="S39" s="116"/>
      <c r="T39" s="116"/>
      <c r="U39" s="116"/>
      <c r="V39" s="116"/>
      <c r="W39" s="116"/>
      <c r="X39" s="134"/>
      <c r="Y39" s="424"/>
      <c r="Z39" s="425"/>
      <c r="AA39" s="426"/>
      <c r="AB39" s="427"/>
      <c r="AC39" s="428"/>
      <c r="AD39" s="159"/>
      <c r="AE39" s="111" t="s">
        <v>244</v>
      </c>
      <c r="AF39" s="111"/>
      <c r="AG39" s="111"/>
      <c r="AH39" s="121"/>
      <c r="AI39" s="121"/>
      <c r="AJ39" s="121"/>
      <c r="AK39" s="121"/>
      <c r="AL39" s="121"/>
      <c r="AM39" s="121"/>
      <c r="AN39" s="121"/>
      <c r="AO39" s="122"/>
      <c r="AP39" s="122"/>
      <c r="AQ39" s="122"/>
      <c r="AR39" s="122"/>
      <c r="AS39" s="123"/>
      <c r="AT39" s="161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s="1" customFormat="1" ht="14.4" customHeight="1">
      <c r="A40" s="131" t="str">
        <f>IF(B40="","",COUNTA($B$8:B40))</f>
        <v/>
      </c>
      <c r="B40" s="169"/>
      <c r="C40" s="114"/>
      <c r="D40" s="114"/>
      <c r="E40" s="114"/>
      <c r="F40" s="114"/>
      <c r="G40" s="114"/>
      <c r="H40" s="134"/>
      <c r="I40" s="115"/>
      <c r="J40" s="116"/>
      <c r="K40" s="116"/>
      <c r="L40" s="116"/>
      <c r="M40" s="116"/>
      <c r="N40" s="116"/>
      <c r="O40" s="116"/>
      <c r="P40" s="116"/>
      <c r="Q40" s="133"/>
      <c r="R40" s="169"/>
      <c r="S40" s="116"/>
      <c r="T40" s="116"/>
      <c r="U40" s="116"/>
      <c r="V40" s="116"/>
      <c r="W40" s="116"/>
      <c r="X40" s="134"/>
      <c r="Y40" s="424"/>
      <c r="Z40" s="425"/>
      <c r="AA40" s="426"/>
      <c r="AB40" s="427"/>
      <c r="AC40" s="428"/>
      <c r="AD40" s="159"/>
      <c r="AE40" s="111" t="s">
        <v>244</v>
      </c>
      <c r="AF40" s="111"/>
      <c r="AG40" s="111"/>
      <c r="AH40" s="121"/>
      <c r="AI40" s="121"/>
      <c r="AJ40" s="121"/>
      <c r="AK40" s="121"/>
      <c r="AL40" s="121"/>
      <c r="AM40" s="121"/>
      <c r="AN40" s="121"/>
      <c r="AO40" s="122"/>
      <c r="AP40" s="122"/>
      <c r="AQ40" s="122"/>
      <c r="AR40" s="122"/>
      <c r="AS40" s="123"/>
      <c r="AT40" s="161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6" s="1" customFormat="1" ht="14.4" customHeight="1">
      <c r="A41" s="131" t="str">
        <f>IF(B41="","",COUNTA($B$8:B41))</f>
        <v/>
      </c>
      <c r="B41" s="8"/>
      <c r="C41" s="114"/>
      <c r="D41" s="114"/>
      <c r="E41" s="114"/>
      <c r="F41" s="114"/>
      <c r="G41" s="114"/>
      <c r="H41" s="134"/>
      <c r="I41" s="115"/>
      <c r="J41" s="116"/>
      <c r="K41" s="116"/>
      <c r="L41" s="116"/>
      <c r="M41" s="116"/>
      <c r="N41" s="116"/>
      <c r="O41" s="116"/>
      <c r="P41" s="116"/>
      <c r="Q41" s="133"/>
      <c r="R41" s="8"/>
      <c r="S41" s="116"/>
      <c r="T41" s="116"/>
      <c r="U41" s="116"/>
      <c r="V41" s="116"/>
      <c r="W41" s="116"/>
      <c r="X41" s="134"/>
      <c r="Y41" s="424"/>
      <c r="Z41" s="425"/>
      <c r="AA41" s="426"/>
      <c r="AB41" s="427"/>
      <c r="AC41" s="428"/>
      <c r="AD41" s="159"/>
      <c r="AE41" s="111" t="s">
        <v>244</v>
      </c>
      <c r="AF41" s="111"/>
      <c r="AG41" s="111"/>
      <c r="AH41" s="121"/>
      <c r="AI41" s="121"/>
      <c r="AJ41" s="121"/>
      <c r="AK41" s="121"/>
      <c r="AL41" s="121"/>
      <c r="AM41" s="121"/>
      <c r="AN41" s="121"/>
      <c r="AO41" s="122"/>
      <c r="AP41" s="122"/>
      <c r="AQ41" s="122"/>
      <c r="AR41" s="122"/>
      <c r="AS41" s="123"/>
      <c r="AT41" s="161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6" s="1" customFormat="1" ht="14.4" customHeight="1">
      <c r="A42" s="131" t="str">
        <f>IF(B42="","",COUNTA($B$8:B42))</f>
        <v/>
      </c>
      <c r="B42" s="8"/>
      <c r="C42" s="114"/>
      <c r="D42" s="114"/>
      <c r="E42" s="114"/>
      <c r="F42" s="114"/>
      <c r="G42" s="114"/>
      <c r="H42" s="134"/>
      <c r="I42" s="115"/>
      <c r="J42" s="116"/>
      <c r="K42" s="116"/>
      <c r="L42" s="116"/>
      <c r="M42" s="116"/>
      <c r="N42" s="116"/>
      <c r="O42" s="116"/>
      <c r="P42" s="116"/>
      <c r="Q42" s="133"/>
      <c r="R42" s="8"/>
      <c r="S42" s="116"/>
      <c r="T42" s="116"/>
      <c r="U42" s="116"/>
      <c r="V42" s="116"/>
      <c r="W42" s="116"/>
      <c r="X42" s="134"/>
      <c r="Y42" s="424"/>
      <c r="Z42" s="425"/>
      <c r="AA42" s="426"/>
      <c r="AB42" s="427"/>
      <c r="AC42" s="428"/>
      <c r="AD42" s="159"/>
      <c r="AE42" s="111" t="s">
        <v>244</v>
      </c>
      <c r="AF42" s="111"/>
      <c r="AG42" s="111"/>
      <c r="AH42" s="121"/>
      <c r="AI42" s="121"/>
      <c r="AJ42" s="121"/>
      <c r="AK42" s="121"/>
      <c r="AL42" s="121"/>
      <c r="AM42" s="121"/>
      <c r="AN42" s="121"/>
      <c r="AO42" s="122"/>
      <c r="AP42" s="122"/>
      <c r="AQ42" s="122"/>
      <c r="AR42" s="122"/>
      <c r="AS42" s="123"/>
      <c r="AT42" s="161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6" s="1" customFormat="1" ht="14.4" customHeight="1">
      <c r="A43" s="131" t="str">
        <f>IF(B43="","",COUNTA($B$8:B43))</f>
        <v/>
      </c>
      <c r="B43" s="273"/>
      <c r="C43" s="114"/>
      <c r="D43" s="114"/>
      <c r="E43" s="114"/>
      <c r="F43" s="114"/>
      <c r="G43" s="114"/>
      <c r="H43" s="134"/>
      <c r="I43" s="115"/>
      <c r="J43" s="116"/>
      <c r="K43" s="116"/>
      <c r="L43" s="116"/>
      <c r="M43" s="116"/>
      <c r="N43" s="116"/>
      <c r="O43" s="116"/>
      <c r="P43" s="116"/>
      <c r="Q43" s="133"/>
      <c r="R43" s="273"/>
      <c r="S43" s="116"/>
      <c r="T43" s="116"/>
      <c r="U43" s="116"/>
      <c r="V43" s="116"/>
      <c r="W43" s="116"/>
      <c r="X43" s="134"/>
      <c r="Y43" s="424"/>
      <c r="Z43" s="425"/>
      <c r="AA43" s="426"/>
      <c r="AB43" s="427"/>
      <c r="AC43" s="428"/>
      <c r="AD43" s="159"/>
      <c r="AE43" s="111" t="s">
        <v>244</v>
      </c>
      <c r="AF43" s="111"/>
      <c r="AG43" s="111"/>
      <c r="AH43" s="121"/>
      <c r="AI43" s="121"/>
      <c r="AJ43" s="121"/>
      <c r="AK43" s="121"/>
      <c r="AL43" s="121"/>
      <c r="AM43" s="121"/>
      <c r="AN43" s="121"/>
      <c r="AO43" s="122"/>
      <c r="AP43" s="122"/>
      <c r="AQ43" s="122"/>
      <c r="AR43" s="122"/>
      <c r="AS43" s="123"/>
      <c r="AT43" s="161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6" s="1" customFormat="1" ht="14.4" customHeight="1">
      <c r="A44" s="131" t="str">
        <f>IF(B44="","",COUNTA($B$8:B44))</f>
        <v/>
      </c>
      <c r="B44" s="273"/>
      <c r="C44" s="114"/>
      <c r="D44" s="114"/>
      <c r="E44" s="114"/>
      <c r="F44" s="114"/>
      <c r="G44" s="114"/>
      <c r="H44" s="134"/>
      <c r="I44" s="115"/>
      <c r="J44" s="116"/>
      <c r="K44" s="116"/>
      <c r="L44" s="116"/>
      <c r="M44" s="116"/>
      <c r="N44" s="116"/>
      <c r="O44" s="116"/>
      <c r="P44" s="116"/>
      <c r="Q44" s="133"/>
      <c r="R44" s="273"/>
      <c r="S44" s="116"/>
      <c r="T44" s="116"/>
      <c r="U44" s="116"/>
      <c r="V44" s="116"/>
      <c r="W44" s="116"/>
      <c r="X44" s="134"/>
      <c r="Y44" s="424"/>
      <c r="Z44" s="425"/>
      <c r="AA44" s="426"/>
      <c r="AB44" s="427"/>
      <c r="AC44" s="428"/>
      <c r="AD44" s="159"/>
      <c r="AE44" s="111" t="s">
        <v>244</v>
      </c>
      <c r="AF44" s="111"/>
      <c r="AG44" s="111"/>
      <c r="AH44" s="121"/>
      <c r="AI44" s="121"/>
      <c r="AJ44" s="121"/>
      <c r="AK44" s="121"/>
      <c r="AL44" s="121"/>
      <c r="AM44" s="121"/>
      <c r="AN44" s="121"/>
      <c r="AO44" s="122"/>
      <c r="AP44" s="122"/>
      <c r="AQ44" s="122"/>
      <c r="AR44" s="122"/>
      <c r="AS44" s="123"/>
      <c r="AT44" s="161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6" s="1" customFormat="1" ht="14.4" customHeight="1">
      <c r="A45" s="131" t="str">
        <f>IF(B45="","",COUNTA($B$8:B45))</f>
        <v/>
      </c>
      <c r="B45" s="273"/>
      <c r="C45" s="114"/>
      <c r="D45" s="114"/>
      <c r="E45" s="114"/>
      <c r="F45" s="114"/>
      <c r="G45" s="114"/>
      <c r="H45" s="134"/>
      <c r="I45" s="115"/>
      <c r="J45" s="116"/>
      <c r="K45" s="116"/>
      <c r="L45" s="116"/>
      <c r="M45" s="116"/>
      <c r="N45" s="116"/>
      <c r="O45" s="116"/>
      <c r="P45" s="116"/>
      <c r="Q45" s="133"/>
      <c r="R45" s="273"/>
      <c r="S45" s="116"/>
      <c r="T45" s="116"/>
      <c r="U45" s="116"/>
      <c r="V45" s="116"/>
      <c r="W45" s="116"/>
      <c r="X45" s="134"/>
      <c r="Y45" s="424"/>
      <c r="Z45" s="425"/>
      <c r="AA45" s="426"/>
      <c r="AB45" s="427"/>
      <c r="AC45" s="428"/>
      <c r="AD45" s="159"/>
      <c r="AE45" s="111" t="s">
        <v>244</v>
      </c>
      <c r="AF45" s="111"/>
      <c r="AG45" s="111"/>
      <c r="AH45" s="121"/>
      <c r="AI45" s="121"/>
      <c r="AJ45" s="121"/>
      <c r="AK45" s="121"/>
      <c r="AL45" s="121"/>
      <c r="AM45" s="121"/>
      <c r="AN45" s="121"/>
      <c r="AO45" s="122"/>
      <c r="AP45" s="122"/>
      <c r="AQ45" s="122"/>
      <c r="AR45" s="122"/>
      <c r="AS45" s="123"/>
      <c r="AT45" s="161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  <row r="46" spans="1:56" s="1" customFormat="1" ht="14.4" customHeight="1">
      <c r="A46" s="131" t="str">
        <f>IF(B46="","",COUNTA($B$8:B46))</f>
        <v/>
      </c>
      <c r="B46" s="273"/>
      <c r="C46" s="114"/>
      <c r="D46" s="114"/>
      <c r="E46" s="114"/>
      <c r="F46" s="114"/>
      <c r="G46" s="114"/>
      <c r="H46" s="134"/>
      <c r="I46" s="115"/>
      <c r="J46" s="116"/>
      <c r="K46" s="116"/>
      <c r="L46" s="116"/>
      <c r="M46" s="116"/>
      <c r="N46" s="116"/>
      <c r="O46" s="116"/>
      <c r="P46" s="116"/>
      <c r="Q46" s="133"/>
      <c r="R46" s="273"/>
      <c r="S46" s="116"/>
      <c r="T46" s="116"/>
      <c r="U46" s="116"/>
      <c r="V46" s="116"/>
      <c r="W46" s="116"/>
      <c r="X46" s="134"/>
      <c r="Y46" s="424"/>
      <c r="Z46" s="425"/>
      <c r="AA46" s="426"/>
      <c r="AB46" s="427"/>
      <c r="AC46" s="428"/>
      <c r="AD46" s="159"/>
      <c r="AE46" s="111" t="s">
        <v>244</v>
      </c>
      <c r="AF46" s="111"/>
      <c r="AG46" s="111"/>
      <c r="AH46" s="121"/>
      <c r="AI46" s="121"/>
      <c r="AJ46" s="121"/>
      <c r="AK46" s="121"/>
      <c r="AL46" s="121"/>
      <c r="AM46" s="121"/>
      <c r="AN46" s="121"/>
      <c r="AO46" s="122"/>
      <c r="AP46" s="122"/>
      <c r="AQ46" s="122"/>
      <c r="AR46" s="122"/>
      <c r="AS46" s="123"/>
      <c r="AT46" s="161"/>
      <c r="AU46" s="124"/>
      <c r="AV46" s="124"/>
      <c r="AW46" s="124"/>
      <c r="AX46" s="124"/>
      <c r="AY46" s="124"/>
      <c r="AZ46" s="124"/>
      <c r="BA46" s="124"/>
      <c r="BB46" s="124"/>
      <c r="BC46" s="124"/>
      <c r="BD46" s="125"/>
    </row>
  </sheetData>
  <mergeCells count="100">
    <mergeCell ref="AA31:AC31"/>
    <mergeCell ref="Y32:Z32"/>
    <mergeCell ref="AA32:AC32"/>
    <mergeCell ref="Y35:Z35"/>
    <mergeCell ref="Y25:Z25"/>
    <mergeCell ref="Y26:Z26"/>
    <mergeCell ref="Y31:Z31"/>
    <mergeCell ref="Y27:Z27"/>
    <mergeCell ref="AA29:AC29"/>
    <mergeCell ref="Y30:Z30"/>
    <mergeCell ref="AA30:AC30"/>
    <mergeCell ref="Y20:Z20"/>
    <mergeCell ref="Y24:Z24"/>
    <mergeCell ref="Y23:Z23"/>
    <mergeCell ref="Y21:Z21"/>
    <mergeCell ref="Y42:Z42"/>
    <mergeCell ref="AA42:AC42"/>
    <mergeCell ref="AA33:AC33"/>
    <mergeCell ref="Y34:Z34"/>
    <mergeCell ref="AA34:AC34"/>
    <mergeCell ref="Y40:Z40"/>
    <mergeCell ref="AA40:AC40"/>
    <mergeCell ref="Y38:Z38"/>
    <mergeCell ref="AA38:AC38"/>
    <mergeCell ref="Y39:Z39"/>
    <mergeCell ref="AA39:AC39"/>
    <mergeCell ref="Y37:Z37"/>
    <mergeCell ref="AA37:AC37"/>
    <mergeCell ref="Y41:Z41"/>
    <mergeCell ref="AA41:AC41"/>
    <mergeCell ref="Y33:Z33"/>
    <mergeCell ref="A6:A7"/>
    <mergeCell ref="B6:H7"/>
    <mergeCell ref="Y15:Z15"/>
    <mergeCell ref="AA15:AC15"/>
    <mergeCell ref="Y18:Z18"/>
    <mergeCell ref="AA18:AC18"/>
    <mergeCell ref="Y17:Z17"/>
    <mergeCell ref="AA17:AC17"/>
    <mergeCell ref="Y9:Z9"/>
    <mergeCell ref="I6:Q7"/>
    <mergeCell ref="R6:X7"/>
    <mergeCell ref="Y6:Z7"/>
    <mergeCell ref="Y8:Z8"/>
    <mergeCell ref="Y16:Z16"/>
    <mergeCell ref="AA16:AC16"/>
    <mergeCell ref="AP4:AT4"/>
    <mergeCell ref="AU4:AY4"/>
    <mergeCell ref="AZ4:BD4"/>
    <mergeCell ref="Y36:Z36"/>
    <mergeCell ref="AA36:AC36"/>
    <mergeCell ref="Y10:Z10"/>
    <mergeCell ref="AA10:AC10"/>
    <mergeCell ref="Y11:Z11"/>
    <mergeCell ref="AA11:AC11"/>
    <mergeCell ref="AA28:AC28"/>
    <mergeCell ref="AA27:AC27"/>
    <mergeCell ref="AA35:AC35"/>
    <mergeCell ref="AA25:AC25"/>
    <mergeCell ref="AA8:AC8"/>
    <mergeCell ref="AA6:AC7"/>
    <mergeCell ref="Y19:Z19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D6:AD7"/>
    <mergeCell ref="AE6:AE7"/>
    <mergeCell ref="AA23:AC23"/>
    <mergeCell ref="AA9:AC9"/>
    <mergeCell ref="AA26:AC26"/>
    <mergeCell ref="AA20:AC20"/>
    <mergeCell ref="AA24:AC24"/>
    <mergeCell ref="AA19:AC19"/>
    <mergeCell ref="AA21:AC21"/>
    <mergeCell ref="AG6:AG7"/>
    <mergeCell ref="AH6:AH7"/>
    <mergeCell ref="AI6:AR6"/>
    <mergeCell ref="AS6:BD7"/>
    <mergeCell ref="AF6:AF7"/>
    <mergeCell ref="Y46:Z46"/>
    <mergeCell ref="AA46:AC46"/>
    <mergeCell ref="Y43:Z43"/>
    <mergeCell ref="AA43:AC43"/>
    <mergeCell ref="Y44:Z44"/>
    <mergeCell ref="AA44:AC44"/>
    <mergeCell ref="Y45:Z45"/>
    <mergeCell ref="AA45:AC45"/>
  </mergeCells>
  <phoneticPr fontId="5"/>
  <dataValidations count="3">
    <dataValidation imeMode="hiragana" allowBlank="1" showInputMessage="1" showErrorMessage="1" sqref="JO65486:JZ65488 TK65486:TV65488 ADG65486:ADR65488 ANC65486:ANN65488 AWY65486:AXJ65488 BGU65486:BHF65488 BQQ65486:BRB65488 CAM65486:CAX65488 CKI65486:CKT65488 CUE65486:CUP65488 DEA65486:DEL65488 DNW65486:DOH65488 DXS65486:DYD65488 EHO65486:EHZ65488 ERK65486:ERV65488 FBG65486:FBR65488 FLC65486:FLN65488 FUY65486:FVJ65488 GEU65486:GFF65488 GOQ65486:GPB65488 GYM65486:GYX65488 HII65486:HIT65488 HSE65486:HSP65488 ICA65486:ICL65488 ILW65486:IMH65488 IVS65486:IWD65488 JFO65486:JFZ65488 JPK65486:JPV65488 JZG65486:JZR65488 KJC65486:KJN65488 KSY65486:KTJ65488 LCU65486:LDF65488 LMQ65486:LNB65488 LWM65486:LWX65488 MGI65486:MGT65488 MQE65486:MQP65488 NAA65486:NAL65488 NJW65486:NKH65488 NTS65486:NUD65488 ODO65486:ODZ65488 ONK65486:ONV65488 OXG65486:OXR65488 PHC65486:PHN65488 PQY65486:PRJ65488 QAU65486:QBF65488 QKQ65486:QLB65488 QUM65486:QUX65488 REI65486:RET65488 ROE65486:ROP65488 RYA65486:RYL65488 SHW65486:SIH65488 SRS65486:SSD65488 TBO65486:TBZ65488 TLK65486:TLV65488 TVG65486:TVR65488 UFC65486:UFN65488 UOY65486:UPJ65488 UYU65486:UZF65488 VIQ65486:VJB65488 VSM65486:VSX65488 WCI65486:WCT65488 WME65486:WMP65488 WWA65486:WWL65488 JO131022:JZ131024 TK131022:TV131024 ADG131022:ADR131024 ANC131022:ANN131024 AWY131022:AXJ131024 BGU131022:BHF131024 BQQ131022:BRB131024 CAM131022:CAX131024 CKI131022:CKT131024 CUE131022:CUP131024 DEA131022:DEL131024 DNW131022:DOH131024 DXS131022:DYD131024 EHO131022:EHZ131024 ERK131022:ERV131024 FBG131022:FBR131024 FLC131022:FLN131024 FUY131022:FVJ131024 GEU131022:GFF131024 GOQ131022:GPB131024 GYM131022:GYX131024 HII131022:HIT131024 HSE131022:HSP131024 ICA131022:ICL131024 ILW131022:IMH131024 IVS131022:IWD131024 JFO131022:JFZ131024 JPK131022:JPV131024 JZG131022:JZR131024 KJC131022:KJN131024 KSY131022:KTJ131024 LCU131022:LDF131024 LMQ131022:LNB131024 LWM131022:LWX131024 MGI131022:MGT131024 MQE131022:MQP131024 NAA131022:NAL131024 NJW131022:NKH131024 NTS131022:NUD131024 ODO131022:ODZ131024 ONK131022:ONV131024 OXG131022:OXR131024 PHC131022:PHN131024 PQY131022:PRJ131024 QAU131022:QBF131024 QKQ131022:QLB131024 QUM131022:QUX131024 REI131022:RET131024 ROE131022:ROP131024 RYA131022:RYL131024 SHW131022:SIH131024 SRS131022:SSD131024 TBO131022:TBZ131024 TLK131022:TLV131024 TVG131022:TVR131024 UFC131022:UFN131024 UOY131022:UPJ131024 UYU131022:UZF131024 VIQ131022:VJB131024 VSM131022:VSX131024 WCI131022:WCT131024 WME131022:WMP131024 WWA131022:WWL131024 JO196558:JZ196560 TK196558:TV196560 ADG196558:ADR196560 ANC196558:ANN196560 AWY196558:AXJ196560 BGU196558:BHF196560 BQQ196558:BRB196560 CAM196558:CAX196560 CKI196558:CKT196560 CUE196558:CUP196560 DEA196558:DEL196560 DNW196558:DOH196560 DXS196558:DYD196560 EHO196558:EHZ196560 ERK196558:ERV196560 FBG196558:FBR196560 FLC196558:FLN196560 FUY196558:FVJ196560 GEU196558:GFF196560 GOQ196558:GPB196560 GYM196558:GYX196560 HII196558:HIT196560 HSE196558:HSP196560 ICA196558:ICL196560 ILW196558:IMH196560 IVS196558:IWD196560 JFO196558:JFZ196560 JPK196558:JPV196560 JZG196558:JZR196560 KJC196558:KJN196560 KSY196558:KTJ196560 LCU196558:LDF196560 LMQ196558:LNB196560 LWM196558:LWX196560 MGI196558:MGT196560 MQE196558:MQP196560 NAA196558:NAL196560 NJW196558:NKH196560 NTS196558:NUD196560 ODO196558:ODZ196560 ONK196558:ONV196560 OXG196558:OXR196560 PHC196558:PHN196560 PQY196558:PRJ196560 QAU196558:QBF196560 QKQ196558:QLB196560 QUM196558:QUX196560 REI196558:RET196560 ROE196558:ROP196560 RYA196558:RYL196560 SHW196558:SIH196560 SRS196558:SSD196560 TBO196558:TBZ196560 TLK196558:TLV196560 TVG196558:TVR196560 UFC196558:UFN196560 UOY196558:UPJ196560 UYU196558:UZF196560 VIQ196558:VJB196560 VSM196558:VSX196560 WCI196558:WCT196560 WME196558:WMP196560 WWA196558:WWL196560 JO262094:JZ262096 TK262094:TV262096 ADG262094:ADR262096 ANC262094:ANN262096 AWY262094:AXJ262096 BGU262094:BHF262096 BQQ262094:BRB262096 CAM262094:CAX262096 CKI262094:CKT262096 CUE262094:CUP262096 DEA262094:DEL262096 DNW262094:DOH262096 DXS262094:DYD262096 EHO262094:EHZ262096 ERK262094:ERV262096 FBG262094:FBR262096 FLC262094:FLN262096 FUY262094:FVJ262096 GEU262094:GFF262096 GOQ262094:GPB262096 GYM262094:GYX262096 HII262094:HIT262096 HSE262094:HSP262096 ICA262094:ICL262096 ILW262094:IMH262096 IVS262094:IWD262096 JFO262094:JFZ262096 JPK262094:JPV262096 JZG262094:JZR262096 KJC262094:KJN262096 KSY262094:KTJ262096 LCU262094:LDF262096 LMQ262094:LNB262096 LWM262094:LWX262096 MGI262094:MGT262096 MQE262094:MQP262096 NAA262094:NAL262096 NJW262094:NKH262096 NTS262094:NUD262096 ODO262094:ODZ262096 ONK262094:ONV262096 OXG262094:OXR262096 PHC262094:PHN262096 PQY262094:PRJ262096 QAU262094:QBF262096 QKQ262094:QLB262096 QUM262094:QUX262096 REI262094:RET262096 ROE262094:ROP262096 RYA262094:RYL262096 SHW262094:SIH262096 SRS262094:SSD262096 TBO262094:TBZ262096 TLK262094:TLV262096 TVG262094:TVR262096 UFC262094:UFN262096 UOY262094:UPJ262096 UYU262094:UZF262096 VIQ262094:VJB262096 VSM262094:VSX262096 WCI262094:WCT262096 WME262094:WMP262096 WWA262094:WWL262096 JO327630:JZ327632 TK327630:TV327632 ADG327630:ADR327632 ANC327630:ANN327632 AWY327630:AXJ327632 BGU327630:BHF327632 BQQ327630:BRB327632 CAM327630:CAX327632 CKI327630:CKT327632 CUE327630:CUP327632 DEA327630:DEL327632 DNW327630:DOH327632 DXS327630:DYD327632 EHO327630:EHZ327632 ERK327630:ERV327632 FBG327630:FBR327632 FLC327630:FLN327632 FUY327630:FVJ327632 GEU327630:GFF327632 GOQ327630:GPB327632 GYM327630:GYX327632 HII327630:HIT327632 HSE327630:HSP327632 ICA327630:ICL327632 ILW327630:IMH327632 IVS327630:IWD327632 JFO327630:JFZ327632 JPK327630:JPV327632 JZG327630:JZR327632 KJC327630:KJN327632 KSY327630:KTJ327632 LCU327630:LDF327632 LMQ327630:LNB327632 LWM327630:LWX327632 MGI327630:MGT327632 MQE327630:MQP327632 NAA327630:NAL327632 NJW327630:NKH327632 NTS327630:NUD327632 ODO327630:ODZ327632 ONK327630:ONV327632 OXG327630:OXR327632 PHC327630:PHN327632 PQY327630:PRJ327632 QAU327630:QBF327632 QKQ327630:QLB327632 QUM327630:QUX327632 REI327630:RET327632 ROE327630:ROP327632 RYA327630:RYL327632 SHW327630:SIH327632 SRS327630:SSD327632 TBO327630:TBZ327632 TLK327630:TLV327632 TVG327630:TVR327632 UFC327630:UFN327632 UOY327630:UPJ327632 UYU327630:UZF327632 VIQ327630:VJB327632 VSM327630:VSX327632 WCI327630:WCT327632 WME327630:WMP327632 WWA327630:WWL327632 JO393166:JZ393168 TK393166:TV393168 ADG393166:ADR393168 ANC393166:ANN393168 AWY393166:AXJ393168 BGU393166:BHF393168 BQQ393166:BRB393168 CAM393166:CAX393168 CKI393166:CKT393168 CUE393166:CUP393168 DEA393166:DEL393168 DNW393166:DOH393168 DXS393166:DYD393168 EHO393166:EHZ393168 ERK393166:ERV393168 FBG393166:FBR393168 FLC393166:FLN393168 FUY393166:FVJ393168 GEU393166:GFF393168 GOQ393166:GPB393168 GYM393166:GYX393168 HII393166:HIT393168 HSE393166:HSP393168 ICA393166:ICL393168 ILW393166:IMH393168 IVS393166:IWD393168 JFO393166:JFZ393168 JPK393166:JPV393168 JZG393166:JZR393168 KJC393166:KJN393168 KSY393166:KTJ393168 LCU393166:LDF393168 LMQ393166:LNB393168 LWM393166:LWX393168 MGI393166:MGT393168 MQE393166:MQP393168 NAA393166:NAL393168 NJW393166:NKH393168 NTS393166:NUD393168 ODO393166:ODZ393168 ONK393166:ONV393168 OXG393166:OXR393168 PHC393166:PHN393168 PQY393166:PRJ393168 QAU393166:QBF393168 QKQ393166:QLB393168 QUM393166:QUX393168 REI393166:RET393168 ROE393166:ROP393168 RYA393166:RYL393168 SHW393166:SIH393168 SRS393166:SSD393168 TBO393166:TBZ393168 TLK393166:TLV393168 TVG393166:TVR393168 UFC393166:UFN393168 UOY393166:UPJ393168 UYU393166:UZF393168 VIQ393166:VJB393168 VSM393166:VSX393168 WCI393166:WCT393168 WME393166:WMP393168 WWA393166:WWL393168 JO458702:JZ458704 TK458702:TV458704 ADG458702:ADR458704 ANC458702:ANN458704 AWY458702:AXJ458704 BGU458702:BHF458704 BQQ458702:BRB458704 CAM458702:CAX458704 CKI458702:CKT458704 CUE458702:CUP458704 DEA458702:DEL458704 DNW458702:DOH458704 DXS458702:DYD458704 EHO458702:EHZ458704 ERK458702:ERV458704 FBG458702:FBR458704 FLC458702:FLN458704 FUY458702:FVJ458704 GEU458702:GFF458704 GOQ458702:GPB458704 GYM458702:GYX458704 HII458702:HIT458704 HSE458702:HSP458704 ICA458702:ICL458704 ILW458702:IMH458704 IVS458702:IWD458704 JFO458702:JFZ458704 JPK458702:JPV458704 JZG458702:JZR458704 KJC458702:KJN458704 KSY458702:KTJ458704 LCU458702:LDF458704 LMQ458702:LNB458704 LWM458702:LWX458704 MGI458702:MGT458704 MQE458702:MQP458704 NAA458702:NAL458704 NJW458702:NKH458704 NTS458702:NUD458704 ODO458702:ODZ458704 ONK458702:ONV458704 OXG458702:OXR458704 PHC458702:PHN458704 PQY458702:PRJ458704 QAU458702:QBF458704 QKQ458702:QLB458704 QUM458702:QUX458704 REI458702:RET458704 ROE458702:ROP458704 RYA458702:RYL458704 SHW458702:SIH458704 SRS458702:SSD458704 TBO458702:TBZ458704 TLK458702:TLV458704 TVG458702:TVR458704 UFC458702:UFN458704 UOY458702:UPJ458704 UYU458702:UZF458704 VIQ458702:VJB458704 VSM458702:VSX458704 WCI458702:WCT458704 WME458702:WMP458704 WWA458702:WWL458704 JO524238:JZ524240 TK524238:TV524240 ADG524238:ADR524240 ANC524238:ANN524240 AWY524238:AXJ524240 BGU524238:BHF524240 BQQ524238:BRB524240 CAM524238:CAX524240 CKI524238:CKT524240 CUE524238:CUP524240 DEA524238:DEL524240 DNW524238:DOH524240 DXS524238:DYD524240 EHO524238:EHZ524240 ERK524238:ERV524240 FBG524238:FBR524240 FLC524238:FLN524240 FUY524238:FVJ524240 GEU524238:GFF524240 GOQ524238:GPB524240 GYM524238:GYX524240 HII524238:HIT524240 HSE524238:HSP524240 ICA524238:ICL524240 ILW524238:IMH524240 IVS524238:IWD524240 JFO524238:JFZ524240 JPK524238:JPV524240 JZG524238:JZR524240 KJC524238:KJN524240 KSY524238:KTJ524240 LCU524238:LDF524240 LMQ524238:LNB524240 LWM524238:LWX524240 MGI524238:MGT524240 MQE524238:MQP524240 NAA524238:NAL524240 NJW524238:NKH524240 NTS524238:NUD524240 ODO524238:ODZ524240 ONK524238:ONV524240 OXG524238:OXR524240 PHC524238:PHN524240 PQY524238:PRJ524240 QAU524238:QBF524240 QKQ524238:QLB524240 QUM524238:QUX524240 REI524238:RET524240 ROE524238:ROP524240 RYA524238:RYL524240 SHW524238:SIH524240 SRS524238:SSD524240 TBO524238:TBZ524240 TLK524238:TLV524240 TVG524238:TVR524240 UFC524238:UFN524240 UOY524238:UPJ524240 UYU524238:UZF524240 VIQ524238:VJB524240 VSM524238:VSX524240 WCI524238:WCT524240 WME524238:WMP524240 WWA524238:WWL524240 JO589774:JZ589776 TK589774:TV589776 ADG589774:ADR589776 ANC589774:ANN589776 AWY589774:AXJ589776 BGU589774:BHF589776 BQQ589774:BRB589776 CAM589774:CAX589776 CKI589774:CKT589776 CUE589774:CUP589776 DEA589774:DEL589776 DNW589774:DOH589776 DXS589774:DYD589776 EHO589774:EHZ589776 ERK589774:ERV589776 FBG589774:FBR589776 FLC589774:FLN589776 FUY589774:FVJ589776 GEU589774:GFF589776 GOQ589774:GPB589776 GYM589774:GYX589776 HII589774:HIT589776 HSE589774:HSP589776 ICA589774:ICL589776 ILW589774:IMH589776 IVS589774:IWD589776 JFO589774:JFZ589776 JPK589774:JPV589776 JZG589774:JZR589776 KJC589774:KJN589776 KSY589774:KTJ589776 LCU589774:LDF589776 LMQ589774:LNB589776 LWM589774:LWX589776 MGI589774:MGT589776 MQE589774:MQP589776 NAA589774:NAL589776 NJW589774:NKH589776 NTS589774:NUD589776 ODO589774:ODZ589776 ONK589774:ONV589776 OXG589774:OXR589776 PHC589774:PHN589776 PQY589774:PRJ589776 QAU589774:QBF589776 QKQ589774:QLB589776 QUM589774:QUX589776 REI589774:RET589776 ROE589774:ROP589776 RYA589774:RYL589776 SHW589774:SIH589776 SRS589774:SSD589776 TBO589774:TBZ589776 TLK589774:TLV589776 TVG589774:TVR589776 UFC589774:UFN589776 UOY589774:UPJ589776 UYU589774:UZF589776 VIQ589774:VJB589776 VSM589774:VSX589776 WCI589774:WCT589776 WME589774:WMP589776 WWA589774:WWL589776 JO655310:JZ655312 TK655310:TV655312 ADG655310:ADR655312 ANC655310:ANN655312 AWY655310:AXJ655312 BGU655310:BHF655312 BQQ655310:BRB655312 CAM655310:CAX655312 CKI655310:CKT655312 CUE655310:CUP655312 DEA655310:DEL655312 DNW655310:DOH655312 DXS655310:DYD655312 EHO655310:EHZ655312 ERK655310:ERV655312 FBG655310:FBR655312 FLC655310:FLN655312 FUY655310:FVJ655312 GEU655310:GFF655312 GOQ655310:GPB655312 GYM655310:GYX655312 HII655310:HIT655312 HSE655310:HSP655312 ICA655310:ICL655312 ILW655310:IMH655312 IVS655310:IWD655312 JFO655310:JFZ655312 JPK655310:JPV655312 JZG655310:JZR655312 KJC655310:KJN655312 KSY655310:KTJ655312 LCU655310:LDF655312 LMQ655310:LNB655312 LWM655310:LWX655312 MGI655310:MGT655312 MQE655310:MQP655312 NAA655310:NAL655312 NJW655310:NKH655312 NTS655310:NUD655312 ODO655310:ODZ655312 ONK655310:ONV655312 OXG655310:OXR655312 PHC655310:PHN655312 PQY655310:PRJ655312 QAU655310:QBF655312 QKQ655310:QLB655312 QUM655310:QUX655312 REI655310:RET655312 ROE655310:ROP655312 RYA655310:RYL655312 SHW655310:SIH655312 SRS655310:SSD655312 TBO655310:TBZ655312 TLK655310:TLV655312 TVG655310:TVR655312 UFC655310:UFN655312 UOY655310:UPJ655312 UYU655310:UZF655312 VIQ655310:VJB655312 VSM655310:VSX655312 WCI655310:WCT655312 WME655310:WMP655312 WWA655310:WWL655312 JO720846:JZ720848 TK720846:TV720848 ADG720846:ADR720848 ANC720846:ANN720848 AWY720846:AXJ720848 BGU720846:BHF720848 BQQ720846:BRB720848 CAM720846:CAX720848 CKI720846:CKT720848 CUE720846:CUP720848 DEA720846:DEL720848 DNW720846:DOH720848 DXS720846:DYD720848 EHO720846:EHZ720848 ERK720846:ERV720848 FBG720846:FBR720848 FLC720846:FLN720848 FUY720846:FVJ720848 GEU720846:GFF720848 GOQ720846:GPB720848 GYM720846:GYX720848 HII720846:HIT720848 HSE720846:HSP720848 ICA720846:ICL720848 ILW720846:IMH720848 IVS720846:IWD720848 JFO720846:JFZ720848 JPK720846:JPV720848 JZG720846:JZR720848 KJC720846:KJN720848 KSY720846:KTJ720848 LCU720846:LDF720848 LMQ720846:LNB720848 LWM720846:LWX720848 MGI720846:MGT720848 MQE720846:MQP720848 NAA720846:NAL720848 NJW720846:NKH720848 NTS720846:NUD720848 ODO720846:ODZ720848 ONK720846:ONV720848 OXG720846:OXR720848 PHC720846:PHN720848 PQY720846:PRJ720848 QAU720846:QBF720848 QKQ720846:QLB720848 QUM720846:QUX720848 REI720846:RET720848 ROE720846:ROP720848 RYA720846:RYL720848 SHW720846:SIH720848 SRS720846:SSD720848 TBO720846:TBZ720848 TLK720846:TLV720848 TVG720846:TVR720848 UFC720846:UFN720848 UOY720846:UPJ720848 UYU720846:UZF720848 VIQ720846:VJB720848 VSM720846:VSX720848 WCI720846:WCT720848 WME720846:WMP720848 WWA720846:WWL720848 JO786382:JZ786384 TK786382:TV786384 ADG786382:ADR786384 ANC786382:ANN786384 AWY786382:AXJ786384 BGU786382:BHF786384 BQQ786382:BRB786384 CAM786382:CAX786384 CKI786382:CKT786384 CUE786382:CUP786384 DEA786382:DEL786384 DNW786382:DOH786384 DXS786382:DYD786384 EHO786382:EHZ786384 ERK786382:ERV786384 FBG786382:FBR786384 FLC786382:FLN786384 FUY786382:FVJ786384 GEU786382:GFF786384 GOQ786382:GPB786384 GYM786382:GYX786384 HII786382:HIT786384 HSE786382:HSP786384 ICA786382:ICL786384 ILW786382:IMH786384 IVS786382:IWD786384 JFO786382:JFZ786384 JPK786382:JPV786384 JZG786382:JZR786384 KJC786382:KJN786384 KSY786382:KTJ786384 LCU786382:LDF786384 LMQ786382:LNB786384 LWM786382:LWX786384 MGI786382:MGT786384 MQE786382:MQP786384 NAA786382:NAL786384 NJW786382:NKH786384 NTS786382:NUD786384 ODO786382:ODZ786384 ONK786382:ONV786384 OXG786382:OXR786384 PHC786382:PHN786384 PQY786382:PRJ786384 QAU786382:QBF786384 QKQ786382:QLB786384 QUM786382:QUX786384 REI786382:RET786384 ROE786382:ROP786384 RYA786382:RYL786384 SHW786382:SIH786384 SRS786382:SSD786384 TBO786382:TBZ786384 TLK786382:TLV786384 TVG786382:TVR786384 UFC786382:UFN786384 UOY786382:UPJ786384 UYU786382:UZF786384 VIQ786382:VJB786384 VSM786382:VSX786384 WCI786382:WCT786384 WME786382:WMP786384 WWA786382:WWL786384 JO851918:JZ851920 TK851918:TV851920 ADG851918:ADR851920 ANC851918:ANN851920 AWY851918:AXJ851920 BGU851918:BHF851920 BQQ851918:BRB851920 CAM851918:CAX851920 CKI851918:CKT851920 CUE851918:CUP851920 DEA851918:DEL851920 DNW851918:DOH851920 DXS851918:DYD851920 EHO851918:EHZ851920 ERK851918:ERV851920 FBG851918:FBR851920 FLC851918:FLN851920 FUY851918:FVJ851920 GEU851918:GFF851920 GOQ851918:GPB851920 GYM851918:GYX851920 HII851918:HIT851920 HSE851918:HSP851920 ICA851918:ICL851920 ILW851918:IMH851920 IVS851918:IWD851920 JFO851918:JFZ851920 JPK851918:JPV851920 JZG851918:JZR851920 KJC851918:KJN851920 KSY851918:KTJ851920 LCU851918:LDF851920 LMQ851918:LNB851920 LWM851918:LWX851920 MGI851918:MGT851920 MQE851918:MQP851920 NAA851918:NAL851920 NJW851918:NKH851920 NTS851918:NUD851920 ODO851918:ODZ851920 ONK851918:ONV851920 OXG851918:OXR851920 PHC851918:PHN851920 PQY851918:PRJ851920 QAU851918:QBF851920 QKQ851918:QLB851920 QUM851918:QUX851920 REI851918:RET851920 ROE851918:ROP851920 RYA851918:RYL851920 SHW851918:SIH851920 SRS851918:SSD851920 TBO851918:TBZ851920 TLK851918:TLV851920 TVG851918:TVR851920 UFC851918:UFN851920 UOY851918:UPJ851920 UYU851918:UZF851920 VIQ851918:VJB851920 VSM851918:VSX851920 WCI851918:WCT851920 WME851918:WMP851920 WWA851918:WWL851920 JO917454:JZ917456 TK917454:TV917456 ADG917454:ADR917456 ANC917454:ANN917456 AWY917454:AXJ917456 BGU917454:BHF917456 BQQ917454:BRB917456 CAM917454:CAX917456 CKI917454:CKT917456 CUE917454:CUP917456 DEA917454:DEL917456 DNW917454:DOH917456 DXS917454:DYD917456 EHO917454:EHZ917456 ERK917454:ERV917456 FBG917454:FBR917456 FLC917454:FLN917456 FUY917454:FVJ917456 GEU917454:GFF917456 GOQ917454:GPB917456 GYM917454:GYX917456 HII917454:HIT917456 HSE917454:HSP917456 ICA917454:ICL917456 ILW917454:IMH917456 IVS917454:IWD917456 JFO917454:JFZ917456 JPK917454:JPV917456 JZG917454:JZR917456 KJC917454:KJN917456 KSY917454:KTJ917456 LCU917454:LDF917456 LMQ917454:LNB917456 LWM917454:LWX917456 MGI917454:MGT917456 MQE917454:MQP917456 NAA917454:NAL917456 NJW917454:NKH917456 NTS917454:NUD917456 ODO917454:ODZ917456 ONK917454:ONV917456 OXG917454:OXR917456 PHC917454:PHN917456 PQY917454:PRJ917456 QAU917454:QBF917456 QKQ917454:QLB917456 QUM917454:QUX917456 REI917454:RET917456 ROE917454:ROP917456 RYA917454:RYL917456 SHW917454:SIH917456 SRS917454:SSD917456 TBO917454:TBZ917456 TLK917454:TLV917456 TVG917454:TVR917456 UFC917454:UFN917456 UOY917454:UPJ917456 UYU917454:UZF917456 VIQ917454:VJB917456 VSM917454:VSX917456 WCI917454:WCT917456 WME917454:WMP917456 WWA917454:WWL917456 JO982990:JZ982992 TK982990:TV982992 ADG982990:ADR982992 ANC982990:ANN982992 AWY982990:AXJ982992 BGU982990:BHF982992 BQQ982990:BRB982992 CAM982990:CAX982992 CKI982990:CKT982992 CUE982990:CUP982992 DEA982990:DEL982992 DNW982990:DOH982992 DXS982990:DYD982992 EHO982990:EHZ982992 ERK982990:ERV982992 FBG982990:FBR982992 FLC982990:FLN982992 FUY982990:FVJ982992 GEU982990:GFF982992 GOQ982990:GPB982992 GYM982990:GYX982992 HII982990:HIT982992 HSE982990:HSP982992 ICA982990:ICL982992 ILW982990:IMH982992 IVS982990:IWD982992 JFO982990:JFZ982992 JPK982990:JPV982992 JZG982990:JZR982992 KJC982990:KJN982992 KSY982990:KTJ982992 LCU982990:LDF982992 LMQ982990:LNB982992 LWM982990:LWX982992 MGI982990:MGT982992 MQE982990:MQP982992 NAA982990:NAL982992 NJW982990:NKH982992 NTS982990:NUD982992 ODO982990:ODZ982992 ONK982990:ONV982992 OXG982990:OXR982992 PHC982990:PHN982992 PQY982990:PRJ982992 QAU982990:QBF982992 QKQ982990:QLB982992 QUM982990:QUX982992 REI982990:RET982992 ROE982990:ROP982992 RYA982990:RYL982992 SHW982990:SIH982992 SRS982990:SSD982992 TBO982990:TBZ982992 TLK982990:TLV982992 TVG982990:TVR982992 UFC982990:UFN982992 UOY982990:UPJ982992 UYU982990:UZF982992 VIQ982990:VJB982992 VSM982990:VSX982992 WCI982990:WCT982992 WME982990:WMP982992 WWA982990:WWL98299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486:AM65488 AC982990:AM982992 AC917454:AM917456 AC851918:AM851920 AC786382:AM786384 AC720846:AM720848 AC655310:AM655312 AC589774:AM589776 AC524238:AM524240 AC458702:AM458704 AC393166:AM393168 AC327630:AM327632 AC262094:AM262096 AC196558:AM196560 AC131022:AM13102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7" s="17" customFormat="1" ht="14.4" customHeight="1">
      <c r="A1" s="396" t="s">
        <v>78</v>
      </c>
      <c r="B1" s="397"/>
      <c r="C1" s="397"/>
      <c r="D1" s="397"/>
      <c r="E1" s="397"/>
      <c r="F1" s="397"/>
      <c r="G1" s="397"/>
      <c r="H1" s="398"/>
      <c r="I1" s="336" t="s">
        <v>79</v>
      </c>
      <c r="J1" s="337"/>
      <c r="K1" s="337"/>
      <c r="L1" s="337"/>
      <c r="M1" s="337"/>
      <c r="N1" s="337"/>
      <c r="O1" s="337"/>
      <c r="P1" s="337"/>
      <c r="Q1" s="338"/>
      <c r="R1" s="336" t="s">
        <v>80</v>
      </c>
      <c r="S1" s="337"/>
      <c r="T1" s="337"/>
      <c r="U1" s="337"/>
      <c r="V1" s="337"/>
      <c r="W1" s="337"/>
      <c r="X1" s="338"/>
      <c r="Y1" s="336" t="s">
        <v>135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8"/>
      <c r="AP1" s="407" t="s">
        <v>82</v>
      </c>
      <c r="AQ1" s="408"/>
      <c r="AR1" s="408"/>
      <c r="AS1" s="408"/>
      <c r="AT1" s="409"/>
      <c r="AU1" s="407" t="s">
        <v>83</v>
      </c>
      <c r="AV1" s="408"/>
      <c r="AW1" s="408"/>
      <c r="AX1" s="408"/>
      <c r="AY1" s="409"/>
      <c r="AZ1" s="407" t="s">
        <v>84</v>
      </c>
      <c r="BA1" s="408"/>
      <c r="BB1" s="408"/>
      <c r="BC1" s="408"/>
      <c r="BD1" s="409"/>
    </row>
    <row r="2" spans="1:57" s="17" customFormat="1" ht="14.4" customHeight="1">
      <c r="A2" s="399"/>
      <c r="B2" s="400"/>
      <c r="C2" s="400"/>
      <c r="D2" s="400"/>
      <c r="E2" s="400"/>
      <c r="F2" s="400"/>
      <c r="G2" s="400"/>
      <c r="H2" s="401"/>
      <c r="I2" s="366" t="s">
        <v>85</v>
      </c>
      <c r="J2" s="367"/>
      <c r="K2" s="367"/>
      <c r="L2" s="367"/>
      <c r="M2" s="367"/>
      <c r="N2" s="367"/>
      <c r="O2" s="367"/>
      <c r="P2" s="367"/>
      <c r="Q2" s="368"/>
      <c r="R2" s="366" t="str">
        <f ca="1">VLOOKUP(RIGHT(CELL("filename",A2),LEN(CELL("filename",A2))-FIND("]",CELL("filename",A2))),テーブル一覧!B:AD,22,FALSE)</f>
        <v>B.生産計画</v>
      </c>
      <c r="S2" s="367"/>
      <c r="T2" s="367"/>
      <c r="U2" s="367"/>
      <c r="V2" s="367"/>
      <c r="W2" s="367"/>
      <c r="X2" s="368"/>
      <c r="Y2" s="366" t="str">
        <f ca="1">VLOOKUP(RIGHT(CELL("filename",A2),LEN(CELL("filename",A2))-FIND("]",CELL("filename",A2))),テーブル一覧!B:AD,1,FALSE)</f>
        <v>生産計画情報（WD工場）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8"/>
      <c r="AP2" s="339"/>
      <c r="AQ2" s="340"/>
      <c r="AR2" s="340"/>
      <c r="AS2" s="340"/>
      <c r="AT2" s="341"/>
      <c r="AU2" s="58" t="s">
        <v>88</v>
      </c>
      <c r="AV2" s="59"/>
      <c r="AW2" s="59"/>
      <c r="AX2" s="59"/>
      <c r="AY2" s="60"/>
      <c r="AZ2" s="413" t="s">
        <v>89</v>
      </c>
      <c r="BA2" s="414"/>
      <c r="BB2" s="414"/>
      <c r="BC2" s="414"/>
      <c r="BD2" s="415"/>
    </row>
    <row r="3" spans="1:57" s="17" customFormat="1" ht="14.4" customHeight="1">
      <c r="A3" s="399"/>
      <c r="B3" s="400"/>
      <c r="C3" s="400"/>
      <c r="D3" s="400"/>
      <c r="E3" s="400"/>
      <c r="F3" s="400"/>
      <c r="G3" s="400"/>
      <c r="H3" s="401"/>
      <c r="I3" s="369"/>
      <c r="J3" s="370"/>
      <c r="K3" s="370"/>
      <c r="L3" s="370"/>
      <c r="M3" s="370"/>
      <c r="N3" s="370"/>
      <c r="O3" s="370"/>
      <c r="P3" s="370"/>
      <c r="Q3" s="371"/>
      <c r="R3" s="369"/>
      <c r="S3" s="370"/>
      <c r="T3" s="370"/>
      <c r="U3" s="370"/>
      <c r="V3" s="370"/>
      <c r="W3" s="370"/>
      <c r="X3" s="371"/>
      <c r="Y3" s="372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4"/>
      <c r="AP3" s="342"/>
      <c r="AQ3" s="343"/>
      <c r="AR3" s="343"/>
      <c r="AS3" s="343"/>
      <c r="AT3" s="344"/>
      <c r="AU3" s="410"/>
      <c r="AV3" s="411"/>
      <c r="AW3" s="411"/>
      <c r="AX3" s="411"/>
      <c r="AY3" s="412"/>
      <c r="AZ3" s="413"/>
      <c r="BA3" s="414"/>
      <c r="BB3" s="414"/>
      <c r="BC3" s="414"/>
      <c r="BD3" s="415"/>
    </row>
    <row r="4" spans="1:57" s="17" customFormat="1" ht="14.4" customHeight="1">
      <c r="A4" s="402"/>
      <c r="B4" s="403"/>
      <c r="C4" s="403"/>
      <c r="D4" s="403"/>
      <c r="E4" s="403"/>
      <c r="F4" s="403"/>
      <c r="G4" s="403"/>
      <c r="H4" s="404"/>
      <c r="I4" s="372"/>
      <c r="J4" s="373"/>
      <c r="K4" s="373"/>
      <c r="L4" s="373"/>
      <c r="M4" s="373"/>
      <c r="N4" s="373"/>
      <c r="O4" s="373"/>
      <c r="P4" s="373"/>
      <c r="Q4" s="374"/>
      <c r="R4" s="372"/>
      <c r="S4" s="373"/>
      <c r="T4" s="373"/>
      <c r="U4" s="373"/>
      <c r="V4" s="373"/>
      <c r="W4" s="373"/>
      <c r="X4" s="374"/>
      <c r="Y4" s="41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t_seisan_keikaku_wd</v>
      </c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8"/>
      <c r="AP4" s="342"/>
      <c r="AQ4" s="343"/>
      <c r="AR4" s="343"/>
      <c r="AS4" s="343"/>
      <c r="AT4" s="344"/>
      <c r="AU4" s="410"/>
      <c r="AV4" s="411"/>
      <c r="AW4" s="411"/>
      <c r="AX4" s="411"/>
      <c r="AY4" s="412"/>
      <c r="AZ4" s="413"/>
      <c r="BA4" s="414"/>
      <c r="BB4" s="414"/>
      <c r="BC4" s="414"/>
      <c r="BD4" s="415"/>
    </row>
    <row r="6" spans="1:57" ht="14.4" customHeight="1">
      <c r="A6" s="405" t="s">
        <v>90</v>
      </c>
      <c r="B6" s="386" t="s">
        <v>136</v>
      </c>
      <c r="C6" s="394"/>
      <c r="D6" s="394"/>
      <c r="E6" s="394"/>
      <c r="F6" s="394"/>
      <c r="G6" s="394"/>
      <c r="H6" s="387"/>
      <c r="I6" s="386" t="s">
        <v>137</v>
      </c>
      <c r="J6" s="394"/>
      <c r="K6" s="394"/>
      <c r="L6" s="394"/>
      <c r="M6" s="394"/>
      <c r="N6" s="394"/>
      <c r="O6" s="394"/>
      <c r="P6" s="394"/>
      <c r="Q6" s="387"/>
      <c r="R6" s="386" t="s">
        <v>138</v>
      </c>
      <c r="S6" s="394"/>
      <c r="T6" s="394"/>
      <c r="U6" s="394"/>
      <c r="V6" s="394"/>
      <c r="W6" s="394"/>
      <c r="X6" s="387"/>
      <c r="Y6" s="386" t="s">
        <v>139</v>
      </c>
      <c r="Z6" s="387"/>
      <c r="AA6" s="386" t="s">
        <v>140</v>
      </c>
      <c r="AB6" s="394"/>
      <c r="AC6" s="387"/>
      <c r="AD6" s="390" t="s">
        <v>141</v>
      </c>
      <c r="AE6" s="392" t="s">
        <v>142</v>
      </c>
      <c r="AF6" s="390" t="s">
        <v>143</v>
      </c>
      <c r="AG6" s="390" t="s">
        <v>144</v>
      </c>
      <c r="AH6" s="390" t="s">
        <v>145</v>
      </c>
      <c r="AI6" s="383" t="s">
        <v>146</v>
      </c>
      <c r="AJ6" s="384"/>
      <c r="AK6" s="384"/>
      <c r="AL6" s="384"/>
      <c r="AM6" s="384"/>
      <c r="AN6" s="384"/>
      <c r="AO6" s="384"/>
      <c r="AP6" s="384"/>
      <c r="AQ6" s="384"/>
      <c r="AR6" s="385"/>
      <c r="AS6" s="386" t="s">
        <v>147</v>
      </c>
      <c r="AT6" s="394"/>
      <c r="AU6" s="394"/>
      <c r="AV6" s="394"/>
      <c r="AW6" s="394"/>
      <c r="AX6" s="394"/>
      <c r="AY6" s="394"/>
      <c r="AZ6" s="394"/>
      <c r="BA6" s="394"/>
      <c r="BB6" s="394"/>
      <c r="BC6" s="394"/>
      <c r="BD6" s="387"/>
    </row>
    <row r="7" spans="1:57" ht="14.4" customHeight="1">
      <c r="A7" s="406"/>
      <c r="B7" s="388"/>
      <c r="C7" s="395"/>
      <c r="D7" s="395"/>
      <c r="E7" s="395"/>
      <c r="F7" s="395"/>
      <c r="G7" s="395"/>
      <c r="H7" s="389"/>
      <c r="I7" s="388"/>
      <c r="J7" s="395"/>
      <c r="K7" s="395"/>
      <c r="L7" s="395"/>
      <c r="M7" s="395"/>
      <c r="N7" s="395"/>
      <c r="O7" s="395"/>
      <c r="P7" s="395"/>
      <c r="Q7" s="389"/>
      <c r="R7" s="388"/>
      <c r="S7" s="395"/>
      <c r="T7" s="395"/>
      <c r="U7" s="395"/>
      <c r="V7" s="395"/>
      <c r="W7" s="395"/>
      <c r="X7" s="389"/>
      <c r="Y7" s="388"/>
      <c r="Z7" s="389"/>
      <c r="AA7" s="388"/>
      <c r="AB7" s="395"/>
      <c r="AC7" s="389"/>
      <c r="AD7" s="391"/>
      <c r="AE7" s="393"/>
      <c r="AF7" s="391"/>
      <c r="AG7" s="391"/>
      <c r="AH7" s="39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88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89"/>
    </row>
    <row r="8" spans="1:57" ht="14.4" customHeight="1">
      <c r="A8" s="70">
        <f>IF(B8="","",COUNTA($B$8:B8))</f>
        <v>1</v>
      </c>
      <c r="B8" s="22" t="s">
        <v>148</v>
      </c>
      <c r="C8" s="23"/>
      <c r="D8" s="23"/>
      <c r="E8" s="23"/>
      <c r="F8" s="23"/>
      <c r="G8" s="23"/>
      <c r="H8" s="37"/>
      <c r="I8" s="34" t="s">
        <v>149</v>
      </c>
      <c r="J8" s="23"/>
      <c r="K8" s="23"/>
      <c r="L8" s="23"/>
      <c r="M8" s="23"/>
      <c r="N8" s="23"/>
      <c r="O8" s="23"/>
      <c r="P8" s="23"/>
      <c r="Q8" s="37"/>
      <c r="R8" s="22" t="s">
        <v>148</v>
      </c>
      <c r="S8" s="23"/>
      <c r="T8" s="23"/>
      <c r="U8" s="23"/>
      <c r="V8" s="23"/>
      <c r="W8" s="23"/>
      <c r="X8" s="24"/>
      <c r="Y8" s="419" t="s">
        <v>150</v>
      </c>
      <c r="Z8" s="420"/>
      <c r="AA8" s="421" t="s">
        <v>151</v>
      </c>
      <c r="AB8" s="422"/>
      <c r="AC8" s="423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162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" customHeight="1">
      <c r="A9" s="70">
        <f>IF(B9="","",COUNTA($B$8:B9))</f>
        <v>2</v>
      </c>
      <c r="B9" s="102" t="s">
        <v>1477</v>
      </c>
      <c r="C9" s="268"/>
      <c r="D9" s="268"/>
      <c r="E9" s="268"/>
      <c r="F9" s="268"/>
      <c r="G9" s="268"/>
      <c r="H9" s="266"/>
      <c r="I9" s="34" t="s">
        <v>1397</v>
      </c>
      <c r="J9" s="23"/>
      <c r="K9" s="23"/>
      <c r="L9" s="23"/>
      <c r="M9" s="23"/>
      <c r="N9" s="23"/>
      <c r="O9" s="23"/>
      <c r="P9" s="23"/>
      <c r="Q9" s="37"/>
      <c r="R9" s="102" t="s">
        <v>1477</v>
      </c>
      <c r="S9" s="265"/>
      <c r="T9" s="265"/>
      <c r="U9" s="265"/>
      <c r="V9" s="265"/>
      <c r="W9" s="265"/>
      <c r="X9" s="266"/>
      <c r="Y9" s="419" t="s">
        <v>155</v>
      </c>
      <c r="Z9" s="420"/>
      <c r="AA9" s="421" t="s">
        <v>156</v>
      </c>
      <c r="AB9" s="422"/>
      <c r="AC9" s="423"/>
      <c r="AD9" s="267">
        <v>5</v>
      </c>
      <c r="AE9" s="29"/>
      <c r="AF9" s="29">
        <v>2</v>
      </c>
      <c r="AG9" s="28" t="s">
        <v>152</v>
      </c>
      <c r="AH9" s="40"/>
      <c r="AI9" s="40"/>
      <c r="AJ9" s="40"/>
      <c r="AK9" s="40"/>
      <c r="AL9" s="40"/>
      <c r="AM9" s="40"/>
      <c r="AN9" s="40"/>
      <c r="AO9" s="41"/>
      <c r="AP9" s="41"/>
      <c r="AQ9" s="41"/>
      <c r="AR9" s="41"/>
      <c r="AS9" s="123" t="s">
        <v>1396</v>
      </c>
      <c r="AT9" s="43"/>
      <c r="AU9" s="67"/>
      <c r="AV9" s="67"/>
      <c r="AW9" s="67"/>
      <c r="AX9" s="67"/>
      <c r="AY9" s="67"/>
      <c r="AZ9" s="67"/>
      <c r="BA9" s="67"/>
      <c r="BB9" s="67"/>
      <c r="BC9" s="67"/>
      <c r="BD9" s="68"/>
      <c r="BE9" s="18" t="s">
        <v>1514</v>
      </c>
    </row>
    <row r="10" spans="1:57" ht="14.4" customHeight="1">
      <c r="A10" s="70">
        <f>IF(B10="","",COUNTA($B$8:B10))</f>
        <v>3</v>
      </c>
      <c r="B10" s="19" t="s">
        <v>153</v>
      </c>
      <c r="C10" s="20"/>
      <c r="D10" s="20"/>
      <c r="E10" s="20"/>
      <c r="F10" s="20"/>
      <c r="G10" s="20"/>
      <c r="H10" s="24"/>
      <c r="I10" s="34" t="s">
        <v>154</v>
      </c>
      <c r="J10" s="23"/>
      <c r="K10" s="23"/>
      <c r="L10" s="23"/>
      <c r="M10" s="23"/>
      <c r="N10" s="23"/>
      <c r="O10" s="23"/>
      <c r="P10" s="23"/>
      <c r="Q10" s="37"/>
      <c r="R10" s="19" t="s">
        <v>153</v>
      </c>
      <c r="S10" s="23"/>
      <c r="T10" s="23"/>
      <c r="U10" s="23"/>
      <c r="V10" s="23"/>
      <c r="W10" s="23"/>
      <c r="X10" s="24"/>
      <c r="Y10" s="419" t="s">
        <v>155</v>
      </c>
      <c r="Z10" s="420"/>
      <c r="AA10" s="421" t="s">
        <v>156</v>
      </c>
      <c r="AB10" s="422"/>
      <c r="AC10" s="423"/>
      <c r="AD10" s="27">
        <v>3</v>
      </c>
      <c r="AE10" s="29"/>
      <c r="AF10" s="29"/>
      <c r="AG10" s="28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118" t="s">
        <v>355</v>
      </c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" customHeight="1">
      <c r="A11" s="70">
        <f>IF(B11="","",COUNTA($B$8:B11))</f>
        <v>4</v>
      </c>
      <c r="B11" s="19" t="s">
        <v>157</v>
      </c>
      <c r="C11" s="20"/>
      <c r="D11" s="20"/>
      <c r="E11" s="20"/>
      <c r="F11" s="20"/>
      <c r="G11" s="20"/>
      <c r="H11" s="24"/>
      <c r="I11" s="34" t="s">
        <v>158</v>
      </c>
      <c r="J11" s="23"/>
      <c r="K11" s="23"/>
      <c r="L11" s="23"/>
      <c r="M11" s="23"/>
      <c r="N11" s="23"/>
      <c r="O11" s="23"/>
      <c r="P11" s="23"/>
      <c r="Q11" s="37"/>
      <c r="R11" s="19" t="s">
        <v>157</v>
      </c>
      <c r="S11" s="23"/>
      <c r="T11" s="23"/>
      <c r="U11" s="23"/>
      <c r="V11" s="23"/>
      <c r="W11" s="23"/>
      <c r="X11" s="24"/>
      <c r="Y11" s="419" t="s">
        <v>150</v>
      </c>
      <c r="Z11" s="420"/>
      <c r="AA11" s="421" t="s">
        <v>151</v>
      </c>
      <c r="AB11" s="422"/>
      <c r="AC11" s="423"/>
      <c r="AD11" s="27">
        <v>10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118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" customHeight="1">
      <c r="A12" s="70">
        <f>IF(B12="","",COUNTA($B$8:B12))</f>
        <v>5</v>
      </c>
      <c r="B12" s="19" t="s">
        <v>159</v>
      </c>
      <c r="C12" s="20"/>
      <c r="D12" s="20"/>
      <c r="E12" s="20"/>
      <c r="F12" s="20"/>
      <c r="G12" s="20"/>
      <c r="H12" s="24"/>
      <c r="I12" s="34" t="s">
        <v>160</v>
      </c>
      <c r="J12" s="23"/>
      <c r="K12" s="23"/>
      <c r="L12" s="23"/>
      <c r="M12" s="23"/>
      <c r="N12" s="23"/>
      <c r="O12" s="23"/>
      <c r="P12" s="23"/>
      <c r="Q12" s="37"/>
      <c r="R12" s="19" t="s">
        <v>159</v>
      </c>
      <c r="S12" s="23"/>
      <c r="T12" s="23"/>
      <c r="U12" s="23"/>
      <c r="V12" s="23"/>
      <c r="W12" s="23"/>
      <c r="X12" s="24"/>
      <c r="Y12" s="419" t="s">
        <v>150</v>
      </c>
      <c r="Z12" s="420"/>
      <c r="AA12" s="421" t="s">
        <v>151</v>
      </c>
      <c r="AB12" s="422"/>
      <c r="AC12" s="423"/>
      <c r="AD12" s="27">
        <v>4</v>
      </c>
      <c r="AE12" s="29"/>
      <c r="AF12" s="29"/>
      <c r="AG12" s="29"/>
      <c r="AH12" s="28"/>
      <c r="AI12" s="28" t="s">
        <v>161</v>
      </c>
      <c r="AJ12" s="28"/>
      <c r="AK12" s="28"/>
      <c r="AL12" s="28"/>
      <c r="AM12" s="28"/>
      <c r="AN12" s="28"/>
      <c r="AO12" s="29"/>
      <c r="AP12" s="29"/>
      <c r="AQ12" s="29"/>
      <c r="AR12" s="29"/>
      <c r="AS12" s="118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4.4" customHeight="1">
      <c r="A13" s="70">
        <f>IF(B13="","",COUNTA($B$8:B13))</f>
        <v>6</v>
      </c>
      <c r="B13" s="155" t="s">
        <v>162</v>
      </c>
      <c r="D13" s="20"/>
      <c r="E13" s="20"/>
      <c r="F13" s="20"/>
      <c r="G13" s="20"/>
      <c r="H13" s="24"/>
      <c r="I13" s="155" t="s">
        <v>163</v>
      </c>
      <c r="J13" s="23"/>
      <c r="K13" s="23"/>
      <c r="L13" s="23"/>
      <c r="M13" s="23"/>
      <c r="N13" s="23"/>
      <c r="O13" s="23"/>
      <c r="P13" s="23"/>
      <c r="Q13" s="37"/>
      <c r="R13" s="19" t="s">
        <v>164</v>
      </c>
      <c r="S13" s="23"/>
      <c r="T13" s="23"/>
      <c r="U13" s="23"/>
      <c r="V13" s="23"/>
      <c r="W13" s="23"/>
      <c r="X13" s="24"/>
      <c r="Y13" s="419" t="s">
        <v>150</v>
      </c>
      <c r="Z13" s="420"/>
      <c r="AA13" s="421" t="s">
        <v>151</v>
      </c>
      <c r="AB13" s="422"/>
      <c r="AC13" s="423"/>
      <c r="AD13" s="27">
        <v>4</v>
      </c>
      <c r="AE13" s="29"/>
      <c r="AF13" s="29"/>
      <c r="AG13" s="29"/>
      <c r="AH13" s="28"/>
      <c r="AI13" s="28" t="s">
        <v>165</v>
      </c>
      <c r="AJ13" s="28"/>
      <c r="AK13" s="28"/>
      <c r="AL13" s="28"/>
      <c r="AM13" s="28"/>
      <c r="AN13" s="28"/>
      <c r="AO13" s="29"/>
      <c r="AP13" s="29"/>
      <c r="AQ13" s="29"/>
      <c r="AR13" s="29"/>
      <c r="AS13" s="118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" customHeight="1">
      <c r="A14" s="70">
        <f>IF(B14="","",COUNTA($B$8:B14))</f>
        <v>7</v>
      </c>
      <c r="B14" s="19" t="s">
        <v>166</v>
      </c>
      <c r="C14" s="20"/>
      <c r="D14" s="20"/>
      <c r="E14" s="20"/>
      <c r="F14" s="20"/>
      <c r="G14" s="20"/>
      <c r="H14" s="24"/>
      <c r="I14" s="34" t="s">
        <v>167</v>
      </c>
      <c r="J14" s="23"/>
      <c r="K14" s="23"/>
      <c r="L14" s="23"/>
      <c r="M14" s="23"/>
      <c r="N14" s="23"/>
      <c r="O14" s="23"/>
      <c r="P14" s="23"/>
      <c r="Q14" s="37"/>
      <c r="R14" s="272" t="s">
        <v>1558</v>
      </c>
      <c r="S14" s="23"/>
      <c r="T14" s="23"/>
      <c r="U14" s="23"/>
      <c r="V14" s="23"/>
      <c r="W14" s="23"/>
      <c r="X14" s="24"/>
      <c r="Y14" s="19" t="s">
        <v>169</v>
      </c>
      <c r="Z14" s="154"/>
      <c r="AA14" s="25" t="s">
        <v>170</v>
      </c>
      <c r="AB14" s="26"/>
      <c r="AC14" s="39"/>
      <c r="AD14" s="27"/>
      <c r="AE14" s="29"/>
      <c r="AF14" s="29"/>
      <c r="AG14" s="29"/>
      <c r="AH14" s="28"/>
      <c r="AI14" s="28" t="s">
        <v>171</v>
      </c>
      <c r="AJ14" s="28"/>
      <c r="AK14" s="28"/>
      <c r="AL14" s="28"/>
      <c r="AM14" s="28"/>
      <c r="AN14" s="28"/>
      <c r="AO14" s="29"/>
      <c r="AP14" s="29"/>
      <c r="AQ14" s="29"/>
      <c r="AR14" s="29"/>
      <c r="AS14" s="118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" customHeight="1">
      <c r="A15" s="70">
        <f>IF(B15="","",COUNTA($B$8:B15))</f>
        <v>8</v>
      </c>
      <c r="B15" s="19" t="s">
        <v>174</v>
      </c>
      <c r="C15" s="20"/>
      <c r="D15" s="20"/>
      <c r="E15" s="20"/>
      <c r="F15" s="20"/>
      <c r="G15" s="20"/>
      <c r="H15" s="24"/>
      <c r="I15" s="34" t="s">
        <v>175</v>
      </c>
      <c r="J15" s="23"/>
      <c r="K15" s="23"/>
      <c r="L15" s="23"/>
      <c r="M15" s="23"/>
      <c r="N15" s="23"/>
      <c r="O15" s="23"/>
      <c r="P15" s="23"/>
      <c r="Q15" s="37"/>
      <c r="R15" s="19" t="s">
        <v>176</v>
      </c>
      <c r="S15" s="23"/>
      <c r="T15" s="23"/>
      <c r="U15" s="23"/>
      <c r="V15" s="23"/>
      <c r="W15" s="23"/>
      <c r="X15" s="24"/>
      <c r="Y15" s="19" t="s">
        <v>169</v>
      </c>
      <c r="Z15" s="154"/>
      <c r="AA15" s="25" t="s">
        <v>170</v>
      </c>
      <c r="AB15" s="26"/>
      <c r="AC15" s="39"/>
      <c r="AD15" s="30"/>
      <c r="AE15" s="29"/>
      <c r="AF15" s="29"/>
      <c r="AG15" s="29"/>
      <c r="AH15" s="28"/>
      <c r="AI15" s="28" t="s">
        <v>302</v>
      </c>
      <c r="AJ15" s="28"/>
      <c r="AK15" s="28"/>
      <c r="AL15" s="28"/>
      <c r="AM15" s="28"/>
      <c r="AN15" s="28"/>
      <c r="AO15" s="29"/>
      <c r="AP15" s="29"/>
      <c r="AQ15" s="29"/>
      <c r="AR15" s="29"/>
      <c r="AS15" s="118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" customHeight="1">
      <c r="A16" s="70">
        <f>IF(B16="","",COUNTA($B$8:B16))</f>
        <v>9</v>
      </c>
      <c r="B16" s="19" t="s">
        <v>172</v>
      </c>
      <c r="C16" s="20"/>
      <c r="D16" s="20"/>
      <c r="E16" s="20"/>
      <c r="F16" s="20"/>
      <c r="G16" s="20"/>
      <c r="H16" s="24"/>
      <c r="I16" s="34" t="s">
        <v>177</v>
      </c>
      <c r="J16" s="23"/>
      <c r="K16" s="23"/>
      <c r="L16" s="23"/>
      <c r="M16" s="23"/>
      <c r="N16" s="23"/>
      <c r="O16" s="23"/>
      <c r="P16" s="23"/>
      <c r="Q16" s="37"/>
      <c r="R16" s="19" t="s">
        <v>172</v>
      </c>
      <c r="S16" s="23"/>
      <c r="T16" s="23"/>
      <c r="U16" s="23"/>
      <c r="V16" s="23"/>
      <c r="W16" s="23"/>
      <c r="X16" s="24"/>
      <c r="Y16" s="19" t="s">
        <v>155</v>
      </c>
      <c r="Z16" s="154"/>
      <c r="AA16" s="25" t="s">
        <v>156</v>
      </c>
      <c r="AB16" s="26"/>
      <c r="AC16" s="39"/>
      <c r="AD16" s="30">
        <v>5</v>
      </c>
      <c r="AE16" s="29">
        <v>1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118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" customHeight="1">
      <c r="A17" s="70">
        <f>IF(B17="","",COUNTA($B$8:B17))</f>
        <v>10</v>
      </c>
      <c r="B17" s="19" t="s">
        <v>303</v>
      </c>
      <c r="C17" s="20"/>
      <c r="D17" s="20"/>
      <c r="E17" s="20"/>
      <c r="F17" s="20"/>
      <c r="G17" s="20"/>
      <c r="H17" s="24"/>
      <c r="I17" s="34" t="s">
        <v>304</v>
      </c>
      <c r="J17" s="35"/>
      <c r="K17" s="35"/>
      <c r="L17" s="35"/>
      <c r="M17" s="35"/>
      <c r="N17" s="35"/>
      <c r="O17" s="35"/>
      <c r="P17" s="35"/>
      <c r="Q17" s="36"/>
      <c r="R17" s="19" t="s">
        <v>303</v>
      </c>
      <c r="S17" s="35"/>
      <c r="T17" s="35"/>
      <c r="U17" s="35"/>
      <c r="V17" s="35"/>
      <c r="W17" s="35"/>
      <c r="X17" s="36"/>
      <c r="Y17" s="19" t="s">
        <v>169</v>
      </c>
      <c r="Z17" s="154"/>
      <c r="AA17" s="25" t="s">
        <v>170</v>
      </c>
      <c r="AB17" s="26"/>
      <c r="AC17" s="39"/>
      <c r="AD17" s="30"/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118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" customHeight="1">
      <c r="A18" s="50">
        <f>IF(B18="","",COUNTA($B$8:B18))</f>
        <v>11</v>
      </c>
      <c r="B18" s="19" t="s">
        <v>305</v>
      </c>
      <c r="C18" s="20"/>
      <c r="D18" s="20"/>
      <c r="E18" s="20"/>
      <c r="F18" s="20"/>
      <c r="G18" s="20"/>
      <c r="H18" s="20"/>
      <c r="I18" s="34" t="s">
        <v>306</v>
      </c>
      <c r="J18" s="23"/>
      <c r="K18" s="23"/>
      <c r="L18" s="23"/>
      <c r="M18" s="23"/>
      <c r="N18" s="23"/>
      <c r="O18" s="23"/>
      <c r="P18" s="23"/>
      <c r="Q18" s="23"/>
      <c r="R18" s="19" t="s">
        <v>305</v>
      </c>
      <c r="S18" s="20"/>
      <c r="T18" s="49"/>
      <c r="U18" s="49"/>
      <c r="V18" s="49"/>
      <c r="W18" s="49"/>
      <c r="X18" s="49"/>
      <c r="Y18" s="19" t="s">
        <v>150</v>
      </c>
      <c r="Z18" s="154"/>
      <c r="AA18" s="25" t="s">
        <v>151</v>
      </c>
      <c r="AB18" s="26"/>
      <c r="AC18" s="39"/>
      <c r="AD18" s="51">
        <v>10</v>
      </c>
      <c r="AE18" s="28" t="s">
        <v>244</v>
      </c>
      <c r="AF18" s="40"/>
      <c r="AG18" s="40"/>
      <c r="AH18" s="40"/>
      <c r="AI18" s="40"/>
      <c r="AJ18" s="40"/>
      <c r="AK18" s="40"/>
      <c r="AL18" s="40"/>
      <c r="AM18" s="40"/>
      <c r="AN18" s="40"/>
      <c r="AO18" s="41"/>
      <c r="AP18" s="41"/>
      <c r="AQ18" s="41"/>
      <c r="AR18" s="41"/>
      <c r="AS18" s="123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" customHeight="1">
      <c r="A19" s="70">
        <f>IF(B19="","",COUNTA($B$8:B19))</f>
        <v>12</v>
      </c>
      <c r="B19" s="19" t="s">
        <v>307</v>
      </c>
      <c r="C19" s="20"/>
      <c r="D19" s="20"/>
      <c r="E19" s="20"/>
      <c r="F19" s="20"/>
      <c r="G19" s="20"/>
      <c r="H19" s="24"/>
      <c r="I19" s="34" t="s">
        <v>308</v>
      </c>
      <c r="J19" s="23"/>
      <c r="K19" s="23"/>
      <c r="L19" s="23"/>
      <c r="M19" s="23"/>
      <c r="N19" s="23"/>
      <c r="O19" s="23"/>
      <c r="P19" s="23"/>
      <c r="Q19" s="37"/>
      <c r="R19" s="19" t="s">
        <v>307</v>
      </c>
      <c r="S19" s="23"/>
      <c r="T19" s="23"/>
      <c r="U19" s="23"/>
      <c r="V19" s="23"/>
      <c r="W19" s="23"/>
      <c r="X19" s="24"/>
      <c r="Y19" s="19" t="s">
        <v>169</v>
      </c>
      <c r="Z19" s="154"/>
      <c r="AA19" s="25" t="s">
        <v>170</v>
      </c>
      <c r="AB19" s="26"/>
      <c r="AC19" s="39"/>
      <c r="AD19" s="30"/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118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" customHeight="1">
      <c r="A20" s="70">
        <f>IF(B20="","",COUNTA($B$8:B20))</f>
        <v>13</v>
      </c>
      <c r="B20" s="19" t="s">
        <v>178</v>
      </c>
      <c r="C20" s="20"/>
      <c r="D20" s="20"/>
      <c r="E20" s="20"/>
      <c r="F20" s="20"/>
      <c r="G20" s="20"/>
      <c r="H20" s="24"/>
      <c r="I20" s="34" t="s">
        <v>179</v>
      </c>
      <c r="J20" s="23"/>
      <c r="K20" s="23"/>
      <c r="L20" s="23"/>
      <c r="M20" s="23"/>
      <c r="N20" s="23"/>
      <c r="O20" s="23"/>
      <c r="P20" s="23"/>
      <c r="Q20" s="37"/>
      <c r="R20" s="19" t="s">
        <v>178</v>
      </c>
      <c r="S20" s="23"/>
      <c r="T20" s="23"/>
      <c r="U20" s="23"/>
      <c r="V20" s="23"/>
      <c r="W20" s="23"/>
      <c r="X20" s="24"/>
      <c r="Y20" s="419" t="s">
        <v>150</v>
      </c>
      <c r="Z20" s="420"/>
      <c r="AA20" s="421" t="s">
        <v>151</v>
      </c>
      <c r="AB20" s="422"/>
      <c r="AC20" s="423"/>
      <c r="AD20" s="27">
        <v>20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118" t="s">
        <v>180</v>
      </c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" customHeight="1">
      <c r="A21" s="70">
        <f>IF(B21="","",COUNTA($B$8:B21))</f>
        <v>14</v>
      </c>
      <c r="B21" s="19" t="s">
        <v>181</v>
      </c>
      <c r="C21" s="20"/>
      <c r="D21" s="20"/>
      <c r="E21" s="20"/>
      <c r="F21" s="20"/>
      <c r="G21" s="20"/>
      <c r="H21" s="24"/>
      <c r="I21" s="34" t="s">
        <v>182</v>
      </c>
      <c r="J21" s="23"/>
      <c r="K21" s="23"/>
      <c r="L21" s="23"/>
      <c r="M21" s="23"/>
      <c r="N21" s="23"/>
      <c r="O21" s="23"/>
      <c r="P21" s="23"/>
      <c r="Q21" s="37"/>
      <c r="R21" s="19" t="s">
        <v>181</v>
      </c>
      <c r="S21" s="23"/>
      <c r="T21" s="23"/>
      <c r="U21" s="23"/>
      <c r="V21" s="23"/>
      <c r="W21" s="23"/>
      <c r="X21" s="37"/>
      <c r="Y21" s="419" t="s">
        <v>150</v>
      </c>
      <c r="Z21" s="420"/>
      <c r="AA21" s="421" t="s">
        <v>151</v>
      </c>
      <c r="AB21" s="422"/>
      <c r="AC21" s="423"/>
      <c r="AD21" s="27">
        <v>30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118" t="s">
        <v>1416</v>
      </c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7" ht="14.4" customHeight="1">
      <c r="A22" s="70">
        <f>IF(B22="","",COUNTA($B$8:B22))</f>
        <v>15</v>
      </c>
      <c r="B22" s="19" t="s">
        <v>183</v>
      </c>
      <c r="C22" s="20"/>
      <c r="D22" s="20"/>
      <c r="E22" s="20"/>
      <c r="F22" s="20"/>
      <c r="G22" s="20"/>
      <c r="H22" s="24"/>
      <c r="I22" s="34" t="s">
        <v>184</v>
      </c>
      <c r="J22" s="23"/>
      <c r="K22" s="23"/>
      <c r="L22" s="23"/>
      <c r="M22" s="23"/>
      <c r="N22" s="23"/>
      <c r="O22" s="23"/>
      <c r="P22" s="23"/>
      <c r="Q22" s="37"/>
      <c r="R22" s="19" t="s">
        <v>183</v>
      </c>
      <c r="S22" s="23"/>
      <c r="T22" s="23"/>
      <c r="U22" s="23"/>
      <c r="V22" s="23"/>
      <c r="W22" s="23"/>
      <c r="X22" s="24"/>
      <c r="Y22" s="419" t="s">
        <v>150</v>
      </c>
      <c r="Z22" s="420"/>
      <c r="AA22" s="421" t="s">
        <v>151</v>
      </c>
      <c r="AB22" s="422"/>
      <c r="AC22" s="423"/>
      <c r="AD22" s="27">
        <v>1000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118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" customHeight="1">
      <c r="A23" s="70">
        <f>IF(B23="","",COUNTA($B$8:B23))</f>
        <v>16</v>
      </c>
      <c r="B23" s="19" t="s">
        <v>187</v>
      </c>
      <c r="C23" s="20"/>
      <c r="D23" s="20"/>
      <c r="E23" s="20"/>
      <c r="F23" s="20"/>
      <c r="G23" s="20"/>
      <c r="H23" s="24"/>
      <c r="I23" s="34" t="s">
        <v>188</v>
      </c>
      <c r="J23" s="23"/>
      <c r="K23" s="23"/>
      <c r="L23" s="23"/>
      <c r="M23" s="23"/>
      <c r="N23" s="23"/>
      <c r="O23" s="23"/>
      <c r="P23" s="23"/>
      <c r="Q23" s="37"/>
      <c r="R23" s="19" t="s">
        <v>187</v>
      </c>
      <c r="S23" s="23"/>
      <c r="T23" s="23"/>
      <c r="U23" s="23"/>
      <c r="V23" s="23"/>
      <c r="W23" s="23"/>
      <c r="X23" s="24"/>
      <c r="Y23" s="419" t="s">
        <v>155</v>
      </c>
      <c r="Z23" s="420"/>
      <c r="AA23" s="421" t="s">
        <v>156</v>
      </c>
      <c r="AB23" s="422"/>
      <c r="AC23" s="423"/>
      <c r="AD23" s="27">
        <v>3</v>
      </c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123"/>
      <c r="AT23" s="43"/>
      <c r="AU23" s="67"/>
      <c r="AV23" s="67"/>
      <c r="AW23" s="67"/>
      <c r="AX23" s="32"/>
      <c r="AY23" s="32"/>
      <c r="AZ23" s="32"/>
      <c r="BA23" s="32"/>
      <c r="BB23" s="32"/>
      <c r="BC23" s="32"/>
      <c r="BD23" s="33"/>
    </row>
    <row r="24" spans="1:57" ht="14.4" customHeight="1">
      <c r="A24" s="70">
        <f>IF(B24="","",COUNTA($B$8:B24))</f>
        <v>17</v>
      </c>
      <c r="B24" s="19" t="s">
        <v>189</v>
      </c>
      <c r="C24" s="20"/>
      <c r="D24" s="20"/>
      <c r="E24" s="20"/>
      <c r="F24" s="20"/>
      <c r="G24" s="20"/>
      <c r="H24" s="24"/>
      <c r="I24" s="34" t="s">
        <v>190</v>
      </c>
      <c r="J24" s="23"/>
      <c r="K24" s="23"/>
      <c r="L24" s="23"/>
      <c r="M24" s="23"/>
      <c r="N24" s="23"/>
      <c r="O24" s="23"/>
      <c r="P24" s="23"/>
      <c r="Q24" s="37"/>
      <c r="R24" s="19" t="s">
        <v>189</v>
      </c>
      <c r="S24" s="23"/>
      <c r="T24" s="23"/>
      <c r="U24" s="23"/>
      <c r="V24" s="23"/>
      <c r="W24" s="23"/>
      <c r="X24" s="24"/>
      <c r="Y24" s="419" t="s">
        <v>155</v>
      </c>
      <c r="Z24" s="420"/>
      <c r="AA24" s="421" t="s">
        <v>156</v>
      </c>
      <c r="AB24" s="422"/>
      <c r="AC24" s="423"/>
      <c r="AD24" s="27">
        <v>3</v>
      </c>
      <c r="AE24" s="41"/>
      <c r="AF24" s="41"/>
      <c r="AG24" s="40"/>
      <c r="AH24" s="40">
        <v>0</v>
      </c>
      <c r="AI24" s="40"/>
      <c r="AJ24" s="40"/>
      <c r="AK24" s="40"/>
      <c r="AL24" s="40"/>
      <c r="AM24" s="40"/>
      <c r="AN24" s="40"/>
      <c r="AO24" s="41"/>
      <c r="AP24" s="41"/>
      <c r="AQ24" s="41"/>
      <c r="AR24" s="41"/>
      <c r="AS24" s="123" t="s">
        <v>191</v>
      </c>
      <c r="AT24" s="43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" customHeight="1">
      <c r="A25" s="7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4"/>
      <c r="J25" s="23"/>
      <c r="K25" s="23"/>
      <c r="L25" s="23"/>
      <c r="M25" s="23"/>
      <c r="N25" s="23"/>
      <c r="O25" s="23"/>
      <c r="P25" s="23"/>
      <c r="Q25" s="37"/>
      <c r="R25" s="19"/>
      <c r="S25" s="23"/>
      <c r="T25" s="23"/>
      <c r="U25" s="23"/>
      <c r="V25" s="23"/>
      <c r="W25" s="23"/>
      <c r="X25" s="24"/>
      <c r="Y25" s="419"/>
      <c r="Z25" s="420"/>
      <c r="AA25" s="421"/>
      <c r="AB25" s="422"/>
      <c r="AC25" s="423"/>
      <c r="AD25" s="27"/>
      <c r="AE25" s="41"/>
      <c r="AF25" s="41"/>
      <c r="AG25" s="40"/>
      <c r="AH25" s="40"/>
      <c r="AI25" s="40"/>
      <c r="AJ25" s="40"/>
      <c r="AK25" s="40"/>
      <c r="AL25" s="40"/>
      <c r="AM25" s="40"/>
      <c r="AN25" s="40"/>
      <c r="AO25" s="41"/>
      <c r="AP25" s="41"/>
      <c r="AQ25" s="41"/>
      <c r="AR25" s="41"/>
      <c r="AS25" s="123" t="s">
        <v>192</v>
      </c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" customHeight="1">
      <c r="A26" s="70">
        <f>IF(B26="","",COUNTA($B$8:B26))</f>
        <v>18</v>
      </c>
      <c r="B26" s="25" t="s">
        <v>193</v>
      </c>
      <c r="C26" s="26"/>
      <c r="D26" s="26"/>
      <c r="E26" s="26"/>
      <c r="F26" s="26"/>
      <c r="G26" s="26"/>
      <c r="H26" s="39"/>
      <c r="I26" s="34" t="s">
        <v>194</v>
      </c>
      <c r="J26" s="23"/>
      <c r="K26" s="23"/>
      <c r="L26" s="23"/>
      <c r="M26" s="23"/>
      <c r="N26" s="23"/>
      <c r="O26" s="23"/>
      <c r="P26" s="23"/>
      <c r="Q26" s="37"/>
      <c r="R26" s="25" t="s">
        <v>193</v>
      </c>
      <c r="S26" s="23"/>
      <c r="T26" s="23"/>
      <c r="U26" s="23"/>
      <c r="V26" s="23"/>
      <c r="W26" s="23"/>
      <c r="X26" s="24"/>
      <c r="Y26" s="419" t="s">
        <v>150</v>
      </c>
      <c r="Z26" s="420"/>
      <c r="AA26" s="421" t="s">
        <v>151</v>
      </c>
      <c r="AB26" s="422"/>
      <c r="AC26" s="423"/>
      <c r="AD26" s="27">
        <v>25</v>
      </c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118" t="s">
        <v>1408</v>
      </c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3"/>
      <c r="BE26" s="18" t="s">
        <v>1445</v>
      </c>
    </row>
    <row r="27" spans="1:57" ht="14.4" customHeight="1">
      <c r="A27" s="70">
        <f>IF(B27="","",COUNTA($B$8:B27))</f>
        <v>19</v>
      </c>
      <c r="B27" s="19" t="s">
        <v>195</v>
      </c>
      <c r="C27" s="20"/>
      <c r="D27" s="20"/>
      <c r="E27" s="20"/>
      <c r="F27" s="20"/>
      <c r="G27" s="20"/>
      <c r="H27" s="24"/>
      <c r="I27" s="34" t="s">
        <v>196</v>
      </c>
      <c r="J27" s="23"/>
      <c r="K27" s="23"/>
      <c r="L27" s="23"/>
      <c r="M27" s="23"/>
      <c r="N27" s="23"/>
      <c r="O27" s="23"/>
      <c r="P27" s="23"/>
      <c r="Q27" s="37"/>
      <c r="R27" s="19" t="s">
        <v>195</v>
      </c>
      <c r="S27" s="23"/>
      <c r="T27" s="23"/>
      <c r="U27" s="23"/>
      <c r="V27" s="23"/>
      <c r="W27" s="23"/>
      <c r="X27" s="24"/>
      <c r="Y27" s="419" t="s">
        <v>150</v>
      </c>
      <c r="Z27" s="420"/>
      <c r="AA27" s="421" t="s">
        <v>151</v>
      </c>
      <c r="AB27" s="422"/>
      <c r="AC27" s="423"/>
      <c r="AD27" s="264">
        <v>400</v>
      </c>
      <c r="AE27" s="193"/>
      <c r="AF27" s="193"/>
      <c r="AG27" s="194"/>
      <c r="AH27" s="194"/>
      <c r="AI27" s="194"/>
      <c r="AJ27" s="194"/>
      <c r="AK27" s="194"/>
      <c r="AL27" s="194"/>
      <c r="AM27" s="194"/>
      <c r="AN27" s="194"/>
      <c r="AO27" s="193"/>
      <c r="AP27" s="193"/>
      <c r="AQ27" s="193"/>
      <c r="AR27" s="193"/>
      <c r="AS27" s="189" t="s">
        <v>1512</v>
      </c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  <c r="BE27" s="1" t="s">
        <v>1511</v>
      </c>
    </row>
    <row r="28" spans="1:57" ht="14.4" customHeight="1">
      <c r="A28" s="70">
        <f>IF(B28="","",COUNTA($B$8:B28))</f>
        <v>20</v>
      </c>
      <c r="B28" s="19" t="s">
        <v>197</v>
      </c>
      <c r="C28" s="20"/>
      <c r="D28" s="20"/>
      <c r="E28" s="20"/>
      <c r="F28" s="20"/>
      <c r="G28" s="20"/>
      <c r="H28" s="24"/>
      <c r="I28" s="34" t="s">
        <v>198</v>
      </c>
      <c r="J28" s="23"/>
      <c r="K28" s="23"/>
      <c r="L28" s="23"/>
      <c r="M28" s="23"/>
      <c r="N28" s="23"/>
      <c r="O28" s="23"/>
      <c r="P28" s="23"/>
      <c r="Q28" s="37"/>
      <c r="R28" s="19" t="s">
        <v>197</v>
      </c>
      <c r="S28" s="23"/>
      <c r="T28" s="23"/>
      <c r="U28" s="23"/>
      <c r="V28" s="23"/>
      <c r="W28" s="23"/>
      <c r="X28" s="24"/>
      <c r="Y28" s="419" t="s">
        <v>150</v>
      </c>
      <c r="Z28" s="420"/>
      <c r="AA28" s="421" t="s">
        <v>151</v>
      </c>
      <c r="AB28" s="422"/>
      <c r="AC28" s="423"/>
      <c r="AD28" s="27">
        <v>5</v>
      </c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118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" customHeight="1">
      <c r="A29" s="70">
        <f>IF(B29="","",COUNTA($B$8:B29))</f>
        <v>21</v>
      </c>
      <c r="B29" s="19" t="s">
        <v>199</v>
      </c>
      <c r="C29" s="20"/>
      <c r="D29" s="20"/>
      <c r="E29" s="20"/>
      <c r="F29" s="20"/>
      <c r="G29" s="20"/>
      <c r="H29" s="24"/>
      <c r="I29" s="34" t="s">
        <v>200</v>
      </c>
      <c r="J29" s="23"/>
      <c r="K29" s="23"/>
      <c r="L29" s="23"/>
      <c r="M29" s="23"/>
      <c r="N29" s="23"/>
      <c r="O29" s="23"/>
      <c r="P29" s="23"/>
      <c r="Q29" s="37"/>
      <c r="R29" s="19" t="s">
        <v>199</v>
      </c>
      <c r="S29" s="23"/>
      <c r="T29" s="23"/>
      <c r="U29" s="23"/>
      <c r="V29" s="23"/>
      <c r="W29" s="23"/>
      <c r="X29" s="24"/>
      <c r="Y29" s="419" t="s">
        <v>150</v>
      </c>
      <c r="Z29" s="420"/>
      <c r="AA29" s="421" t="s">
        <v>151</v>
      </c>
      <c r="AB29" s="422"/>
      <c r="AC29" s="423"/>
      <c r="AD29" s="27">
        <v>20</v>
      </c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118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" customHeight="1">
      <c r="A30" s="70">
        <f>IF(B30="","",COUNTA($B$8:B30))</f>
        <v>22</v>
      </c>
      <c r="B30" s="19" t="s">
        <v>201</v>
      </c>
      <c r="C30" s="20"/>
      <c r="D30" s="20"/>
      <c r="E30" s="20"/>
      <c r="F30" s="20"/>
      <c r="G30" s="20"/>
      <c r="H30" s="24"/>
      <c r="I30" s="34" t="s">
        <v>202</v>
      </c>
      <c r="J30" s="23"/>
      <c r="K30" s="23"/>
      <c r="L30" s="23"/>
      <c r="M30" s="23"/>
      <c r="N30" s="23"/>
      <c r="O30" s="23"/>
      <c r="P30" s="23"/>
      <c r="Q30" s="37"/>
      <c r="R30" s="19" t="s">
        <v>201</v>
      </c>
      <c r="S30" s="23"/>
      <c r="T30" s="23"/>
      <c r="U30" s="23"/>
      <c r="V30" s="23"/>
      <c r="W30" s="23"/>
      <c r="X30" s="24"/>
      <c r="Y30" s="419" t="s">
        <v>150</v>
      </c>
      <c r="Z30" s="420"/>
      <c r="AA30" s="421" t="s">
        <v>151</v>
      </c>
      <c r="AB30" s="422"/>
      <c r="AC30" s="423"/>
      <c r="AD30" s="27">
        <v>30</v>
      </c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118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" customHeight="1">
      <c r="A31" s="70">
        <f>IF(B31="","",COUNTA($B$8:B31))</f>
        <v>23</v>
      </c>
      <c r="B31" s="22" t="s">
        <v>203</v>
      </c>
      <c r="C31" s="20"/>
      <c r="D31" s="20"/>
      <c r="E31" s="20"/>
      <c r="F31" s="20"/>
      <c r="G31" s="20"/>
      <c r="H31" s="24"/>
      <c r="I31" s="34" t="s">
        <v>204</v>
      </c>
      <c r="J31" s="23"/>
      <c r="K31" s="23"/>
      <c r="L31" s="23"/>
      <c r="M31" s="23"/>
      <c r="N31" s="23"/>
      <c r="O31" s="23"/>
      <c r="P31" s="23"/>
      <c r="Q31" s="37"/>
      <c r="R31" s="22" t="s">
        <v>203</v>
      </c>
      <c r="S31" s="23"/>
      <c r="T31" s="23"/>
      <c r="U31" s="23"/>
      <c r="V31" s="23"/>
      <c r="W31" s="23"/>
      <c r="X31" s="24"/>
      <c r="Y31" s="419" t="s">
        <v>155</v>
      </c>
      <c r="Z31" s="420"/>
      <c r="AA31" s="421" t="s">
        <v>156</v>
      </c>
      <c r="AB31" s="422"/>
      <c r="AC31" s="423"/>
      <c r="AD31" s="27">
        <v>5</v>
      </c>
      <c r="AE31" s="29">
        <v>2</v>
      </c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118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" customHeight="1">
      <c r="A32" s="70">
        <f>IF(B32="","",COUNTA($B$8:B32))</f>
        <v>24</v>
      </c>
      <c r="B32" s="22" t="s">
        <v>205</v>
      </c>
      <c r="C32" s="26"/>
      <c r="D32" s="26"/>
      <c r="E32" s="26"/>
      <c r="F32" s="26"/>
      <c r="G32" s="26"/>
      <c r="H32" s="39"/>
      <c r="I32" s="34" t="s">
        <v>206</v>
      </c>
      <c r="J32" s="23"/>
      <c r="K32" s="23"/>
      <c r="L32" s="23"/>
      <c r="M32" s="23"/>
      <c r="N32" s="23"/>
      <c r="O32" s="23"/>
      <c r="P32" s="23"/>
      <c r="Q32" s="37"/>
      <c r="R32" s="22" t="s">
        <v>207</v>
      </c>
      <c r="S32" s="23"/>
      <c r="T32" s="23"/>
      <c r="U32" s="23"/>
      <c r="V32" s="23"/>
      <c r="W32" s="23"/>
      <c r="X32" s="24"/>
      <c r="Y32" s="419" t="s">
        <v>155</v>
      </c>
      <c r="Z32" s="420"/>
      <c r="AA32" s="421" t="s">
        <v>156</v>
      </c>
      <c r="AB32" s="422"/>
      <c r="AC32" s="423"/>
      <c r="AD32" s="27">
        <v>4</v>
      </c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118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7" ht="14.4" customHeight="1">
      <c r="A33" s="70">
        <f>IF(B33="","",COUNTA($B$8:B33))</f>
        <v>25</v>
      </c>
      <c r="B33" s="22" t="s">
        <v>208</v>
      </c>
      <c r="C33" s="26"/>
      <c r="D33" s="26"/>
      <c r="E33" s="26"/>
      <c r="F33" s="26"/>
      <c r="G33" s="26"/>
      <c r="H33" s="39"/>
      <c r="I33" s="34" t="s">
        <v>209</v>
      </c>
      <c r="J33" s="23"/>
      <c r="K33" s="23"/>
      <c r="L33" s="23"/>
      <c r="M33" s="23"/>
      <c r="N33" s="23"/>
      <c r="O33" s="23"/>
      <c r="P33" s="23"/>
      <c r="Q33" s="37"/>
      <c r="R33" s="22" t="s">
        <v>210</v>
      </c>
      <c r="S33" s="23"/>
      <c r="T33" s="23"/>
      <c r="U33" s="23"/>
      <c r="V33" s="23"/>
      <c r="W33" s="23"/>
      <c r="X33" s="24"/>
      <c r="Y33" s="419" t="s">
        <v>155</v>
      </c>
      <c r="Z33" s="420"/>
      <c r="AA33" s="421" t="s">
        <v>156</v>
      </c>
      <c r="AB33" s="422"/>
      <c r="AC33" s="423"/>
      <c r="AD33" s="27">
        <v>5</v>
      </c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118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7" ht="14.4" customHeight="1">
      <c r="A34" s="70">
        <f>IF(B34="","",COUNTA($B$8:B34))</f>
        <v>26</v>
      </c>
      <c r="B34" s="19" t="s">
        <v>673</v>
      </c>
      <c r="C34" s="20"/>
      <c r="D34" s="20"/>
      <c r="E34" s="20"/>
      <c r="F34" s="20"/>
      <c r="G34" s="20"/>
      <c r="H34" s="24"/>
      <c r="I34" s="34" t="s">
        <v>1402</v>
      </c>
      <c r="J34" s="23"/>
      <c r="K34" s="23"/>
      <c r="L34" s="23"/>
      <c r="M34" s="23"/>
      <c r="N34" s="23"/>
      <c r="O34" s="23"/>
      <c r="P34" s="23"/>
      <c r="Q34" s="37"/>
      <c r="R34" s="19" t="s">
        <v>673</v>
      </c>
      <c r="S34" s="23"/>
      <c r="T34" s="23"/>
      <c r="U34" s="23"/>
      <c r="V34" s="23"/>
      <c r="W34" s="23"/>
      <c r="X34" s="37"/>
      <c r="Y34" s="419" t="s">
        <v>150</v>
      </c>
      <c r="Z34" s="420"/>
      <c r="AA34" s="421" t="s">
        <v>151</v>
      </c>
      <c r="AB34" s="422"/>
      <c r="AC34" s="423"/>
      <c r="AD34" s="27">
        <v>4</v>
      </c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118" t="s">
        <v>1401</v>
      </c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  <c r="BE34" s="18" t="s">
        <v>1403</v>
      </c>
    </row>
    <row r="35" spans="1:57" ht="14.4" customHeight="1">
      <c r="A35" s="70">
        <f>IF(B35="","",COUNTA($B$8:B35))</f>
        <v>27</v>
      </c>
      <c r="B35" s="22" t="s">
        <v>309</v>
      </c>
      <c r="C35" s="20"/>
      <c r="D35" s="20"/>
      <c r="E35" s="20"/>
      <c r="F35" s="20"/>
      <c r="G35" s="20"/>
      <c r="H35" s="24"/>
      <c r="I35" s="34" t="s">
        <v>310</v>
      </c>
      <c r="J35" s="23"/>
      <c r="K35" s="23"/>
      <c r="L35" s="23"/>
      <c r="M35" s="23"/>
      <c r="N35" s="23"/>
      <c r="O35" s="23"/>
      <c r="P35" s="23"/>
      <c r="Q35" s="37"/>
      <c r="R35" s="22" t="s">
        <v>309</v>
      </c>
      <c r="S35" s="23"/>
      <c r="T35" s="23"/>
      <c r="U35" s="23"/>
      <c r="V35" s="23"/>
      <c r="W35" s="23"/>
      <c r="X35" s="24"/>
      <c r="Y35" s="419" t="s">
        <v>155</v>
      </c>
      <c r="Z35" s="420"/>
      <c r="AA35" s="421" t="s">
        <v>156</v>
      </c>
      <c r="AB35" s="422"/>
      <c r="AC35" s="423"/>
      <c r="AD35" s="27">
        <v>5</v>
      </c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118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7" ht="14.4" customHeight="1">
      <c r="A36" s="70">
        <f>IF(B36="","",COUNTA($B$8:B36))</f>
        <v>28</v>
      </c>
      <c r="B36" s="22" t="s">
        <v>211</v>
      </c>
      <c r="C36" s="20"/>
      <c r="D36" s="20"/>
      <c r="E36" s="20"/>
      <c r="F36" s="20"/>
      <c r="G36" s="20"/>
      <c r="H36" s="24"/>
      <c r="I36" s="34" t="s">
        <v>212</v>
      </c>
      <c r="J36" s="23"/>
      <c r="K36" s="23"/>
      <c r="L36" s="23"/>
      <c r="M36" s="23"/>
      <c r="N36" s="23"/>
      <c r="O36" s="23"/>
      <c r="P36" s="23"/>
      <c r="Q36" s="37"/>
      <c r="R36" s="22" t="s">
        <v>213</v>
      </c>
      <c r="S36" s="23"/>
      <c r="T36" s="23"/>
      <c r="U36" s="23"/>
      <c r="V36" s="23"/>
      <c r="W36" s="23"/>
      <c r="X36" s="24"/>
      <c r="Y36" s="419" t="s">
        <v>155</v>
      </c>
      <c r="Z36" s="420"/>
      <c r="AA36" s="421" t="s">
        <v>156</v>
      </c>
      <c r="AB36" s="422"/>
      <c r="AC36" s="423"/>
      <c r="AD36" s="27">
        <v>5</v>
      </c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118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7" ht="14.4" customHeight="1">
      <c r="A37" s="70">
        <f>IF(B37="","",COUNTA($B$8:B37))</f>
        <v>29</v>
      </c>
      <c r="B37" s="22" t="s">
        <v>311</v>
      </c>
      <c r="C37" s="20"/>
      <c r="D37" s="20"/>
      <c r="E37" s="20"/>
      <c r="F37" s="20"/>
      <c r="G37" s="20"/>
      <c r="H37" s="24"/>
      <c r="I37" s="34" t="s">
        <v>312</v>
      </c>
      <c r="J37" s="23"/>
      <c r="K37" s="23"/>
      <c r="L37" s="23"/>
      <c r="M37" s="23"/>
      <c r="N37" s="23"/>
      <c r="O37" s="23"/>
      <c r="P37" s="23"/>
      <c r="Q37" s="37"/>
      <c r="R37" s="22" t="s">
        <v>313</v>
      </c>
      <c r="S37" s="23"/>
      <c r="T37" s="23"/>
      <c r="U37" s="23"/>
      <c r="V37" s="23"/>
      <c r="W37" s="23"/>
      <c r="X37" s="24"/>
      <c r="Y37" s="419" t="s">
        <v>155</v>
      </c>
      <c r="Z37" s="420"/>
      <c r="AA37" s="421" t="s">
        <v>156</v>
      </c>
      <c r="AB37" s="422"/>
      <c r="AC37" s="423"/>
      <c r="AD37" s="27">
        <v>5</v>
      </c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118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7" ht="14.4" customHeight="1">
      <c r="A38" s="70">
        <f>IF(B38="","",COUNTA($B$8:B38))</f>
        <v>30</v>
      </c>
      <c r="B38" s="19" t="s">
        <v>228</v>
      </c>
      <c r="C38" s="20"/>
      <c r="D38" s="20"/>
      <c r="E38" s="20"/>
      <c r="F38" s="20"/>
      <c r="G38" s="20"/>
      <c r="H38" s="24"/>
      <c r="I38" s="34" t="s">
        <v>229</v>
      </c>
      <c r="J38" s="23"/>
      <c r="K38" s="23"/>
      <c r="L38" s="23"/>
      <c r="M38" s="23"/>
      <c r="N38" s="23"/>
      <c r="O38" s="23"/>
      <c r="P38" s="23"/>
      <c r="Q38" s="37"/>
      <c r="R38" s="19" t="s">
        <v>228</v>
      </c>
      <c r="S38" s="23"/>
      <c r="T38" s="23"/>
      <c r="U38" s="23"/>
      <c r="V38" s="23"/>
      <c r="W38" s="23"/>
      <c r="X38" s="24"/>
      <c r="Y38" s="419" t="s">
        <v>150</v>
      </c>
      <c r="Z38" s="420"/>
      <c r="AA38" s="421" t="s">
        <v>151</v>
      </c>
      <c r="AB38" s="422"/>
      <c r="AC38" s="423"/>
      <c r="AD38" s="27">
        <v>1000</v>
      </c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118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7" ht="14.4" customHeight="1">
      <c r="A39" s="70">
        <f>IF(B39="","",COUNTA($B$8:B39))</f>
        <v>31</v>
      </c>
      <c r="B39" s="19" t="s">
        <v>314</v>
      </c>
      <c r="C39" s="20"/>
      <c r="D39" s="20"/>
      <c r="E39" s="20"/>
      <c r="F39" s="20"/>
      <c r="G39" s="20"/>
      <c r="H39" s="24"/>
      <c r="I39" s="34" t="s">
        <v>315</v>
      </c>
      <c r="J39" s="23"/>
      <c r="K39" s="23"/>
      <c r="L39" s="23"/>
      <c r="M39" s="23"/>
      <c r="N39" s="23"/>
      <c r="O39" s="23"/>
      <c r="P39" s="23"/>
      <c r="Q39" s="37"/>
      <c r="R39" s="19" t="s">
        <v>314</v>
      </c>
      <c r="S39" s="23"/>
      <c r="T39" s="23"/>
      <c r="U39" s="23"/>
      <c r="V39" s="23"/>
      <c r="W39" s="23"/>
      <c r="X39" s="24"/>
      <c r="Y39" s="419" t="s">
        <v>150</v>
      </c>
      <c r="Z39" s="420"/>
      <c r="AA39" s="421" t="s">
        <v>151</v>
      </c>
      <c r="AB39" s="422"/>
      <c r="AC39" s="423"/>
      <c r="AD39" s="27">
        <v>5</v>
      </c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118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7" ht="14.4" customHeight="1">
      <c r="A40" s="70">
        <f>IF(B40="","",COUNTA($B$8:B40))</f>
        <v>32</v>
      </c>
      <c r="B40" s="19" t="s">
        <v>316</v>
      </c>
      <c r="C40" s="20"/>
      <c r="D40" s="20"/>
      <c r="E40" s="20"/>
      <c r="F40" s="20"/>
      <c r="G40" s="20"/>
      <c r="H40" s="24"/>
      <c r="I40" s="34" t="s">
        <v>317</v>
      </c>
      <c r="J40" s="23"/>
      <c r="K40" s="23"/>
      <c r="L40" s="23"/>
      <c r="M40" s="23"/>
      <c r="N40" s="23"/>
      <c r="O40" s="23"/>
      <c r="P40" s="23"/>
      <c r="Q40" s="37"/>
      <c r="R40" s="19" t="s">
        <v>316</v>
      </c>
      <c r="S40" s="23"/>
      <c r="T40" s="23"/>
      <c r="U40" s="23"/>
      <c r="V40" s="23"/>
      <c r="W40" s="23"/>
      <c r="X40" s="24"/>
      <c r="Y40" s="419" t="s">
        <v>150</v>
      </c>
      <c r="Z40" s="420"/>
      <c r="AA40" s="421" t="s">
        <v>151</v>
      </c>
      <c r="AB40" s="422"/>
      <c r="AC40" s="423"/>
      <c r="AD40" s="27">
        <v>20</v>
      </c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118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7" ht="14.4" customHeight="1">
      <c r="A41" s="70">
        <f>IF(B41="","",COUNTA($B$8:B41))</f>
        <v>33</v>
      </c>
      <c r="B41" s="19" t="s">
        <v>318</v>
      </c>
      <c r="C41" s="20"/>
      <c r="D41" s="20"/>
      <c r="E41" s="20"/>
      <c r="F41" s="20"/>
      <c r="G41" s="20"/>
      <c r="H41" s="24"/>
      <c r="I41" s="34" t="s">
        <v>319</v>
      </c>
      <c r="J41" s="23"/>
      <c r="K41" s="23"/>
      <c r="L41" s="23"/>
      <c r="M41" s="23"/>
      <c r="N41" s="23"/>
      <c r="O41" s="23"/>
      <c r="P41" s="23"/>
      <c r="Q41" s="37"/>
      <c r="R41" s="19" t="s">
        <v>318</v>
      </c>
      <c r="S41" s="23"/>
      <c r="T41" s="23"/>
      <c r="U41" s="23"/>
      <c r="V41" s="23"/>
      <c r="W41" s="23"/>
      <c r="X41" s="24"/>
      <c r="Y41" s="419" t="s">
        <v>150</v>
      </c>
      <c r="Z41" s="420"/>
      <c r="AA41" s="421" t="s">
        <v>151</v>
      </c>
      <c r="AB41" s="422"/>
      <c r="AC41" s="423"/>
      <c r="AD41" s="27">
        <v>30</v>
      </c>
      <c r="AE41" s="29"/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118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7" ht="14.4" customHeight="1">
      <c r="A42" s="70">
        <f>IF(B42="","",COUNTA($B$8:B42))</f>
        <v>34</v>
      </c>
      <c r="B42" s="22" t="s">
        <v>320</v>
      </c>
      <c r="C42" s="20"/>
      <c r="D42" s="20"/>
      <c r="E42" s="20"/>
      <c r="F42" s="20"/>
      <c r="G42" s="20"/>
      <c r="H42" s="24"/>
      <c r="I42" s="34" t="s">
        <v>321</v>
      </c>
      <c r="J42" s="23"/>
      <c r="K42" s="23"/>
      <c r="L42" s="23"/>
      <c r="M42" s="23"/>
      <c r="N42" s="23"/>
      <c r="O42" s="23"/>
      <c r="P42" s="23"/>
      <c r="Q42" s="37"/>
      <c r="R42" s="22" t="s">
        <v>320</v>
      </c>
      <c r="S42" s="23"/>
      <c r="T42" s="23"/>
      <c r="U42" s="23"/>
      <c r="V42" s="23"/>
      <c r="W42" s="23"/>
      <c r="X42" s="24"/>
      <c r="Y42" s="419" t="s">
        <v>155</v>
      </c>
      <c r="Z42" s="420"/>
      <c r="AA42" s="421" t="s">
        <v>156</v>
      </c>
      <c r="AB42" s="422"/>
      <c r="AC42" s="423"/>
      <c r="AD42" s="27">
        <v>5</v>
      </c>
      <c r="AE42" s="29">
        <v>2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118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7" ht="14.4" customHeight="1">
      <c r="A43" s="70">
        <f>IF(B43="","",COUNTA($B$8:B43))</f>
        <v>35</v>
      </c>
      <c r="B43" s="22" t="s">
        <v>322</v>
      </c>
      <c r="C43" s="26"/>
      <c r="D43" s="26"/>
      <c r="E43" s="26"/>
      <c r="F43" s="26"/>
      <c r="G43" s="26"/>
      <c r="H43" s="39"/>
      <c r="I43" s="34" t="s">
        <v>323</v>
      </c>
      <c r="J43" s="23"/>
      <c r="K43" s="23"/>
      <c r="L43" s="23"/>
      <c r="M43" s="23"/>
      <c r="N43" s="23"/>
      <c r="O43" s="23"/>
      <c r="P43" s="23"/>
      <c r="Q43" s="37"/>
      <c r="R43" s="22" t="s">
        <v>322</v>
      </c>
      <c r="S43" s="23"/>
      <c r="T43" s="23"/>
      <c r="U43" s="23"/>
      <c r="V43" s="23"/>
      <c r="W43" s="23"/>
      <c r="X43" s="24"/>
      <c r="Y43" s="419" t="s">
        <v>155</v>
      </c>
      <c r="Z43" s="420"/>
      <c r="AA43" s="421" t="s">
        <v>156</v>
      </c>
      <c r="AB43" s="422"/>
      <c r="AC43" s="423"/>
      <c r="AD43" s="27">
        <v>4</v>
      </c>
      <c r="AE43" s="29"/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118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7" ht="14.4" customHeight="1">
      <c r="A44" s="70">
        <f>IF(B44="","",COUNTA($B$8:B44))</f>
        <v>36</v>
      </c>
      <c r="B44" s="22" t="s">
        <v>324</v>
      </c>
      <c r="C44" s="26"/>
      <c r="D44" s="26"/>
      <c r="E44" s="26"/>
      <c r="F44" s="26"/>
      <c r="G44" s="26"/>
      <c r="H44" s="39"/>
      <c r="I44" s="34" t="s">
        <v>325</v>
      </c>
      <c r="J44" s="23"/>
      <c r="K44" s="23"/>
      <c r="L44" s="23"/>
      <c r="M44" s="23"/>
      <c r="N44" s="23"/>
      <c r="O44" s="23"/>
      <c r="P44" s="23"/>
      <c r="Q44" s="37"/>
      <c r="R44" s="22" t="s">
        <v>324</v>
      </c>
      <c r="S44" s="23"/>
      <c r="T44" s="23"/>
      <c r="U44" s="23"/>
      <c r="V44" s="23"/>
      <c r="W44" s="23"/>
      <c r="X44" s="24"/>
      <c r="Y44" s="419" t="s">
        <v>155</v>
      </c>
      <c r="Z44" s="420"/>
      <c r="AA44" s="421" t="s">
        <v>156</v>
      </c>
      <c r="AB44" s="422"/>
      <c r="AC44" s="423"/>
      <c r="AD44" s="27">
        <v>5</v>
      </c>
      <c r="AE44" s="29"/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118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7" ht="14.4" customHeight="1">
      <c r="A45" s="70">
        <f>IF(B45="","",COUNTA($B$8:B45))</f>
        <v>37</v>
      </c>
      <c r="B45" s="22" t="s">
        <v>326</v>
      </c>
      <c r="C45" s="20"/>
      <c r="D45" s="20"/>
      <c r="E45" s="20"/>
      <c r="F45" s="20"/>
      <c r="G45" s="20"/>
      <c r="H45" s="24"/>
      <c r="I45" s="34" t="s">
        <v>327</v>
      </c>
      <c r="J45" s="23"/>
      <c r="K45" s="23"/>
      <c r="L45" s="23"/>
      <c r="M45" s="23"/>
      <c r="N45" s="23"/>
      <c r="O45" s="23"/>
      <c r="P45" s="23"/>
      <c r="Q45" s="37"/>
      <c r="R45" s="22" t="s">
        <v>326</v>
      </c>
      <c r="S45" s="23"/>
      <c r="T45" s="23"/>
      <c r="U45" s="23"/>
      <c r="V45" s="23"/>
      <c r="W45" s="23"/>
      <c r="X45" s="24"/>
      <c r="Y45" s="419" t="s">
        <v>155</v>
      </c>
      <c r="Z45" s="420"/>
      <c r="AA45" s="421" t="s">
        <v>156</v>
      </c>
      <c r="AB45" s="422"/>
      <c r="AC45" s="423"/>
      <c r="AD45" s="27">
        <v>5</v>
      </c>
      <c r="AE45" s="29"/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118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7" ht="14.4" customHeight="1">
      <c r="A46" s="70">
        <f>IF(B46="","",COUNTA($B$8:B46))</f>
        <v>38</v>
      </c>
      <c r="B46" s="19" t="s">
        <v>328</v>
      </c>
      <c r="C46" s="20"/>
      <c r="D46" s="20"/>
      <c r="E46" s="20"/>
      <c r="F46" s="20"/>
      <c r="G46" s="20"/>
      <c r="H46" s="24"/>
      <c r="I46" s="34" t="s">
        <v>329</v>
      </c>
      <c r="J46" s="23"/>
      <c r="K46" s="23"/>
      <c r="L46" s="23"/>
      <c r="M46" s="23"/>
      <c r="N46" s="23"/>
      <c r="O46" s="23"/>
      <c r="P46" s="23"/>
      <c r="Q46" s="37"/>
      <c r="R46" s="19" t="s">
        <v>328</v>
      </c>
      <c r="S46" s="23"/>
      <c r="T46" s="23"/>
      <c r="U46" s="23"/>
      <c r="V46" s="23"/>
      <c r="W46" s="23"/>
      <c r="X46" s="24"/>
      <c r="Y46" s="419" t="s">
        <v>150</v>
      </c>
      <c r="Z46" s="420"/>
      <c r="AA46" s="421" t="s">
        <v>151</v>
      </c>
      <c r="AB46" s="422"/>
      <c r="AC46" s="423"/>
      <c r="AD46" s="27">
        <v>1000</v>
      </c>
      <c r="AE46" s="29"/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118"/>
      <c r="AT46" s="67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7" ht="14.4" customHeight="1">
      <c r="A47" s="70">
        <f>IF(B47="","",COUNTA($B$8:B47))</f>
        <v>39</v>
      </c>
      <c r="B47" s="19" t="s">
        <v>330</v>
      </c>
      <c r="C47" s="20"/>
      <c r="D47" s="20"/>
      <c r="E47" s="20"/>
      <c r="F47" s="20"/>
      <c r="G47" s="20"/>
      <c r="H47" s="24"/>
      <c r="I47" s="34" t="s">
        <v>331</v>
      </c>
      <c r="J47" s="23"/>
      <c r="K47" s="23"/>
      <c r="L47" s="23"/>
      <c r="M47" s="23"/>
      <c r="N47" s="23"/>
      <c r="O47" s="23"/>
      <c r="P47" s="23"/>
      <c r="Q47" s="37"/>
      <c r="R47" s="19" t="s">
        <v>330</v>
      </c>
      <c r="S47" s="23"/>
      <c r="T47" s="23"/>
      <c r="U47" s="23"/>
      <c r="V47" s="23"/>
      <c r="W47" s="23"/>
      <c r="X47" s="24"/>
      <c r="Y47" s="419" t="s">
        <v>150</v>
      </c>
      <c r="Z47" s="420"/>
      <c r="AA47" s="421" t="s">
        <v>151</v>
      </c>
      <c r="AB47" s="422"/>
      <c r="AC47" s="423"/>
      <c r="AD47" s="27">
        <v>100</v>
      </c>
      <c r="AE47" s="29"/>
      <c r="AF47" s="29"/>
      <c r="AG47" s="29"/>
      <c r="AH47" s="28"/>
      <c r="AI47" s="28"/>
      <c r="AJ47" s="28"/>
      <c r="AK47" s="28"/>
      <c r="AL47" s="28"/>
      <c r="AM47" s="28"/>
      <c r="AN47" s="28"/>
      <c r="AO47" s="29"/>
      <c r="AP47" s="29"/>
      <c r="AQ47" s="29"/>
      <c r="AR47" s="29"/>
      <c r="AS47" s="118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8"/>
    </row>
    <row r="48" spans="1:57" ht="14.4" customHeight="1">
      <c r="A48" s="70">
        <f>IF(B48="","",COUNTA($B$8:B48))</f>
        <v>40</v>
      </c>
      <c r="B48" s="22" t="s">
        <v>294</v>
      </c>
      <c r="C48" s="20"/>
      <c r="D48" s="20"/>
      <c r="E48" s="20"/>
      <c r="F48" s="20"/>
      <c r="G48" s="20"/>
      <c r="H48" s="24"/>
      <c r="I48" s="34" t="s">
        <v>295</v>
      </c>
      <c r="J48" s="23"/>
      <c r="K48" s="23"/>
      <c r="L48" s="23"/>
      <c r="M48" s="23"/>
      <c r="N48" s="23"/>
      <c r="O48" s="23"/>
      <c r="P48" s="23"/>
      <c r="Q48" s="37"/>
      <c r="R48" s="22" t="s">
        <v>294</v>
      </c>
      <c r="S48" s="23"/>
      <c r="T48" s="23"/>
      <c r="U48" s="23"/>
      <c r="V48" s="23"/>
      <c r="W48" s="23"/>
      <c r="X48" s="24"/>
      <c r="Y48" s="419" t="s">
        <v>155</v>
      </c>
      <c r="Z48" s="420"/>
      <c r="AA48" s="421" t="s">
        <v>156</v>
      </c>
      <c r="AB48" s="422"/>
      <c r="AC48" s="423"/>
      <c r="AD48" s="27">
        <v>5</v>
      </c>
      <c r="AE48" s="29"/>
      <c r="AF48" s="29"/>
      <c r="AG48" s="29"/>
      <c r="AH48" s="28"/>
      <c r="AI48" s="28"/>
      <c r="AJ48" s="28"/>
      <c r="AK48" s="28"/>
      <c r="AL48" s="28"/>
      <c r="AM48" s="28"/>
      <c r="AN48" s="28"/>
      <c r="AO48" s="29"/>
      <c r="AP48" s="29"/>
      <c r="AQ48" s="29"/>
      <c r="AR48" s="29"/>
      <c r="AS48" s="118"/>
      <c r="AT48" s="67"/>
      <c r="AU48" s="67"/>
      <c r="AV48" s="67"/>
      <c r="AW48" s="67"/>
      <c r="AX48" s="67"/>
      <c r="AY48" s="67"/>
      <c r="AZ48" s="67"/>
      <c r="BA48" s="67"/>
      <c r="BB48" s="67"/>
      <c r="BC48" s="67"/>
      <c r="BD48" s="68"/>
    </row>
    <row r="49" spans="1:56" ht="14.4" customHeight="1">
      <c r="A49" s="70">
        <f>IF(B49="","",COUNTA($B$8:B49))</f>
        <v>41</v>
      </c>
      <c r="B49" s="19" t="s">
        <v>226</v>
      </c>
      <c r="C49" s="20"/>
      <c r="D49" s="20"/>
      <c r="E49" s="20"/>
      <c r="F49" s="20"/>
      <c r="G49" s="20"/>
      <c r="H49" s="24"/>
      <c r="I49" s="34" t="s">
        <v>227</v>
      </c>
      <c r="J49" s="23"/>
      <c r="K49" s="23"/>
      <c r="L49" s="23"/>
      <c r="M49" s="23"/>
      <c r="N49" s="23"/>
      <c r="O49" s="23"/>
      <c r="P49" s="23"/>
      <c r="Q49" s="37"/>
      <c r="R49" s="19" t="s">
        <v>226</v>
      </c>
      <c r="S49" s="23"/>
      <c r="T49" s="23"/>
      <c r="U49" s="23"/>
      <c r="V49" s="23"/>
      <c r="W49" s="23"/>
      <c r="X49" s="24"/>
      <c r="Y49" s="419" t="s">
        <v>150</v>
      </c>
      <c r="Z49" s="420"/>
      <c r="AA49" s="421" t="s">
        <v>151</v>
      </c>
      <c r="AB49" s="422"/>
      <c r="AC49" s="423"/>
      <c r="AD49" s="27">
        <v>3</v>
      </c>
      <c r="AE49" s="29"/>
      <c r="AF49" s="29"/>
      <c r="AG49" s="29"/>
      <c r="AH49" s="28"/>
      <c r="AI49" s="28"/>
      <c r="AJ49" s="28"/>
      <c r="AK49" s="28"/>
      <c r="AL49" s="28"/>
      <c r="AM49" s="28"/>
      <c r="AN49" s="28"/>
      <c r="AO49" s="29"/>
      <c r="AP49" s="29"/>
      <c r="AQ49" s="29"/>
      <c r="AR49" s="29"/>
      <c r="AS49" s="118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8"/>
    </row>
    <row r="50" spans="1:56" ht="14.4" customHeight="1">
      <c r="A50" s="70">
        <f>IF(B50="","",COUNTA($B$8:B50))</f>
        <v>42</v>
      </c>
      <c r="B50" s="19" t="s">
        <v>332</v>
      </c>
      <c r="C50" s="20"/>
      <c r="D50" s="20"/>
      <c r="E50" s="20"/>
      <c r="F50" s="20"/>
      <c r="G50" s="20"/>
      <c r="H50" s="24"/>
      <c r="I50" s="34" t="s">
        <v>333</v>
      </c>
      <c r="J50" s="23"/>
      <c r="K50" s="23"/>
      <c r="L50" s="23"/>
      <c r="M50" s="23"/>
      <c r="N50" s="23"/>
      <c r="O50" s="23"/>
      <c r="P50" s="23"/>
      <c r="Q50" s="37"/>
      <c r="R50" s="19" t="s">
        <v>332</v>
      </c>
      <c r="S50" s="23"/>
      <c r="T50" s="23"/>
      <c r="U50" s="23"/>
      <c r="V50" s="23"/>
      <c r="W50" s="23"/>
      <c r="X50" s="24"/>
      <c r="Y50" s="419" t="s">
        <v>155</v>
      </c>
      <c r="Z50" s="420"/>
      <c r="AA50" s="421" t="s">
        <v>156</v>
      </c>
      <c r="AB50" s="422"/>
      <c r="AC50" s="423"/>
      <c r="AD50" s="27">
        <v>1</v>
      </c>
      <c r="AE50" s="29"/>
      <c r="AF50" s="29"/>
      <c r="AG50" s="29"/>
      <c r="AH50" s="28">
        <v>0</v>
      </c>
      <c r="AI50" s="28"/>
      <c r="AJ50" s="28"/>
      <c r="AK50" s="28"/>
      <c r="AL50" s="28"/>
      <c r="AM50" s="28"/>
      <c r="AN50" s="28"/>
      <c r="AO50" s="29"/>
      <c r="AP50" s="29"/>
      <c r="AQ50" s="29"/>
      <c r="AR50" s="29"/>
      <c r="AS50" s="118" t="s">
        <v>334</v>
      </c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8"/>
    </row>
    <row r="51" spans="1:56" ht="14.4" customHeight="1">
      <c r="A51" s="70">
        <f>IF(B51="","",COUNTA($B$8:B51))</f>
        <v>43</v>
      </c>
      <c r="B51" s="19" t="s">
        <v>335</v>
      </c>
      <c r="C51" s="20"/>
      <c r="D51" s="20"/>
      <c r="E51" s="20"/>
      <c r="F51" s="20"/>
      <c r="G51" s="20"/>
      <c r="H51" s="24"/>
      <c r="I51" s="34" t="s">
        <v>336</v>
      </c>
      <c r="J51" s="23"/>
      <c r="K51" s="23"/>
      <c r="L51" s="23"/>
      <c r="M51" s="23"/>
      <c r="N51" s="23"/>
      <c r="O51" s="23"/>
      <c r="P51" s="23"/>
      <c r="Q51" s="37"/>
      <c r="R51" s="19" t="s">
        <v>335</v>
      </c>
      <c r="S51" s="23"/>
      <c r="T51" s="23"/>
      <c r="U51" s="23"/>
      <c r="V51" s="23"/>
      <c r="W51" s="23"/>
      <c r="X51" s="24"/>
      <c r="Y51" s="419" t="s">
        <v>155</v>
      </c>
      <c r="Z51" s="420"/>
      <c r="AA51" s="421" t="s">
        <v>156</v>
      </c>
      <c r="AB51" s="422"/>
      <c r="AC51" s="423"/>
      <c r="AD51" s="27">
        <v>1</v>
      </c>
      <c r="AE51" s="29"/>
      <c r="AF51" s="29"/>
      <c r="AG51" s="29"/>
      <c r="AH51" s="28">
        <v>0</v>
      </c>
      <c r="AI51" s="28"/>
      <c r="AJ51" s="28"/>
      <c r="AK51" s="28"/>
      <c r="AL51" s="28"/>
      <c r="AM51" s="28"/>
      <c r="AN51" s="28"/>
      <c r="AO51" s="29"/>
      <c r="AP51" s="29"/>
      <c r="AQ51" s="29"/>
      <c r="AR51" s="29"/>
      <c r="AS51" s="118" t="s">
        <v>334</v>
      </c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8"/>
    </row>
    <row r="52" spans="1:56" ht="14.4" customHeight="1">
      <c r="A52" s="70">
        <f>IF(B52="","",COUNTA($B$8:B52))</f>
        <v>44</v>
      </c>
      <c r="B52" s="19" t="s">
        <v>230</v>
      </c>
      <c r="C52" s="20"/>
      <c r="D52" s="20"/>
      <c r="E52" s="20"/>
      <c r="F52" s="20"/>
      <c r="G52" s="20"/>
      <c r="H52" s="24"/>
      <c r="I52" s="34" t="s">
        <v>231</v>
      </c>
      <c r="J52" s="23"/>
      <c r="K52" s="23"/>
      <c r="L52" s="23"/>
      <c r="M52" s="23"/>
      <c r="N52" s="23"/>
      <c r="O52" s="23"/>
      <c r="P52" s="23"/>
      <c r="Q52" s="37"/>
      <c r="R52" s="19" t="s">
        <v>230</v>
      </c>
      <c r="S52" s="23"/>
      <c r="T52" s="23"/>
      <c r="U52" s="23"/>
      <c r="V52" s="23"/>
      <c r="W52" s="23"/>
      <c r="X52" s="24"/>
      <c r="Y52" s="419" t="s">
        <v>169</v>
      </c>
      <c r="Z52" s="420"/>
      <c r="AA52" s="421" t="s">
        <v>170</v>
      </c>
      <c r="AB52" s="422"/>
      <c r="AC52" s="423"/>
      <c r="AD52" s="27"/>
      <c r="AE52" s="29"/>
      <c r="AF52" s="29"/>
      <c r="AG52" s="29"/>
      <c r="AH52" s="28"/>
      <c r="AI52" s="28"/>
      <c r="AJ52" s="28"/>
      <c r="AK52" s="28"/>
      <c r="AL52" s="28"/>
      <c r="AM52" s="28"/>
      <c r="AN52" s="28"/>
      <c r="AO52" s="29"/>
      <c r="AP52" s="29"/>
      <c r="AQ52" s="29"/>
      <c r="AR52" s="29"/>
      <c r="AS52" s="118" t="s">
        <v>232</v>
      </c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8"/>
    </row>
    <row r="53" spans="1:56" ht="14.4" customHeight="1">
      <c r="A53" s="70">
        <f>IF(B53="","",COUNTA($B$8:B53))</f>
        <v>45</v>
      </c>
      <c r="B53" s="19" t="s">
        <v>233</v>
      </c>
      <c r="C53" s="20"/>
      <c r="D53" s="20"/>
      <c r="E53" s="20"/>
      <c r="F53" s="20"/>
      <c r="G53" s="20"/>
      <c r="H53" s="24"/>
      <c r="I53" s="34" t="s">
        <v>234</v>
      </c>
      <c r="J53" s="23"/>
      <c r="K53" s="23"/>
      <c r="L53" s="23"/>
      <c r="M53" s="23"/>
      <c r="N53" s="23"/>
      <c r="O53" s="23"/>
      <c r="P53" s="23"/>
      <c r="Q53" s="37"/>
      <c r="R53" s="19" t="s">
        <v>233</v>
      </c>
      <c r="S53" s="23"/>
      <c r="T53" s="23"/>
      <c r="U53" s="23"/>
      <c r="V53" s="23"/>
      <c r="W53" s="23"/>
      <c r="X53" s="24"/>
      <c r="Y53" s="419" t="s">
        <v>155</v>
      </c>
      <c r="Z53" s="420"/>
      <c r="AA53" s="421" t="s">
        <v>156</v>
      </c>
      <c r="AB53" s="422"/>
      <c r="AC53" s="423"/>
      <c r="AD53" s="27">
        <v>1</v>
      </c>
      <c r="AE53" s="29"/>
      <c r="AF53" s="29"/>
      <c r="AG53" s="29"/>
      <c r="AH53" s="28">
        <v>0</v>
      </c>
      <c r="AI53" s="28"/>
      <c r="AJ53" s="28"/>
      <c r="AK53" s="28"/>
      <c r="AL53" s="28"/>
      <c r="AM53" s="28"/>
      <c r="AN53" s="28"/>
      <c r="AO53" s="29"/>
      <c r="AP53" s="29"/>
      <c r="AQ53" s="29"/>
      <c r="AR53" s="29"/>
      <c r="AS53" s="118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8"/>
    </row>
    <row r="54" spans="1:56" ht="14.4" customHeight="1">
      <c r="A54" s="70">
        <f>IF(B54="","",COUNTA($B$8:B54))</f>
        <v>46</v>
      </c>
      <c r="B54" s="19" t="s">
        <v>236</v>
      </c>
      <c r="C54" s="20"/>
      <c r="D54" s="20"/>
      <c r="E54" s="20"/>
      <c r="F54" s="20"/>
      <c r="G54" s="20"/>
      <c r="H54" s="24"/>
      <c r="I54" s="34" t="s">
        <v>237</v>
      </c>
      <c r="J54" s="23"/>
      <c r="K54" s="23"/>
      <c r="L54" s="23"/>
      <c r="M54" s="23"/>
      <c r="N54" s="23"/>
      <c r="O54" s="23"/>
      <c r="P54" s="23"/>
      <c r="Q54" s="37"/>
      <c r="R54" s="19" t="s">
        <v>236</v>
      </c>
      <c r="S54" s="23"/>
      <c r="T54" s="23"/>
      <c r="U54" s="23"/>
      <c r="V54" s="23"/>
      <c r="W54" s="23"/>
      <c r="X54" s="24"/>
      <c r="Y54" s="419" t="s">
        <v>155</v>
      </c>
      <c r="Z54" s="420"/>
      <c r="AA54" s="421" t="s">
        <v>156</v>
      </c>
      <c r="AB54" s="422"/>
      <c r="AC54" s="423"/>
      <c r="AD54" s="27">
        <v>1</v>
      </c>
      <c r="AE54" s="29"/>
      <c r="AF54" s="29"/>
      <c r="AG54" s="29"/>
      <c r="AH54" s="28">
        <v>0</v>
      </c>
      <c r="AI54" s="28"/>
      <c r="AJ54" s="28"/>
      <c r="AK54" s="28"/>
      <c r="AL54" s="28"/>
      <c r="AM54" s="28"/>
      <c r="AN54" s="28"/>
      <c r="AO54" s="29"/>
      <c r="AP54" s="29"/>
      <c r="AQ54" s="29"/>
      <c r="AR54" s="29"/>
      <c r="AS54" s="118" t="s">
        <v>238</v>
      </c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ht="14.4" customHeight="1">
      <c r="A55" s="70">
        <f>IF(B55="","",COUNTA($B$8:B55))</f>
        <v>47</v>
      </c>
      <c r="B55" s="19" t="s">
        <v>239</v>
      </c>
      <c r="C55" s="20"/>
      <c r="D55" s="20"/>
      <c r="E55" s="20"/>
      <c r="F55" s="20"/>
      <c r="G55" s="20"/>
      <c r="H55" s="24"/>
      <c r="I55" s="34" t="s">
        <v>240</v>
      </c>
      <c r="J55" s="23"/>
      <c r="K55" s="23"/>
      <c r="L55" s="23"/>
      <c r="M55" s="23"/>
      <c r="N55" s="23"/>
      <c r="O55" s="23"/>
      <c r="P55" s="23"/>
      <c r="Q55" s="37"/>
      <c r="R55" s="19" t="s">
        <v>239</v>
      </c>
      <c r="S55" s="23"/>
      <c r="T55" s="23"/>
      <c r="U55" s="23"/>
      <c r="V55" s="23"/>
      <c r="W55" s="23"/>
      <c r="X55" s="24"/>
      <c r="Y55" s="419" t="s">
        <v>169</v>
      </c>
      <c r="Z55" s="420"/>
      <c r="AA55" s="421" t="s">
        <v>170</v>
      </c>
      <c r="AB55" s="422"/>
      <c r="AC55" s="423"/>
      <c r="AD55" s="27"/>
      <c r="AE55" s="29"/>
      <c r="AF55" s="29"/>
      <c r="AG55" s="29"/>
      <c r="AH55" s="28"/>
      <c r="AI55" s="28"/>
      <c r="AJ55" s="28"/>
      <c r="AK55" s="28"/>
      <c r="AL55" s="28"/>
      <c r="AM55" s="28"/>
      <c r="AN55" s="28"/>
      <c r="AO55" s="29"/>
      <c r="AP55" s="29"/>
      <c r="AQ55" s="29"/>
      <c r="AR55" s="29"/>
      <c r="AS55" s="118"/>
      <c r="AT55" s="67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 ht="14.4" customHeight="1">
      <c r="A56" s="50">
        <f>IF(B56="","",COUNTA($B$8:B56))</f>
        <v>48</v>
      </c>
      <c r="B56" s="156" t="s">
        <v>241</v>
      </c>
      <c r="C56" s="20"/>
      <c r="D56" s="20"/>
      <c r="E56" s="20"/>
      <c r="F56" s="20"/>
      <c r="G56" s="20"/>
      <c r="H56" s="20"/>
      <c r="I56" s="34" t="s">
        <v>242</v>
      </c>
      <c r="J56" s="23"/>
      <c r="K56" s="23"/>
      <c r="L56" s="23"/>
      <c r="M56" s="23"/>
      <c r="N56" s="23"/>
      <c r="O56" s="23"/>
      <c r="P56" s="23"/>
      <c r="Q56" s="23"/>
      <c r="R56" s="156" t="s">
        <v>241</v>
      </c>
      <c r="S56" s="20"/>
      <c r="T56" s="49"/>
      <c r="U56" s="49"/>
      <c r="V56" s="49"/>
      <c r="W56" s="49"/>
      <c r="X56" s="49"/>
      <c r="Y56" s="19" t="s">
        <v>150</v>
      </c>
      <c r="Z56" s="154"/>
      <c r="AA56" s="421" t="s">
        <v>243</v>
      </c>
      <c r="AB56" s="422"/>
      <c r="AC56" s="423"/>
      <c r="AD56" s="51"/>
      <c r="AE56" s="28" t="s">
        <v>244</v>
      </c>
      <c r="AF56" s="40"/>
      <c r="AG56" s="40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123" t="s">
        <v>245</v>
      </c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ht="14.4" customHeight="1">
      <c r="A57" s="50">
        <f>IF(B57="","",COUNTA($B$8:B57))</f>
        <v>49</v>
      </c>
      <c r="B57" s="156" t="s">
        <v>246</v>
      </c>
      <c r="C57" s="20"/>
      <c r="D57" s="20"/>
      <c r="E57" s="20"/>
      <c r="F57" s="20"/>
      <c r="G57" s="20"/>
      <c r="H57" s="20"/>
      <c r="I57" s="34" t="s">
        <v>247</v>
      </c>
      <c r="J57" s="23"/>
      <c r="K57" s="23"/>
      <c r="L57" s="23"/>
      <c r="M57" s="23"/>
      <c r="N57" s="23"/>
      <c r="O57" s="23"/>
      <c r="P57" s="23"/>
      <c r="Q57" s="23"/>
      <c r="R57" s="156" t="s">
        <v>246</v>
      </c>
      <c r="S57" s="20"/>
      <c r="T57" s="49"/>
      <c r="U57" s="49"/>
      <c r="V57" s="49"/>
      <c r="W57" s="49"/>
      <c r="X57" s="49"/>
      <c r="Y57" s="19" t="s">
        <v>150</v>
      </c>
      <c r="Z57" s="154"/>
      <c r="AA57" s="421" t="s">
        <v>243</v>
      </c>
      <c r="AB57" s="422"/>
      <c r="AC57" s="423"/>
      <c r="AD57" s="51"/>
      <c r="AE57" s="28" t="s">
        <v>244</v>
      </c>
      <c r="AF57" s="40"/>
      <c r="AG57" s="40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123" t="s">
        <v>248</v>
      </c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ht="14.4" customHeight="1">
      <c r="A58" s="70">
        <f>IF(B58="","",COUNTA($B$8:B58))</f>
        <v>50</v>
      </c>
      <c r="B58" s="19" t="s">
        <v>249</v>
      </c>
      <c r="C58" s="20"/>
      <c r="D58" s="20"/>
      <c r="E58" s="20"/>
      <c r="F58" s="20"/>
      <c r="G58" s="20"/>
      <c r="H58" s="24"/>
      <c r="I58" s="34" t="s">
        <v>250</v>
      </c>
      <c r="J58" s="23"/>
      <c r="K58" s="23"/>
      <c r="L58" s="23"/>
      <c r="M58" s="23"/>
      <c r="N58" s="23"/>
      <c r="O58" s="23"/>
      <c r="P58" s="23"/>
      <c r="Q58" s="37"/>
      <c r="R58" s="19" t="s">
        <v>249</v>
      </c>
      <c r="S58" s="23"/>
      <c r="T58" s="23"/>
      <c r="U58" s="23"/>
      <c r="V58" s="23"/>
      <c r="W58" s="23"/>
      <c r="X58" s="24"/>
      <c r="Y58" s="419" t="s">
        <v>150</v>
      </c>
      <c r="Z58" s="420"/>
      <c r="AA58" s="421" t="s">
        <v>151</v>
      </c>
      <c r="AB58" s="422"/>
      <c r="AC58" s="423"/>
      <c r="AD58" s="27">
        <v>4</v>
      </c>
      <c r="AE58" s="29"/>
      <c r="AF58" s="29"/>
      <c r="AG58" s="29"/>
      <c r="AH58" s="28"/>
      <c r="AI58" s="28"/>
      <c r="AJ58" s="28"/>
      <c r="AK58" s="28"/>
      <c r="AL58" s="28"/>
      <c r="AM58" s="28"/>
      <c r="AN58" s="28"/>
      <c r="AO58" s="29"/>
      <c r="AP58" s="29"/>
      <c r="AQ58" s="29"/>
      <c r="AR58" s="29"/>
      <c r="AS58" s="118"/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ht="14.4" customHeight="1">
      <c r="A59" s="70">
        <f>IF(B59="","",COUNTA($B$8:B59))</f>
        <v>51</v>
      </c>
      <c r="B59" s="19" t="s">
        <v>251</v>
      </c>
      <c r="C59" s="20"/>
      <c r="D59" s="20"/>
      <c r="E59" s="20"/>
      <c r="F59" s="20"/>
      <c r="G59" s="20"/>
      <c r="H59" s="24"/>
      <c r="I59" s="34" t="s">
        <v>252</v>
      </c>
      <c r="J59" s="23"/>
      <c r="K59" s="23"/>
      <c r="L59" s="23"/>
      <c r="M59" s="23"/>
      <c r="N59" s="23"/>
      <c r="O59" s="23"/>
      <c r="P59" s="23"/>
      <c r="Q59" s="37"/>
      <c r="R59" s="19" t="s">
        <v>251</v>
      </c>
      <c r="S59" s="23"/>
      <c r="T59" s="23"/>
      <c r="U59" s="23"/>
      <c r="V59" s="23"/>
      <c r="W59" s="23"/>
      <c r="X59" s="24"/>
      <c r="Y59" s="419" t="s">
        <v>150</v>
      </c>
      <c r="Z59" s="420"/>
      <c r="AA59" s="421" t="s">
        <v>151</v>
      </c>
      <c r="AB59" s="422"/>
      <c r="AC59" s="423"/>
      <c r="AD59" s="27">
        <v>4</v>
      </c>
      <c r="AE59" s="29"/>
      <c r="AF59" s="29"/>
      <c r="AG59" s="29"/>
      <c r="AH59" s="28"/>
      <c r="AI59" s="28"/>
      <c r="AJ59" s="28"/>
      <c r="AK59" s="28"/>
      <c r="AL59" s="28"/>
      <c r="AM59" s="28"/>
      <c r="AN59" s="28"/>
      <c r="AO59" s="29"/>
      <c r="AP59" s="29"/>
      <c r="AQ59" s="29"/>
      <c r="AR59" s="29"/>
      <c r="AS59" s="118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ht="14.4" customHeight="1">
      <c r="A60" s="70">
        <f>IF(B60="","",COUNTA($B$8:B60))</f>
        <v>52</v>
      </c>
      <c r="B60" s="19" t="s">
        <v>253</v>
      </c>
      <c r="C60" s="20"/>
      <c r="D60" s="20"/>
      <c r="E60" s="20"/>
      <c r="F60" s="20"/>
      <c r="G60" s="20"/>
      <c r="H60" s="24"/>
      <c r="I60" s="31" t="s">
        <v>254</v>
      </c>
      <c r="J60" s="23"/>
      <c r="K60" s="23"/>
      <c r="L60" s="23"/>
      <c r="M60" s="23"/>
      <c r="N60" s="23"/>
      <c r="O60" s="23"/>
      <c r="P60" s="23"/>
      <c r="Q60" s="37"/>
      <c r="R60" s="19" t="s">
        <v>253</v>
      </c>
      <c r="S60" s="23"/>
      <c r="T60" s="23"/>
      <c r="U60" s="23"/>
      <c r="V60" s="23"/>
      <c r="W60" s="23"/>
      <c r="X60" s="24"/>
      <c r="Y60" s="419" t="s">
        <v>150</v>
      </c>
      <c r="Z60" s="420"/>
      <c r="AA60" s="421" t="s">
        <v>151</v>
      </c>
      <c r="AB60" s="422"/>
      <c r="AC60" s="423"/>
      <c r="AD60" s="27">
        <v>10</v>
      </c>
      <c r="AE60" s="29"/>
      <c r="AF60" s="29"/>
      <c r="AG60" s="29"/>
      <c r="AH60" s="28"/>
      <c r="AI60" s="28"/>
      <c r="AJ60" s="28"/>
      <c r="AK60" s="28"/>
      <c r="AL60" s="28"/>
      <c r="AM60" s="28"/>
      <c r="AN60" s="28"/>
      <c r="AO60" s="29"/>
      <c r="AP60" s="29"/>
      <c r="AQ60" s="29"/>
      <c r="AR60" s="29"/>
      <c r="AS60" s="118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ht="14.4" customHeight="1">
      <c r="A61" s="70">
        <f>IF(B61="","",COUNTA($B$8:B61))</f>
        <v>53</v>
      </c>
      <c r="B61" s="19" t="s">
        <v>255</v>
      </c>
      <c r="C61" s="20"/>
      <c r="D61" s="20"/>
      <c r="E61" s="20"/>
      <c r="F61" s="20"/>
      <c r="G61" s="20"/>
      <c r="H61" s="24"/>
      <c r="I61" s="31" t="s">
        <v>256</v>
      </c>
      <c r="J61" s="23"/>
      <c r="K61" s="23"/>
      <c r="L61" s="23"/>
      <c r="M61" s="23"/>
      <c r="N61" s="23"/>
      <c r="O61" s="23"/>
      <c r="P61" s="23"/>
      <c r="Q61" s="37"/>
      <c r="R61" s="19" t="s">
        <v>255</v>
      </c>
      <c r="S61" s="23"/>
      <c r="T61" s="23"/>
      <c r="U61" s="23"/>
      <c r="V61" s="23"/>
      <c r="W61" s="23"/>
      <c r="X61" s="24"/>
      <c r="Y61" s="419" t="s">
        <v>150</v>
      </c>
      <c r="Z61" s="420"/>
      <c r="AA61" s="421" t="s">
        <v>151</v>
      </c>
      <c r="AB61" s="422"/>
      <c r="AC61" s="423"/>
      <c r="AD61" s="27">
        <v>10</v>
      </c>
      <c r="AE61" s="29"/>
      <c r="AF61" s="29"/>
      <c r="AG61" s="29"/>
      <c r="AH61" s="28"/>
      <c r="AI61" s="28"/>
      <c r="AJ61" s="28"/>
      <c r="AK61" s="28"/>
      <c r="AL61" s="28"/>
      <c r="AM61" s="28"/>
      <c r="AN61" s="28"/>
      <c r="AO61" s="29"/>
      <c r="AP61" s="29"/>
      <c r="AQ61" s="29"/>
      <c r="AR61" s="29"/>
      <c r="AS61" s="118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ht="14.4" customHeight="1">
      <c r="A62" s="70">
        <f>IF(B62="","",COUNTA($B$8:B62))</f>
        <v>54</v>
      </c>
      <c r="B62" s="19" t="s">
        <v>257</v>
      </c>
      <c r="C62" s="20"/>
      <c r="D62" s="20"/>
      <c r="E62" s="20"/>
      <c r="F62" s="20"/>
      <c r="G62" s="20"/>
      <c r="H62" s="24"/>
      <c r="I62" s="31" t="s">
        <v>258</v>
      </c>
      <c r="J62" s="23"/>
      <c r="K62" s="23"/>
      <c r="L62" s="23"/>
      <c r="M62" s="23"/>
      <c r="N62" s="23"/>
      <c r="O62" s="23"/>
      <c r="P62" s="23"/>
      <c r="Q62" s="37"/>
      <c r="R62" s="19" t="s">
        <v>257</v>
      </c>
      <c r="S62" s="23"/>
      <c r="T62" s="23"/>
      <c r="U62" s="23"/>
      <c r="V62" s="23"/>
      <c r="W62" s="23"/>
      <c r="X62" s="24"/>
      <c r="Y62" s="419" t="s">
        <v>169</v>
      </c>
      <c r="Z62" s="420"/>
      <c r="AA62" s="421" t="s">
        <v>243</v>
      </c>
      <c r="AB62" s="422"/>
      <c r="AC62" s="423"/>
      <c r="AD62" s="30"/>
      <c r="AE62" s="29"/>
      <c r="AF62" s="29"/>
      <c r="AG62" s="29"/>
      <c r="AH62" s="40"/>
      <c r="AI62" s="40"/>
      <c r="AJ62" s="28"/>
      <c r="AK62" s="28"/>
      <c r="AL62" s="28"/>
      <c r="AM62" s="28"/>
      <c r="AN62" s="28"/>
      <c r="AO62" s="29"/>
      <c r="AP62" s="29"/>
      <c r="AQ62" s="29"/>
      <c r="AR62" s="29"/>
      <c r="AS62" s="118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ht="14.4" customHeight="1">
      <c r="A63" s="70">
        <f>IF(B63="","",COUNTA($B$8:B63))</f>
        <v>55</v>
      </c>
      <c r="B63" s="19" t="s">
        <v>259</v>
      </c>
      <c r="C63" s="20"/>
      <c r="D63" s="20"/>
      <c r="E63" s="20"/>
      <c r="F63" s="20"/>
      <c r="G63" s="20"/>
      <c r="H63" s="24"/>
      <c r="I63" s="31" t="s">
        <v>260</v>
      </c>
      <c r="J63" s="23"/>
      <c r="K63" s="23"/>
      <c r="L63" s="23"/>
      <c r="M63" s="23"/>
      <c r="N63" s="23"/>
      <c r="O63" s="23"/>
      <c r="P63" s="23"/>
      <c r="Q63" s="37"/>
      <c r="R63" s="19" t="s">
        <v>259</v>
      </c>
      <c r="S63" s="23"/>
      <c r="T63" s="23"/>
      <c r="U63" s="23"/>
      <c r="V63" s="23"/>
      <c r="W63" s="23"/>
      <c r="X63" s="24"/>
      <c r="Y63" s="419" t="s">
        <v>150</v>
      </c>
      <c r="Z63" s="420"/>
      <c r="AA63" s="421" t="s">
        <v>151</v>
      </c>
      <c r="AB63" s="422"/>
      <c r="AC63" s="423"/>
      <c r="AD63" s="27">
        <v>10</v>
      </c>
      <c r="AE63" s="29"/>
      <c r="AF63" s="29"/>
      <c r="AG63" s="29"/>
      <c r="AH63" s="40"/>
      <c r="AI63" s="40"/>
      <c r="AJ63" s="28"/>
      <c r="AK63" s="28"/>
      <c r="AL63" s="28"/>
      <c r="AM63" s="28"/>
      <c r="AN63" s="28"/>
      <c r="AO63" s="29"/>
      <c r="AP63" s="29"/>
      <c r="AQ63" s="29"/>
      <c r="AR63" s="29"/>
      <c r="AS63" s="118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ht="14.4" customHeight="1">
      <c r="A64" s="70">
        <f>IF(B64="","",COUNTA($B$8:B64))</f>
        <v>56</v>
      </c>
      <c r="B64" s="19" t="s">
        <v>261</v>
      </c>
      <c r="C64" s="20"/>
      <c r="D64" s="20"/>
      <c r="E64" s="20"/>
      <c r="F64" s="20"/>
      <c r="G64" s="20"/>
      <c r="H64" s="24"/>
      <c r="I64" s="31" t="s">
        <v>262</v>
      </c>
      <c r="J64" s="23"/>
      <c r="K64" s="23"/>
      <c r="L64" s="23"/>
      <c r="M64" s="23"/>
      <c r="N64" s="23"/>
      <c r="O64" s="23"/>
      <c r="P64" s="23"/>
      <c r="Q64" s="37"/>
      <c r="R64" s="19" t="s">
        <v>261</v>
      </c>
      <c r="S64" s="23"/>
      <c r="T64" s="23"/>
      <c r="U64" s="23"/>
      <c r="V64" s="23"/>
      <c r="W64" s="23"/>
      <c r="X64" s="24"/>
      <c r="Y64" s="419" t="s">
        <v>150</v>
      </c>
      <c r="Z64" s="420"/>
      <c r="AA64" s="421" t="s">
        <v>151</v>
      </c>
      <c r="AB64" s="422"/>
      <c r="AC64" s="423"/>
      <c r="AD64" s="30">
        <v>10</v>
      </c>
      <c r="AE64" s="29"/>
      <c r="AF64" s="29"/>
      <c r="AG64" s="29"/>
      <c r="AH64" s="28"/>
      <c r="AI64" s="28"/>
      <c r="AJ64" s="28"/>
      <c r="AK64" s="28"/>
      <c r="AL64" s="40"/>
      <c r="AM64" s="40"/>
      <c r="AN64" s="40"/>
      <c r="AO64" s="41"/>
      <c r="AP64" s="41"/>
      <c r="AQ64" s="41"/>
      <c r="AR64" s="41"/>
      <c r="AS64" s="123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ht="14.4" customHeight="1">
      <c r="A65" s="70">
        <f>IF(B65="","",COUNTA($B$8:B65))</f>
        <v>57</v>
      </c>
      <c r="B65" s="19" t="s">
        <v>263</v>
      </c>
      <c r="C65" s="20"/>
      <c r="D65" s="20"/>
      <c r="E65" s="20"/>
      <c r="F65" s="20"/>
      <c r="G65" s="20"/>
      <c r="H65" s="24"/>
      <c r="I65" s="31" t="s">
        <v>264</v>
      </c>
      <c r="J65" s="23"/>
      <c r="K65" s="23"/>
      <c r="L65" s="23"/>
      <c r="M65" s="23"/>
      <c r="N65" s="23"/>
      <c r="O65" s="23"/>
      <c r="P65" s="23"/>
      <c r="Q65" s="37"/>
      <c r="R65" s="22" t="s">
        <v>263</v>
      </c>
      <c r="S65" s="23"/>
      <c r="T65" s="23"/>
      <c r="U65" s="23"/>
      <c r="V65" s="23"/>
      <c r="W65" s="23"/>
      <c r="X65" s="24"/>
      <c r="Y65" s="419" t="s">
        <v>169</v>
      </c>
      <c r="Z65" s="420"/>
      <c r="AA65" s="421" t="s">
        <v>243</v>
      </c>
      <c r="AB65" s="422"/>
      <c r="AC65" s="423"/>
      <c r="AD65" s="30"/>
      <c r="AE65" s="29"/>
      <c r="AF65" s="29"/>
      <c r="AG65" s="29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123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ht="14.4" customHeight="1">
      <c r="A66" s="70" t="str">
        <f>IF(B66="","",COUNTA($B$8:B66))</f>
        <v/>
      </c>
      <c r="B66" s="19"/>
      <c r="C66" s="20"/>
      <c r="D66" s="20"/>
      <c r="E66" s="20"/>
      <c r="F66" s="20"/>
      <c r="G66" s="20"/>
      <c r="H66" s="24"/>
      <c r="I66" s="34"/>
      <c r="J66" s="23"/>
      <c r="K66" s="23"/>
      <c r="L66" s="23"/>
      <c r="M66" s="23"/>
      <c r="N66" s="23"/>
      <c r="O66" s="23"/>
      <c r="P66" s="23"/>
      <c r="Q66" s="37"/>
      <c r="R66" s="19"/>
      <c r="S66" s="23"/>
      <c r="T66" s="23"/>
      <c r="U66" s="23"/>
      <c r="V66" s="23"/>
      <c r="W66" s="23"/>
      <c r="X66" s="24"/>
      <c r="Y66" s="419"/>
      <c r="Z66" s="420"/>
      <c r="AA66" s="421"/>
      <c r="AB66" s="422"/>
      <c r="AC66" s="423"/>
      <c r="AD66" s="30"/>
      <c r="AE66" s="29" t="s">
        <v>244</v>
      </c>
      <c r="AF66" s="29"/>
      <c r="AG66" s="29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123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ht="14.4" customHeight="1">
      <c r="A67" s="70" t="str">
        <f>IF(B67="","",COUNTA($B$8:B67))</f>
        <v/>
      </c>
      <c r="B67" s="19"/>
      <c r="C67" s="20"/>
      <c r="D67" s="20"/>
      <c r="E67" s="20"/>
      <c r="F67" s="20"/>
      <c r="G67" s="20"/>
      <c r="H67" s="24"/>
      <c r="I67" s="34"/>
      <c r="J67" s="23"/>
      <c r="K67" s="23"/>
      <c r="L67" s="23"/>
      <c r="M67" s="23"/>
      <c r="N67" s="23"/>
      <c r="O67" s="23"/>
      <c r="P67" s="23"/>
      <c r="Q67" s="37"/>
      <c r="R67" s="19"/>
      <c r="S67" s="23"/>
      <c r="T67" s="23"/>
      <c r="U67" s="23"/>
      <c r="V67" s="23"/>
      <c r="W67" s="23"/>
      <c r="X67" s="24"/>
      <c r="Y67" s="419"/>
      <c r="Z67" s="420"/>
      <c r="AA67" s="421"/>
      <c r="AB67" s="422"/>
      <c r="AC67" s="423"/>
      <c r="AD67" s="30"/>
      <c r="AE67" s="29" t="s">
        <v>244</v>
      </c>
      <c r="AF67" s="29"/>
      <c r="AG67" s="29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123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ht="14.4" customHeight="1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34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419"/>
      <c r="Z68" s="420"/>
      <c r="AA68" s="421"/>
      <c r="AB68" s="422"/>
      <c r="AC68" s="423"/>
      <c r="AD68" s="30"/>
      <c r="AE68" s="29" t="s">
        <v>244</v>
      </c>
      <c r="AF68" s="29"/>
      <c r="AG68" s="29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123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ht="14.4" customHeight="1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34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419"/>
      <c r="Z69" s="420"/>
      <c r="AA69" s="421"/>
      <c r="AB69" s="422"/>
      <c r="AC69" s="423"/>
      <c r="AD69" s="30"/>
      <c r="AE69" s="29" t="s">
        <v>244</v>
      </c>
      <c r="AF69" s="29"/>
      <c r="AG69" s="29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123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ht="14.4" customHeight="1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34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419"/>
      <c r="Z70" s="420"/>
      <c r="AA70" s="421"/>
      <c r="AB70" s="422"/>
      <c r="AC70" s="423"/>
      <c r="AD70" s="30"/>
      <c r="AE70" s="29" t="s">
        <v>244</v>
      </c>
      <c r="AF70" s="29"/>
      <c r="AG70" s="29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123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ht="14.4" customHeight="1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34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419"/>
      <c r="Z71" s="420"/>
      <c r="AA71" s="421"/>
      <c r="AB71" s="422"/>
      <c r="AC71" s="423"/>
      <c r="AD71" s="30"/>
      <c r="AE71" s="29" t="s">
        <v>244</v>
      </c>
      <c r="AF71" s="29"/>
      <c r="AG71" s="29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123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ht="14.4" customHeight="1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34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419"/>
      <c r="Z72" s="420"/>
      <c r="AA72" s="421"/>
      <c r="AB72" s="422"/>
      <c r="AC72" s="423"/>
      <c r="AD72" s="30"/>
      <c r="AE72" s="29" t="s">
        <v>244</v>
      </c>
      <c r="AF72" s="29"/>
      <c r="AG72" s="29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123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ht="14.4" customHeight="1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34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419"/>
      <c r="Z73" s="420"/>
      <c r="AA73" s="421"/>
      <c r="AB73" s="422"/>
      <c r="AC73" s="423"/>
      <c r="AD73" s="30"/>
      <c r="AE73" s="29" t="s">
        <v>244</v>
      </c>
      <c r="AF73" s="29"/>
      <c r="AG73" s="29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123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ht="14.4" customHeight="1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34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419"/>
      <c r="Z74" s="420"/>
      <c r="AA74" s="421"/>
      <c r="AB74" s="422"/>
      <c r="AC74" s="423"/>
      <c r="AD74" s="30"/>
      <c r="AE74" s="29" t="s">
        <v>244</v>
      </c>
      <c r="AF74" s="29"/>
      <c r="AG74" s="29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123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ht="14.4" customHeight="1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34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419"/>
      <c r="Z75" s="420"/>
      <c r="AA75" s="421"/>
      <c r="AB75" s="422"/>
      <c r="AC75" s="423"/>
      <c r="AD75" s="30"/>
      <c r="AE75" s="29" t="s">
        <v>244</v>
      </c>
      <c r="AF75" s="29"/>
      <c r="AG75" s="29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123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ht="14.4" customHeight="1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419"/>
      <c r="Z76" s="420"/>
      <c r="AA76" s="421"/>
      <c r="AB76" s="422"/>
      <c r="AC76" s="423"/>
      <c r="AD76" s="30"/>
      <c r="AE76" s="29" t="s">
        <v>244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123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" customHeight="1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419"/>
      <c r="Z77" s="420"/>
      <c r="AA77" s="421"/>
      <c r="AB77" s="422"/>
      <c r="AC77" s="423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123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" customHeight="1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419"/>
      <c r="Z78" s="420"/>
      <c r="AA78" s="421"/>
      <c r="AB78" s="422"/>
      <c r="AC78" s="423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123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" customHeight="1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419"/>
      <c r="Z79" s="420"/>
      <c r="AA79" s="421"/>
      <c r="AB79" s="422"/>
      <c r="AC79" s="423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123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" customHeight="1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419"/>
      <c r="Z80" s="420"/>
      <c r="AA80" s="421"/>
      <c r="AB80" s="422"/>
      <c r="AC80" s="423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123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" customHeight="1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419"/>
      <c r="Z81" s="420"/>
      <c r="AA81" s="421"/>
      <c r="AB81" s="422"/>
      <c r="AC81" s="423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123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" customHeight="1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419"/>
      <c r="Z82" s="420"/>
      <c r="AA82" s="421"/>
      <c r="AB82" s="422"/>
      <c r="AC82" s="423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123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" customHeight="1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419"/>
      <c r="Z83" s="420"/>
      <c r="AA83" s="421"/>
      <c r="AB83" s="422"/>
      <c r="AC83" s="423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123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" customHeight="1">
      <c r="A84" s="70" t="str">
        <f>IF(B84="","",COUNTA($B$8:B84))</f>
        <v/>
      </c>
      <c r="B84" s="272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272"/>
      <c r="S84" s="23"/>
      <c r="T84" s="23"/>
      <c r="U84" s="23"/>
      <c r="V84" s="23"/>
      <c r="W84" s="23"/>
      <c r="X84" s="24"/>
      <c r="Y84" s="419"/>
      <c r="Z84" s="420"/>
      <c r="AA84" s="421"/>
      <c r="AB84" s="422"/>
      <c r="AC84" s="423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123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" customHeight="1">
      <c r="A85" s="70" t="str">
        <f>IF(B85="","",COUNTA($B$8:B85))</f>
        <v/>
      </c>
      <c r="B85" s="272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272"/>
      <c r="S85" s="23"/>
      <c r="T85" s="23"/>
      <c r="U85" s="23"/>
      <c r="V85" s="23"/>
      <c r="W85" s="23"/>
      <c r="X85" s="24"/>
      <c r="Y85" s="419"/>
      <c r="Z85" s="420"/>
      <c r="AA85" s="421"/>
      <c r="AB85" s="422"/>
      <c r="AC85" s="423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123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dataConsolidate/>
  <mergeCells count="174">
    <mergeCell ref="Y58:Z58"/>
    <mergeCell ref="AA58:AC58"/>
    <mergeCell ref="Y55:Z55"/>
    <mergeCell ref="AA55:AC55"/>
    <mergeCell ref="Y82:Z82"/>
    <mergeCell ref="AA82:AC82"/>
    <mergeCell ref="Y83:Z83"/>
    <mergeCell ref="AA83:AC83"/>
    <mergeCell ref="Y77:Z77"/>
    <mergeCell ref="AA77:AC77"/>
    <mergeCell ref="Y78:Z78"/>
    <mergeCell ref="AA78:AC78"/>
    <mergeCell ref="Y79:Z79"/>
    <mergeCell ref="AA79:AC79"/>
    <mergeCell ref="Y80:Z80"/>
    <mergeCell ref="AA80:AC80"/>
    <mergeCell ref="Y81:Z81"/>
    <mergeCell ref="AA81:AC81"/>
    <mergeCell ref="AA62:AC62"/>
    <mergeCell ref="Y59:Z59"/>
    <mergeCell ref="AA59:AC59"/>
    <mergeCell ref="Y60:Z60"/>
    <mergeCell ref="AA60:AC60"/>
    <mergeCell ref="AA56:AC56"/>
    <mergeCell ref="AA57:AC57"/>
    <mergeCell ref="Y76:Z76"/>
    <mergeCell ref="AA76:AC76"/>
    <mergeCell ref="Y63:Z63"/>
    <mergeCell ref="AA63:AC63"/>
    <mergeCell ref="Y64:Z64"/>
    <mergeCell ref="AA64:AC64"/>
    <mergeCell ref="Y65:Z65"/>
    <mergeCell ref="AA65:AC65"/>
    <mergeCell ref="Y66:Z66"/>
    <mergeCell ref="AA66:AC66"/>
    <mergeCell ref="Y61:Z61"/>
    <mergeCell ref="AA61:AC61"/>
    <mergeCell ref="Y62:Z62"/>
    <mergeCell ref="Y73:Z73"/>
    <mergeCell ref="AA73:AC73"/>
    <mergeCell ref="Y70:Z70"/>
    <mergeCell ref="AA70:AC70"/>
    <mergeCell ref="Y74:Z74"/>
    <mergeCell ref="AA74:AC74"/>
    <mergeCell ref="Y75:Z75"/>
    <mergeCell ref="AA75:AC75"/>
    <mergeCell ref="Y72:Z72"/>
    <mergeCell ref="AA72:AC72"/>
    <mergeCell ref="Y67:Z67"/>
    <mergeCell ref="AA67:AC67"/>
    <mergeCell ref="Y68:Z68"/>
    <mergeCell ref="AA68:AC68"/>
    <mergeCell ref="Y69:Z69"/>
    <mergeCell ref="AA69:AC69"/>
    <mergeCell ref="Y71:Z71"/>
    <mergeCell ref="AA71:AC71"/>
    <mergeCell ref="Y54:Z54"/>
    <mergeCell ref="AA54:AC54"/>
    <mergeCell ref="Y23:Z23"/>
    <mergeCell ref="AA23:AC23"/>
    <mergeCell ref="Y49:Z49"/>
    <mergeCell ref="AA33:AC33"/>
    <mergeCell ref="AA27:AC27"/>
    <mergeCell ref="Y28:Z28"/>
    <mergeCell ref="AA28:AC28"/>
    <mergeCell ref="Y29:Z29"/>
    <mergeCell ref="AA29:AC29"/>
    <mergeCell ref="AA31:AC31"/>
    <mergeCell ref="Y32:Z32"/>
    <mergeCell ref="Y35:Z35"/>
    <mergeCell ref="Y24:Z24"/>
    <mergeCell ref="AA24:AC24"/>
    <mergeCell ref="AA35:AC35"/>
    <mergeCell ref="Y31:Z31"/>
    <mergeCell ref="Y45:Z45"/>
    <mergeCell ref="AA45:AC45"/>
    <mergeCell ref="Y46:Z46"/>
    <mergeCell ref="AA46:AC46"/>
    <mergeCell ref="Y47:Z47"/>
    <mergeCell ref="AA47:AC47"/>
    <mergeCell ref="Y37:Z37"/>
    <mergeCell ref="AA37:AC37"/>
    <mergeCell ref="Y48:Z48"/>
    <mergeCell ref="AA26:AC26"/>
    <mergeCell ref="Y27:Z27"/>
    <mergeCell ref="Y52:Z52"/>
    <mergeCell ref="AA52:AC52"/>
    <mergeCell ref="Y53:Z53"/>
    <mergeCell ref="AA53:AC53"/>
    <mergeCell ref="Y51:Z51"/>
    <mergeCell ref="AA51:AC51"/>
    <mergeCell ref="AA48:AC48"/>
    <mergeCell ref="AA49:AC49"/>
    <mergeCell ref="AA30:AC30"/>
    <mergeCell ref="AA32:AC32"/>
    <mergeCell ref="Y34:Z34"/>
    <mergeCell ref="AA34:AC34"/>
    <mergeCell ref="Y33:Z33"/>
    <mergeCell ref="Y40:Z40"/>
    <mergeCell ref="AA40:AC40"/>
    <mergeCell ref="Y41:Z41"/>
    <mergeCell ref="AA41:AC41"/>
    <mergeCell ref="Y42:Z42"/>
    <mergeCell ref="AA42:AC42"/>
    <mergeCell ref="Y50:Z50"/>
    <mergeCell ref="AA50:AC50"/>
    <mergeCell ref="Y11:Z11"/>
    <mergeCell ref="AA11:AC11"/>
    <mergeCell ref="Y12:Z12"/>
    <mergeCell ref="AA12:AC12"/>
    <mergeCell ref="Y13:Z13"/>
    <mergeCell ref="AA13:AC13"/>
    <mergeCell ref="Y21:Z21"/>
    <mergeCell ref="AA21:AC21"/>
    <mergeCell ref="Y22:Z22"/>
    <mergeCell ref="AA22:AC22"/>
    <mergeCell ref="Y20:Z20"/>
    <mergeCell ref="AA20:AC20"/>
    <mergeCell ref="AA25:AC25"/>
    <mergeCell ref="Y26:Z26"/>
    <mergeCell ref="Y25:Z25"/>
    <mergeCell ref="Y36:Z36"/>
    <mergeCell ref="AA36:AC36"/>
    <mergeCell ref="A6:A7"/>
    <mergeCell ref="B6:H7"/>
    <mergeCell ref="I6:Q7"/>
    <mergeCell ref="R6:X7"/>
    <mergeCell ref="Y10:Z10"/>
    <mergeCell ref="AA10:AC10"/>
    <mergeCell ref="Y9:Z9"/>
    <mergeCell ref="AA9:AC9"/>
    <mergeCell ref="Y8:Z8"/>
    <mergeCell ref="AA8:AC8"/>
    <mergeCell ref="A1:H4"/>
    <mergeCell ref="AZ1:BD1"/>
    <mergeCell ref="I2:Q4"/>
    <mergeCell ref="R2:X4"/>
    <mergeCell ref="Y2:AO3"/>
    <mergeCell ref="AP2:AT2"/>
    <mergeCell ref="AZ2:BD2"/>
    <mergeCell ref="AP3:AT3"/>
    <mergeCell ref="I1:Q1"/>
    <mergeCell ref="R1:X1"/>
    <mergeCell ref="Y1:AO1"/>
    <mergeCell ref="AP1:AT1"/>
    <mergeCell ref="AU1:AY1"/>
    <mergeCell ref="AP4:AT4"/>
    <mergeCell ref="AU4:AY4"/>
    <mergeCell ref="AU3:AY3"/>
    <mergeCell ref="AZ3:BD3"/>
    <mergeCell ref="Y84:Z84"/>
    <mergeCell ref="AA84:AC84"/>
    <mergeCell ref="Y85:Z85"/>
    <mergeCell ref="AA85:AC85"/>
    <mergeCell ref="AG6:AG7"/>
    <mergeCell ref="AH6:AH7"/>
    <mergeCell ref="AI6:AR6"/>
    <mergeCell ref="AS6:BD7"/>
    <mergeCell ref="AZ4:BD4"/>
    <mergeCell ref="Y6:Z7"/>
    <mergeCell ref="AA6:AC7"/>
    <mergeCell ref="AD6:AD7"/>
    <mergeCell ref="AE6:AE7"/>
    <mergeCell ref="AF6:AF7"/>
    <mergeCell ref="Y4:AO4"/>
    <mergeCell ref="Y43:Z43"/>
    <mergeCell ref="AA43:AC43"/>
    <mergeCell ref="Y44:Z44"/>
    <mergeCell ref="AA44:AC44"/>
    <mergeCell ref="Y30:Z30"/>
    <mergeCell ref="Y38:Z38"/>
    <mergeCell ref="AA38:AC38"/>
    <mergeCell ref="Y39:Z39"/>
    <mergeCell ref="AA39:AC39"/>
  </mergeCells>
  <phoneticPr fontId="5"/>
  <dataValidations count="3">
    <dataValidation imeMode="hiragana" allowBlank="1" showInputMessage="1" showErrorMessage="1" sqref="JO65527:JZ65529 TK65527:TV65529 ADG65527:ADR65529 ANC65527:ANN65529 AWY65527:AXJ65529 BGU65527:BHF65529 BQQ65527:BRB65529 CAM65527:CAX65529 CKI65527:CKT65529 CUE65527:CUP65529 DEA65527:DEL65529 DNW65527:DOH65529 DXS65527:DYD65529 EHO65527:EHZ65529 ERK65527:ERV65529 FBG65527:FBR65529 FLC65527:FLN65529 FUY65527:FVJ65529 GEU65527:GFF65529 GOQ65527:GPB65529 GYM65527:GYX65529 HII65527:HIT65529 HSE65527:HSP65529 ICA65527:ICL65529 ILW65527:IMH65529 IVS65527:IWD65529 JFO65527:JFZ65529 JPK65527:JPV65529 JZG65527:JZR65529 KJC65527:KJN65529 KSY65527:KTJ65529 LCU65527:LDF65529 LMQ65527:LNB65529 LWM65527:LWX65529 MGI65527:MGT65529 MQE65527:MQP65529 NAA65527:NAL65529 NJW65527:NKH65529 NTS65527:NUD65529 ODO65527:ODZ65529 ONK65527:ONV65529 OXG65527:OXR65529 PHC65527:PHN65529 PQY65527:PRJ65529 QAU65527:QBF65529 QKQ65527:QLB65529 QUM65527:QUX65529 REI65527:RET65529 ROE65527:ROP65529 RYA65527:RYL65529 SHW65527:SIH65529 SRS65527:SSD65529 TBO65527:TBZ65529 TLK65527:TLV65529 TVG65527:TVR65529 UFC65527:UFN65529 UOY65527:UPJ65529 UYU65527:UZF65529 VIQ65527:VJB65529 VSM65527:VSX65529 WCI65527:WCT65529 WME65527:WMP65529 WWA65527:WWL65529 JO131063:JZ131065 TK131063:TV131065 ADG131063:ADR131065 ANC131063:ANN131065 AWY131063:AXJ131065 BGU131063:BHF131065 BQQ131063:BRB131065 CAM131063:CAX131065 CKI131063:CKT131065 CUE131063:CUP131065 DEA131063:DEL131065 DNW131063:DOH131065 DXS131063:DYD131065 EHO131063:EHZ131065 ERK131063:ERV131065 FBG131063:FBR131065 FLC131063:FLN131065 FUY131063:FVJ131065 GEU131063:GFF131065 GOQ131063:GPB131065 GYM131063:GYX131065 HII131063:HIT131065 HSE131063:HSP131065 ICA131063:ICL131065 ILW131063:IMH131065 IVS131063:IWD131065 JFO131063:JFZ131065 JPK131063:JPV131065 JZG131063:JZR131065 KJC131063:KJN131065 KSY131063:KTJ131065 LCU131063:LDF131065 LMQ131063:LNB131065 LWM131063:LWX131065 MGI131063:MGT131065 MQE131063:MQP131065 NAA131063:NAL131065 NJW131063:NKH131065 NTS131063:NUD131065 ODO131063:ODZ131065 ONK131063:ONV131065 OXG131063:OXR131065 PHC131063:PHN131065 PQY131063:PRJ131065 QAU131063:QBF131065 QKQ131063:QLB131065 QUM131063:QUX131065 REI131063:RET131065 ROE131063:ROP131065 RYA131063:RYL131065 SHW131063:SIH131065 SRS131063:SSD131065 TBO131063:TBZ131065 TLK131063:TLV131065 TVG131063:TVR131065 UFC131063:UFN131065 UOY131063:UPJ131065 UYU131063:UZF131065 VIQ131063:VJB131065 VSM131063:VSX131065 WCI131063:WCT131065 WME131063:WMP131065 WWA131063:WWL131065 JO196599:JZ196601 TK196599:TV196601 ADG196599:ADR196601 ANC196599:ANN196601 AWY196599:AXJ196601 BGU196599:BHF196601 BQQ196599:BRB196601 CAM196599:CAX196601 CKI196599:CKT196601 CUE196599:CUP196601 DEA196599:DEL196601 DNW196599:DOH196601 DXS196599:DYD196601 EHO196599:EHZ196601 ERK196599:ERV196601 FBG196599:FBR196601 FLC196599:FLN196601 FUY196599:FVJ196601 GEU196599:GFF196601 GOQ196599:GPB196601 GYM196599:GYX196601 HII196599:HIT196601 HSE196599:HSP196601 ICA196599:ICL196601 ILW196599:IMH196601 IVS196599:IWD196601 JFO196599:JFZ196601 JPK196599:JPV196601 JZG196599:JZR196601 KJC196599:KJN196601 KSY196599:KTJ196601 LCU196599:LDF196601 LMQ196599:LNB196601 LWM196599:LWX196601 MGI196599:MGT196601 MQE196599:MQP196601 NAA196599:NAL196601 NJW196599:NKH196601 NTS196599:NUD196601 ODO196599:ODZ196601 ONK196599:ONV196601 OXG196599:OXR196601 PHC196599:PHN196601 PQY196599:PRJ196601 QAU196599:QBF196601 QKQ196599:QLB196601 QUM196599:QUX196601 REI196599:RET196601 ROE196599:ROP196601 RYA196599:RYL196601 SHW196599:SIH196601 SRS196599:SSD196601 TBO196599:TBZ196601 TLK196599:TLV196601 TVG196599:TVR196601 UFC196599:UFN196601 UOY196599:UPJ196601 UYU196599:UZF196601 VIQ196599:VJB196601 VSM196599:VSX196601 WCI196599:WCT196601 WME196599:WMP196601 WWA196599:WWL196601 JO262135:JZ262137 TK262135:TV262137 ADG262135:ADR262137 ANC262135:ANN262137 AWY262135:AXJ262137 BGU262135:BHF262137 BQQ262135:BRB262137 CAM262135:CAX262137 CKI262135:CKT262137 CUE262135:CUP262137 DEA262135:DEL262137 DNW262135:DOH262137 DXS262135:DYD262137 EHO262135:EHZ262137 ERK262135:ERV262137 FBG262135:FBR262137 FLC262135:FLN262137 FUY262135:FVJ262137 GEU262135:GFF262137 GOQ262135:GPB262137 GYM262135:GYX262137 HII262135:HIT262137 HSE262135:HSP262137 ICA262135:ICL262137 ILW262135:IMH262137 IVS262135:IWD262137 JFO262135:JFZ262137 JPK262135:JPV262137 JZG262135:JZR262137 KJC262135:KJN262137 KSY262135:KTJ262137 LCU262135:LDF262137 LMQ262135:LNB262137 LWM262135:LWX262137 MGI262135:MGT262137 MQE262135:MQP262137 NAA262135:NAL262137 NJW262135:NKH262137 NTS262135:NUD262137 ODO262135:ODZ262137 ONK262135:ONV262137 OXG262135:OXR262137 PHC262135:PHN262137 PQY262135:PRJ262137 QAU262135:QBF262137 QKQ262135:QLB262137 QUM262135:QUX262137 REI262135:RET262137 ROE262135:ROP262137 RYA262135:RYL262137 SHW262135:SIH262137 SRS262135:SSD262137 TBO262135:TBZ262137 TLK262135:TLV262137 TVG262135:TVR262137 UFC262135:UFN262137 UOY262135:UPJ262137 UYU262135:UZF262137 VIQ262135:VJB262137 VSM262135:VSX262137 WCI262135:WCT262137 WME262135:WMP262137 WWA262135:WWL262137 JO327671:JZ327673 TK327671:TV327673 ADG327671:ADR327673 ANC327671:ANN327673 AWY327671:AXJ327673 BGU327671:BHF327673 BQQ327671:BRB327673 CAM327671:CAX327673 CKI327671:CKT327673 CUE327671:CUP327673 DEA327671:DEL327673 DNW327671:DOH327673 DXS327671:DYD327673 EHO327671:EHZ327673 ERK327671:ERV327673 FBG327671:FBR327673 FLC327671:FLN327673 FUY327671:FVJ327673 GEU327671:GFF327673 GOQ327671:GPB327673 GYM327671:GYX327673 HII327671:HIT327673 HSE327671:HSP327673 ICA327671:ICL327673 ILW327671:IMH327673 IVS327671:IWD327673 JFO327671:JFZ327673 JPK327671:JPV327673 JZG327671:JZR327673 KJC327671:KJN327673 KSY327671:KTJ327673 LCU327671:LDF327673 LMQ327671:LNB327673 LWM327671:LWX327673 MGI327671:MGT327673 MQE327671:MQP327673 NAA327671:NAL327673 NJW327671:NKH327673 NTS327671:NUD327673 ODO327671:ODZ327673 ONK327671:ONV327673 OXG327671:OXR327673 PHC327671:PHN327673 PQY327671:PRJ327673 QAU327671:QBF327673 QKQ327671:QLB327673 QUM327671:QUX327673 REI327671:RET327673 ROE327671:ROP327673 RYA327671:RYL327673 SHW327671:SIH327673 SRS327671:SSD327673 TBO327671:TBZ327673 TLK327671:TLV327673 TVG327671:TVR327673 UFC327671:UFN327673 UOY327671:UPJ327673 UYU327671:UZF327673 VIQ327671:VJB327673 VSM327671:VSX327673 WCI327671:WCT327673 WME327671:WMP327673 WWA327671:WWL327673 JO393207:JZ393209 TK393207:TV393209 ADG393207:ADR393209 ANC393207:ANN393209 AWY393207:AXJ393209 BGU393207:BHF393209 BQQ393207:BRB393209 CAM393207:CAX393209 CKI393207:CKT393209 CUE393207:CUP393209 DEA393207:DEL393209 DNW393207:DOH393209 DXS393207:DYD393209 EHO393207:EHZ393209 ERK393207:ERV393209 FBG393207:FBR393209 FLC393207:FLN393209 FUY393207:FVJ393209 GEU393207:GFF393209 GOQ393207:GPB393209 GYM393207:GYX393209 HII393207:HIT393209 HSE393207:HSP393209 ICA393207:ICL393209 ILW393207:IMH393209 IVS393207:IWD393209 JFO393207:JFZ393209 JPK393207:JPV393209 JZG393207:JZR393209 KJC393207:KJN393209 KSY393207:KTJ393209 LCU393207:LDF393209 LMQ393207:LNB393209 LWM393207:LWX393209 MGI393207:MGT393209 MQE393207:MQP393209 NAA393207:NAL393209 NJW393207:NKH393209 NTS393207:NUD393209 ODO393207:ODZ393209 ONK393207:ONV393209 OXG393207:OXR393209 PHC393207:PHN393209 PQY393207:PRJ393209 QAU393207:QBF393209 QKQ393207:QLB393209 QUM393207:QUX393209 REI393207:RET393209 ROE393207:ROP393209 RYA393207:RYL393209 SHW393207:SIH393209 SRS393207:SSD393209 TBO393207:TBZ393209 TLK393207:TLV393209 TVG393207:TVR393209 UFC393207:UFN393209 UOY393207:UPJ393209 UYU393207:UZF393209 VIQ393207:VJB393209 VSM393207:VSX393209 WCI393207:WCT393209 WME393207:WMP393209 WWA393207:WWL393209 JO458743:JZ458745 TK458743:TV458745 ADG458743:ADR458745 ANC458743:ANN458745 AWY458743:AXJ458745 BGU458743:BHF458745 BQQ458743:BRB458745 CAM458743:CAX458745 CKI458743:CKT458745 CUE458743:CUP458745 DEA458743:DEL458745 DNW458743:DOH458745 DXS458743:DYD458745 EHO458743:EHZ458745 ERK458743:ERV458745 FBG458743:FBR458745 FLC458743:FLN458745 FUY458743:FVJ458745 GEU458743:GFF458745 GOQ458743:GPB458745 GYM458743:GYX458745 HII458743:HIT458745 HSE458743:HSP458745 ICA458743:ICL458745 ILW458743:IMH458745 IVS458743:IWD458745 JFO458743:JFZ458745 JPK458743:JPV458745 JZG458743:JZR458745 KJC458743:KJN458745 KSY458743:KTJ458745 LCU458743:LDF458745 LMQ458743:LNB458745 LWM458743:LWX458745 MGI458743:MGT458745 MQE458743:MQP458745 NAA458743:NAL458745 NJW458743:NKH458745 NTS458743:NUD458745 ODO458743:ODZ458745 ONK458743:ONV458745 OXG458743:OXR458745 PHC458743:PHN458745 PQY458743:PRJ458745 QAU458743:QBF458745 QKQ458743:QLB458745 QUM458743:QUX458745 REI458743:RET458745 ROE458743:ROP458745 RYA458743:RYL458745 SHW458743:SIH458745 SRS458743:SSD458745 TBO458743:TBZ458745 TLK458743:TLV458745 TVG458743:TVR458745 UFC458743:UFN458745 UOY458743:UPJ458745 UYU458743:UZF458745 VIQ458743:VJB458745 VSM458743:VSX458745 WCI458743:WCT458745 WME458743:WMP458745 WWA458743:WWL458745 JO524279:JZ524281 TK524279:TV524281 ADG524279:ADR524281 ANC524279:ANN524281 AWY524279:AXJ524281 BGU524279:BHF524281 BQQ524279:BRB524281 CAM524279:CAX524281 CKI524279:CKT524281 CUE524279:CUP524281 DEA524279:DEL524281 DNW524279:DOH524281 DXS524279:DYD524281 EHO524279:EHZ524281 ERK524279:ERV524281 FBG524279:FBR524281 FLC524279:FLN524281 FUY524279:FVJ524281 GEU524279:GFF524281 GOQ524279:GPB524281 GYM524279:GYX524281 HII524279:HIT524281 HSE524279:HSP524281 ICA524279:ICL524281 ILW524279:IMH524281 IVS524279:IWD524281 JFO524279:JFZ524281 JPK524279:JPV524281 JZG524279:JZR524281 KJC524279:KJN524281 KSY524279:KTJ524281 LCU524279:LDF524281 LMQ524279:LNB524281 LWM524279:LWX524281 MGI524279:MGT524281 MQE524279:MQP524281 NAA524279:NAL524281 NJW524279:NKH524281 NTS524279:NUD524281 ODO524279:ODZ524281 ONK524279:ONV524281 OXG524279:OXR524281 PHC524279:PHN524281 PQY524279:PRJ524281 QAU524279:QBF524281 QKQ524279:QLB524281 QUM524279:QUX524281 REI524279:RET524281 ROE524279:ROP524281 RYA524279:RYL524281 SHW524279:SIH524281 SRS524279:SSD524281 TBO524279:TBZ524281 TLK524279:TLV524281 TVG524279:TVR524281 UFC524279:UFN524281 UOY524279:UPJ524281 UYU524279:UZF524281 VIQ524279:VJB524281 VSM524279:VSX524281 WCI524279:WCT524281 WME524279:WMP524281 WWA524279:WWL524281 JO589815:JZ589817 TK589815:TV589817 ADG589815:ADR589817 ANC589815:ANN589817 AWY589815:AXJ589817 BGU589815:BHF589817 BQQ589815:BRB589817 CAM589815:CAX589817 CKI589815:CKT589817 CUE589815:CUP589817 DEA589815:DEL589817 DNW589815:DOH589817 DXS589815:DYD589817 EHO589815:EHZ589817 ERK589815:ERV589817 FBG589815:FBR589817 FLC589815:FLN589817 FUY589815:FVJ589817 GEU589815:GFF589817 GOQ589815:GPB589817 GYM589815:GYX589817 HII589815:HIT589817 HSE589815:HSP589817 ICA589815:ICL589817 ILW589815:IMH589817 IVS589815:IWD589817 JFO589815:JFZ589817 JPK589815:JPV589817 JZG589815:JZR589817 KJC589815:KJN589817 KSY589815:KTJ589817 LCU589815:LDF589817 LMQ589815:LNB589817 LWM589815:LWX589817 MGI589815:MGT589817 MQE589815:MQP589817 NAA589815:NAL589817 NJW589815:NKH589817 NTS589815:NUD589817 ODO589815:ODZ589817 ONK589815:ONV589817 OXG589815:OXR589817 PHC589815:PHN589817 PQY589815:PRJ589817 QAU589815:QBF589817 QKQ589815:QLB589817 QUM589815:QUX589817 REI589815:RET589817 ROE589815:ROP589817 RYA589815:RYL589817 SHW589815:SIH589817 SRS589815:SSD589817 TBO589815:TBZ589817 TLK589815:TLV589817 TVG589815:TVR589817 UFC589815:UFN589817 UOY589815:UPJ589817 UYU589815:UZF589817 VIQ589815:VJB589817 VSM589815:VSX589817 WCI589815:WCT589817 WME589815:WMP589817 WWA589815:WWL589817 JO655351:JZ655353 TK655351:TV655353 ADG655351:ADR655353 ANC655351:ANN655353 AWY655351:AXJ655353 BGU655351:BHF655353 BQQ655351:BRB655353 CAM655351:CAX655353 CKI655351:CKT655353 CUE655351:CUP655353 DEA655351:DEL655353 DNW655351:DOH655353 DXS655351:DYD655353 EHO655351:EHZ655353 ERK655351:ERV655353 FBG655351:FBR655353 FLC655351:FLN655353 FUY655351:FVJ655353 GEU655351:GFF655353 GOQ655351:GPB655353 GYM655351:GYX655353 HII655351:HIT655353 HSE655351:HSP655353 ICA655351:ICL655353 ILW655351:IMH655353 IVS655351:IWD655353 JFO655351:JFZ655353 JPK655351:JPV655353 JZG655351:JZR655353 KJC655351:KJN655353 KSY655351:KTJ655353 LCU655351:LDF655353 LMQ655351:LNB655353 LWM655351:LWX655353 MGI655351:MGT655353 MQE655351:MQP655353 NAA655351:NAL655353 NJW655351:NKH655353 NTS655351:NUD655353 ODO655351:ODZ655353 ONK655351:ONV655353 OXG655351:OXR655353 PHC655351:PHN655353 PQY655351:PRJ655353 QAU655351:QBF655353 QKQ655351:QLB655353 QUM655351:QUX655353 REI655351:RET655353 ROE655351:ROP655353 RYA655351:RYL655353 SHW655351:SIH655353 SRS655351:SSD655353 TBO655351:TBZ655353 TLK655351:TLV655353 TVG655351:TVR655353 UFC655351:UFN655353 UOY655351:UPJ655353 UYU655351:UZF655353 VIQ655351:VJB655353 VSM655351:VSX655353 WCI655351:WCT655353 WME655351:WMP655353 WWA655351:WWL655353 JO720887:JZ720889 TK720887:TV720889 ADG720887:ADR720889 ANC720887:ANN720889 AWY720887:AXJ720889 BGU720887:BHF720889 BQQ720887:BRB720889 CAM720887:CAX720889 CKI720887:CKT720889 CUE720887:CUP720889 DEA720887:DEL720889 DNW720887:DOH720889 DXS720887:DYD720889 EHO720887:EHZ720889 ERK720887:ERV720889 FBG720887:FBR720889 FLC720887:FLN720889 FUY720887:FVJ720889 GEU720887:GFF720889 GOQ720887:GPB720889 GYM720887:GYX720889 HII720887:HIT720889 HSE720887:HSP720889 ICA720887:ICL720889 ILW720887:IMH720889 IVS720887:IWD720889 JFO720887:JFZ720889 JPK720887:JPV720889 JZG720887:JZR720889 KJC720887:KJN720889 KSY720887:KTJ720889 LCU720887:LDF720889 LMQ720887:LNB720889 LWM720887:LWX720889 MGI720887:MGT720889 MQE720887:MQP720889 NAA720887:NAL720889 NJW720887:NKH720889 NTS720887:NUD720889 ODO720887:ODZ720889 ONK720887:ONV720889 OXG720887:OXR720889 PHC720887:PHN720889 PQY720887:PRJ720889 QAU720887:QBF720889 QKQ720887:QLB720889 QUM720887:QUX720889 REI720887:RET720889 ROE720887:ROP720889 RYA720887:RYL720889 SHW720887:SIH720889 SRS720887:SSD720889 TBO720887:TBZ720889 TLK720887:TLV720889 TVG720887:TVR720889 UFC720887:UFN720889 UOY720887:UPJ720889 UYU720887:UZF720889 VIQ720887:VJB720889 VSM720887:VSX720889 WCI720887:WCT720889 WME720887:WMP720889 WWA720887:WWL720889 JO786423:JZ786425 TK786423:TV786425 ADG786423:ADR786425 ANC786423:ANN786425 AWY786423:AXJ786425 BGU786423:BHF786425 BQQ786423:BRB786425 CAM786423:CAX786425 CKI786423:CKT786425 CUE786423:CUP786425 DEA786423:DEL786425 DNW786423:DOH786425 DXS786423:DYD786425 EHO786423:EHZ786425 ERK786423:ERV786425 FBG786423:FBR786425 FLC786423:FLN786425 FUY786423:FVJ786425 GEU786423:GFF786425 GOQ786423:GPB786425 GYM786423:GYX786425 HII786423:HIT786425 HSE786423:HSP786425 ICA786423:ICL786425 ILW786423:IMH786425 IVS786423:IWD786425 JFO786423:JFZ786425 JPK786423:JPV786425 JZG786423:JZR786425 KJC786423:KJN786425 KSY786423:KTJ786425 LCU786423:LDF786425 LMQ786423:LNB786425 LWM786423:LWX786425 MGI786423:MGT786425 MQE786423:MQP786425 NAA786423:NAL786425 NJW786423:NKH786425 NTS786423:NUD786425 ODO786423:ODZ786425 ONK786423:ONV786425 OXG786423:OXR786425 PHC786423:PHN786425 PQY786423:PRJ786425 QAU786423:QBF786425 QKQ786423:QLB786425 QUM786423:QUX786425 REI786423:RET786425 ROE786423:ROP786425 RYA786423:RYL786425 SHW786423:SIH786425 SRS786423:SSD786425 TBO786423:TBZ786425 TLK786423:TLV786425 TVG786423:TVR786425 UFC786423:UFN786425 UOY786423:UPJ786425 UYU786423:UZF786425 VIQ786423:VJB786425 VSM786423:VSX786425 WCI786423:WCT786425 WME786423:WMP786425 WWA786423:WWL786425 JO851959:JZ851961 TK851959:TV851961 ADG851959:ADR851961 ANC851959:ANN851961 AWY851959:AXJ851961 BGU851959:BHF851961 BQQ851959:BRB851961 CAM851959:CAX851961 CKI851959:CKT851961 CUE851959:CUP851961 DEA851959:DEL851961 DNW851959:DOH851961 DXS851959:DYD851961 EHO851959:EHZ851961 ERK851959:ERV851961 FBG851959:FBR851961 FLC851959:FLN851961 FUY851959:FVJ851961 GEU851959:GFF851961 GOQ851959:GPB851961 GYM851959:GYX851961 HII851959:HIT851961 HSE851959:HSP851961 ICA851959:ICL851961 ILW851959:IMH851961 IVS851959:IWD851961 JFO851959:JFZ851961 JPK851959:JPV851961 JZG851959:JZR851961 KJC851959:KJN851961 KSY851959:KTJ851961 LCU851959:LDF851961 LMQ851959:LNB851961 LWM851959:LWX851961 MGI851959:MGT851961 MQE851959:MQP851961 NAA851959:NAL851961 NJW851959:NKH851961 NTS851959:NUD851961 ODO851959:ODZ851961 ONK851959:ONV851961 OXG851959:OXR851961 PHC851959:PHN851961 PQY851959:PRJ851961 QAU851959:QBF851961 QKQ851959:QLB851961 QUM851959:QUX851961 REI851959:RET851961 ROE851959:ROP851961 RYA851959:RYL851961 SHW851959:SIH851961 SRS851959:SSD851961 TBO851959:TBZ851961 TLK851959:TLV851961 TVG851959:TVR851961 UFC851959:UFN851961 UOY851959:UPJ851961 UYU851959:UZF851961 VIQ851959:VJB851961 VSM851959:VSX851961 WCI851959:WCT851961 WME851959:WMP851961 WWA851959:WWL851961 JO917495:JZ917497 TK917495:TV917497 ADG917495:ADR917497 ANC917495:ANN917497 AWY917495:AXJ917497 BGU917495:BHF917497 BQQ917495:BRB917497 CAM917495:CAX917497 CKI917495:CKT917497 CUE917495:CUP917497 DEA917495:DEL917497 DNW917495:DOH917497 DXS917495:DYD917497 EHO917495:EHZ917497 ERK917495:ERV917497 FBG917495:FBR917497 FLC917495:FLN917497 FUY917495:FVJ917497 GEU917495:GFF917497 GOQ917495:GPB917497 GYM917495:GYX917497 HII917495:HIT917497 HSE917495:HSP917497 ICA917495:ICL917497 ILW917495:IMH917497 IVS917495:IWD917497 JFO917495:JFZ917497 JPK917495:JPV917497 JZG917495:JZR917497 KJC917495:KJN917497 KSY917495:KTJ917497 LCU917495:LDF917497 LMQ917495:LNB917497 LWM917495:LWX917497 MGI917495:MGT917497 MQE917495:MQP917497 NAA917495:NAL917497 NJW917495:NKH917497 NTS917495:NUD917497 ODO917495:ODZ917497 ONK917495:ONV917497 OXG917495:OXR917497 PHC917495:PHN917497 PQY917495:PRJ917497 QAU917495:QBF917497 QKQ917495:QLB917497 QUM917495:QUX917497 REI917495:RET917497 ROE917495:ROP917497 RYA917495:RYL917497 SHW917495:SIH917497 SRS917495:SSD917497 TBO917495:TBZ917497 TLK917495:TLV917497 TVG917495:TVR917497 UFC917495:UFN917497 UOY917495:UPJ917497 UYU917495:UZF917497 VIQ917495:VJB917497 VSM917495:VSX917497 WCI917495:WCT917497 WME917495:WMP917497 WWA917495:WWL917497 JO983031:JZ983033 TK983031:TV983033 ADG983031:ADR983033 ANC983031:ANN983033 AWY983031:AXJ983033 BGU983031:BHF983033 BQQ983031:BRB983033 CAM983031:CAX983033 CKI983031:CKT983033 CUE983031:CUP983033 DEA983031:DEL983033 DNW983031:DOH983033 DXS983031:DYD983033 EHO983031:EHZ983033 ERK983031:ERV983033 FBG983031:FBR983033 FLC983031:FLN983033 FUY983031:FVJ983033 GEU983031:GFF983033 GOQ983031:GPB983033 GYM983031:GYX983033 HII983031:HIT983033 HSE983031:HSP983033 ICA983031:ICL983033 ILW983031:IMH983033 IVS983031:IWD983033 JFO983031:JFZ983033 JPK983031:JPV983033 JZG983031:JZR983033 KJC983031:KJN983033 KSY983031:KTJ983033 LCU983031:LDF983033 LMQ983031:LNB983033 LWM983031:LWX983033 MGI983031:MGT983033 MQE983031:MQP983033 NAA983031:NAL983033 NJW983031:NKH983033 NTS983031:NUD983033 ODO983031:ODZ983033 ONK983031:ONV983033 OXG983031:OXR983033 PHC983031:PHN983033 PQY983031:PRJ983033 QAU983031:QBF983033 QKQ983031:QLB983033 QUM983031:QUX983033 REI983031:RET983033 ROE983031:ROP983033 RYA983031:RYL983033 SHW983031:SIH983033 SRS983031:SSD983033 TBO983031:TBZ983033 TLK983031:TLV983033 TVG983031:TVR983033 UFC983031:UFN983033 UOY983031:UPJ983033 UYU983031:UZF983033 VIQ983031:VJB983033 VSM983031:VSX983033 WCI983031:WCT983033 WME983031:WMP983033 WWA983031:WWL98303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27:AM65529 AC983031:AM983033 AC917495:AM917497 AC851959:AM851961 AC786423:AM786425 AC720887:AM720889 AC655351:AM655353 AC589815:AM589817 AC524279:AM524281 AC458743:AM458745 AC393207:AM393209 AC327671:AM327673 AC262135:AM262137 AC196599:AM196601 AC131063:AM131065 R2"/>
    <dataValidation type="list" allowBlank="1" showInputMessage="1" showErrorMessage="1" sqref="Y8:Z85">
      <formula1>"文字,数値,日付,時間"</formula1>
    </dataValidation>
    <dataValidation type="list" allowBlank="1" showInputMessage="1" showErrorMessage="1" sqref="AA8:AC85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7" s="17" customFormat="1" ht="14.4" customHeight="1">
      <c r="A1" s="396" t="s">
        <v>78</v>
      </c>
      <c r="B1" s="397"/>
      <c r="C1" s="397"/>
      <c r="D1" s="397"/>
      <c r="E1" s="397"/>
      <c r="F1" s="397"/>
      <c r="G1" s="397"/>
      <c r="H1" s="398"/>
      <c r="I1" s="336" t="s">
        <v>79</v>
      </c>
      <c r="J1" s="337"/>
      <c r="K1" s="337"/>
      <c r="L1" s="337"/>
      <c r="M1" s="337"/>
      <c r="N1" s="337"/>
      <c r="O1" s="337"/>
      <c r="P1" s="337"/>
      <c r="Q1" s="338"/>
      <c r="R1" s="336" t="s">
        <v>80</v>
      </c>
      <c r="S1" s="337"/>
      <c r="T1" s="337"/>
      <c r="U1" s="337"/>
      <c r="V1" s="337"/>
      <c r="W1" s="337"/>
      <c r="X1" s="338"/>
      <c r="Y1" s="336" t="s">
        <v>135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8"/>
      <c r="AP1" s="407" t="s">
        <v>82</v>
      </c>
      <c r="AQ1" s="408"/>
      <c r="AR1" s="408"/>
      <c r="AS1" s="408"/>
      <c r="AT1" s="409"/>
      <c r="AU1" s="407" t="s">
        <v>83</v>
      </c>
      <c r="AV1" s="408"/>
      <c r="AW1" s="408"/>
      <c r="AX1" s="408"/>
      <c r="AY1" s="409"/>
      <c r="AZ1" s="407" t="s">
        <v>84</v>
      </c>
      <c r="BA1" s="408"/>
      <c r="BB1" s="408"/>
      <c r="BC1" s="408"/>
      <c r="BD1" s="409"/>
    </row>
    <row r="2" spans="1:57" s="17" customFormat="1" ht="14.4" customHeight="1">
      <c r="A2" s="399"/>
      <c r="B2" s="400"/>
      <c r="C2" s="400"/>
      <c r="D2" s="400"/>
      <c r="E2" s="400"/>
      <c r="F2" s="400"/>
      <c r="G2" s="400"/>
      <c r="H2" s="401"/>
      <c r="I2" s="366" t="s">
        <v>85</v>
      </c>
      <c r="J2" s="367"/>
      <c r="K2" s="367"/>
      <c r="L2" s="367"/>
      <c r="M2" s="367"/>
      <c r="N2" s="367"/>
      <c r="O2" s="367"/>
      <c r="P2" s="367"/>
      <c r="Q2" s="368"/>
      <c r="R2" s="366" t="str">
        <f ca="1">VLOOKUP(RIGHT(CELL("filename",A2),LEN(CELL("filename",A2))-FIND("]",CELL("filename",A2))),テーブル一覧!B:AD,22,FALSE)</f>
        <v>B.生産計画</v>
      </c>
      <c r="S2" s="367"/>
      <c r="T2" s="367"/>
      <c r="U2" s="367"/>
      <c r="V2" s="367"/>
      <c r="W2" s="367"/>
      <c r="X2" s="368"/>
      <c r="Y2" s="366" t="str">
        <f ca="1">VLOOKUP(RIGHT(CELL("filename",A2),LEN(CELL("filename",A2))-FIND("]",CELL("filename",A2))),テーブル一覧!B:AD,1,FALSE)</f>
        <v>生産計画情報（外注加工）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8"/>
      <c r="AP2" s="339"/>
      <c r="AQ2" s="340"/>
      <c r="AR2" s="340"/>
      <c r="AS2" s="340"/>
      <c r="AT2" s="341"/>
      <c r="AU2" s="58" t="s">
        <v>88</v>
      </c>
      <c r="AV2" s="59"/>
      <c r="AW2" s="59"/>
      <c r="AX2" s="59"/>
      <c r="AY2" s="60"/>
      <c r="AZ2" s="413" t="s">
        <v>89</v>
      </c>
      <c r="BA2" s="414"/>
      <c r="BB2" s="414"/>
      <c r="BC2" s="414"/>
      <c r="BD2" s="415"/>
    </row>
    <row r="3" spans="1:57" s="17" customFormat="1" ht="14.4" customHeight="1">
      <c r="A3" s="399"/>
      <c r="B3" s="400"/>
      <c r="C3" s="400"/>
      <c r="D3" s="400"/>
      <c r="E3" s="400"/>
      <c r="F3" s="400"/>
      <c r="G3" s="400"/>
      <c r="H3" s="401"/>
      <c r="I3" s="369"/>
      <c r="J3" s="370"/>
      <c r="K3" s="370"/>
      <c r="L3" s="370"/>
      <c r="M3" s="370"/>
      <c r="N3" s="370"/>
      <c r="O3" s="370"/>
      <c r="P3" s="370"/>
      <c r="Q3" s="371"/>
      <c r="R3" s="369"/>
      <c r="S3" s="370"/>
      <c r="T3" s="370"/>
      <c r="U3" s="370"/>
      <c r="V3" s="370"/>
      <c r="W3" s="370"/>
      <c r="X3" s="371"/>
      <c r="Y3" s="372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4"/>
      <c r="AP3" s="342"/>
      <c r="AQ3" s="343"/>
      <c r="AR3" s="343"/>
      <c r="AS3" s="343"/>
      <c r="AT3" s="344"/>
      <c r="AU3" s="410"/>
      <c r="AV3" s="411"/>
      <c r="AW3" s="411"/>
      <c r="AX3" s="411"/>
      <c r="AY3" s="412"/>
      <c r="AZ3" s="413"/>
      <c r="BA3" s="414"/>
      <c r="BB3" s="414"/>
      <c r="BC3" s="414"/>
      <c r="BD3" s="415"/>
    </row>
    <row r="4" spans="1:57" s="17" customFormat="1" ht="14.4" customHeight="1">
      <c r="A4" s="402"/>
      <c r="B4" s="403"/>
      <c r="C4" s="403"/>
      <c r="D4" s="403"/>
      <c r="E4" s="403"/>
      <c r="F4" s="403"/>
      <c r="G4" s="403"/>
      <c r="H4" s="404"/>
      <c r="I4" s="372"/>
      <c r="J4" s="373"/>
      <c r="K4" s="373"/>
      <c r="L4" s="373"/>
      <c r="M4" s="373"/>
      <c r="N4" s="373"/>
      <c r="O4" s="373"/>
      <c r="P4" s="373"/>
      <c r="Q4" s="374"/>
      <c r="R4" s="372"/>
      <c r="S4" s="373"/>
      <c r="T4" s="373"/>
      <c r="U4" s="373"/>
      <c r="V4" s="373"/>
      <c r="W4" s="373"/>
      <c r="X4" s="374"/>
      <c r="Y4" s="41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t_seisan_keikaku_gk</v>
      </c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8"/>
      <c r="AP4" s="342"/>
      <c r="AQ4" s="343"/>
      <c r="AR4" s="343"/>
      <c r="AS4" s="343"/>
      <c r="AT4" s="344"/>
      <c r="AU4" s="410"/>
      <c r="AV4" s="411"/>
      <c r="AW4" s="411"/>
      <c r="AX4" s="411"/>
      <c r="AY4" s="412"/>
      <c r="AZ4" s="413"/>
      <c r="BA4" s="414"/>
      <c r="BB4" s="414"/>
      <c r="BC4" s="414"/>
      <c r="BD4" s="415"/>
    </row>
    <row r="6" spans="1:57" ht="14.4" customHeight="1">
      <c r="A6" s="405" t="s">
        <v>90</v>
      </c>
      <c r="B6" s="386" t="s">
        <v>136</v>
      </c>
      <c r="C6" s="394"/>
      <c r="D6" s="394"/>
      <c r="E6" s="394"/>
      <c r="F6" s="394"/>
      <c r="G6" s="394"/>
      <c r="H6" s="387"/>
      <c r="I6" s="386" t="s">
        <v>137</v>
      </c>
      <c r="J6" s="394"/>
      <c r="K6" s="394"/>
      <c r="L6" s="394"/>
      <c r="M6" s="394"/>
      <c r="N6" s="394"/>
      <c r="O6" s="394"/>
      <c r="P6" s="394"/>
      <c r="Q6" s="387"/>
      <c r="R6" s="386" t="s">
        <v>138</v>
      </c>
      <c r="S6" s="394"/>
      <c r="T6" s="394"/>
      <c r="U6" s="394"/>
      <c r="V6" s="394"/>
      <c r="W6" s="394"/>
      <c r="X6" s="387"/>
      <c r="Y6" s="386" t="s">
        <v>139</v>
      </c>
      <c r="Z6" s="387"/>
      <c r="AA6" s="386" t="s">
        <v>140</v>
      </c>
      <c r="AB6" s="394"/>
      <c r="AC6" s="387"/>
      <c r="AD6" s="390" t="s">
        <v>141</v>
      </c>
      <c r="AE6" s="392" t="s">
        <v>142</v>
      </c>
      <c r="AF6" s="390" t="s">
        <v>143</v>
      </c>
      <c r="AG6" s="390" t="s">
        <v>144</v>
      </c>
      <c r="AH6" s="390" t="s">
        <v>145</v>
      </c>
      <c r="AI6" s="383" t="s">
        <v>146</v>
      </c>
      <c r="AJ6" s="384"/>
      <c r="AK6" s="384"/>
      <c r="AL6" s="384"/>
      <c r="AM6" s="384"/>
      <c r="AN6" s="384"/>
      <c r="AO6" s="384"/>
      <c r="AP6" s="384"/>
      <c r="AQ6" s="384"/>
      <c r="AR6" s="385"/>
      <c r="AS6" s="386" t="s">
        <v>147</v>
      </c>
      <c r="AT6" s="394"/>
      <c r="AU6" s="394"/>
      <c r="AV6" s="394"/>
      <c r="AW6" s="394"/>
      <c r="AX6" s="394"/>
      <c r="AY6" s="394"/>
      <c r="AZ6" s="394"/>
      <c r="BA6" s="394"/>
      <c r="BB6" s="394"/>
      <c r="BC6" s="394"/>
      <c r="BD6" s="387"/>
    </row>
    <row r="7" spans="1:57" ht="14.4" customHeight="1">
      <c r="A7" s="406"/>
      <c r="B7" s="388"/>
      <c r="C7" s="395"/>
      <c r="D7" s="395"/>
      <c r="E7" s="395"/>
      <c r="F7" s="395"/>
      <c r="G7" s="395"/>
      <c r="H7" s="389"/>
      <c r="I7" s="388"/>
      <c r="J7" s="395"/>
      <c r="K7" s="395"/>
      <c r="L7" s="395"/>
      <c r="M7" s="395"/>
      <c r="N7" s="395"/>
      <c r="O7" s="395"/>
      <c r="P7" s="395"/>
      <c r="Q7" s="389"/>
      <c r="R7" s="388"/>
      <c r="S7" s="395"/>
      <c r="T7" s="395"/>
      <c r="U7" s="395"/>
      <c r="V7" s="395"/>
      <c r="W7" s="395"/>
      <c r="X7" s="389"/>
      <c r="Y7" s="388"/>
      <c r="Z7" s="389"/>
      <c r="AA7" s="388"/>
      <c r="AB7" s="395"/>
      <c r="AC7" s="389"/>
      <c r="AD7" s="391"/>
      <c r="AE7" s="393"/>
      <c r="AF7" s="391"/>
      <c r="AG7" s="391"/>
      <c r="AH7" s="39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88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89"/>
    </row>
    <row r="8" spans="1:57" s="207" customFormat="1" ht="14.4" customHeight="1">
      <c r="A8" s="221">
        <f>IF(B8="","",COUNTA($B$8:B8))</f>
        <v>1</v>
      </c>
      <c r="B8" s="195" t="s">
        <v>148</v>
      </c>
      <c r="C8" s="190"/>
      <c r="D8" s="190"/>
      <c r="E8" s="190"/>
      <c r="F8" s="190"/>
      <c r="G8" s="190"/>
      <c r="H8" s="191"/>
      <c r="I8" s="204" t="s">
        <v>149</v>
      </c>
      <c r="J8" s="190"/>
      <c r="K8" s="190"/>
      <c r="L8" s="190"/>
      <c r="M8" s="190"/>
      <c r="N8" s="190"/>
      <c r="O8" s="190"/>
      <c r="P8" s="190"/>
      <c r="Q8" s="191"/>
      <c r="R8" s="195" t="s">
        <v>148</v>
      </c>
      <c r="S8" s="190"/>
      <c r="T8" s="190"/>
      <c r="U8" s="190"/>
      <c r="V8" s="190"/>
      <c r="W8" s="190"/>
      <c r="X8" s="188"/>
      <c r="Y8" s="378" t="s">
        <v>150</v>
      </c>
      <c r="Z8" s="379"/>
      <c r="AA8" s="380" t="s">
        <v>151</v>
      </c>
      <c r="AB8" s="381"/>
      <c r="AC8" s="382"/>
      <c r="AD8" s="205">
        <v>15</v>
      </c>
      <c r="AE8" s="193"/>
      <c r="AF8" s="193">
        <v>1</v>
      </c>
      <c r="AG8" s="194" t="s">
        <v>152</v>
      </c>
      <c r="AH8" s="194"/>
      <c r="AI8" s="194"/>
      <c r="AJ8" s="194"/>
      <c r="AK8" s="194"/>
      <c r="AL8" s="194"/>
      <c r="AM8" s="194"/>
      <c r="AN8" s="194"/>
      <c r="AO8" s="193"/>
      <c r="AP8" s="193"/>
      <c r="AQ8" s="193"/>
      <c r="AR8" s="193"/>
      <c r="AS8" s="196"/>
      <c r="AT8" s="174"/>
      <c r="AU8" s="174"/>
      <c r="AV8" s="174"/>
      <c r="AW8" s="174"/>
      <c r="AX8" s="174"/>
      <c r="AY8" s="174"/>
      <c r="AZ8" s="174"/>
      <c r="BA8" s="174"/>
      <c r="BB8" s="174"/>
      <c r="BC8" s="174"/>
      <c r="BD8" s="175"/>
    </row>
    <row r="9" spans="1:57" s="207" customFormat="1" ht="14.4" customHeight="1">
      <c r="A9" s="221">
        <f>IF(B9="","",COUNTA($B$8:B9))</f>
        <v>2</v>
      </c>
      <c r="B9" s="186" t="s">
        <v>338</v>
      </c>
      <c r="C9" s="187"/>
      <c r="D9" s="187"/>
      <c r="E9" s="187"/>
      <c r="F9" s="187"/>
      <c r="G9" s="187"/>
      <c r="H9" s="188"/>
      <c r="I9" s="233" t="s">
        <v>339</v>
      </c>
      <c r="J9" s="234"/>
      <c r="K9" s="234"/>
      <c r="L9" s="234"/>
      <c r="M9" s="234"/>
      <c r="N9" s="234"/>
      <c r="O9" s="234"/>
      <c r="P9" s="234"/>
      <c r="Q9" s="235"/>
      <c r="R9" s="236" t="s">
        <v>338</v>
      </c>
      <c r="S9" s="234"/>
      <c r="T9" s="234"/>
      <c r="U9" s="234"/>
      <c r="V9" s="234"/>
      <c r="W9" s="234"/>
      <c r="X9" s="237"/>
      <c r="Y9" s="447" t="s">
        <v>155</v>
      </c>
      <c r="Z9" s="448"/>
      <c r="AA9" s="380" t="s">
        <v>156</v>
      </c>
      <c r="AB9" s="381"/>
      <c r="AC9" s="382"/>
      <c r="AD9" s="205">
        <v>3</v>
      </c>
      <c r="AE9" s="193"/>
      <c r="AF9" s="193">
        <v>2</v>
      </c>
      <c r="AG9" s="194" t="s">
        <v>152</v>
      </c>
      <c r="AH9" s="194"/>
      <c r="AI9" s="194" t="s">
        <v>302</v>
      </c>
      <c r="AJ9" s="194" t="s">
        <v>340</v>
      </c>
      <c r="AK9" s="194"/>
      <c r="AL9" s="194"/>
      <c r="AM9" s="194"/>
      <c r="AN9" s="194"/>
      <c r="AO9" s="193"/>
      <c r="AP9" s="193"/>
      <c r="AQ9" s="193"/>
      <c r="AR9" s="193"/>
      <c r="AS9" s="189" t="s">
        <v>341</v>
      </c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7"/>
    </row>
    <row r="10" spans="1:57" s="207" customFormat="1" ht="14.4" customHeight="1">
      <c r="A10" s="221">
        <f>IF(B10="","",COUNTA($B$8:B10))</f>
        <v>3</v>
      </c>
      <c r="B10" s="186" t="s">
        <v>157</v>
      </c>
      <c r="C10" s="187"/>
      <c r="D10" s="187"/>
      <c r="E10" s="187"/>
      <c r="F10" s="187"/>
      <c r="G10" s="187"/>
      <c r="H10" s="188"/>
      <c r="I10" s="204" t="s">
        <v>158</v>
      </c>
      <c r="J10" s="190"/>
      <c r="K10" s="190"/>
      <c r="L10" s="190"/>
      <c r="M10" s="190"/>
      <c r="N10" s="190"/>
      <c r="O10" s="190"/>
      <c r="P10" s="190"/>
      <c r="Q10" s="191"/>
      <c r="R10" s="186" t="s">
        <v>157</v>
      </c>
      <c r="S10" s="190"/>
      <c r="T10" s="190"/>
      <c r="U10" s="190"/>
      <c r="V10" s="190"/>
      <c r="W10" s="190"/>
      <c r="X10" s="188"/>
      <c r="Y10" s="378" t="s">
        <v>150</v>
      </c>
      <c r="Z10" s="379"/>
      <c r="AA10" s="380" t="s">
        <v>151</v>
      </c>
      <c r="AB10" s="381"/>
      <c r="AC10" s="382"/>
      <c r="AD10" s="205">
        <v>10</v>
      </c>
      <c r="AE10" s="193"/>
      <c r="AF10" s="193"/>
      <c r="AG10" s="193"/>
      <c r="AH10" s="194"/>
      <c r="AI10" s="194"/>
      <c r="AJ10" s="194"/>
      <c r="AK10" s="194"/>
      <c r="AL10" s="194"/>
      <c r="AM10" s="194"/>
      <c r="AN10" s="194"/>
      <c r="AO10" s="193"/>
      <c r="AP10" s="193"/>
      <c r="AQ10" s="193"/>
      <c r="AR10" s="193"/>
      <c r="AS10" s="189"/>
      <c r="AT10" s="176"/>
      <c r="AU10" s="176"/>
      <c r="AV10" s="176"/>
      <c r="AW10" s="176"/>
      <c r="AX10" s="176"/>
      <c r="AY10" s="176"/>
      <c r="AZ10" s="176"/>
      <c r="BA10" s="176"/>
      <c r="BB10" s="176"/>
      <c r="BC10" s="176"/>
      <c r="BD10" s="177"/>
      <c r="BE10" s="207" t="s">
        <v>1419</v>
      </c>
    </row>
    <row r="11" spans="1:57" s="207" customFormat="1" ht="14.4" customHeight="1">
      <c r="A11" s="221">
        <f>IF(B11="","",COUNTA($B$8:B11))</f>
        <v>4</v>
      </c>
      <c r="B11" s="186" t="s">
        <v>159</v>
      </c>
      <c r="C11" s="187"/>
      <c r="D11" s="187"/>
      <c r="E11" s="187"/>
      <c r="F11" s="187"/>
      <c r="G11" s="187"/>
      <c r="H11" s="188"/>
      <c r="I11" s="204" t="s">
        <v>160</v>
      </c>
      <c r="J11" s="190"/>
      <c r="K11" s="190"/>
      <c r="L11" s="190"/>
      <c r="M11" s="190"/>
      <c r="N11" s="190"/>
      <c r="O11" s="190"/>
      <c r="P11" s="190"/>
      <c r="Q11" s="191"/>
      <c r="R11" s="186" t="s">
        <v>159</v>
      </c>
      <c r="S11" s="190"/>
      <c r="T11" s="190"/>
      <c r="U11" s="190"/>
      <c r="V11" s="190"/>
      <c r="W11" s="190"/>
      <c r="X11" s="188"/>
      <c r="Y11" s="378" t="s">
        <v>150</v>
      </c>
      <c r="Z11" s="379"/>
      <c r="AA11" s="380" t="s">
        <v>151</v>
      </c>
      <c r="AB11" s="381"/>
      <c r="AC11" s="382"/>
      <c r="AD11" s="205">
        <v>4</v>
      </c>
      <c r="AE11" s="193"/>
      <c r="AF11" s="193"/>
      <c r="AG11" s="193"/>
      <c r="AH11" s="194"/>
      <c r="AI11" s="194"/>
      <c r="AJ11" s="194"/>
      <c r="AK11" s="194"/>
      <c r="AL11" s="194"/>
      <c r="AM11" s="194"/>
      <c r="AN11" s="194"/>
      <c r="AO11" s="193"/>
      <c r="AP11" s="193"/>
      <c r="AQ11" s="193"/>
      <c r="AR11" s="193"/>
      <c r="AS11" s="189"/>
      <c r="AT11" s="176"/>
      <c r="AU11" s="176"/>
      <c r="AV11" s="176"/>
      <c r="AW11" s="176"/>
      <c r="AX11" s="176"/>
      <c r="AY11" s="176"/>
      <c r="AZ11" s="176"/>
      <c r="BA11" s="176"/>
      <c r="BB11" s="176"/>
      <c r="BC11" s="176"/>
      <c r="BD11" s="177"/>
    </row>
    <row r="12" spans="1:57" s="207" customFormat="1" ht="14.4" customHeight="1">
      <c r="A12" s="221">
        <f>IF(B12="","",COUNTA($B$8:B12))</f>
        <v>5</v>
      </c>
      <c r="B12" s="212" t="s">
        <v>342</v>
      </c>
      <c r="C12" s="187"/>
      <c r="D12" s="187"/>
      <c r="E12" s="187"/>
      <c r="F12" s="187"/>
      <c r="G12" s="187"/>
      <c r="H12" s="187"/>
      <c r="I12" s="204" t="s">
        <v>343</v>
      </c>
      <c r="J12" s="190"/>
      <c r="K12" s="190"/>
      <c r="L12" s="190"/>
      <c r="M12" s="190"/>
      <c r="N12" s="190"/>
      <c r="O12" s="190"/>
      <c r="P12" s="190"/>
      <c r="Q12" s="191"/>
      <c r="R12" s="212" t="s">
        <v>342</v>
      </c>
      <c r="S12" s="187"/>
      <c r="T12" s="213"/>
      <c r="U12" s="213"/>
      <c r="V12" s="213"/>
      <c r="W12" s="213"/>
      <c r="X12" s="213"/>
      <c r="Y12" s="186" t="s">
        <v>150</v>
      </c>
      <c r="Z12" s="200"/>
      <c r="AA12" s="380" t="s">
        <v>151</v>
      </c>
      <c r="AB12" s="381"/>
      <c r="AC12" s="382"/>
      <c r="AD12" s="214">
        <v>5</v>
      </c>
      <c r="AE12" s="193"/>
      <c r="AF12" s="193"/>
      <c r="AG12" s="193"/>
      <c r="AH12" s="194"/>
      <c r="AI12" s="194"/>
      <c r="AJ12" s="194"/>
      <c r="AK12" s="194"/>
      <c r="AL12" s="194"/>
      <c r="AM12" s="194"/>
      <c r="AN12" s="194"/>
      <c r="AO12" s="193"/>
      <c r="AP12" s="193"/>
      <c r="AQ12" s="193"/>
      <c r="AR12" s="193"/>
      <c r="AS12" s="189"/>
      <c r="AT12" s="176"/>
      <c r="AU12" s="176"/>
      <c r="AV12" s="176"/>
      <c r="AW12" s="176"/>
      <c r="AX12" s="176"/>
      <c r="AY12" s="176"/>
      <c r="AZ12" s="176"/>
      <c r="BA12" s="176"/>
      <c r="BB12" s="176"/>
      <c r="BC12" s="176"/>
      <c r="BD12" s="177"/>
    </row>
    <row r="13" spans="1:57" s="207" customFormat="1" ht="14.4" customHeight="1">
      <c r="A13" s="221">
        <f>IF(B13="","",COUNTA($B$8:B13))</f>
        <v>6</v>
      </c>
      <c r="B13" s="186" t="s">
        <v>300</v>
      </c>
      <c r="C13" s="187"/>
      <c r="D13" s="187"/>
      <c r="E13" s="187"/>
      <c r="F13" s="187"/>
      <c r="G13" s="187"/>
      <c r="H13" s="188"/>
      <c r="I13" s="204" t="s">
        <v>301</v>
      </c>
      <c r="J13" s="190"/>
      <c r="K13" s="190"/>
      <c r="L13" s="190"/>
      <c r="M13" s="190"/>
      <c r="N13" s="190"/>
      <c r="O13" s="190"/>
      <c r="P13" s="190"/>
      <c r="Q13" s="191"/>
      <c r="R13" s="186" t="s">
        <v>300</v>
      </c>
      <c r="S13" s="190"/>
      <c r="T13" s="190"/>
      <c r="U13" s="190"/>
      <c r="V13" s="190"/>
      <c r="W13" s="190"/>
      <c r="X13" s="188"/>
      <c r="Y13" s="186" t="s">
        <v>169</v>
      </c>
      <c r="Z13" s="200"/>
      <c r="AA13" s="201" t="s">
        <v>170</v>
      </c>
      <c r="AB13" s="202"/>
      <c r="AC13" s="203"/>
      <c r="AD13" s="205"/>
      <c r="AE13" s="193"/>
      <c r="AF13" s="193"/>
      <c r="AG13" s="193"/>
      <c r="AH13" s="194"/>
      <c r="AI13" s="194" t="s">
        <v>161</v>
      </c>
      <c r="AJ13" s="194" t="s">
        <v>344</v>
      </c>
      <c r="AK13" s="194"/>
      <c r="AL13" s="194"/>
      <c r="AM13" s="194"/>
      <c r="AN13" s="194"/>
      <c r="AO13" s="193"/>
      <c r="AP13" s="193"/>
      <c r="AQ13" s="193"/>
      <c r="AR13" s="193"/>
      <c r="AS13" s="189"/>
      <c r="AT13" s="176"/>
      <c r="AU13" s="176"/>
      <c r="AV13" s="176"/>
      <c r="AW13" s="176"/>
      <c r="AX13" s="176"/>
      <c r="AY13" s="176"/>
      <c r="AZ13" s="176"/>
      <c r="BA13" s="176"/>
      <c r="BB13" s="176"/>
      <c r="BC13" s="176"/>
      <c r="BD13" s="177"/>
    </row>
    <row r="14" spans="1:57" s="207" customFormat="1" ht="14.4" customHeight="1">
      <c r="A14" s="221">
        <f>IF(B14="","",COUNTA($B$8:B14))</f>
        <v>7</v>
      </c>
      <c r="B14" s="186" t="s">
        <v>345</v>
      </c>
      <c r="C14" s="187"/>
      <c r="D14" s="187"/>
      <c r="E14" s="187"/>
      <c r="F14" s="187"/>
      <c r="G14" s="187"/>
      <c r="H14" s="188"/>
      <c r="I14" s="204" t="s">
        <v>346</v>
      </c>
      <c r="J14" s="190"/>
      <c r="K14" s="190"/>
      <c r="L14" s="190"/>
      <c r="M14" s="190"/>
      <c r="N14" s="190"/>
      <c r="O14" s="190"/>
      <c r="P14" s="190"/>
      <c r="Q14" s="191"/>
      <c r="R14" s="186" t="s">
        <v>345</v>
      </c>
      <c r="S14" s="190"/>
      <c r="T14" s="190"/>
      <c r="U14" s="190"/>
      <c r="V14" s="190"/>
      <c r="W14" s="190"/>
      <c r="X14" s="188"/>
      <c r="Y14" s="186" t="s">
        <v>169</v>
      </c>
      <c r="Z14" s="200"/>
      <c r="AA14" s="201" t="s">
        <v>170</v>
      </c>
      <c r="AB14" s="202"/>
      <c r="AC14" s="203"/>
      <c r="AD14" s="205"/>
      <c r="AE14" s="193"/>
      <c r="AF14" s="193"/>
      <c r="AG14" s="193"/>
      <c r="AH14" s="194"/>
      <c r="AI14" s="194" t="s">
        <v>344</v>
      </c>
      <c r="AJ14" s="194" t="s">
        <v>161</v>
      </c>
      <c r="AK14" s="194"/>
      <c r="AL14" s="194"/>
      <c r="AM14" s="194"/>
      <c r="AN14" s="194"/>
      <c r="AO14" s="193"/>
      <c r="AP14" s="193"/>
      <c r="AQ14" s="193"/>
      <c r="AR14" s="193"/>
      <c r="AS14" s="189"/>
      <c r="AT14" s="176"/>
      <c r="AU14" s="176"/>
      <c r="AV14" s="176"/>
      <c r="AW14" s="176"/>
      <c r="AX14" s="176"/>
      <c r="AY14" s="176"/>
      <c r="AZ14" s="176"/>
      <c r="BA14" s="176"/>
      <c r="BB14" s="176"/>
      <c r="BC14" s="176"/>
      <c r="BD14" s="177"/>
    </row>
    <row r="15" spans="1:57" s="207" customFormat="1" ht="14.4" customHeight="1">
      <c r="A15" s="221">
        <f>IF(B15="","",COUNTA($B$8:B15))</f>
        <v>8</v>
      </c>
      <c r="B15" s="186" t="s">
        <v>307</v>
      </c>
      <c r="C15" s="187"/>
      <c r="D15" s="187"/>
      <c r="E15" s="187"/>
      <c r="F15" s="187"/>
      <c r="G15" s="187"/>
      <c r="H15" s="188"/>
      <c r="I15" s="204" t="s">
        <v>308</v>
      </c>
      <c r="J15" s="190"/>
      <c r="K15" s="190"/>
      <c r="L15" s="190"/>
      <c r="M15" s="190"/>
      <c r="N15" s="190"/>
      <c r="O15" s="190"/>
      <c r="P15" s="190"/>
      <c r="Q15" s="191"/>
      <c r="R15" s="186" t="s">
        <v>307</v>
      </c>
      <c r="S15" s="190"/>
      <c r="T15" s="190"/>
      <c r="U15" s="190"/>
      <c r="V15" s="190"/>
      <c r="W15" s="190"/>
      <c r="X15" s="188"/>
      <c r="Y15" s="186" t="s">
        <v>169</v>
      </c>
      <c r="Z15" s="200"/>
      <c r="AA15" s="201" t="s">
        <v>170</v>
      </c>
      <c r="AB15" s="202"/>
      <c r="AC15" s="203"/>
      <c r="AD15" s="192"/>
      <c r="AE15" s="193"/>
      <c r="AF15" s="193"/>
      <c r="AG15" s="193"/>
      <c r="AH15" s="194"/>
      <c r="AI15" s="194" t="s">
        <v>340</v>
      </c>
      <c r="AJ15" s="194"/>
      <c r="AK15" s="194"/>
      <c r="AL15" s="194"/>
      <c r="AM15" s="194"/>
      <c r="AN15" s="194"/>
      <c r="AO15" s="193"/>
      <c r="AP15" s="193"/>
      <c r="AQ15" s="193"/>
      <c r="AR15" s="193"/>
      <c r="AS15" s="189"/>
      <c r="AT15" s="176"/>
      <c r="AU15" s="176"/>
      <c r="AV15" s="176"/>
      <c r="AW15" s="176"/>
      <c r="AX15" s="176"/>
      <c r="AY15" s="176"/>
      <c r="AZ15" s="176"/>
      <c r="BA15" s="176"/>
      <c r="BB15" s="176"/>
      <c r="BC15" s="176"/>
      <c r="BD15" s="177"/>
    </row>
    <row r="16" spans="1:57" s="207" customFormat="1" ht="14.4" customHeight="1">
      <c r="A16" s="221">
        <f>IF(B16="","",COUNTA($B$8:B16))</f>
        <v>9</v>
      </c>
      <c r="B16" s="186" t="s">
        <v>305</v>
      </c>
      <c r="C16" s="187"/>
      <c r="D16" s="187"/>
      <c r="E16" s="187"/>
      <c r="F16" s="187"/>
      <c r="G16" s="187"/>
      <c r="H16" s="187"/>
      <c r="I16" s="204" t="s">
        <v>306</v>
      </c>
      <c r="J16" s="190"/>
      <c r="K16" s="190"/>
      <c r="L16" s="190"/>
      <c r="M16" s="190"/>
      <c r="N16" s="190"/>
      <c r="O16" s="190"/>
      <c r="P16" s="190"/>
      <c r="Q16" s="190"/>
      <c r="R16" s="186" t="s">
        <v>305</v>
      </c>
      <c r="S16" s="187"/>
      <c r="T16" s="213"/>
      <c r="U16" s="213"/>
      <c r="V16" s="213"/>
      <c r="W16" s="213"/>
      <c r="X16" s="213"/>
      <c r="Y16" s="186" t="s">
        <v>150</v>
      </c>
      <c r="Z16" s="200"/>
      <c r="AA16" s="201" t="s">
        <v>151</v>
      </c>
      <c r="AB16" s="202"/>
      <c r="AC16" s="203"/>
      <c r="AD16" s="214">
        <v>10</v>
      </c>
      <c r="AE16" s="194" t="s">
        <v>244</v>
      </c>
      <c r="AF16" s="209"/>
      <c r="AG16" s="209"/>
      <c r="AH16" s="209"/>
      <c r="AI16" s="209"/>
      <c r="AJ16" s="209"/>
      <c r="AK16" s="209"/>
      <c r="AL16" s="209"/>
      <c r="AM16" s="209"/>
      <c r="AN16" s="209"/>
      <c r="AO16" s="208"/>
      <c r="AP16" s="208"/>
      <c r="AQ16" s="208"/>
      <c r="AR16" s="208"/>
      <c r="AS16" s="210"/>
      <c r="AT16" s="176"/>
      <c r="AU16" s="176"/>
      <c r="AV16" s="176"/>
      <c r="AW16" s="176"/>
      <c r="AX16" s="176"/>
      <c r="AY16" s="176"/>
      <c r="AZ16" s="176"/>
      <c r="BA16" s="176"/>
      <c r="BB16" s="176"/>
      <c r="BC16" s="176"/>
      <c r="BD16" s="177"/>
    </row>
    <row r="17" spans="1:57" s="207" customFormat="1" ht="14.4" customHeight="1">
      <c r="A17" s="221">
        <f>IF(B17="","",COUNTA($B$8:B17))</f>
        <v>10</v>
      </c>
      <c r="B17" s="186" t="s">
        <v>178</v>
      </c>
      <c r="C17" s="187"/>
      <c r="D17" s="187"/>
      <c r="E17" s="187"/>
      <c r="F17" s="187"/>
      <c r="G17" s="187"/>
      <c r="H17" s="188"/>
      <c r="I17" s="204" t="s">
        <v>179</v>
      </c>
      <c r="J17" s="190"/>
      <c r="K17" s="190"/>
      <c r="L17" s="190"/>
      <c r="M17" s="190"/>
      <c r="N17" s="190"/>
      <c r="O17" s="190"/>
      <c r="P17" s="190"/>
      <c r="Q17" s="191"/>
      <c r="R17" s="186" t="s">
        <v>178</v>
      </c>
      <c r="S17" s="190"/>
      <c r="T17" s="190"/>
      <c r="U17" s="190"/>
      <c r="V17" s="190"/>
      <c r="W17" s="190"/>
      <c r="X17" s="188"/>
      <c r="Y17" s="378" t="s">
        <v>150</v>
      </c>
      <c r="Z17" s="379"/>
      <c r="AA17" s="380" t="s">
        <v>151</v>
      </c>
      <c r="AB17" s="381"/>
      <c r="AC17" s="382"/>
      <c r="AD17" s="205">
        <v>20</v>
      </c>
      <c r="AE17" s="193"/>
      <c r="AF17" s="193"/>
      <c r="AG17" s="193"/>
      <c r="AH17" s="194"/>
      <c r="AI17" s="194"/>
      <c r="AJ17" s="194"/>
      <c r="AK17" s="194"/>
      <c r="AL17" s="194"/>
      <c r="AM17" s="194"/>
      <c r="AN17" s="194"/>
      <c r="AO17" s="193"/>
      <c r="AP17" s="193"/>
      <c r="AQ17" s="193"/>
      <c r="AR17" s="193"/>
      <c r="AS17" s="189" t="s">
        <v>180</v>
      </c>
      <c r="AT17" s="176"/>
      <c r="AU17" s="176"/>
      <c r="AV17" s="176"/>
      <c r="AW17" s="176"/>
      <c r="AX17" s="176"/>
      <c r="AY17" s="176"/>
      <c r="AZ17" s="176"/>
      <c r="BA17" s="176"/>
      <c r="BB17" s="176"/>
      <c r="BC17" s="176"/>
      <c r="BD17" s="177"/>
    </row>
    <row r="18" spans="1:57" s="207" customFormat="1" ht="14.4" customHeight="1">
      <c r="A18" s="221">
        <f>IF(B18="","",COUNTA($B$8:B18))</f>
        <v>11</v>
      </c>
      <c r="B18" s="186" t="s">
        <v>347</v>
      </c>
      <c r="C18" s="187"/>
      <c r="D18" s="187"/>
      <c r="E18" s="187"/>
      <c r="F18" s="187"/>
      <c r="G18" s="187"/>
      <c r="H18" s="188"/>
      <c r="I18" s="204" t="s">
        <v>348</v>
      </c>
      <c r="J18" s="190"/>
      <c r="K18" s="190"/>
      <c r="L18" s="190"/>
      <c r="M18" s="190"/>
      <c r="N18" s="190"/>
      <c r="O18" s="190"/>
      <c r="P18" s="190"/>
      <c r="Q18" s="191"/>
      <c r="R18" s="186" t="s">
        <v>347</v>
      </c>
      <c r="S18" s="190"/>
      <c r="T18" s="190"/>
      <c r="U18" s="190"/>
      <c r="V18" s="190"/>
      <c r="W18" s="190"/>
      <c r="X18" s="188"/>
      <c r="Y18" s="378" t="s">
        <v>150</v>
      </c>
      <c r="Z18" s="379"/>
      <c r="AA18" s="380" t="s">
        <v>151</v>
      </c>
      <c r="AB18" s="381"/>
      <c r="AC18" s="382"/>
      <c r="AD18" s="205">
        <v>30</v>
      </c>
      <c r="AE18" s="193"/>
      <c r="AF18" s="193"/>
      <c r="AG18" s="193"/>
      <c r="AH18" s="194">
        <v>0</v>
      </c>
      <c r="AI18" s="194"/>
      <c r="AJ18" s="194"/>
      <c r="AK18" s="194"/>
      <c r="AL18" s="194"/>
      <c r="AM18" s="194"/>
      <c r="AN18" s="194"/>
      <c r="AO18" s="193"/>
      <c r="AP18" s="193"/>
      <c r="AQ18" s="193"/>
      <c r="AR18" s="193"/>
      <c r="AS18" s="189" t="s">
        <v>349</v>
      </c>
      <c r="AT18" s="176"/>
      <c r="AU18" s="176"/>
      <c r="AV18" s="176"/>
      <c r="AW18" s="176"/>
      <c r="AX18" s="176"/>
      <c r="AY18" s="176"/>
      <c r="AZ18" s="176"/>
      <c r="BA18" s="176"/>
      <c r="BB18" s="176"/>
      <c r="BC18" s="176"/>
      <c r="BD18" s="177"/>
    </row>
    <row r="19" spans="1:57" s="207" customFormat="1" ht="14.4" customHeight="1">
      <c r="A19" s="221">
        <f>IF(B19="","",COUNTA($B$8:B19))</f>
        <v>12</v>
      </c>
      <c r="B19" s="186" t="s">
        <v>350</v>
      </c>
      <c r="C19" s="187"/>
      <c r="D19" s="187"/>
      <c r="E19" s="187"/>
      <c r="F19" s="187"/>
      <c r="G19" s="187"/>
      <c r="H19" s="188"/>
      <c r="I19" s="204" t="s">
        <v>351</v>
      </c>
      <c r="J19" s="190"/>
      <c r="K19" s="190"/>
      <c r="L19" s="190"/>
      <c r="M19" s="190"/>
      <c r="N19" s="190"/>
      <c r="O19" s="190"/>
      <c r="P19" s="190"/>
      <c r="Q19" s="191"/>
      <c r="R19" s="186" t="s">
        <v>350</v>
      </c>
      <c r="S19" s="190"/>
      <c r="T19" s="190"/>
      <c r="U19" s="190"/>
      <c r="V19" s="190"/>
      <c r="W19" s="190"/>
      <c r="X19" s="188"/>
      <c r="Y19" s="378" t="s">
        <v>155</v>
      </c>
      <c r="Z19" s="379"/>
      <c r="AA19" s="380" t="s">
        <v>156</v>
      </c>
      <c r="AB19" s="381"/>
      <c r="AC19" s="382"/>
      <c r="AD19" s="205">
        <v>3</v>
      </c>
      <c r="AE19" s="208"/>
      <c r="AF19" s="208"/>
      <c r="AG19" s="209"/>
      <c r="AH19" s="209">
        <v>0</v>
      </c>
      <c r="AI19" s="209"/>
      <c r="AJ19" s="209"/>
      <c r="AK19" s="209"/>
      <c r="AL19" s="209"/>
      <c r="AM19" s="209"/>
      <c r="AN19" s="209"/>
      <c r="AO19" s="208"/>
      <c r="AP19" s="208"/>
      <c r="AQ19" s="208"/>
      <c r="AR19" s="208"/>
      <c r="AS19" s="210" t="s">
        <v>352</v>
      </c>
      <c r="AT19" s="215"/>
      <c r="AU19" s="176"/>
      <c r="AV19" s="176"/>
      <c r="AW19" s="176"/>
      <c r="AX19" s="176"/>
      <c r="AY19" s="176"/>
      <c r="AZ19" s="176"/>
      <c r="BA19" s="176"/>
      <c r="BB19" s="176"/>
      <c r="BC19" s="176"/>
      <c r="BD19" s="177"/>
    </row>
    <row r="20" spans="1:57" s="207" customFormat="1" ht="14.4" customHeight="1">
      <c r="A20" s="221" t="str">
        <f>IF(B20="","",COUNTA($B$8:B20))</f>
        <v/>
      </c>
      <c r="B20" s="186"/>
      <c r="C20" s="187"/>
      <c r="D20" s="187"/>
      <c r="E20" s="187"/>
      <c r="F20" s="187"/>
      <c r="G20" s="187"/>
      <c r="H20" s="188"/>
      <c r="I20" s="204"/>
      <c r="J20" s="190"/>
      <c r="K20" s="190"/>
      <c r="L20" s="190"/>
      <c r="M20" s="190"/>
      <c r="N20" s="190"/>
      <c r="O20" s="190"/>
      <c r="P20" s="190"/>
      <c r="Q20" s="191"/>
      <c r="R20" s="186"/>
      <c r="S20" s="190"/>
      <c r="T20" s="190"/>
      <c r="U20" s="190"/>
      <c r="V20" s="190"/>
      <c r="W20" s="190"/>
      <c r="X20" s="188"/>
      <c r="Y20" s="378"/>
      <c r="Z20" s="379"/>
      <c r="AA20" s="380"/>
      <c r="AB20" s="381"/>
      <c r="AC20" s="382"/>
      <c r="AD20" s="205"/>
      <c r="AE20" s="208"/>
      <c r="AF20" s="208"/>
      <c r="AG20" s="209"/>
      <c r="AH20" s="209"/>
      <c r="AI20" s="209"/>
      <c r="AJ20" s="209"/>
      <c r="AK20" s="209"/>
      <c r="AL20" s="209"/>
      <c r="AM20" s="209"/>
      <c r="AN20" s="209"/>
      <c r="AO20" s="208"/>
      <c r="AP20" s="208"/>
      <c r="AQ20" s="208"/>
      <c r="AR20" s="208"/>
      <c r="AS20" s="210" t="s">
        <v>192</v>
      </c>
      <c r="AT20" s="215"/>
      <c r="AU20" s="176"/>
      <c r="AV20" s="176"/>
      <c r="AW20" s="176"/>
      <c r="AX20" s="176"/>
      <c r="AY20" s="176"/>
      <c r="AZ20" s="176"/>
      <c r="BA20" s="176"/>
      <c r="BB20" s="176"/>
      <c r="BC20" s="176"/>
      <c r="BD20" s="177"/>
    </row>
    <row r="21" spans="1:57" s="207" customFormat="1" ht="14.4" customHeight="1">
      <c r="A21" s="221">
        <f>IF(B21="","",COUNTA($B$8:B21))</f>
        <v>13</v>
      </c>
      <c r="B21" s="195" t="s">
        <v>353</v>
      </c>
      <c r="C21" s="202"/>
      <c r="D21" s="202"/>
      <c r="E21" s="202"/>
      <c r="F21" s="202"/>
      <c r="G21" s="202"/>
      <c r="H21" s="203"/>
      <c r="I21" s="204" t="s">
        <v>354</v>
      </c>
      <c r="J21" s="190"/>
      <c r="K21" s="190"/>
      <c r="L21" s="190"/>
      <c r="M21" s="190"/>
      <c r="N21" s="190"/>
      <c r="O21" s="190"/>
      <c r="P21" s="190"/>
      <c r="Q21" s="191"/>
      <c r="R21" s="195" t="s">
        <v>353</v>
      </c>
      <c r="S21" s="190"/>
      <c r="T21" s="190"/>
      <c r="U21" s="190"/>
      <c r="V21" s="190"/>
      <c r="W21" s="190"/>
      <c r="X21" s="188"/>
      <c r="Y21" s="378" t="s">
        <v>155</v>
      </c>
      <c r="Z21" s="379"/>
      <c r="AA21" s="380" t="s">
        <v>156</v>
      </c>
      <c r="AB21" s="381"/>
      <c r="AC21" s="382"/>
      <c r="AD21" s="205">
        <v>3</v>
      </c>
      <c r="AE21" s="193"/>
      <c r="AF21" s="193"/>
      <c r="AG21" s="193"/>
      <c r="AH21" s="194"/>
      <c r="AI21" s="194"/>
      <c r="AJ21" s="194"/>
      <c r="AK21" s="194"/>
      <c r="AL21" s="194"/>
      <c r="AM21" s="194"/>
      <c r="AN21" s="194"/>
      <c r="AO21" s="193"/>
      <c r="AP21" s="193"/>
      <c r="AQ21" s="193"/>
      <c r="AR21" s="193"/>
      <c r="AS21" s="189"/>
      <c r="AT21" s="176"/>
      <c r="AU21" s="176"/>
      <c r="AV21" s="176"/>
      <c r="AW21" s="176"/>
      <c r="AX21" s="176"/>
      <c r="AY21" s="176"/>
      <c r="AZ21" s="176"/>
      <c r="BA21" s="176"/>
      <c r="BB21" s="176"/>
      <c r="BC21" s="176"/>
      <c r="BD21" s="177"/>
    </row>
    <row r="22" spans="1:57" s="207" customFormat="1" ht="14.4" customHeight="1">
      <c r="A22" s="221">
        <f>IF(B22="","",COUNTA($B$8:B22))</f>
        <v>14</v>
      </c>
      <c r="B22" s="186" t="s">
        <v>153</v>
      </c>
      <c r="C22" s="187"/>
      <c r="D22" s="187"/>
      <c r="E22" s="187"/>
      <c r="F22" s="187"/>
      <c r="G22" s="187"/>
      <c r="H22" s="188"/>
      <c r="I22" s="204" t="s">
        <v>154</v>
      </c>
      <c r="J22" s="190"/>
      <c r="K22" s="190"/>
      <c r="L22" s="190"/>
      <c r="M22" s="190"/>
      <c r="N22" s="190"/>
      <c r="O22" s="190"/>
      <c r="P22" s="190"/>
      <c r="Q22" s="191"/>
      <c r="R22" s="186" t="s">
        <v>153</v>
      </c>
      <c r="S22" s="190"/>
      <c r="T22" s="190"/>
      <c r="U22" s="190"/>
      <c r="V22" s="190"/>
      <c r="W22" s="190"/>
      <c r="X22" s="188"/>
      <c r="Y22" s="378" t="s">
        <v>155</v>
      </c>
      <c r="Z22" s="379"/>
      <c r="AA22" s="380" t="s">
        <v>156</v>
      </c>
      <c r="AB22" s="381"/>
      <c r="AC22" s="382"/>
      <c r="AD22" s="205">
        <v>3</v>
      </c>
      <c r="AE22" s="193"/>
      <c r="AF22" s="193"/>
      <c r="AG22" s="194"/>
      <c r="AH22" s="194"/>
      <c r="AI22" s="194"/>
      <c r="AJ22" s="194"/>
      <c r="AK22" s="194"/>
      <c r="AL22" s="194"/>
      <c r="AM22" s="194"/>
      <c r="AN22" s="194"/>
      <c r="AO22" s="193"/>
      <c r="AP22" s="193"/>
      <c r="AQ22" s="193"/>
      <c r="AR22" s="193"/>
      <c r="AS22" s="189" t="s">
        <v>355</v>
      </c>
      <c r="AT22" s="176"/>
      <c r="AU22" s="176"/>
      <c r="AV22" s="176"/>
      <c r="AW22" s="176"/>
      <c r="AX22" s="176"/>
      <c r="AY22" s="176"/>
      <c r="AZ22" s="176"/>
      <c r="BA22" s="176"/>
      <c r="BB22" s="176"/>
      <c r="BC22" s="176"/>
      <c r="BD22" s="177"/>
    </row>
    <row r="23" spans="1:57" s="207" customFormat="1" ht="14.4" customHeight="1">
      <c r="A23" s="221">
        <f>IF(B23="","",COUNTA($B$8:B23))</f>
        <v>15</v>
      </c>
      <c r="B23" s="186" t="s">
        <v>187</v>
      </c>
      <c r="C23" s="187"/>
      <c r="D23" s="187"/>
      <c r="E23" s="187"/>
      <c r="F23" s="187"/>
      <c r="G23" s="187"/>
      <c r="H23" s="188"/>
      <c r="I23" s="204" t="s">
        <v>188</v>
      </c>
      <c r="J23" s="190"/>
      <c r="K23" s="190"/>
      <c r="L23" s="190"/>
      <c r="M23" s="190"/>
      <c r="N23" s="190"/>
      <c r="O23" s="190"/>
      <c r="P23" s="190"/>
      <c r="Q23" s="191"/>
      <c r="R23" s="186" t="s">
        <v>187</v>
      </c>
      <c r="S23" s="190"/>
      <c r="T23" s="190"/>
      <c r="U23" s="190"/>
      <c r="V23" s="190"/>
      <c r="W23" s="190"/>
      <c r="X23" s="188"/>
      <c r="Y23" s="378" t="s">
        <v>155</v>
      </c>
      <c r="Z23" s="379"/>
      <c r="AA23" s="380" t="s">
        <v>156</v>
      </c>
      <c r="AB23" s="381"/>
      <c r="AC23" s="382"/>
      <c r="AD23" s="205">
        <v>3</v>
      </c>
      <c r="AE23" s="193"/>
      <c r="AF23" s="193"/>
      <c r="AG23" s="193"/>
      <c r="AH23" s="209"/>
      <c r="AI23" s="209"/>
      <c r="AJ23" s="209"/>
      <c r="AK23" s="209"/>
      <c r="AL23" s="209"/>
      <c r="AM23" s="209"/>
      <c r="AN23" s="209"/>
      <c r="AO23" s="208"/>
      <c r="AP23" s="208"/>
      <c r="AQ23" s="208"/>
      <c r="AR23" s="208"/>
      <c r="AS23" s="210"/>
      <c r="AT23" s="215"/>
      <c r="AU23" s="176"/>
      <c r="AV23" s="176"/>
      <c r="AW23" s="176"/>
      <c r="AX23" s="216"/>
      <c r="AY23" s="216"/>
      <c r="AZ23" s="216"/>
      <c r="BA23" s="216"/>
      <c r="BB23" s="216"/>
      <c r="BC23" s="216"/>
      <c r="BD23" s="232"/>
    </row>
    <row r="24" spans="1:57" s="207" customFormat="1" ht="14.4" customHeight="1">
      <c r="A24" s="221">
        <f>IF(B24="","",COUNTA($B$8:B24))</f>
        <v>16</v>
      </c>
      <c r="B24" s="201" t="s">
        <v>193</v>
      </c>
      <c r="C24" s="202"/>
      <c r="D24" s="202"/>
      <c r="E24" s="202"/>
      <c r="F24" s="202"/>
      <c r="G24" s="202"/>
      <c r="H24" s="203"/>
      <c r="I24" s="204" t="s">
        <v>194</v>
      </c>
      <c r="J24" s="190"/>
      <c r="K24" s="190"/>
      <c r="L24" s="190"/>
      <c r="M24" s="190"/>
      <c r="N24" s="190"/>
      <c r="O24" s="190"/>
      <c r="P24" s="190"/>
      <c r="Q24" s="191"/>
      <c r="R24" s="201" t="s">
        <v>193</v>
      </c>
      <c r="S24" s="190"/>
      <c r="T24" s="190"/>
      <c r="U24" s="190"/>
      <c r="V24" s="190"/>
      <c r="W24" s="190"/>
      <c r="X24" s="188"/>
      <c r="Y24" s="378" t="s">
        <v>150</v>
      </c>
      <c r="Z24" s="379"/>
      <c r="AA24" s="380" t="s">
        <v>151</v>
      </c>
      <c r="AB24" s="381"/>
      <c r="AC24" s="382"/>
      <c r="AD24" s="126">
        <v>25</v>
      </c>
      <c r="AE24" s="193"/>
      <c r="AF24" s="193"/>
      <c r="AG24" s="193"/>
      <c r="AH24" s="194"/>
      <c r="AI24" s="194"/>
      <c r="AJ24" s="194"/>
      <c r="AK24" s="194"/>
      <c r="AL24" s="194"/>
      <c r="AM24" s="194"/>
      <c r="AN24" s="194"/>
      <c r="AO24" s="193"/>
      <c r="AP24" s="193"/>
      <c r="AQ24" s="193"/>
      <c r="AR24" s="193"/>
      <c r="AS24" s="118" t="s">
        <v>1408</v>
      </c>
      <c r="AT24" s="216"/>
      <c r="AU24" s="216"/>
      <c r="AV24" s="216"/>
      <c r="AW24" s="216"/>
      <c r="AX24" s="216"/>
      <c r="AY24" s="216"/>
      <c r="AZ24" s="216"/>
      <c r="BA24" s="216"/>
      <c r="BB24" s="216"/>
      <c r="BC24" s="216"/>
      <c r="BD24" s="232"/>
    </row>
    <row r="25" spans="1:57" s="207" customFormat="1" ht="14.4" customHeight="1">
      <c r="A25" s="221">
        <f>IF(B25="","",COUNTA($B$8:B25))</f>
        <v>17</v>
      </c>
      <c r="B25" s="186" t="s">
        <v>195</v>
      </c>
      <c r="C25" s="187"/>
      <c r="D25" s="187"/>
      <c r="E25" s="187"/>
      <c r="F25" s="187"/>
      <c r="G25" s="187"/>
      <c r="H25" s="188"/>
      <c r="I25" s="204" t="s">
        <v>196</v>
      </c>
      <c r="J25" s="190"/>
      <c r="K25" s="190"/>
      <c r="L25" s="190"/>
      <c r="M25" s="190"/>
      <c r="N25" s="190"/>
      <c r="O25" s="190"/>
      <c r="P25" s="190"/>
      <c r="Q25" s="191"/>
      <c r="R25" s="186" t="s">
        <v>195</v>
      </c>
      <c r="S25" s="190"/>
      <c r="T25" s="190"/>
      <c r="U25" s="190"/>
      <c r="V25" s="190"/>
      <c r="W25" s="190"/>
      <c r="X25" s="188"/>
      <c r="Y25" s="378" t="s">
        <v>150</v>
      </c>
      <c r="Z25" s="379"/>
      <c r="AA25" s="380" t="s">
        <v>151</v>
      </c>
      <c r="AB25" s="381"/>
      <c r="AC25" s="382"/>
      <c r="AD25" s="264">
        <v>400</v>
      </c>
      <c r="AE25" s="193"/>
      <c r="AF25" s="193"/>
      <c r="AG25" s="194"/>
      <c r="AH25" s="194"/>
      <c r="AI25" s="194"/>
      <c r="AJ25" s="194"/>
      <c r="AK25" s="194"/>
      <c r="AL25" s="194"/>
      <c r="AM25" s="194"/>
      <c r="AN25" s="194"/>
      <c r="AO25" s="193"/>
      <c r="AP25" s="193"/>
      <c r="AQ25" s="193"/>
      <c r="AR25" s="193"/>
      <c r="AS25" s="189" t="s">
        <v>1512</v>
      </c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  <c r="BE25" s="1" t="s">
        <v>1511</v>
      </c>
    </row>
    <row r="26" spans="1:57" s="207" customFormat="1" ht="14.4" customHeight="1">
      <c r="A26" s="221">
        <f>IF(B26="","",COUNTA($B$8:B26))</f>
        <v>18</v>
      </c>
      <c r="B26" s="186" t="s">
        <v>197</v>
      </c>
      <c r="C26" s="187"/>
      <c r="D26" s="187"/>
      <c r="E26" s="187"/>
      <c r="F26" s="187"/>
      <c r="G26" s="187"/>
      <c r="H26" s="188"/>
      <c r="I26" s="204" t="s">
        <v>198</v>
      </c>
      <c r="J26" s="190"/>
      <c r="K26" s="190"/>
      <c r="L26" s="190"/>
      <c r="M26" s="190"/>
      <c r="N26" s="190"/>
      <c r="O26" s="190"/>
      <c r="P26" s="190"/>
      <c r="Q26" s="191"/>
      <c r="R26" s="186" t="s">
        <v>197</v>
      </c>
      <c r="S26" s="190"/>
      <c r="T26" s="190"/>
      <c r="U26" s="190"/>
      <c r="V26" s="190"/>
      <c r="W26" s="190"/>
      <c r="X26" s="188"/>
      <c r="Y26" s="378" t="s">
        <v>150</v>
      </c>
      <c r="Z26" s="379"/>
      <c r="AA26" s="380" t="s">
        <v>151</v>
      </c>
      <c r="AB26" s="381"/>
      <c r="AC26" s="382"/>
      <c r="AD26" s="205">
        <v>5</v>
      </c>
      <c r="AE26" s="193"/>
      <c r="AF26" s="193"/>
      <c r="AG26" s="193"/>
      <c r="AH26" s="194"/>
      <c r="AI26" s="194"/>
      <c r="AJ26" s="194"/>
      <c r="AK26" s="194"/>
      <c r="AL26" s="194"/>
      <c r="AM26" s="194"/>
      <c r="AN26" s="194"/>
      <c r="AO26" s="193"/>
      <c r="AP26" s="193"/>
      <c r="AQ26" s="193"/>
      <c r="AR26" s="193"/>
      <c r="AS26" s="189"/>
      <c r="AT26" s="176"/>
      <c r="AU26" s="176"/>
      <c r="AV26" s="176"/>
      <c r="AW26" s="176"/>
      <c r="AX26" s="176"/>
      <c r="AY26" s="176"/>
      <c r="AZ26" s="176"/>
      <c r="BA26" s="176"/>
      <c r="BB26" s="176"/>
      <c r="BC26" s="176"/>
      <c r="BD26" s="177"/>
    </row>
    <row r="27" spans="1:57" s="207" customFormat="1" ht="14.4" customHeight="1">
      <c r="A27" s="221">
        <f>IF(B27="","",COUNTA($B$8:B27))</f>
        <v>19</v>
      </c>
      <c r="B27" s="186" t="s">
        <v>199</v>
      </c>
      <c r="C27" s="187"/>
      <c r="D27" s="187"/>
      <c r="E27" s="187"/>
      <c r="F27" s="187"/>
      <c r="G27" s="187"/>
      <c r="H27" s="188"/>
      <c r="I27" s="204" t="s">
        <v>200</v>
      </c>
      <c r="J27" s="190"/>
      <c r="K27" s="190"/>
      <c r="L27" s="190"/>
      <c r="M27" s="190"/>
      <c r="N27" s="190"/>
      <c r="O27" s="190"/>
      <c r="P27" s="190"/>
      <c r="Q27" s="191"/>
      <c r="R27" s="186" t="s">
        <v>199</v>
      </c>
      <c r="S27" s="190"/>
      <c r="T27" s="190"/>
      <c r="U27" s="190"/>
      <c r="V27" s="190"/>
      <c r="W27" s="190"/>
      <c r="X27" s="188"/>
      <c r="Y27" s="378" t="s">
        <v>150</v>
      </c>
      <c r="Z27" s="379"/>
      <c r="AA27" s="380" t="s">
        <v>151</v>
      </c>
      <c r="AB27" s="381"/>
      <c r="AC27" s="382"/>
      <c r="AD27" s="205">
        <v>20</v>
      </c>
      <c r="AE27" s="193"/>
      <c r="AF27" s="193"/>
      <c r="AG27" s="193"/>
      <c r="AH27" s="194"/>
      <c r="AI27" s="194"/>
      <c r="AJ27" s="194"/>
      <c r="AK27" s="194"/>
      <c r="AL27" s="194"/>
      <c r="AM27" s="194"/>
      <c r="AN27" s="194"/>
      <c r="AO27" s="193"/>
      <c r="AP27" s="193"/>
      <c r="AQ27" s="193"/>
      <c r="AR27" s="193"/>
      <c r="AS27" s="189"/>
      <c r="AT27" s="176"/>
      <c r="AU27" s="176"/>
      <c r="AV27" s="176"/>
      <c r="AW27" s="176"/>
      <c r="AX27" s="176"/>
      <c r="AY27" s="176"/>
      <c r="AZ27" s="176"/>
      <c r="BA27" s="176"/>
      <c r="BB27" s="176"/>
      <c r="BC27" s="176"/>
      <c r="BD27" s="177"/>
    </row>
    <row r="28" spans="1:57" s="207" customFormat="1" ht="14.4" customHeight="1">
      <c r="A28" s="221">
        <f>IF(B28="","",COUNTA($B$8:B28))</f>
        <v>20</v>
      </c>
      <c r="B28" s="186" t="s">
        <v>201</v>
      </c>
      <c r="C28" s="187"/>
      <c r="D28" s="187"/>
      <c r="E28" s="187"/>
      <c r="F28" s="187"/>
      <c r="G28" s="187"/>
      <c r="H28" s="188"/>
      <c r="I28" s="204" t="s">
        <v>202</v>
      </c>
      <c r="J28" s="190"/>
      <c r="K28" s="190"/>
      <c r="L28" s="190"/>
      <c r="M28" s="190"/>
      <c r="N28" s="190"/>
      <c r="O28" s="190"/>
      <c r="P28" s="190"/>
      <c r="Q28" s="191"/>
      <c r="R28" s="186" t="s">
        <v>201</v>
      </c>
      <c r="S28" s="190"/>
      <c r="T28" s="190"/>
      <c r="U28" s="190"/>
      <c r="V28" s="190"/>
      <c r="W28" s="190"/>
      <c r="X28" s="188"/>
      <c r="Y28" s="378" t="s">
        <v>150</v>
      </c>
      <c r="Z28" s="379"/>
      <c r="AA28" s="380" t="s">
        <v>151</v>
      </c>
      <c r="AB28" s="381"/>
      <c r="AC28" s="382"/>
      <c r="AD28" s="205">
        <v>30</v>
      </c>
      <c r="AE28" s="193"/>
      <c r="AF28" s="193"/>
      <c r="AG28" s="193"/>
      <c r="AH28" s="194"/>
      <c r="AI28" s="194"/>
      <c r="AJ28" s="194"/>
      <c r="AK28" s="194"/>
      <c r="AL28" s="194"/>
      <c r="AM28" s="194"/>
      <c r="AN28" s="194"/>
      <c r="AO28" s="193"/>
      <c r="AP28" s="193"/>
      <c r="AQ28" s="193"/>
      <c r="AR28" s="193"/>
      <c r="AS28" s="189"/>
      <c r="AT28" s="176"/>
      <c r="AU28" s="176"/>
      <c r="AV28" s="176"/>
      <c r="AW28" s="176"/>
      <c r="AX28" s="176"/>
      <c r="AY28" s="176"/>
      <c r="AZ28" s="176"/>
      <c r="BA28" s="176"/>
      <c r="BB28" s="176"/>
      <c r="BC28" s="176"/>
      <c r="BD28" s="177"/>
    </row>
    <row r="29" spans="1:57" s="207" customFormat="1" ht="14.4" customHeight="1">
      <c r="A29" s="221">
        <f>IF(B29="","",COUNTA($B$8:B29))</f>
        <v>21</v>
      </c>
      <c r="B29" s="195" t="s">
        <v>203</v>
      </c>
      <c r="C29" s="187"/>
      <c r="D29" s="187"/>
      <c r="E29" s="187"/>
      <c r="F29" s="187"/>
      <c r="G29" s="187"/>
      <c r="H29" s="188"/>
      <c r="I29" s="204" t="s">
        <v>204</v>
      </c>
      <c r="J29" s="190"/>
      <c r="K29" s="190"/>
      <c r="L29" s="190"/>
      <c r="M29" s="190"/>
      <c r="N29" s="190"/>
      <c r="O29" s="190"/>
      <c r="P29" s="190"/>
      <c r="Q29" s="191"/>
      <c r="R29" s="195" t="s">
        <v>203</v>
      </c>
      <c r="S29" s="190"/>
      <c r="T29" s="190"/>
      <c r="U29" s="190"/>
      <c r="V29" s="190"/>
      <c r="W29" s="190"/>
      <c r="X29" s="188"/>
      <c r="Y29" s="378" t="s">
        <v>155</v>
      </c>
      <c r="Z29" s="379"/>
      <c r="AA29" s="380" t="s">
        <v>156</v>
      </c>
      <c r="AB29" s="381"/>
      <c r="AC29" s="382"/>
      <c r="AD29" s="205">
        <v>5</v>
      </c>
      <c r="AE29" s="193">
        <v>2</v>
      </c>
      <c r="AF29" s="193"/>
      <c r="AG29" s="193"/>
      <c r="AH29" s="194"/>
      <c r="AI29" s="194"/>
      <c r="AJ29" s="194"/>
      <c r="AK29" s="194"/>
      <c r="AL29" s="194"/>
      <c r="AM29" s="194"/>
      <c r="AN29" s="194"/>
      <c r="AO29" s="193"/>
      <c r="AP29" s="193"/>
      <c r="AQ29" s="193"/>
      <c r="AR29" s="193"/>
      <c r="AS29" s="189"/>
      <c r="AT29" s="176"/>
      <c r="AU29" s="176"/>
      <c r="AV29" s="176"/>
      <c r="AW29" s="176"/>
      <c r="AX29" s="176"/>
      <c r="AY29" s="176"/>
      <c r="AZ29" s="176"/>
      <c r="BA29" s="176"/>
      <c r="BB29" s="176"/>
      <c r="BC29" s="176"/>
      <c r="BD29" s="177"/>
    </row>
    <row r="30" spans="1:57" s="207" customFormat="1" ht="14.4" customHeight="1">
      <c r="A30" s="221">
        <f>IF(B30="","",COUNTA($B$8:B30))</f>
        <v>22</v>
      </c>
      <c r="B30" s="195" t="s">
        <v>205</v>
      </c>
      <c r="C30" s="202"/>
      <c r="D30" s="202"/>
      <c r="E30" s="202"/>
      <c r="F30" s="202"/>
      <c r="G30" s="202"/>
      <c r="H30" s="203"/>
      <c r="I30" s="204" t="s">
        <v>206</v>
      </c>
      <c r="J30" s="190"/>
      <c r="K30" s="190"/>
      <c r="L30" s="190"/>
      <c r="M30" s="190"/>
      <c r="N30" s="190"/>
      <c r="O30" s="190"/>
      <c r="P30" s="190"/>
      <c r="Q30" s="191"/>
      <c r="R30" s="195" t="s">
        <v>207</v>
      </c>
      <c r="S30" s="190"/>
      <c r="T30" s="190"/>
      <c r="U30" s="190"/>
      <c r="V30" s="190"/>
      <c r="W30" s="190"/>
      <c r="X30" s="188"/>
      <c r="Y30" s="378" t="s">
        <v>155</v>
      </c>
      <c r="Z30" s="379"/>
      <c r="AA30" s="380" t="s">
        <v>156</v>
      </c>
      <c r="AB30" s="381"/>
      <c r="AC30" s="382"/>
      <c r="AD30" s="205">
        <v>4</v>
      </c>
      <c r="AE30" s="193"/>
      <c r="AF30" s="193"/>
      <c r="AG30" s="193"/>
      <c r="AH30" s="194"/>
      <c r="AI30" s="194"/>
      <c r="AJ30" s="194"/>
      <c r="AK30" s="194"/>
      <c r="AL30" s="194"/>
      <c r="AM30" s="194"/>
      <c r="AN30" s="194"/>
      <c r="AO30" s="193"/>
      <c r="AP30" s="193"/>
      <c r="AQ30" s="193"/>
      <c r="AR30" s="193"/>
      <c r="AS30" s="189"/>
      <c r="AT30" s="176"/>
      <c r="AU30" s="176"/>
      <c r="AV30" s="176"/>
      <c r="AW30" s="176"/>
      <c r="AX30" s="176"/>
      <c r="AY30" s="176"/>
      <c r="AZ30" s="176"/>
      <c r="BA30" s="176"/>
      <c r="BB30" s="176"/>
      <c r="BC30" s="176"/>
      <c r="BD30" s="177"/>
    </row>
    <row r="31" spans="1:57" s="207" customFormat="1" ht="14.4" customHeight="1">
      <c r="A31" s="221">
        <f>IF(B31="","",COUNTA($B$8:B31))</f>
        <v>23</v>
      </c>
      <c r="B31" s="195" t="s">
        <v>208</v>
      </c>
      <c r="C31" s="202"/>
      <c r="D31" s="202"/>
      <c r="E31" s="202"/>
      <c r="F31" s="202"/>
      <c r="G31" s="202"/>
      <c r="H31" s="203"/>
      <c r="I31" s="204" t="s">
        <v>209</v>
      </c>
      <c r="J31" s="190"/>
      <c r="K31" s="190"/>
      <c r="L31" s="190"/>
      <c r="M31" s="190"/>
      <c r="N31" s="190"/>
      <c r="O31" s="190"/>
      <c r="P31" s="190"/>
      <c r="Q31" s="191"/>
      <c r="R31" s="195" t="s">
        <v>210</v>
      </c>
      <c r="S31" s="190"/>
      <c r="T31" s="190"/>
      <c r="U31" s="190"/>
      <c r="V31" s="190"/>
      <c r="W31" s="190"/>
      <c r="X31" s="188"/>
      <c r="Y31" s="378" t="s">
        <v>155</v>
      </c>
      <c r="Z31" s="379"/>
      <c r="AA31" s="380" t="s">
        <v>156</v>
      </c>
      <c r="AB31" s="381"/>
      <c r="AC31" s="382"/>
      <c r="AD31" s="205">
        <v>5</v>
      </c>
      <c r="AE31" s="193"/>
      <c r="AF31" s="193"/>
      <c r="AG31" s="193"/>
      <c r="AH31" s="194"/>
      <c r="AI31" s="194"/>
      <c r="AJ31" s="194"/>
      <c r="AK31" s="194"/>
      <c r="AL31" s="194"/>
      <c r="AM31" s="194"/>
      <c r="AN31" s="194"/>
      <c r="AO31" s="193"/>
      <c r="AP31" s="193"/>
      <c r="AQ31" s="193"/>
      <c r="AR31" s="193"/>
      <c r="AS31" s="189"/>
      <c r="AT31" s="176"/>
      <c r="AU31" s="176"/>
      <c r="AV31" s="176"/>
      <c r="AW31" s="176"/>
      <c r="AX31" s="176"/>
      <c r="AY31" s="176"/>
      <c r="AZ31" s="176"/>
      <c r="BA31" s="176"/>
      <c r="BB31" s="176"/>
      <c r="BC31" s="176"/>
      <c r="BD31" s="177"/>
    </row>
    <row r="32" spans="1:57" s="207" customFormat="1" ht="14.4" customHeight="1">
      <c r="A32" s="221">
        <f>IF(B32="","",COUNTA($B$8:B32))</f>
        <v>24</v>
      </c>
      <c r="B32" s="186" t="s">
        <v>621</v>
      </c>
      <c r="C32" s="187"/>
      <c r="D32" s="187"/>
      <c r="E32" s="187"/>
      <c r="F32" s="187"/>
      <c r="G32" s="187"/>
      <c r="H32" s="188"/>
      <c r="I32" s="204" t="s">
        <v>1399</v>
      </c>
      <c r="J32" s="190"/>
      <c r="K32" s="190"/>
      <c r="L32" s="190"/>
      <c r="M32" s="190"/>
      <c r="N32" s="190"/>
      <c r="O32" s="190"/>
      <c r="P32" s="190"/>
      <c r="Q32" s="191"/>
      <c r="R32" s="186" t="s">
        <v>621</v>
      </c>
      <c r="S32" s="190"/>
      <c r="T32" s="190"/>
      <c r="U32" s="190"/>
      <c r="V32" s="190"/>
      <c r="W32" s="190"/>
      <c r="X32" s="191"/>
      <c r="Y32" s="378" t="s">
        <v>150</v>
      </c>
      <c r="Z32" s="379"/>
      <c r="AA32" s="380" t="s">
        <v>151</v>
      </c>
      <c r="AB32" s="381"/>
      <c r="AC32" s="382"/>
      <c r="AD32" s="264">
        <v>30</v>
      </c>
      <c r="AE32" s="193"/>
      <c r="AF32" s="193"/>
      <c r="AG32" s="193"/>
      <c r="AH32" s="194"/>
      <c r="AI32" s="194"/>
      <c r="AJ32" s="194"/>
      <c r="AK32" s="194"/>
      <c r="AL32" s="194"/>
      <c r="AM32" s="194"/>
      <c r="AN32" s="194"/>
      <c r="AO32" s="193"/>
      <c r="AP32" s="193"/>
      <c r="AQ32" s="193"/>
      <c r="AR32" s="193"/>
      <c r="AS32" s="189" t="s">
        <v>1398</v>
      </c>
      <c r="AT32" s="176"/>
      <c r="AU32" s="176"/>
      <c r="AV32" s="176"/>
      <c r="AW32" s="176"/>
      <c r="AX32" s="176"/>
      <c r="AY32" s="176"/>
      <c r="AZ32" s="176"/>
      <c r="BA32" s="176"/>
      <c r="BB32" s="176"/>
      <c r="BC32" s="176"/>
      <c r="BD32" s="177"/>
      <c r="BE32" s="1" t="s">
        <v>1511</v>
      </c>
    </row>
    <row r="33" spans="1:57" s="207" customFormat="1" ht="14.4" customHeight="1">
      <c r="A33" s="221">
        <f>IF(B33="","",COUNTA($B$8:B33))</f>
        <v>25</v>
      </c>
      <c r="B33" s="186" t="s">
        <v>673</v>
      </c>
      <c r="C33" s="187"/>
      <c r="D33" s="187"/>
      <c r="E33" s="187"/>
      <c r="F33" s="187"/>
      <c r="G33" s="187"/>
      <c r="H33" s="188"/>
      <c r="I33" s="204" t="s">
        <v>1402</v>
      </c>
      <c r="J33" s="190"/>
      <c r="K33" s="190"/>
      <c r="L33" s="190"/>
      <c r="M33" s="190"/>
      <c r="N33" s="190"/>
      <c r="O33" s="190"/>
      <c r="P33" s="190"/>
      <c r="Q33" s="191"/>
      <c r="R33" s="186" t="s">
        <v>673</v>
      </c>
      <c r="S33" s="190"/>
      <c r="T33" s="190"/>
      <c r="U33" s="190"/>
      <c r="V33" s="190"/>
      <c r="W33" s="190"/>
      <c r="X33" s="191"/>
      <c r="Y33" s="378" t="s">
        <v>150</v>
      </c>
      <c r="Z33" s="379"/>
      <c r="AA33" s="380" t="s">
        <v>151</v>
      </c>
      <c r="AB33" s="381"/>
      <c r="AC33" s="382"/>
      <c r="AD33" s="205">
        <v>4</v>
      </c>
      <c r="AE33" s="193"/>
      <c r="AF33" s="193"/>
      <c r="AG33" s="193"/>
      <c r="AH33" s="194"/>
      <c r="AI33" s="194"/>
      <c r="AJ33" s="194"/>
      <c r="AK33" s="194"/>
      <c r="AL33" s="194"/>
      <c r="AM33" s="194"/>
      <c r="AN33" s="194"/>
      <c r="AO33" s="193"/>
      <c r="AP33" s="193"/>
      <c r="AQ33" s="193"/>
      <c r="AR33" s="193"/>
      <c r="AS33" s="189" t="s">
        <v>1400</v>
      </c>
      <c r="AT33" s="176"/>
      <c r="AU33" s="176"/>
      <c r="AV33" s="176"/>
      <c r="AW33" s="176"/>
      <c r="AX33" s="176"/>
      <c r="AY33" s="176"/>
      <c r="AZ33" s="176"/>
      <c r="BA33" s="176"/>
      <c r="BB33" s="176"/>
      <c r="BC33" s="176"/>
      <c r="BD33" s="177"/>
      <c r="BE33" s="207" t="s">
        <v>1403</v>
      </c>
    </row>
    <row r="34" spans="1:57" s="207" customFormat="1" ht="14.4" customHeight="1">
      <c r="A34" s="221">
        <f>IF(B34="","",COUNTA($B$8:B34))</f>
        <v>26</v>
      </c>
      <c r="B34" s="195" t="s">
        <v>309</v>
      </c>
      <c r="C34" s="187"/>
      <c r="D34" s="187"/>
      <c r="E34" s="187"/>
      <c r="F34" s="187"/>
      <c r="G34" s="187"/>
      <c r="H34" s="188"/>
      <c r="I34" s="204" t="s">
        <v>310</v>
      </c>
      <c r="J34" s="190"/>
      <c r="K34" s="190"/>
      <c r="L34" s="190"/>
      <c r="M34" s="190"/>
      <c r="N34" s="190"/>
      <c r="O34" s="190"/>
      <c r="P34" s="190"/>
      <c r="Q34" s="191"/>
      <c r="R34" s="195" t="s">
        <v>309</v>
      </c>
      <c r="S34" s="190"/>
      <c r="T34" s="190"/>
      <c r="U34" s="190"/>
      <c r="V34" s="190"/>
      <c r="W34" s="190"/>
      <c r="X34" s="188"/>
      <c r="Y34" s="378" t="s">
        <v>155</v>
      </c>
      <c r="Z34" s="379"/>
      <c r="AA34" s="380" t="s">
        <v>156</v>
      </c>
      <c r="AB34" s="381"/>
      <c r="AC34" s="382"/>
      <c r="AD34" s="205">
        <v>5</v>
      </c>
      <c r="AE34" s="193"/>
      <c r="AF34" s="193"/>
      <c r="AG34" s="193"/>
      <c r="AH34" s="194"/>
      <c r="AI34" s="194"/>
      <c r="AJ34" s="194"/>
      <c r="AK34" s="194"/>
      <c r="AL34" s="194"/>
      <c r="AM34" s="194"/>
      <c r="AN34" s="194"/>
      <c r="AO34" s="193"/>
      <c r="AP34" s="193"/>
      <c r="AQ34" s="193"/>
      <c r="AR34" s="193"/>
      <c r="AS34" s="189"/>
      <c r="AT34" s="176"/>
      <c r="AU34" s="176"/>
      <c r="AV34" s="176"/>
      <c r="AW34" s="176"/>
      <c r="AX34" s="176"/>
      <c r="AY34" s="176"/>
      <c r="AZ34" s="176"/>
      <c r="BA34" s="176"/>
      <c r="BB34" s="176"/>
      <c r="BC34" s="176"/>
      <c r="BD34" s="177"/>
    </row>
    <row r="35" spans="1:57" s="207" customFormat="1" ht="14.4" customHeight="1">
      <c r="A35" s="221">
        <f>IF(B35="","",COUNTA($B$8:B35))</f>
        <v>27</v>
      </c>
      <c r="B35" s="195" t="s">
        <v>211</v>
      </c>
      <c r="C35" s="187"/>
      <c r="D35" s="187"/>
      <c r="E35" s="187"/>
      <c r="F35" s="187"/>
      <c r="G35" s="187"/>
      <c r="H35" s="188"/>
      <c r="I35" s="204" t="s">
        <v>212</v>
      </c>
      <c r="J35" s="190"/>
      <c r="K35" s="190"/>
      <c r="L35" s="190"/>
      <c r="M35" s="190"/>
      <c r="N35" s="190"/>
      <c r="O35" s="190"/>
      <c r="P35" s="190"/>
      <c r="Q35" s="191"/>
      <c r="R35" s="195" t="s">
        <v>213</v>
      </c>
      <c r="S35" s="190"/>
      <c r="T35" s="190"/>
      <c r="U35" s="190"/>
      <c r="V35" s="190"/>
      <c r="W35" s="190"/>
      <c r="X35" s="188"/>
      <c r="Y35" s="378" t="s">
        <v>155</v>
      </c>
      <c r="Z35" s="379"/>
      <c r="AA35" s="380" t="s">
        <v>156</v>
      </c>
      <c r="AB35" s="381"/>
      <c r="AC35" s="382"/>
      <c r="AD35" s="205">
        <v>5</v>
      </c>
      <c r="AE35" s="193"/>
      <c r="AF35" s="193"/>
      <c r="AG35" s="193"/>
      <c r="AH35" s="194"/>
      <c r="AI35" s="194"/>
      <c r="AJ35" s="194"/>
      <c r="AK35" s="194"/>
      <c r="AL35" s="194"/>
      <c r="AM35" s="194"/>
      <c r="AN35" s="194"/>
      <c r="AO35" s="193"/>
      <c r="AP35" s="193"/>
      <c r="AQ35" s="193"/>
      <c r="AR35" s="193"/>
      <c r="AS35" s="189"/>
      <c r="AT35" s="176"/>
      <c r="AU35" s="176"/>
      <c r="AV35" s="176"/>
      <c r="AW35" s="176"/>
      <c r="AX35" s="176"/>
      <c r="AY35" s="176"/>
      <c r="AZ35" s="176"/>
      <c r="BA35" s="176"/>
      <c r="BB35" s="176"/>
      <c r="BC35" s="176"/>
      <c r="BD35" s="177"/>
    </row>
    <row r="36" spans="1:57" s="207" customFormat="1" ht="14.4" customHeight="1">
      <c r="A36" s="221">
        <f>IF(B36="","",COUNTA($B$8:B36))</f>
        <v>28</v>
      </c>
      <c r="B36" s="186" t="s">
        <v>356</v>
      </c>
      <c r="C36" s="187"/>
      <c r="D36" s="187"/>
      <c r="E36" s="187"/>
      <c r="F36" s="187"/>
      <c r="G36" s="187"/>
      <c r="H36" s="188"/>
      <c r="I36" s="204" t="s">
        <v>357</v>
      </c>
      <c r="J36" s="190"/>
      <c r="K36" s="190"/>
      <c r="L36" s="190"/>
      <c r="M36" s="190"/>
      <c r="N36" s="190"/>
      <c r="O36" s="190"/>
      <c r="P36" s="190"/>
      <c r="Q36" s="191"/>
      <c r="R36" s="186" t="s">
        <v>356</v>
      </c>
      <c r="S36" s="190"/>
      <c r="T36" s="190"/>
      <c r="U36" s="190"/>
      <c r="V36" s="190"/>
      <c r="W36" s="190"/>
      <c r="X36" s="188"/>
      <c r="Y36" s="378" t="s">
        <v>150</v>
      </c>
      <c r="Z36" s="379"/>
      <c r="AA36" s="380" t="s">
        <v>151</v>
      </c>
      <c r="AB36" s="381"/>
      <c r="AC36" s="382"/>
      <c r="AD36" s="205">
        <v>30</v>
      </c>
      <c r="AE36" s="193"/>
      <c r="AF36" s="193"/>
      <c r="AG36" s="193"/>
      <c r="AH36" s="194"/>
      <c r="AI36" s="194"/>
      <c r="AJ36" s="194"/>
      <c r="AK36" s="194"/>
      <c r="AL36" s="194"/>
      <c r="AM36" s="194"/>
      <c r="AN36" s="194"/>
      <c r="AO36" s="193"/>
      <c r="AP36" s="193"/>
      <c r="AQ36" s="193"/>
      <c r="AR36" s="193"/>
      <c r="AS36" s="189"/>
      <c r="AT36" s="176"/>
      <c r="AU36" s="176"/>
      <c r="AV36" s="176"/>
      <c r="AW36" s="176"/>
      <c r="AX36" s="176"/>
      <c r="AY36" s="176"/>
      <c r="AZ36" s="176"/>
      <c r="BA36" s="176"/>
      <c r="BB36" s="176"/>
      <c r="BC36" s="176"/>
      <c r="BD36" s="177"/>
    </row>
    <row r="37" spans="1:57" s="207" customFormat="1" ht="14.4" customHeight="1">
      <c r="A37" s="221">
        <f>IF(B37="","",COUNTA($B$8:B37))</f>
        <v>29</v>
      </c>
      <c r="B37" s="195" t="s">
        <v>311</v>
      </c>
      <c r="C37" s="187"/>
      <c r="D37" s="187"/>
      <c r="E37" s="187"/>
      <c r="F37" s="187"/>
      <c r="G37" s="187"/>
      <c r="H37" s="188"/>
      <c r="I37" s="204" t="s">
        <v>312</v>
      </c>
      <c r="J37" s="190"/>
      <c r="K37" s="190"/>
      <c r="L37" s="190"/>
      <c r="M37" s="190"/>
      <c r="N37" s="190"/>
      <c r="O37" s="190"/>
      <c r="P37" s="190"/>
      <c r="Q37" s="191"/>
      <c r="R37" s="195" t="s">
        <v>313</v>
      </c>
      <c r="S37" s="190"/>
      <c r="T37" s="190"/>
      <c r="U37" s="190"/>
      <c r="V37" s="190"/>
      <c r="W37" s="190"/>
      <c r="X37" s="188"/>
      <c r="Y37" s="378" t="s">
        <v>155</v>
      </c>
      <c r="Z37" s="379"/>
      <c r="AA37" s="380" t="s">
        <v>156</v>
      </c>
      <c r="AB37" s="381"/>
      <c r="AC37" s="382"/>
      <c r="AD37" s="205">
        <v>5</v>
      </c>
      <c r="AE37" s="193"/>
      <c r="AF37" s="193"/>
      <c r="AG37" s="193"/>
      <c r="AH37" s="194"/>
      <c r="AI37" s="194"/>
      <c r="AJ37" s="194"/>
      <c r="AK37" s="194"/>
      <c r="AL37" s="194"/>
      <c r="AM37" s="194"/>
      <c r="AN37" s="194"/>
      <c r="AO37" s="193"/>
      <c r="AP37" s="193"/>
      <c r="AQ37" s="193"/>
      <c r="AR37" s="193"/>
      <c r="AS37" s="189"/>
      <c r="AT37" s="176"/>
      <c r="AU37" s="176"/>
      <c r="AV37" s="176"/>
      <c r="AW37" s="176"/>
      <c r="AX37" s="176"/>
      <c r="AY37" s="176"/>
      <c r="AZ37" s="176"/>
      <c r="BA37" s="176"/>
      <c r="BB37" s="176"/>
      <c r="BC37" s="176"/>
      <c r="BD37" s="177"/>
    </row>
    <row r="38" spans="1:57" s="207" customFormat="1" ht="14.4" customHeight="1">
      <c r="A38" s="221">
        <f>IF(B38="","",COUNTA($B$8:B38))</f>
        <v>30</v>
      </c>
      <c r="B38" s="186" t="s">
        <v>358</v>
      </c>
      <c r="C38" s="187"/>
      <c r="D38" s="187"/>
      <c r="E38" s="187"/>
      <c r="F38" s="187"/>
      <c r="G38" s="187"/>
      <c r="H38" s="188"/>
      <c r="I38" s="204" t="s">
        <v>359</v>
      </c>
      <c r="J38" s="190"/>
      <c r="K38" s="190"/>
      <c r="L38" s="190"/>
      <c r="M38" s="190"/>
      <c r="N38" s="190"/>
      <c r="O38" s="190"/>
      <c r="P38" s="190"/>
      <c r="Q38" s="191"/>
      <c r="R38" s="186" t="s">
        <v>358</v>
      </c>
      <c r="S38" s="190"/>
      <c r="T38" s="190"/>
      <c r="U38" s="190"/>
      <c r="V38" s="190"/>
      <c r="W38" s="190"/>
      <c r="X38" s="188"/>
      <c r="Y38" s="378" t="s">
        <v>150</v>
      </c>
      <c r="Z38" s="379"/>
      <c r="AA38" s="380" t="s">
        <v>151</v>
      </c>
      <c r="AB38" s="381"/>
      <c r="AC38" s="382"/>
      <c r="AD38" s="205">
        <v>30</v>
      </c>
      <c r="AE38" s="193"/>
      <c r="AF38" s="193"/>
      <c r="AG38" s="193"/>
      <c r="AH38" s="194"/>
      <c r="AI38" s="194"/>
      <c r="AJ38" s="194"/>
      <c r="AK38" s="194"/>
      <c r="AL38" s="194"/>
      <c r="AM38" s="194"/>
      <c r="AN38" s="194"/>
      <c r="AO38" s="193"/>
      <c r="AP38" s="193"/>
      <c r="AQ38" s="193"/>
      <c r="AR38" s="193"/>
      <c r="AS38" s="189"/>
      <c r="AT38" s="176"/>
      <c r="AU38" s="176"/>
      <c r="AV38" s="176"/>
      <c r="AW38" s="176"/>
      <c r="AX38" s="176"/>
      <c r="AY38" s="176"/>
      <c r="AZ38" s="176"/>
      <c r="BA38" s="176"/>
      <c r="BB38" s="176"/>
      <c r="BC38" s="176"/>
      <c r="BD38" s="177"/>
    </row>
    <row r="39" spans="1:57" s="207" customFormat="1" ht="14.4" customHeight="1">
      <c r="A39" s="221">
        <f>IF(B39="","",COUNTA($B$8:B39))</f>
        <v>31</v>
      </c>
      <c r="B39" s="195" t="s">
        <v>360</v>
      </c>
      <c r="C39" s="187"/>
      <c r="D39" s="187"/>
      <c r="E39" s="187"/>
      <c r="F39" s="187"/>
      <c r="G39" s="187"/>
      <c r="H39" s="188"/>
      <c r="I39" s="204" t="s">
        <v>361</v>
      </c>
      <c r="J39" s="190"/>
      <c r="K39" s="190"/>
      <c r="L39" s="190"/>
      <c r="M39" s="190"/>
      <c r="N39" s="190"/>
      <c r="O39" s="190"/>
      <c r="P39" s="190"/>
      <c r="Q39" s="191"/>
      <c r="R39" s="195" t="s">
        <v>360</v>
      </c>
      <c r="S39" s="190"/>
      <c r="T39" s="190"/>
      <c r="U39" s="190"/>
      <c r="V39" s="190"/>
      <c r="W39" s="190"/>
      <c r="X39" s="188"/>
      <c r="Y39" s="378" t="s">
        <v>155</v>
      </c>
      <c r="Z39" s="379"/>
      <c r="AA39" s="380" t="s">
        <v>156</v>
      </c>
      <c r="AB39" s="381"/>
      <c r="AC39" s="382"/>
      <c r="AD39" s="205">
        <v>5</v>
      </c>
      <c r="AE39" s="193"/>
      <c r="AF39" s="193"/>
      <c r="AG39" s="193"/>
      <c r="AH39" s="194"/>
      <c r="AI39" s="194"/>
      <c r="AJ39" s="194"/>
      <c r="AK39" s="194"/>
      <c r="AL39" s="194"/>
      <c r="AM39" s="194"/>
      <c r="AN39" s="194"/>
      <c r="AO39" s="193"/>
      <c r="AP39" s="193"/>
      <c r="AQ39" s="193"/>
      <c r="AR39" s="193"/>
      <c r="AS39" s="189"/>
      <c r="AT39" s="176"/>
      <c r="AU39" s="176"/>
      <c r="AV39" s="176"/>
      <c r="AW39" s="176"/>
      <c r="AX39" s="176"/>
      <c r="AY39" s="176"/>
      <c r="AZ39" s="176"/>
      <c r="BA39" s="176"/>
      <c r="BB39" s="176"/>
      <c r="BC39" s="176"/>
      <c r="BD39" s="177"/>
    </row>
    <row r="40" spans="1:57" s="207" customFormat="1" ht="14.4" customHeight="1">
      <c r="A40" s="221">
        <f>IF(B40="","",COUNTA($B$8:B40))</f>
        <v>32</v>
      </c>
      <c r="B40" s="186" t="s">
        <v>362</v>
      </c>
      <c r="C40" s="187"/>
      <c r="D40" s="187"/>
      <c r="E40" s="187"/>
      <c r="F40" s="187"/>
      <c r="G40" s="187"/>
      <c r="H40" s="188"/>
      <c r="I40" s="204" t="s">
        <v>363</v>
      </c>
      <c r="J40" s="190"/>
      <c r="K40" s="190"/>
      <c r="L40" s="190"/>
      <c r="M40" s="190"/>
      <c r="N40" s="190"/>
      <c r="O40" s="190"/>
      <c r="P40" s="190"/>
      <c r="Q40" s="191"/>
      <c r="R40" s="186" t="s">
        <v>362</v>
      </c>
      <c r="S40" s="190"/>
      <c r="T40" s="190"/>
      <c r="U40" s="190"/>
      <c r="V40" s="190"/>
      <c r="W40" s="190"/>
      <c r="X40" s="188"/>
      <c r="Y40" s="378" t="s">
        <v>150</v>
      </c>
      <c r="Z40" s="379"/>
      <c r="AA40" s="380" t="s">
        <v>151</v>
      </c>
      <c r="AB40" s="381"/>
      <c r="AC40" s="382"/>
      <c r="AD40" s="205">
        <v>30</v>
      </c>
      <c r="AE40" s="193"/>
      <c r="AF40" s="193"/>
      <c r="AG40" s="193"/>
      <c r="AH40" s="194"/>
      <c r="AI40" s="194"/>
      <c r="AJ40" s="194"/>
      <c r="AK40" s="194"/>
      <c r="AL40" s="194"/>
      <c r="AM40" s="194"/>
      <c r="AN40" s="194"/>
      <c r="AO40" s="193"/>
      <c r="AP40" s="193"/>
      <c r="AQ40" s="193"/>
      <c r="AR40" s="193"/>
      <c r="AS40" s="189"/>
      <c r="AT40" s="176"/>
      <c r="AU40" s="176"/>
      <c r="AV40" s="176"/>
      <c r="AW40" s="176"/>
      <c r="AX40" s="176"/>
      <c r="AY40" s="176"/>
      <c r="AZ40" s="176"/>
      <c r="BA40" s="176"/>
      <c r="BB40" s="176"/>
      <c r="BC40" s="176"/>
      <c r="BD40" s="177"/>
    </row>
    <row r="41" spans="1:57" s="207" customFormat="1" ht="14.4" customHeight="1">
      <c r="A41" s="221">
        <f>IF(B41="","",COUNTA($B$8:B41))</f>
        <v>33</v>
      </c>
      <c r="B41" s="186" t="s">
        <v>228</v>
      </c>
      <c r="C41" s="187"/>
      <c r="D41" s="187"/>
      <c r="E41" s="187"/>
      <c r="F41" s="187"/>
      <c r="G41" s="187"/>
      <c r="H41" s="188"/>
      <c r="I41" s="204" t="s">
        <v>229</v>
      </c>
      <c r="J41" s="190"/>
      <c r="K41" s="190"/>
      <c r="L41" s="190"/>
      <c r="M41" s="190"/>
      <c r="N41" s="190"/>
      <c r="O41" s="190"/>
      <c r="P41" s="190"/>
      <c r="Q41" s="191"/>
      <c r="R41" s="186" t="s">
        <v>228</v>
      </c>
      <c r="S41" s="190"/>
      <c r="T41" s="190"/>
      <c r="U41" s="190"/>
      <c r="V41" s="190"/>
      <c r="W41" s="190"/>
      <c r="X41" s="188"/>
      <c r="Y41" s="378" t="s">
        <v>150</v>
      </c>
      <c r="Z41" s="379"/>
      <c r="AA41" s="380" t="s">
        <v>151</v>
      </c>
      <c r="AB41" s="381"/>
      <c r="AC41" s="382"/>
      <c r="AD41" s="205">
        <v>1000</v>
      </c>
      <c r="AE41" s="193"/>
      <c r="AF41" s="193"/>
      <c r="AG41" s="193"/>
      <c r="AH41" s="194"/>
      <c r="AI41" s="194"/>
      <c r="AJ41" s="194"/>
      <c r="AK41" s="194"/>
      <c r="AL41" s="194"/>
      <c r="AM41" s="194"/>
      <c r="AN41" s="194"/>
      <c r="AO41" s="193"/>
      <c r="AP41" s="193"/>
      <c r="AQ41" s="193"/>
      <c r="AR41" s="193"/>
      <c r="AS41" s="189"/>
      <c r="AT41" s="176"/>
      <c r="AU41" s="176"/>
      <c r="AV41" s="176"/>
      <c r="AW41" s="176"/>
      <c r="AX41" s="176"/>
      <c r="AY41" s="176"/>
      <c r="AZ41" s="176"/>
      <c r="BA41" s="176"/>
      <c r="BB41" s="176"/>
      <c r="BC41" s="176"/>
      <c r="BD41" s="177"/>
    </row>
    <row r="42" spans="1:57" s="207" customFormat="1" ht="14.4" customHeight="1">
      <c r="A42" s="221">
        <f>IF(B42="","",COUNTA($B$8:B42))</f>
        <v>34</v>
      </c>
      <c r="B42" s="195" t="s">
        <v>364</v>
      </c>
      <c r="C42" s="202"/>
      <c r="D42" s="202"/>
      <c r="E42" s="202"/>
      <c r="F42" s="202"/>
      <c r="G42" s="202"/>
      <c r="H42" s="203"/>
      <c r="I42" s="204" t="s">
        <v>365</v>
      </c>
      <c r="J42" s="190"/>
      <c r="K42" s="190"/>
      <c r="L42" s="190"/>
      <c r="M42" s="190"/>
      <c r="N42" s="190"/>
      <c r="O42" s="190"/>
      <c r="P42" s="190"/>
      <c r="Q42" s="191"/>
      <c r="R42" s="195" t="s">
        <v>364</v>
      </c>
      <c r="S42" s="190"/>
      <c r="T42" s="190"/>
      <c r="U42" s="190"/>
      <c r="V42" s="190"/>
      <c r="W42" s="190"/>
      <c r="X42" s="188"/>
      <c r="Y42" s="378" t="s">
        <v>155</v>
      </c>
      <c r="Z42" s="379"/>
      <c r="AA42" s="380" t="s">
        <v>156</v>
      </c>
      <c r="AB42" s="381"/>
      <c r="AC42" s="382"/>
      <c r="AD42" s="205">
        <v>3</v>
      </c>
      <c r="AE42" s="193"/>
      <c r="AF42" s="193"/>
      <c r="AG42" s="193"/>
      <c r="AH42" s="194"/>
      <c r="AI42" s="194"/>
      <c r="AJ42" s="194"/>
      <c r="AK42" s="194"/>
      <c r="AL42" s="194"/>
      <c r="AM42" s="194"/>
      <c r="AN42" s="194"/>
      <c r="AO42" s="193"/>
      <c r="AP42" s="193"/>
      <c r="AQ42" s="193"/>
      <c r="AR42" s="193"/>
      <c r="AS42" s="189"/>
      <c r="AT42" s="176"/>
      <c r="AU42" s="176"/>
      <c r="AV42" s="176"/>
      <c r="AW42" s="176"/>
      <c r="AX42" s="176"/>
      <c r="AY42" s="176"/>
      <c r="AZ42" s="176"/>
      <c r="BA42" s="176"/>
      <c r="BB42" s="176"/>
      <c r="BC42" s="176"/>
      <c r="BD42" s="177"/>
    </row>
    <row r="43" spans="1:57" s="207" customFormat="1" ht="14.4" customHeight="1">
      <c r="A43" s="221">
        <f>IF(B43="","",COUNTA($B$8:B43))</f>
        <v>35</v>
      </c>
      <c r="B43" s="186" t="s">
        <v>314</v>
      </c>
      <c r="C43" s="187"/>
      <c r="D43" s="187"/>
      <c r="E43" s="187"/>
      <c r="F43" s="187"/>
      <c r="G43" s="187"/>
      <c r="H43" s="188"/>
      <c r="I43" s="204" t="s">
        <v>315</v>
      </c>
      <c r="J43" s="190"/>
      <c r="K43" s="190"/>
      <c r="L43" s="190"/>
      <c r="M43" s="190"/>
      <c r="N43" s="190"/>
      <c r="O43" s="190"/>
      <c r="P43" s="190"/>
      <c r="Q43" s="191"/>
      <c r="R43" s="186" t="s">
        <v>314</v>
      </c>
      <c r="S43" s="190"/>
      <c r="T43" s="190"/>
      <c r="U43" s="190"/>
      <c r="V43" s="190"/>
      <c r="W43" s="190"/>
      <c r="X43" s="188"/>
      <c r="Y43" s="378" t="s">
        <v>150</v>
      </c>
      <c r="Z43" s="379"/>
      <c r="AA43" s="380" t="s">
        <v>151</v>
      </c>
      <c r="AB43" s="381"/>
      <c r="AC43" s="382"/>
      <c r="AD43" s="205">
        <v>5</v>
      </c>
      <c r="AE43" s="193"/>
      <c r="AF43" s="193"/>
      <c r="AG43" s="193"/>
      <c r="AH43" s="194"/>
      <c r="AI43" s="194"/>
      <c r="AJ43" s="194"/>
      <c r="AK43" s="194"/>
      <c r="AL43" s="194"/>
      <c r="AM43" s="194"/>
      <c r="AN43" s="194"/>
      <c r="AO43" s="193"/>
      <c r="AP43" s="193"/>
      <c r="AQ43" s="193"/>
      <c r="AR43" s="193"/>
      <c r="AS43" s="189"/>
      <c r="AT43" s="176"/>
      <c r="AU43" s="176"/>
      <c r="AV43" s="176"/>
      <c r="AW43" s="176"/>
      <c r="AX43" s="176"/>
      <c r="AY43" s="176"/>
      <c r="AZ43" s="176"/>
      <c r="BA43" s="176"/>
      <c r="BB43" s="176"/>
      <c r="BC43" s="176"/>
      <c r="BD43" s="177"/>
    </row>
    <row r="44" spans="1:57" s="207" customFormat="1" ht="14.4" customHeight="1">
      <c r="A44" s="221">
        <f>IF(B44="","",COUNTA($B$8:B44))</f>
        <v>36</v>
      </c>
      <c r="B44" s="186" t="s">
        <v>316</v>
      </c>
      <c r="C44" s="187"/>
      <c r="D44" s="187"/>
      <c r="E44" s="187"/>
      <c r="F44" s="187"/>
      <c r="G44" s="187"/>
      <c r="H44" s="188"/>
      <c r="I44" s="204" t="s">
        <v>317</v>
      </c>
      <c r="J44" s="190"/>
      <c r="K44" s="190"/>
      <c r="L44" s="190"/>
      <c r="M44" s="190"/>
      <c r="N44" s="190"/>
      <c r="O44" s="190"/>
      <c r="P44" s="190"/>
      <c r="Q44" s="191"/>
      <c r="R44" s="186" t="s">
        <v>316</v>
      </c>
      <c r="S44" s="190"/>
      <c r="T44" s="190"/>
      <c r="U44" s="190"/>
      <c r="V44" s="190"/>
      <c r="W44" s="190"/>
      <c r="X44" s="188"/>
      <c r="Y44" s="378" t="s">
        <v>150</v>
      </c>
      <c r="Z44" s="379"/>
      <c r="AA44" s="380" t="s">
        <v>151</v>
      </c>
      <c r="AB44" s="381"/>
      <c r="AC44" s="382"/>
      <c r="AD44" s="205">
        <v>20</v>
      </c>
      <c r="AE44" s="193"/>
      <c r="AF44" s="193"/>
      <c r="AG44" s="193"/>
      <c r="AH44" s="194"/>
      <c r="AI44" s="194"/>
      <c r="AJ44" s="194"/>
      <c r="AK44" s="194"/>
      <c r="AL44" s="194"/>
      <c r="AM44" s="194"/>
      <c r="AN44" s="194"/>
      <c r="AO44" s="193"/>
      <c r="AP44" s="193"/>
      <c r="AQ44" s="193"/>
      <c r="AR44" s="193"/>
      <c r="AS44" s="189"/>
      <c r="AT44" s="176"/>
      <c r="AU44" s="176"/>
      <c r="AV44" s="176"/>
      <c r="AW44" s="176"/>
      <c r="AX44" s="176"/>
      <c r="AY44" s="176"/>
      <c r="AZ44" s="176"/>
      <c r="BA44" s="176"/>
      <c r="BB44" s="176"/>
      <c r="BC44" s="176"/>
      <c r="BD44" s="177"/>
    </row>
    <row r="45" spans="1:57" s="207" customFormat="1" ht="14.4" customHeight="1">
      <c r="A45" s="221">
        <f>IF(B45="","",COUNTA($B$8:B45))</f>
        <v>37</v>
      </c>
      <c r="B45" s="186" t="s">
        <v>318</v>
      </c>
      <c r="C45" s="187"/>
      <c r="D45" s="187"/>
      <c r="E45" s="187"/>
      <c r="F45" s="187"/>
      <c r="G45" s="187"/>
      <c r="H45" s="188"/>
      <c r="I45" s="204" t="s">
        <v>319</v>
      </c>
      <c r="J45" s="190"/>
      <c r="K45" s="190"/>
      <c r="L45" s="190"/>
      <c r="M45" s="190"/>
      <c r="N45" s="190"/>
      <c r="O45" s="190"/>
      <c r="P45" s="190"/>
      <c r="Q45" s="191"/>
      <c r="R45" s="186" t="s">
        <v>318</v>
      </c>
      <c r="S45" s="190"/>
      <c r="T45" s="190"/>
      <c r="U45" s="190"/>
      <c r="V45" s="190"/>
      <c r="W45" s="190"/>
      <c r="X45" s="188"/>
      <c r="Y45" s="378" t="s">
        <v>150</v>
      </c>
      <c r="Z45" s="379"/>
      <c r="AA45" s="380" t="s">
        <v>151</v>
      </c>
      <c r="AB45" s="381"/>
      <c r="AC45" s="382"/>
      <c r="AD45" s="205">
        <v>30</v>
      </c>
      <c r="AE45" s="193"/>
      <c r="AF45" s="193"/>
      <c r="AG45" s="193"/>
      <c r="AH45" s="194"/>
      <c r="AI45" s="194"/>
      <c r="AJ45" s="194"/>
      <c r="AK45" s="194"/>
      <c r="AL45" s="194"/>
      <c r="AM45" s="194"/>
      <c r="AN45" s="194"/>
      <c r="AO45" s="193"/>
      <c r="AP45" s="193"/>
      <c r="AQ45" s="193"/>
      <c r="AR45" s="193"/>
      <c r="AS45" s="189"/>
      <c r="AT45" s="176"/>
      <c r="AU45" s="176"/>
      <c r="AV45" s="176"/>
      <c r="AW45" s="176"/>
      <c r="AX45" s="176"/>
      <c r="AY45" s="176"/>
      <c r="AZ45" s="176"/>
      <c r="BA45" s="176"/>
      <c r="BB45" s="176"/>
      <c r="BC45" s="176"/>
      <c r="BD45" s="177"/>
    </row>
    <row r="46" spans="1:57" s="207" customFormat="1" ht="14.4" customHeight="1">
      <c r="A46" s="221">
        <f>IF(B46="","",COUNTA($B$8:B46))</f>
        <v>38</v>
      </c>
      <c r="B46" s="195" t="s">
        <v>320</v>
      </c>
      <c r="C46" s="187"/>
      <c r="D46" s="187"/>
      <c r="E46" s="187"/>
      <c r="F46" s="187"/>
      <c r="G46" s="187"/>
      <c r="H46" s="188"/>
      <c r="I46" s="204" t="s">
        <v>321</v>
      </c>
      <c r="J46" s="190"/>
      <c r="K46" s="190"/>
      <c r="L46" s="190"/>
      <c r="M46" s="190"/>
      <c r="N46" s="190"/>
      <c r="O46" s="190"/>
      <c r="P46" s="190"/>
      <c r="Q46" s="191"/>
      <c r="R46" s="195" t="s">
        <v>320</v>
      </c>
      <c r="S46" s="190"/>
      <c r="T46" s="190"/>
      <c r="U46" s="190"/>
      <c r="V46" s="190"/>
      <c r="W46" s="190"/>
      <c r="X46" s="188"/>
      <c r="Y46" s="378" t="s">
        <v>155</v>
      </c>
      <c r="Z46" s="379"/>
      <c r="AA46" s="380" t="s">
        <v>156</v>
      </c>
      <c r="AB46" s="381"/>
      <c r="AC46" s="382"/>
      <c r="AD46" s="205">
        <v>5</v>
      </c>
      <c r="AE46" s="193">
        <v>2</v>
      </c>
      <c r="AF46" s="193"/>
      <c r="AG46" s="193"/>
      <c r="AH46" s="194"/>
      <c r="AI46" s="194"/>
      <c r="AJ46" s="194"/>
      <c r="AK46" s="194"/>
      <c r="AL46" s="194"/>
      <c r="AM46" s="194"/>
      <c r="AN46" s="194"/>
      <c r="AO46" s="193"/>
      <c r="AP46" s="193"/>
      <c r="AQ46" s="193"/>
      <c r="AR46" s="193"/>
      <c r="AS46" s="189"/>
      <c r="AT46" s="176"/>
      <c r="AU46" s="176"/>
      <c r="AV46" s="176"/>
      <c r="AW46" s="176"/>
      <c r="AX46" s="176"/>
      <c r="AY46" s="176"/>
      <c r="AZ46" s="176"/>
      <c r="BA46" s="176"/>
      <c r="BB46" s="176"/>
      <c r="BC46" s="176"/>
      <c r="BD46" s="177"/>
    </row>
    <row r="47" spans="1:57" s="207" customFormat="1" ht="14.4" customHeight="1">
      <c r="A47" s="221">
        <f>IF(B47="","",COUNTA($B$8:B47))</f>
        <v>39</v>
      </c>
      <c r="B47" s="195" t="s">
        <v>322</v>
      </c>
      <c r="C47" s="202"/>
      <c r="D47" s="202"/>
      <c r="E47" s="202"/>
      <c r="F47" s="202"/>
      <c r="G47" s="202"/>
      <c r="H47" s="203"/>
      <c r="I47" s="204" t="s">
        <v>323</v>
      </c>
      <c r="J47" s="190"/>
      <c r="K47" s="190"/>
      <c r="L47" s="190"/>
      <c r="M47" s="190"/>
      <c r="N47" s="190"/>
      <c r="O47" s="190"/>
      <c r="P47" s="190"/>
      <c r="Q47" s="191"/>
      <c r="R47" s="195" t="s">
        <v>322</v>
      </c>
      <c r="S47" s="190"/>
      <c r="T47" s="190"/>
      <c r="U47" s="190"/>
      <c r="V47" s="190"/>
      <c r="W47" s="190"/>
      <c r="X47" s="188"/>
      <c r="Y47" s="378" t="s">
        <v>155</v>
      </c>
      <c r="Z47" s="379"/>
      <c r="AA47" s="380" t="s">
        <v>156</v>
      </c>
      <c r="AB47" s="381"/>
      <c r="AC47" s="382"/>
      <c r="AD47" s="205">
        <v>4</v>
      </c>
      <c r="AE47" s="193"/>
      <c r="AF47" s="193"/>
      <c r="AG47" s="193"/>
      <c r="AH47" s="194"/>
      <c r="AI47" s="194"/>
      <c r="AJ47" s="194"/>
      <c r="AK47" s="194"/>
      <c r="AL47" s="194"/>
      <c r="AM47" s="194"/>
      <c r="AN47" s="194"/>
      <c r="AO47" s="193"/>
      <c r="AP47" s="193"/>
      <c r="AQ47" s="193"/>
      <c r="AR47" s="193"/>
      <c r="AS47" s="189"/>
      <c r="AT47" s="176"/>
      <c r="AU47" s="176"/>
      <c r="AV47" s="176"/>
      <c r="AW47" s="176"/>
      <c r="AX47" s="176"/>
      <c r="AY47" s="176"/>
      <c r="AZ47" s="176"/>
      <c r="BA47" s="176"/>
      <c r="BB47" s="176"/>
      <c r="BC47" s="176"/>
      <c r="BD47" s="177"/>
    </row>
    <row r="48" spans="1:57" s="207" customFormat="1" ht="14.4" customHeight="1">
      <c r="A48" s="221">
        <f>IF(B48="","",COUNTA($B$8:B48))</f>
        <v>40</v>
      </c>
      <c r="B48" s="195" t="s">
        <v>324</v>
      </c>
      <c r="C48" s="202"/>
      <c r="D48" s="202"/>
      <c r="E48" s="202"/>
      <c r="F48" s="202"/>
      <c r="G48" s="202"/>
      <c r="H48" s="203"/>
      <c r="I48" s="204" t="s">
        <v>325</v>
      </c>
      <c r="J48" s="190"/>
      <c r="K48" s="190"/>
      <c r="L48" s="190"/>
      <c r="M48" s="190"/>
      <c r="N48" s="190"/>
      <c r="O48" s="190"/>
      <c r="P48" s="190"/>
      <c r="Q48" s="191"/>
      <c r="R48" s="195" t="s">
        <v>324</v>
      </c>
      <c r="S48" s="190"/>
      <c r="T48" s="190"/>
      <c r="U48" s="190"/>
      <c r="V48" s="190"/>
      <c r="W48" s="190"/>
      <c r="X48" s="188"/>
      <c r="Y48" s="378" t="s">
        <v>155</v>
      </c>
      <c r="Z48" s="379"/>
      <c r="AA48" s="380" t="s">
        <v>156</v>
      </c>
      <c r="AB48" s="381"/>
      <c r="AC48" s="382"/>
      <c r="AD48" s="205">
        <v>5</v>
      </c>
      <c r="AE48" s="193"/>
      <c r="AF48" s="193"/>
      <c r="AG48" s="193"/>
      <c r="AH48" s="194"/>
      <c r="AI48" s="194"/>
      <c r="AJ48" s="194"/>
      <c r="AK48" s="194"/>
      <c r="AL48" s="194"/>
      <c r="AM48" s="194"/>
      <c r="AN48" s="194"/>
      <c r="AO48" s="193"/>
      <c r="AP48" s="193"/>
      <c r="AQ48" s="193"/>
      <c r="AR48" s="193"/>
      <c r="AS48" s="189"/>
      <c r="AT48" s="176"/>
      <c r="AU48" s="176"/>
      <c r="AV48" s="176"/>
      <c r="AW48" s="176"/>
      <c r="AX48" s="176"/>
      <c r="AY48" s="176"/>
      <c r="AZ48" s="176"/>
      <c r="BA48" s="176"/>
      <c r="BB48" s="176"/>
      <c r="BC48" s="176"/>
      <c r="BD48" s="177"/>
    </row>
    <row r="49" spans="1:56" s="207" customFormat="1" ht="14.4" customHeight="1">
      <c r="A49" s="221">
        <f>IF(B49="","",COUNTA($B$8:B49))</f>
        <v>41</v>
      </c>
      <c r="B49" s="195" t="s">
        <v>326</v>
      </c>
      <c r="C49" s="187"/>
      <c r="D49" s="187"/>
      <c r="E49" s="187"/>
      <c r="F49" s="187"/>
      <c r="G49" s="187"/>
      <c r="H49" s="188"/>
      <c r="I49" s="204" t="s">
        <v>327</v>
      </c>
      <c r="J49" s="190"/>
      <c r="K49" s="190"/>
      <c r="L49" s="190"/>
      <c r="M49" s="190"/>
      <c r="N49" s="190"/>
      <c r="O49" s="190"/>
      <c r="P49" s="190"/>
      <c r="Q49" s="191"/>
      <c r="R49" s="195" t="s">
        <v>326</v>
      </c>
      <c r="S49" s="190"/>
      <c r="T49" s="190"/>
      <c r="U49" s="190"/>
      <c r="V49" s="190"/>
      <c r="W49" s="190"/>
      <c r="X49" s="188"/>
      <c r="Y49" s="378" t="s">
        <v>155</v>
      </c>
      <c r="Z49" s="379"/>
      <c r="AA49" s="380" t="s">
        <v>156</v>
      </c>
      <c r="AB49" s="381"/>
      <c r="AC49" s="382"/>
      <c r="AD49" s="205">
        <v>5</v>
      </c>
      <c r="AE49" s="193"/>
      <c r="AF49" s="193"/>
      <c r="AG49" s="193"/>
      <c r="AH49" s="194"/>
      <c r="AI49" s="194"/>
      <c r="AJ49" s="194"/>
      <c r="AK49" s="194"/>
      <c r="AL49" s="194"/>
      <c r="AM49" s="194"/>
      <c r="AN49" s="194"/>
      <c r="AO49" s="193"/>
      <c r="AP49" s="193"/>
      <c r="AQ49" s="193"/>
      <c r="AR49" s="193"/>
      <c r="AS49" s="189"/>
      <c r="AT49" s="176"/>
      <c r="AU49" s="176"/>
      <c r="AV49" s="176"/>
      <c r="AW49" s="176"/>
      <c r="AX49" s="176"/>
      <c r="AY49" s="176"/>
      <c r="AZ49" s="176"/>
      <c r="BA49" s="176"/>
      <c r="BB49" s="176"/>
      <c r="BC49" s="176"/>
      <c r="BD49" s="177"/>
    </row>
    <row r="50" spans="1:56" s="207" customFormat="1" ht="14.4" customHeight="1">
      <c r="A50" s="221">
        <f>IF(B50="","",COUNTA($B$8:B50))</f>
        <v>42</v>
      </c>
      <c r="B50" s="186" t="s">
        <v>328</v>
      </c>
      <c r="C50" s="187"/>
      <c r="D50" s="187"/>
      <c r="E50" s="187"/>
      <c r="F50" s="187"/>
      <c r="G50" s="187"/>
      <c r="H50" s="188"/>
      <c r="I50" s="204" t="s">
        <v>329</v>
      </c>
      <c r="J50" s="190"/>
      <c r="K50" s="190"/>
      <c r="L50" s="190"/>
      <c r="M50" s="190"/>
      <c r="N50" s="190"/>
      <c r="O50" s="190"/>
      <c r="P50" s="190"/>
      <c r="Q50" s="191"/>
      <c r="R50" s="186" t="s">
        <v>328</v>
      </c>
      <c r="S50" s="190"/>
      <c r="T50" s="190"/>
      <c r="U50" s="190"/>
      <c r="V50" s="190"/>
      <c r="W50" s="190"/>
      <c r="X50" s="188"/>
      <c r="Y50" s="378" t="s">
        <v>150</v>
      </c>
      <c r="Z50" s="379"/>
      <c r="AA50" s="380" t="s">
        <v>151</v>
      </c>
      <c r="AB50" s="381"/>
      <c r="AC50" s="382"/>
      <c r="AD50" s="205">
        <v>1000</v>
      </c>
      <c r="AE50" s="193"/>
      <c r="AF50" s="193"/>
      <c r="AG50" s="193"/>
      <c r="AH50" s="194"/>
      <c r="AI50" s="194"/>
      <c r="AJ50" s="194"/>
      <c r="AK50" s="194"/>
      <c r="AL50" s="194"/>
      <c r="AM50" s="194"/>
      <c r="AN50" s="194"/>
      <c r="AO50" s="193"/>
      <c r="AP50" s="193"/>
      <c r="AQ50" s="193"/>
      <c r="AR50" s="193"/>
      <c r="AS50" s="189"/>
      <c r="AT50" s="176"/>
      <c r="AU50" s="176"/>
      <c r="AV50" s="176"/>
      <c r="AW50" s="176"/>
      <c r="AX50" s="176"/>
      <c r="AY50" s="176"/>
      <c r="AZ50" s="176"/>
      <c r="BA50" s="176"/>
      <c r="BB50" s="176"/>
      <c r="BC50" s="176"/>
      <c r="BD50" s="177"/>
    </row>
    <row r="51" spans="1:56" s="207" customFormat="1" ht="14.4" customHeight="1">
      <c r="A51" s="221">
        <f>IF(B51="","",COUNTA($B$8:B51))</f>
        <v>43</v>
      </c>
      <c r="B51" s="195" t="s">
        <v>294</v>
      </c>
      <c r="C51" s="187"/>
      <c r="D51" s="187"/>
      <c r="E51" s="187"/>
      <c r="F51" s="187"/>
      <c r="G51" s="187"/>
      <c r="H51" s="188"/>
      <c r="I51" s="204" t="s">
        <v>295</v>
      </c>
      <c r="J51" s="190"/>
      <c r="K51" s="190"/>
      <c r="L51" s="190"/>
      <c r="M51" s="190"/>
      <c r="N51" s="190"/>
      <c r="O51" s="190"/>
      <c r="P51" s="190"/>
      <c r="Q51" s="191"/>
      <c r="R51" s="195" t="s">
        <v>294</v>
      </c>
      <c r="S51" s="190"/>
      <c r="T51" s="190"/>
      <c r="U51" s="190"/>
      <c r="V51" s="190"/>
      <c r="W51" s="190"/>
      <c r="X51" s="188"/>
      <c r="Y51" s="378" t="s">
        <v>155</v>
      </c>
      <c r="Z51" s="379"/>
      <c r="AA51" s="380" t="s">
        <v>156</v>
      </c>
      <c r="AB51" s="381"/>
      <c r="AC51" s="382"/>
      <c r="AD51" s="205">
        <v>5</v>
      </c>
      <c r="AE51" s="193"/>
      <c r="AF51" s="193"/>
      <c r="AG51" s="193"/>
      <c r="AH51" s="194"/>
      <c r="AI51" s="194"/>
      <c r="AJ51" s="194"/>
      <c r="AK51" s="194"/>
      <c r="AL51" s="194"/>
      <c r="AM51" s="194"/>
      <c r="AN51" s="194"/>
      <c r="AO51" s="193"/>
      <c r="AP51" s="193"/>
      <c r="AQ51" s="193"/>
      <c r="AR51" s="193"/>
      <c r="AS51" s="189"/>
      <c r="AT51" s="176"/>
      <c r="AU51" s="176"/>
      <c r="AV51" s="176"/>
      <c r="AW51" s="176"/>
      <c r="AX51" s="176"/>
      <c r="AY51" s="176"/>
      <c r="AZ51" s="176"/>
      <c r="BA51" s="176"/>
      <c r="BB51" s="176"/>
      <c r="BC51" s="176"/>
      <c r="BD51" s="177"/>
    </row>
    <row r="52" spans="1:56" s="207" customFormat="1" ht="14.4" customHeight="1">
      <c r="A52" s="221">
        <f>IF(B52="","",COUNTA($B$8:B52))</f>
        <v>44</v>
      </c>
      <c r="B52" s="186" t="s">
        <v>332</v>
      </c>
      <c r="C52" s="187"/>
      <c r="D52" s="187"/>
      <c r="E52" s="187"/>
      <c r="F52" s="187"/>
      <c r="G52" s="187"/>
      <c r="H52" s="188"/>
      <c r="I52" s="204" t="s">
        <v>333</v>
      </c>
      <c r="J52" s="190"/>
      <c r="K52" s="190"/>
      <c r="L52" s="190"/>
      <c r="M52" s="190"/>
      <c r="N52" s="190"/>
      <c r="O52" s="190"/>
      <c r="P52" s="190"/>
      <c r="Q52" s="191"/>
      <c r="R52" s="186" t="s">
        <v>332</v>
      </c>
      <c r="S52" s="190"/>
      <c r="T52" s="190"/>
      <c r="U52" s="190"/>
      <c r="V52" s="190"/>
      <c r="W52" s="190"/>
      <c r="X52" s="188"/>
      <c r="Y52" s="378" t="s">
        <v>155</v>
      </c>
      <c r="Z52" s="379"/>
      <c r="AA52" s="380" t="s">
        <v>156</v>
      </c>
      <c r="AB52" s="381"/>
      <c r="AC52" s="382"/>
      <c r="AD52" s="205">
        <v>1</v>
      </c>
      <c r="AE52" s="193"/>
      <c r="AF52" s="193"/>
      <c r="AG52" s="193"/>
      <c r="AH52" s="194">
        <v>0</v>
      </c>
      <c r="AI52" s="194"/>
      <c r="AJ52" s="194"/>
      <c r="AK52" s="194"/>
      <c r="AL52" s="194"/>
      <c r="AM52" s="194"/>
      <c r="AN52" s="194"/>
      <c r="AO52" s="193"/>
      <c r="AP52" s="193"/>
      <c r="AQ52" s="193"/>
      <c r="AR52" s="193"/>
      <c r="AS52" s="189" t="s">
        <v>334</v>
      </c>
      <c r="AT52" s="176"/>
      <c r="AU52" s="176"/>
      <c r="AV52" s="176"/>
      <c r="AW52" s="176"/>
      <c r="AX52" s="176"/>
      <c r="AY52" s="176"/>
      <c r="AZ52" s="176"/>
      <c r="BA52" s="176"/>
      <c r="BB52" s="176"/>
      <c r="BC52" s="176"/>
      <c r="BD52" s="177"/>
    </row>
    <row r="53" spans="1:56" s="207" customFormat="1" ht="14.4" customHeight="1">
      <c r="A53" s="221">
        <f>IF(B53="","",COUNTA($B$8:B53))</f>
        <v>45</v>
      </c>
      <c r="B53" s="186" t="s">
        <v>335</v>
      </c>
      <c r="C53" s="187"/>
      <c r="D53" s="187"/>
      <c r="E53" s="187"/>
      <c r="F53" s="187"/>
      <c r="G53" s="187"/>
      <c r="H53" s="188"/>
      <c r="I53" s="204" t="s">
        <v>336</v>
      </c>
      <c r="J53" s="190"/>
      <c r="K53" s="190"/>
      <c r="L53" s="190"/>
      <c r="M53" s="190"/>
      <c r="N53" s="190"/>
      <c r="O53" s="190"/>
      <c r="P53" s="190"/>
      <c r="Q53" s="191"/>
      <c r="R53" s="186" t="s">
        <v>335</v>
      </c>
      <c r="S53" s="190"/>
      <c r="T53" s="190"/>
      <c r="U53" s="190"/>
      <c r="V53" s="190"/>
      <c r="W53" s="190"/>
      <c r="X53" s="188"/>
      <c r="Y53" s="378" t="s">
        <v>155</v>
      </c>
      <c r="Z53" s="379"/>
      <c r="AA53" s="380" t="s">
        <v>156</v>
      </c>
      <c r="AB53" s="381"/>
      <c r="AC53" s="382"/>
      <c r="AD53" s="205">
        <v>1</v>
      </c>
      <c r="AE53" s="193"/>
      <c r="AF53" s="193"/>
      <c r="AG53" s="193"/>
      <c r="AH53" s="194">
        <v>0</v>
      </c>
      <c r="AI53" s="194"/>
      <c r="AJ53" s="194"/>
      <c r="AK53" s="194"/>
      <c r="AL53" s="194"/>
      <c r="AM53" s="194"/>
      <c r="AN53" s="194"/>
      <c r="AO53" s="193"/>
      <c r="AP53" s="193"/>
      <c r="AQ53" s="193"/>
      <c r="AR53" s="193"/>
      <c r="AS53" s="189" t="s">
        <v>334</v>
      </c>
      <c r="AT53" s="176"/>
      <c r="AU53" s="176"/>
      <c r="AV53" s="176"/>
      <c r="AW53" s="176"/>
      <c r="AX53" s="176"/>
      <c r="AY53" s="176"/>
      <c r="AZ53" s="176"/>
      <c r="BA53" s="176"/>
      <c r="BB53" s="176"/>
      <c r="BC53" s="176"/>
      <c r="BD53" s="177"/>
    </row>
    <row r="54" spans="1:56" s="207" customFormat="1" ht="14.4" customHeight="1">
      <c r="A54" s="221">
        <f>IF(B54="","",COUNTA($B$8:B54))</f>
        <v>46</v>
      </c>
      <c r="B54" s="186" t="s">
        <v>366</v>
      </c>
      <c r="C54" s="187"/>
      <c r="D54" s="187"/>
      <c r="E54" s="187"/>
      <c r="F54" s="187"/>
      <c r="G54" s="187"/>
      <c r="H54" s="188"/>
      <c r="I54" s="204" t="s">
        <v>367</v>
      </c>
      <c r="J54" s="190"/>
      <c r="K54" s="190"/>
      <c r="L54" s="190"/>
      <c r="M54" s="190"/>
      <c r="N54" s="190"/>
      <c r="O54" s="190"/>
      <c r="P54" s="190"/>
      <c r="Q54" s="191"/>
      <c r="R54" s="186" t="s">
        <v>366</v>
      </c>
      <c r="S54" s="190"/>
      <c r="T54" s="190"/>
      <c r="U54" s="190"/>
      <c r="V54" s="190"/>
      <c r="W54" s="190"/>
      <c r="X54" s="188"/>
      <c r="Y54" s="378" t="s">
        <v>169</v>
      </c>
      <c r="Z54" s="379"/>
      <c r="AA54" s="380" t="s">
        <v>170</v>
      </c>
      <c r="AB54" s="381"/>
      <c r="AC54" s="382"/>
      <c r="AD54" s="205"/>
      <c r="AE54" s="193"/>
      <c r="AF54" s="193"/>
      <c r="AG54" s="194"/>
      <c r="AH54" s="194"/>
      <c r="AI54" s="194"/>
      <c r="AJ54" s="194"/>
      <c r="AK54" s="194"/>
      <c r="AL54" s="194"/>
      <c r="AM54" s="194"/>
      <c r="AN54" s="194"/>
      <c r="AO54" s="193"/>
      <c r="AP54" s="193"/>
      <c r="AQ54" s="193"/>
      <c r="AR54" s="193"/>
      <c r="AS54" s="189"/>
      <c r="AT54" s="176"/>
      <c r="AU54" s="176"/>
      <c r="AV54" s="176"/>
      <c r="AW54" s="176"/>
      <c r="AX54" s="176"/>
      <c r="AY54" s="176"/>
      <c r="AZ54" s="176"/>
      <c r="BA54" s="176"/>
      <c r="BB54" s="176"/>
      <c r="BC54" s="176"/>
      <c r="BD54" s="177"/>
    </row>
    <row r="55" spans="1:56" s="207" customFormat="1" ht="14.4" customHeight="1">
      <c r="A55" s="221">
        <f>IF(B55="","",COUNTA($B$8:B55))</f>
        <v>47</v>
      </c>
      <c r="B55" s="186" t="s">
        <v>368</v>
      </c>
      <c r="C55" s="187"/>
      <c r="D55" s="187"/>
      <c r="E55" s="187"/>
      <c r="F55" s="187"/>
      <c r="G55" s="187"/>
      <c r="H55" s="188"/>
      <c r="I55" s="204" t="s">
        <v>369</v>
      </c>
      <c r="J55" s="190"/>
      <c r="K55" s="190"/>
      <c r="L55" s="190"/>
      <c r="M55" s="190"/>
      <c r="N55" s="190"/>
      <c r="O55" s="190"/>
      <c r="P55" s="190"/>
      <c r="Q55" s="191"/>
      <c r="R55" s="186" t="s">
        <v>368</v>
      </c>
      <c r="S55" s="190"/>
      <c r="T55" s="190"/>
      <c r="U55" s="190"/>
      <c r="V55" s="190"/>
      <c r="W55" s="190"/>
      <c r="X55" s="188"/>
      <c r="Y55" s="378" t="s">
        <v>155</v>
      </c>
      <c r="Z55" s="379"/>
      <c r="AA55" s="380" t="s">
        <v>156</v>
      </c>
      <c r="AB55" s="381"/>
      <c r="AC55" s="382"/>
      <c r="AD55" s="205">
        <v>1</v>
      </c>
      <c r="AE55" s="193"/>
      <c r="AF55" s="193"/>
      <c r="AG55" s="194"/>
      <c r="AH55" s="194">
        <v>0</v>
      </c>
      <c r="AI55" s="194"/>
      <c r="AJ55" s="194"/>
      <c r="AK55" s="194"/>
      <c r="AL55" s="194"/>
      <c r="AM55" s="194"/>
      <c r="AN55" s="194"/>
      <c r="AO55" s="193"/>
      <c r="AP55" s="193"/>
      <c r="AQ55" s="193"/>
      <c r="AR55" s="193"/>
      <c r="AS55" s="189" t="s">
        <v>235</v>
      </c>
      <c r="AT55" s="176"/>
      <c r="AU55" s="176"/>
      <c r="AV55" s="176"/>
      <c r="AW55" s="176"/>
      <c r="AX55" s="176"/>
      <c r="AY55" s="176"/>
      <c r="AZ55" s="176"/>
      <c r="BA55" s="176"/>
      <c r="BB55" s="176"/>
      <c r="BC55" s="176"/>
      <c r="BD55" s="177"/>
    </row>
    <row r="56" spans="1:56" s="207" customFormat="1" ht="14.4" customHeight="1">
      <c r="A56" s="221">
        <f>IF(B56="","",COUNTA($B$8:B56))</f>
        <v>48</v>
      </c>
      <c r="B56" s="186" t="s">
        <v>370</v>
      </c>
      <c r="C56" s="187"/>
      <c r="D56" s="187"/>
      <c r="E56" s="187"/>
      <c r="F56" s="187"/>
      <c r="G56" s="187"/>
      <c r="H56" s="188"/>
      <c r="I56" s="204" t="s">
        <v>371</v>
      </c>
      <c r="J56" s="190"/>
      <c r="K56" s="190"/>
      <c r="L56" s="190"/>
      <c r="M56" s="190"/>
      <c r="N56" s="190"/>
      <c r="O56" s="190"/>
      <c r="P56" s="190"/>
      <c r="Q56" s="191"/>
      <c r="R56" s="186" t="s">
        <v>370</v>
      </c>
      <c r="S56" s="190"/>
      <c r="T56" s="190"/>
      <c r="U56" s="190"/>
      <c r="V56" s="190"/>
      <c r="W56" s="190"/>
      <c r="X56" s="188"/>
      <c r="Y56" s="378" t="s">
        <v>169</v>
      </c>
      <c r="Z56" s="379"/>
      <c r="AA56" s="380" t="s">
        <v>170</v>
      </c>
      <c r="AB56" s="381"/>
      <c r="AC56" s="382"/>
      <c r="AD56" s="205"/>
      <c r="AE56" s="193"/>
      <c r="AF56" s="193"/>
      <c r="AG56" s="194"/>
      <c r="AH56" s="194"/>
      <c r="AI56" s="194"/>
      <c r="AJ56" s="194"/>
      <c r="AK56" s="194"/>
      <c r="AL56" s="194"/>
      <c r="AM56" s="194"/>
      <c r="AN56" s="194"/>
      <c r="AO56" s="193"/>
      <c r="AP56" s="193"/>
      <c r="AQ56" s="193"/>
      <c r="AR56" s="193"/>
      <c r="AS56" s="189"/>
      <c r="AT56" s="176"/>
      <c r="AU56" s="176"/>
      <c r="AV56" s="176"/>
      <c r="AW56" s="176"/>
      <c r="AX56" s="176"/>
      <c r="AY56" s="176"/>
      <c r="AZ56" s="176"/>
      <c r="BA56" s="176"/>
      <c r="BB56" s="176"/>
      <c r="BC56" s="176"/>
      <c r="BD56" s="177"/>
    </row>
    <row r="57" spans="1:56" s="207" customFormat="1" ht="14.4" customHeight="1">
      <c r="A57" s="221">
        <f>IF(B57="","",COUNTA($B$8:B57))</f>
        <v>49</v>
      </c>
      <c r="B57" s="186" t="s">
        <v>372</v>
      </c>
      <c r="C57" s="187"/>
      <c r="D57" s="187"/>
      <c r="E57" s="187"/>
      <c r="F57" s="187"/>
      <c r="G57" s="187"/>
      <c r="H57" s="188"/>
      <c r="I57" s="204" t="s">
        <v>373</v>
      </c>
      <c r="J57" s="190"/>
      <c r="K57" s="190"/>
      <c r="L57" s="190"/>
      <c r="M57" s="190"/>
      <c r="N57" s="190"/>
      <c r="O57" s="190"/>
      <c r="P57" s="190"/>
      <c r="Q57" s="191"/>
      <c r="R57" s="186" t="s">
        <v>372</v>
      </c>
      <c r="S57" s="190"/>
      <c r="T57" s="190"/>
      <c r="U57" s="190"/>
      <c r="V57" s="190"/>
      <c r="W57" s="190"/>
      <c r="X57" s="188"/>
      <c r="Y57" s="378" t="s">
        <v>169</v>
      </c>
      <c r="Z57" s="379"/>
      <c r="AA57" s="380" t="s">
        <v>170</v>
      </c>
      <c r="AB57" s="381"/>
      <c r="AC57" s="382"/>
      <c r="AD57" s="205"/>
      <c r="AE57" s="193"/>
      <c r="AF57" s="193"/>
      <c r="AG57" s="194"/>
      <c r="AH57" s="194"/>
      <c r="AI57" s="194"/>
      <c r="AJ57" s="194"/>
      <c r="AK57" s="194"/>
      <c r="AL57" s="194"/>
      <c r="AM57" s="194"/>
      <c r="AN57" s="194"/>
      <c r="AO57" s="193"/>
      <c r="AP57" s="193"/>
      <c r="AQ57" s="193"/>
      <c r="AR57" s="193"/>
      <c r="AS57" s="189"/>
      <c r="AT57" s="176"/>
      <c r="AU57" s="176"/>
      <c r="AV57" s="176"/>
      <c r="AW57" s="176"/>
      <c r="AX57" s="176"/>
      <c r="AY57" s="176"/>
      <c r="AZ57" s="176"/>
      <c r="BA57" s="176"/>
      <c r="BB57" s="176"/>
      <c r="BC57" s="176"/>
      <c r="BD57" s="177"/>
    </row>
    <row r="58" spans="1:56" s="207" customFormat="1" ht="14.4" customHeight="1">
      <c r="A58" s="221">
        <f>IF(B58="","",COUNTA($B$8:B58))</f>
        <v>50</v>
      </c>
      <c r="B58" s="186" t="s">
        <v>239</v>
      </c>
      <c r="C58" s="187"/>
      <c r="D58" s="187"/>
      <c r="E58" s="187"/>
      <c r="F58" s="187"/>
      <c r="G58" s="187"/>
      <c r="H58" s="188"/>
      <c r="I58" s="204" t="s">
        <v>240</v>
      </c>
      <c r="J58" s="190"/>
      <c r="K58" s="190"/>
      <c r="L58" s="190"/>
      <c r="M58" s="190"/>
      <c r="N58" s="190"/>
      <c r="O58" s="190"/>
      <c r="P58" s="190"/>
      <c r="Q58" s="191"/>
      <c r="R58" s="186" t="s">
        <v>239</v>
      </c>
      <c r="S58" s="190"/>
      <c r="T58" s="190"/>
      <c r="U58" s="190"/>
      <c r="V58" s="190"/>
      <c r="W58" s="190"/>
      <c r="X58" s="188"/>
      <c r="Y58" s="378" t="s">
        <v>169</v>
      </c>
      <c r="Z58" s="379"/>
      <c r="AA58" s="380" t="s">
        <v>170</v>
      </c>
      <c r="AB58" s="381"/>
      <c r="AC58" s="382"/>
      <c r="AD58" s="205"/>
      <c r="AE58" s="193"/>
      <c r="AF58" s="193"/>
      <c r="AG58" s="193"/>
      <c r="AH58" s="194"/>
      <c r="AI58" s="194"/>
      <c r="AJ58" s="194"/>
      <c r="AK58" s="194"/>
      <c r="AL58" s="194"/>
      <c r="AM58" s="194"/>
      <c r="AN58" s="194"/>
      <c r="AO58" s="193"/>
      <c r="AP58" s="193"/>
      <c r="AQ58" s="193"/>
      <c r="AR58" s="193"/>
      <c r="AS58" s="189"/>
      <c r="AT58" s="176"/>
      <c r="AU58" s="176"/>
      <c r="AV58" s="176"/>
      <c r="AW58" s="176"/>
      <c r="AX58" s="176"/>
      <c r="AY58" s="176"/>
      <c r="AZ58" s="176"/>
      <c r="BA58" s="176"/>
      <c r="BB58" s="176"/>
      <c r="BC58" s="176"/>
      <c r="BD58" s="177"/>
    </row>
    <row r="59" spans="1:56" s="207" customFormat="1" ht="14.4" customHeight="1">
      <c r="A59" s="221">
        <f>IF(B59="","",COUNTA($B$8:B59))</f>
        <v>51</v>
      </c>
      <c r="B59" s="186" t="s">
        <v>253</v>
      </c>
      <c r="C59" s="187"/>
      <c r="D59" s="187"/>
      <c r="E59" s="187"/>
      <c r="F59" s="187"/>
      <c r="G59" s="187"/>
      <c r="H59" s="188"/>
      <c r="I59" s="189" t="s">
        <v>254</v>
      </c>
      <c r="J59" s="190"/>
      <c r="K59" s="190"/>
      <c r="L59" s="190"/>
      <c r="M59" s="190"/>
      <c r="N59" s="190"/>
      <c r="O59" s="190"/>
      <c r="P59" s="190"/>
      <c r="Q59" s="191"/>
      <c r="R59" s="186" t="s">
        <v>253</v>
      </c>
      <c r="S59" s="190"/>
      <c r="T59" s="190"/>
      <c r="U59" s="190"/>
      <c r="V59" s="190"/>
      <c r="W59" s="190"/>
      <c r="X59" s="188"/>
      <c r="Y59" s="378" t="s">
        <v>150</v>
      </c>
      <c r="Z59" s="379"/>
      <c r="AA59" s="380" t="s">
        <v>151</v>
      </c>
      <c r="AB59" s="381"/>
      <c r="AC59" s="382"/>
      <c r="AD59" s="205">
        <v>10</v>
      </c>
      <c r="AE59" s="193"/>
      <c r="AF59" s="193"/>
      <c r="AG59" s="193"/>
      <c r="AH59" s="194"/>
      <c r="AI59" s="194"/>
      <c r="AJ59" s="194"/>
      <c r="AK59" s="194"/>
      <c r="AL59" s="194"/>
      <c r="AM59" s="194"/>
      <c r="AN59" s="194"/>
      <c r="AO59" s="193"/>
      <c r="AP59" s="193"/>
      <c r="AQ59" s="193"/>
      <c r="AR59" s="193"/>
      <c r="AS59" s="189"/>
      <c r="AT59" s="176"/>
      <c r="AU59" s="176"/>
      <c r="AV59" s="176"/>
      <c r="AW59" s="176"/>
      <c r="AX59" s="176"/>
      <c r="AY59" s="176"/>
      <c r="AZ59" s="176"/>
      <c r="BA59" s="176"/>
      <c r="BB59" s="176"/>
      <c r="BC59" s="176"/>
      <c r="BD59" s="177"/>
    </row>
    <row r="60" spans="1:56" s="207" customFormat="1" ht="14.4" customHeight="1">
      <c r="A60" s="221">
        <f>IF(B60="","",COUNTA($B$8:B60))</f>
        <v>52</v>
      </c>
      <c r="B60" s="186" t="s">
        <v>255</v>
      </c>
      <c r="C60" s="187"/>
      <c r="D60" s="187"/>
      <c r="E60" s="187"/>
      <c r="F60" s="187"/>
      <c r="G60" s="187"/>
      <c r="H60" s="188"/>
      <c r="I60" s="189" t="s">
        <v>256</v>
      </c>
      <c r="J60" s="190"/>
      <c r="K60" s="190"/>
      <c r="L60" s="190"/>
      <c r="M60" s="190"/>
      <c r="N60" s="190"/>
      <c r="O60" s="190"/>
      <c r="P60" s="190"/>
      <c r="Q60" s="191"/>
      <c r="R60" s="186" t="s">
        <v>255</v>
      </c>
      <c r="S60" s="190"/>
      <c r="T60" s="190"/>
      <c r="U60" s="190"/>
      <c r="V60" s="190"/>
      <c r="W60" s="190"/>
      <c r="X60" s="188"/>
      <c r="Y60" s="378" t="s">
        <v>150</v>
      </c>
      <c r="Z60" s="379"/>
      <c r="AA60" s="380" t="s">
        <v>151</v>
      </c>
      <c r="AB60" s="381"/>
      <c r="AC60" s="382"/>
      <c r="AD60" s="205">
        <v>10</v>
      </c>
      <c r="AE60" s="193"/>
      <c r="AF60" s="193"/>
      <c r="AG60" s="193"/>
      <c r="AH60" s="194"/>
      <c r="AI60" s="194"/>
      <c r="AJ60" s="194"/>
      <c r="AK60" s="194"/>
      <c r="AL60" s="194"/>
      <c r="AM60" s="194"/>
      <c r="AN60" s="194"/>
      <c r="AO60" s="193"/>
      <c r="AP60" s="193"/>
      <c r="AQ60" s="193"/>
      <c r="AR60" s="193"/>
      <c r="AS60" s="189"/>
      <c r="AT60" s="176"/>
      <c r="AU60" s="176"/>
      <c r="AV60" s="176"/>
      <c r="AW60" s="176"/>
      <c r="AX60" s="176"/>
      <c r="AY60" s="176"/>
      <c r="AZ60" s="176"/>
      <c r="BA60" s="176"/>
      <c r="BB60" s="176"/>
      <c r="BC60" s="176"/>
      <c r="BD60" s="177"/>
    </row>
    <row r="61" spans="1:56" s="207" customFormat="1" ht="14.4" customHeight="1">
      <c r="A61" s="221">
        <f>IF(B61="","",COUNTA($B$8:B61))</f>
        <v>53</v>
      </c>
      <c r="B61" s="186" t="s">
        <v>257</v>
      </c>
      <c r="C61" s="187"/>
      <c r="D61" s="187"/>
      <c r="E61" s="187"/>
      <c r="F61" s="187"/>
      <c r="G61" s="187"/>
      <c r="H61" s="188"/>
      <c r="I61" s="189" t="s">
        <v>258</v>
      </c>
      <c r="J61" s="190"/>
      <c r="K61" s="190"/>
      <c r="L61" s="190"/>
      <c r="M61" s="190"/>
      <c r="N61" s="190"/>
      <c r="O61" s="190"/>
      <c r="P61" s="190"/>
      <c r="Q61" s="191"/>
      <c r="R61" s="186" t="s">
        <v>257</v>
      </c>
      <c r="S61" s="190"/>
      <c r="T61" s="190"/>
      <c r="U61" s="190"/>
      <c r="V61" s="190"/>
      <c r="W61" s="190"/>
      <c r="X61" s="188"/>
      <c r="Y61" s="378" t="s">
        <v>169</v>
      </c>
      <c r="Z61" s="379"/>
      <c r="AA61" s="380" t="s">
        <v>243</v>
      </c>
      <c r="AB61" s="381"/>
      <c r="AC61" s="382"/>
      <c r="AD61" s="192"/>
      <c r="AE61" s="193"/>
      <c r="AF61" s="193"/>
      <c r="AG61" s="193"/>
      <c r="AH61" s="209"/>
      <c r="AI61" s="209"/>
      <c r="AJ61" s="194"/>
      <c r="AK61" s="194"/>
      <c r="AL61" s="194"/>
      <c r="AM61" s="194"/>
      <c r="AN61" s="194"/>
      <c r="AO61" s="193"/>
      <c r="AP61" s="193"/>
      <c r="AQ61" s="193"/>
      <c r="AR61" s="193"/>
      <c r="AS61" s="189"/>
      <c r="AT61" s="176"/>
      <c r="AU61" s="176"/>
      <c r="AV61" s="176"/>
      <c r="AW61" s="176"/>
      <c r="AX61" s="176"/>
      <c r="AY61" s="176"/>
      <c r="AZ61" s="176"/>
      <c r="BA61" s="176"/>
      <c r="BB61" s="176"/>
      <c r="BC61" s="176"/>
      <c r="BD61" s="177"/>
    </row>
    <row r="62" spans="1:56" s="207" customFormat="1" ht="14.4" customHeight="1">
      <c r="A62" s="221">
        <f>IF(B62="","",COUNTA($B$8:B62))</f>
        <v>54</v>
      </c>
      <c r="B62" s="186" t="s">
        <v>259</v>
      </c>
      <c r="C62" s="187"/>
      <c r="D62" s="187"/>
      <c r="E62" s="187"/>
      <c r="F62" s="187"/>
      <c r="G62" s="187"/>
      <c r="H62" s="188"/>
      <c r="I62" s="189" t="s">
        <v>260</v>
      </c>
      <c r="J62" s="190"/>
      <c r="K62" s="190"/>
      <c r="L62" s="190"/>
      <c r="M62" s="190"/>
      <c r="N62" s="190"/>
      <c r="O62" s="190"/>
      <c r="P62" s="190"/>
      <c r="Q62" s="191"/>
      <c r="R62" s="186" t="s">
        <v>259</v>
      </c>
      <c r="S62" s="190"/>
      <c r="T62" s="190"/>
      <c r="U62" s="190"/>
      <c r="V62" s="190"/>
      <c r="W62" s="190"/>
      <c r="X62" s="188"/>
      <c r="Y62" s="378" t="s">
        <v>150</v>
      </c>
      <c r="Z62" s="379"/>
      <c r="AA62" s="380" t="s">
        <v>151</v>
      </c>
      <c r="AB62" s="381"/>
      <c r="AC62" s="382"/>
      <c r="AD62" s="205">
        <v>10</v>
      </c>
      <c r="AE62" s="193"/>
      <c r="AF62" s="193"/>
      <c r="AG62" s="193"/>
      <c r="AH62" s="209"/>
      <c r="AI62" s="209"/>
      <c r="AJ62" s="194"/>
      <c r="AK62" s="194"/>
      <c r="AL62" s="194"/>
      <c r="AM62" s="194"/>
      <c r="AN62" s="194"/>
      <c r="AO62" s="193"/>
      <c r="AP62" s="193"/>
      <c r="AQ62" s="193"/>
      <c r="AR62" s="193"/>
      <c r="AS62" s="189"/>
      <c r="AT62" s="176"/>
      <c r="AU62" s="176"/>
      <c r="AV62" s="176"/>
      <c r="AW62" s="176"/>
      <c r="AX62" s="176"/>
      <c r="AY62" s="176"/>
      <c r="AZ62" s="176"/>
      <c r="BA62" s="176"/>
      <c r="BB62" s="176"/>
      <c r="BC62" s="176"/>
      <c r="BD62" s="177"/>
    </row>
    <row r="63" spans="1:56" s="207" customFormat="1" ht="14.4" customHeight="1">
      <c r="A63" s="221">
        <f>IF(B63="","",COUNTA($B$8:B63))</f>
        <v>55</v>
      </c>
      <c r="B63" s="186" t="s">
        <v>261</v>
      </c>
      <c r="C63" s="187"/>
      <c r="D63" s="187"/>
      <c r="E63" s="187"/>
      <c r="F63" s="187"/>
      <c r="G63" s="187"/>
      <c r="H63" s="188"/>
      <c r="I63" s="189" t="s">
        <v>262</v>
      </c>
      <c r="J63" s="190"/>
      <c r="K63" s="190"/>
      <c r="L63" s="190"/>
      <c r="M63" s="190"/>
      <c r="N63" s="190"/>
      <c r="O63" s="190"/>
      <c r="P63" s="190"/>
      <c r="Q63" s="191"/>
      <c r="R63" s="186" t="s">
        <v>261</v>
      </c>
      <c r="S63" s="190"/>
      <c r="T63" s="190"/>
      <c r="U63" s="190"/>
      <c r="V63" s="190"/>
      <c r="W63" s="190"/>
      <c r="X63" s="188"/>
      <c r="Y63" s="378" t="s">
        <v>150</v>
      </c>
      <c r="Z63" s="379"/>
      <c r="AA63" s="380" t="s">
        <v>151</v>
      </c>
      <c r="AB63" s="381"/>
      <c r="AC63" s="382"/>
      <c r="AD63" s="192">
        <v>10</v>
      </c>
      <c r="AE63" s="193"/>
      <c r="AF63" s="193"/>
      <c r="AG63" s="193"/>
      <c r="AH63" s="194"/>
      <c r="AI63" s="194"/>
      <c r="AJ63" s="194"/>
      <c r="AK63" s="194"/>
      <c r="AL63" s="209"/>
      <c r="AM63" s="209"/>
      <c r="AN63" s="209"/>
      <c r="AO63" s="208"/>
      <c r="AP63" s="208"/>
      <c r="AQ63" s="208"/>
      <c r="AR63" s="208"/>
      <c r="AS63" s="210"/>
      <c r="AT63" s="215"/>
      <c r="AU63" s="176"/>
      <c r="AV63" s="176"/>
      <c r="AW63" s="176"/>
      <c r="AX63" s="176"/>
      <c r="AY63" s="176"/>
      <c r="AZ63" s="176"/>
      <c r="BA63" s="176"/>
      <c r="BB63" s="176"/>
      <c r="BC63" s="176"/>
      <c r="BD63" s="177"/>
    </row>
    <row r="64" spans="1:56" s="207" customFormat="1" ht="14.4" customHeight="1">
      <c r="A64" s="221">
        <f>IF(B64="","",COUNTA($B$8:B64))</f>
        <v>56</v>
      </c>
      <c r="B64" s="186" t="s">
        <v>263</v>
      </c>
      <c r="C64" s="187"/>
      <c r="D64" s="187"/>
      <c r="E64" s="187"/>
      <c r="F64" s="187"/>
      <c r="G64" s="187"/>
      <c r="H64" s="188"/>
      <c r="I64" s="189" t="s">
        <v>264</v>
      </c>
      <c r="J64" s="190"/>
      <c r="K64" s="190"/>
      <c r="L64" s="190"/>
      <c r="M64" s="190"/>
      <c r="N64" s="190"/>
      <c r="O64" s="190"/>
      <c r="P64" s="190"/>
      <c r="Q64" s="191"/>
      <c r="R64" s="195" t="s">
        <v>263</v>
      </c>
      <c r="S64" s="190"/>
      <c r="T64" s="190"/>
      <c r="U64" s="190"/>
      <c r="V64" s="190"/>
      <c r="W64" s="190"/>
      <c r="X64" s="188"/>
      <c r="Y64" s="378" t="s">
        <v>169</v>
      </c>
      <c r="Z64" s="379"/>
      <c r="AA64" s="380" t="s">
        <v>243</v>
      </c>
      <c r="AB64" s="381"/>
      <c r="AC64" s="382"/>
      <c r="AD64" s="192"/>
      <c r="AE64" s="193"/>
      <c r="AF64" s="193"/>
      <c r="AG64" s="193"/>
      <c r="AH64" s="209"/>
      <c r="AI64" s="209"/>
      <c r="AJ64" s="209"/>
      <c r="AK64" s="209"/>
      <c r="AL64" s="209"/>
      <c r="AM64" s="209"/>
      <c r="AN64" s="209"/>
      <c r="AO64" s="208"/>
      <c r="AP64" s="208"/>
      <c r="AQ64" s="208"/>
      <c r="AR64" s="208"/>
      <c r="AS64" s="210"/>
      <c r="AT64" s="215"/>
      <c r="AU64" s="176"/>
      <c r="AV64" s="176"/>
      <c r="AW64" s="176"/>
      <c r="AX64" s="176"/>
      <c r="AY64" s="176"/>
      <c r="AZ64" s="176"/>
      <c r="BA64" s="176"/>
      <c r="BB64" s="176"/>
      <c r="BC64" s="176"/>
      <c r="BD64" s="177"/>
    </row>
    <row r="65" spans="1:56" s="207" customFormat="1" ht="14.4" customHeight="1">
      <c r="A65" s="221" t="str">
        <f>IF(B65="","",COUNTA($B$8:B65))</f>
        <v/>
      </c>
      <c r="B65" s="186"/>
      <c r="C65" s="187"/>
      <c r="D65" s="187"/>
      <c r="E65" s="187"/>
      <c r="F65" s="187"/>
      <c r="G65" s="187"/>
      <c r="H65" s="188"/>
      <c r="I65" s="204"/>
      <c r="J65" s="190"/>
      <c r="K65" s="190"/>
      <c r="L65" s="190"/>
      <c r="M65" s="190"/>
      <c r="N65" s="190"/>
      <c r="O65" s="190"/>
      <c r="P65" s="190"/>
      <c r="Q65" s="191"/>
      <c r="R65" s="186"/>
      <c r="S65" s="190"/>
      <c r="T65" s="190"/>
      <c r="U65" s="190"/>
      <c r="V65" s="190"/>
      <c r="W65" s="190"/>
      <c r="X65" s="188"/>
      <c r="Y65" s="378"/>
      <c r="Z65" s="379"/>
      <c r="AA65" s="380"/>
      <c r="AB65" s="381"/>
      <c r="AC65" s="382"/>
      <c r="AD65" s="192"/>
      <c r="AE65" s="193" t="s">
        <v>244</v>
      </c>
      <c r="AF65" s="193"/>
      <c r="AG65" s="193"/>
      <c r="AH65" s="209"/>
      <c r="AI65" s="209"/>
      <c r="AJ65" s="209"/>
      <c r="AK65" s="209"/>
      <c r="AL65" s="209"/>
      <c r="AM65" s="209"/>
      <c r="AN65" s="209"/>
      <c r="AO65" s="208"/>
      <c r="AP65" s="208"/>
      <c r="AQ65" s="208"/>
      <c r="AR65" s="208"/>
      <c r="AS65" s="210"/>
      <c r="AT65" s="215"/>
      <c r="AU65" s="176"/>
      <c r="AV65" s="176"/>
      <c r="AW65" s="176"/>
      <c r="AX65" s="176"/>
      <c r="AY65" s="176"/>
      <c r="AZ65" s="176"/>
      <c r="BA65" s="176"/>
      <c r="BB65" s="176"/>
      <c r="BC65" s="176"/>
      <c r="BD65" s="177"/>
    </row>
    <row r="66" spans="1:56" s="207" customFormat="1" ht="14.4" customHeight="1">
      <c r="A66" s="221" t="str">
        <f>IF(B66="","",COUNTA($B$8:B66))</f>
        <v/>
      </c>
      <c r="B66" s="186"/>
      <c r="C66" s="187"/>
      <c r="D66" s="187"/>
      <c r="E66" s="187"/>
      <c r="F66" s="187"/>
      <c r="G66" s="187"/>
      <c r="H66" s="188"/>
      <c r="I66" s="204"/>
      <c r="J66" s="190"/>
      <c r="K66" s="190"/>
      <c r="L66" s="190"/>
      <c r="M66" s="190"/>
      <c r="N66" s="190"/>
      <c r="O66" s="190"/>
      <c r="P66" s="190"/>
      <c r="Q66" s="191"/>
      <c r="R66" s="186"/>
      <c r="S66" s="190"/>
      <c r="T66" s="190"/>
      <c r="U66" s="190"/>
      <c r="V66" s="190"/>
      <c r="W66" s="190"/>
      <c r="X66" s="188"/>
      <c r="Y66" s="378"/>
      <c r="Z66" s="379"/>
      <c r="AA66" s="380"/>
      <c r="AB66" s="381"/>
      <c r="AC66" s="382"/>
      <c r="AD66" s="192"/>
      <c r="AE66" s="193" t="s">
        <v>244</v>
      </c>
      <c r="AF66" s="193"/>
      <c r="AG66" s="193"/>
      <c r="AH66" s="209"/>
      <c r="AI66" s="209"/>
      <c r="AJ66" s="209"/>
      <c r="AK66" s="209"/>
      <c r="AL66" s="209"/>
      <c r="AM66" s="209"/>
      <c r="AN66" s="209"/>
      <c r="AO66" s="208"/>
      <c r="AP66" s="208"/>
      <c r="AQ66" s="208"/>
      <c r="AR66" s="208"/>
      <c r="AS66" s="210"/>
      <c r="AT66" s="215"/>
      <c r="AU66" s="176"/>
      <c r="AV66" s="176"/>
      <c r="AW66" s="176"/>
      <c r="AX66" s="176"/>
      <c r="AY66" s="176"/>
      <c r="AZ66" s="176"/>
      <c r="BA66" s="176"/>
      <c r="BB66" s="176"/>
      <c r="BC66" s="176"/>
      <c r="BD66" s="177"/>
    </row>
    <row r="67" spans="1:56" s="207" customFormat="1" ht="14.4" customHeight="1">
      <c r="A67" s="221" t="str">
        <f>IF(B67="","",COUNTA($B$8:B67))</f>
        <v/>
      </c>
      <c r="B67" s="186"/>
      <c r="C67" s="187"/>
      <c r="D67" s="187"/>
      <c r="E67" s="187"/>
      <c r="F67" s="187"/>
      <c r="G67" s="187"/>
      <c r="H67" s="188"/>
      <c r="I67" s="204"/>
      <c r="J67" s="190"/>
      <c r="K67" s="190"/>
      <c r="L67" s="190"/>
      <c r="M67" s="190"/>
      <c r="N67" s="190"/>
      <c r="O67" s="190"/>
      <c r="P67" s="190"/>
      <c r="Q67" s="191"/>
      <c r="R67" s="186"/>
      <c r="S67" s="190"/>
      <c r="T67" s="190"/>
      <c r="U67" s="190"/>
      <c r="V67" s="190"/>
      <c r="W67" s="190"/>
      <c r="X67" s="188"/>
      <c r="Y67" s="378"/>
      <c r="Z67" s="379"/>
      <c r="AA67" s="380"/>
      <c r="AB67" s="381"/>
      <c r="AC67" s="382"/>
      <c r="AD67" s="192"/>
      <c r="AE67" s="193" t="s">
        <v>244</v>
      </c>
      <c r="AF67" s="193"/>
      <c r="AG67" s="193"/>
      <c r="AH67" s="209"/>
      <c r="AI67" s="209"/>
      <c r="AJ67" s="209"/>
      <c r="AK67" s="209"/>
      <c r="AL67" s="209"/>
      <c r="AM67" s="209"/>
      <c r="AN67" s="209"/>
      <c r="AO67" s="208"/>
      <c r="AP67" s="208"/>
      <c r="AQ67" s="208"/>
      <c r="AR67" s="208"/>
      <c r="AS67" s="210"/>
      <c r="AT67" s="215"/>
      <c r="AU67" s="176"/>
      <c r="AV67" s="176"/>
      <c r="AW67" s="176"/>
      <c r="AX67" s="176"/>
      <c r="AY67" s="176"/>
      <c r="AZ67" s="176"/>
      <c r="BA67" s="176"/>
      <c r="BB67" s="176"/>
      <c r="BC67" s="176"/>
      <c r="BD67" s="177"/>
    </row>
    <row r="68" spans="1:56" s="207" customFormat="1" ht="14.4" customHeight="1">
      <c r="A68" s="221" t="str">
        <f>IF(B68="","",COUNTA($B$8:B68))</f>
        <v/>
      </c>
      <c r="B68" s="186"/>
      <c r="C68" s="187"/>
      <c r="D68" s="187"/>
      <c r="E68" s="187"/>
      <c r="F68" s="187"/>
      <c r="G68" s="187"/>
      <c r="H68" s="188"/>
      <c r="I68" s="204"/>
      <c r="J68" s="190"/>
      <c r="K68" s="190"/>
      <c r="L68" s="190"/>
      <c r="M68" s="190"/>
      <c r="N68" s="190"/>
      <c r="O68" s="190"/>
      <c r="P68" s="190"/>
      <c r="Q68" s="191"/>
      <c r="R68" s="186"/>
      <c r="S68" s="190"/>
      <c r="T68" s="190"/>
      <c r="U68" s="190"/>
      <c r="V68" s="190"/>
      <c r="W68" s="190"/>
      <c r="X68" s="188"/>
      <c r="Y68" s="378"/>
      <c r="Z68" s="379"/>
      <c r="AA68" s="380"/>
      <c r="AB68" s="381"/>
      <c r="AC68" s="382"/>
      <c r="AD68" s="192"/>
      <c r="AE68" s="193" t="s">
        <v>244</v>
      </c>
      <c r="AF68" s="193"/>
      <c r="AG68" s="193"/>
      <c r="AH68" s="209"/>
      <c r="AI68" s="209"/>
      <c r="AJ68" s="209"/>
      <c r="AK68" s="209"/>
      <c r="AL68" s="209"/>
      <c r="AM68" s="209"/>
      <c r="AN68" s="209"/>
      <c r="AO68" s="208"/>
      <c r="AP68" s="208"/>
      <c r="AQ68" s="208"/>
      <c r="AR68" s="208"/>
      <c r="AS68" s="210"/>
      <c r="AT68" s="215"/>
      <c r="AU68" s="176"/>
      <c r="AV68" s="176"/>
      <c r="AW68" s="176"/>
      <c r="AX68" s="176"/>
      <c r="AY68" s="176"/>
      <c r="AZ68" s="176"/>
      <c r="BA68" s="176"/>
      <c r="BB68" s="176"/>
      <c r="BC68" s="176"/>
      <c r="BD68" s="177"/>
    </row>
    <row r="69" spans="1:56" s="207" customFormat="1" ht="14.4" customHeight="1">
      <c r="A69" s="221" t="str">
        <f>IF(B69="","",COUNTA($B$8:B69))</f>
        <v/>
      </c>
      <c r="B69" s="186"/>
      <c r="C69" s="187"/>
      <c r="D69" s="187"/>
      <c r="E69" s="187"/>
      <c r="F69" s="187"/>
      <c r="G69" s="187"/>
      <c r="H69" s="188"/>
      <c r="I69" s="204"/>
      <c r="J69" s="190"/>
      <c r="K69" s="190"/>
      <c r="L69" s="190"/>
      <c r="M69" s="190"/>
      <c r="N69" s="190"/>
      <c r="O69" s="190"/>
      <c r="P69" s="190"/>
      <c r="Q69" s="191"/>
      <c r="R69" s="186"/>
      <c r="S69" s="190"/>
      <c r="T69" s="190"/>
      <c r="U69" s="190"/>
      <c r="V69" s="190"/>
      <c r="W69" s="190"/>
      <c r="X69" s="188"/>
      <c r="Y69" s="378"/>
      <c r="Z69" s="379"/>
      <c r="AA69" s="380"/>
      <c r="AB69" s="381"/>
      <c r="AC69" s="382"/>
      <c r="AD69" s="192"/>
      <c r="AE69" s="193" t="s">
        <v>244</v>
      </c>
      <c r="AF69" s="193"/>
      <c r="AG69" s="193"/>
      <c r="AH69" s="209"/>
      <c r="AI69" s="209"/>
      <c r="AJ69" s="209"/>
      <c r="AK69" s="209"/>
      <c r="AL69" s="209"/>
      <c r="AM69" s="209"/>
      <c r="AN69" s="209"/>
      <c r="AO69" s="208"/>
      <c r="AP69" s="208"/>
      <c r="AQ69" s="208"/>
      <c r="AR69" s="208"/>
      <c r="AS69" s="210"/>
      <c r="AT69" s="215"/>
      <c r="AU69" s="176"/>
      <c r="AV69" s="176"/>
      <c r="AW69" s="176"/>
      <c r="AX69" s="176"/>
      <c r="AY69" s="176"/>
      <c r="AZ69" s="176"/>
      <c r="BA69" s="176"/>
      <c r="BB69" s="176"/>
      <c r="BC69" s="176"/>
      <c r="BD69" s="177"/>
    </row>
    <row r="70" spans="1:56" s="207" customFormat="1" ht="14.4" customHeight="1">
      <c r="A70" s="221" t="str">
        <f>IF(B70="","",COUNTA($B$8:B70))</f>
        <v/>
      </c>
      <c r="B70" s="186"/>
      <c r="C70" s="187"/>
      <c r="D70" s="187"/>
      <c r="E70" s="187"/>
      <c r="F70" s="187"/>
      <c r="G70" s="187"/>
      <c r="H70" s="188"/>
      <c r="I70" s="204"/>
      <c r="J70" s="190"/>
      <c r="K70" s="190"/>
      <c r="L70" s="190"/>
      <c r="M70" s="190"/>
      <c r="N70" s="190"/>
      <c r="O70" s="190"/>
      <c r="P70" s="190"/>
      <c r="Q70" s="191"/>
      <c r="R70" s="186"/>
      <c r="S70" s="190"/>
      <c r="T70" s="190"/>
      <c r="U70" s="190"/>
      <c r="V70" s="190"/>
      <c r="W70" s="190"/>
      <c r="X70" s="188"/>
      <c r="Y70" s="378"/>
      <c r="Z70" s="379"/>
      <c r="AA70" s="380"/>
      <c r="AB70" s="381"/>
      <c r="AC70" s="382"/>
      <c r="AD70" s="192"/>
      <c r="AE70" s="193" t="s">
        <v>244</v>
      </c>
      <c r="AF70" s="193"/>
      <c r="AG70" s="193"/>
      <c r="AH70" s="209"/>
      <c r="AI70" s="209"/>
      <c r="AJ70" s="209"/>
      <c r="AK70" s="209"/>
      <c r="AL70" s="209"/>
      <c r="AM70" s="209"/>
      <c r="AN70" s="209"/>
      <c r="AO70" s="208"/>
      <c r="AP70" s="208"/>
      <c r="AQ70" s="208"/>
      <c r="AR70" s="208"/>
      <c r="AS70" s="210"/>
      <c r="AT70" s="215"/>
      <c r="AU70" s="176"/>
      <c r="AV70" s="176"/>
      <c r="AW70" s="176"/>
      <c r="AX70" s="176"/>
      <c r="AY70" s="176"/>
      <c r="AZ70" s="176"/>
      <c r="BA70" s="176"/>
      <c r="BB70" s="176"/>
      <c r="BC70" s="176"/>
      <c r="BD70" s="177"/>
    </row>
    <row r="71" spans="1:56" s="207" customFormat="1" ht="14.4" customHeight="1">
      <c r="A71" s="221" t="str">
        <f>IF(B71="","",COUNTA($B$8:B71))</f>
        <v/>
      </c>
      <c r="B71" s="186"/>
      <c r="C71" s="187"/>
      <c r="D71" s="187"/>
      <c r="E71" s="187"/>
      <c r="F71" s="187"/>
      <c r="G71" s="187"/>
      <c r="H71" s="188"/>
      <c r="I71" s="204"/>
      <c r="J71" s="190"/>
      <c r="K71" s="190"/>
      <c r="L71" s="190"/>
      <c r="M71" s="190"/>
      <c r="N71" s="190"/>
      <c r="O71" s="190"/>
      <c r="P71" s="190"/>
      <c r="Q71" s="191"/>
      <c r="R71" s="186"/>
      <c r="S71" s="190"/>
      <c r="T71" s="190"/>
      <c r="U71" s="190"/>
      <c r="V71" s="190"/>
      <c r="W71" s="190"/>
      <c r="X71" s="188"/>
      <c r="Y71" s="378"/>
      <c r="Z71" s="379"/>
      <c r="AA71" s="380"/>
      <c r="AB71" s="381"/>
      <c r="AC71" s="382"/>
      <c r="AD71" s="192"/>
      <c r="AE71" s="193" t="s">
        <v>244</v>
      </c>
      <c r="AF71" s="193"/>
      <c r="AG71" s="193"/>
      <c r="AH71" s="209"/>
      <c r="AI71" s="209"/>
      <c r="AJ71" s="209"/>
      <c r="AK71" s="209"/>
      <c r="AL71" s="209"/>
      <c r="AM71" s="209"/>
      <c r="AN71" s="209"/>
      <c r="AO71" s="208"/>
      <c r="AP71" s="208"/>
      <c r="AQ71" s="208"/>
      <c r="AR71" s="208"/>
      <c r="AS71" s="210"/>
      <c r="AT71" s="215"/>
      <c r="AU71" s="176"/>
      <c r="AV71" s="176"/>
      <c r="AW71" s="176"/>
      <c r="AX71" s="176"/>
      <c r="AY71" s="176"/>
      <c r="AZ71" s="176"/>
      <c r="BA71" s="176"/>
      <c r="BB71" s="176"/>
      <c r="BC71" s="176"/>
      <c r="BD71" s="177"/>
    </row>
    <row r="72" spans="1:56" ht="14.4" customHeight="1">
      <c r="A72" s="131" t="str">
        <f>IF(B72="","",COUNTA($B$8:B72))</f>
        <v/>
      </c>
      <c r="B72" s="8"/>
      <c r="C72" s="114"/>
      <c r="D72" s="114"/>
      <c r="E72" s="114"/>
      <c r="F72" s="114"/>
      <c r="G72" s="114"/>
      <c r="H72" s="134"/>
      <c r="I72" s="115"/>
      <c r="J72" s="116"/>
      <c r="K72" s="116"/>
      <c r="L72" s="116"/>
      <c r="M72" s="116"/>
      <c r="N72" s="116"/>
      <c r="O72" s="116"/>
      <c r="P72" s="116"/>
      <c r="Q72" s="133"/>
      <c r="R72" s="8"/>
      <c r="S72" s="116"/>
      <c r="T72" s="116"/>
      <c r="U72" s="116"/>
      <c r="V72" s="116"/>
      <c r="W72" s="116"/>
      <c r="X72" s="134"/>
      <c r="Y72" s="424"/>
      <c r="Z72" s="425"/>
      <c r="AA72" s="426"/>
      <c r="AB72" s="427"/>
      <c r="AC72" s="428"/>
      <c r="AD72" s="159"/>
      <c r="AE72" s="111" t="s">
        <v>244</v>
      </c>
      <c r="AF72" s="111"/>
      <c r="AG72" s="111"/>
      <c r="AH72" s="121"/>
      <c r="AI72" s="121"/>
      <c r="AJ72" s="121"/>
      <c r="AK72" s="121"/>
      <c r="AL72" s="121"/>
      <c r="AM72" s="121"/>
      <c r="AN72" s="121"/>
      <c r="AO72" s="122"/>
      <c r="AP72" s="122"/>
      <c r="AQ72" s="122"/>
      <c r="AR72" s="122"/>
      <c r="AS72" s="123"/>
      <c r="AT72" s="161"/>
      <c r="AU72" s="124"/>
      <c r="AV72" s="124"/>
      <c r="AW72" s="124"/>
      <c r="AX72" s="124"/>
      <c r="AY72" s="124"/>
      <c r="AZ72" s="124"/>
      <c r="BA72" s="124"/>
      <c r="BB72" s="124"/>
      <c r="BC72" s="124"/>
      <c r="BD72" s="125"/>
    </row>
    <row r="73" spans="1:56" ht="14.4" customHeight="1">
      <c r="A73" s="131" t="str">
        <f>IF(B73="","",COUNTA($B$8:B73))</f>
        <v/>
      </c>
      <c r="B73" s="8"/>
      <c r="C73" s="114"/>
      <c r="D73" s="114"/>
      <c r="E73" s="114"/>
      <c r="F73" s="114"/>
      <c r="G73" s="114"/>
      <c r="H73" s="134"/>
      <c r="I73" s="115"/>
      <c r="J73" s="116"/>
      <c r="K73" s="116"/>
      <c r="L73" s="116"/>
      <c r="M73" s="116"/>
      <c r="N73" s="116"/>
      <c r="O73" s="116"/>
      <c r="P73" s="116"/>
      <c r="Q73" s="133"/>
      <c r="R73" s="8"/>
      <c r="S73" s="116"/>
      <c r="T73" s="116"/>
      <c r="U73" s="116"/>
      <c r="V73" s="116"/>
      <c r="W73" s="116"/>
      <c r="X73" s="134"/>
      <c r="Y73" s="424"/>
      <c r="Z73" s="425"/>
      <c r="AA73" s="426"/>
      <c r="AB73" s="427"/>
      <c r="AC73" s="428"/>
      <c r="AD73" s="159"/>
      <c r="AE73" s="111" t="s">
        <v>244</v>
      </c>
      <c r="AF73" s="111"/>
      <c r="AG73" s="111"/>
      <c r="AH73" s="121"/>
      <c r="AI73" s="121"/>
      <c r="AJ73" s="121"/>
      <c r="AK73" s="121"/>
      <c r="AL73" s="121"/>
      <c r="AM73" s="121"/>
      <c r="AN73" s="121"/>
      <c r="AO73" s="122"/>
      <c r="AP73" s="122"/>
      <c r="AQ73" s="122"/>
      <c r="AR73" s="122"/>
      <c r="AS73" s="123"/>
      <c r="AT73" s="161"/>
      <c r="AU73" s="124"/>
      <c r="AV73" s="124"/>
      <c r="AW73" s="124"/>
      <c r="AX73" s="124"/>
      <c r="AY73" s="124"/>
      <c r="AZ73" s="124"/>
      <c r="BA73" s="124"/>
      <c r="BB73" s="124"/>
      <c r="BC73" s="124"/>
      <c r="BD73" s="125"/>
    </row>
    <row r="74" spans="1:56" ht="14.4" customHeight="1">
      <c r="A74" s="131" t="str">
        <f>IF(B74="","",COUNTA($B$8:B74))</f>
        <v/>
      </c>
      <c r="B74" s="8"/>
      <c r="C74" s="114"/>
      <c r="D74" s="114"/>
      <c r="E74" s="114"/>
      <c r="F74" s="114"/>
      <c r="G74" s="114"/>
      <c r="H74" s="134"/>
      <c r="I74" s="115"/>
      <c r="J74" s="116"/>
      <c r="K74" s="116"/>
      <c r="L74" s="116"/>
      <c r="M74" s="116"/>
      <c r="N74" s="116"/>
      <c r="O74" s="116"/>
      <c r="P74" s="116"/>
      <c r="Q74" s="133"/>
      <c r="R74" s="8"/>
      <c r="S74" s="116"/>
      <c r="T74" s="116"/>
      <c r="U74" s="116"/>
      <c r="V74" s="116"/>
      <c r="W74" s="116"/>
      <c r="X74" s="134"/>
      <c r="Y74" s="424"/>
      <c r="Z74" s="425"/>
      <c r="AA74" s="426"/>
      <c r="AB74" s="427"/>
      <c r="AC74" s="428"/>
      <c r="AD74" s="159"/>
      <c r="AE74" s="111" t="s">
        <v>244</v>
      </c>
      <c r="AF74" s="111"/>
      <c r="AG74" s="111"/>
      <c r="AH74" s="121"/>
      <c r="AI74" s="121"/>
      <c r="AJ74" s="121"/>
      <c r="AK74" s="121"/>
      <c r="AL74" s="121"/>
      <c r="AM74" s="121"/>
      <c r="AN74" s="121"/>
      <c r="AO74" s="122"/>
      <c r="AP74" s="122"/>
      <c r="AQ74" s="122"/>
      <c r="AR74" s="122"/>
      <c r="AS74" s="123"/>
      <c r="AT74" s="161"/>
      <c r="AU74" s="124"/>
      <c r="AV74" s="124"/>
      <c r="AW74" s="124"/>
      <c r="AX74" s="124"/>
      <c r="AY74" s="124"/>
      <c r="AZ74" s="124"/>
      <c r="BA74" s="124"/>
      <c r="BB74" s="124"/>
      <c r="BC74" s="124"/>
      <c r="BD74" s="125"/>
    </row>
    <row r="75" spans="1:56" ht="14.4" customHeight="1">
      <c r="A75" s="131" t="str">
        <f>IF(B75="","",COUNTA($B$8:B75))</f>
        <v/>
      </c>
      <c r="B75" s="8"/>
      <c r="C75" s="114"/>
      <c r="D75" s="114"/>
      <c r="E75" s="114"/>
      <c r="F75" s="114"/>
      <c r="G75" s="114"/>
      <c r="H75" s="134"/>
      <c r="I75" s="115"/>
      <c r="J75" s="116"/>
      <c r="K75" s="116"/>
      <c r="L75" s="116"/>
      <c r="M75" s="116"/>
      <c r="N75" s="116"/>
      <c r="O75" s="116"/>
      <c r="P75" s="116"/>
      <c r="Q75" s="133"/>
      <c r="R75" s="8"/>
      <c r="S75" s="116"/>
      <c r="T75" s="116"/>
      <c r="U75" s="116"/>
      <c r="V75" s="116"/>
      <c r="W75" s="116"/>
      <c r="X75" s="134"/>
      <c r="Y75" s="424"/>
      <c r="Z75" s="425"/>
      <c r="AA75" s="426"/>
      <c r="AB75" s="427"/>
      <c r="AC75" s="428"/>
      <c r="AD75" s="159"/>
      <c r="AE75" s="111" t="s">
        <v>244</v>
      </c>
      <c r="AF75" s="111"/>
      <c r="AG75" s="111"/>
      <c r="AH75" s="121"/>
      <c r="AI75" s="121"/>
      <c r="AJ75" s="121"/>
      <c r="AK75" s="121"/>
      <c r="AL75" s="121"/>
      <c r="AM75" s="121"/>
      <c r="AN75" s="121"/>
      <c r="AO75" s="122"/>
      <c r="AP75" s="122"/>
      <c r="AQ75" s="122"/>
      <c r="AR75" s="122"/>
      <c r="AS75" s="123"/>
      <c r="AT75" s="161"/>
      <c r="AU75" s="124"/>
      <c r="AV75" s="124"/>
      <c r="AW75" s="124"/>
      <c r="AX75" s="124"/>
      <c r="AY75" s="124"/>
      <c r="AZ75" s="124"/>
      <c r="BA75" s="124"/>
      <c r="BB75" s="124"/>
      <c r="BC75" s="124"/>
      <c r="BD75" s="125"/>
    </row>
    <row r="76" spans="1:56" ht="14.4" customHeight="1">
      <c r="A76" s="131" t="str">
        <f>IF(B76="","",COUNTA($B$8:B76))</f>
        <v/>
      </c>
      <c r="B76" s="8"/>
      <c r="C76" s="114"/>
      <c r="D76" s="114"/>
      <c r="E76" s="114"/>
      <c r="F76" s="114"/>
      <c r="G76" s="114"/>
      <c r="H76" s="134"/>
      <c r="I76" s="115"/>
      <c r="J76" s="116"/>
      <c r="K76" s="116"/>
      <c r="L76" s="116"/>
      <c r="M76" s="116"/>
      <c r="N76" s="116"/>
      <c r="O76" s="116"/>
      <c r="P76" s="116"/>
      <c r="Q76" s="133"/>
      <c r="R76" s="8"/>
      <c r="S76" s="116"/>
      <c r="T76" s="116"/>
      <c r="U76" s="116"/>
      <c r="V76" s="116"/>
      <c r="W76" s="116"/>
      <c r="X76" s="134"/>
      <c r="Y76" s="424"/>
      <c r="Z76" s="425"/>
      <c r="AA76" s="426"/>
      <c r="AB76" s="427"/>
      <c r="AC76" s="428"/>
      <c r="AD76" s="159"/>
      <c r="AE76" s="111" t="s">
        <v>244</v>
      </c>
      <c r="AF76" s="111"/>
      <c r="AG76" s="111"/>
      <c r="AH76" s="121"/>
      <c r="AI76" s="121"/>
      <c r="AJ76" s="121"/>
      <c r="AK76" s="121"/>
      <c r="AL76" s="121"/>
      <c r="AM76" s="121"/>
      <c r="AN76" s="121"/>
      <c r="AO76" s="122"/>
      <c r="AP76" s="122"/>
      <c r="AQ76" s="122"/>
      <c r="AR76" s="122"/>
      <c r="AS76" s="123"/>
      <c r="AT76" s="161"/>
      <c r="AU76" s="124"/>
      <c r="AV76" s="124"/>
      <c r="AW76" s="124"/>
      <c r="AX76" s="124"/>
      <c r="AY76" s="124"/>
      <c r="AZ76" s="124"/>
      <c r="BA76" s="124"/>
      <c r="BB76" s="124"/>
      <c r="BC76" s="124"/>
      <c r="BD76" s="125"/>
    </row>
    <row r="77" spans="1:56" ht="14.4" customHeight="1">
      <c r="A77" s="131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419"/>
      <c r="Z77" s="420"/>
      <c r="AA77" s="421"/>
      <c r="AB77" s="422"/>
      <c r="AC77" s="423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" customHeight="1">
      <c r="A78" s="131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419"/>
      <c r="Z78" s="420"/>
      <c r="AA78" s="421"/>
      <c r="AB78" s="422"/>
      <c r="AC78" s="423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" customHeight="1">
      <c r="A79" s="131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419"/>
      <c r="Z79" s="420"/>
      <c r="AA79" s="421"/>
      <c r="AB79" s="422"/>
      <c r="AC79" s="423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" customHeight="1">
      <c r="A80" s="131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419"/>
      <c r="Z80" s="420"/>
      <c r="AA80" s="421"/>
      <c r="AB80" s="422"/>
      <c r="AC80" s="423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" customHeight="1">
      <c r="A81" s="131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419"/>
      <c r="Z81" s="420"/>
      <c r="AA81" s="421"/>
      <c r="AB81" s="422"/>
      <c r="AC81" s="423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" customHeight="1">
      <c r="A82" s="131" t="str">
        <f>IF(B82="","",COUNTA($B$8:B82))</f>
        <v/>
      </c>
      <c r="B82" s="272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272"/>
      <c r="S82" s="23"/>
      <c r="T82" s="23"/>
      <c r="U82" s="23"/>
      <c r="V82" s="23"/>
      <c r="W82" s="23"/>
      <c r="X82" s="24"/>
      <c r="Y82" s="419"/>
      <c r="Z82" s="420"/>
      <c r="AA82" s="421"/>
      <c r="AB82" s="422"/>
      <c r="AC82" s="423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" customHeight="1">
      <c r="A83" s="131" t="str">
        <f>IF(B83="","",COUNTA($B$8:B83))</f>
        <v/>
      </c>
      <c r="B83" s="272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272"/>
      <c r="S83" s="23"/>
      <c r="T83" s="23"/>
      <c r="U83" s="23"/>
      <c r="V83" s="23"/>
      <c r="W83" s="23"/>
      <c r="X83" s="24"/>
      <c r="Y83" s="419"/>
      <c r="Z83" s="420"/>
      <c r="AA83" s="421"/>
      <c r="AB83" s="422"/>
      <c r="AC83" s="423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" customHeight="1">
      <c r="A84" s="131" t="str">
        <f>IF(B84="","",COUNTA($B$8:B84))</f>
        <v/>
      </c>
      <c r="B84" s="272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272"/>
      <c r="S84" s="23"/>
      <c r="T84" s="23"/>
      <c r="U84" s="23"/>
      <c r="V84" s="23"/>
      <c r="W84" s="23"/>
      <c r="X84" s="24"/>
      <c r="Y84" s="419"/>
      <c r="Z84" s="420"/>
      <c r="AA84" s="421"/>
      <c r="AB84" s="422"/>
      <c r="AC84" s="423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" customHeight="1">
      <c r="A85" s="131" t="str">
        <f>IF(B85="","",COUNTA($B$8:B85))</f>
        <v/>
      </c>
      <c r="B85" s="272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272"/>
      <c r="S85" s="23"/>
      <c r="T85" s="23"/>
      <c r="U85" s="23"/>
      <c r="V85" s="23"/>
      <c r="W85" s="23"/>
      <c r="X85" s="24"/>
      <c r="Y85" s="419"/>
      <c r="Z85" s="420"/>
      <c r="AA85" s="421"/>
      <c r="AB85" s="422"/>
      <c r="AC85" s="423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79">
    <mergeCell ref="Y79:Z79"/>
    <mergeCell ref="AA79:AC79"/>
    <mergeCell ref="Y80:Z80"/>
    <mergeCell ref="AA80:AC80"/>
    <mergeCell ref="Y81:Z81"/>
    <mergeCell ref="AA81:AC81"/>
    <mergeCell ref="Y76:Z76"/>
    <mergeCell ref="AA76:AC76"/>
    <mergeCell ref="Y77:Z77"/>
    <mergeCell ref="AA77:AC77"/>
    <mergeCell ref="Y78:Z78"/>
    <mergeCell ref="AA78:AC78"/>
    <mergeCell ref="Y73:Z73"/>
    <mergeCell ref="AA73:AC73"/>
    <mergeCell ref="Y74:Z74"/>
    <mergeCell ref="AA74:AC74"/>
    <mergeCell ref="Y75:Z75"/>
    <mergeCell ref="AA75:AC75"/>
    <mergeCell ref="Y70:Z70"/>
    <mergeCell ref="AA70:AC70"/>
    <mergeCell ref="Y71:Z71"/>
    <mergeCell ref="AA71:AC71"/>
    <mergeCell ref="Y72:Z72"/>
    <mergeCell ref="AA72:AC72"/>
    <mergeCell ref="Y67:Z67"/>
    <mergeCell ref="AA67:AC67"/>
    <mergeCell ref="Y68:Z68"/>
    <mergeCell ref="AA68:AC68"/>
    <mergeCell ref="Y69:Z69"/>
    <mergeCell ref="AA69:AC69"/>
    <mergeCell ref="Y65:Z65"/>
    <mergeCell ref="AA65:AC65"/>
    <mergeCell ref="Y66:Z66"/>
    <mergeCell ref="AA66:AC66"/>
    <mergeCell ref="Y64:Z64"/>
    <mergeCell ref="AA64:AC64"/>
    <mergeCell ref="Y61:Z61"/>
    <mergeCell ref="AA61:AC61"/>
    <mergeCell ref="Y62:Z62"/>
    <mergeCell ref="AA62:AC62"/>
    <mergeCell ref="Y63:Z63"/>
    <mergeCell ref="AA63:AC63"/>
    <mergeCell ref="Y58:Z58"/>
    <mergeCell ref="AA58:AC58"/>
    <mergeCell ref="Y59:Z59"/>
    <mergeCell ref="AA59:AC59"/>
    <mergeCell ref="Y60:Z60"/>
    <mergeCell ref="AA60:AC60"/>
    <mergeCell ref="Y55:Z55"/>
    <mergeCell ref="AA55:AC55"/>
    <mergeCell ref="Y52:Z52"/>
    <mergeCell ref="AA52:AC52"/>
    <mergeCell ref="Y53:Z53"/>
    <mergeCell ref="AA53:AC53"/>
    <mergeCell ref="Y56:Z56"/>
    <mergeCell ref="AA56:AC56"/>
    <mergeCell ref="Y57:Z57"/>
    <mergeCell ref="AA57:AC57"/>
    <mergeCell ref="Y51:Z51"/>
    <mergeCell ref="AA51:AC51"/>
    <mergeCell ref="Y47:Z47"/>
    <mergeCell ref="AA47:AC47"/>
    <mergeCell ref="Y48:Z48"/>
    <mergeCell ref="AA48:AC48"/>
    <mergeCell ref="Y49:Z49"/>
    <mergeCell ref="AA49:AC49"/>
    <mergeCell ref="Y54:Z54"/>
    <mergeCell ref="AA54:AC54"/>
    <mergeCell ref="Y36:Z36"/>
    <mergeCell ref="AA36:AC36"/>
    <mergeCell ref="Y38:Z38"/>
    <mergeCell ref="AA38:AC38"/>
    <mergeCell ref="Y39:Z39"/>
    <mergeCell ref="AA39:AC39"/>
    <mergeCell ref="Y40:Z40"/>
    <mergeCell ref="AA40:AC40"/>
    <mergeCell ref="Y50:Z50"/>
    <mergeCell ref="AA50:AC50"/>
    <mergeCell ref="Y44:Z44"/>
    <mergeCell ref="AA44:AC44"/>
    <mergeCell ref="Y45:Z45"/>
    <mergeCell ref="AA45:AC45"/>
    <mergeCell ref="Y46:Z46"/>
    <mergeCell ref="AA46:AC46"/>
    <mergeCell ref="Y37:Z37"/>
    <mergeCell ref="AA37:AC37"/>
    <mergeCell ref="Y41:Z41"/>
    <mergeCell ref="AA41:AC41"/>
    <mergeCell ref="Y43:Z43"/>
    <mergeCell ref="AA43:AC43"/>
    <mergeCell ref="Y42:Z42"/>
    <mergeCell ref="AA42:AC42"/>
    <mergeCell ref="AS6:BD7"/>
    <mergeCell ref="AZ4:BD4"/>
    <mergeCell ref="AG6:AG7"/>
    <mergeCell ref="Y21:Z21"/>
    <mergeCell ref="AA21:AC21"/>
    <mergeCell ref="Y20:Z20"/>
    <mergeCell ref="AA20:AC20"/>
    <mergeCell ref="Y22:Z22"/>
    <mergeCell ref="Y28:Z28"/>
    <mergeCell ref="AA28:AC28"/>
    <mergeCell ref="Y19:Z19"/>
    <mergeCell ref="AA19:AC19"/>
    <mergeCell ref="Y24:Z24"/>
    <mergeCell ref="AA24:AC24"/>
    <mergeCell ref="Y25:Z25"/>
    <mergeCell ref="AA25:AC25"/>
    <mergeCell ref="AA22:AC22"/>
    <mergeCell ref="Y23:Z23"/>
    <mergeCell ref="AA23:AC23"/>
    <mergeCell ref="Y26:Z26"/>
    <mergeCell ref="AA26:AC26"/>
    <mergeCell ref="Y27:Z27"/>
    <mergeCell ref="AA27:AC27"/>
    <mergeCell ref="AH6:AH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AA6:AC7"/>
    <mergeCell ref="Y8:Z8"/>
    <mergeCell ref="AA8:AC8"/>
    <mergeCell ref="AD6:AD7"/>
    <mergeCell ref="Y34:Z34"/>
    <mergeCell ref="AA34:AC34"/>
    <mergeCell ref="Y35:Z35"/>
    <mergeCell ref="AA35:AC35"/>
    <mergeCell ref="Y29:Z29"/>
    <mergeCell ref="AA29:AC29"/>
    <mergeCell ref="Y30:Z30"/>
    <mergeCell ref="AA30:AC30"/>
    <mergeCell ref="Y31:Z31"/>
    <mergeCell ref="AA31:AC31"/>
    <mergeCell ref="Y32:Z32"/>
    <mergeCell ref="AA32:AC32"/>
    <mergeCell ref="Y82:Z82"/>
    <mergeCell ref="AA82:AC82"/>
    <mergeCell ref="Y83:Z83"/>
    <mergeCell ref="AA83:AC83"/>
    <mergeCell ref="Y84:Z84"/>
    <mergeCell ref="AA84:AC84"/>
    <mergeCell ref="Y85:Z85"/>
    <mergeCell ref="AA85:AC85"/>
    <mergeCell ref="AI6:AR6"/>
    <mergeCell ref="Y18:Z18"/>
    <mergeCell ref="AA18:AC18"/>
    <mergeCell ref="Y9:Z9"/>
    <mergeCell ref="AA9:AC9"/>
    <mergeCell ref="AA12:AC12"/>
    <mergeCell ref="Y33:Z33"/>
    <mergeCell ref="AA33:AC33"/>
    <mergeCell ref="Y17:Z17"/>
    <mergeCell ref="AA17:AC17"/>
    <mergeCell ref="Y10:Z10"/>
    <mergeCell ref="AA10:AC10"/>
    <mergeCell ref="Y11:Z11"/>
    <mergeCell ref="AA11:AC11"/>
    <mergeCell ref="AE6:AE7"/>
    <mergeCell ref="AF6:AF7"/>
  </mergeCells>
  <phoneticPr fontId="5"/>
  <dataValidations count="3">
    <dataValidation imeMode="hiragana" allowBlank="1" showInputMessage="1" showErrorMessage="1" sqref="JO65532:JZ65534 TK65532:TV65534 ADG65532:ADR65534 ANC65532:ANN65534 AWY65532:AXJ65534 BGU65532:BHF65534 BQQ65532:BRB65534 CAM65532:CAX65534 CKI65532:CKT65534 CUE65532:CUP65534 DEA65532:DEL65534 DNW65532:DOH65534 DXS65532:DYD65534 EHO65532:EHZ65534 ERK65532:ERV65534 FBG65532:FBR65534 FLC65532:FLN65534 FUY65532:FVJ65534 GEU65532:GFF65534 GOQ65532:GPB65534 GYM65532:GYX65534 HII65532:HIT65534 HSE65532:HSP65534 ICA65532:ICL65534 ILW65532:IMH65534 IVS65532:IWD65534 JFO65532:JFZ65534 JPK65532:JPV65534 JZG65532:JZR65534 KJC65532:KJN65534 KSY65532:KTJ65534 LCU65532:LDF65534 LMQ65532:LNB65534 LWM65532:LWX65534 MGI65532:MGT65534 MQE65532:MQP65534 NAA65532:NAL65534 NJW65532:NKH65534 NTS65532:NUD65534 ODO65532:ODZ65534 ONK65532:ONV65534 OXG65532:OXR65534 PHC65532:PHN65534 PQY65532:PRJ65534 QAU65532:QBF65534 QKQ65532:QLB65534 QUM65532:QUX65534 REI65532:RET65534 ROE65532:ROP65534 RYA65532:RYL65534 SHW65532:SIH65534 SRS65532:SSD65534 TBO65532:TBZ65534 TLK65532:TLV65534 TVG65532:TVR65534 UFC65532:UFN65534 UOY65532:UPJ65534 UYU65532:UZF65534 VIQ65532:VJB65534 VSM65532:VSX65534 WCI65532:WCT65534 WME65532:WMP65534 WWA65532:WWL65534 JO131068:JZ131070 TK131068:TV131070 ADG131068:ADR131070 ANC131068:ANN131070 AWY131068:AXJ131070 BGU131068:BHF131070 BQQ131068:BRB131070 CAM131068:CAX131070 CKI131068:CKT131070 CUE131068:CUP131070 DEA131068:DEL131070 DNW131068:DOH131070 DXS131068:DYD131070 EHO131068:EHZ131070 ERK131068:ERV131070 FBG131068:FBR131070 FLC131068:FLN131070 FUY131068:FVJ131070 GEU131068:GFF131070 GOQ131068:GPB131070 GYM131068:GYX131070 HII131068:HIT131070 HSE131068:HSP131070 ICA131068:ICL131070 ILW131068:IMH131070 IVS131068:IWD131070 JFO131068:JFZ131070 JPK131068:JPV131070 JZG131068:JZR131070 KJC131068:KJN131070 KSY131068:KTJ131070 LCU131068:LDF131070 LMQ131068:LNB131070 LWM131068:LWX131070 MGI131068:MGT131070 MQE131068:MQP131070 NAA131068:NAL131070 NJW131068:NKH131070 NTS131068:NUD131070 ODO131068:ODZ131070 ONK131068:ONV131070 OXG131068:OXR131070 PHC131068:PHN131070 PQY131068:PRJ131070 QAU131068:QBF131070 QKQ131068:QLB131070 QUM131068:QUX131070 REI131068:RET131070 ROE131068:ROP131070 RYA131068:RYL131070 SHW131068:SIH131070 SRS131068:SSD131070 TBO131068:TBZ131070 TLK131068:TLV131070 TVG131068:TVR131070 UFC131068:UFN131070 UOY131068:UPJ131070 UYU131068:UZF131070 VIQ131068:VJB131070 VSM131068:VSX131070 WCI131068:WCT131070 WME131068:WMP131070 WWA131068:WWL131070 JO196604:JZ196606 TK196604:TV196606 ADG196604:ADR196606 ANC196604:ANN196606 AWY196604:AXJ196606 BGU196604:BHF196606 BQQ196604:BRB196606 CAM196604:CAX196606 CKI196604:CKT196606 CUE196604:CUP196606 DEA196604:DEL196606 DNW196604:DOH196606 DXS196604:DYD196606 EHO196604:EHZ196606 ERK196604:ERV196606 FBG196604:FBR196606 FLC196604:FLN196606 FUY196604:FVJ196606 GEU196604:GFF196606 GOQ196604:GPB196606 GYM196604:GYX196606 HII196604:HIT196606 HSE196604:HSP196606 ICA196604:ICL196606 ILW196604:IMH196606 IVS196604:IWD196606 JFO196604:JFZ196606 JPK196604:JPV196606 JZG196604:JZR196606 KJC196604:KJN196606 KSY196604:KTJ196606 LCU196604:LDF196606 LMQ196604:LNB196606 LWM196604:LWX196606 MGI196604:MGT196606 MQE196604:MQP196606 NAA196604:NAL196606 NJW196604:NKH196606 NTS196604:NUD196606 ODO196604:ODZ196606 ONK196604:ONV196606 OXG196604:OXR196606 PHC196604:PHN196606 PQY196604:PRJ196606 QAU196604:QBF196606 QKQ196604:QLB196606 QUM196604:QUX196606 REI196604:RET196606 ROE196604:ROP196606 RYA196604:RYL196606 SHW196604:SIH196606 SRS196604:SSD196606 TBO196604:TBZ196606 TLK196604:TLV196606 TVG196604:TVR196606 UFC196604:UFN196606 UOY196604:UPJ196606 UYU196604:UZF196606 VIQ196604:VJB196606 VSM196604:VSX196606 WCI196604:WCT196606 WME196604:WMP196606 WWA196604:WWL196606 JO262140:JZ262142 TK262140:TV262142 ADG262140:ADR262142 ANC262140:ANN262142 AWY262140:AXJ262142 BGU262140:BHF262142 BQQ262140:BRB262142 CAM262140:CAX262142 CKI262140:CKT262142 CUE262140:CUP262142 DEA262140:DEL262142 DNW262140:DOH262142 DXS262140:DYD262142 EHO262140:EHZ262142 ERK262140:ERV262142 FBG262140:FBR262142 FLC262140:FLN262142 FUY262140:FVJ262142 GEU262140:GFF262142 GOQ262140:GPB262142 GYM262140:GYX262142 HII262140:HIT262142 HSE262140:HSP262142 ICA262140:ICL262142 ILW262140:IMH262142 IVS262140:IWD262142 JFO262140:JFZ262142 JPK262140:JPV262142 JZG262140:JZR262142 KJC262140:KJN262142 KSY262140:KTJ262142 LCU262140:LDF262142 LMQ262140:LNB262142 LWM262140:LWX262142 MGI262140:MGT262142 MQE262140:MQP262142 NAA262140:NAL262142 NJW262140:NKH262142 NTS262140:NUD262142 ODO262140:ODZ262142 ONK262140:ONV262142 OXG262140:OXR262142 PHC262140:PHN262142 PQY262140:PRJ262142 QAU262140:QBF262142 QKQ262140:QLB262142 QUM262140:QUX262142 REI262140:RET262142 ROE262140:ROP262142 RYA262140:RYL262142 SHW262140:SIH262142 SRS262140:SSD262142 TBO262140:TBZ262142 TLK262140:TLV262142 TVG262140:TVR262142 UFC262140:UFN262142 UOY262140:UPJ262142 UYU262140:UZF262142 VIQ262140:VJB262142 VSM262140:VSX262142 WCI262140:WCT262142 WME262140:WMP262142 WWA262140:WWL262142 JO327676:JZ327678 TK327676:TV327678 ADG327676:ADR327678 ANC327676:ANN327678 AWY327676:AXJ327678 BGU327676:BHF327678 BQQ327676:BRB327678 CAM327676:CAX327678 CKI327676:CKT327678 CUE327676:CUP327678 DEA327676:DEL327678 DNW327676:DOH327678 DXS327676:DYD327678 EHO327676:EHZ327678 ERK327676:ERV327678 FBG327676:FBR327678 FLC327676:FLN327678 FUY327676:FVJ327678 GEU327676:GFF327678 GOQ327676:GPB327678 GYM327676:GYX327678 HII327676:HIT327678 HSE327676:HSP327678 ICA327676:ICL327678 ILW327676:IMH327678 IVS327676:IWD327678 JFO327676:JFZ327678 JPK327676:JPV327678 JZG327676:JZR327678 KJC327676:KJN327678 KSY327676:KTJ327678 LCU327676:LDF327678 LMQ327676:LNB327678 LWM327676:LWX327678 MGI327676:MGT327678 MQE327676:MQP327678 NAA327676:NAL327678 NJW327676:NKH327678 NTS327676:NUD327678 ODO327676:ODZ327678 ONK327676:ONV327678 OXG327676:OXR327678 PHC327676:PHN327678 PQY327676:PRJ327678 QAU327676:QBF327678 QKQ327676:QLB327678 QUM327676:QUX327678 REI327676:RET327678 ROE327676:ROP327678 RYA327676:RYL327678 SHW327676:SIH327678 SRS327676:SSD327678 TBO327676:TBZ327678 TLK327676:TLV327678 TVG327676:TVR327678 UFC327676:UFN327678 UOY327676:UPJ327678 UYU327676:UZF327678 VIQ327676:VJB327678 VSM327676:VSX327678 WCI327676:WCT327678 WME327676:WMP327678 WWA327676:WWL327678 JO393212:JZ393214 TK393212:TV393214 ADG393212:ADR393214 ANC393212:ANN393214 AWY393212:AXJ393214 BGU393212:BHF393214 BQQ393212:BRB393214 CAM393212:CAX393214 CKI393212:CKT393214 CUE393212:CUP393214 DEA393212:DEL393214 DNW393212:DOH393214 DXS393212:DYD393214 EHO393212:EHZ393214 ERK393212:ERV393214 FBG393212:FBR393214 FLC393212:FLN393214 FUY393212:FVJ393214 GEU393212:GFF393214 GOQ393212:GPB393214 GYM393212:GYX393214 HII393212:HIT393214 HSE393212:HSP393214 ICA393212:ICL393214 ILW393212:IMH393214 IVS393212:IWD393214 JFO393212:JFZ393214 JPK393212:JPV393214 JZG393212:JZR393214 KJC393212:KJN393214 KSY393212:KTJ393214 LCU393212:LDF393214 LMQ393212:LNB393214 LWM393212:LWX393214 MGI393212:MGT393214 MQE393212:MQP393214 NAA393212:NAL393214 NJW393212:NKH393214 NTS393212:NUD393214 ODO393212:ODZ393214 ONK393212:ONV393214 OXG393212:OXR393214 PHC393212:PHN393214 PQY393212:PRJ393214 QAU393212:QBF393214 QKQ393212:QLB393214 QUM393212:QUX393214 REI393212:RET393214 ROE393212:ROP393214 RYA393212:RYL393214 SHW393212:SIH393214 SRS393212:SSD393214 TBO393212:TBZ393214 TLK393212:TLV393214 TVG393212:TVR393214 UFC393212:UFN393214 UOY393212:UPJ393214 UYU393212:UZF393214 VIQ393212:VJB393214 VSM393212:VSX393214 WCI393212:WCT393214 WME393212:WMP393214 WWA393212:WWL393214 JO458748:JZ458750 TK458748:TV458750 ADG458748:ADR458750 ANC458748:ANN458750 AWY458748:AXJ458750 BGU458748:BHF458750 BQQ458748:BRB458750 CAM458748:CAX458750 CKI458748:CKT458750 CUE458748:CUP458750 DEA458748:DEL458750 DNW458748:DOH458750 DXS458748:DYD458750 EHO458748:EHZ458750 ERK458748:ERV458750 FBG458748:FBR458750 FLC458748:FLN458750 FUY458748:FVJ458750 GEU458748:GFF458750 GOQ458748:GPB458750 GYM458748:GYX458750 HII458748:HIT458750 HSE458748:HSP458750 ICA458748:ICL458750 ILW458748:IMH458750 IVS458748:IWD458750 JFO458748:JFZ458750 JPK458748:JPV458750 JZG458748:JZR458750 KJC458748:KJN458750 KSY458748:KTJ458750 LCU458748:LDF458750 LMQ458748:LNB458750 LWM458748:LWX458750 MGI458748:MGT458750 MQE458748:MQP458750 NAA458748:NAL458750 NJW458748:NKH458750 NTS458748:NUD458750 ODO458748:ODZ458750 ONK458748:ONV458750 OXG458748:OXR458750 PHC458748:PHN458750 PQY458748:PRJ458750 QAU458748:QBF458750 QKQ458748:QLB458750 QUM458748:QUX458750 REI458748:RET458750 ROE458748:ROP458750 RYA458748:RYL458750 SHW458748:SIH458750 SRS458748:SSD458750 TBO458748:TBZ458750 TLK458748:TLV458750 TVG458748:TVR458750 UFC458748:UFN458750 UOY458748:UPJ458750 UYU458748:UZF458750 VIQ458748:VJB458750 VSM458748:VSX458750 WCI458748:WCT458750 WME458748:WMP458750 WWA458748:WWL458750 JO524284:JZ524286 TK524284:TV524286 ADG524284:ADR524286 ANC524284:ANN524286 AWY524284:AXJ524286 BGU524284:BHF524286 BQQ524284:BRB524286 CAM524284:CAX524286 CKI524284:CKT524286 CUE524284:CUP524286 DEA524284:DEL524286 DNW524284:DOH524286 DXS524284:DYD524286 EHO524284:EHZ524286 ERK524284:ERV524286 FBG524284:FBR524286 FLC524284:FLN524286 FUY524284:FVJ524286 GEU524284:GFF524286 GOQ524284:GPB524286 GYM524284:GYX524286 HII524284:HIT524286 HSE524284:HSP524286 ICA524284:ICL524286 ILW524284:IMH524286 IVS524284:IWD524286 JFO524284:JFZ524286 JPK524284:JPV524286 JZG524284:JZR524286 KJC524284:KJN524286 KSY524284:KTJ524286 LCU524284:LDF524286 LMQ524284:LNB524286 LWM524284:LWX524286 MGI524284:MGT524286 MQE524284:MQP524286 NAA524284:NAL524286 NJW524284:NKH524286 NTS524284:NUD524286 ODO524284:ODZ524286 ONK524284:ONV524286 OXG524284:OXR524286 PHC524284:PHN524286 PQY524284:PRJ524286 QAU524284:QBF524286 QKQ524284:QLB524286 QUM524284:QUX524286 REI524284:RET524286 ROE524284:ROP524286 RYA524284:RYL524286 SHW524284:SIH524286 SRS524284:SSD524286 TBO524284:TBZ524286 TLK524284:TLV524286 TVG524284:TVR524286 UFC524284:UFN524286 UOY524284:UPJ524286 UYU524284:UZF524286 VIQ524284:VJB524286 VSM524284:VSX524286 WCI524284:WCT524286 WME524284:WMP524286 WWA524284:WWL524286 JO589820:JZ589822 TK589820:TV589822 ADG589820:ADR589822 ANC589820:ANN589822 AWY589820:AXJ589822 BGU589820:BHF589822 BQQ589820:BRB589822 CAM589820:CAX589822 CKI589820:CKT589822 CUE589820:CUP589822 DEA589820:DEL589822 DNW589820:DOH589822 DXS589820:DYD589822 EHO589820:EHZ589822 ERK589820:ERV589822 FBG589820:FBR589822 FLC589820:FLN589822 FUY589820:FVJ589822 GEU589820:GFF589822 GOQ589820:GPB589822 GYM589820:GYX589822 HII589820:HIT589822 HSE589820:HSP589822 ICA589820:ICL589822 ILW589820:IMH589822 IVS589820:IWD589822 JFO589820:JFZ589822 JPK589820:JPV589822 JZG589820:JZR589822 KJC589820:KJN589822 KSY589820:KTJ589822 LCU589820:LDF589822 LMQ589820:LNB589822 LWM589820:LWX589822 MGI589820:MGT589822 MQE589820:MQP589822 NAA589820:NAL589822 NJW589820:NKH589822 NTS589820:NUD589822 ODO589820:ODZ589822 ONK589820:ONV589822 OXG589820:OXR589822 PHC589820:PHN589822 PQY589820:PRJ589822 QAU589820:QBF589822 QKQ589820:QLB589822 QUM589820:QUX589822 REI589820:RET589822 ROE589820:ROP589822 RYA589820:RYL589822 SHW589820:SIH589822 SRS589820:SSD589822 TBO589820:TBZ589822 TLK589820:TLV589822 TVG589820:TVR589822 UFC589820:UFN589822 UOY589820:UPJ589822 UYU589820:UZF589822 VIQ589820:VJB589822 VSM589820:VSX589822 WCI589820:WCT589822 WME589820:WMP589822 WWA589820:WWL589822 JO655356:JZ655358 TK655356:TV655358 ADG655356:ADR655358 ANC655356:ANN655358 AWY655356:AXJ655358 BGU655356:BHF655358 BQQ655356:BRB655358 CAM655356:CAX655358 CKI655356:CKT655358 CUE655356:CUP655358 DEA655356:DEL655358 DNW655356:DOH655358 DXS655356:DYD655358 EHO655356:EHZ655358 ERK655356:ERV655358 FBG655356:FBR655358 FLC655356:FLN655358 FUY655356:FVJ655358 GEU655356:GFF655358 GOQ655356:GPB655358 GYM655356:GYX655358 HII655356:HIT655358 HSE655356:HSP655358 ICA655356:ICL655358 ILW655356:IMH655358 IVS655356:IWD655358 JFO655356:JFZ655358 JPK655356:JPV655358 JZG655356:JZR655358 KJC655356:KJN655358 KSY655356:KTJ655358 LCU655356:LDF655358 LMQ655356:LNB655358 LWM655356:LWX655358 MGI655356:MGT655358 MQE655356:MQP655358 NAA655356:NAL655358 NJW655356:NKH655358 NTS655356:NUD655358 ODO655356:ODZ655358 ONK655356:ONV655358 OXG655356:OXR655358 PHC655356:PHN655358 PQY655356:PRJ655358 QAU655356:QBF655358 QKQ655356:QLB655358 QUM655356:QUX655358 REI655356:RET655358 ROE655356:ROP655358 RYA655356:RYL655358 SHW655356:SIH655358 SRS655356:SSD655358 TBO655356:TBZ655358 TLK655356:TLV655358 TVG655356:TVR655358 UFC655356:UFN655358 UOY655356:UPJ655358 UYU655356:UZF655358 VIQ655356:VJB655358 VSM655356:VSX655358 WCI655356:WCT655358 WME655356:WMP655358 WWA655356:WWL655358 JO720892:JZ720894 TK720892:TV720894 ADG720892:ADR720894 ANC720892:ANN720894 AWY720892:AXJ720894 BGU720892:BHF720894 BQQ720892:BRB720894 CAM720892:CAX720894 CKI720892:CKT720894 CUE720892:CUP720894 DEA720892:DEL720894 DNW720892:DOH720894 DXS720892:DYD720894 EHO720892:EHZ720894 ERK720892:ERV720894 FBG720892:FBR720894 FLC720892:FLN720894 FUY720892:FVJ720894 GEU720892:GFF720894 GOQ720892:GPB720894 GYM720892:GYX720894 HII720892:HIT720894 HSE720892:HSP720894 ICA720892:ICL720894 ILW720892:IMH720894 IVS720892:IWD720894 JFO720892:JFZ720894 JPK720892:JPV720894 JZG720892:JZR720894 KJC720892:KJN720894 KSY720892:KTJ720894 LCU720892:LDF720894 LMQ720892:LNB720894 LWM720892:LWX720894 MGI720892:MGT720894 MQE720892:MQP720894 NAA720892:NAL720894 NJW720892:NKH720894 NTS720892:NUD720894 ODO720892:ODZ720894 ONK720892:ONV720894 OXG720892:OXR720894 PHC720892:PHN720894 PQY720892:PRJ720894 QAU720892:QBF720894 QKQ720892:QLB720894 QUM720892:QUX720894 REI720892:RET720894 ROE720892:ROP720894 RYA720892:RYL720894 SHW720892:SIH720894 SRS720892:SSD720894 TBO720892:TBZ720894 TLK720892:TLV720894 TVG720892:TVR720894 UFC720892:UFN720894 UOY720892:UPJ720894 UYU720892:UZF720894 VIQ720892:VJB720894 VSM720892:VSX720894 WCI720892:WCT720894 WME720892:WMP720894 WWA720892:WWL720894 JO786428:JZ786430 TK786428:TV786430 ADG786428:ADR786430 ANC786428:ANN786430 AWY786428:AXJ786430 BGU786428:BHF786430 BQQ786428:BRB786430 CAM786428:CAX786430 CKI786428:CKT786430 CUE786428:CUP786430 DEA786428:DEL786430 DNW786428:DOH786430 DXS786428:DYD786430 EHO786428:EHZ786430 ERK786428:ERV786430 FBG786428:FBR786430 FLC786428:FLN786430 FUY786428:FVJ786430 GEU786428:GFF786430 GOQ786428:GPB786430 GYM786428:GYX786430 HII786428:HIT786430 HSE786428:HSP786430 ICA786428:ICL786430 ILW786428:IMH786430 IVS786428:IWD786430 JFO786428:JFZ786430 JPK786428:JPV786430 JZG786428:JZR786430 KJC786428:KJN786430 KSY786428:KTJ786430 LCU786428:LDF786430 LMQ786428:LNB786430 LWM786428:LWX786430 MGI786428:MGT786430 MQE786428:MQP786430 NAA786428:NAL786430 NJW786428:NKH786430 NTS786428:NUD786430 ODO786428:ODZ786430 ONK786428:ONV786430 OXG786428:OXR786430 PHC786428:PHN786430 PQY786428:PRJ786430 QAU786428:QBF786430 QKQ786428:QLB786430 QUM786428:QUX786430 REI786428:RET786430 ROE786428:ROP786430 RYA786428:RYL786430 SHW786428:SIH786430 SRS786428:SSD786430 TBO786428:TBZ786430 TLK786428:TLV786430 TVG786428:TVR786430 UFC786428:UFN786430 UOY786428:UPJ786430 UYU786428:UZF786430 VIQ786428:VJB786430 VSM786428:VSX786430 WCI786428:WCT786430 WME786428:WMP786430 WWA786428:WWL786430 JO851964:JZ851966 TK851964:TV851966 ADG851964:ADR851966 ANC851964:ANN851966 AWY851964:AXJ851966 BGU851964:BHF851966 BQQ851964:BRB851966 CAM851964:CAX851966 CKI851964:CKT851966 CUE851964:CUP851966 DEA851964:DEL851966 DNW851964:DOH851966 DXS851964:DYD851966 EHO851964:EHZ851966 ERK851964:ERV851966 FBG851964:FBR851966 FLC851964:FLN851966 FUY851964:FVJ851966 GEU851964:GFF851966 GOQ851964:GPB851966 GYM851964:GYX851966 HII851964:HIT851966 HSE851964:HSP851966 ICA851964:ICL851966 ILW851964:IMH851966 IVS851964:IWD851966 JFO851964:JFZ851966 JPK851964:JPV851966 JZG851964:JZR851966 KJC851964:KJN851966 KSY851964:KTJ851966 LCU851964:LDF851966 LMQ851964:LNB851966 LWM851964:LWX851966 MGI851964:MGT851966 MQE851964:MQP851966 NAA851964:NAL851966 NJW851964:NKH851966 NTS851964:NUD851966 ODO851964:ODZ851966 ONK851964:ONV851966 OXG851964:OXR851966 PHC851964:PHN851966 PQY851964:PRJ851966 QAU851964:QBF851966 QKQ851964:QLB851966 QUM851964:QUX851966 REI851964:RET851966 ROE851964:ROP851966 RYA851964:RYL851966 SHW851964:SIH851966 SRS851964:SSD851966 TBO851964:TBZ851966 TLK851964:TLV851966 TVG851964:TVR851966 UFC851964:UFN851966 UOY851964:UPJ851966 UYU851964:UZF851966 VIQ851964:VJB851966 VSM851964:VSX851966 WCI851964:WCT851966 WME851964:WMP851966 WWA851964:WWL851966 JO917500:JZ917502 TK917500:TV917502 ADG917500:ADR917502 ANC917500:ANN917502 AWY917500:AXJ917502 BGU917500:BHF917502 BQQ917500:BRB917502 CAM917500:CAX917502 CKI917500:CKT917502 CUE917500:CUP917502 DEA917500:DEL917502 DNW917500:DOH917502 DXS917500:DYD917502 EHO917500:EHZ917502 ERK917500:ERV917502 FBG917500:FBR917502 FLC917500:FLN917502 FUY917500:FVJ917502 GEU917500:GFF917502 GOQ917500:GPB917502 GYM917500:GYX917502 HII917500:HIT917502 HSE917500:HSP917502 ICA917500:ICL917502 ILW917500:IMH917502 IVS917500:IWD917502 JFO917500:JFZ917502 JPK917500:JPV917502 JZG917500:JZR917502 KJC917500:KJN917502 KSY917500:KTJ917502 LCU917500:LDF917502 LMQ917500:LNB917502 LWM917500:LWX917502 MGI917500:MGT917502 MQE917500:MQP917502 NAA917500:NAL917502 NJW917500:NKH917502 NTS917500:NUD917502 ODO917500:ODZ917502 ONK917500:ONV917502 OXG917500:OXR917502 PHC917500:PHN917502 PQY917500:PRJ917502 QAU917500:QBF917502 QKQ917500:QLB917502 QUM917500:QUX917502 REI917500:RET917502 ROE917500:ROP917502 RYA917500:RYL917502 SHW917500:SIH917502 SRS917500:SSD917502 TBO917500:TBZ917502 TLK917500:TLV917502 TVG917500:TVR917502 UFC917500:UFN917502 UOY917500:UPJ917502 UYU917500:UZF917502 VIQ917500:VJB917502 VSM917500:VSX917502 WCI917500:WCT917502 WME917500:WMP917502 WWA917500:WWL917502 JO983036:JZ983038 TK983036:TV983038 ADG983036:ADR983038 ANC983036:ANN983038 AWY983036:AXJ983038 BGU983036:BHF983038 BQQ983036:BRB983038 CAM983036:CAX983038 CKI983036:CKT983038 CUE983036:CUP983038 DEA983036:DEL983038 DNW983036:DOH983038 DXS983036:DYD983038 EHO983036:EHZ983038 ERK983036:ERV983038 FBG983036:FBR983038 FLC983036:FLN983038 FUY983036:FVJ983038 GEU983036:GFF983038 GOQ983036:GPB983038 GYM983036:GYX983038 HII983036:HIT983038 HSE983036:HSP983038 ICA983036:ICL983038 ILW983036:IMH983038 IVS983036:IWD983038 JFO983036:JFZ983038 JPK983036:JPV983038 JZG983036:JZR983038 KJC983036:KJN983038 KSY983036:KTJ983038 LCU983036:LDF983038 LMQ983036:LNB983038 LWM983036:LWX983038 MGI983036:MGT983038 MQE983036:MQP983038 NAA983036:NAL983038 NJW983036:NKH983038 NTS983036:NUD983038 ODO983036:ODZ983038 ONK983036:ONV983038 OXG983036:OXR983038 PHC983036:PHN983038 PQY983036:PRJ983038 QAU983036:QBF983038 QKQ983036:QLB983038 QUM983036:QUX983038 REI983036:RET983038 ROE983036:ROP983038 RYA983036:RYL983038 SHW983036:SIH983038 SRS983036:SSD983038 TBO983036:TBZ983038 TLK983036:TLV983038 TVG983036:TVR983038 UFC983036:UFN983038 UOY983036:UPJ983038 UYU983036:UZF983038 VIQ983036:VJB983038 VSM983036:VSX983038 WCI983036:WCT983038 WME983036:WMP983038 WWA983036:WWL983038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32:AM65534 AC983036:AM983038 AC917500:AM917502 AC851964:AM851966 AC786428:AM786430 AC720892:AM720894 AC655356:AM655358 AC589820:AM589822 AC524284:AM524286 AC458748:AM458750 AC393212:AM393214 AC327676:AM327678 AC262140:AM262142 AC196604:AM196606 AC131068:AM131070 R2"/>
    <dataValidation type="list" allowBlank="1" showInputMessage="1" showErrorMessage="1" sqref="Y8:Z85">
      <formula1>"文字,数値,日付,時間"</formula1>
    </dataValidation>
    <dataValidation type="list" allowBlank="1" showInputMessage="1" showErrorMessage="1" sqref="AA8:AC85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>
      <c r="A1" s="396" t="s">
        <v>78</v>
      </c>
      <c r="B1" s="397"/>
      <c r="C1" s="397"/>
      <c r="D1" s="397"/>
      <c r="E1" s="397"/>
      <c r="F1" s="397"/>
      <c r="G1" s="397"/>
      <c r="H1" s="398"/>
      <c r="I1" s="336" t="s">
        <v>79</v>
      </c>
      <c r="J1" s="337"/>
      <c r="K1" s="337"/>
      <c r="L1" s="337"/>
      <c r="M1" s="337"/>
      <c r="N1" s="337"/>
      <c r="O1" s="337"/>
      <c r="P1" s="337"/>
      <c r="Q1" s="338"/>
      <c r="R1" s="336" t="s">
        <v>80</v>
      </c>
      <c r="S1" s="337"/>
      <c r="T1" s="337"/>
      <c r="U1" s="337"/>
      <c r="V1" s="337"/>
      <c r="W1" s="337"/>
      <c r="X1" s="338"/>
      <c r="Y1" s="336" t="s">
        <v>135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8"/>
      <c r="AP1" s="407" t="s">
        <v>82</v>
      </c>
      <c r="AQ1" s="408"/>
      <c r="AR1" s="408"/>
      <c r="AS1" s="408"/>
      <c r="AT1" s="409"/>
      <c r="AU1" s="407" t="s">
        <v>83</v>
      </c>
      <c r="AV1" s="408"/>
      <c r="AW1" s="408"/>
      <c r="AX1" s="408"/>
      <c r="AY1" s="409"/>
      <c r="AZ1" s="407" t="s">
        <v>84</v>
      </c>
      <c r="BA1" s="408"/>
      <c r="BB1" s="408"/>
      <c r="BC1" s="408"/>
      <c r="BD1" s="409"/>
    </row>
    <row r="2" spans="1:57" s="17" customFormat="1" ht="14.4" customHeight="1">
      <c r="A2" s="399"/>
      <c r="B2" s="400"/>
      <c r="C2" s="400"/>
      <c r="D2" s="400"/>
      <c r="E2" s="400"/>
      <c r="F2" s="400"/>
      <c r="G2" s="400"/>
      <c r="H2" s="401"/>
      <c r="I2" s="366" t="s">
        <v>85</v>
      </c>
      <c r="J2" s="367"/>
      <c r="K2" s="367"/>
      <c r="L2" s="367"/>
      <c r="M2" s="367"/>
      <c r="N2" s="367"/>
      <c r="O2" s="367"/>
      <c r="P2" s="367"/>
      <c r="Q2" s="368"/>
      <c r="R2" s="366" t="str">
        <f ca="1">VLOOKUP(RIGHT(CELL("filename",A2),LEN(CELL("filename",A2))-FIND("]",CELL("filename",A2))),テーブル一覧!B:AD,22,FALSE)</f>
        <v>B.生産計画</v>
      </c>
      <c r="S2" s="367"/>
      <c r="T2" s="367"/>
      <c r="U2" s="367"/>
      <c r="V2" s="367"/>
      <c r="W2" s="367"/>
      <c r="X2" s="368"/>
      <c r="Y2" s="366" t="str">
        <f ca="1">VLOOKUP(RIGHT(CELL("filename",A2),LEN(CELL("filename",A2))-FIND("]",CELL("filename",A2))),テーブル一覧!B:AD,1,FALSE)</f>
        <v>生産指示情報（原材料）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8"/>
      <c r="AP2" s="339"/>
      <c r="AQ2" s="340"/>
      <c r="AR2" s="340"/>
      <c r="AS2" s="340"/>
      <c r="AT2" s="341"/>
      <c r="AU2" s="58" t="s">
        <v>88</v>
      </c>
      <c r="AV2" s="59"/>
      <c r="AW2" s="59"/>
      <c r="AX2" s="59"/>
      <c r="AY2" s="60"/>
      <c r="AZ2" s="413" t="s">
        <v>89</v>
      </c>
      <c r="BA2" s="414"/>
      <c r="BB2" s="414"/>
      <c r="BC2" s="414"/>
      <c r="BD2" s="415"/>
    </row>
    <row r="3" spans="1:57" s="17" customFormat="1" ht="14.4" customHeight="1">
      <c r="A3" s="399"/>
      <c r="B3" s="400"/>
      <c r="C3" s="400"/>
      <c r="D3" s="400"/>
      <c r="E3" s="400"/>
      <c r="F3" s="400"/>
      <c r="G3" s="400"/>
      <c r="H3" s="401"/>
      <c r="I3" s="369"/>
      <c r="J3" s="370"/>
      <c r="K3" s="370"/>
      <c r="L3" s="370"/>
      <c r="M3" s="370"/>
      <c r="N3" s="370"/>
      <c r="O3" s="370"/>
      <c r="P3" s="370"/>
      <c r="Q3" s="371"/>
      <c r="R3" s="369"/>
      <c r="S3" s="370"/>
      <c r="T3" s="370"/>
      <c r="U3" s="370"/>
      <c r="V3" s="370"/>
      <c r="W3" s="370"/>
      <c r="X3" s="371"/>
      <c r="Y3" s="372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4"/>
      <c r="AP3" s="342"/>
      <c r="AQ3" s="343"/>
      <c r="AR3" s="343"/>
      <c r="AS3" s="343"/>
      <c r="AT3" s="344"/>
      <c r="AU3" s="410"/>
      <c r="AV3" s="411"/>
      <c r="AW3" s="411"/>
      <c r="AX3" s="411"/>
      <c r="AY3" s="412"/>
      <c r="AZ3" s="413"/>
      <c r="BA3" s="414"/>
      <c r="BB3" s="414"/>
      <c r="BC3" s="414"/>
      <c r="BD3" s="415"/>
    </row>
    <row r="4" spans="1:57" s="17" customFormat="1" ht="14.4" customHeight="1">
      <c r="A4" s="402"/>
      <c r="B4" s="403"/>
      <c r="C4" s="403"/>
      <c r="D4" s="403"/>
      <c r="E4" s="403"/>
      <c r="F4" s="403"/>
      <c r="G4" s="403"/>
      <c r="H4" s="404"/>
      <c r="I4" s="372"/>
      <c r="J4" s="373"/>
      <c r="K4" s="373"/>
      <c r="L4" s="373"/>
      <c r="M4" s="373"/>
      <c r="N4" s="373"/>
      <c r="O4" s="373"/>
      <c r="P4" s="373"/>
      <c r="Q4" s="374"/>
      <c r="R4" s="372"/>
      <c r="S4" s="373"/>
      <c r="T4" s="373"/>
      <c r="U4" s="373"/>
      <c r="V4" s="373"/>
      <c r="W4" s="373"/>
      <c r="X4" s="374"/>
      <c r="Y4" s="41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t_seisan_shiji_genzairyo</v>
      </c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8"/>
      <c r="AP4" s="342"/>
      <c r="AQ4" s="343"/>
      <c r="AR4" s="343"/>
      <c r="AS4" s="343"/>
      <c r="AT4" s="344"/>
      <c r="AU4" s="410"/>
      <c r="AV4" s="411"/>
      <c r="AW4" s="411"/>
      <c r="AX4" s="411"/>
      <c r="AY4" s="412"/>
      <c r="AZ4" s="413"/>
      <c r="BA4" s="414"/>
      <c r="BB4" s="414"/>
      <c r="BC4" s="414"/>
      <c r="BD4" s="415"/>
    </row>
    <row r="6" spans="1:57" ht="14.4" customHeight="1">
      <c r="A6" s="405" t="s">
        <v>90</v>
      </c>
      <c r="B6" s="386" t="s">
        <v>136</v>
      </c>
      <c r="C6" s="394"/>
      <c r="D6" s="394"/>
      <c r="E6" s="394"/>
      <c r="F6" s="394"/>
      <c r="G6" s="394"/>
      <c r="H6" s="387"/>
      <c r="I6" s="386" t="s">
        <v>137</v>
      </c>
      <c r="J6" s="394"/>
      <c r="K6" s="394"/>
      <c r="L6" s="394"/>
      <c r="M6" s="394"/>
      <c r="N6" s="394"/>
      <c r="O6" s="394"/>
      <c r="P6" s="394"/>
      <c r="Q6" s="387"/>
      <c r="R6" s="386" t="s">
        <v>138</v>
      </c>
      <c r="S6" s="394"/>
      <c r="T6" s="394"/>
      <c r="U6" s="394"/>
      <c r="V6" s="394"/>
      <c r="W6" s="394"/>
      <c r="X6" s="387"/>
      <c r="Y6" s="386" t="s">
        <v>139</v>
      </c>
      <c r="Z6" s="387"/>
      <c r="AA6" s="386" t="s">
        <v>140</v>
      </c>
      <c r="AB6" s="394"/>
      <c r="AC6" s="387"/>
      <c r="AD6" s="390" t="s">
        <v>141</v>
      </c>
      <c r="AE6" s="392" t="s">
        <v>142</v>
      </c>
      <c r="AF6" s="390" t="s">
        <v>143</v>
      </c>
      <c r="AG6" s="390" t="s">
        <v>144</v>
      </c>
      <c r="AH6" s="390" t="s">
        <v>145</v>
      </c>
      <c r="AI6" s="383" t="s">
        <v>146</v>
      </c>
      <c r="AJ6" s="384"/>
      <c r="AK6" s="384"/>
      <c r="AL6" s="384"/>
      <c r="AM6" s="384"/>
      <c r="AN6" s="384"/>
      <c r="AO6" s="384"/>
      <c r="AP6" s="384"/>
      <c r="AQ6" s="384"/>
      <c r="AR6" s="385"/>
      <c r="AS6" s="386" t="s">
        <v>147</v>
      </c>
      <c r="AT6" s="394"/>
      <c r="AU6" s="394"/>
      <c r="AV6" s="394"/>
      <c r="AW6" s="394"/>
      <c r="AX6" s="394"/>
      <c r="AY6" s="394"/>
      <c r="AZ6" s="394"/>
      <c r="BA6" s="394"/>
      <c r="BB6" s="394"/>
      <c r="BC6" s="394"/>
      <c r="BD6" s="387"/>
    </row>
    <row r="7" spans="1:57" ht="14.4" customHeight="1">
      <c r="A7" s="406"/>
      <c r="B7" s="388"/>
      <c r="C7" s="395"/>
      <c r="D7" s="395"/>
      <c r="E7" s="395"/>
      <c r="F7" s="395"/>
      <c r="G7" s="395"/>
      <c r="H7" s="389"/>
      <c r="I7" s="388"/>
      <c r="J7" s="395"/>
      <c r="K7" s="395"/>
      <c r="L7" s="395"/>
      <c r="M7" s="395"/>
      <c r="N7" s="395"/>
      <c r="O7" s="395"/>
      <c r="P7" s="395"/>
      <c r="Q7" s="389"/>
      <c r="R7" s="388"/>
      <c r="S7" s="395"/>
      <c r="T7" s="395"/>
      <c r="U7" s="395"/>
      <c r="V7" s="395"/>
      <c r="W7" s="395"/>
      <c r="X7" s="389"/>
      <c r="Y7" s="388"/>
      <c r="Z7" s="389"/>
      <c r="AA7" s="388"/>
      <c r="AB7" s="395"/>
      <c r="AC7" s="389"/>
      <c r="AD7" s="391"/>
      <c r="AE7" s="393"/>
      <c r="AF7" s="391"/>
      <c r="AG7" s="391"/>
      <c r="AH7" s="39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88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89"/>
    </row>
    <row r="8" spans="1:57" ht="14.4" customHeight="1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419" t="s">
        <v>150</v>
      </c>
      <c r="Z8" s="420"/>
      <c r="AA8" s="421" t="s">
        <v>151</v>
      </c>
      <c r="AB8" s="422"/>
      <c r="AC8" s="423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" customHeight="1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419" t="s">
        <v>150</v>
      </c>
      <c r="Z9" s="420"/>
      <c r="AA9" s="421" t="s">
        <v>151</v>
      </c>
      <c r="AB9" s="422"/>
      <c r="AC9" s="423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" customHeight="1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39" t="s">
        <v>374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419" t="s">
        <v>150</v>
      </c>
      <c r="Z10" s="420"/>
      <c r="AA10" s="421" t="s">
        <v>151</v>
      </c>
      <c r="AB10" s="422"/>
      <c r="AC10" s="423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" customHeight="1">
      <c r="A11" s="70">
        <f>IF(B11="","",COUNTA($B$8:B11))</f>
        <v>4</v>
      </c>
      <c r="B11" s="25" t="s">
        <v>193</v>
      </c>
      <c r="C11" s="26"/>
      <c r="D11" s="26"/>
      <c r="E11" s="26"/>
      <c r="F11" s="26"/>
      <c r="G11" s="26"/>
      <c r="H11" s="39" t="s">
        <v>374</v>
      </c>
      <c r="I11" s="31" t="s">
        <v>194</v>
      </c>
      <c r="J11" s="23"/>
      <c r="K11" s="23"/>
      <c r="L11" s="23"/>
      <c r="M11" s="23"/>
      <c r="N11" s="23"/>
      <c r="O11" s="26"/>
      <c r="P11" s="23"/>
      <c r="Q11" s="24"/>
      <c r="R11" s="25" t="s">
        <v>193</v>
      </c>
      <c r="S11" s="23"/>
      <c r="T11" s="23"/>
      <c r="U11" s="23"/>
      <c r="V11" s="23"/>
      <c r="W11" s="23"/>
      <c r="X11" s="24"/>
      <c r="Y11" s="419" t="s">
        <v>150</v>
      </c>
      <c r="Z11" s="420"/>
      <c r="AA11" s="421" t="s">
        <v>151</v>
      </c>
      <c r="AB11" s="422"/>
      <c r="AC11" s="423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" customHeight="1">
      <c r="A12" s="70">
        <f>IF(B12="","",COUNTA($B$8:B12))</f>
        <v>5</v>
      </c>
      <c r="B12" s="19" t="s">
        <v>195</v>
      </c>
      <c r="C12" s="26"/>
      <c r="D12" s="26"/>
      <c r="E12" s="26"/>
      <c r="F12" s="26"/>
      <c r="G12" s="26"/>
      <c r="H12" s="39" t="s">
        <v>374</v>
      </c>
      <c r="I12" s="31" t="s">
        <v>196</v>
      </c>
      <c r="J12" s="23"/>
      <c r="K12" s="23"/>
      <c r="L12" s="23"/>
      <c r="M12" s="23"/>
      <c r="N12" s="23"/>
      <c r="O12" s="23"/>
      <c r="P12" s="23"/>
      <c r="Q12" s="24"/>
      <c r="R12" s="25" t="s">
        <v>195</v>
      </c>
      <c r="S12" s="23"/>
      <c r="T12" s="23"/>
      <c r="U12" s="23"/>
      <c r="V12" s="23"/>
      <c r="W12" s="23"/>
      <c r="X12" s="24"/>
      <c r="Y12" s="419" t="s">
        <v>150</v>
      </c>
      <c r="Z12" s="420"/>
      <c r="AA12" s="421" t="s">
        <v>151</v>
      </c>
      <c r="AB12" s="422"/>
      <c r="AC12" s="423"/>
      <c r="AD12" s="267">
        <v>80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  <c r="BE12" s="18" t="s">
        <v>1513</v>
      </c>
    </row>
    <row r="13" spans="1:57" ht="14.4" customHeight="1">
      <c r="A13" s="70">
        <f>IF(B13="","",COUNTA($B$8:B13))</f>
        <v>6</v>
      </c>
      <c r="B13" s="19" t="s">
        <v>197</v>
      </c>
      <c r="C13" s="20"/>
      <c r="D13" s="20"/>
      <c r="E13" s="20"/>
      <c r="F13" s="20"/>
      <c r="G13" s="20"/>
      <c r="H13" s="39" t="s">
        <v>374</v>
      </c>
      <c r="I13" s="31" t="s">
        <v>198</v>
      </c>
      <c r="J13" s="23"/>
      <c r="K13" s="23"/>
      <c r="L13" s="23"/>
      <c r="M13" s="23"/>
      <c r="N13" s="23"/>
      <c r="O13" s="23"/>
      <c r="P13" s="23"/>
      <c r="Q13" s="24"/>
      <c r="R13" s="19" t="s">
        <v>197</v>
      </c>
      <c r="S13" s="23"/>
      <c r="T13" s="23"/>
      <c r="U13" s="23"/>
      <c r="V13" s="23"/>
      <c r="W13" s="23"/>
      <c r="X13" s="24"/>
      <c r="Y13" s="419" t="s">
        <v>150</v>
      </c>
      <c r="Z13" s="420"/>
      <c r="AA13" s="421" t="s">
        <v>151</v>
      </c>
      <c r="AB13" s="422"/>
      <c r="AC13" s="423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" customHeight="1">
      <c r="A14" s="70">
        <f>IF(B14="","",COUNTA($B$8:B14))</f>
        <v>7</v>
      </c>
      <c r="B14" s="22" t="s">
        <v>199</v>
      </c>
      <c r="C14" s="20"/>
      <c r="D14" s="20"/>
      <c r="E14" s="20"/>
      <c r="F14" s="20"/>
      <c r="G14" s="20"/>
      <c r="H14" s="39" t="s">
        <v>374</v>
      </c>
      <c r="I14" s="31" t="s">
        <v>200</v>
      </c>
      <c r="J14" s="23"/>
      <c r="K14" s="23"/>
      <c r="L14" s="23"/>
      <c r="M14" s="23"/>
      <c r="N14" s="23"/>
      <c r="O14" s="23"/>
      <c r="P14" s="23"/>
      <c r="Q14" s="24"/>
      <c r="R14" s="19" t="s">
        <v>199</v>
      </c>
      <c r="S14" s="23"/>
      <c r="T14" s="23"/>
      <c r="U14" s="23"/>
      <c r="V14" s="23"/>
      <c r="W14" s="23"/>
      <c r="X14" s="24"/>
      <c r="Y14" s="419" t="s">
        <v>150</v>
      </c>
      <c r="Z14" s="420"/>
      <c r="AA14" s="421" t="s">
        <v>151</v>
      </c>
      <c r="AB14" s="422"/>
      <c r="AC14" s="423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" customHeight="1">
      <c r="A15" s="70">
        <f>IF(B15="","",COUNTA($B$8:B15))</f>
        <v>8</v>
      </c>
      <c r="B15" s="19" t="s">
        <v>201</v>
      </c>
      <c r="C15" s="20"/>
      <c r="D15" s="20"/>
      <c r="E15" s="20"/>
      <c r="F15" s="20"/>
      <c r="G15" s="20"/>
      <c r="H15" s="39" t="s">
        <v>374</v>
      </c>
      <c r="I15" s="31" t="s">
        <v>202</v>
      </c>
      <c r="J15" s="23"/>
      <c r="K15" s="23"/>
      <c r="L15" s="23"/>
      <c r="M15" s="23"/>
      <c r="N15" s="23"/>
      <c r="O15" s="23"/>
      <c r="P15" s="23"/>
      <c r="Q15" s="24"/>
      <c r="R15" s="19" t="s">
        <v>201</v>
      </c>
      <c r="S15" s="23"/>
      <c r="T15" s="23"/>
      <c r="U15" s="23"/>
      <c r="V15" s="23"/>
      <c r="W15" s="23"/>
      <c r="X15" s="24"/>
      <c r="Y15" s="419" t="s">
        <v>150</v>
      </c>
      <c r="Z15" s="420"/>
      <c r="AA15" s="421" t="s">
        <v>151</v>
      </c>
      <c r="AB15" s="422"/>
      <c r="AC15" s="423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" customHeight="1">
      <c r="A16" s="70">
        <f>IF(B16="","",COUNTA($B$8:B16))</f>
        <v>9</v>
      </c>
      <c r="B16" s="19" t="s">
        <v>203</v>
      </c>
      <c r="C16" s="20"/>
      <c r="D16" s="20"/>
      <c r="E16" s="20"/>
      <c r="F16" s="20"/>
      <c r="G16" s="20"/>
      <c r="H16" s="39" t="s">
        <v>374</v>
      </c>
      <c r="I16" s="31" t="s">
        <v>204</v>
      </c>
      <c r="J16" s="23"/>
      <c r="K16" s="23"/>
      <c r="L16" s="23"/>
      <c r="M16" s="23"/>
      <c r="N16" s="23"/>
      <c r="O16" s="38"/>
      <c r="P16" s="23"/>
      <c r="Q16" s="24"/>
      <c r="R16" s="19" t="s">
        <v>203</v>
      </c>
      <c r="S16" s="23"/>
      <c r="T16" s="23"/>
      <c r="U16" s="23"/>
      <c r="V16" s="23"/>
      <c r="W16" s="23"/>
      <c r="X16" s="24"/>
      <c r="Y16" s="419" t="s">
        <v>155</v>
      </c>
      <c r="Z16" s="420"/>
      <c r="AA16" s="421" t="s">
        <v>156</v>
      </c>
      <c r="AB16" s="422"/>
      <c r="AC16" s="423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" customHeight="1">
      <c r="A17" s="70">
        <f>IF(B17="","",COUNTA($B$8:B17))</f>
        <v>10</v>
      </c>
      <c r="B17" s="25" t="s">
        <v>205</v>
      </c>
      <c r="C17" s="26"/>
      <c r="D17" s="26"/>
      <c r="E17" s="26"/>
      <c r="F17" s="26"/>
      <c r="G17" s="26"/>
      <c r="H17" s="39" t="s">
        <v>374</v>
      </c>
      <c r="I17" s="31" t="s">
        <v>206</v>
      </c>
      <c r="J17" s="23"/>
      <c r="K17" s="23"/>
      <c r="L17" s="23"/>
      <c r="M17" s="23"/>
      <c r="N17" s="23"/>
      <c r="O17" s="26"/>
      <c r="P17" s="23"/>
      <c r="Q17" s="24"/>
      <c r="R17" s="25" t="s">
        <v>205</v>
      </c>
      <c r="S17" s="23"/>
      <c r="T17" s="23"/>
      <c r="U17" s="23"/>
      <c r="V17" s="23"/>
      <c r="W17" s="23"/>
      <c r="X17" s="24"/>
      <c r="Y17" s="419" t="s">
        <v>155</v>
      </c>
      <c r="Z17" s="420"/>
      <c r="AA17" s="421" t="s">
        <v>156</v>
      </c>
      <c r="AB17" s="422"/>
      <c r="AC17" s="423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" customHeight="1">
      <c r="A18" s="70">
        <f>IF(B18="","",COUNTA($B$8:B18))</f>
        <v>11</v>
      </c>
      <c r="B18" s="25" t="s">
        <v>208</v>
      </c>
      <c r="C18" s="26"/>
      <c r="D18" s="26"/>
      <c r="E18" s="26"/>
      <c r="F18" s="26"/>
      <c r="G18" s="26"/>
      <c r="H18" s="39" t="s">
        <v>374</v>
      </c>
      <c r="I18" s="31" t="s">
        <v>209</v>
      </c>
      <c r="J18" s="23"/>
      <c r="K18" s="23"/>
      <c r="L18" s="23"/>
      <c r="M18" s="23"/>
      <c r="N18" s="23"/>
      <c r="O18" s="26"/>
      <c r="P18" s="23"/>
      <c r="Q18" s="24"/>
      <c r="R18" s="25" t="s">
        <v>208</v>
      </c>
      <c r="S18" s="23"/>
      <c r="T18" s="23"/>
      <c r="U18" s="23"/>
      <c r="V18" s="23"/>
      <c r="W18" s="23"/>
      <c r="X18" s="24"/>
      <c r="Y18" s="419" t="s">
        <v>155</v>
      </c>
      <c r="Z18" s="420"/>
      <c r="AA18" s="421" t="s">
        <v>156</v>
      </c>
      <c r="AB18" s="422"/>
      <c r="AC18" s="423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" customHeight="1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19" t="s">
        <v>150</v>
      </c>
      <c r="Z19" s="154"/>
      <c r="AA19" s="25" t="s">
        <v>151</v>
      </c>
      <c r="AB19" s="26"/>
      <c r="AC19" s="39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" customHeight="1">
      <c r="A20" s="70">
        <f>IF(B20="","",COUNTA($B$8:B20))</f>
        <v>13</v>
      </c>
      <c r="B20" s="19" t="s">
        <v>1423</v>
      </c>
      <c r="C20" s="20"/>
      <c r="D20" s="20"/>
      <c r="E20" s="20"/>
      <c r="F20" s="20"/>
      <c r="G20" s="20"/>
      <c r="H20" s="24"/>
      <c r="I20" s="31" t="s">
        <v>1378</v>
      </c>
      <c r="J20" s="23"/>
      <c r="K20" s="23"/>
      <c r="L20" s="23"/>
      <c r="M20" s="23"/>
      <c r="N20" s="23"/>
      <c r="O20" s="38"/>
      <c r="P20" s="23"/>
      <c r="Q20" s="24"/>
      <c r="R20" s="19" t="s">
        <v>1423</v>
      </c>
      <c r="S20" s="23"/>
      <c r="T20" s="23"/>
      <c r="U20" s="23"/>
      <c r="V20" s="23"/>
      <c r="W20" s="23"/>
      <c r="X20" s="24"/>
      <c r="Y20" s="419" t="s">
        <v>150</v>
      </c>
      <c r="Z20" s="420"/>
      <c r="AA20" s="421" t="s">
        <v>151</v>
      </c>
      <c r="AB20" s="422"/>
      <c r="AC20" s="423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" customHeight="1">
      <c r="A21" s="50">
        <f>IF(B21="","",COUNTA($B$8:B21))</f>
        <v>14</v>
      </c>
      <c r="B21" s="25" t="s">
        <v>1384</v>
      </c>
      <c r="C21" s="26"/>
      <c r="D21" s="26"/>
      <c r="E21" s="26"/>
      <c r="F21" s="26"/>
      <c r="G21" s="26"/>
      <c r="H21" s="24"/>
      <c r="I21" s="31" t="s">
        <v>1478</v>
      </c>
      <c r="J21" s="23"/>
      <c r="K21" s="23"/>
      <c r="L21" s="23"/>
      <c r="M21" s="23"/>
      <c r="N21" s="23"/>
      <c r="O21" s="23"/>
      <c r="P21" s="23"/>
      <c r="Q21" s="37"/>
      <c r="R21" s="25" t="s">
        <v>1384</v>
      </c>
      <c r="S21" s="23"/>
      <c r="T21" s="23"/>
      <c r="U21" s="23"/>
      <c r="V21" s="23"/>
      <c r="W21" s="23"/>
      <c r="X21" s="24"/>
      <c r="Y21" s="419" t="s">
        <v>155</v>
      </c>
      <c r="Z21" s="420"/>
      <c r="AA21" s="421" t="s">
        <v>156</v>
      </c>
      <c r="AB21" s="422"/>
      <c r="AC21" s="423"/>
      <c r="AD21" s="27">
        <v>3</v>
      </c>
      <c r="AE21" s="28" t="s">
        <v>244</v>
      </c>
      <c r="AF21" s="28"/>
      <c r="AG21" s="28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 t="s">
        <v>396</v>
      </c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3"/>
      <c r="BE21" s="18" t="s">
        <v>1392</v>
      </c>
    </row>
    <row r="22" spans="1:57" ht="14.4" customHeight="1">
      <c r="A22" s="50">
        <f>IF(B22="","",COUNTA($B$8:B22))</f>
        <v>15</v>
      </c>
      <c r="B22" s="19" t="s">
        <v>1424</v>
      </c>
      <c r="C22" s="20"/>
      <c r="D22" s="20"/>
      <c r="E22" s="20"/>
      <c r="F22" s="20"/>
      <c r="G22" s="20"/>
      <c r="H22" s="24"/>
      <c r="I22" s="167" t="s">
        <v>1388</v>
      </c>
      <c r="J22" s="23"/>
      <c r="K22" s="23"/>
      <c r="L22" s="23"/>
      <c r="M22" s="23"/>
      <c r="N22" s="23"/>
      <c r="O22" s="23"/>
      <c r="P22" s="23"/>
      <c r="Q22" s="37"/>
      <c r="R22" s="19" t="s">
        <v>1424</v>
      </c>
      <c r="S22" s="23"/>
      <c r="T22" s="23"/>
      <c r="U22" s="23"/>
      <c r="V22" s="23"/>
      <c r="W22" s="23"/>
      <c r="X22" s="24"/>
      <c r="Y22" s="419" t="s">
        <v>155</v>
      </c>
      <c r="Z22" s="420"/>
      <c r="AA22" s="421" t="s">
        <v>156</v>
      </c>
      <c r="AB22" s="422"/>
      <c r="AC22" s="423"/>
      <c r="AD22" s="27">
        <v>5</v>
      </c>
      <c r="AE22" s="28" t="s">
        <v>244</v>
      </c>
      <c r="AF22" s="28"/>
      <c r="AG22" s="28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  <c r="BE22" s="18" t="s">
        <v>1392</v>
      </c>
    </row>
    <row r="23" spans="1:57" ht="14.4" customHeight="1">
      <c r="A23" s="50">
        <f>IF(B23="","",COUNTA($B$8:B23))</f>
        <v>16</v>
      </c>
      <c r="B23" s="19" t="s">
        <v>1385</v>
      </c>
      <c r="C23" s="20"/>
      <c r="D23" s="20"/>
      <c r="E23" s="20"/>
      <c r="F23" s="20"/>
      <c r="G23" s="20"/>
      <c r="H23" s="24"/>
      <c r="I23" s="167" t="s">
        <v>1389</v>
      </c>
      <c r="J23" s="23"/>
      <c r="K23" s="23"/>
      <c r="L23" s="23"/>
      <c r="M23" s="23"/>
      <c r="N23" s="23"/>
      <c r="O23" s="23"/>
      <c r="P23" s="23"/>
      <c r="Q23" s="37"/>
      <c r="R23" s="19" t="s">
        <v>1385</v>
      </c>
      <c r="S23" s="23"/>
      <c r="T23" s="23"/>
      <c r="U23" s="23"/>
      <c r="V23" s="23"/>
      <c r="W23" s="23"/>
      <c r="X23" s="24"/>
      <c r="Y23" s="419" t="s">
        <v>155</v>
      </c>
      <c r="Z23" s="420"/>
      <c r="AA23" s="421" t="s">
        <v>156</v>
      </c>
      <c r="AB23" s="422"/>
      <c r="AC23" s="423"/>
      <c r="AD23" s="27">
        <v>5</v>
      </c>
      <c r="AE23" s="28" t="s">
        <v>244</v>
      </c>
      <c r="AF23" s="28"/>
      <c r="AG23" s="28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  <c r="BE23" s="18" t="s">
        <v>1392</v>
      </c>
    </row>
    <row r="24" spans="1:57" ht="14.4" customHeight="1">
      <c r="A24" s="50">
        <f>IF(B24="","",COUNTA($B$8:B24))</f>
        <v>17</v>
      </c>
      <c r="B24" s="19" t="s">
        <v>1386</v>
      </c>
      <c r="C24" s="20"/>
      <c r="D24" s="20"/>
      <c r="E24" s="20"/>
      <c r="F24" s="20"/>
      <c r="G24" s="20"/>
      <c r="H24" s="24"/>
      <c r="I24" s="167" t="s">
        <v>1390</v>
      </c>
      <c r="J24" s="23"/>
      <c r="K24" s="23"/>
      <c r="L24" s="23"/>
      <c r="M24" s="23"/>
      <c r="N24" s="23"/>
      <c r="O24" s="23"/>
      <c r="P24" s="23"/>
      <c r="Q24" s="37"/>
      <c r="R24" s="19" t="s">
        <v>1386</v>
      </c>
      <c r="S24" s="23"/>
      <c r="T24" s="23"/>
      <c r="U24" s="23"/>
      <c r="V24" s="23"/>
      <c r="W24" s="23"/>
      <c r="X24" s="24"/>
      <c r="Y24" s="419" t="s">
        <v>155</v>
      </c>
      <c r="Z24" s="420"/>
      <c r="AA24" s="421" t="s">
        <v>156</v>
      </c>
      <c r="AB24" s="422"/>
      <c r="AC24" s="423"/>
      <c r="AD24" s="27">
        <v>5</v>
      </c>
      <c r="AE24" s="28" t="s">
        <v>244</v>
      </c>
      <c r="AF24" s="28"/>
      <c r="AG24" s="28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  <c r="BE24" s="18" t="s">
        <v>1392</v>
      </c>
    </row>
    <row r="25" spans="1:57" ht="14.4" customHeight="1">
      <c r="A25" s="50">
        <f>IF(B25="","",COUNTA($B$8:B25))</f>
        <v>18</v>
      </c>
      <c r="B25" s="25" t="s">
        <v>1387</v>
      </c>
      <c r="C25" s="26"/>
      <c r="D25" s="26"/>
      <c r="E25" s="26"/>
      <c r="F25" s="26"/>
      <c r="G25" s="26"/>
      <c r="H25" s="24"/>
      <c r="I25" s="167" t="s">
        <v>1391</v>
      </c>
      <c r="J25" s="23"/>
      <c r="K25" s="23"/>
      <c r="L25" s="23"/>
      <c r="M25" s="23"/>
      <c r="N25" s="23"/>
      <c r="O25" s="23"/>
      <c r="P25" s="23"/>
      <c r="Q25" s="37"/>
      <c r="R25" s="25" t="s">
        <v>1387</v>
      </c>
      <c r="S25" s="23"/>
      <c r="T25" s="23"/>
      <c r="U25" s="23"/>
      <c r="V25" s="23"/>
      <c r="W25" s="23"/>
      <c r="X25" s="24"/>
      <c r="Y25" s="419" t="s">
        <v>155</v>
      </c>
      <c r="Z25" s="420"/>
      <c r="AA25" s="421" t="s">
        <v>156</v>
      </c>
      <c r="AB25" s="422"/>
      <c r="AC25" s="423"/>
      <c r="AD25" s="27">
        <v>3</v>
      </c>
      <c r="AE25" s="28" t="s">
        <v>244</v>
      </c>
      <c r="AF25" s="28"/>
      <c r="AG25" s="28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 t="s">
        <v>396</v>
      </c>
      <c r="AT25" s="32"/>
      <c r="AU25" s="32"/>
      <c r="AV25" s="32"/>
      <c r="AW25" s="32"/>
      <c r="AX25" s="32"/>
      <c r="AY25" s="32"/>
      <c r="AZ25" s="32"/>
      <c r="BA25" s="32"/>
      <c r="BB25" s="32"/>
      <c r="BC25" s="32"/>
      <c r="BD25" s="33"/>
      <c r="BE25" s="18" t="s">
        <v>1392</v>
      </c>
    </row>
    <row r="26" spans="1:57" ht="14.4" customHeight="1">
      <c r="A26" s="70">
        <f>IF(B26="","",COUNTA($B$8:B26))</f>
        <v>19</v>
      </c>
      <c r="B26" s="19" t="s">
        <v>375</v>
      </c>
      <c r="C26" s="20"/>
      <c r="D26" s="20"/>
      <c r="E26" s="20"/>
      <c r="F26" s="20"/>
      <c r="G26" s="20"/>
      <c r="H26" s="24"/>
      <c r="I26" s="31" t="s">
        <v>376</v>
      </c>
      <c r="J26" s="23"/>
      <c r="K26" s="23"/>
      <c r="L26" s="23"/>
      <c r="M26" s="23"/>
      <c r="N26" s="23"/>
      <c r="O26" s="38"/>
      <c r="P26" s="23"/>
      <c r="Q26" s="24"/>
      <c r="R26" s="22" t="s">
        <v>375</v>
      </c>
      <c r="S26" s="23"/>
      <c r="T26" s="23"/>
      <c r="U26" s="23"/>
      <c r="V26" s="23"/>
      <c r="W26" s="23"/>
      <c r="X26" s="24"/>
      <c r="Y26" s="419" t="s">
        <v>169</v>
      </c>
      <c r="Z26" s="420"/>
      <c r="AA26" s="421" t="s">
        <v>170</v>
      </c>
      <c r="AB26" s="422"/>
      <c r="AC26" s="423"/>
      <c r="AD26" s="51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 t="s">
        <v>377</v>
      </c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" customHeight="1">
      <c r="A27" s="70">
        <f>IF(B27="","",COUNTA($B$8:B27))</f>
        <v>20</v>
      </c>
      <c r="B27" s="19" t="s">
        <v>249</v>
      </c>
      <c r="C27" s="20"/>
      <c r="D27" s="20"/>
      <c r="E27" s="20"/>
      <c r="F27" s="20"/>
      <c r="G27" s="20"/>
      <c r="H27" s="24"/>
      <c r="I27" s="31" t="s">
        <v>250</v>
      </c>
      <c r="J27" s="23"/>
      <c r="K27" s="23"/>
      <c r="L27" s="23"/>
      <c r="M27" s="23"/>
      <c r="N27" s="23"/>
      <c r="O27" s="23"/>
      <c r="P27" s="23"/>
      <c r="Q27" s="37"/>
      <c r="R27" s="19" t="s">
        <v>249</v>
      </c>
      <c r="S27" s="23"/>
      <c r="T27" s="23"/>
      <c r="U27" s="23"/>
      <c r="V27" s="23"/>
      <c r="W27" s="23"/>
      <c r="X27" s="24"/>
      <c r="Y27" s="419" t="s">
        <v>150</v>
      </c>
      <c r="Z27" s="420"/>
      <c r="AA27" s="421" t="s">
        <v>151</v>
      </c>
      <c r="AB27" s="422"/>
      <c r="AC27" s="423"/>
      <c r="AD27" s="27">
        <v>4</v>
      </c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" customHeight="1">
      <c r="A28" s="70">
        <f>IF(B28="","",COUNTA($B$8:B28))</f>
        <v>21</v>
      </c>
      <c r="B28" s="19" t="s">
        <v>251</v>
      </c>
      <c r="C28" s="20"/>
      <c r="D28" s="20"/>
      <c r="E28" s="20"/>
      <c r="F28" s="20"/>
      <c r="G28" s="20"/>
      <c r="H28" s="24"/>
      <c r="I28" s="31" t="s">
        <v>252</v>
      </c>
      <c r="J28" s="23"/>
      <c r="K28" s="23"/>
      <c r="L28" s="23"/>
      <c r="M28" s="23"/>
      <c r="N28" s="23"/>
      <c r="O28" s="23"/>
      <c r="P28" s="23"/>
      <c r="Q28" s="37"/>
      <c r="R28" s="19" t="s">
        <v>251</v>
      </c>
      <c r="S28" s="23"/>
      <c r="T28" s="23"/>
      <c r="U28" s="23"/>
      <c r="V28" s="23"/>
      <c r="W28" s="23"/>
      <c r="X28" s="24"/>
      <c r="Y28" s="419" t="s">
        <v>150</v>
      </c>
      <c r="Z28" s="420"/>
      <c r="AA28" s="421" t="s">
        <v>151</v>
      </c>
      <c r="AB28" s="422"/>
      <c r="AC28" s="423"/>
      <c r="AD28" s="27">
        <v>4</v>
      </c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" customHeight="1">
      <c r="A29" s="70">
        <f>IF(B29="","",COUNTA($B$8:B29))</f>
        <v>22</v>
      </c>
      <c r="B29" s="19" t="s">
        <v>253</v>
      </c>
      <c r="C29" s="20"/>
      <c r="D29" s="20"/>
      <c r="E29" s="20"/>
      <c r="F29" s="20"/>
      <c r="G29" s="20"/>
      <c r="H29" s="24"/>
      <c r="I29" s="31" t="s">
        <v>254</v>
      </c>
      <c r="J29" s="23"/>
      <c r="K29" s="23"/>
      <c r="L29" s="23"/>
      <c r="M29" s="23"/>
      <c r="N29" s="23"/>
      <c r="O29" s="23"/>
      <c r="P29" s="23"/>
      <c r="Q29" s="37"/>
      <c r="R29" s="19" t="s">
        <v>253</v>
      </c>
      <c r="S29" s="23"/>
      <c r="T29" s="23"/>
      <c r="U29" s="23"/>
      <c r="V29" s="23"/>
      <c r="W29" s="23"/>
      <c r="X29" s="24"/>
      <c r="Y29" s="419" t="s">
        <v>150</v>
      </c>
      <c r="Z29" s="420"/>
      <c r="AA29" s="421" t="s">
        <v>151</v>
      </c>
      <c r="AB29" s="422"/>
      <c r="AC29" s="423"/>
      <c r="AD29" s="27">
        <v>10</v>
      </c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" customHeight="1">
      <c r="A30" s="70">
        <f>IF(B30="","",COUNTA($B$8:B30))</f>
        <v>23</v>
      </c>
      <c r="B30" s="19" t="s">
        <v>255</v>
      </c>
      <c r="C30" s="20"/>
      <c r="D30" s="20"/>
      <c r="E30" s="20"/>
      <c r="F30" s="20"/>
      <c r="G30" s="20"/>
      <c r="H30" s="24"/>
      <c r="I30" s="31" t="s">
        <v>256</v>
      </c>
      <c r="J30" s="23"/>
      <c r="K30" s="23"/>
      <c r="L30" s="23"/>
      <c r="M30" s="23"/>
      <c r="N30" s="23"/>
      <c r="O30" s="23"/>
      <c r="P30" s="23"/>
      <c r="Q30" s="37"/>
      <c r="R30" s="19" t="s">
        <v>255</v>
      </c>
      <c r="S30" s="23"/>
      <c r="T30" s="23"/>
      <c r="U30" s="23"/>
      <c r="V30" s="23"/>
      <c r="W30" s="23"/>
      <c r="X30" s="24"/>
      <c r="Y30" s="419" t="s">
        <v>150</v>
      </c>
      <c r="Z30" s="420"/>
      <c r="AA30" s="421" t="s">
        <v>151</v>
      </c>
      <c r="AB30" s="422"/>
      <c r="AC30" s="423"/>
      <c r="AD30" s="27">
        <v>10</v>
      </c>
      <c r="AE30" s="29"/>
      <c r="AF30" s="29"/>
      <c r="AG30" s="29"/>
      <c r="AH30" s="40"/>
      <c r="AI30" s="40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32"/>
      <c r="AV30" s="32"/>
      <c r="AW30" s="32"/>
      <c r="AX30" s="32"/>
      <c r="AY30" s="67"/>
      <c r="AZ30" s="67"/>
      <c r="BA30" s="67"/>
      <c r="BB30" s="67"/>
      <c r="BC30" s="67"/>
      <c r="BD30" s="68"/>
    </row>
    <row r="31" spans="1:57" ht="14.4" customHeight="1">
      <c r="A31" s="70">
        <f>IF(B31="","",COUNTA($B$8:B31))</f>
        <v>24</v>
      </c>
      <c r="B31" s="19" t="s">
        <v>257</v>
      </c>
      <c r="C31" s="20"/>
      <c r="D31" s="20"/>
      <c r="E31" s="20"/>
      <c r="F31" s="20"/>
      <c r="G31" s="20"/>
      <c r="H31" s="24"/>
      <c r="I31" s="31" t="s">
        <v>258</v>
      </c>
      <c r="J31" s="23"/>
      <c r="K31" s="23"/>
      <c r="L31" s="23"/>
      <c r="M31" s="23"/>
      <c r="N31" s="23"/>
      <c r="O31" s="23"/>
      <c r="P31" s="23"/>
      <c r="Q31" s="37"/>
      <c r="R31" s="19" t="s">
        <v>257</v>
      </c>
      <c r="S31" s="23"/>
      <c r="T31" s="23"/>
      <c r="U31" s="23"/>
      <c r="V31" s="23"/>
      <c r="W31" s="23"/>
      <c r="X31" s="24"/>
      <c r="Y31" s="419" t="s">
        <v>169</v>
      </c>
      <c r="Z31" s="420"/>
      <c r="AA31" s="421" t="s">
        <v>243</v>
      </c>
      <c r="AB31" s="422"/>
      <c r="AC31" s="423"/>
      <c r="AD31" s="51"/>
      <c r="AE31" s="29"/>
      <c r="AF31" s="29"/>
      <c r="AG31" s="29"/>
      <c r="AH31" s="28"/>
      <c r="AI31" s="28"/>
      <c r="AJ31" s="28"/>
      <c r="AK31" s="28"/>
      <c r="AL31" s="40"/>
      <c r="AM31" s="40"/>
      <c r="AN31" s="40"/>
      <c r="AO31" s="41"/>
      <c r="AP31" s="41"/>
      <c r="AQ31" s="41"/>
      <c r="AR31" s="41"/>
      <c r="AS31" s="42"/>
      <c r="AT31" s="43"/>
      <c r="AU31" s="32"/>
      <c r="AV31" s="32"/>
      <c r="AW31" s="32"/>
      <c r="AX31" s="32"/>
      <c r="AY31" s="32"/>
      <c r="AZ31" s="32"/>
      <c r="BA31" s="32"/>
      <c r="BB31" s="32"/>
      <c r="BC31" s="32"/>
      <c r="BD31" s="33"/>
    </row>
    <row r="32" spans="1:57" ht="14.4" customHeight="1">
      <c r="A32" s="70">
        <f>IF(B32="","",COUNTA($B$8:B32))</f>
        <v>25</v>
      </c>
      <c r="B32" s="19" t="s">
        <v>259</v>
      </c>
      <c r="C32" s="20"/>
      <c r="D32" s="20"/>
      <c r="E32" s="20"/>
      <c r="F32" s="20"/>
      <c r="G32" s="20"/>
      <c r="H32" s="24"/>
      <c r="I32" s="31" t="s">
        <v>260</v>
      </c>
      <c r="J32" s="23"/>
      <c r="K32" s="23"/>
      <c r="L32" s="23"/>
      <c r="M32" s="23"/>
      <c r="N32" s="23"/>
      <c r="O32" s="23"/>
      <c r="P32" s="23"/>
      <c r="Q32" s="37"/>
      <c r="R32" s="19" t="s">
        <v>259</v>
      </c>
      <c r="S32" s="23"/>
      <c r="T32" s="23"/>
      <c r="U32" s="23"/>
      <c r="V32" s="23"/>
      <c r="W32" s="23"/>
      <c r="X32" s="24"/>
      <c r="Y32" s="419" t="s">
        <v>150</v>
      </c>
      <c r="Z32" s="420"/>
      <c r="AA32" s="421" t="s">
        <v>151</v>
      </c>
      <c r="AB32" s="422"/>
      <c r="AC32" s="423"/>
      <c r="AD32" s="27">
        <v>10</v>
      </c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32"/>
      <c r="AZ32" s="32"/>
      <c r="BA32" s="32"/>
      <c r="BB32" s="32"/>
      <c r="BC32" s="32"/>
      <c r="BD32" s="33"/>
    </row>
    <row r="33" spans="1:56" ht="14.4" customHeight="1">
      <c r="A33" s="70">
        <f>IF(B33="","",COUNTA($B$8:B33))</f>
        <v>26</v>
      </c>
      <c r="B33" s="19" t="s">
        <v>261</v>
      </c>
      <c r="C33" s="20"/>
      <c r="D33" s="20"/>
      <c r="E33" s="20"/>
      <c r="F33" s="20"/>
      <c r="G33" s="20"/>
      <c r="H33" s="24"/>
      <c r="I33" s="31" t="s">
        <v>262</v>
      </c>
      <c r="J33" s="23"/>
      <c r="K33" s="23"/>
      <c r="L33" s="23"/>
      <c r="M33" s="23"/>
      <c r="N33" s="23"/>
      <c r="O33" s="23"/>
      <c r="P33" s="23"/>
      <c r="Q33" s="37"/>
      <c r="R33" s="19" t="s">
        <v>261</v>
      </c>
      <c r="S33" s="23"/>
      <c r="T33" s="23"/>
      <c r="U33" s="23"/>
      <c r="V33" s="23"/>
      <c r="W33" s="23"/>
      <c r="X33" s="24"/>
      <c r="Y33" s="419" t="s">
        <v>150</v>
      </c>
      <c r="Z33" s="420"/>
      <c r="AA33" s="421" t="s">
        <v>151</v>
      </c>
      <c r="AB33" s="422"/>
      <c r="AC33" s="423"/>
      <c r="AD33" s="51">
        <v>10</v>
      </c>
      <c r="AE33" s="29"/>
      <c r="AF33" s="29"/>
      <c r="AG33" s="29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>
      <c r="A34" s="70">
        <f>IF(B34="","",COUNTA($B$8:B34))</f>
        <v>27</v>
      </c>
      <c r="B34" s="19" t="s">
        <v>263</v>
      </c>
      <c r="C34" s="20"/>
      <c r="D34" s="20"/>
      <c r="E34" s="20"/>
      <c r="F34" s="20"/>
      <c r="G34" s="20"/>
      <c r="H34" s="24"/>
      <c r="I34" s="31" t="s">
        <v>264</v>
      </c>
      <c r="J34" s="23"/>
      <c r="K34" s="23"/>
      <c r="L34" s="23"/>
      <c r="M34" s="23"/>
      <c r="N34" s="23"/>
      <c r="O34" s="23"/>
      <c r="P34" s="23"/>
      <c r="Q34" s="37"/>
      <c r="R34" s="22" t="s">
        <v>263</v>
      </c>
      <c r="S34" s="23"/>
      <c r="T34" s="23"/>
      <c r="U34" s="23"/>
      <c r="V34" s="23"/>
      <c r="W34" s="23"/>
      <c r="X34" s="24"/>
      <c r="Y34" s="419" t="s">
        <v>169</v>
      </c>
      <c r="Z34" s="420"/>
      <c r="AA34" s="421" t="s">
        <v>243</v>
      </c>
      <c r="AB34" s="422"/>
      <c r="AC34" s="423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>
      <c r="A35" s="70" t="str">
        <f>IF(B35="","",COUNTA($B$8:B35))</f>
        <v/>
      </c>
      <c r="B35" s="25"/>
      <c r="C35" s="26"/>
      <c r="D35" s="26"/>
      <c r="E35" s="26"/>
      <c r="F35" s="26"/>
      <c r="G35" s="26"/>
      <c r="H35" s="39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419"/>
      <c r="Z35" s="420"/>
      <c r="AA35" s="421"/>
      <c r="AB35" s="422"/>
      <c r="AC35" s="423"/>
      <c r="AD35" s="27"/>
      <c r="AE35" s="29" t="s">
        <v>244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70" t="str">
        <f>IF(B36="","",COUNTA($B$8:B36))</f>
        <v/>
      </c>
      <c r="B36" s="25"/>
      <c r="C36" s="26"/>
      <c r="D36" s="26"/>
      <c r="E36" s="26"/>
      <c r="F36" s="26"/>
      <c r="G36" s="26"/>
      <c r="H36" s="39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419"/>
      <c r="Z36" s="420"/>
      <c r="AA36" s="421"/>
      <c r="AB36" s="422"/>
      <c r="AC36" s="423"/>
      <c r="AD36" s="27"/>
      <c r="AE36" s="29" t="s">
        <v>244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70" t="str">
        <f>IF(B37="","",COUNTA($B$8:B37))</f>
        <v/>
      </c>
      <c r="B37" s="19"/>
      <c r="C37" s="20" t="s">
        <v>378</v>
      </c>
      <c r="D37" s="20"/>
      <c r="E37" s="20" t="s">
        <v>379</v>
      </c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419"/>
      <c r="Z37" s="420"/>
      <c r="AA37" s="421"/>
      <c r="AB37" s="422"/>
      <c r="AC37" s="423"/>
      <c r="AD37" s="27"/>
      <c r="AE37" s="29" t="s">
        <v>244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419"/>
      <c r="Z38" s="420"/>
      <c r="AA38" s="421"/>
      <c r="AB38" s="422"/>
      <c r="AC38" s="423"/>
      <c r="AD38" s="69"/>
      <c r="AE38" s="29" t="s">
        <v>244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419"/>
      <c r="Z39" s="420"/>
      <c r="AA39" s="421"/>
      <c r="AB39" s="422"/>
      <c r="AC39" s="423"/>
      <c r="AD39" s="51"/>
      <c r="AE39" s="29" t="s">
        <v>244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419"/>
      <c r="Z40" s="420"/>
      <c r="AA40" s="421"/>
      <c r="AB40" s="422"/>
      <c r="AC40" s="423"/>
      <c r="AD40" s="27"/>
      <c r="AE40" s="29" t="s">
        <v>244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419"/>
      <c r="Z41" s="420"/>
      <c r="AA41" s="421"/>
      <c r="AB41" s="422"/>
      <c r="AC41" s="423"/>
      <c r="AD41" s="27"/>
      <c r="AE41" s="29" t="s">
        <v>244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419"/>
      <c r="Z42" s="420"/>
      <c r="AA42" s="421"/>
      <c r="AB42" s="422"/>
      <c r="AC42" s="423"/>
      <c r="AD42" s="27"/>
      <c r="AE42" s="29" t="s">
        <v>244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24"/>
      <c r="R43" s="22"/>
      <c r="S43" s="23"/>
      <c r="T43" s="23"/>
      <c r="U43" s="23"/>
      <c r="V43" s="23"/>
      <c r="W43" s="23"/>
      <c r="X43" s="24"/>
      <c r="Y43" s="419"/>
      <c r="Z43" s="420"/>
      <c r="AA43" s="421"/>
      <c r="AB43" s="422"/>
      <c r="AC43" s="423"/>
      <c r="AD43" s="27"/>
      <c r="AE43" s="29" t="s">
        <v>244</v>
      </c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31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24"/>
      <c r="R44" s="22"/>
      <c r="S44" s="23"/>
      <c r="T44" s="23"/>
      <c r="U44" s="23"/>
      <c r="V44" s="23"/>
      <c r="W44" s="23"/>
      <c r="X44" s="24"/>
      <c r="Y44" s="419"/>
      <c r="Z44" s="420"/>
      <c r="AA44" s="421"/>
      <c r="AB44" s="422"/>
      <c r="AC44" s="423"/>
      <c r="AD44" s="27"/>
      <c r="AE44" s="29" t="s">
        <v>244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7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" customHeight="1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419"/>
      <c r="Z45" s="420"/>
      <c r="AA45" s="421"/>
      <c r="AB45" s="422"/>
      <c r="AC45" s="423"/>
      <c r="AD45" s="51"/>
      <c r="AE45" s="29" t="s">
        <v>244</v>
      </c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419"/>
      <c r="Z46" s="420"/>
      <c r="AA46" s="421"/>
      <c r="AB46" s="422"/>
      <c r="AC46" s="423"/>
      <c r="AD46" s="51"/>
      <c r="AE46" s="29" t="s">
        <v>244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08">
    <mergeCell ref="Y32:Z32"/>
    <mergeCell ref="Y36:Z36"/>
    <mergeCell ref="Y37:Z37"/>
    <mergeCell ref="Y38:Z38"/>
    <mergeCell ref="AA45:AC45"/>
    <mergeCell ref="AA46:AC46"/>
    <mergeCell ref="AA41:AC41"/>
    <mergeCell ref="AA42:AC42"/>
    <mergeCell ref="AA43:AC43"/>
    <mergeCell ref="AA44:AC44"/>
    <mergeCell ref="AA21:AC21"/>
    <mergeCell ref="AA32:AC32"/>
    <mergeCell ref="AA33:AC33"/>
    <mergeCell ref="AA34:AC34"/>
    <mergeCell ref="AA35:AC35"/>
    <mergeCell ref="AA39:AC39"/>
    <mergeCell ref="AA37:AC37"/>
    <mergeCell ref="AA38:AC38"/>
    <mergeCell ref="AA36:AC36"/>
    <mergeCell ref="Y33:Z33"/>
    <mergeCell ref="Y34:Z34"/>
    <mergeCell ref="Y35:Z35"/>
    <mergeCell ref="AA40:AC40"/>
    <mergeCell ref="Y46:Z46"/>
    <mergeCell ref="Y42:Z42"/>
    <mergeCell ref="Y43:Z43"/>
    <mergeCell ref="Y45:Z45"/>
    <mergeCell ref="Y44:Z44"/>
    <mergeCell ref="Y39:Z39"/>
    <mergeCell ref="Y40:Z40"/>
    <mergeCell ref="Y41:Z41"/>
    <mergeCell ref="Y28:Z28"/>
    <mergeCell ref="AA28:AC28"/>
    <mergeCell ref="AA29:AC29"/>
    <mergeCell ref="AA30:AC30"/>
    <mergeCell ref="AA31:AC31"/>
    <mergeCell ref="Y29:Z29"/>
    <mergeCell ref="Y27:Z27"/>
    <mergeCell ref="Y30:Z30"/>
    <mergeCell ref="Y31:Z31"/>
    <mergeCell ref="Y16:Z16"/>
    <mergeCell ref="Y10:Z10"/>
    <mergeCell ref="Y11:Z11"/>
    <mergeCell ref="Y15:Z15"/>
    <mergeCell ref="Y12:Z12"/>
    <mergeCell ref="AA27:AC27"/>
    <mergeCell ref="Y26:Z26"/>
    <mergeCell ref="AA26:AC26"/>
    <mergeCell ref="Y18:Z18"/>
    <mergeCell ref="AA15:AC15"/>
    <mergeCell ref="AA16:AC16"/>
    <mergeCell ref="AA17:AC17"/>
    <mergeCell ref="Y17:Z17"/>
    <mergeCell ref="Y20:Z20"/>
    <mergeCell ref="AA20:AC20"/>
    <mergeCell ref="Y22:Z22"/>
    <mergeCell ref="AA22:AC22"/>
    <mergeCell ref="Y23:Z23"/>
    <mergeCell ref="AA23:AC23"/>
    <mergeCell ref="Y24:Z24"/>
    <mergeCell ref="AA24:AC24"/>
    <mergeCell ref="Y25:Z25"/>
    <mergeCell ref="AA25:AC25"/>
    <mergeCell ref="Y21:Z21"/>
    <mergeCell ref="AA18:AC18"/>
    <mergeCell ref="A6:A7"/>
    <mergeCell ref="A1:H4"/>
    <mergeCell ref="I1:Q1"/>
    <mergeCell ref="R1:X1"/>
    <mergeCell ref="Y1:AO1"/>
    <mergeCell ref="AH6:AH7"/>
    <mergeCell ref="AI6:AR6"/>
    <mergeCell ref="AE6:AE7"/>
    <mergeCell ref="AF6:AF7"/>
    <mergeCell ref="AG6:AG7"/>
    <mergeCell ref="B6:H7"/>
    <mergeCell ref="I6:Q7"/>
    <mergeCell ref="R6:X7"/>
    <mergeCell ref="Y6:Z7"/>
    <mergeCell ref="AA6:AC7"/>
    <mergeCell ref="AP1:AT1"/>
    <mergeCell ref="AS6:BD7"/>
    <mergeCell ref="AD6:AD7"/>
    <mergeCell ref="AU3:AY3"/>
    <mergeCell ref="AZ3:BD3"/>
    <mergeCell ref="Y4:AO4"/>
    <mergeCell ref="AU4:AY4"/>
    <mergeCell ref="AZ4:BD4"/>
    <mergeCell ref="AU1:AY1"/>
    <mergeCell ref="AZ1:BD1"/>
    <mergeCell ref="I2:Q4"/>
    <mergeCell ref="R2:X4"/>
    <mergeCell ref="Y2:AO3"/>
    <mergeCell ref="AZ2:BD2"/>
    <mergeCell ref="Y13:Z13"/>
    <mergeCell ref="Y14:Z14"/>
    <mergeCell ref="AA11:AC11"/>
    <mergeCell ref="AA12:AC12"/>
    <mergeCell ref="AA13:AC13"/>
    <mergeCell ref="AA14:AC14"/>
    <mergeCell ref="AP3:AT3"/>
    <mergeCell ref="AP4:AT4"/>
    <mergeCell ref="AA8:AC8"/>
    <mergeCell ref="AA9:AC9"/>
    <mergeCell ref="AA10:AC10"/>
    <mergeCell ref="Y8:Z8"/>
    <mergeCell ref="Y9:Z9"/>
    <mergeCell ref="AP2:AT2"/>
  </mergeCells>
  <phoneticPr fontId="5"/>
  <dataValidations count="3">
    <dataValidation imeMode="hiragana" allowBlank="1" showInputMessage="1" showErrorMessage="1" sqref="Z262145:AJ262147 Z196609:AJ196611 Z131073:AJ131075 Z65537:AJ65539 Z983041:AJ983043 Z917505:AJ917507 Z851969:AJ851971 Z786433:AJ786435 Z720897:AJ720899 Z655361:AJ655363 Z589825:AJ589827 Z524289:AJ524291 Z458753:AJ458755 Z393217:AJ393219 Z327681:AJ327683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>
      <c r="A1" s="396" t="s">
        <v>78</v>
      </c>
      <c r="B1" s="397"/>
      <c r="C1" s="397"/>
      <c r="D1" s="397"/>
      <c r="E1" s="397"/>
      <c r="F1" s="397"/>
      <c r="G1" s="397"/>
      <c r="H1" s="398"/>
      <c r="I1" s="336" t="s">
        <v>79</v>
      </c>
      <c r="J1" s="337"/>
      <c r="K1" s="337"/>
      <c r="L1" s="337"/>
      <c r="M1" s="337"/>
      <c r="N1" s="337"/>
      <c r="O1" s="337"/>
      <c r="P1" s="337"/>
      <c r="Q1" s="338"/>
      <c r="R1" s="336" t="s">
        <v>80</v>
      </c>
      <c r="S1" s="337"/>
      <c r="T1" s="337"/>
      <c r="U1" s="337"/>
      <c r="V1" s="337"/>
      <c r="W1" s="337"/>
      <c r="X1" s="338"/>
      <c r="Y1" s="336" t="s">
        <v>135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8"/>
      <c r="AP1" s="407" t="s">
        <v>82</v>
      </c>
      <c r="AQ1" s="408"/>
      <c r="AR1" s="408"/>
      <c r="AS1" s="408"/>
      <c r="AT1" s="409"/>
      <c r="AU1" s="407" t="s">
        <v>83</v>
      </c>
      <c r="AV1" s="408"/>
      <c r="AW1" s="408"/>
      <c r="AX1" s="408"/>
      <c r="AY1" s="409"/>
      <c r="AZ1" s="407" t="s">
        <v>84</v>
      </c>
      <c r="BA1" s="408"/>
      <c r="BB1" s="408"/>
      <c r="BC1" s="408"/>
      <c r="BD1" s="409"/>
    </row>
    <row r="2" spans="1:57" s="17" customFormat="1" ht="14.4" customHeight="1">
      <c r="A2" s="399"/>
      <c r="B2" s="400"/>
      <c r="C2" s="400"/>
      <c r="D2" s="400"/>
      <c r="E2" s="400"/>
      <c r="F2" s="400"/>
      <c r="G2" s="400"/>
      <c r="H2" s="401"/>
      <c r="I2" s="366" t="s">
        <v>85</v>
      </c>
      <c r="J2" s="367"/>
      <c r="K2" s="367"/>
      <c r="L2" s="367"/>
      <c r="M2" s="367"/>
      <c r="N2" s="367"/>
      <c r="O2" s="367"/>
      <c r="P2" s="367"/>
      <c r="Q2" s="368"/>
      <c r="R2" s="366" t="str">
        <f ca="1">VLOOKUP(RIGHT(CELL("filename",A2),LEN(CELL("filename",A2))-FIND("]",CELL("filename",A2))),テーブル一覧!B:AD,22,FALSE)</f>
        <v>B.生産計画</v>
      </c>
      <c r="S2" s="367"/>
      <c r="T2" s="367"/>
      <c r="U2" s="367"/>
      <c r="V2" s="367"/>
      <c r="W2" s="367"/>
      <c r="X2" s="368"/>
      <c r="Y2" s="366" t="str">
        <f ca="1">VLOOKUP(RIGHT(CELL("filename",A2),LEN(CELL("filename",A2))-FIND("]",CELL("filename",A2))),テーブル一覧!B:AD,1,FALSE)</f>
        <v>生産指示明細情報（原材料）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8"/>
      <c r="AP2" s="339"/>
      <c r="AQ2" s="340"/>
      <c r="AR2" s="340"/>
      <c r="AS2" s="340"/>
      <c r="AT2" s="341"/>
      <c r="AU2" s="58" t="s">
        <v>88</v>
      </c>
      <c r="AV2" s="59"/>
      <c r="AW2" s="59"/>
      <c r="AX2" s="59"/>
      <c r="AY2" s="60"/>
      <c r="AZ2" s="413" t="s">
        <v>89</v>
      </c>
      <c r="BA2" s="414"/>
      <c r="BB2" s="414"/>
      <c r="BC2" s="414"/>
      <c r="BD2" s="415"/>
    </row>
    <row r="3" spans="1:57" s="17" customFormat="1" ht="14.4" customHeight="1">
      <c r="A3" s="399"/>
      <c r="B3" s="400"/>
      <c r="C3" s="400"/>
      <c r="D3" s="400"/>
      <c r="E3" s="400"/>
      <c r="F3" s="400"/>
      <c r="G3" s="400"/>
      <c r="H3" s="401"/>
      <c r="I3" s="369"/>
      <c r="J3" s="370"/>
      <c r="K3" s="370"/>
      <c r="L3" s="370"/>
      <c r="M3" s="370"/>
      <c r="N3" s="370"/>
      <c r="O3" s="370"/>
      <c r="P3" s="370"/>
      <c r="Q3" s="371"/>
      <c r="R3" s="369"/>
      <c r="S3" s="370"/>
      <c r="T3" s="370"/>
      <c r="U3" s="370"/>
      <c r="V3" s="370"/>
      <c r="W3" s="370"/>
      <c r="X3" s="371"/>
      <c r="Y3" s="372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4"/>
      <c r="AP3" s="342"/>
      <c r="AQ3" s="343"/>
      <c r="AR3" s="343"/>
      <c r="AS3" s="343"/>
      <c r="AT3" s="344"/>
      <c r="AU3" s="410"/>
      <c r="AV3" s="411"/>
      <c r="AW3" s="411"/>
      <c r="AX3" s="411"/>
      <c r="AY3" s="412"/>
      <c r="AZ3" s="413"/>
      <c r="BA3" s="414"/>
      <c r="BB3" s="414"/>
      <c r="BC3" s="414"/>
      <c r="BD3" s="415"/>
    </row>
    <row r="4" spans="1:57" s="17" customFormat="1" ht="14.4" customHeight="1">
      <c r="A4" s="402"/>
      <c r="B4" s="403"/>
      <c r="C4" s="403"/>
      <c r="D4" s="403"/>
      <c r="E4" s="403"/>
      <c r="F4" s="403"/>
      <c r="G4" s="403"/>
      <c r="H4" s="404"/>
      <c r="I4" s="372"/>
      <c r="J4" s="373"/>
      <c r="K4" s="373"/>
      <c r="L4" s="373"/>
      <c r="M4" s="373"/>
      <c r="N4" s="373"/>
      <c r="O4" s="373"/>
      <c r="P4" s="373"/>
      <c r="Q4" s="374"/>
      <c r="R4" s="372"/>
      <c r="S4" s="373"/>
      <c r="T4" s="373"/>
      <c r="U4" s="373"/>
      <c r="V4" s="373"/>
      <c r="W4" s="373"/>
      <c r="X4" s="374"/>
      <c r="Y4" s="41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t_seisan_shiji_genzairyo_m</v>
      </c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8"/>
      <c r="AP4" s="342"/>
      <c r="AQ4" s="343"/>
      <c r="AR4" s="343"/>
      <c r="AS4" s="343"/>
      <c r="AT4" s="344"/>
      <c r="AU4" s="410"/>
      <c r="AV4" s="411"/>
      <c r="AW4" s="411"/>
      <c r="AX4" s="411"/>
      <c r="AY4" s="412"/>
      <c r="AZ4" s="413"/>
      <c r="BA4" s="414"/>
      <c r="BB4" s="414"/>
      <c r="BC4" s="414"/>
      <c r="BD4" s="415"/>
    </row>
    <row r="6" spans="1:57" ht="14.4" customHeight="1">
      <c r="A6" s="405" t="s">
        <v>90</v>
      </c>
      <c r="B6" s="386" t="s">
        <v>136</v>
      </c>
      <c r="C6" s="394"/>
      <c r="D6" s="394"/>
      <c r="E6" s="394"/>
      <c r="F6" s="394"/>
      <c r="G6" s="394"/>
      <c r="H6" s="387"/>
      <c r="I6" s="386" t="s">
        <v>137</v>
      </c>
      <c r="J6" s="394"/>
      <c r="K6" s="394"/>
      <c r="L6" s="394"/>
      <c r="M6" s="394"/>
      <c r="N6" s="394"/>
      <c r="O6" s="394"/>
      <c r="P6" s="394"/>
      <c r="Q6" s="387"/>
      <c r="R6" s="386" t="s">
        <v>138</v>
      </c>
      <c r="S6" s="394"/>
      <c r="T6" s="394"/>
      <c r="U6" s="394"/>
      <c r="V6" s="394"/>
      <c r="W6" s="394"/>
      <c r="X6" s="387"/>
      <c r="Y6" s="386" t="s">
        <v>139</v>
      </c>
      <c r="Z6" s="387"/>
      <c r="AA6" s="386" t="s">
        <v>140</v>
      </c>
      <c r="AB6" s="394"/>
      <c r="AC6" s="387"/>
      <c r="AD6" s="390" t="s">
        <v>141</v>
      </c>
      <c r="AE6" s="392" t="s">
        <v>142</v>
      </c>
      <c r="AF6" s="390" t="s">
        <v>143</v>
      </c>
      <c r="AG6" s="390" t="s">
        <v>144</v>
      </c>
      <c r="AH6" s="390" t="s">
        <v>145</v>
      </c>
      <c r="AI6" s="383" t="s">
        <v>146</v>
      </c>
      <c r="AJ6" s="384"/>
      <c r="AK6" s="384"/>
      <c r="AL6" s="384"/>
      <c r="AM6" s="384"/>
      <c r="AN6" s="384"/>
      <c r="AO6" s="384"/>
      <c r="AP6" s="384"/>
      <c r="AQ6" s="384"/>
      <c r="AR6" s="385"/>
      <c r="AS6" s="386" t="s">
        <v>147</v>
      </c>
      <c r="AT6" s="394"/>
      <c r="AU6" s="394"/>
      <c r="AV6" s="394"/>
      <c r="AW6" s="394"/>
      <c r="AX6" s="394"/>
      <c r="AY6" s="394"/>
      <c r="AZ6" s="394"/>
      <c r="BA6" s="394"/>
      <c r="BB6" s="394"/>
      <c r="BC6" s="394"/>
      <c r="BD6" s="387"/>
    </row>
    <row r="7" spans="1:57" ht="14.4" customHeight="1">
      <c r="A7" s="406"/>
      <c r="B7" s="388"/>
      <c r="C7" s="395"/>
      <c r="D7" s="395"/>
      <c r="E7" s="395"/>
      <c r="F7" s="395"/>
      <c r="G7" s="395"/>
      <c r="H7" s="389"/>
      <c r="I7" s="388"/>
      <c r="J7" s="395"/>
      <c r="K7" s="395"/>
      <c r="L7" s="395"/>
      <c r="M7" s="395"/>
      <c r="N7" s="395"/>
      <c r="O7" s="395"/>
      <c r="P7" s="395"/>
      <c r="Q7" s="389"/>
      <c r="R7" s="388"/>
      <c r="S7" s="395"/>
      <c r="T7" s="395"/>
      <c r="U7" s="395"/>
      <c r="V7" s="395"/>
      <c r="W7" s="395"/>
      <c r="X7" s="389"/>
      <c r="Y7" s="388"/>
      <c r="Z7" s="389"/>
      <c r="AA7" s="388"/>
      <c r="AB7" s="395"/>
      <c r="AC7" s="389"/>
      <c r="AD7" s="391"/>
      <c r="AE7" s="393"/>
      <c r="AF7" s="391"/>
      <c r="AG7" s="391"/>
      <c r="AH7" s="39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88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89"/>
    </row>
    <row r="8" spans="1:57" ht="14.4" customHeight="1">
      <c r="A8" s="5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23"/>
      <c r="P8" s="23"/>
      <c r="Q8" s="37"/>
      <c r="R8" s="19" t="s">
        <v>148</v>
      </c>
      <c r="S8" s="23"/>
      <c r="T8" s="23"/>
      <c r="U8" s="23"/>
      <c r="V8" s="23"/>
      <c r="W8" s="23"/>
      <c r="X8" s="24"/>
      <c r="Y8" s="419" t="s">
        <v>150</v>
      </c>
      <c r="Z8" s="420"/>
      <c r="AA8" s="421" t="s">
        <v>151</v>
      </c>
      <c r="AB8" s="422"/>
      <c r="AC8" s="423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" customHeight="1">
      <c r="A9" s="79">
        <f>IF(B9="","",COUNTA($B$8:B9))</f>
        <v>2</v>
      </c>
      <c r="B9" s="137" t="s">
        <v>381</v>
      </c>
      <c r="C9" s="78"/>
      <c r="D9" s="78"/>
      <c r="E9" s="78"/>
      <c r="F9" s="78"/>
      <c r="G9" s="78"/>
      <c r="H9" s="21"/>
      <c r="I9" s="75" t="s">
        <v>382</v>
      </c>
      <c r="J9" s="71"/>
      <c r="K9" s="71"/>
      <c r="L9" s="71"/>
      <c r="M9" s="71"/>
      <c r="N9" s="71"/>
      <c r="O9" s="71"/>
      <c r="P9" s="71"/>
      <c r="Q9" s="81"/>
      <c r="R9" s="137" t="s">
        <v>381</v>
      </c>
      <c r="S9" s="71"/>
      <c r="T9" s="71"/>
      <c r="U9" s="71"/>
      <c r="V9" s="71"/>
      <c r="W9" s="71"/>
      <c r="X9" s="21"/>
      <c r="Y9" s="452" t="s">
        <v>150</v>
      </c>
      <c r="Z9" s="453"/>
      <c r="AA9" s="454" t="s">
        <v>151</v>
      </c>
      <c r="AB9" s="455"/>
      <c r="AC9" s="456"/>
      <c r="AD9" s="72">
        <v>30</v>
      </c>
      <c r="AE9" s="74"/>
      <c r="AF9" s="74">
        <v>2</v>
      </c>
      <c r="AG9" s="73" t="s">
        <v>152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75" t="s">
        <v>383</v>
      </c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7"/>
    </row>
    <row r="10" spans="1:57" ht="14.4" customHeight="1">
      <c r="A10" s="80" t="str">
        <f>IF(B10="","",COUNTA($B$8:B10))</f>
        <v/>
      </c>
      <c r="B10" s="138"/>
      <c r="C10" s="139"/>
      <c r="D10" s="139"/>
      <c r="E10" s="139"/>
      <c r="F10" s="139"/>
      <c r="G10" s="139"/>
      <c r="H10" s="140"/>
      <c r="I10" s="141"/>
      <c r="J10" s="142"/>
      <c r="K10" s="142"/>
      <c r="L10" s="142"/>
      <c r="M10" s="142"/>
      <c r="N10" s="142"/>
      <c r="O10" s="142"/>
      <c r="P10" s="142"/>
      <c r="Q10" s="143"/>
      <c r="R10" s="138"/>
      <c r="S10" s="142"/>
      <c r="T10" s="142"/>
      <c r="U10" s="142"/>
      <c r="V10" s="142"/>
      <c r="W10" s="142"/>
      <c r="X10" s="140"/>
      <c r="Y10" s="138"/>
      <c r="Z10" s="144"/>
      <c r="AA10" s="449"/>
      <c r="AB10" s="450"/>
      <c r="AC10" s="451"/>
      <c r="AD10" s="145"/>
      <c r="AE10" s="146" t="s">
        <v>244</v>
      </c>
      <c r="AF10" s="146"/>
      <c r="AG10" s="146"/>
      <c r="AH10" s="147"/>
      <c r="AI10" s="147"/>
      <c r="AJ10" s="147"/>
      <c r="AK10" s="147"/>
      <c r="AL10" s="147"/>
      <c r="AM10" s="147"/>
      <c r="AN10" s="147"/>
      <c r="AO10" s="146"/>
      <c r="AP10" s="146"/>
      <c r="AQ10" s="146"/>
      <c r="AR10" s="146"/>
      <c r="AS10" s="141" t="s">
        <v>384</v>
      </c>
      <c r="AT10" s="148"/>
      <c r="AU10" s="148"/>
      <c r="AV10" s="148"/>
      <c r="AW10" s="148"/>
      <c r="AX10" s="148"/>
      <c r="AY10" s="148"/>
      <c r="AZ10" s="148"/>
      <c r="BA10" s="148"/>
      <c r="BB10" s="148"/>
      <c r="BC10" s="148"/>
      <c r="BD10" s="149"/>
    </row>
    <row r="11" spans="1:57" ht="14.4" customHeight="1">
      <c r="A11" s="50">
        <f>IF(B11="","",COUNTA($B$8:B11))</f>
        <v>3</v>
      </c>
      <c r="B11" s="25" t="s">
        <v>338</v>
      </c>
      <c r="C11" s="26"/>
      <c r="D11" s="26"/>
      <c r="E11" s="26"/>
      <c r="F11" s="26"/>
      <c r="G11" s="26"/>
      <c r="H11" s="39"/>
      <c r="I11" s="31" t="s">
        <v>339</v>
      </c>
      <c r="J11" s="23"/>
      <c r="K11" s="23"/>
      <c r="L11" s="23"/>
      <c r="M11" s="23"/>
      <c r="N11" s="23"/>
      <c r="O11" s="23"/>
      <c r="P11" s="23"/>
      <c r="Q11" s="37"/>
      <c r="R11" s="25" t="s">
        <v>338</v>
      </c>
      <c r="S11" s="23"/>
      <c r="T11" s="23"/>
      <c r="U11" s="23"/>
      <c r="V11" s="23"/>
      <c r="W11" s="23"/>
      <c r="X11" s="24"/>
      <c r="Y11" s="419" t="s">
        <v>155</v>
      </c>
      <c r="Z11" s="420"/>
      <c r="AA11" s="421" t="s">
        <v>156</v>
      </c>
      <c r="AB11" s="422"/>
      <c r="AC11" s="423"/>
      <c r="AD11" s="27">
        <v>3</v>
      </c>
      <c r="AE11" s="29"/>
      <c r="AF11" s="29">
        <v>3</v>
      </c>
      <c r="AG11" s="28" t="s">
        <v>152</v>
      </c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385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" customHeight="1">
      <c r="A12" s="131">
        <f>IF(B12="","",COUNTA($B$8:B12))</f>
        <v>4</v>
      </c>
      <c r="B12" s="8" t="s">
        <v>197</v>
      </c>
      <c r="C12" s="114"/>
      <c r="D12" s="114"/>
      <c r="E12" s="114"/>
      <c r="F12" s="114"/>
      <c r="G12" s="114"/>
      <c r="H12" s="134"/>
      <c r="I12" s="115" t="s">
        <v>198</v>
      </c>
      <c r="J12" s="116"/>
      <c r="K12" s="116"/>
      <c r="L12" s="116"/>
      <c r="M12" s="116"/>
      <c r="N12" s="116"/>
      <c r="O12" s="116"/>
      <c r="P12" s="116"/>
      <c r="Q12" s="133"/>
      <c r="R12" s="8" t="s">
        <v>197</v>
      </c>
      <c r="S12" s="116"/>
      <c r="T12" s="116"/>
      <c r="U12" s="116"/>
      <c r="V12" s="116"/>
      <c r="W12" s="116"/>
      <c r="X12" s="134"/>
      <c r="Y12" s="424" t="s">
        <v>150</v>
      </c>
      <c r="Z12" s="425"/>
      <c r="AA12" s="426" t="s">
        <v>151</v>
      </c>
      <c r="AB12" s="427"/>
      <c r="AC12" s="428"/>
      <c r="AD12" s="126">
        <v>5</v>
      </c>
      <c r="AE12" s="111"/>
      <c r="AF12" s="111"/>
      <c r="AG12" s="111"/>
      <c r="AH12" s="120"/>
      <c r="AI12" s="120"/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7" ht="14.4" customHeight="1">
      <c r="A13" s="50">
        <f>IF(B13="","",COUNTA($B$8:B13))</f>
        <v>5</v>
      </c>
      <c r="B13" s="25" t="s">
        <v>199</v>
      </c>
      <c r="C13" s="26"/>
      <c r="D13" s="26"/>
      <c r="E13" s="26"/>
      <c r="F13" s="26"/>
      <c r="G13" s="26"/>
      <c r="H13" s="39"/>
      <c r="I13" s="31" t="s">
        <v>200</v>
      </c>
      <c r="J13" s="23"/>
      <c r="K13" s="23"/>
      <c r="L13" s="23"/>
      <c r="M13" s="23"/>
      <c r="N13" s="23"/>
      <c r="O13" s="23"/>
      <c r="P13" s="23"/>
      <c r="Q13" s="37"/>
      <c r="R13" s="25" t="s">
        <v>199</v>
      </c>
      <c r="S13" s="23"/>
      <c r="T13" s="23"/>
      <c r="U13" s="23"/>
      <c r="V13" s="23"/>
      <c r="W13" s="23"/>
      <c r="X13" s="24"/>
      <c r="Y13" s="419" t="s">
        <v>150</v>
      </c>
      <c r="Z13" s="420"/>
      <c r="AA13" s="421" t="s">
        <v>151</v>
      </c>
      <c r="AB13" s="422"/>
      <c r="AC13" s="423"/>
      <c r="AD13" s="184">
        <v>20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1421</v>
      </c>
    </row>
    <row r="14" spans="1:57" ht="14.4" customHeight="1">
      <c r="A14" s="50">
        <f>IF(B14="","",COUNTA($B$8:B14))</f>
        <v>6</v>
      </c>
      <c r="B14" s="25" t="s">
        <v>201</v>
      </c>
      <c r="C14" s="26"/>
      <c r="D14" s="26"/>
      <c r="E14" s="26"/>
      <c r="F14" s="26"/>
      <c r="G14" s="26"/>
      <c r="H14" s="39"/>
      <c r="I14" s="31" t="s">
        <v>202</v>
      </c>
      <c r="J14" s="23"/>
      <c r="K14" s="23"/>
      <c r="L14" s="23"/>
      <c r="M14" s="23"/>
      <c r="N14" s="23"/>
      <c r="O14" s="23"/>
      <c r="P14" s="23"/>
      <c r="Q14" s="37"/>
      <c r="R14" s="25" t="s">
        <v>201</v>
      </c>
      <c r="S14" s="23"/>
      <c r="T14" s="23"/>
      <c r="U14" s="23"/>
      <c r="V14" s="23"/>
      <c r="W14" s="23"/>
      <c r="X14" s="24"/>
      <c r="Y14" s="419" t="s">
        <v>150</v>
      </c>
      <c r="Z14" s="420"/>
      <c r="AA14" s="421" t="s">
        <v>151</v>
      </c>
      <c r="AB14" s="422"/>
      <c r="AC14" s="423"/>
      <c r="AD14" s="184">
        <v>30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" customHeight="1">
      <c r="A15" s="50">
        <f>IF(B15="","",COUNTA($B$8:B15))</f>
        <v>7</v>
      </c>
      <c r="B15" s="25" t="s">
        <v>386</v>
      </c>
      <c r="C15" s="26"/>
      <c r="D15" s="26"/>
      <c r="E15" s="26"/>
      <c r="F15" s="26"/>
      <c r="G15" s="26"/>
      <c r="H15" s="39"/>
      <c r="I15" s="31" t="s">
        <v>387</v>
      </c>
      <c r="J15" s="23"/>
      <c r="K15" s="23"/>
      <c r="L15" s="23"/>
      <c r="M15" s="23"/>
      <c r="N15" s="23"/>
      <c r="O15" s="23"/>
      <c r="P15" s="23"/>
      <c r="Q15" s="37"/>
      <c r="R15" s="25" t="s">
        <v>386</v>
      </c>
      <c r="S15" s="23"/>
      <c r="T15" s="23"/>
      <c r="U15" s="23"/>
      <c r="V15" s="23"/>
      <c r="W15" s="23"/>
      <c r="X15" s="24"/>
      <c r="Y15" s="419" t="s">
        <v>155</v>
      </c>
      <c r="Z15" s="420"/>
      <c r="AA15" s="421" t="s">
        <v>156</v>
      </c>
      <c r="AB15" s="422"/>
      <c r="AC15" s="423"/>
      <c r="AD15" s="184">
        <v>5</v>
      </c>
      <c r="AE15" s="29">
        <v>1</v>
      </c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" customHeight="1">
      <c r="A16" s="50">
        <f>IF(B16="","",COUNTA($B$8:B16))</f>
        <v>8</v>
      </c>
      <c r="B16" s="25" t="s">
        <v>388</v>
      </c>
      <c r="C16" s="26"/>
      <c r="D16" s="26"/>
      <c r="E16" s="26"/>
      <c r="F16" s="26"/>
      <c r="G16" s="26"/>
      <c r="H16" s="39"/>
      <c r="I16" s="31" t="s">
        <v>389</v>
      </c>
      <c r="J16" s="23"/>
      <c r="K16" s="23"/>
      <c r="L16" s="23"/>
      <c r="M16" s="23"/>
      <c r="N16" s="23"/>
      <c r="O16" s="23"/>
      <c r="P16" s="23"/>
      <c r="Q16" s="37"/>
      <c r="R16" s="25" t="s">
        <v>388</v>
      </c>
      <c r="S16" s="23"/>
      <c r="T16" s="23"/>
      <c r="U16" s="23"/>
      <c r="V16" s="23"/>
      <c r="W16" s="23"/>
      <c r="X16" s="24"/>
      <c r="Y16" s="419" t="s">
        <v>155</v>
      </c>
      <c r="Z16" s="420"/>
      <c r="AA16" s="421" t="s">
        <v>156</v>
      </c>
      <c r="AB16" s="422"/>
      <c r="AC16" s="423"/>
      <c r="AD16" s="184">
        <v>1</v>
      </c>
      <c r="AE16" s="28" t="s">
        <v>244</v>
      </c>
      <c r="AF16" s="28"/>
      <c r="AG16" s="28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" customHeight="1">
      <c r="A17" s="50">
        <f>IF(B17="","",COUNTA($B$8:B17))</f>
        <v>9</v>
      </c>
      <c r="B17" s="25" t="s">
        <v>390</v>
      </c>
      <c r="C17" s="26"/>
      <c r="D17" s="26"/>
      <c r="E17" s="26"/>
      <c r="F17" s="26"/>
      <c r="G17" s="26"/>
      <c r="H17" s="39"/>
      <c r="I17" s="31" t="s">
        <v>391</v>
      </c>
      <c r="J17" s="23"/>
      <c r="K17" s="23"/>
      <c r="L17" s="23"/>
      <c r="M17" s="23"/>
      <c r="N17" s="23"/>
      <c r="O17" s="23"/>
      <c r="P17" s="23"/>
      <c r="Q17" s="37"/>
      <c r="R17" s="25" t="s">
        <v>390</v>
      </c>
      <c r="S17" s="23"/>
      <c r="T17" s="23"/>
      <c r="U17" s="23"/>
      <c r="V17" s="23"/>
      <c r="W17" s="23"/>
      <c r="X17" s="24"/>
      <c r="Y17" s="419" t="s">
        <v>155</v>
      </c>
      <c r="Z17" s="420"/>
      <c r="AA17" s="421" t="s">
        <v>156</v>
      </c>
      <c r="AB17" s="422"/>
      <c r="AC17" s="423"/>
      <c r="AD17" s="184">
        <v>1</v>
      </c>
      <c r="AE17" s="28" t="s">
        <v>244</v>
      </c>
      <c r="AF17" s="28"/>
      <c r="AG17" s="28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" customHeight="1">
      <c r="A18" s="50">
        <f>IF(B18="","",COUNTA($B$8:B18))</f>
        <v>10</v>
      </c>
      <c r="B18" s="64" t="s">
        <v>673</v>
      </c>
      <c r="C18" s="2"/>
      <c r="D18" s="2"/>
      <c r="E18" s="2"/>
      <c r="F18" s="2"/>
      <c r="G18" s="2"/>
      <c r="H18" s="2"/>
      <c r="I18" s="115" t="s">
        <v>1491</v>
      </c>
      <c r="J18" s="116"/>
      <c r="K18" s="116"/>
      <c r="L18" s="116"/>
      <c r="M18" s="116"/>
      <c r="N18" s="116"/>
      <c r="O18" s="116"/>
      <c r="P18" s="116"/>
      <c r="Q18" s="116"/>
      <c r="R18" s="64" t="s">
        <v>1492</v>
      </c>
      <c r="S18" s="114"/>
      <c r="T18" s="5"/>
      <c r="U18" s="5"/>
      <c r="V18" s="5"/>
      <c r="W18" s="5"/>
      <c r="X18" s="5"/>
      <c r="Y18" s="8" t="s">
        <v>1493</v>
      </c>
      <c r="Z18" s="119"/>
      <c r="AA18" s="64" t="s">
        <v>1494</v>
      </c>
      <c r="AB18" s="2"/>
      <c r="AC18" s="3"/>
      <c r="AD18" s="205">
        <v>4</v>
      </c>
      <c r="AE18" s="28" t="s">
        <v>244</v>
      </c>
      <c r="AF18" s="28"/>
      <c r="AG18" s="28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  <c r="BE18" s="18" t="s">
        <v>1420</v>
      </c>
    </row>
    <row r="19" spans="1:57" ht="14.4" customHeight="1">
      <c r="A19" s="50">
        <f>IF(B19="","",COUNTA($B$8:B19))</f>
        <v>11</v>
      </c>
      <c r="B19" s="25" t="s">
        <v>392</v>
      </c>
      <c r="C19" s="26"/>
      <c r="D19" s="26"/>
      <c r="E19" s="26"/>
      <c r="F19" s="26"/>
      <c r="G19" s="26"/>
      <c r="H19" s="39"/>
      <c r="I19" s="31" t="s">
        <v>393</v>
      </c>
      <c r="J19" s="23"/>
      <c r="K19" s="23"/>
      <c r="L19" s="23"/>
      <c r="M19" s="23"/>
      <c r="N19" s="23"/>
      <c r="O19" s="23"/>
      <c r="P19" s="23"/>
      <c r="Q19" s="37"/>
      <c r="R19" s="25" t="s">
        <v>392</v>
      </c>
      <c r="S19" s="23"/>
      <c r="T19" s="23"/>
      <c r="U19" s="23"/>
      <c r="V19" s="23"/>
      <c r="W19" s="23"/>
      <c r="X19" s="24"/>
      <c r="Y19" s="419" t="s">
        <v>155</v>
      </c>
      <c r="Z19" s="420"/>
      <c r="AA19" s="421" t="s">
        <v>156</v>
      </c>
      <c r="AB19" s="422"/>
      <c r="AC19" s="423"/>
      <c r="AD19" s="184">
        <v>6</v>
      </c>
      <c r="AE19" s="28" t="s">
        <v>340</v>
      </c>
      <c r="AF19" s="28"/>
      <c r="AG19" s="28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" customHeight="1">
      <c r="A20" s="50">
        <f>IF(B20="","",COUNTA($B$8:B20))</f>
        <v>12</v>
      </c>
      <c r="B20" s="19" t="s">
        <v>228</v>
      </c>
      <c r="C20" s="20"/>
      <c r="D20" s="20"/>
      <c r="E20" s="20"/>
      <c r="F20" s="20"/>
      <c r="G20" s="20"/>
      <c r="H20" s="39"/>
      <c r="I20" s="31" t="s">
        <v>229</v>
      </c>
      <c r="J20" s="23"/>
      <c r="K20" s="23"/>
      <c r="L20" s="23"/>
      <c r="M20" s="23"/>
      <c r="N20" s="23"/>
      <c r="O20" s="23"/>
      <c r="P20" s="23"/>
      <c r="Q20" s="37"/>
      <c r="R20" s="19" t="s">
        <v>228</v>
      </c>
      <c r="S20" s="23"/>
      <c r="T20" s="23"/>
      <c r="U20" s="23"/>
      <c r="V20" s="23"/>
      <c r="W20" s="23"/>
      <c r="X20" s="24"/>
      <c r="Y20" s="419" t="s">
        <v>150</v>
      </c>
      <c r="Z20" s="420"/>
      <c r="AA20" s="421" t="s">
        <v>151</v>
      </c>
      <c r="AB20" s="422"/>
      <c r="AC20" s="423"/>
      <c r="AD20" s="184">
        <v>1000</v>
      </c>
      <c r="AE20" s="28" t="s">
        <v>244</v>
      </c>
      <c r="AF20" s="28"/>
      <c r="AG20" s="28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" customHeight="1">
      <c r="A21" s="50">
        <f>IF(B21="","",COUNTA($B$8:B21))</f>
        <v>13</v>
      </c>
      <c r="B21" s="19" t="s">
        <v>249</v>
      </c>
      <c r="C21" s="20"/>
      <c r="D21" s="20"/>
      <c r="E21" s="20"/>
      <c r="F21" s="20"/>
      <c r="G21" s="20"/>
      <c r="H21" s="24"/>
      <c r="I21" s="31" t="s">
        <v>250</v>
      </c>
      <c r="J21" s="23"/>
      <c r="K21" s="23"/>
      <c r="L21" s="23"/>
      <c r="M21" s="23"/>
      <c r="N21" s="23"/>
      <c r="O21" s="23"/>
      <c r="P21" s="23"/>
      <c r="Q21" s="37"/>
      <c r="R21" s="19" t="s">
        <v>249</v>
      </c>
      <c r="S21" s="23"/>
      <c r="T21" s="23"/>
      <c r="U21" s="23"/>
      <c r="V21" s="23"/>
      <c r="W21" s="23"/>
      <c r="X21" s="24"/>
      <c r="Y21" s="419" t="s">
        <v>150</v>
      </c>
      <c r="Z21" s="420"/>
      <c r="AA21" s="421" t="s">
        <v>151</v>
      </c>
      <c r="AB21" s="422"/>
      <c r="AC21" s="423"/>
      <c r="AD21" s="27">
        <v>4</v>
      </c>
      <c r="AE21" s="28" t="s">
        <v>244</v>
      </c>
      <c r="AF21" s="28"/>
      <c r="AG21" s="28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7" ht="14.4" customHeight="1">
      <c r="A22" s="50">
        <f>IF(B22="","",COUNTA($B$8:B22))</f>
        <v>14</v>
      </c>
      <c r="B22" s="19" t="s">
        <v>251</v>
      </c>
      <c r="C22" s="20"/>
      <c r="D22" s="20"/>
      <c r="E22" s="20"/>
      <c r="F22" s="20"/>
      <c r="G22" s="20"/>
      <c r="H22" s="24"/>
      <c r="I22" s="31" t="s">
        <v>252</v>
      </c>
      <c r="J22" s="23"/>
      <c r="K22" s="23"/>
      <c r="L22" s="23"/>
      <c r="M22" s="23"/>
      <c r="N22" s="23"/>
      <c r="O22" s="23"/>
      <c r="P22" s="23"/>
      <c r="Q22" s="37"/>
      <c r="R22" s="19" t="s">
        <v>251</v>
      </c>
      <c r="S22" s="23"/>
      <c r="T22" s="23"/>
      <c r="U22" s="23"/>
      <c r="V22" s="23"/>
      <c r="W22" s="23"/>
      <c r="X22" s="24"/>
      <c r="Y22" s="419" t="s">
        <v>150</v>
      </c>
      <c r="Z22" s="420"/>
      <c r="AA22" s="421" t="s">
        <v>151</v>
      </c>
      <c r="AB22" s="422"/>
      <c r="AC22" s="423"/>
      <c r="AD22" s="27">
        <v>4</v>
      </c>
      <c r="AE22" s="28" t="s">
        <v>244</v>
      </c>
      <c r="AF22" s="28"/>
      <c r="AG22" s="28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" customHeight="1">
      <c r="A23" s="50">
        <f>IF(B23="","",COUNTA($B$8:B23))</f>
        <v>15</v>
      </c>
      <c r="B23" s="19" t="s">
        <v>253</v>
      </c>
      <c r="C23" s="20"/>
      <c r="D23" s="20"/>
      <c r="E23" s="20"/>
      <c r="F23" s="20"/>
      <c r="G23" s="20"/>
      <c r="H23" s="24"/>
      <c r="I23" s="31" t="s">
        <v>254</v>
      </c>
      <c r="J23" s="23"/>
      <c r="K23" s="23"/>
      <c r="L23" s="23"/>
      <c r="M23" s="23"/>
      <c r="N23" s="23"/>
      <c r="O23" s="23"/>
      <c r="P23" s="23"/>
      <c r="Q23" s="37"/>
      <c r="R23" s="19" t="s">
        <v>253</v>
      </c>
      <c r="S23" s="23"/>
      <c r="T23" s="38"/>
      <c r="U23" s="23"/>
      <c r="V23" s="23"/>
      <c r="W23" s="23"/>
      <c r="X23" s="24"/>
      <c r="Y23" s="419" t="s">
        <v>150</v>
      </c>
      <c r="Z23" s="420"/>
      <c r="AA23" s="421" t="s">
        <v>151</v>
      </c>
      <c r="AB23" s="422"/>
      <c r="AC23" s="423"/>
      <c r="AD23" s="27">
        <v>10</v>
      </c>
      <c r="AE23" s="28" t="s">
        <v>244</v>
      </c>
      <c r="AF23" s="28"/>
      <c r="AG23" s="28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7" ht="14.4" customHeight="1">
      <c r="A24" s="50">
        <f>IF(B24="","",COUNTA($B$8:B24))</f>
        <v>16</v>
      </c>
      <c r="B24" s="19" t="s">
        <v>255</v>
      </c>
      <c r="C24" s="20"/>
      <c r="D24" s="20"/>
      <c r="E24" s="20"/>
      <c r="F24" s="20"/>
      <c r="G24" s="20"/>
      <c r="H24" s="24"/>
      <c r="I24" s="31" t="s">
        <v>256</v>
      </c>
      <c r="J24" s="23"/>
      <c r="K24" s="23"/>
      <c r="L24" s="23"/>
      <c r="M24" s="23"/>
      <c r="N24" s="23"/>
      <c r="O24" s="23"/>
      <c r="P24" s="23"/>
      <c r="Q24" s="37"/>
      <c r="R24" s="19" t="s">
        <v>255</v>
      </c>
      <c r="S24" s="23"/>
      <c r="T24" s="38"/>
      <c r="U24" s="23"/>
      <c r="V24" s="23"/>
      <c r="W24" s="23"/>
      <c r="X24" s="24"/>
      <c r="Y24" s="419" t="s">
        <v>150</v>
      </c>
      <c r="Z24" s="420"/>
      <c r="AA24" s="421" t="s">
        <v>151</v>
      </c>
      <c r="AB24" s="422"/>
      <c r="AC24" s="423"/>
      <c r="AD24" s="27">
        <v>10</v>
      </c>
      <c r="AE24" s="28" t="s">
        <v>244</v>
      </c>
      <c r="AF24" s="28"/>
      <c r="AG24" s="28"/>
      <c r="AH24" s="40"/>
      <c r="AI24" s="40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" customHeight="1">
      <c r="A25" s="50">
        <f>IF(B25="","",COUNTA($B$8:B25))</f>
        <v>17</v>
      </c>
      <c r="B25" s="19" t="s">
        <v>257</v>
      </c>
      <c r="C25" s="20"/>
      <c r="D25" s="20"/>
      <c r="E25" s="20"/>
      <c r="F25" s="20"/>
      <c r="G25" s="20"/>
      <c r="H25" s="24"/>
      <c r="I25" s="31" t="s">
        <v>258</v>
      </c>
      <c r="J25" s="23"/>
      <c r="K25" s="23"/>
      <c r="L25" s="23"/>
      <c r="M25" s="23"/>
      <c r="N25" s="23"/>
      <c r="O25" s="23"/>
      <c r="P25" s="23"/>
      <c r="Q25" s="37"/>
      <c r="R25" s="19" t="s">
        <v>257</v>
      </c>
      <c r="S25" s="23"/>
      <c r="T25" s="38"/>
      <c r="U25" s="23"/>
      <c r="V25" s="23"/>
      <c r="W25" s="23"/>
      <c r="X25" s="24"/>
      <c r="Y25" s="419" t="s">
        <v>169</v>
      </c>
      <c r="Z25" s="420"/>
      <c r="AA25" s="421" t="s">
        <v>243</v>
      </c>
      <c r="AB25" s="422"/>
      <c r="AC25" s="423"/>
      <c r="AD25" s="51"/>
      <c r="AE25" s="28" t="s">
        <v>244</v>
      </c>
      <c r="AF25" s="28"/>
      <c r="AG25" s="28"/>
      <c r="AH25" s="28"/>
      <c r="AI25" s="28"/>
      <c r="AJ25" s="28"/>
      <c r="AK25" s="28"/>
      <c r="AL25" s="40"/>
      <c r="AM25" s="40"/>
      <c r="AN25" s="40"/>
      <c r="AO25" s="41"/>
      <c r="AP25" s="41"/>
      <c r="AQ25" s="41"/>
      <c r="AR25" s="41"/>
      <c r="AS25" s="42"/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" customHeight="1">
      <c r="A26" s="50">
        <f>IF(B26="","",COUNTA($B$8:B26))</f>
        <v>18</v>
      </c>
      <c r="B26" s="19" t="s">
        <v>259</v>
      </c>
      <c r="C26" s="20"/>
      <c r="D26" s="20"/>
      <c r="E26" s="20"/>
      <c r="F26" s="20"/>
      <c r="G26" s="20"/>
      <c r="H26" s="24"/>
      <c r="I26" s="31" t="s">
        <v>260</v>
      </c>
      <c r="J26" s="23"/>
      <c r="K26" s="23"/>
      <c r="L26" s="23"/>
      <c r="M26" s="23"/>
      <c r="N26" s="23"/>
      <c r="O26" s="23"/>
      <c r="P26" s="23"/>
      <c r="Q26" s="37"/>
      <c r="R26" s="19" t="s">
        <v>259</v>
      </c>
      <c r="S26" s="23"/>
      <c r="T26" s="38"/>
      <c r="U26" s="23"/>
      <c r="V26" s="23"/>
      <c r="W26" s="23"/>
      <c r="X26" s="24"/>
      <c r="Y26" s="419" t="s">
        <v>150</v>
      </c>
      <c r="Z26" s="420"/>
      <c r="AA26" s="421" t="s">
        <v>151</v>
      </c>
      <c r="AB26" s="422"/>
      <c r="AC26" s="423"/>
      <c r="AD26" s="27">
        <v>10</v>
      </c>
      <c r="AE26" s="28" t="s">
        <v>244</v>
      </c>
      <c r="AF26" s="28"/>
      <c r="AG26" s="28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48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" customHeight="1">
      <c r="A27" s="50">
        <f>IF(B27="","",COUNTA($B$8:B27))</f>
        <v>19</v>
      </c>
      <c r="B27" s="19" t="s">
        <v>261</v>
      </c>
      <c r="C27" s="20"/>
      <c r="D27" s="20"/>
      <c r="E27" s="20"/>
      <c r="F27" s="20"/>
      <c r="G27" s="20"/>
      <c r="H27" s="24"/>
      <c r="I27" s="31" t="s">
        <v>262</v>
      </c>
      <c r="J27" s="23"/>
      <c r="K27" s="23"/>
      <c r="L27" s="23"/>
      <c r="M27" s="23"/>
      <c r="N27" s="23"/>
      <c r="O27" s="23"/>
      <c r="P27" s="23"/>
      <c r="Q27" s="37"/>
      <c r="R27" s="19" t="s">
        <v>261</v>
      </c>
      <c r="S27" s="23"/>
      <c r="T27" s="38"/>
      <c r="U27" s="23"/>
      <c r="V27" s="23"/>
      <c r="W27" s="23"/>
      <c r="X27" s="24"/>
      <c r="Y27" s="419" t="s">
        <v>150</v>
      </c>
      <c r="Z27" s="420"/>
      <c r="AA27" s="421" t="s">
        <v>151</v>
      </c>
      <c r="AB27" s="422"/>
      <c r="AC27" s="423"/>
      <c r="AD27" s="51">
        <v>10</v>
      </c>
      <c r="AE27" s="28" t="s">
        <v>244</v>
      </c>
      <c r="AF27" s="28"/>
      <c r="AG27" s="28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48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" customHeight="1">
      <c r="A28" s="50">
        <f>IF(B28="","",COUNTA($B$8:B28))</f>
        <v>20</v>
      </c>
      <c r="B28" s="19" t="s">
        <v>263</v>
      </c>
      <c r="C28" s="20"/>
      <c r="D28" s="20"/>
      <c r="E28" s="20"/>
      <c r="F28" s="20"/>
      <c r="G28" s="20"/>
      <c r="H28" s="24"/>
      <c r="I28" s="31" t="s">
        <v>264</v>
      </c>
      <c r="J28" s="23"/>
      <c r="K28" s="23"/>
      <c r="L28" s="23"/>
      <c r="M28" s="23"/>
      <c r="N28" s="23"/>
      <c r="O28" s="23"/>
      <c r="P28" s="23"/>
      <c r="Q28" s="37"/>
      <c r="R28" s="22" t="s">
        <v>263</v>
      </c>
      <c r="S28" s="23"/>
      <c r="T28" s="38"/>
      <c r="U28" s="23"/>
      <c r="V28" s="23"/>
      <c r="W28" s="23"/>
      <c r="X28" s="24"/>
      <c r="Y28" s="419" t="s">
        <v>169</v>
      </c>
      <c r="Z28" s="420"/>
      <c r="AA28" s="421" t="s">
        <v>243</v>
      </c>
      <c r="AB28" s="422"/>
      <c r="AC28" s="423"/>
      <c r="AD28" s="51"/>
      <c r="AE28" s="28" t="s">
        <v>244</v>
      </c>
      <c r="AF28" s="28"/>
      <c r="AG28" s="28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" customHeight="1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419"/>
      <c r="Z29" s="420"/>
      <c r="AA29" s="421"/>
      <c r="AB29" s="422"/>
      <c r="AC29" s="423"/>
      <c r="AD29" s="27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48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" customHeight="1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419"/>
      <c r="Z30" s="420"/>
      <c r="AA30" s="421"/>
      <c r="AB30" s="422"/>
      <c r="AC30" s="423"/>
      <c r="AD30" s="27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" customHeight="1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24"/>
      <c r="Y31" s="419"/>
      <c r="Z31" s="420"/>
      <c r="AA31" s="421"/>
      <c r="AB31" s="422"/>
      <c r="AC31" s="423"/>
      <c r="AD31" s="51"/>
      <c r="AE31" s="28"/>
      <c r="AF31" s="28"/>
      <c r="AG31" s="28"/>
      <c r="AH31" s="40"/>
      <c r="AI31" s="40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" customHeight="1">
      <c r="A32" s="5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24"/>
      <c r="Y32" s="419"/>
      <c r="Z32" s="420"/>
      <c r="AA32" s="421"/>
      <c r="AB32" s="422"/>
      <c r="AC32" s="423"/>
      <c r="AD32" s="51"/>
      <c r="AE32" s="28"/>
      <c r="AF32" s="28"/>
      <c r="AG32" s="28"/>
      <c r="AH32" s="28"/>
      <c r="AI32" s="28"/>
      <c r="AJ32" s="28"/>
      <c r="AK32" s="28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>
      <c r="A33" s="50" t="str">
        <f>IF(B33="","",COUNTA($B$8:B33))</f>
        <v/>
      </c>
      <c r="B33" s="19"/>
      <c r="C33" s="20"/>
      <c r="D33" s="20"/>
      <c r="E33" s="44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24"/>
      <c r="Y33" s="419"/>
      <c r="Z33" s="420"/>
      <c r="AA33" s="421"/>
      <c r="AB33" s="422"/>
      <c r="AC33" s="423"/>
      <c r="AD33" s="51"/>
      <c r="AE33" s="28"/>
      <c r="AF33" s="28"/>
      <c r="AG33" s="28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" customHeight="1">
      <c r="A34" s="5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419"/>
      <c r="Z34" s="420"/>
      <c r="AA34" s="421"/>
      <c r="AB34" s="422"/>
      <c r="AC34" s="423"/>
      <c r="AD34" s="51"/>
      <c r="AE34" s="28" t="s">
        <v>244</v>
      </c>
      <c r="AF34" s="28"/>
      <c r="AG34" s="28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" customHeight="1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419"/>
      <c r="Z35" s="420"/>
      <c r="AA35" s="421"/>
      <c r="AB35" s="422"/>
      <c r="AC35" s="423"/>
      <c r="AD35" s="51"/>
      <c r="AE35" s="40" t="s">
        <v>244</v>
      </c>
      <c r="AF35" s="40"/>
      <c r="AG35" s="40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419"/>
      <c r="Z36" s="420"/>
      <c r="AA36" s="421"/>
      <c r="AB36" s="422"/>
      <c r="AC36" s="423"/>
      <c r="AD36" s="51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419"/>
      <c r="Z37" s="420"/>
      <c r="AA37" s="421"/>
      <c r="AB37" s="422"/>
      <c r="AC37" s="423"/>
      <c r="AD37" s="51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419"/>
      <c r="Z38" s="420"/>
      <c r="AA38" s="421"/>
      <c r="AB38" s="422"/>
      <c r="AC38" s="423"/>
      <c r="AD38" s="51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419"/>
      <c r="Z39" s="420"/>
      <c r="AA39" s="421"/>
      <c r="AB39" s="422"/>
      <c r="AC39" s="423"/>
      <c r="AD39" s="51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419"/>
      <c r="Z40" s="420"/>
      <c r="AA40" s="421"/>
      <c r="AB40" s="422"/>
      <c r="AC40" s="423"/>
      <c r="AD40" s="51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419"/>
      <c r="Z41" s="420"/>
      <c r="AA41" s="421"/>
      <c r="AB41" s="422"/>
      <c r="AC41" s="423"/>
      <c r="AD41" s="51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419"/>
      <c r="Z42" s="420"/>
      <c r="AA42" s="421"/>
      <c r="AB42" s="422"/>
      <c r="AC42" s="423"/>
      <c r="AD42" s="51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19"/>
      <c r="Z43" s="420"/>
      <c r="AA43" s="421"/>
      <c r="AB43" s="422"/>
      <c r="AC43" s="423"/>
      <c r="AD43" s="51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419"/>
      <c r="Z44" s="420"/>
      <c r="AA44" s="421"/>
      <c r="AB44" s="422"/>
      <c r="AC44" s="423"/>
      <c r="AD44" s="51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419"/>
      <c r="Z45" s="420"/>
      <c r="AA45" s="421"/>
      <c r="AB45" s="422"/>
      <c r="AC45" s="423"/>
      <c r="AD45" s="51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419"/>
      <c r="Z46" s="420"/>
      <c r="AA46" s="421"/>
      <c r="AB46" s="422"/>
      <c r="AC46" s="423"/>
      <c r="AD46" s="51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7">
    <mergeCell ref="Y43:Z43"/>
    <mergeCell ref="AA43:AC43"/>
    <mergeCell ref="Y44:Z44"/>
    <mergeCell ref="AA44:AC44"/>
    <mergeCell ref="Y45:Z45"/>
    <mergeCell ref="AA45:AC45"/>
    <mergeCell ref="Y46:Z46"/>
    <mergeCell ref="AA46:AC46"/>
    <mergeCell ref="Y38:Z38"/>
    <mergeCell ref="AA38:AC38"/>
    <mergeCell ref="Y39:Z39"/>
    <mergeCell ref="AA39:AC39"/>
    <mergeCell ref="Y40:Z40"/>
    <mergeCell ref="AA40:AC40"/>
    <mergeCell ref="Y41:Z41"/>
    <mergeCell ref="AA41:AC41"/>
    <mergeCell ref="Y42:Z42"/>
    <mergeCell ref="AA42:AC42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1:H4"/>
    <mergeCell ref="Y9:Z9"/>
    <mergeCell ref="AA9:AC9"/>
    <mergeCell ref="AG6:AG7"/>
    <mergeCell ref="AH6:AH7"/>
    <mergeCell ref="AI6:AR6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S6:BD7"/>
    <mergeCell ref="Y8:Z8"/>
    <mergeCell ref="AA8:AC8"/>
    <mergeCell ref="Y13:Z13"/>
    <mergeCell ref="AA13:AC13"/>
    <mergeCell ref="Y14:Z14"/>
    <mergeCell ref="AA14:AC14"/>
    <mergeCell ref="Y15:Z15"/>
    <mergeCell ref="AA15:AC15"/>
    <mergeCell ref="AA10:AC10"/>
    <mergeCell ref="Y11:Z11"/>
    <mergeCell ref="AA11:AC11"/>
    <mergeCell ref="Y12:Z12"/>
    <mergeCell ref="AA12:AC12"/>
    <mergeCell ref="Y16:Z16"/>
    <mergeCell ref="AA16:AC16"/>
    <mergeCell ref="Y19:Z19"/>
    <mergeCell ref="AA19:AC19"/>
    <mergeCell ref="Y20:Z20"/>
    <mergeCell ref="AA20:AC20"/>
    <mergeCell ref="Y21:Z21"/>
    <mergeCell ref="AA21:AC21"/>
    <mergeCell ref="Y26:Z26"/>
    <mergeCell ref="AA26:AC26"/>
    <mergeCell ref="Y17:Z17"/>
    <mergeCell ref="AA17:AC17"/>
    <mergeCell ref="Y37:Z37"/>
    <mergeCell ref="AA37:AC37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25:Z25"/>
    <mergeCell ref="AA25:AC25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28:Z28"/>
    <mergeCell ref="AA28:AC28"/>
  </mergeCells>
  <phoneticPr fontId="5"/>
  <dataValidations count="3">
    <dataValidation imeMode="hiragana" allowBlank="1" showInputMessage="1" showErrorMessage="1" sqref="Z262138:AJ262140 Z196602:AJ196604 Z131066:AJ131068 Z65530:AJ65532 Z983034:AJ983036 Z917498:AJ917500 Z851962:AJ851964 Z786426:AJ786428 Z720890:AJ720892 Z655354:AJ655356 Z589818:AJ589820 Z524282:AJ524284 Z458746:AJ458748 Z393210:AJ393212 Z327674:AJ327676 R2"/>
    <dataValidation type="list" allowBlank="1" showInputMessage="1" showErrorMessage="1" sqref="AA8:AC46">
      <formula1>"int,numeric,varchar,date,datetime2(0),datetime2,varbinary(max)"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>
      <c r="A1" s="396" t="s">
        <v>78</v>
      </c>
      <c r="B1" s="397"/>
      <c r="C1" s="397"/>
      <c r="D1" s="397"/>
      <c r="E1" s="397"/>
      <c r="F1" s="397"/>
      <c r="G1" s="397"/>
      <c r="H1" s="398"/>
      <c r="I1" s="336" t="s">
        <v>79</v>
      </c>
      <c r="J1" s="337"/>
      <c r="K1" s="337"/>
      <c r="L1" s="337"/>
      <c r="M1" s="337"/>
      <c r="N1" s="337"/>
      <c r="O1" s="337"/>
      <c r="P1" s="337"/>
      <c r="Q1" s="338"/>
      <c r="R1" s="336" t="s">
        <v>80</v>
      </c>
      <c r="S1" s="337"/>
      <c r="T1" s="337"/>
      <c r="U1" s="337"/>
      <c r="V1" s="337"/>
      <c r="W1" s="337"/>
      <c r="X1" s="338"/>
      <c r="Y1" s="336" t="s">
        <v>135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8"/>
      <c r="AP1" s="407" t="s">
        <v>82</v>
      </c>
      <c r="AQ1" s="408"/>
      <c r="AR1" s="408"/>
      <c r="AS1" s="408"/>
      <c r="AT1" s="409"/>
      <c r="AU1" s="407" t="s">
        <v>83</v>
      </c>
      <c r="AV1" s="408"/>
      <c r="AW1" s="408"/>
      <c r="AX1" s="408"/>
      <c r="AY1" s="409"/>
      <c r="AZ1" s="407" t="s">
        <v>84</v>
      </c>
      <c r="BA1" s="408"/>
      <c r="BB1" s="408"/>
      <c r="BC1" s="408"/>
      <c r="BD1" s="409"/>
    </row>
    <row r="2" spans="1:57" s="17" customFormat="1" ht="14.4" customHeight="1">
      <c r="A2" s="399"/>
      <c r="B2" s="400"/>
      <c r="C2" s="400"/>
      <c r="D2" s="400"/>
      <c r="E2" s="400"/>
      <c r="F2" s="400"/>
      <c r="G2" s="400"/>
      <c r="H2" s="401"/>
      <c r="I2" s="366" t="s">
        <v>85</v>
      </c>
      <c r="J2" s="367"/>
      <c r="K2" s="367"/>
      <c r="L2" s="367"/>
      <c r="M2" s="367"/>
      <c r="N2" s="367"/>
      <c r="O2" s="367"/>
      <c r="P2" s="367"/>
      <c r="Q2" s="368"/>
      <c r="R2" s="366" t="str">
        <f ca="1">VLOOKUP(RIGHT(CELL("filename",A2),LEN(CELL("filename",A2))-FIND("]",CELL("filename",A2))),テーブル一覧!B:AD,22,FALSE)</f>
        <v>B.生産計画</v>
      </c>
      <c r="S2" s="367"/>
      <c r="T2" s="367"/>
      <c r="U2" s="367"/>
      <c r="V2" s="367"/>
      <c r="W2" s="367"/>
      <c r="X2" s="368"/>
      <c r="Y2" s="366" t="str">
        <f ca="1">VLOOKUP(RIGHT(CELL("filename",A2),LEN(CELL("filename",A2))-FIND("]",CELL("filename",A2))),テーブル一覧!B:AD,1,FALSE)</f>
        <v>生産指示情報（薬品）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8"/>
      <c r="AP2" s="339"/>
      <c r="AQ2" s="340"/>
      <c r="AR2" s="340"/>
      <c r="AS2" s="340"/>
      <c r="AT2" s="341"/>
      <c r="AU2" s="58" t="s">
        <v>88</v>
      </c>
      <c r="AV2" s="59"/>
      <c r="AW2" s="59"/>
      <c r="AX2" s="59"/>
      <c r="AY2" s="60"/>
      <c r="AZ2" s="413" t="s">
        <v>89</v>
      </c>
      <c r="BA2" s="414"/>
      <c r="BB2" s="414"/>
      <c r="BC2" s="414"/>
      <c r="BD2" s="415"/>
    </row>
    <row r="3" spans="1:57" s="17" customFormat="1" ht="14.4" customHeight="1">
      <c r="A3" s="399"/>
      <c r="B3" s="400"/>
      <c r="C3" s="400"/>
      <c r="D3" s="400"/>
      <c r="E3" s="400"/>
      <c r="F3" s="400"/>
      <c r="G3" s="400"/>
      <c r="H3" s="401"/>
      <c r="I3" s="369"/>
      <c r="J3" s="370"/>
      <c r="K3" s="370"/>
      <c r="L3" s="370"/>
      <c r="M3" s="370"/>
      <c r="N3" s="370"/>
      <c r="O3" s="370"/>
      <c r="P3" s="370"/>
      <c r="Q3" s="371"/>
      <c r="R3" s="369"/>
      <c r="S3" s="370"/>
      <c r="T3" s="370"/>
      <c r="U3" s="370"/>
      <c r="V3" s="370"/>
      <c r="W3" s="370"/>
      <c r="X3" s="371"/>
      <c r="Y3" s="372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4"/>
      <c r="AP3" s="342"/>
      <c r="AQ3" s="343"/>
      <c r="AR3" s="343"/>
      <c r="AS3" s="343"/>
      <c r="AT3" s="344"/>
      <c r="AU3" s="410"/>
      <c r="AV3" s="411"/>
      <c r="AW3" s="411"/>
      <c r="AX3" s="411"/>
      <c r="AY3" s="412"/>
      <c r="AZ3" s="413"/>
      <c r="BA3" s="414"/>
      <c r="BB3" s="414"/>
      <c r="BC3" s="414"/>
      <c r="BD3" s="415"/>
    </row>
    <row r="4" spans="1:57" s="17" customFormat="1" ht="14.4" customHeight="1">
      <c r="A4" s="402"/>
      <c r="B4" s="403"/>
      <c r="C4" s="403"/>
      <c r="D4" s="403"/>
      <c r="E4" s="403"/>
      <c r="F4" s="403"/>
      <c r="G4" s="403"/>
      <c r="H4" s="404"/>
      <c r="I4" s="372"/>
      <c r="J4" s="373"/>
      <c r="K4" s="373"/>
      <c r="L4" s="373"/>
      <c r="M4" s="373"/>
      <c r="N4" s="373"/>
      <c r="O4" s="373"/>
      <c r="P4" s="373"/>
      <c r="Q4" s="374"/>
      <c r="R4" s="372"/>
      <c r="S4" s="373"/>
      <c r="T4" s="373"/>
      <c r="U4" s="373"/>
      <c r="V4" s="373"/>
      <c r="W4" s="373"/>
      <c r="X4" s="374"/>
      <c r="Y4" s="41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t_seisan_shiji_yakuhin</v>
      </c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8"/>
      <c r="AP4" s="342"/>
      <c r="AQ4" s="343"/>
      <c r="AR4" s="343"/>
      <c r="AS4" s="343"/>
      <c r="AT4" s="344"/>
      <c r="AU4" s="410"/>
      <c r="AV4" s="411"/>
      <c r="AW4" s="411"/>
      <c r="AX4" s="411"/>
      <c r="AY4" s="412"/>
      <c r="AZ4" s="413"/>
      <c r="BA4" s="414"/>
      <c r="BB4" s="414"/>
      <c r="BC4" s="414"/>
      <c r="BD4" s="415"/>
    </row>
    <row r="6" spans="1:57" ht="14.4" customHeight="1">
      <c r="A6" s="405" t="s">
        <v>90</v>
      </c>
      <c r="B6" s="386" t="s">
        <v>136</v>
      </c>
      <c r="C6" s="394"/>
      <c r="D6" s="394"/>
      <c r="E6" s="394"/>
      <c r="F6" s="394"/>
      <c r="G6" s="394"/>
      <c r="H6" s="387"/>
      <c r="I6" s="386" t="s">
        <v>137</v>
      </c>
      <c r="J6" s="394"/>
      <c r="K6" s="394"/>
      <c r="L6" s="394"/>
      <c r="M6" s="394"/>
      <c r="N6" s="394"/>
      <c r="O6" s="394"/>
      <c r="P6" s="394"/>
      <c r="Q6" s="387"/>
      <c r="R6" s="386" t="s">
        <v>138</v>
      </c>
      <c r="S6" s="394"/>
      <c r="T6" s="394"/>
      <c r="U6" s="394"/>
      <c r="V6" s="394"/>
      <c r="W6" s="394"/>
      <c r="X6" s="387"/>
      <c r="Y6" s="386" t="s">
        <v>139</v>
      </c>
      <c r="Z6" s="387"/>
      <c r="AA6" s="386" t="s">
        <v>140</v>
      </c>
      <c r="AB6" s="394"/>
      <c r="AC6" s="387"/>
      <c r="AD6" s="390" t="s">
        <v>141</v>
      </c>
      <c r="AE6" s="392" t="s">
        <v>142</v>
      </c>
      <c r="AF6" s="390" t="s">
        <v>143</v>
      </c>
      <c r="AG6" s="390" t="s">
        <v>144</v>
      </c>
      <c r="AH6" s="390" t="s">
        <v>145</v>
      </c>
      <c r="AI6" s="383" t="s">
        <v>146</v>
      </c>
      <c r="AJ6" s="384"/>
      <c r="AK6" s="384"/>
      <c r="AL6" s="384"/>
      <c r="AM6" s="384"/>
      <c r="AN6" s="384"/>
      <c r="AO6" s="384"/>
      <c r="AP6" s="384"/>
      <c r="AQ6" s="384"/>
      <c r="AR6" s="385"/>
      <c r="AS6" s="386" t="s">
        <v>147</v>
      </c>
      <c r="AT6" s="394"/>
      <c r="AU6" s="394"/>
      <c r="AV6" s="394"/>
      <c r="AW6" s="394"/>
      <c r="AX6" s="394"/>
      <c r="AY6" s="394"/>
      <c r="AZ6" s="394"/>
      <c r="BA6" s="394"/>
      <c r="BB6" s="394"/>
      <c r="BC6" s="394"/>
      <c r="BD6" s="387"/>
    </row>
    <row r="7" spans="1:57" ht="14.4" customHeight="1">
      <c r="A7" s="406"/>
      <c r="B7" s="388"/>
      <c r="C7" s="395"/>
      <c r="D7" s="395"/>
      <c r="E7" s="395"/>
      <c r="F7" s="395"/>
      <c r="G7" s="395"/>
      <c r="H7" s="389"/>
      <c r="I7" s="388"/>
      <c r="J7" s="395"/>
      <c r="K7" s="395"/>
      <c r="L7" s="395"/>
      <c r="M7" s="395"/>
      <c r="N7" s="395"/>
      <c r="O7" s="395"/>
      <c r="P7" s="395"/>
      <c r="Q7" s="389"/>
      <c r="R7" s="388"/>
      <c r="S7" s="395"/>
      <c r="T7" s="395"/>
      <c r="U7" s="395"/>
      <c r="V7" s="395"/>
      <c r="W7" s="395"/>
      <c r="X7" s="389"/>
      <c r="Y7" s="388"/>
      <c r="Z7" s="389"/>
      <c r="AA7" s="388"/>
      <c r="AB7" s="395"/>
      <c r="AC7" s="389"/>
      <c r="AD7" s="391"/>
      <c r="AE7" s="393"/>
      <c r="AF7" s="391"/>
      <c r="AG7" s="391"/>
      <c r="AH7" s="39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88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89"/>
    </row>
    <row r="8" spans="1:57" ht="14.4" customHeight="1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419" t="s">
        <v>150</v>
      </c>
      <c r="Z8" s="420"/>
      <c r="AA8" s="421" t="s">
        <v>151</v>
      </c>
      <c r="AB8" s="422"/>
      <c r="AC8" s="423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" customHeight="1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419" t="s">
        <v>150</v>
      </c>
      <c r="Z9" s="420"/>
      <c r="AA9" s="421" t="s">
        <v>151</v>
      </c>
      <c r="AB9" s="422"/>
      <c r="AC9" s="423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" customHeight="1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39" t="s">
        <v>374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419" t="s">
        <v>150</v>
      </c>
      <c r="Z10" s="420"/>
      <c r="AA10" s="421" t="s">
        <v>151</v>
      </c>
      <c r="AB10" s="422"/>
      <c r="AC10" s="423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" customHeight="1">
      <c r="A11" s="70">
        <f>IF(B11="","",COUNTA($B$8:B11))</f>
        <v>4</v>
      </c>
      <c r="B11" s="25" t="s">
        <v>193</v>
      </c>
      <c r="C11" s="26"/>
      <c r="D11" s="26"/>
      <c r="E11" s="26"/>
      <c r="F11" s="26"/>
      <c r="G11" s="26"/>
      <c r="H11" s="39" t="s">
        <v>374</v>
      </c>
      <c r="I11" s="31" t="s">
        <v>194</v>
      </c>
      <c r="J11" s="23"/>
      <c r="K11" s="23"/>
      <c r="L11" s="23"/>
      <c r="M11" s="23"/>
      <c r="N11" s="23"/>
      <c r="O11" s="26"/>
      <c r="P11" s="23"/>
      <c r="Q11" s="24"/>
      <c r="R11" s="25" t="s">
        <v>193</v>
      </c>
      <c r="S11" s="23"/>
      <c r="T11" s="23"/>
      <c r="U11" s="23"/>
      <c r="V11" s="23"/>
      <c r="W11" s="23"/>
      <c r="X11" s="24"/>
      <c r="Y11" s="419" t="s">
        <v>150</v>
      </c>
      <c r="Z11" s="420"/>
      <c r="AA11" s="421" t="s">
        <v>151</v>
      </c>
      <c r="AB11" s="422"/>
      <c r="AC11" s="423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" customHeight="1">
      <c r="A12" s="70">
        <f>IF(B12="","",COUNTA($B$8:B12))</f>
        <v>5</v>
      </c>
      <c r="B12" s="19" t="s">
        <v>195</v>
      </c>
      <c r="C12" s="26"/>
      <c r="D12" s="26"/>
      <c r="E12" s="26"/>
      <c r="F12" s="26"/>
      <c r="G12" s="26"/>
      <c r="H12" s="39" t="s">
        <v>374</v>
      </c>
      <c r="I12" s="31" t="s">
        <v>196</v>
      </c>
      <c r="J12" s="23"/>
      <c r="K12" s="23"/>
      <c r="L12" s="23"/>
      <c r="M12" s="23"/>
      <c r="N12" s="23"/>
      <c r="O12" s="23"/>
      <c r="P12" s="23"/>
      <c r="Q12" s="24"/>
      <c r="R12" s="25" t="s">
        <v>195</v>
      </c>
      <c r="S12" s="23"/>
      <c r="T12" s="23"/>
      <c r="U12" s="23"/>
      <c r="V12" s="23"/>
      <c r="W12" s="23"/>
      <c r="X12" s="24"/>
      <c r="Y12" s="419" t="s">
        <v>150</v>
      </c>
      <c r="Z12" s="420"/>
      <c r="AA12" s="421" t="s">
        <v>151</v>
      </c>
      <c r="AB12" s="422"/>
      <c r="AC12" s="423"/>
      <c r="AD12" s="267">
        <v>80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  <c r="BE12" s="18" t="s">
        <v>1513</v>
      </c>
    </row>
    <row r="13" spans="1:57" ht="14.4" customHeight="1">
      <c r="A13" s="70">
        <f>IF(B13="","",COUNTA($B$8:B13))</f>
        <v>6</v>
      </c>
      <c r="B13" s="19" t="s">
        <v>197</v>
      </c>
      <c r="C13" s="20"/>
      <c r="D13" s="20"/>
      <c r="E13" s="20"/>
      <c r="F13" s="20"/>
      <c r="G13" s="20"/>
      <c r="H13" s="39" t="s">
        <v>374</v>
      </c>
      <c r="I13" s="31" t="s">
        <v>198</v>
      </c>
      <c r="J13" s="23"/>
      <c r="K13" s="23"/>
      <c r="L13" s="23"/>
      <c r="M13" s="23"/>
      <c r="N13" s="23"/>
      <c r="O13" s="23"/>
      <c r="P13" s="23"/>
      <c r="Q13" s="24"/>
      <c r="R13" s="19" t="s">
        <v>197</v>
      </c>
      <c r="S13" s="23"/>
      <c r="T13" s="23"/>
      <c r="U13" s="23"/>
      <c r="V13" s="23"/>
      <c r="W13" s="23"/>
      <c r="X13" s="24"/>
      <c r="Y13" s="419" t="s">
        <v>150</v>
      </c>
      <c r="Z13" s="420"/>
      <c r="AA13" s="421" t="s">
        <v>151</v>
      </c>
      <c r="AB13" s="422"/>
      <c r="AC13" s="423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" customHeight="1">
      <c r="A14" s="70">
        <f>IF(B14="","",COUNTA($B$8:B14))</f>
        <v>7</v>
      </c>
      <c r="B14" s="22" t="s">
        <v>199</v>
      </c>
      <c r="C14" s="20"/>
      <c r="D14" s="20"/>
      <c r="E14" s="20"/>
      <c r="F14" s="20"/>
      <c r="G14" s="20"/>
      <c r="H14" s="39" t="s">
        <v>374</v>
      </c>
      <c r="I14" s="31" t="s">
        <v>200</v>
      </c>
      <c r="J14" s="23"/>
      <c r="K14" s="23"/>
      <c r="L14" s="23"/>
      <c r="M14" s="23"/>
      <c r="N14" s="23"/>
      <c r="O14" s="23"/>
      <c r="P14" s="23"/>
      <c r="Q14" s="24"/>
      <c r="R14" s="19" t="s">
        <v>199</v>
      </c>
      <c r="S14" s="23"/>
      <c r="T14" s="23"/>
      <c r="U14" s="23"/>
      <c r="V14" s="23"/>
      <c r="W14" s="23"/>
      <c r="X14" s="24"/>
      <c r="Y14" s="419" t="s">
        <v>150</v>
      </c>
      <c r="Z14" s="420"/>
      <c r="AA14" s="421" t="s">
        <v>151</v>
      </c>
      <c r="AB14" s="422"/>
      <c r="AC14" s="423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" customHeight="1">
      <c r="A15" s="70">
        <f>IF(B15="","",COUNTA($B$8:B15))</f>
        <v>8</v>
      </c>
      <c r="B15" s="19" t="s">
        <v>201</v>
      </c>
      <c r="C15" s="20"/>
      <c r="D15" s="20"/>
      <c r="E15" s="20"/>
      <c r="F15" s="20"/>
      <c r="G15" s="20"/>
      <c r="H15" s="39" t="s">
        <v>374</v>
      </c>
      <c r="I15" s="31" t="s">
        <v>202</v>
      </c>
      <c r="J15" s="23"/>
      <c r="K15" s="23"/>
      <c r="L15" s="23"/>
      <c r="M15" s="23"/>
      <c r="N15" s="23"/>
      <c r="O15" s="23"/>
      <c r="P15" s="23"/>
      <c r="Q15" s="24"/>
      <c r="R15" s="19" t="s">
        <v>201</v>
      </c>
      <c r="S15" s="23"/>
      <c r="T15" s="23"/>
      <c r="U15" s="23"/>
      <c r="V15" s="23"/>
      <c r="W15" s="23"/>
      <c r="X15" s="24"/>
      <c r="Y15" s="419" t="s">
        <v>150</v>
      </c>
      <c r="Z15" s="420"/>
      <c r="AA15" s="421" t="s">
        <v>151</v>
      </c>
      <c r="AB15" s="422"/>
      <c r="AC15" s="423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" customHeight="1">
      <c r="A16" s="70">
        <f>IF(B16="","",COUNTA($B$8:B16))</f>
        <v>9</v>
      </c>
      <c r="B16" s="19" t="s">
        <v>203</v>
      </c>
      <c r="C16" s="20"/>
      <c r="D16" s="20"/>
      <c r="E16" s="20"/>
      <c r="F16" s="20"/>
      <c r="G16" s="20"/>
      <c r="H16" s="39" t="s">
        <v>374</v>
      </c>
      <c r="I16" s="31" t="s">
        <v>204</v>
      </c>
      <c r="J16" s="23"/>
      <c r="K16" s="23"/>
      <c r="L16" s="23"/>
      <c r="M16" s="23"/>
      <c r="N16" s="23"/>
      <c r="O16" s="38"/>
      <c r="P16" s="23"/>
      <c r="Q16" s="24"/>
      <c r="R16" s="19" t="s">
        <v>203</v>
      </c>
      <c r="S16" s="23"/>
      <c r="T16" s="23"/>
      <c r="U16" s="23"/>
      <c r="V16" s="23"/>
      <c r="W16" s="23"/>
      <c r="X16" s="24"/>
      <c r="Y16" s="419" t="s">
        <v>155</v>
      </c>
      <c r="Z16" s="420"/>
      <c r="AA16" s="421" t="s">
        <v>156</v>
      </c>
      <c r="AB16" s="422"/>
      <c r="AC16" s="423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" customHeight="1">
      <c r="A17" s="70">
        <f>IF(B17="","",COUNTA($B$8:B17))</f>
        <v>10</v>
      </c>
      <c r="B17" s="25" t="s">
        <v>205</v>
      </c>
      <c r="C17" s="26"/>
      <c r="D17" s="26"/>
      <c r="E17" s="26"/>
      <c r="F17" s="26"/>
      <c r="G17" s="26"/>
      <c r="H17" s="39" t="s">
        <v>374</v>
      </c>
      <c r="I17" s="31" t="s">
        <v>206</v>
      </c>
      <c r="J17" s="23"/>
      <c r="K17" s="23"/>
      <c r="L17" s="23"/>
      <c r="M17" s="23"/>
      <c r="N17" s="23"/>
      <c r="O17" s="26"/>
      <c r="P17" s="23"/>
      <c r="Q17" s="24"/>
      <c r="R17" s="25" t="s">
        <v>205</v>
      </c>
      <c r="S17" s="23"/>
      <c r="T17" s="23"/>
      <c r="U17" s="23"/>
      <c r="V17" s="23"/>
      <c r="W17" s="23"/>
      <c r="X17" s="24"/>
      <c r="Y17" s="419" t="s">
        <v>155</v>
      </c>
      <c r="Z17" s="420"/>
      <c r="AA17" s="421" t="s">
        <v>156</v>
      </c>
      <c r="AB17" s="422"/>
      <c r="AC17" s="423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" customHeight="1">
      <c r="A18" s="70">
        <f>IF(B18="","",COUNTA($B$8:B18))</f>
        <v>11</v>
      </c>
      <c r="B18" s="25" t="s">
        <v>208</v>
      </c>
      <c r="C18" s="26"/>
      <c r="D18" s="26"/>
      <c r="E18" s="26"/>
      <c r="F18" s="26"/>
      <c r="G18" s="26"/>
      <c r="H18" s="39" t="s">
        <v>374</v>
      </c>
      <c r="I18" s="31" t="s">
        <v>209</v>
      </c>
      <c r="J18" s="23"/>
      <c r="K18" s="23"/>
      <c r="L18" s="23"/>
      <c r="M18" s="23"/>
      <c r="N18" s="23"/>
      <c r="O18" s="26"/>
      <c r="P18" s="23"/>
      <c r="Q18" s="24"/>
      <c r="R18" s="25" t="s">
        <v>208</v>
      </c>
      <c r="S18" s="23"/>
      <c r="T18" s="23"/>
      <c r="U18" s="23"/>
      <c r="V18" s="23"/>
      <c r="W18" s="23"/>
      <c r="X18" s="24"/>
      <c r="Y18" s="419" t="s">
        <v>155</v>
      </c>
      <c r="Z18" s="420"/>
      <c r="AA18" s="421" t="s">
        <v>156</v>
      </c>
      <c r="AB18" s="422"/>
      <c r="AC18" s="423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" customHeight="1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19" t="s">
        <v>150</v>
      </c>
      <c r="Z19" s="154"/>
      <c r="AA19" s="25" t="s">
        <v>151</v>
      </c>
      <c r="AB19" s="26"/>
      <c r="AC19" s="39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" customHeight="1">
      <c r="A20" s="70">
        <f>IF(B20="","",COUNTA($B$8:B20))</f>
        <v>13</v>
      </c>
      <c r="B20" s="19" t="s">
        <v>1423</v>
      </c>
      <c r="C20" s="20"/>
      <c r="D20" s="20"/>
      <c r="E20" s="20"/>
      <c r="F20" s="20"/>
      <c r="G20" s="20"/>
      <c r="H20" s="24"/>
      <c r="I20" s="31" t="s">
        <v>1378</v>
      </c>
      <c r="J20" s="23"/>
      <c r="K20" s="23"/>
      <c r="L20" s="23"/>
      <c r="M20" s="23"/>
      <c r="N20" s="23"/>
      <c r="O20" s="38"/>
      <c r="P20" s="23"/>
      <c r="Q20" s="24"/>
      <c r="R20" s="19" t="s">
        <v>1423</v>
      </c>
      <c r="S20" s="23"/>
      <c r="T20" s="23"/>
      <c r="U20" s="23"/>
      <c r="V20" s="23"/>
      <c r="W20" s="23"/>
      <c r="X20" s="24"/>
      <c r="Y20" s="419" t="s">
        <v>150</v>
      </c>
      <c r="Z20" s="420"/>
      <c r="AA20" s="421" t="s">
        <v>151</v>
      </c>
      <c r="AB20" s="422"/>
      <c r="AC20" s="423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" customHeight="1">
      <c r="A21" s="50">
        <f>IF(B21="","",COUNTA($B$8:B21))</f>
        <v>14</v>
      </c>
      <c r="B21" s="25" t="s">
        <v>397</v>
      </c>
      <c r="C21" s="26"/>
      <c r="D21" s="26"/>
      <c r="E21" s="26"/>
      <c r="F21" s="26"/>
      <c r="G21" s="26"/>
      <c r="H21" s="39"/>
      <c r="I21" s="31" t="s">
        <v>398</v>
      </c>
      <c r="J21" s="23"/>
      <c r="K21" s="23"/>
      <c r="L21" s="23"/>
      <c r="M21" s="23"/>
      <c r="N21" s="23"/>
      <c r="O21" s="23"/>
      <c r="P21" s="23"/>
      <c r="Q21" s="37"/>
      <c r="R21" s="25" t="s">
        <v>397</v>
      </c>
      <c r="S21" s="23"/>
      <c r="T21" s="23"/>
      <c r="U21" s="23"/>
      <c r="V21" s="23"/>
      <c r="W21" s="23"/>
      <c r="X21" s="24"/>
      <c r="Y21" s="419" t="s">
        <v>150</v>
      </c>
      <c r="Z21" s="420"/>
      <c r="AA21" s="421" t="s">
        <v>151</v>
      </c>
      <c r="AB21" s="422"/>
      <c r="AC21" s="423"/>
      <c r="AD21" s="27">
        <v>100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3"/>
      <c r="BE21" s="18" t="s">
        <v>1393</v>
      </c>
    </row>
    <row r="22" spans="1:57" ht="14.4" customHeight="1">
      <c r="A22" s="70">
        <f>IF(B22="","",COUNTA($B$8:B22))</f>
        <v>15</v>
      </c>
      <c r="B22" s="19" t="s">
        <v>375</v>
      </c>
      <c r="C22" s="20"/>
      <c r="D22" s="20"/>
      <c r="E22" s="20"/>
      <c r="F22" s="20"/>
      <c r="G22" s="20"/>
      <c r="H22" s="24"/>
      <c r="I22" s="31" t="s">
        <v>376</v>
      </c>
      <c r="J22" s="23"/>
      <c r="K22" s="23"/>
      <c r="L22" s="23"/>
      <c r="M22" s="23"/>
      <c r="N22" s="23"/>
      <c r="O22" s="38"/>
      <c r="P22" s="23"/>
      <c r="Q22" s="24"/>
      <c r="R22" s="22" t="s">
        <v>375</v>
      </c>
      <c r="S22" s="23"/>
      <c r="T22" s="23"/>
      <c r="U22" s="23"/>
      <c r="V22" s="23"/>
      <c r="W22" s="23"/>
      <c r="X22" s="24"/>
      <c r="Y22" s="419" t="s">
        <v>169</v>
      </c>
      <c r="Z22" s="420"/>
      <c r="AA22" s="421" t="s">
        <v>170</v>
      </c>
      <c r="AB22" s="422"/>
      <c r="AC22" s="423"/>
      <c r="AD22" s="51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" customHeight="1">
      <c r="A23" s="70">
        <f>IF(B23="","",COUNTA($B$8:B23))</f>
        <v>16</v>
      </c>
      <c r="B23" s="19" t="s">
        <v>249</v>
      </c>
      <c r="C23" s="20"/>
      <c r="D23" s="20"/>
      <c r="E23" s="20"/>
      <c r="F23" s="20"/>
      <c r="G23" s="20"/>
      <c r="H23" s="24"/>
      <c r="I23" s="31" t="s">
        <v>250</v>
      </c>
      <c r="J23" s="23"/>
      <c r="K23" s="23"/>
      <c r="L23" s="23"/>
      <c r="M23" s="23"/>
      <c r="N23" s="23"/>
      <c r="O23" s="23"/>
      <c r="P23" s="23"/>
      <c r="Q23" s="37"/>
      <c r="R23" s="19" t="s">
        <v>249</v>
      </c>
      <c r="S23" s="23"/>
      <c r="T23" s="23"/>
      <c r="U23" s="23"/>
      <c r="V23" s="23"/>
      <c r="W23" s="23"/>
      <c r="X23" s="24"/>
      <c r="Y23" s="419" t="s">
        <v>150</v>
      </c>
      <c r="Z23" s="420"/>
      <c r="AA23" s="421" t="s">
        <v>151</v>
      </c>
      <c r="AB23" s="422"/>
      <c r="AC23" s="423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7" ht="14.4" customHeight="1">
      <c r="A24" s="70">
        <f>IF(B24="","",COUNTA($B$8:B24))</f>
        <v>17</v>
      </c>
      <c r="B24" s="19" t="s">
        <v>251</v>
      </c>
      <c r="C24" s="20"/>
      <c r="D24" s="20"/>
      <c r="E24" s="20"/>
      <c r="F24" s="20"/>
      <c r="G24" s="20"/>
      <c r="H24" s="24"/>
      <c r="I24" s="31" t="s">
        <v>252</v>
      </c>
      <c r="J24" s="23"/>
      <c r="K24" s="23"/>
      <c r="L24" s="23"/>
      <c r="M24" s="23"/>
      <c r="N24" s="23"/>
      <c r="O24" s="23"/>
      <c r="P24" s="23"/>
      <c r="Q24" s="37"/>
      <c r="R24" s="19" t="s">
        <v>251</v>
      </c>
      <c r="S24" s="23"/>
      <c r="T24" s="23"/>
      <c r="U24" s="23"/>
      <c r="V24" s="23"/>
      <c r="W24" s="23"/>
      <c r="X24" s="24"/>
      <c r="Y24" s="419" t="s">
        <v>150</v>
      </c>
      <c r="Z24" s="420"/>
      <c r="AA24" s="421" t="s">
        <v>151</v>
      </c>
      <c r="AB24" s="422"/>
      <c r="AC24" s="423"/>
      <c r="AD24" s="27">
        <v>4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" customHeight="1">
      <c r="A25" s="70">
        <f>IF(B25="","",COUNTA($B$8:B25))</f>
        <v>18</v>
      </c>
      <c r="B25" s="19" t="s">
        <v>253</v>
      </c>
      <c r="C25" s="20"/>
      <c r="D25" s="20"/>
      <c r="E25" s="20"/>
      <c r="F25" s="20"/>
      <c r="G25" s="20"/>
      <c r="H25" s="24"/>
      <c r="I25" s="31" t="s">
        <v>254</v>
      </c>
      <c r="J25" s="23"/>
      <c r="K25" s="23"/>
      <c r="L25" s="23"/>
      <c r="M25" s="23"/>
      <c r="N25" s="23"/>
      <c r="O25" s="23"/>
      <c r="P25" s="23"/>
      <c r="Q25" s="37"/>
      <c r="R25" s="19" t="s">
        <v>253</v>
      </c>
      <c r="S25" s="23"/>
      <c r="T25" s="23"/>
      <c r="U25" s="23"/>
      <c r="V25" s="23"/>
      <c r="W25" s="23"/>
      <c r="X25" s="24"/>
      <c r="Y25" s="419" t="s">
        <v>150</v>
      </c>
      <c r="Z25" s="420"/>
      <c r="AA25" s="421" t="s">
        <v>151</v>
      </c>
      <c r="AB25" s="422"/>
      <c r="AC25" s="423"/>
      <c r="AD25" s="27">
        <v>10</v>
      </c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" customHeight="1">
      <c r="A26" s="70">
        <f>IF(B26="","",COUNTA($B$8:B26))</f>
        <v>19</v>
      </c>
      <c r="B26" s="19" t="s">
        <v>255</v>
      </c>
      <c r="C26" s="20"/>
      <c r="D26" s="20"/>
      <c r="E26" s="20"/>
      <c r="F26" s="20"/>
      <c r="G26" s="20"/>
      <c r="H26" s="24"/>
      <c r="I26" s="31" t="s">
        <v>256</v>
      </c>
      <c r="J26" s="23"/>
      <c r="K26" s="23"/>
      <c r="L26" s="23"/>
      <c r="M26" s="23"/>
      <c r="N26" s="23"/>
      <c r="O26" s="23"/>
      <c r="P26" s="23"/>
      <c r="Q26" s="37"/>
      <c r="R26" s="19" t="s">
        <v>255</v>
      </c>
      <c r="S26" s="23"/>
      <c r="T26" s="23"/>
      <c r="U26" s="23"/>
      <c r="V26" s="23"/>
      <c r="W26" s="23"/>
      <c r="X26" s="24"/>
      <c r="Y26" s="419" t="s">
        <v>150</v>
      </c>
      <c r="Z26" s="420"/>
      <c r="AA26" s="421" t="s">
        <v>151</v>
      </c>
      <c r="AB26" s="422"/>
      <c r="AC26" s="423"/>
      <c r="AD26" s="27">
        <v>10</v>
      </c>
      <c r="AE26" s="29"/>
      <c r="AF26" s="29"/>
      <c r="AG26" s="29"/>
      <c r="AH26" s="40"/>
      <c r="AI26" s="40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32"/>
      <c r="AV26" s="32"/>
      <c r="AW26" s="32"/>
      <c r="AX26" s="32"/>
      <c r="AY26" s="67"/>
      <c r="AZ26" s="67"/>
      <c r="BA26" s="67"/>
      <c r="BB26" s="67"/>
      <c r="BC26" s="67"/>
      <c r="BD26" s="68"/>
    </row>
    <row r="27" spans="1:57" ht="14.4" customHeight="1">
      <c r="A27" s="70">
        <f>IF(B27="","",COUNTA($B$8:B27))</f>
        <v>20</v>
      </c>
      <c r="B27" s="19" t="s">
        <v>257</v>
      </c>
      <c r="C27" s="20"/>
      <c r="D27" s="20"/>
      <c r="E27" s="20"/>
      <c r="F27" s="20"/>
      <c r="G27" s="20"/>
      <c r="H27" s="24"/>
      <c r="I27" s="31" t="s">
        <v>258</v>
      </c>
      <c r="J27" s="23"/>
      <c r="K27" s="23"/>
      <c r="L27" s="23"/>
      <c r="M27" s="23"/>
      <c r="N27" s="23"/>
      <c r="O27" s="23"/>
      <c r="P27" s="23"/>
      <c r="Q27" s="37"/>
      <c r="R27" s="19" t="s">
        <v>257</v>
      </c>
      <c r="S27" s="23"/>
      <c r="T27" s="23"/>
      <c r="U27" s="23"/>
      <c r="V27" s="23"/>
      <c r="W27" s="23"/>
      <c r="X27" s="24"/>
      <c r="Y27" s="419" t="s">
        <v>169</v>
      </c>
      <c r="Z27" s="420"/>
      <c r="AA27" s="421" t="s">
        <v>243</v>
      </c>
      <c r="AB27" s="422"/>
      <c r="AC27" s="423"/>
      <c r="AD27" s="51"/>
      <c r="AE27" s="29"/>
      <c r="AF27" s="29"/>
      <c r="AG27" s="29"/>
      <c r="AH27" s="28"/>
      <c r="AI27" s="28"/>
      <c r="AJ27" s="28"/>
      <c r="AK27" s="28"/>
      <c r="AL27" s="40"/>
      <c r="AM27" s="40"/>
      <c r="AN27" s="40"/>
      <c r="AO27" s="41"/>
      <c r="AP27" s="41"/>
      <c r="AQ27" s="41"/>
      <c r="AR27" s="41"/>
      <c r="AS27" s="42"/>
      <c r="AT27" s="43"/>
      <c r="AU27" s="32"/>
      <c r="AV27" s="32"/>
      <c r="AW27" s="32"/>
      <c r="AX27" s="32"/>
      <c r="AY27" s="32"/>
      <c r="AZ27" s="32"/>
      <c r="BA27" s="32"/>
      <c r="BB27" s="32"/>
      <c r="BC27" s="32"/>
      <c r="BD27" s="33"/>
    </row>
    <row r="28" spans="1:57" ht="14.4" customHeight="1">
      <c r="A28" s="70">
        <f>IF(B28="","",COUNTA($B$8:B28))</f>
        <v>21</v>
      </c>
      <c r="B28" s="19" t="s">
        <v>259</v>
      </c>
      <c r="C28" s="20"/>
      <c r="D28" s="20"/>
      <c r="E28" s="20"/>
      <c r="F28" s="20"/>
      <c r="G28" s="20"/>
      <c r="H28" s="24"/>
      <c r="I28" s="31" t="s">
        <v>260</v>
      </c>
      <c r="J28" s="23"/>
      <c r="K28" s="23"/>
      <c r="L28" s="23"/>
      <c r="M28" s="23"/>
      <c r="N28" s="23"/>
      <c r="O28" s="23"/>
      <c r="P28" s="23"/>
      <c r="Q28" s="37"/>
      <c r="R28" s="19" t="s">
        <v>259</v>
      </c>
      <c r="S28" s="23"/>
      <c r="T28" s="23"/>
      <c r="U28" s="23"/>
      <c r="V28" s="23"/>
      <c r="W28" s="23"/>
      <c r="X28" s="24"/>
      <c r="Y28" s="419" t="s">
        <v>150</v>
      </c>
      <c r="Z28" s="420"/>
      <c r="AA28" s="421" t="s">
        <v>151</v>
      </c>
      <c r="AB28" s="422"/>
      <c r="AC28" s="423"/>
      <c r="AD28" s="27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32"/>
      <c r="AZ28" s="32"/>
      <c r="BA28" s="32"/>
      <c r="BB28" s="32"/>
      <c r="BC28" s="32"/>
      <c r="BD28" s="33"/>
    </row>
    <row r="29" spans="1:57" ht="14.4" customHeight="1">
      <c r="A29" s="70">
        <f>IF(B29="","",COUNTA($B$8:B29))</f>
        <v>22</v>
      </c>
      <c r="B29" s="19" t="s">
        <v>261</v>
      </c>
      <c r="C29" s="20"/>
      <c r="D29" s="20"/>
      <c r="E29" s="20"/>
      <c r="F29" s="20"/>
      <c r="G29" s="20"/>
      <c r="H29" s="24"/>
      <c r="I29" s="31" t="s">
        <v>262</v>
      </c>
      <c r="J29" s="23"/>
      <c r="K29" s="23"/>
      <c r="L29" s="23"/>
      <c r="M29" s="23"/>
      <c r="N29" s="23"/>
      <c r="O29" s="23"/>
      <c r="P29" s="23"/>
      <c r="Q29" s="37"/>
      <c r="R29" s="19" t="s">
        <v>261</v>
      </c>
      <c r="S29" s="23"/>
      <c r="T29" s="23"/>
      <c r="U29" s="23"/>
      <c r="V29" s="23"/>
      <c r="W29" s="23"/>
      <c r="X29" s="24"/>
      <c r="Y29" s="419" t="s">
        <v>150</v>
      </c>
      <c r="Z29" s="420"/>
      <c r="AA29" s="421" t="s">
        <v>151</v>
      </c>
      <c r="AB29" s="422"/>
      <c r="AC29" s="423"/>
      <c r="AD29" s="51">
        <v>10</v>
      </c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" customHeight="1">
      <c r="A30" s="70">
        <f>IF(B30="","",COUNTA($B$8:B30))</f>
        <v>23</v>
      </c>
      <c r="B30" s="19" t="s">
        <v>263</v>
      </c>
      <c r="C30" s="20"/>
      <c r="D30" s="20"/>
      <c r="E30" s="20"/>
      <c r="F30" s="20"/>
      <c r="G30" s="20"/>
      <c r="H30" s="24"/>
      <c r="I30" s="31" t="s">
        <v>264</v>
      </c>
      <c r="J30" s="23"/>
      <c r="K30" s="23"/>
      <c r="L30" s="23"/>
      <c r="M30" s="23"/>
      <c r="N30" s="23"/>
      <c r="O30" s="23"/>
      <c r="P30" s="23"/>
      <c r="Q30" s="37"/>
      <c r="R30" s="22" t="s">
        <v>263</v>
      </c>
      <c r="S30" s="23"/>
      <c r="T30" s="23"/>
      <c r="U30" s="23"/>
      <c r="V30" s="23"/>
      <c r="W30" s="23"/>
      <c r="X30" s="24"/>
      <c r="Y30" s="419" t="s">
        <v>169</v>
      </c>
      <c r="Z30" s="420"/>
      <c r="AA30" s="421" t="s">
        <v>243</v>
      </c>
      <c r="AB30" s="422"/>
      <c r="AC30" s="423"/>
      <c r="AD30" s="51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" customHeight="1">
      <c r="A31" s="70" t="str">
        <f>IF(B31="","",COUNTA($B$8:B31))</f>
        <v/>
      </c>
      <c r="B31" s="25"/>
      <c r="C31" s="26"/>
      <c r="D31" s="26"/>
      <c r="E31" s="26"/>
      <c r="F31" s="26"/>
      <c r="G31" s="26"/>
      <c r="H31" s="39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419"/>
      <c r="Z31" s="420"/>
      <c r="AA31" s="421"/>
      <c r="AB31" s="422"/>
      <c r="AC31" s="423"/>
      <c r="AD31" s="27"/>
      <c r="AE31" s="29" t="s">
        <v>244</v>
      </c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" customHeight="1">
      <c r="A32" s="70" t="str">
        <f>IF(B32="","",COUNTA($B$8:B32))</f>
        <v/>
      </c>
      <c r="B32" s="19"/>
      <c r="C32" s="20" t="s">
        <v>378</v>
      </c>
      <c r="D32" s="20"/>
      <c r="E32" s="20" t="s">
        <v>379</v>
      </c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419"/>
      <c r="Z32" s="420"/>
      <c r="AA32" s="421"/>
      <c r="AB32" s="422"/>
      <c r="AC32" s="423"/>
      <c r="AD32" s="27"/>
      <c r="AE32" s="29" t="s">
        <v>244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24"/>
      <c r="R33" s="22"/>
      <c r="S33" s="23"/>
      <c r="T33" s="23"/>
      <c r="U33" s="23"/>
      <c r="V33" s="23"/>
      <c r="W33" s="23"/>
      <c r="X33" s="24"/>
      <c r="Y33" s="419"/>
      <c r="Z33" s="420"/>
      <c r="AA33" s="421"/>
      <c r="AB33" s="422"/>
      <c r="AC33" s="423"/>
      <c r="AD33" s="69"/>
      <c r="AE33" s="29" t="s">
        <v>244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419"/>
      <c r="Z34" s="420"/>
      <c r="AA34" s="421"/>
      <c r="AB34" s="422"/>
      <c r="AC34" s="423"/>
      <c r="AD34" s="69"/>
      <c r="AE34" s="29" t="s">
        <v>244</v>
      </c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419"/>
      <c r="Z35" s="420"/>
      <c r="AA35" s="421"/>
      <c r="AB35" s="422"/>
      <c r="AC35" s="423"/>
      <c r="AD35" s="51"/>
      <c r="AE35" s="29" t="s">
        <v>244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419"/>
      <c r="Z36" s="420"/>
      <c r="AA36" s="421"/>
      <c r="AB36" s="422"/>
      <c r="AC36" s="423"/>
      <c r="AD36" s="27"/>
      <c r="AE36" s="29" t="s">
        <v>244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419"/>
      <c r="Z37" s="420"/>
      <c r="AA37" s="421"/>
      <c r="AB37" s="422"/>
      <c r="AC37" s="423"/>
      <c r="AD37" s="27"/>
      <c r="AE37" s="29" t="s">
        <v>244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419"/>
      <c r="Z38" s="420"/>
      <c r="AA38" s="421"/>
      <c r="AB38" s="422"/>
      <c r="AC38" s="423"/>
      <c r="AD38" s="27"/>
      <c r="AE38" s="29" t="s">
        <v>244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419"/>
      <c r="Z39" s="420"/>
      <c r="AA39" s="421"/>
      <c r="AB39" s="422"/>
      <c r="AC39" s="423"/>
      <c r="AD39" s="27"/>
      <c r="AE39" s="29" t="s">
        <v>244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419"/>
      <c r="Z40" s="420"/>
      <c r="AA40" s="421"/>
      <c r="AB40" s="422"/>
      <c r="AC40" s="423"/>
      <c r="AD40" s="27"/>
      <c r="AE40" s="29" t="s">
        <v>244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47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66"/>
    </row>
    <row r="41" spans="1:56" ht="14.4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419"/>
      <c r="Z41" s="420"/>
      <c r="AA41" s="421"/>
      <c r="AB41" s="422"/>
      <c r="AC41" s="423"/>
      <c r="AD41" s="27"/>
      <c r="AE41" s="29" t="s">
        <v>244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419"/>
      <c r="Z42" s="420"/>
      <c r="AA42" s="421"/>
      <c r="AB42" s="422"/>
      <c r="AC42" s="423"/>
      <c r="AD42" s="27"/>
      <c r="AE42" s="29" t="s">
        <v>244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19"/>
      <c r="Z43" s="420"/>
      <c r="AA43" s="421"/>
      <c r="AB43" s="422"/>
      <c r="AC43" s="423"/>
      <c r="AD43" s="51"/>
      <c r="AE43" s="29" t="s">
        <v>244</v>
      </c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70" t="str">
        <f>IF(B44="","",COUNTA($B$8:B44))</f>
        <v/>
      </c>
      <c r="B44" s="31"/>
      <c r="C44" s="44"/>
      <c r="D44" s="44"/>
      <c r="E44" s="44"/>
      <c r="F44" s="44"/>
      <c r="G44" s="44"/>
      <c r="H44" s="45"/>
      <c r="I44" s="31"/>
      <c r="J44" s="35"/>
      <c r="K44" s="35"/>
      <c r="L44" s="35"/>
      <c r="M44" s="35"/>
      <c r="N44" s="35"/>
      <c r="O44" s="35"/>
      <c r="P44" s="35"/>
      <c r="Q44" s="36"/>
      <c r="R44" s="34"/>
      <c r="S44" s="35"/>
      <c r="T44" s="35"/>
      <c r="U44" s="35"/>
      <c r="V44" s="35"/>
      <c r="W44" s="35"/>
      <c r="X44" s="36"/>
      <c r="Y44" s="419"/>
      <c r="Z44" s="420"/>
      <c r="AA44" s="421"/>
      <c r="AB44" s="422"/>
      <c r="AC44" s="423"/>
      <c r="AD44" s="51"/>
      <c r="AE44" s="29" t="s">
        <v>244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2"/>
      <c r="AT44" s="49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" customHeight="1">
      <c r="A45" s="70" t="str">
        <f>IF(B45="","",COUNTA($B$8:B45))</f>
        <v/>
      </c>
      <c r="B45" s="31"/>
      <c r="C45" s="44"/>
      <c r="D45" s="44"/>
      <c r="E45" s="44"/>
      <c r="F45" s="44"/>
      <c r="G45" s="44"/>
      <c r="H45" s="45"/>
      <c r="I45" s="31"/>
      <c r="J45" s="35"/>
      <c r="K45" s="35"/>
      <c r="L45" s="35"/>
      <c r="M45" s="35"/>
      <c r="N45" s="35"/>
      <c r="O45" s="35"/>
      <c r="P45" s="35"/>
      <c r="Q45" s="36"/>
      <c r="R45" s="34"/>
      <c r="S45" s="35"/>
      <c r="T45" s="35"/>
      <c r="U45" s="35"/>
      <c r="V45" s="35"/>
      <c r="W45" s="35"/>
      <c r="X45" s="36"/>
      <c r="Y45" s="419"/>
      <c r="Z45" s="420"/>
      <c r="AA45" s="421"/>
      <c r="AB45" s="422"/>
      <c r="AC45" s="423"/>
      <c r="AD45" s="51"/>
      <c r="AE45" s="29" t="s">
        <v>244</v>
      </c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2"/>
      <c r="AT45" s="49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" customHeight="1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419"/>
      <c r="Z46" s="420"/>
      <c r="AA46" s="421"/>
      <c r="AB46" s="422"/>
      <c r="AC46" s="423"/>
      <c r="AD46" s="51"/>
      <c r="AE46" s="29" t="s">
        <v>244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08">
    <mergeCell ref="Y45:Z45"/>
    <mergeCell ref="AA45:AC45"/>
    <mergeCell ref="Y43:Z43"/>
    <mergeCell ref="AA43:AC43"/>
    <mergeCell ref="Y44:Z44"/>
    <mergeCell ref="AA44:AC44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28:Z28"/>
    <mergeCell ref="AA28:AC28"/>
    <mergeCell ref="Y23:Z23"/>
    <mergeCell ref="AA23:AC23"/>
    <mergeCell ref="Y24:Z24"/>
    <mergeCell ref="AA24:AC24"/>
    <mergeCell ref="Y25:Z25"/>
    <mergeCell ref="AA25:AC25"/>
    <mergeCell ref="Y27:Z27"/>
    <mergeCell ref="AA27:AC27"/>
    <mergeCell ref="AA26:AC26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Y12:Z12"/>
    <mergeCell ref="Y22:Z22"/>
    <mergeCell ref="AA22:AC22"/>
    <mergeCell ref="Y18:Z18"/>
    <mergeCell ref="AA18:AC18"/>
    <mergeCell ref="Y15:Z15"/>
    <mergeCell ref="AA15:AC15"/>
    <mergeCell ref="Y16:Z16"/>
    <mergeCell ref="AA16:AC16"/>
    <mergeCell ref="Y17:Z17"/>
    <mergeCell ref="AA17:AC17"/>
    <mergeCell ref="Y20:Z20"/>
    <mergeCell ref="AA20:AC20"/>
    <mergeCell ref="Y21:Z21"/>
    <mergeCell ref="AA21:AC21"/>
    <mergeCell ref="Y46:Z46"/>
    <mergeCell ref="AA46:AC46"/>
    <mergeCell ref="AS6:BD7"/>
    <mergeCell ref="Y8:Z8"/>
    <mergeCell ref="AA8:AC8"/>
    <mergeCell ref="AZ4:BD4"/>
    <mergeCell ref="Y9:Z9"/>
    <mergeCell ref="AA9:AC9"/>
    <mergeCell ref="Y10:Z10"/>
    <mergeCell ref="AA10:AC10"/>
    <mergeCell ref="Y11:Z11"/>
    <mergeCell ref="AA11:AC11"/>
    <mergeCell ref="AG6:AG7"/>
    <mergeCell ref="AH6:AH7"/>
    <mergeCell ref="AI6:AR6"/>
    <mergeCell ref="AA12:AC12"/>
    <mergeCell ref="Y13:Z13"/>
    <mergeCell ref="AA13:AC13"/>
    <mergeCell ref="Y14:Z14"/>
    <mergeCell ref="AA14:AC14"/>
    <mergeCell ref="Y26:Z26"/>
    <mergeCell ref="AA6:AC7"/>
    <mergeCell ref="AD6:AD7"/>
    <mergeCell ref="AE6:AE7"/>
  </mergeCells>
  <phoneticPr fontId="5"/>
  <dataValidations count="3">
    <dataValidation imeMode="hiragana" allowBlank="1" showInputMessage="1" showErrorMessage="1" sqref="IR65540:JC65542 SN65540:SY65542 ACJ65540:ACU65542 AMF65540:AMQ65542 AWB65540:AWM65542 BFX65540:BGI65542 BPT65540:BQE65542 BZP65540:CAA65542 CJL65540:CJW65542 CTH65540:CTS65542 DDD65540:DDO65542 DMZ65540:DNK65542 DWV65540:DXG65542 EGR65540:EHC65542 EQN65540:EQY65542 FAJ65540:FAU65542 FKF65540:FKQ65542 FUB65540:FUM65542 GDX65540:GEI65542 GNT65540:GOE65542 GXP65540:GYA65542 HHL65540:HHW65542 HRH65540:HRS65542 IBD65540:IBO65542 IKZ65540:ILK65542 IUV65540:IVG65542 JER65540:JFC65542 JON65540:JOY65542 JYJ65540:JYU65542 KIF65540:KIQ65542 KSB65540:KSM65542 LBX65540:LCI65542 LLT65540:LME65542 LVP65540:LWA65542 MFL65540:MFW65542 MPH65540:MPS65542 MZD65540:MZO65542 NIZ65540:NJK65542 NSV65540:NTG65542 OCR65540:ODC65542 OMN65540:OMY65542 OWJ65540:OWU65542 PGF65540:PGQ65542 PQB65540:PQM65542 PZX65540:QAI65542 QJT65540:QKE65542 QTP65540:QUA65542 RDL65540:RDW65542 RNH65540:RNS65542 RXD65540:RXO65542 SGZ65540:SHK65542 SQV65540:SRG65542 TAR65540:TBC65542 TKN65540:TKY65542 TUJ65540:TUU65542 UEF65540:UEQ65542 UOB65540:UOM65542 UXX65540:UYI65542 VHT65540:VIE65542 VRP65540:VSA65542 WBL65540:WBW65542 WLH65540:WLS65542 WVD65540:WVO65542 IR131076:JC131078 SN131076:SY131078 ACJ131076:ACU131078 AMF131076:AMQ131078 AWB131076:AWM131078 BFX131076:BGI131078 BPT131076:BQE131078 BZP131076:CAA131078 CJL131076:CJW131078 CTH131076:CTS131078 DDD131076:DDO131078 DMZ131076:DNK131078 DWV131076:DXG131078 EGR131076:EHC131078 EQN131076:EQY131078 FAJ131076:FAU131078 FKF131076:FKQ131078 FUB131076:FUM131078 GDX131076:GEI131078 GNT131076:GOE131078 GXP131076:GYA131078 HHL131076:HHW131078 HRH131076:HRS131078 IBD131076:IBO131078 IKZ131076:ILK131078 IUV131076:IVG131078 JER131076:JFC131078 JON131076:JOY131078 JYJ131076:JYU131078 KIF131076:KIQ131078 KSB131076:KSM131078 LBX131076:LCI131078 LLT131076:LME131078 LVP131076:LWA131078 MFL131076:MFW131078 MPH131076:MPS131078 MZD131076:MZO131078 NIZ131076:NJK131078 NSV131076:NTG131078 OCR131076:ODC131078 OMN131076:OMY131078 OWJ131076:OWU131078 PGF131076:PGQ131078 PQB131076:PQM131078 PZX131076:QAI131078 QJT131076:QKE131078 QTP131076:QUA131078 RDL131076:RDW131078 RNH131076:RNS131078 RXD131076:RXO131078 SGZ131076:SHK131078 SQV131076:SRG131078 TAR131076:TBC131078 TKN131076:TKY131078 TUJ131076:TUU131078 UEF131076:UEQ131078 UOB131076:UOM131078 UXX131076:UYI131078 VHT131076:VIE131078 VRP131076:VSA131078 WBL131076:WBW131078 WLH131076:WLS131078 WVD131076:WVO131078 IR196612:JC196614 SN196612:SY196614 ACJ196612:ACU196614 AMF196612:AMQ196614 AWB196612:AWM196614 BFX196612:BGI196614 BPT196612:BQE196614 BZP196612:CAA196614 CJL196612:CJW196614 CTH196612:CTS196614 DDD196612:DDO196614 DMZ196612:DNK196614 DWV196612:DXG196614 EGR196612:EHC196614 EQN196612:EQY196614 FAJ196612:FAU196614 FKF196612:FKQ196614 FUB196612:FUM196614 GDX196612:GEI196614 GNT196612:GOE196614 GXP196612:GYA196614 HHL196612:HHW196614 HRH196612:HRS196614 IBD196612:IBO196614 IKZ196612:ILK196614 IUV196612:IVG196614 JER196612:JFC196614 JON196612:JOY196614 JYJ196612:JYU196614 KIF196612:KIQ196614 KSB196612:KSM196614 LBX196612:LCI196614 LLT196612:LME196614 LVP196612:LWA196614 MFL196612:MFW196614 MPH196612:MPS196614 MZD196612:MZO196614 NIZ196612:NJK196614 NSV196612:NTG196614 OCR196612:ODC196614 OMN196612:OMY196614 OWJ196612:OWU196614 PGF196612:PGQ196614 PQB196612:PQM196614 PZX196612:QAI196614 QJT196612:QKE196614 QTP196612:QUA196614 RDL196612:RDW196614 RNH196612:RNS196614 RXD196612:RXO196614 SGZ196612:SHK196614 SQV196612:SRG196614 TAR196612:TBC196614 TKN196612:TKY196614 TUJ196612:TUU196614 UEF196612:UEQ196614 UOB196612:UOM196614 UXX196612:UYI196614 VHT196612:VIE196614 VRP196612:VSA196614 WBL196612:WBW196614 WLH196612:WLS196614 WVD196612:WVO196614 IR262148:JC262150 SN262148:SY262150 ACJ262148:ACU262150 AMF262148:AMQ262150 AWB262148:AWM262150 BFX262148:BGI262150 BPT262148:BQE262150 BZP262148:CAA262150 CJL262148:CJW262150 CTH262148:CTS262150 DDD262148:DDO262150 DMZ262148:DNK262150 DWV262148:DXG262150 EGR262148:EHC262150 EQN262148:EQY262150 FAJ262148:FAU262150 FKF262148:FKQ262150 FUB262148:FUM262150 GDX262148:GEI262150 GNT262148:GOE262150 GXP262148:GYA262150 HHL262148:HHW262150 HRH262148:HRS262150 IBD262148:IBO262150 IKZ262148:ILK262150 IUV262148:IVG262150 JER262148:JFC262150 JON262148:JOY262150 JYJ262148:JYU262150 KIF262148:KIQ262150 KSB262148:KSM262150 LBX262148:LCI262150 LLT262148:LME262150 LVP262148:LWA262150 MFL262148:MFW262150 MPH262148:MPS262150 MZD262148:MZO262150 NIZ262148:NJK262150 NSV262148:NTG262150 OCR262148:ODC262150 OMN262148:OMY262150 OWJ262148:OWU262150 PGF262148:PGQ262150 PQB262148:PQM262150 PZX262148:QAI262150 QJT262148:QKE262150 QTP262148:QUA262150 RDL262148:RDW262150 RNH262148:RNS262150 RXD262148:RXO262150 SGZ262148:SHK262150 SQV262148:SRG262150 TAR262148:TBC262150 TKN262148:TKY262150 TUJ262148:TUU262150 UEF262148:UEQ262150 UOB262148:UOM262150 UXX262148:UYI262150 VHT262148:VIE262150 VRP262148:VSA262150 WBL262148:WBW262150 WLH262148:WLS262150 WVD262148:WVO262150 IR327684:JC327686 SN327684:SY327686 ACJ327684:ACU327686 AMF327684:AMQ327686 AWB327684:AWM327686 BFX327684:BGI327686 BPT327684:BQE327686 BZP327684:CAA327686 CJL327684:CJW327686 CTH327684:CTS327686 DDD327684:DDO327686 DMZ327684:DNK327686 DWV327684:DXG327686 EGR327684:EHC327686 EQN327684:EQY327686 FAJ327684:FAU327686 FKF327684:FKQ327686 FUB327684:FUM327686 GDX327684:GEI327686 GNT327684:GOE327686 GXP327684:GYA327686 HHL327684:HHW327686 HRH327684:HRS327686 IBD327684:IBO327686 IKZ327684:ILK327686 IUV327684:IVG327686 JER327684:JFC327686 JON327684:JOY327686 JYJ327684:JYU327686 KIF327684:KIQ327686 KSB327684:KSM327686 LBX327684:LCI327686 LLT327684:LME327686 LVP327684:LWA327686 MFL327684:MFW327686 MPH327684:MPS327686 MZD327684:MZO327686 NIZ327684:NJK327686 NSV327684:NTG327686 OCR327684:ODC327686 OMN327684:OMY327686 OWJ327684:OWU327686 PGF327684:PGQ327686 PQB327684:PQM327686 PZX327684:QAI327686 QJT327684:QKE327686 QTP327684:QUA327686 RDL327684:RDW327686 RNH327684:RNS327686 RXD327684:RXO327686 SGZ327684:SHK327686 SQV327684:SRG327686 TAR327684:TBC327686 TKN327684:TKY327686 TUJ327684:TUU327686 UEF327684:UEQ327686 UOB327684:UOM327686 UXX327684:UYI327686 VHT327684:VIE327686 VRP327684:VSA327686 WBL327684:WBW327686 WLH327684:WLS327686 WVD327684:WVO327686 IR393220:JC393222 SN393220:SY393222 ACJ393220:ACU393222 AMF393220:AMQ393222 AWB393220:AWM393222 BFX393220:BGI393222 BPT393220:BQE393222 BZP393220:CAA393222 CJL393220:CJW393222 CTH393220:CTS393222 DDD393220:DDO393222 DMZ393220:DNK393222 DWV393220:DXG393222 EGR393220:EHC393222 EQN393220:EQY393222 FAJ393220:FAU393222 FKF393220:FKQ393222 FUB393220:FUM393222 GDX393220:GEI393222 GNT393220:GOE393222 GXP393220:GYA393222 HHL393220:HHW393222 HRH393220:HRS393222 IBD393220:IBO393222 IKZ393220:ILK393222 IUV393220:IVG393222 JER393220:JFC393222 JON393220:JOY393222 JYJ393220:JYU393222 KIF393220:KIQ393222 KSB393220:KSM393222 LBX393220:LCI393222 LLT393220:LME393222 LVP393220:LWA393222 MFL393220:MFW393222 MPH393220:MPS393222 MZD393220:MZO393222 NIZ393220:NJK393222 NSV393220:NTG393222 OCR393220:ODC393222 OMN393220:OMY393222 OWJ393220:OWU393222 PGF393220:PGQ393222 PQB393220:PQM393222 PZX393220:QAI393222 QJT393220:QKE393222 QTP393220:QUA393222 RDL393220:RDW393222 RNH393220:RNS393222 RXD393220:RXO393222 SGZ393220:SHK393222 SQV393220:SRG393222 TAR393220:TBC393222 TKN393220:TKY393222 TUJ393220:TUU393222 UEF393220:UEQ393222 UOB393220:UOM393222 UXX393220:UYI393222 VHT393220:VIE393222 VRP393220:VSA393222 WBL393220:WBW393222 WLH393220:WLS393222 WVD393220:WVO393222 IR458756:JC458758 SN458756:SY458758 ACJ458756:ACU458758 AMF458756:AMQ458758 AWB458756:AWM458758 BFX458756:BGI458758 BPT458756:BQE458758 BZP458756:CAA458758 CJL458756:CJW458758 CTH458756:CTS458758 DDD458756:DDO458758 DMZ458756:DNK458758 DWV458756:DXG458758 EGR458756:EHC458758 EQN458756:EQY458758 FAJ458756:FAU458758 FKF458756:FKQ458758 FUB458756:FUM458758 GDX458756:GEI458758 GNT458756:GOE458758 GXP458756:GYA458758 HHL458756:HHW458758 HRH458756:HRS458758 IBD458756:IBO458758 IKZ458756:ILK458758 IUV458756:IVG458758 JER458756:JFC458758 JON458756:JOY458758 JYJ458756:JYU458758 KIF458756:KIQ458758 KSB458756:KSM458758 LBX458756:LCI458758 LLT458756:LME458758 LVP458756:LWA458758 MFL458756:MFW458758 MPH458756:MPS458758 MZD458756:MZO458758 NIZ458756:NJK458758 NSV458756:NTG458758 OCR458756:ODC458758 OMN458756:OMY458758 OWJ458756:OWU458758 PGF458756:PGQ458758 PQB458756:PQM458758 PZX458756:QAI458758 QJT458756:QKE458758 QTP458756:QUA458758 RDL458756:RDW458758 RNH458756:RNS458758 RXD458756:RXO458758 SGZ458756:SHK458758 SQV458756:SRG458758 TAR458756:TBC458758 TKN458756:TKY458758 TUJ458756:TUU458758 UEF458756:UEQ458758 UOB458756:UOM458758 UXX458756:UYI458758 VHT458756:VIE458758 VRP458756:VSA458758 WBL458756:WBW458758 WLH458756:WLS458758 WVD458756:WVO458758 IR524292:JC524294 SN524292:SY524294 ACJ524292:ACU524294 AMF524292:AMQ524294 AWB524292:AWM524294 BFX524292:BGI524294 BPT524292:BQE524294 BZP524292:CAA524294 CJL524292:CJW524294 CTH524292:CTS524294 DDD524292:DDO524294 DMZ524292:DNK524294 DWV524292:DXG524294 EGR524292:EHC524294 EQN524292:EQY524294 FAJ524292:FAU524294 FKF524292:FKQ524294 FUB524292:FUM524294 GDX524292:GEI524294 GNT524292:GOE524294 GXP524292:GYA524294 HHL524292:HHW524294 HRH524292:HRS524294 IBD524292:IBO524294 IKZ524292:ILK524294 IUV524292:IVG524294 JER524292:JFC524294 JON524292:JOY524294 JYJ524292:JYU524294 KIF524292:KIQ524294 KSB524292:KSM524294 LBX524292:LCI524294 LLT524292:LME524294 LVP524292:LWA524294 MFL524292:MFW524294 MPH524292:MPS524294 MZD524292:MZO524294 NIZ524292:NJK524294 NSV524292:NTG524294 OCR524292:ODC524294 OMN524292:OMY524294 OWJ524292:OWU524294 PGF524292:PGQ524294 PQB524292:PQM524294 PZX524292:QAI524294 QJT524292:QKE524294 QTP524292:QUA524294 RDL524292:RDW524294 RNH524292:RNS524294 RXD524292:RXO524294 SGZ524292:SHK524294 SQV524292:SRG524294 TAR524292:TBC524294 TKN524292:TKY524294 TUJ524292:TUU524294 UEF524292:UEQ524294 UOB524292:UOM524294 UXX524292:UYI524294 VHT524292:VIE524294 VRP524292:VSA524294 WBL524292:WBW524294 WLH524292:WLS524294 WVD524292:WVO524294 IR589828:JC589830 SN589828:SY589830 ACJ589828:ACU589830 AMF589828:AMQ589830 AWB589828:AWM589830 BFX589828:BGI589830 BPT589828:BQE589830 BZP589828:CAA589830 CJL589828:CJW589830 CTH589828:CTS589830 DDD589828:DDO589830 DMZ589828:DNK589830 DWV589828:DXG589830 EGR589828:EHC589830 EQN589828:EQY589830 FAJ589828:FAU589830 FKF589828:FKQ589830 FUB589828:FUM589830 GDX589828:GEI589830 GNT589828:GOE589830 GXP589828:GYA589830 HHL589828:HHW589830 HRH589828:HRS589830 IBD589828:IBO589830 IKZ589828:ILK589830 IUV589828:IVG589830 JER589828:JFC589830 JON589828:JOY589830 JYJ589828:JYU589830 KIF589828:KIQ589830 KSB589828:KSM589830 LBX589828:LCI589830 LLT589828:LME589830 LVP589828:LWA589830 MFL589828:MFW589830 MPH589828:MPS589830 MZD589828:MZO589830 NIZ589828:NJK589830 NSV589828:NTG589830 OCR589828:ODC589830 OMN589828:OMY589830 OWJ589828:OWU589830 PGF589828:PGQ589830 PQB589828:PQM589830 PZX589828:QAI589830 QJT589828:QKE589830 QTP589828:QUA589830 RDL589828:RDW589830 RNH589828:RNS589830 RXD589828:RXO589830 SGZ589828:SHK589830 SQV589828:SRG589830 TAR589828:TBC589830 TKN589828:TKY589830 TUJ589828:TUU589830 UEF589828:UEQ589830 UOB589828:UOM589830 UXX589828:UYI589830 VHT589828:VIE589830 VRP589828:VSA589830 WBL589828:WBW589830 WLH589828:WLS589830 WVD589828:WVO589830 IR655364:JC655366 SN655364:SY655366 ACJ655364:ACU655366 AMF655364:AMQ655366 AWB655364:AWM655366 BFX655364:BGI655366 BPT655364:BQE655366 BZP655364:CAA655366 CJL655364:CJW655366 CTH655364:CTS655366 DDD655364:DDO655366 DMZ655364:DNK655366 DWV655364:DXG655366 EGR655364:EHC655366 EQN655364:EQY655366 FAJ655364:FAU655366 FKF655364:FKQ655366 FUB655364:FUM655366 GDX655364:GEI655366 GNT655364:GOE655366 GXP655364:GYA655366 HHL655364:HHW655366 HRH655364:HRS655366 IBD655364:IBO655366 IKZ655364:ILK655366 IUV655364:IVG655366 JER655364:JFC655366 JON655364:JOY655366 JYJ655364:JYU655366 KIF655364:KIQ655366 KSB655364:KSM655366 LBX655364:LCI655366 LLT655364:LME655366 LVP655364:LWA655366 MFL655364:MFW655366 MPH655364:MPS655366 MZD655364:MZO655366 NIZ655364:NJK655366 NSV655364:NTG655366 OCR655364:ODC655366 OMN655364:OMY655366 OWJ655364:OWU655366 PGF655364:PGQ655366 PQB655364:PQM655366 PZX655364:QAI655366 QJT655364:QKE655366 QTP655364:QUA655366 RDL655364:RDW655366 RNH655364:RNS655366 RXD655364:RXO655366 SGZ655364:SHK655366 SQV655364:SRG655366 TAR655364:TBC655366 TKN655364:TKY655366 TUJ655364:TUU655366 UEF655364:UEQ655366 UOB655364:UOM655366 UXX655364:UYI655366 VHT655364:VIE655366 VRP655364:VSA655366 WBL655364:WBW655366 WLH655364:WLS655366 WVD655364:WVO655366 IR720900:JC720902 SN720900:SY720902 ACJ720900:ACU720902 AMF720900:AMQ720902 AWB720900:AWM720902 BFX720900:BGI720902 BPT720900:BQE720902 BZP720900:CAA720902 CJL720900:CJW720902 CTH720900:CTS720902 DDD720900:DDO720902 DMZ720900:DNK720902 DWV720900:DXG720902 EGR720900:EHC720902 EQN720900:EQY720902 FAJ720900:FAU720902 FKF720900:FKQ720902 FUB720900:FUM720902 GDX720900:GEI720902 GNT720900:GOE720902 GXP720900:GYA720902 HHL720900:HHW720902 HRH720900:HRS720902 IBD720900:IBO720902 IKZ720900:ILK720902 IUV720900:IVG720902 JER720900:JFC720902 JON720900:JOY720902 JYJ720900:JYU720902 KIF720900:KIQ720902 KSB720900:KSM720902 LBX720900:LCI720902 LLT720900:LME720902 LVP720900:LWA720902 MFL720900:MFW720902 MPH720900:MPS720902 MZD720900:MZO720902 NIZ720900:NJK720902 NSV720900:NTG720902 OCR720900:ODC720902 OMN720900:OMY720902 OWJ720900:OWU720902 PGF720900:PGQ720902 PQB720900:PQM720902 PZX720900:QAI720902 QJT720900:QKE720902 QTP720900:QUA720902 RDL720900:RDW720902 RNH720900:RNS720902 RXD720900:RXO720902 SGZ720900:SHK720902 SQV720900:SRG720902 TAR720900:TBC720902 TKN720900:TKY720902 TUJ720900:TUU720902 UEF720900:UEQ720902 UOB720900:UOM720902 UXX720900:UYI720902 VHT720900:VIE720902 VRP720900:VSA720902 WBL720900:WBW720902 WLH720900:WLS720902 WVD720900:WVO720902 IR786436:JC786438 SN786436:SY786438 ACJ786436:ACU786438 AMF786436:AMQ786438 AWB786436:AWM786438 BFX786436:BGI786438 BPT786436:BQE786438 BZP786436:CAA786438 CJL786436:CJW786438 CTH786436:CTS786438 DDD786436:DDO786438 DMZ786436:DNK786438 DWV786436:DXG786438 EGR786436:EHC786438 EQN786436:EQY786438 FAJ786436:FAU786438 FKF786436:FKQ786438 FUB786436:FUM786438 GDX786436:GEI786438 GNT786436:GOE786438 GXP786436:GYA786438 HHL786436:HHW786438 HRH786436:HRS786438 IBD786436:IBO786438 IKZ786436:ILK786438 IUV786436:IVG786438 JER786436:JFC786438 JON786436:JOY786438 JYJ786436:JYU786438 KIF786436:KIQ786438 KSB786436:KSM786438 LBX786436:LCI786438 LLT786436:LME786438 LVP786436:LWA786438 MFL786436:MFW786438 MPH786436:MPS786438 MZD786436:MZO786438 NIZ786436:NJK786438 NSV786436:NTG786438 OCR786436:ODC786438 OMN786436:OMY786438 OWJ786436:OWU786438 PGF786436:PGQ786438 PQB786436:PQM786438 PZX786436:QAI786438 QJT786436:QKE786438 QTP786436:QUA786438 RDL786436:RDW786438 RNH786436:RNS786438 RXD786436:RXO786438 SGZ786436:SHK786438 SQV786436:SRG786438 TAR786436:TBC786438 TKN786436:TKY786438 TUJ786436:TUU786438 UEF786436:UEQ786438 UOB786436:UOM786438 UXX786436:UYI786438 VHT786436:VIE786438 VRP786436:VSA786438 WBL786436:WBW786438 WLH786436:WLS786438 WVD786436:WVO786438 IR851972:JC851974 SN851972:SY851974 ACJ851972:ACU851974 AMF851972:AMQ851974 AWB851972:AWM851974 BFX851972:BGI851974 BPT851972:BQE851974 BZP851972:CAA851974 CJL851972:CJW851974 CTH851972:CTS851974 DDD851972:DDO851974 DMZ851972:DNK851974 DWV851972:DXG851974 EGR851972:EHC851974 EQN851972:EQY851974 FAJ851972:FAU851974 FKF851972:FKQ851974 FUB851972:FUM851974 GDX851972:GEI851974 GNT851972:GOE851974 GXP851972:GYA851974 HHL851972:HHW851974 HRH851972:HRS851974 IBD851972:IBO851974 IKZ851972:ILK851974 IUV851972:IVG851974 JER851972:JFC851974 JON851972:JOY851974 JYJ851972:JYU851974 KIF851972:KIQ851974 KSB851972:KSM851974 LBX851972:LCI851974 LLT851972:LME851974 LVP851972:LWA851974 MFL851972:MFW851974 MPH851972:MPS851974 MZD851972:MZO851974 NIZ851972:NJK851974 NSV851972:NTG851974 OCR851972:ODC851974 OMN851972:OMY851974 OWJ851972:OWU851974 PGF851972:PGQ851974 PQB851972:PQM851974 PZX851972:QAI851974 QJT851972:QKE851974 QTP851972:QUA851974 RDL851972:RDW851974 RNH851972:RNS851974 RXD851972:RXO851974 SGZ851972:SHK851974 SQV851972:SRG851974 TAR851972:TBC851974 TKN851972:TKY851974 TUJ851972:TUU851974 UEF851972:UEQ851974 UOB851972:UOM851974 UXX851972:UYI851974 VHT851972:VIE851974 VRP851972:VSA851974 WBL851972:WBW851974 WLH851972:WLS851974 WVD851972:WVO851974 IR917508:JC917510 SN917508:SY917510 ACJ917508:ACU917510 AMF917508:AMQ917510 AWB917508:AWM917510 BFX917508:BGI917510 BPT917508:BQE917510 BZP917508:CAA917510 CJL917508:CJW917510 CTH917508:CTS917510 DDD917508:DDO917510 DMZ917508:DNK917510 DWV917508:DXG917510 EGR917508:EHC917510 EQN917508:EQY917510 FAJ917508:FAU917510 FKF917508:FKQ917510 FUB917508:FUM917510 GDX917508:GEI917510 GNT917508:GOE917510 GXP917508:GYA917510 HHL917508:HHW917510 HRH917508:HRS917510 IBD917508:IBO917510 IKZ917508:ILK917510 IUV917508:IVG917510 JER917508:JFC917510 JON917508:JOY917510 JYJ917508:JYU917510 KIF917508:KIQ917510 KSB917508:KSM917510 LBX917508:LCI917510 LLT917508:LME917510 LVP917508:LWA917510 MFL917508:MFW917510 MPH917508:MPS917510 MZD917508:MZO917510 NIZ917508:NJK917510 NSV917508:NTG917510 OCR917508:ODC917510 OMN917508:OMY917510 OWJ917508:OWU917510 PGF917508:PGQ917510 PQB917508:PQM917510 PZX917508:QAI917510 QJT917508:QKE917510 QTP917508:QUA917510 RDL917508:RDW917510 RNH917508:RNS917510 RXD917508:RXO917510 SGZ917508:SHK917510 SQV917508:SRG917510 TAR917508:TBC917510 TKN917508:TKY917510 TUJ917508:TUU917510 UEF917508:UEQ917510 UOB917508:UOM917510 UXX917508:UYI917510 VHT917508:VIE917510 VRP917508:VSA917510 WBL917508:WBW917510 WLH917508:WLS917510 WVD917508:WVO917510 IR983044:JC983046 SN983044:SY983046 ACJ983044:ACU983046 AMF983044:AMQ983046 AWB983044:AWM983046 BFX983044:BGI983046 BPT983044:BQE983046 BZP983044:CAA983046 CJL983044:CJW983046 CTH983044:CTS983046 DDD983044:DDO983046 DMZ983044:DNK983046 DWV983044:DXG983046 EGR983044:EHC983046 EQN983044:EQY983046 FAJ983044:FAU983046 FKF983044:FKQ983046 FUB983044:FUM983046 GDX983044:GEI983046 GNT983044:GOE983046 GXP983044:GYA983046 HHL983044:HHW983046 HRH983044:HRS983046 IBD983044:IBO983046 IKZ983044:ILK983046 IUV983044:IVG983046 JER983044:JFC983046 JON983044:JOY983046 JYJ983044:JYU983046 KIF983044:KIQ983046 KSB983044:KSM983046 LBX983044:LCI983046 LLT983044:LME983046 LVP983044:LWA983046 MFL983044:MFW983046 MPH983044:MPS983046 MZD983044:MZO983046 NIZ983044:NJK983046 NSV983044:NTG983046 OCR983044:ODC983046 OMN983044:OMY983046 OWJ983044:OWU983046 PGF983044:PGQ983046 PQB983044:PQM983046 PZX983044:QAI983046 QJT983044:QKE983046 QTP983044:QUA983046 RDL983044:RDW983046 RNH983044:RNS983046 RXD983044:RXO983046 SGZ983044:SHK983046 SQV983044:SRG983046 TAR983044:TBC983046 TKN983044:TKY983046 TUJ983044:TUU983046 UEF983044:UEQ983046 UOB983044:UOM983046 UXX983044:UYI983046 VHT983044:VIE983046 VRP983044:VSA983046 WBL983044:WBW983046 WLH983044:WLS983046 WVD983044:WVO983046 Z262148:AJ262150 Z196612:AJ196614 Z131076:AJ131078 Z65540:AJ65542 Z983044:AJ983046 Z917508:AJ917510 Z851972:AJ851974 Z786436:AJ786438 Z720900:AJ720902 Z655364:AJ655366 Z589828:AJ589830 Z524292:AJ524294 Z458756:AJ458758 Z393220:AJ393222 Z327684:AJ327686 IS2:JD4 SO2:SZ4 ACK2:ACV4 AMG2:AMR4 AWC2:AWN4 BFY2:BGJ4 BPU2:BQF4 BZQ2:CAB4 CJM2:CJX4 CTI2:CTT4 DDE2:DDP4 DNA2:DNL4 DWW2:DXH4 EGS2:EHD4 EQO2:EQZ4 FAK2:FAV4 FKG2:FKR4 FUC2:FUN4 GDY2:GEJ4 GNU2:GOF4 GXQ2:GYB4 HHM2:HHX4 HRI2:HRT4 IBE2:IBP4 ILA2:ILL4 IUW2:IVH4 JES2:JFD4 JOO2:JOZ4 JYK2:JYV4 KIG2:KIR4 KSC2:KSN4 LBY2:LCJ4 LLU2:LMF4 LVQ2:LWB4 MFM2:MFX4 MPI2:MPT4 MZE2:MZP4 NJA2:NJL4 NSW2:NTH4 OCS2:ODD4 OMO2:OMZ4 OWK2:OWV4 PGG2:PGR4 PQC2:PQN4 PZY2:QAJ4 QJU2:QKF4 QTQ2:QUB4 RDM2:RDX4 RNI2:RNT4 RXE2:RXP4 SHA2:SHL4 SQW2:SRH4 TAS2:TBD4 TKO2:TKZ4 TUK2:TUV4 UEG2:UER4 UOC2:UON4 UXY2:UYJ4 VHU2:VIF4 VRQ2:VSB4 WBM2:WBX4 WLI2:WLT4 WVE2:WVP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rgb="FFFFC000"/>
  </sheetPr>
  <dimension ref="A1:BE48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>
      <c r="A1" s="396" t="s">
        <v>78</v>
      </c>
      <c r="B1" s="397"/>
      <c r="C1" s="397"/>
      <c r="D1" s="397"/>
      <c r="E1" s="397"/>
      <c r="F1" s="397"/>
      <c r="G1" s="397"/>
      <c r="H1" s="398"/>
      <c r="I1" s="336" t="s">
        <v>79</v>
      </c>
      <c r="J1" s="337"/>
      <c r="K1" s="337"/>
      <c r="L1" s="337"/>
      <c r="M1" s="337"/>
      <c r="N1" s="337"/>
      <c r="O1" s="337"/>
      <c r="P1" s="337"/>
      <c r="Q1" s="338"/>
      <c r="R1" s="336" t="s">
        <v>80</v>
      </c>
      <c r="S1" s="337"/>
      <c r="T1" s="337"/>
      <c r="U1" s="337"/>
      <c r="V1" s="337"/>
      <c r="W1" s="337"/>
      <c r="X1" s="338"/>
      <c r="Y1" s="336" t="s">
        <v>135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8"/>
      <c r="AP1" s="407" t="s">
        <v>82</v>
      </c>
      <c r="AQ1" s="408"/>
      <c r="AR1" s="408"/>
      <c r="AS1" s="408"/>
      <c r="AT1" s="409"/>
      <c r="AU1" s="407" t="s">
        <v>83</v>
      </c>
      <c r="AV1" s="408"/>
      <c r="AW1" s="408"/>
      <c r="AX1" s="408"/>
      <c r="AY1" s="409"/>
      <c r="AZ1" s="407" t="s">
        <v>84</v>
      </c>
      <c r="BA1" s="408"/>
      <c r="BB1" s="408"/>
      <c r="BC1" s="408"/>
      <c r="BD1" s="409"/>
    </row>
    <row r="2" spans="1:57" s="17" customFormat="1" ht="14.4" customHeight="1">
      <c r="A2" s="399"/>
      <c r="B2" s="400"/>
      <c r="C2" s="400"/>
      <c r="D2" s="400"/>
      <c r="E2" s="400"/>
      <c r="F2" s="400"/>
      <c r="G2" s="400"/>
      <c r="H2" s="401"/>
      <c r="I2" s="366" t="s">
        <v>85</v>
      </c>
      <c r="J2" s="367"/>
      <c r="K2" s="367"/>
      <c r="L2" s="367"/>
      <c r="M2" s="367"/>
      <c r="N2" s="367"/>
      <c r="O2" s="367"/>
      <c r="P2" s="367"/>
      <c r="Q2" s="368"/>
      <c r="R2" s="366" t="str">
        <f ca="1">VLOOKUP(RIGHT(CELL("filename",A2),LEN(CELL("filename",A2))-FIND("]",CELL("filename",A2))),テーブル一覧!B:AD,22,FALSE)</f>
        <v>B.生産計画</v>
      </c>
      <c r="S2" s="367"/>
      <c r="T2" s="367"/>
      <c r="U2" s="367"/>
      <c r="V2" s="367"/>
      <c r="W2" s="367"/>
      <c r="X2" s="368"/>
      <c r="Y2" s="366" t="str">
        <f ca="1">VLOOKUP(RIGHT(CELL("filename",A2),LEN(CELL("filename",A2))-FIND("]",CELL("filename",A2))),テーブル一覧!B:AD,1,FALSE)</f>
        <v>生産指示明細情報（薬品）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8"/>
      <c r="AP2" s="339"/>
      <c r="AQ2" s="340"/>
      <c r="AR2" s="340"/>
      <c r="AS2" s="340"/>
      <c r="AT2" s="341"/>
      <c r="AU2" s="58" t="s">
        <v>88</v>
      </c>
      <c r="AV2" s="59"/>
      <c r="AW2" s="59"/>
      <c r="AX2" s="59"/>
      <c r="AY2" s="60"/>
      <c r="AZ2" s="413" t="s">
        <v>89</v>
      </c>
      <c r="BA2" s="414"/>
      <c r="BB2" s="414"/>
      <c r="BC2" s="414"/>
      <c r="BD2" s="415"/>
    </row>
    <row r="3" spans="1:57" s="17" customFormat="1" ht="14.4" customHeight="1">
      <c r="A3" s="399"/>
      <c r="B3" s="400"/>
      <c r="C3" s="400"/>
      <c r="D3" s="400"/>
      <c r="E3" s="400"/>
      <c r="F3" s="400"/>
      <c r="G3" s="400"/>
      <c r="H3" s="401"/>
      <c r="I3" s="369"/>
      <c r="J3" s="370"/>
      <c r="K3" s="370"/>
      <c r="L3" s="370"/>
      <c r="M3" s="370"/>
      <c r="N3" s="370"/>
      <c r="O3" s="370"/>
      <c r="P3" s="370"/>
      <c r="Q3" s="371"/>
      <c r="R3" s="369"/>
      <c r="S3" s="370"/>
      <c r="T3" s="370"/>
      <c r="U3" s="370"/>
      <c r="V3" s="370"/>
      <c r="W3" s="370"/>
      <c r="X3" s="371"/>
      <c r="Y3" s="372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4"/>
      <c r="AP3" s="342"/>
      <c r="AQ3" s="343"/>
      <c r="AR3" s="343"/>
      <c r="AS3" s="343"/>
      <c r="AT3" s="344"/>
      <c r="AU3" s="410"/>
      <c r="AV3" s="411"/>
      <c r="AW3" s="411"/>
      <c r="AX3" s="411"/>
      <c r="AY3" s="412"/>
      <c r="AZ3" s="413"/>
      <c r="BA3" s="414"/>
      <c r="BB3" s="414"/>
      <c r="BC3" s="414"/>
      <c r="BD3" s="415"/>
    </row>
    <row r="4" spans="1:57" s="17" customFormat="1" ht="14.4" customHeight="1">
      <c r="A4" s="402"/>
      <c r="B4" s="403"/>
      <c r="C4" s="403"/>
      <c r="D4" s="403"/>
      <c r="E4" s="403"/>
      <c r="F4" s="403"/>
      <c r="G4" s="403"/>
      <c r="H4" s="404"/>
      <c r="I4" s="372"/>
      <c r="J4" s="373"/>
      <c r="K4" s="373"/>
      <c r="L4" s="373"/>
      <c r="M4" s="373"/>
      <c r="N4" s="373"/>
      <c r="O4" s="373"/>
      <c r="P4" s="373"/>
      <c r="Q4" s="374"/>
      <c r="R4" s="372"/>
      <c r="S4" s="373"/>
      <c r="T4" s="373"/>
      <c r="U4" s="373"/>
      <c r="V4" s="373"/>
      <c r="W4" s="373"/>
      <c r="X4" s="374"/>
      <c r="Y4" s="41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t_seisan_shiji_yakuhin_m</v>
      </c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8"/>
      <c r="AP4" s="342"/>
      <c r="AQ4" s="343"/>
      <c r="AR4" s="343"/>
      <c r="AS4" s="343"/>
      <c r="AT4" s="344"/>
      <c r="AU4" s="410"/>
      <c r="AV4" s="411"/>
      <c r="AW4" s="411"/>
      <c r="AX4" s="411"/>
      <c r="AY4" s="412"/>
      <c r="AZ4" s="413"/>
      <c r="BA4" s="414"/>
      <c r="BB4" s="414"/>
      <c r="BC4" s="414"/>
      <c r="BD4" s="415"/>
    </row>
    <row r="5" spans="1:57" ht="14.4" customHeight="1">
      <c r="A5" s="110"/>
    </row>
    <row r="6" spans="1:57" ht="14.4" customHeight="1">
      <c r="A6" s="405" t="s">
        <v>90</v>
      </c>
      <c r="B6" s="386" t="s">
        <v>136</v>
      </c>
      <c r="C6" s="394"/>
      <c r="D6" s="394"/>
      <c r="E6" s="394"/>
      <c r="F6" s="394"/>
      <c r="G6" s="394"/>
      <c r="H6" s="387"/>
      <c r="I6" s="386" t="s">
        <v>137</v>
      </c>
      <c r="J6" s="394"/>
      <c r="K6" s="394"/>
      <c r="L6" s="394"/>
      <c r="M6" s="394"/>
      <c r="N6" s="394"/>
      <c r="O6" s="394"/>
      <c r="P6" s="394"/>
      <c r="Q6" s="387"/>
      <c r="R6" s="386" t="s">
        <v>138</v>
      </c>
      <c r="S6" s="394"/>
      <c r="T6" s="394"/>
      <c r="U6" s="394"/>
      <c r="V6" s="394"/>
      <c r="W6" s="394"/>
      <c r="X6" s="387"/>
      <c r="Y6" s="386" t="s">
        <v>139</v>
      </c>
      <c r="Z6" s="387"/>
      <c r="AA6" s="386" t="s">
        <v>140</v>
      </c>
      <c r="AB6" s="394"/>
      <c r="AC6" s="387"/>
      <c r="AD6" s="390" t="s">
        <v>141</v>
      </c>
      <c r="AE6" s="392" t="s">
        <v>142</v>
      </c>
      <c r="AF6" s="390" t="s">
        <v>143</v>
      </c>
      <c r="AG6" s="390" t="s">
        <v>144</v>
      </c>
      <c r="AH6" s="390" t="s">
        <v>145</v>
      </c>
      <c r="AI6" s="383" t="s">
        <v>146</v>
      </c>
      <c r="AJ6" s="384"/>
      <c r="AK6" s="384"/>
      <c r="AL6" s="384"/>
      <c r="AM6" s="384"/>
      <c r="AN6" s="384"/>
      <c r="AO6" s="384"/>
      <c r="AP6" s="384"/>
      <c r="AQ6" s="384"/>
      <c r="AR6" s="385"/>
      <c r="AS6" s="386" t="s">
        <v>147</v>
      </c>
      <c r="AT6" s="394"/>
      <c r="AU6" s="394"/>
      <c r="AV6" s="394"/>
      <c r="AW6" s="394"/>
      <c r="AX6" s="394"/>
      <c r="AY6" s="394"/>
      <c r="AZ6" s="394"/>
      <c r="BA6" s="394"/>
      <c r="BB6" s="394"/>
      <c r="BC6" s="394"/>
      <c r="BD6" s="387"/>
    </row>
    <row r="7" spans="1:57" ht="14.4" customHeight="1">
      <c r="A7" s="406"/>
      <c r="B7" s="388"/>
      <c r="C7" s="395"/>
      <c r="D7" s="395"/>
      <c r="E7" s="395"/>
      <c r="F7" s="395"/>
      <c r="G7" s="395"/>
      <c r="H7" s="389"/>
      <c r="I7" s="388"/>
      <c r="J7" s="395"/>
      <c r="K7" s="395"/>
      <c r="L7" s="395"/>
      <c r="M7" s="395"/>
      <c r="N7" s="395"/>
      <c r="O7" s="395"/>
      <c r="P7" s="395"/>
      <c r="Q7" s="389"/>
      <c r="R7" s="388"/>
      <c r="S7" s="395"/>
      <c r="T7" s="395"/>
      <c r="U7" s="395"/>
      <c r="V7" s="395"/>
      <c r="W7" s="395"/>
      <c r="X7" s="389"/>
      <c r="Y7" s="388"/>
      <c r="Z7" s="389"/>
      <c r="AA7" s="388"/>
      <c r="AB7" s="395"/>
      <c r="AC7" s="389"/>
      <c r="AD7" s="391"/>
      <c r="AE7" s="393"/>
      <c r="AF7" s="391"/>
      <c r="AG7" s="391"/>
      <c r="AH7" s="39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88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89"/>
    </row>
    <row r="8" spans="1:57" ht="14.4" customHeight="1">
      <c r="A8" s="50">
        <f>IF(B8="","",COUNTA($B$8:B8))</f>
        <v>1</v>
      </c>
      <c r="B8" s="178" t="s">
        <v>148</v>
      </c>
      <c r="C8" s="179"/>
      <c r="D8" s="179"/>
      <c r="E8" s="179"/>
      <c r="F8" s="179"/>
      <c r="G8" s="179"/>
      <c r="H8" s="226"/>
      <c r="I8" s="181" t="s">
        <v>149</v>
      </c>
      <c r="J8" s="182"/>
      <c r="K8" s="182"/>
      <c r="L8" s="182"/>
      <c r="M8" s="182"/>
      <c r="N8" s="182"/>
      <c r="O8" s="182"/>
      <c r="P8" s="182"/>
      <c r="Q8" s="183"/>
      <c r="R8" s="178" t="s">
        <v>148</v>
      </c>
      <c r="S8" s="182"/>
      <c r="T8" s="182"/>
      <c r="U8" s="182"/>
      <c r="V8" s="182"/>
      <c r="W8" s="182"/>
      <c r="X8" s="180"/>
      <c r="Y8" s="445" t="s">
        <v>150</v>
      </c>
      <c r="Z8" s="446"/>
      <c r="AA8" s="457" t="s">
        <v>151</v>
      </c>
      <c r="AB8" s="458"/>
      <c r="AC8" s="459"/>
      <c r="AD8" s="184">
        <v>15</v>
      </c>
      <c r="AE8" s="217"/>
      <c r="AF8" s="217">
        <v>1</v>
      </c>
      <c r="AG8" s="218" t="s">
        <v>152</v>
      </c>
      <c r="AH8" s="218"/>
      <c r="AI8" s="218"/>
      <c r="AJ8" s="218"/>
      <c r="AK8" s="218"/>
      <c r="AL8" s="218"/>
      <c r="AM8" s="218"/>
      <c r="AN8" s="218"/>
      <c r="AO8" s="217"/>
      <c r="AP8" s="217"/>
      <c r="AQ8" s="217"/>
      <c r="AR8" s="217"/>
      <c r="AS8" s="238"/>
      <c r="AT8" s="239"/>
      <c r="AU8" s="239"/>
      <c r="AV8" s="239"/>
      <c r="AW8" s="239"/>
      <c r="AX8" s="239"/>
      <c r="AY8" s="239"/>
      <c r="AZ8" s="239"/>
      <c r="BA8" s="239"/>
      <c r="BB8" s="239"/>
      <c r="BC8" s="239"/>
      <c r="BD8" s="240"/>
    </row>
    <row r="9" spans="1:57" ht="14.4" customHeight="1">
      <c r="A9" s="79">
        <f>IF(B9="","",COUNTA($B$8:B9))</f>
        <v>2</v>
      </c>
      <c r="B9" s="241" t="s">
        <v>381</v>
      </c>
      <c r="C9" s="242"/>
      <c r="D9" s="242"/>
      <c r="E9" s="242"/>
      <c r="F9" s="242"/>
      <c r="G9" s="242"/>
      <c r="H9" s="226"/>
      <c r="I9" s="222" t="s">
        <v>382</v>
      </c>
      <c r="J9" s="223"/>
      <c r="K9" s="223"/>
      <c r="L9" s="223"/>
      <c r="M9" s="223"/>
      <c r="N9" s="223"/>
      <c r="O9" s="223"/>
      <c r="P9" s="223"/>
      <c r="Q9" s="224"/>
      <c r="R9" s="241" t="s">
        <v>381</v>
      </c>
      <c r="S9" s="223"/>
      <c r="T9" s="223"/>
      <c r="U9" s="223"/>
      <c r="V9" s="223"/>
      <c r="W9" s="223"/>
      <c r="X9" s="226"/>
      <c r="Y9" s="460" t="s">
        <v>150</v>
      </c>
      <c r="Z9" s="461"/>
      <c r="AA9" s="462" t="s">
        <v>151</v>
      </c>
      <c r="AB9" s="463"/>
      <c r="AC9" s="464"/>
      <c r="AD9" s="243">
        <v>30</v>
      </c>
      <c r="AE9" s="244"/>
      <c r="AF9" s="244">
        <v>2</v>
      </c>
      <c r="AG9" s="245" t="s">
        <v>152</v>
      </c>
      <c r="AH9" s="245"/>
      <c r="AI9" s="245"/>
      <c r="AJ9" s="245"/>
      <c r="AK9" s="245"/>
      <c r="AL9" s="245"/>
      <c r="AM9" s="245"/>
      <c r="AN9" s="245"/>
      <c r="AO9" s="244"/>
      <c r="AP9" s="244"/>
      <c r="AQ9" s="244"/>
      <c r="AR9" s="244"/>
      <c r="AS9" s="222" t="s">
        <v>383</v>
      </c>
      <c r="AT9" s="246"/>
      <c r="AU9" s="246"/>
      <c r="AV9" s="246"/>
      <c r="AW9" s="246"/>
      <c r="AX9" s="246"/>
      <c r="AY9" s="246"/>
      <c r="AZ9" s="246"/>
      <c r="BA9" s="246"/>
      <c r="BB9" s="246"/>
      <c r="BC9" s="246"/>
      <c r="BD9" s="247"/>
    </row>
    <row r="10" spans="1:57" ht="14.4" customHeight="1">
      <c r="A10" s="150" t="str">
        <f>IF(B10="","",COUNTA($B$8:B10))</f>
        <v/>
      </c>
      <c r="B10" s="248"/>
      <c r="C10" s="249"/>
      <c r="D10" s="249"/>
      <c r="E10" s="249"/>
      <c r="F10" s="249"/>
      <c r="G10" s="249"/>
      <c r="H10" s="250"/>
      <c r="I10" s="251"/>
      <c r="J10" s="252"/>
      <c r="K10" s="252"/>
      <c r="L10" s="252"/>
      <c r="M10" s="252"/>
      <c r="N10" s="252"/>
      <c r="O10" s="252"/>
      <c r="P10" s="252"/>
      <c r="Q10" s="253"/>
      <c r="R10" s="248"/>
      <c r="S10" s="252"/>
      <c r="T10" s="252"/>
      <c r="U10" s="252"/>
      <c r="V10" s="252"/>
      <c r="W10" s="252"/>
      <c r="X10" s="250"/>
      <c r="Y10" s="248"/>
      <c r="Z10" s="254"/>
      <c r="AA10" s="465"/>
      <c r="AB10" s="466"/>
      <c r="AC10" s="467"/>
      <c r="AD10" s="255"/>
      <c r="AE10" s="256" t="s">
        <v>244</v>
      </c>
      <c r="AF10" s="256"/>
      <c r="AG10" s="256"/>
      <c r="AH10" s="257"/>
      <c r="AI10" s="257"/>
      <c r="AJ10" s="257"/>
      <c r="AK10" s="257"/>
      <c r="AL10" s="257"/>
      <c r="AM10" s="257"/>
      <c r="AN10" s="257"/>
      <c r="AO10" s="256"/>
      <c r="AP10" s="256"/>
      <c r="AQ10" s="256"/>
      <c r="AR10" s="256"/>
      <c r="AS10" s="251" t="s">
        <v>1379</v>
      </c>
      <c r="AT10" s="258"/>
      <c r="AU10" s="258"/>
      <c r="AV10" s="258"/>
      <c r="AW10" s="258"/>
      <c r="AX10" s="258"/>
      <c r="AY10" s="258"/>
      <c r="AZ10" s="258"/>
      <c r="BA10" s="258"/>
      <c r="BB10" s="258"/>
      <c r="BC10" s="258"/>
      <c r="BD10" s="259"/>
    </row>
    <row r="11" spans="1:57" ht="14.4" customHeight="1">
      <c r="A11" s="152">
        <f>IF(B11="","",COUNTA($B$8:B11))</f>
        <v>3</v>
      </c>
      <c r="B11" s="225" t="s">
        <v>338</v>
      </c>
      <c r="C11" s="260"/>
      <c r="D11" s="260"/>
      <c r="E11" s="260"/>
      <c r="F11" s="260"/>
      <c r="G11" s="260"/>
      <c r="H11" s="261"/>
      <c r="I11" s="222" t="s">
        <v>339</v>
      </c>
      <c r="J11" s="223"/>
      <c r="K11" s="223"/>
      <c r="L11" s="223"/>
      <c r="M11" s="223"/>
      <c r="N11" s="223"/>
      <c r="O11" s="223"/>
      <c r="P11" s="223"/>
      <c r="Q11" s="224"/>
      <c r="R11" s="225" t="s">
        <v>338</v>
      </c>
      <c r="S11" s="223"/>
      <c r="T11" s="223"/>
      <c r="U11" s="223"/>
      <c r="V11" s="223"/>
      <c r="W11" s="223"/>
      <c r="X11" s="226"/>
      <c r="Y11" s="460" t="s">
        <v>155</v>
      </c>
      <c r="Z11" s="461"/>
      <c r="AA11" s="462" t="s">
        <v>156</v>
      </c>
      <c r="AB11" s="463"/>
      <c r="AC11" s="464"/>
      <c r="AD11" s="243">
        <v>3</v>
      </c>
      <c r="AE11" s="244"/>
      <c r="AF11" s="244">
        <v>3</v>
      </c>
      <c r="AG11" s="245" t="s">
        <v>152</v>
      </c>
      <c r="AH11" s="245"/>
      <c r="AI11" s="245"/>
      <c r="AJ11" s="245"/>
      <c r="AK11" s="245"/>
      <c r="AL11" s="245"/>
      <c r="AM11" s="245"/>
      <c r="AN11" s="245"/>
      <c r="AO11" s="244"/>
      <c r="AP11" s="244"/>
      <c r="AQ11" s="244"/>
      <c r="AR11" s="244"/>
      <c r="AS11" s="222" t="s">
        <v>385</v>
      </c>
      <c r="AT11" s="246"/>
      <c r="AU11" s="246"/>
      <c r="AV11" s="246"/>
      <c r="AW11" s="246"/>
      <c r="AX11" s="246"/>
      <c r="AY11" s="246"/>
      <c r="AZ11" s="246"/>
      <c r="BA11" s="246"/>
      <c r="BB11" s="246"/>
      <c r="BC11" s="246"/>
      <c r="BD11" s="247"/>
    </row>
    <row r="12" spans="1:57" ht="14.4" customHeight="1">
      <c r="A12" s="131">
        <f>IF(B12="","",COUNTA($B$8:B12))</f>
        <v>4</v>
      </c>
      <c r="B12" s="186" t="s">
        <v>197</v>
      </c>
      <c r="C12" s="187"/>
      <c r="D12" s="187"/>
      <c r="E12" s="187"/>
      <c r="F12" s="187"/>
      <c r="G12" s="187"/>
      <c r="H12" s="188"/>
      <c r="I12" s="204" t="s">
        <v>198</v>
      </c>
      <c r="J12" s="190"/>
      <c r="K12" s="190"/>
      <c r="L12" s="190"/>
      <c r="M12" s="190"/>
      <c r="N12" s="190"/>
      <c r="O12" s="190"/>
      <c r="P12" s="190"/>
      <c r="Q12" s="191"/>
      <c r="R12" s="186" t="s">
        <v>197</v>
      </c>
      <c r="S12" s="190"/>
      <c r="T12" s="190"/>
      <c r="U12" s="190"/>
      <c r="V12" s="190"/>
      <c r="W12" s="190"/>
      <c r="X12" s="188"/>
      <c r="Y12" s="378" t="s">
        <v>150</v>
      </c>
      <c r="Z12" s="379"/>
      <c r="AA12" s="380" t="s">
        <v>151</v>
      </c>
      <c r="AB12" s="381"/>
      <c r="AC12" s="382"/>
      <c r="AD12" s="205">
        <v>5</v>
      </c>
      <c r="AE12" s="193"/>
      <c r="AF12" s="193"/>
      <c r="AG12" s="193"/>
      <c r="AH12" s="194"/>
      <c r="AI12" s="194"/>
      <c r="AJ12" s="194"/>
      <c r="AK12" s="194"/>
      <c r="AL12" s="194"/>
      <c r="AM12" s="194"/>
      <c r="AN12" s="194"/>
      <c r="AO12" s="193"/>
      <c r="AP12" s="193"/>
      <c r="AQ12" s="193"/>
      <c r="AR12" s="193"/>
      <c r="AS12" s="189"/>
      <c r="AT12" s="176"/>
      <c r="AU12" s="176"/>
      <c r="AV12" s="176"/>
      <c r="AW12" s="176"/>
      <c r="AX12" s="176"/>
      <c r="AY12" s="176"/>
      <c r="AZ12" s="176"/>
      <c r="BA12" s="176"/>
      <c r="BB12" s="176"/>
      <c r="BC12" s="176"/>
      <c r="BD12" s="177"/>
    </row>
    <row r="13" spans="1:57" ht="14.4" customHeight="1">
      <c r="A13" s="50">
        <f>IF(B13="","",COUNTA($B$8:B13))</f>
        <v>5</v>
      </c>
      <c r="B13" s="197" t="s">
        <v>199</v>
      </c>
      <c r="C13" s="198"/>
      <c r="D13" s="198"/>
      <c r="E13" s="198"/>
      <c r="F13" s="198"/>
      <c r="G13" s="198"/>
      <c r="H13" s="199"/>
      <c r="I13" s="181" t="s">
        <v>200</v>
      </c>
      <c r="J13" s="182"/>
      <c r="K13" s="182"/>
      <c r="L13" s="182"/>
      <c r="M13" s="182"/>
      <c r="N13" s="182"/>
      <c r="O13" s="182"/>
      <c r="P13" s="182"/>
      <c r="Q13" s="183"/>
      <c r="R13" s="197" t="s">
        <v>199</v>
      </c>
      <c r="S13" s="182"/>
      <c r="T13" s="182"/>
      <c r="U13" s="182"/>
      <c r="V13" s="182"/>
      <c r="W13" s="182"/>
      <c r="X13" s="180"/>
      <c r="Y13" s="445" t="s">
        <v>150</v>
      </c>
      <c r="Z13" s="446"/>
      <c r="AA13" s="457" t="s">
        <v>151</v>
      </c>
      <c r="AB13" s="458"/>
      <c r="AC13" s="459"/>
      <c r="AD13" s="184">
        <v>20</v>
      </c>
      <c r="AE13" s="217"/>
      <c r="AF13" s="217"/>
      <c r="AG13" s="217"/>
      <c r="AH13" s="218"/>
      <c r="AI13" s="218"/>
      <c r="AJ13" s="218"/>
      <c r="AK13" s="218"/>
      <c r="AL13" s="218"/>
      <c r="AM13" s="218"/>
      <c r="AN13" s="218"/>
      <c r="AO13" s="217"/>
      <c r="AP13" s="217"/>
      <c r="AQ13" s="217"/>
      <c r="AR13" s="217"/>
      <c r="AS13" s="181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31"/>
      <c r="BE13" s="18" t="s">
        <v>1421</v>
      </c>
    </row>
    <row r="14" spans="1:57" ht="14.4" customHeight="1">
      <c r="A14" s="50">
        <f>IF(B14="","",COUNTA($B$8:B14))</f>
        <v>6</v>
      </c>
      <c r="B14" s="197" t="s">
        <v>201</v>
      </c>
      <c r="C14" s="198"/>
      <c r="D14" s="198"/>
      <c r="E14" s="198"/>
      <c r="F14" s="198"/>
      <c r="G14" s="198"/>
      <c r="H14" s="199"/>
      <c r="I14" s="181" t="s">
        <v>202</v>
      </c>
      <c r="J14" s="182"/>
      <c r="K14" s="182"/>
      <c r="L14" s="182"/>
      <c r="M14" s="182"/>
      <c r="N14" s="182"/>
      <c r="O14" s="182"/>
      <c r="P14" s="182"/>
      <c r="Q14" s="183"/>
      <c r="R14" s="197" t="s">
        <v>201</v>
      </c>
      <c r="S14" s="182"/>
      <c r="T14" s="182"/>
      <c r="U14" s="182"/>
      <c r="V14" s="182"/>
      <c r="W14" s="182"/>
      <c r="X14" s="180"/>
      <c r="Y14" s="445" t="s">
        <v>150</v>
      </c>
      <c r="Z14" s="446"/>
      <c r="AA14" s="457" t="s">
        <v>151</v>
      </c>
      <c r="AB14" s="458"/>
      <c r="AC14" s="459"/>
      <c r="AD14" s="184">
        <v>30</v>
      </c>
      <c r="AE14" s="217"/>
      <c r="AF14" s="217"/>
      <c r="AG14" s="217"/>
      <c r="AH14" s="218"/>
      <c r="AI14" s="218"/>
      <c r="AJ14" s="218"/>
      <c r="AK14" s="218"/>
      <c r="AL14" s="218"/>
      <c r="AM14" s="218"/>
      <c r="AN14" s="218"/>
      <c r="AO14" s="217"/>
      <c r="AP14" s="217"/>
      <c r="AQ14" s="217"/>
      <c r="AR14" s="217"/>
      <c r="AS14" s="181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31"/>
    </row>
    <row r="15" spans="1:57" ht="14.4" customHeight="1">
      <c r="A15" s="50">
        <f>IF(B15="","",COUNTA($B$8:B15))</f>
        <v>7</v>
      </c>
      <c r="B15" s="197" t="s">
        <v>399</v>
      </c>
      <c r="C15" s="198"/>
      <c r="D15" s="198"/>
      <c r="E15" s="198"/>
      <c r="F15" s="198"/>
      <c r="G15" s="198"/>
      <c r="H15" s="199"/>
      <c r="I15" s="181" t="s">
        <v>400</v>
      </c>
      <c r="J15" s="182"/>
      <c r="K15" s="182"/>
      <c r="L15" s="182"/>
      <c r="M15" s="182"/>
      <c r="N15" s="182"/>
      <c r="O15" s="182"/>
      <c r="P15" s="182"/>
      <c r="Q15" s="183"/>
      <c r="R15" s="197" t="s">
        <v>399</v>
      </c>
      <c r="S15" s="182"/>
      <c r="T15" s="182"/>
      <c r="U15" s="182"/>
      <c r="V15" s="182"/>
      <c r="W15" s="182"/>
      <c r="X15" s="180"/>
      <c r="Y15" s="445" t="s">
        <v>150</v>
      </c>
      <c r="Z15" s="446"/>
      <c r="AA15" s="457" t="s">
        <v>151</v>
      </c>
      <c r="AB15" s="458"/>
      <c r="AC15" s="459"/>
      <c r="AD15" s="184">
        <v>30</v>
      </c>
      <c r="AE15" s="217"/>
      <c r="AF15" s="217"/>
      <c r="AG15" s="217"/>
      <c r="AH15" s="218"/>
      <c r="AI15" s="218"/>
      <c r="AJ15" s="218"/>
      <c r="AK15" s="218"/>
      <c r="AL15" s="218"/>
      <c r="AM15" s="218"/>
      <c r="AN15" s="218"/>
      <c r="AO15" s="217"/>
      <c r="AP15" s="217"/>
      <c r="AQ15" s="217"/>
      <c r="AR15" s="217"/>
      <c r="AS15" s="181"/>
      <c r="AT15" s="219"/>
      <c r="AU15" s="219"/>
      <c r="AV15" s="219"/>
      <c r="AW15" s="219"/>
      <c r="AX15" s="219"/>
      <c r="AY15" s="219"/>
      <c r="AZ15" s="219"/>
      <c r="BA15" s="219"/>
      <c r="BB15" s="219"/>
      <c r="BC15" s="219"/>
      <c r="BD15" s="231"/>
    </row>
    <row r="16" spans="1:57" ht="14.4" customHeight="1">
      <c r="A16" s="50">
        <f>IF(B16="","",COUNTA($B$8:B16))</f>
        <v>8</v>
      </c>
      <c r="B16" s="178" t="s">
        <v>228</v>
      </c>
      <c r="C16" s="179"/>
      <c r="D16" s="179"/>
      <c r="E16" s="179"/>
      <c r="F16" s="179"/>
      <c r="G16" s="179"/>
      <c r="H16" s="199"/>
      <c r="I16" s="181" t="s">
        <v>229</v>
      </c>
      <c r="J16" s="182"/>
      <c r="K16" s="182"/>
      <c r="L16" s="182"/>
      <c r="M16" s="182"/>
      <c r="N16" s="182"/>
      <c r="O16" s="182"/>
      <c r="P16" s="182"/>
      <c r="Q16" s="183"/>
      <c r="R16" s="178" t="s">
        <v>228</v>
      </c>
      <c r="S16" s="182"/>
      <c r="T16" s="182"/>
      <c r="U16" s="182"/>
      <c r="V16" s="182"/>
      <c r="W16" s="182"/>
      <c r="X16" s="180"/>
      <c r="Y16" s="445" t="s">
        <v>150</v>
      </c>
      <c r="Z16" s="446"/>
      <c r="AA16" s="457" t="s">
        <v>151</v>
      </c>
      <c r="AB16" s="458"/>
      <c r="AC16" s="459"/>
      <c r="AD16" s="184">
        <v>1000</v>
      </c>
      <c r="AE16" s="217"/>
      <c r="AF16" s="217"/>
      <c r="AG16" s="217"/>
      <c r="AH16" s="218"/>
      <c r="AI16" s="218"/>
      <c r="AJ16" s="218"/>
      <c r="AK16" s="218"/>
      <c r="AL16" s="218"/>
      <c r="AM16" s="218"/>
      <c r="AN16" s="218"/>
      <c r="AO16" s="217"/>
      <c r="AP16" s="217"/>
      <c r="AQ16" s="217"/>
      <c r="AR16" s="217"/>
      <c r="AS16" s="181"/>
      <c r="AT16" s="219"/>
      <c r="AU16" s="219"/>
      <c r="AV16" s="219"/>
      <c r="AW16" s="219"/>
      <c r="AX16" s="219"/>
      <c r="AY16" s="219"/>
      <c r="AZ16" s="219"/>
      <c r="BA16" s="219"/>
      <c r="BB16" s="219"/>
      <c r="BC16" s="219"/>
      <c r="BD16" s="231"/>
      <c r="BE16" s="18" t="s">
        <v>1446</v>
      </c>
    </row>
    <row r="17" spans="1:56" ht="14.4" customHeight="1">
      <c r="A17" s="70">
        <f>IF(B17="","",COUNTA($B$8:B17))</f>
        <v>9</v>
      </c>
      <c r="B17" s="19" t="s">
        <v>249</v>
      </c>
      <c r="C17" s="20"/>
      <c r="D17" s="20"/>
      <c r="E17" s="20"/>
      <c r="F17" s="20"/>
      <c r="G17" s="20"/>
      <c r="H17" s="24"/>
      <c r="I17" s="31" t="s">
        <v>250</v>
      </c>
      <c r="J17" s="23"/>
      <c r="K17" s="23"/>
      <c r="L17" s="23"/>
      <c r="M17" s="23"/>
      <c r="N17" s="23"/>
      <c r="O17" s="23"/>
      <c r="P17" s="23"/>
      <c r="Q17" s="37"/>
      <c r="R17" s="19" t="s">
        <v>249</v>
      </c>
      <c r="S17" s="23"/>
      <c r="T17" s="23"/>
      <c r="U17" s="23"/>
      <c r="V17" s="23"/>
      <c r="W17" s="23"/>
      <c r="X17" s="24"/>
      <c r="Y17" s="419" t="s">
        <v>150</v>
      </c>
      <c r="Z17" s="420"/>
      <c r="AA17" s="421" t="s">
        <v>151</v>
      </c>
      <c r="AB17" s="422"/>
      <c r="AC17" s="423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>
      <c r="A18" s="70">
        <f>IF(B18="","",COUNTA($B$8:B18))</f>
        <v>10</v>
      </c>
      <c r="B18" s="19" t="s">
        <v>251</v>
      </c>
      <c r="C18" s="20"/>
      <c r="D18" s="20"/>
      <c r="E18" s="20"/>
      <c r="F18" s="20"/>
      <c r="G18" s="20"/>
      <c r="H18" s="24"/>
      <c r="I18" s="31" t="s">
        <v>252</v>
      </c>
      <c r="J18" s="23"/>
      <c r="K18" s="23"/>
      <c r="L18" s="23"/>
      <c r="M18" s="23"/>
      <c r="N18" s="23"/>
      <c r="O18" s="23"/>
      <c r="P18" s="23"/>
      <c r="Q18" s="37"/>
      <c r="R18" s="19" t="s">
        <v>251</v>
      </c>
      <c r="S18" s="23"/>
      <c r="T18" s="23"/>
      <c r="U18" s="23"/>
      <c r="V18" s="23"/>
      <c r="W18" s="23"/>
      <c r="X18" s="24"/>
      <c r="Y18" s="419" t="s">
        <v>150</v>
      </c>
      <c r="Z18" s="420"/>
      <c r="AA18" s="421" t="s">
        <v>151</v>
      </c>
      <c r="AB18" s="422"/>
      <c r="AC18" s="423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>
      <c r="A19" s="50">
        <f>IF(B19="","",COUNTA($B$8:B19))</f>
        <v>11</v>
      </c>
      <c r="B19" s="19" t="s">
        <v>253</v>
      </c>
      <c r="C19" s="20"/>
      <c r="D19" s="20"/>
      <c r="E19" s="20"/>
      <c r="F19" s="20"/>
      <c r="G19" s="20"/>
      <c r="H19" s="24"/>
      <c r="I19" s="31" t="s">
        <v>254</v>
      </c>
      <c r="J19" s="23"/>
      <c r="K19" s="23"/>
      <c r="L19" s="23"/>
      <c r="M19" s="23"/>
      <c r="N19" s="23"/>
      <c r="O19" s="23"/>
      <c r="P19" s="23"/>
      <c r="Q19" s="37"/>
      <c r="R19" s="19" t="s">
        <v>253</v>
      </c>
      <c r="S19" s="23"/>
      <c r="T19" s="38"/>
      <c r="U19" s="23"/>
      <c r="V19" s="23"/>
      <c r="W19" s="23"/>
      <c r="X19" s="24"/>
      <c r="Y19" s="419" t="s">
        <v>150</v>
      </c>
      <c r="Z19" s="420"/>
      <c r="AA19" s="421" t="s">
        <v>151</v>
      </c>
      <c r="AB19" s="422"/>
      <c r="AC19" s="423"/>
      <c r="AD19" s="27">
        <v>10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>
      <c r="A20" s="50">
        <f>IF(B20="","",COUNTA($B$8:B20))</f>
        <v>12</v>
      </c>
      <c r="B20" s="19" t="s">
        <v>255</v>
      </c>
      <c r="C20" s="20"/>
      <c r="D20" s="20"/>
      <c r="E20" s="20"/>
      <c r="F20" s="20"/>
      <c r="G20" s="20"/>
      <c r="H20" s="24"/>
      <c r="I20" s="31" t="s">
        <v>256</v>
      </c>
      <c r="J20" s="23"/>
      <c r="K20" s="23"/>
      <c r="L20" s="23"/>
      <c r="M20" s="23"/>
      <c r="N20" s="23"/>
      <c r="O20" s="23"/>
      <c r="P20" s="23"/>
      <c r="Q20" s="37"/>
      <c r="R20" s="19" t="s">
        <v>255</v>
      </c>
      <c r="S20" s="23"/>
      <c r="T20" s="38"/>
      <c r="U20" s="23"/>
      <c r="V20" s="23"/>
      <c r="W20" s="23"/>
      <c r="X20" s="24"/>
      <c r="Y20" s="419" t="s">
        <v>150</v>
      </c>
      <c r="Z20" s="420"/>
      <c r="AA20" s="421" t="s">
        <v>151</v>
      </c>
      <c r="AB20" s="422"/>
      <c r="AC20" s="423"/>
      <c r="AD20" s="27">
        <v>10</v>
      </c>
      <c r="AE20" s="29"/>
      <c r="AF20" s="29"/>
      <c r="AG20" s="29"/>
      <c r="AH20" s="40"/>
      <c r="AI20" s="40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>
      <c r="A21" s="50">
        <f>IF(B21="","",COUNTA($B$8:B21))</f>
        <v>13</v>
      </c>
      <c r="B21" s="19" t="s">
        <v>257</v>
      </c>
      <c r="C21" s="20"/>
      <c r="D21" s="20"/>
      <c r="E21" s="20"/>
      <c r="F21" s="20"/>
      <c r="G21" s="20"/>
      <c r="H21" s="24"/>
      <c r="I21" s="31" t="s">
        <v>258</v>
      </c>
      <c r="J21" s="23"/>
      <c r="K21" s="23"/>
      <c r="L21" s="23"/>
      <c r="M21" s="23"/>
      <c r="N21" s="23"/>
      <c r="O21" s="23"/>
      <c r="P21" s="23"/>
      <c r="Q21" s="37"/>
      <c r="R21" s="19" t="s">
        <v>257</v>
      </c>
      <c r="S21" s="23"/>
      <c r="T21" s="38"/>
      <c r="U21" s="23"/>
      <c r="V21" s="23"/>
      <c r="W21" s="23"/>
      <c r="X21" s="24"/>
      <c r="Y21" s="419" t="s">
        <v>169</v>
      </c>
      <c r="Z21" s="420"/>
      <c r="AA21" s="421" t="s">
        <v>243</v>
      </c>
      <c r="AB21" s="422"/>
      <c r="AC21" s="423"/>
      <c r="AD21" s="51"/>
      <c r="AE21" s="29"/>
      <c r="AF21" s="29"/>
      <c r="AG21" s="29"/>
      <c r="AH21" s="28"/>
      <c r="AI21" s="28"/>
      <c r="AJ21" s="28"/>
      <c r="AK21" s="28"/>
      <c r="AL21" s="40"/>
      <c r="AM21" s="40"/>
      <c r="AN21" s="40"/>
      <c r="AO21" s="41"/>
      <c r="AP21" s="41"/>
      <c r="AQ21" s="41"/>
      <c r="AR21" s="41"/>
      <c r="AS21" s="42"/>
      <c r="AT21" s="43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>
      <c r="A22" s="50">
        <f>IF(B22="","",COUNTA($B$8:B22))</f>
        <v>14</v>
      </c>
      <c r="B22" s="19" t="s">
        <v>259</v>
      </c>
      <c r="C22" s="20"/>
      <c r="D22" s="20"/>
      <c r="E22" s="20"/>
      <c r="F22" s="20"/>
      <c r="G22" s="20"/>
      <c r="H22" s="24"/>
      <c r="I22" s="31" t="s">
        <v>260</v>
      </c>
      <c r="J22" s="23"/>
      <c r="K22" s="23"/>
      <c r="L22" s="23"/>
      <c r="M22" s="23"/>
      <c r="N22" s="23"/>
      <c r="O22" s="23"/>
      <c r="P22" s="23"/>
      <c r="Q22" s="37"/>
      <c r="R22" s="19" t="s">
        <v>259</v>
      </c>
      <c r="S22" s="23"/>
      <c r="T22" s="38"/>
      <c r="U22" s="23"/>
      <c r="V22" s="23"/>
      <c r="W22" s="23"/>
      <c r="X22" s="24"/>
      <c r="Y22" s="419" t="s">
        <v>150</v>
      </c>
      <c r="Z22" s="420"/>
      <c r="AA22" s="421" t="s">
        <v>151</v>
      </c>
      <c r="AB22" s="422"/>
      <c r="AC22" s="423"/>
      <c r="AD22" s="27">
        <v>10</v>
      </c>
      <c r="AE22" s="29"/>
      <c r="AF22" s="29"/>
      <c r="AG22" s="29"/>
      <c r="AH22" s="40"/>
      <c r="AI22" s="40"/>
      <c r="AJ22" s="40"/>
      <c r="AK22" s="40"/>
      <c r="AL22" s="40"/>
      <c r="AM22" s="40"/>
      <c r="AN22" s="40"/>
      <c r="AO22" s="41"/>
      <c r="AP22" s="41"/>
      <c r="AQ22" s="41"/>
      <c r="AR22" s="41"/>
      <c r="AS22" s="42"/>
      <c r="AT22" s="43"/>
      <c r="AU22" s="48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>
      <c r="A23" s="50">
        <f>IF(B23="","",COUNTA($B$8:B23))</f>
        <v>15</v>
      </c>
      <c r="B23" s="19" t="s">
        <v>261</v>
      </c>
      <c r="C23" s="20"/>
      <c r="D23" s="20"/>
      <c r="E23" s="20"/>
      <c r="F23" s="20"/>
      <c r="G23" s="20"/>
      <c r="H23" s="24"/>
      <c r="I23" s="31" t="s">
        <v>262</v>
      </c>
      <c r="J23" s="23"/>
      <c r="K23" s="23"/>
      <c r="L23" s="23"/>
      <c r="M23" s="23"/>
      <c r="N23" s="23"/>
      <c r="O23" s="23"/>
      <c r="P23" s="23"/>
      <c r="Q23" s="37"/>
      <c r="R23" s="19" t="s">
        <v>261</v>
      </c>
      <c r="S23" s="23"/>
      <c r="T23" s="38"/>
      <c r="U23" s="23"/>
      <c r="V23" s="23"/>
      <c r="W23" s="23"/>
      <c r="X23" s="24"/>
      <c r="Y23" s="419" t="s">
        <v>150</v>
      </c>
      <c r="Z23" s="420"/>
      <c r="AA23" s="421" t="s">
        <v>151</v>
      </c>
      <c r="AB23" s="422"/>
      <c r="AC23" s="423"/>
      <c r="AD23" s="51">
        <v>10</v>
      </c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>
      <c r="A24" s="50">
        <f>IF(B24="","",COUNTA($B$8:B24))</f>
        <v>16</v>
      </c>
      <c r="B24" s="19" t="s">
        <v>263</v>
      </c>
      <c r="C24" s="20"/>
      <c r="D24" s="20"/>
      <c r="E24" s="20"/>
      <c r="F24" s="20"/>
      <c r="G24" s="20"/>
      <c r="H24" s="24"/>
      <c r="I24" s="31" t="s">
        <v>264</v>
      </c>
      <c r="J24" s="23"/>
      <c r="K24" s="23"/>
      <c r="L24" s="23"/>
      <c r="M24" s="23"/>
      <c r="N24" s="23"/>
      <c r="O24" s="23"/>
      <c r="P24" s="23"/>
      <c r="Q24" s="37"/>
      <c r="R24" s="22" t="s">
        <v>263</v>
      </c>
      <c r="S24" s="23"/>
      <c r="T24" s="38"/>
      <c r="U24" s="23"/>
      <c r="V24" s="23"/>
      <c r="W24" s="23"/>
      <c r="X24" s="24"/>
      <c r="Y24" s="419" t="s">
        <v>169</v>
      </c>
      <c r="Z24" s="420"/>
      <c r="AA24" s="421" t="s">
        <v>243</v>
      </c>
      <c r="AB24" s="422"/>
      <c r="AC24" s="423"/>
      <c r="AD24" s="51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" customHeight="1">
      <c r="A25" s="5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419"/>
      <c r="Z25" s="420"/>
      <c r="AA25" s="421"/>
      <c r="AB25" s="422"/>
      <c r="AC25" s="423"/>
      <c r="AD25" s="27"/>
      <c r="AE25" s="29" t="s">
        <v>244</v>
      </c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" customHeight="1">
      <c r="A26" s="5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419"/>
      <c r="Z26" s="420"/>
      <c r="AA26" s="421"/>
      <c r="AB26" s="422"/>
      <c r="AC26" s="423"/>
      <c r="AD26" s="51"/>
      <c r="AE26" s="29" t="s">
        <v>244</v>
      </c>
      <c r="AF26" s="29"/>
      <c r="AG26" s="29"/>
      <c r="AH26" s="40"/>
      <c r="AI26" s="40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" customHeight="1">
      <c r="A27" s="5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419"/>
      <c r="Z27" s="420"/>
      <c r="AA27" s="421"/>
      <c r="AB27" s="422"/>
      <c r="AC27" s="423"/>
      <c r="AD27" s="51"/>
      <c r="AE27" s="29" t="s">
        <v>244</v>
      </c>
      <c r="AF27" s="29"/>
      <c r="AG27" s="29"/>
      <c r="AH27" s="28"/>
      <c r="AI27" s="28"/>
      <c r="AJ27" s="28"/>
      <c r="AK27" s="28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" customHeight="1">
      <c r="A28" s="5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419"/>
      <c r="Z28" s="420"/>
      <c r="AA28" s="421"/>
      <c r="AB28" s="422"/>
      <c r="AC28" s="423"/>
      <c r="AD28" s="51"/>
      <c r="AE28" s="29" t="s">
        <v>244</v>
      </c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48"/>
      <c r="AV28" s="48"/>
      <c r="AW28" s="48"/>
      <c r="AX28" s="48"/>
      <c r="AY28" s="48"/>
      <c r="AZ28" s="48"/>
      <c r="BA28" s="48"/>
      <c r="BB28" s="48"/>
      <c r="BC28" s="48"/>
      <c r="BD28" s="66"/>
    </row>
    <row r="29" spans="1:56" ht="14.4" customHeight="1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419"/>
      <c r="Z29" s="420"/>
      <c r="AA29" s="421"/>
      <c r="AB29" s="422"/>
      <c r="AC29" s="423"/>
      <c r="AD29" s="27"/>
      <c r="AE29" s="29" t="s">
        <v>244</v>
      </c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" customHeight="1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37"/>
      <c r="Y30" s="419"/>
      <c r="Z30" s="420"/>
      <c r="AA30" s="421"/>
      <c r="AB30" s="422"/>
      <c r="AC30" s="423"/>
      <c r="AD30" s="51"/>
      <c r="AE30" s="29" t="s">
        <v>244</v>
      </c>
      <c r="AF30" s="29"/>
      <c r="AG30" s="29"/>
      <c r="AH30" s="40"/>
      <c r="AI30" s="40"/>
      <c r="AJ30" s="40"/>
      <c r="AK30" s="40"/>
      <c r="AL30" s="40"/>
      <c r="AM30" s="40"/>
      <c r="AN30" s="40"/>
      <c r="AO30" s="41"/>
      <c r="AP30" s="41"/>
      <c r="AQ30" s="41"/>
      <c r="AR30" s="41"/>
      <c r="AS30" s="42"/>
      <c r="AT30" s="43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419"/>
      <c r="Z31" s="420"/>
      <c r="AA31" s="421"/>
      <c r="AB31" s="422"/>
      <c r="AC31" s="423"/>
      <c r="AD31" s="51"/>
      <c r="AE31" s="29" t="s">
        <v>244</v>
      </c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>
      <c r="A32" s="50" t="str">
        <f>IF(B32="","",COUNTA($B$8:B32))</f>
        <v/>
      </c>
      <c r="B32" s="31"/>
      <c r="C32" s="44"/>
      <c r="D32" s="44"/>
      <c r="E32" s="44"/>
      <c r="F32" s="44"/>
      <c r="G32" s="44"/>
      <c r="H32" s="45"/>
      <c r="I32" s="31"/>
      <c r="J32" s="35"/>
      <c r="K32" s="35"/>
      <c r="L32" s="35"/>
      <c r="M32" s="35"/>
      <c r="N32" s="35"/>
      <c r="O32" s="35"/>
      <c r="P32" s="35"/>
      <c r="Q32" s="36"/>
      <c r="R32" s="34"/>
      <c r="S32" s="35"/>
      <c r="T32" s="35"/>
      <c r="U32" s="35"/>
      <c r="V32" s="35"/>
      <c r="W32" s="35"/>
      <c r="X32" s="36"/>
      <c r="Y32" s="419"/>
      <c r="Z32" s="420"/>
      <c r="AA32" s="421"/>
      <c r="AB32" s="422"/>
      <c r="AC32" s="423"/>
      <c r="AD32" s="51"/>
      <c r="AE32" s="29" t="s">
        <v>244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42"/>
      <c r="AT32" s="49"/>
      <c r="AU32" s="48"/>
      <c r="AV32" s="48"/>
      <c r="AW32" s="48"/>
      <c r="AX32" s="48"/>
      <c r="AY32" s="48"/>
      <c r="AZ32" s="48"/>
      <c r="BA32" s="48"/>
      <c r="BB32" s="48"/>
      <c r="BC32" s="48"/>
      <c r="BD32" s="66"/>
    </row>
    <row r="33" spans="1:56" ht="14.4" customHeight="1">
      <c r="A33" s="5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419"/>
      <c r="Z33" s="420"/>
      <c r="AA33" s="421"/>
      <c r="AB33" s="422"/>
      <c r="AC33" s="423"/>
      <c r="AD33" s="51"/>
      <c r="AE33" s="29" t="s">
        <v>244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" customHeight="1">
      <c r="A34" s="5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419"/>
      <c r="Z34" s="420"/>
      <c r="AA34" s="421"/>
      <c r="AB34" s="422"/>
      <c r="AC34" s="423"/>
      <c r="AD34" s="51"/>
      <c r="AE34" s="29" t="s">
        <v>244</v>
      </c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419"/>
      <c r="Z35" s="420"/>
      <c r="AA35" s="421"/>
      <c r="AB35" s="422"/>
      <c r="AC35" s="423"/>
      <c r="AD35" s="51"/>
      <c r="AE35" s="29" t="s">
        <v>244</v>
      </c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419"/>
      <c r="Z36" s="420"/>
      <c r="AA36" s="421"/>
      <c r="AB36" s="422"/>
      <c r="AC36" s="423"/>
      <c r="AD36" s="51"/>
      <c r="AE36" s="29" t="s">
        <v>244</v>
      </c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419"/>
      <c r="Z37" s="420"/>
      <c r="AA37" s="421"/>
      <c r="AB37" s="422"/>
      <c r="AC37" s="423"/>
      <c r="AD37" s="51"/>
      <c r="AE37" s="29" t="s">
        <v>244</v>
      </c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419"/>
      <c r="Z38" s="420"/>
      <c r="AA38" s="421"/>
      <c r="AB38" s="422"/>
      <c r="AC38" s="423"/>
      <c r="AD38" s="51"/>
      <c r="AE38" s="29" t="s">
        <v>244</v>
      </c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419"/>
      <c r="Z39" s="420"/>
      <c r="AA39" s="421"/>
      <c r="AB39" s="422"/>
      <c r="AC39" s="423"/>
      <c r="AD39" s="51"/>
      <c r="AE39" s="29" t="s">
        <v>244</v>
      </c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419"/>
      <c r="Z40" s="420"/>
      <c r="AA40" s="421"/>
      <c r="AB40" s="422"/>
      <c r="AC40" s="423"/>
      <c r="AD40" s="51"/>
      <c r="AE40" s="29" t="s">
        <v>244</v>
      </c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419"/>
      <c r="Z41" s="420"/>
      <c r="AA41" s="421"/>
      <c r="AB41" s="422"/>
      <c r="AC41" s="423"/>
      <c r="AD41" s="51"/>
      <c r="AE41" s="29" t="s">
        <v>244</v>
      </c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419"/>
      <c r="Z42" s="420"/>
      <c r="AA42" s="421"/>
      <c r="AB42" s="422"/>
      <c r="AC42" s="423"/>
      <c r="AD42" s="51"/>
      <c r="AE42" s="29" t="s">
        <v>244</v>
      </c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19"/>
      <c r="Z43" s="420"/>
      <c r="AA43" s="421"/>
      <c r="AB43" s="422"/>
      <c r="AC43" s="423"/>
      <c r="AD43" s="51"/>
      <c r="AE43" s="29" t="s">
        <v>244</v>
      </c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419"/>
      <c r="Z44" s="420"/>
      <c r="AA44" s="421"/>
      <c r="AB44" s="422"/>
      <c r="AC44" s="423"/>
      <c r="AD44" s="51"/>
      <c r="AE44" s="29" t="s">
        <v>244</v>
      </c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419"/>
      <c r="Z45" s="420"/>
      <c r="AA45" s="421"/>
      <c r="AB45" s="422"/>
      <c r="AC45" s="423"/>
      <c r="AD45" s="51"/>
      <c r="AE45" s="29" t="s">
        <v>244</v>
      </c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419"/>
      <c r="Z46" s="420"/>
      <c r="AA46" s="421"/>
      <c r="AB46" s="422"/>
      <c r="AC46" s="423"/>
      <c r="AD46" s="51"/>
      <c r="AE46" s="29" t="s">
        <v>244</v>
      </c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6" ht="14.4" customHeight="1">
      <c r="AP47" s="18"/>
      <c r="AQ47" s="18"/>
      <c r="AR47" s="18"/>
      <c r="AS47" s="18"/>
    </row>
    <row r="48" spans="1:56" ht="14.4" customHeight="1">
      <c r="AP48" s="18"/>
      <c r="AQ48" s="18"/>
      <c r="AR48" s="18"/>
      <c r="AS48" s="18"/>
    </row>
  </sheetData>
  <mergeCells count="109">
    <mergeCell ref="Y46:Z46"/>
    <mergeCell ref="AA46:AC46"/>
    <mergeCell ref="Y27:Z27"/>
    <mergeCell ref="AA27:AC27"/>
    <mergeCell ref="Y28:Z28"/>
    <mergeCell ref="AA28:AC28"/>
    <mergeCell ref="Y44:Z44"/>
    <mergeCell ref="AA44:AC44"/>
    <mergeCell ref="Y45:Z45"/>
    <mergeCell ref="AA45:AC45"/>
    <mergeCell ref="Y29:Z29"/>
    <mergeCell ref="AA29:AC29"/>
    <mergeCell ref="Y30:Z30"/>
    <mergeCell ref="AA30:AC30"/>
    <mergeCell ref="Y31:Z31"/>
    <mergeCell ref="AA31:AC31"/>
    <mergeCell ref="Y43:Z43"/>
    <mergeCell ref="AA43:AC43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20:Z20"/>
    <mergeCell ref="AA20:AC20"/>
    <mergeCell ref="Y21:Z21"/>
    <mergeCell ref="AA21:AC21"/>
    <mergeCell ref="Y22:Z22"/>
    <mergeCell ref="Y35:Z35"/>
    <mergeCell ref="AA35:AC35"/>
    <mergeCell ref="Y36:Z36"/>
    <mergeCell ref="AA36:AC36"/>
    <mergeCell ref="Y32:Z32"/>
    <mergeCell ref="AA32:AC32"/>
    <mergeCell ref="Y33:Z33"/>
    <mergeCell ref="AA33:AC33"/>
    <mergeCell ref="Y34:Z34"/>
    <mergeCell ref="AA34:AC34"/>
    <mergeCell ref="AA22:AC22"/>
    <mergeCell ref="Y23:Z23"/>
    <mergeCell ref="AA23:AC23"/>
    <mergeCell ref="Y24:Z24"/>
    <mergeCell ref="AA24:AC24"/>
    <mergeCell ref="Y25:Z25"/>
    <mergeCell ref="AA25:AC25"/>
    <mergeCell ref="Y26:Z26"/>
    <mergeCell ref="AA26:AC26"/>
    <mergeCell ref="Y16:Z16"/>
    <mergeCell ref="AA16:AC16"/>
    <mergeCell ref="Y17:Z17"/>
    <mergeCell ref="AA17:AC17"/>
    <mergeCell ref="Y18:Z18"/>
    <mergeCell ref="AA18:AC18"/>
    <mergeCell ref="Y19:Z19"/>
    <mergeCell ref="AA19:AC19"/>
    <mergeCell ref="AA10:AC10"/>
    <mergeCell ref="Y11:Z11"/>
    <mergeCell ref="AA11:AC11"/>
    <mergeCell ref="Y15:Z15"/>
    <mergeCell ref="AA15:AC15"/>
    <mergeCell ref="Y13:Z13"/>
    <mergeCell ref="AA13:AC13"/>
    <mergeCell ref="Y14:Z14"/>
    <mergeCell ref="AA14:AC14"/>
    <mergeCell ref="Y12:Z12"/>
    <mergeCell ref="AA12:AC12"/>
    <mergeCell ref="A1:H4"/>
    <mergeCell ref="AU4:AY4"/>
    <mergeCell ref="AG6:AG7"/>
    <mergeCell ref="AH6:AH7"/>
    <mergeCell ref="AI6:AR6"/>
    <mergeCell ref="AS6:BD7"/>
    <mergeCell ref="Y8:Z8"/>
    <mergeCell ref="AA8:AC8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</mergeCells>
  <phoneticPr fontId="5"/>
  <dataValidations count="3">
    <dataValidation imeMode="hiragana" allowBlank="1" showInputMessage="1" showErrorMessage="1" sqref="JI65531:JT65533 TE65531:TP65533 ADA65531:ADL65533 AMW65531:ANH65533 AWS65531:AXD65533 BGO65531:BGZ65533 BQK65531:BQV65533 CAG65531:CAR65533 CKC65531:CKN65533 CTY65531:CUJ65533 DDU65531:DEF65533 DNQ65531:DOB65533 DXM65531:DXX65533 EHI65531:EHT65533 ERE65531:ERP65533 FBA65531:FBL65533 FKW65531:FLH65533 FUS65531:FVD65533 GEO65531:GEZ65533 GOK65531:GOV65533 GYG65531:GYR65533 HIC65531:HIN65533 HRY65531:HSJ65533 IBU65531:ICF65533 ILQ65531:IMB65533 IVM65531:IVX65533 JFI65531:JFT65533 JPE65531:JPP65533 JZA65531:JZL65533 KIW65531:KJH65533 KSS65531:KTD65533 LCO65531:LCZ65533 LMK65531:LMV65533 LWG65531:LWR65533 MGC65531:MGN65533 MPY65531:MQJ65533 MZU65531:NAF65533 NJQ65531:NKB65533 NTM65531:NTX65533 ODI65531:ODT65533 ONE65531:ONP65533 OXA65531:OXL65533 PGW65531:PHH65533 PQS65531:PRD65533 QAO65531:QAZ65533 QKK65531:QKV65533 QUG65531:QUR65533 REC65531:REN65533 RNY65531:ROJ65533 RXU65531:RYF65533 SHQ65531:SIB65533 SRM65531:SRX65533 TBI65531:TBT65533 TLE65531:TLP65533 TVA65531:TVL65533 UEW65531:UFH65533 UOS65531:UPD65533 UYO65531:UYZ65533 VIK65531:VIV65533 VSG65531:VSR65533 WCC65531:WCN65533 WLY65531:WMJ65533 WVU65531:WWF65533 JI131067:JT131069 TE131067:TP131069 ADA131067:ADL131069 AMW131067:ANH131069 AWS131067:AXD131069 BGO131067:BGZ131069 BQK131067:BQV131069 CAG131067:CAR131069 CKC131067:CKN131069 CTY131067:CUJ131069 DDU131067:DEF131069 DNQ131067:DOB131069 DXM131067:DXX131069 EHI131067:EHT131069 ERE131067:ERP131069 FBA131067:FBL131069 FKW131067:FLH131069 FUS131067:FVD131069 GEO131067:GEZ131069 GOK131067:GOV131069 GYG131067:GYR131069 HIC131067:HIN131069 HRY131067:HSJ131069 IBU131067:ICF131069 ILQ131067:IMB131069 IVM131067:IVX131069 JFI131067:JFT131069 JPE131067:JPP131069 JZA131067:JZL131069 KIW131067:KJH131069 KSS131067:KTD131069 LCO131067:LCZ131069 LMK131067:LMV131069 LWG131067:LWR131069 MGC131067:MGN131069 MPY131067:MQJ131069 MZU131067:NAF131069 NJQ131067:NKB131069 NTM131067:NTX131069 ODI131067:ODT131069 ONE131067:ONP131069 OXA131067:OXL131069 PGW131067:PHH131069 PQS131067:PRD131069 QAO131067:QAZ131069 QKK131067:QKV131069 QUG131067:QUR131069 REC131067:REN131069 RNY131067:ROJ131069 RXU131067:RYF131069 SHQ131067:SIB131069 SRM131067:SRX131069 TBI131067:TBT131069 TLE131067:TLP131069 TVA131067:TVL131069 UEW131067:UFH131069 UOS131067:UPD131069 UYO131067:UYZ131069 VIK131067:VIV131069 VSG131067:VSR131069 WCC131067:WCN131069 WLY131067:WMJ131069 WVU131067:WWF131069 JI196603:JT196605 TE196603:TP196605 ADA196603:ADL196605 AMW196603:ANH196605 AWS196603:AXD196605 BGO196603:BGZ196605 BQK196603:BQV196605 CAG196603:CAR196605 CKC196603:CKN196605 CTY196603:CUJ196605 DDU196603:DEF196605 DNQ196603:DOB196605 DXM196603:DXX196605 EHI196603:EHT196605 ERE196603:ERP196605 FBA196603:FBL196605 FKW196603:FLH196605 FUS196603:FVD196605 GEO196603:GEZ196605 GOK196603:GOV196605 GYG196603:GYR196605 HIC196603:HIN196605 HRY196603:HSJ196605 IBU196603:ICF196605 ILQ196603:IMB196605 IVM196603:IVX196605 JFI196603:JFT196605 JPE196603:JPP196605 JZA196603:JZL196605 KIW196603:KJH196605 KSS196603:KTD196605 LCO196603:LCZ196605 LMK196603:LMV196605 LWG196603:LWR196605 MGC196603:MGN196605 MPY196603:MQJ196605 MZU196603:NAF196605 NJQ196603:NKB196605 NTM196603:NTX196605 ODI196603:ODT196605 ONE196603:ONP196605 OXA196603:OXL196605 PGW196603:PHH196605 PQS196603:PRD196605 QAO196603:QAZ196605 QKK196603:QKV196605 QUG196603:QUR196605 REC196603:REN196605 RNY196603:ROJ196605 RXU196603:RYF196605 SHQ196603:SIB196605 SRM196603:SRX196605 TBI196603:TBT196605 TLE196603:TLP196605 TVA196603:TVL196605 UEW196603:UFH196605 UOS196603:UPD196605 UYO196603:UYZ196605 VIK196603:VIV196605 VSG196603:VSR196605 WCC196603:WCN196605 WLY196603:WMJ196605 WVU196603:WWF196605 JI262139:JT262141 TE262139:TP262141 ADA262139:ADL262141 AMW262139:ANH262141 AWS262139:AXD262141 BGO262139:BGZ262141 BQK262139:BQV262141 CAG262139:CAR262141 CKC262139:CKN262141 CTY262139:CUJ262141 DDU262139:DEF262141 DNQ262139:DOB262141 DXM262139:DXX262141 EHI262139:EHT262141 ERE262139:ERP262141 FBA262139:FBL262141 FKW262139:FLH262141 FUS262139:FVD262141 GEO262139:GEZ262141 GOK262139:GOV262141 GYG262139:GYR262141 HIC262139:HIN262141 HRY262139:HSJ262141 IBU262139:ICF262141 ILQ262139:IMB262141 IVM262139:IVX262141 JFI262139:JFT262141 JPE262139:JPP262141 JZA262139:JZL262141 KIW262139:KJH262141 KSS262139:KTD262141 LCO262139:LCZ262141 LMK262139:LMV262141 LWG262139:LWR262141 MGC262139:MGN262141 MPY262139:MQJ262141 MZU262139:NAF262141 NJQ262139:NKB262141 NTM262139:NTX262141 ODI262139:ODT262141 ONE262139:ONP262141 OXA262139:OXL262141 PGW262139:PHH262141 PQS262139:PRD262141 QAO262139:QAZ262141 QKK262139:QKV262141 QUG262139:QUR262141 REC262139:REN262141 RNY262139:ROJ262141 RXU262139:RYF262141 SHQ262139:SIB262141 SRM262139:SRX262141 TBI262139:TBT262141 TLE262139:TLP262141 TVA262139:TVL262141 UEW262139:UFH262141 UOS262139:UPD262141 UYO262139:UYZ262141 VIK262139:VIV262141 VSG262139:VSR262141 WCC262139:WCN262141 WLY262139:WMJ262141 WVU262139:WWF262141 JI327675:JT327677 TE327675:TP327677 ADA327675:ADL327677 AMW327675:ANH327677 AWS327675:AXD327677 BGO327675:BGZ327677 BQK327675:BQV327677 CAG327675:CAR327677 CKC327675:CKN327677 CTY327675:CUJ327677 DDU327675:DEF327677 DNQ327675:DOB327677 DXM327675:DXX327677 EHI327675:EHT327677 ERE327675:ERP327677 FBA327675:FBL327677 FKW327675:FLH327677 FUS327675:FVD327677 GEO327675:GEZ327677 GOK327675:GOV327677 GYG327675:GYR327677 HIC327675:HIN327677 HRY327675:HSJ327677 IBU327675:ICF327677 ILQ327675:IMB327677 IVM327675:IVX327677 JFI327675:JFT327677 JPE327675:JPP327677 JZA327675:JZL327677 KIW327675:KJH327677 KSS327675:KTD327677 LCO327675:LCZ327677 LMK327675:LMV327677 LWG327675:LWR327677 MGC327675:MGN327677 MPY327675:MQJ327677 MZU327675:NAF327677 NJQ327675:NKB327677 NTM327675:NTX327677 ODI327675:ODT327677 ONE327675:ONP327677 OXA327675:OXL327677 PGW327675:PHH327677 PQS327675:PRD327677 QAO327675:QAZ327677 QKK327675:QKV327677 QUG327675:QUR327677 REC327675:REN327677 RNY327675:ROJ327677 RXU327675:RYF327677 SHQ327675:SIB327677 SRM327675:SRX327677 TBI327675:TBT327677 TLE327675:TLP327677 TVA327675:TVL327677 UEW327675:UFH327677 UOS327675:UPD327677 UYO327675:UYZ327677 VIK327675:VIV327677 VSG327675:VSR327677 WCC327675:WCN327677 WLY327675:WMJ327677 WVU327675:WWF327677 JI393211:JT393213 TE393211:TP393213 ADA393211:ADL393213 AMW393211:ANH393213 AWS393211:AXD393213 BGO393211:BGZ393213 BQK393211:BQV393213 CAG393211:CAR393213 CKC393211:CKN393213 CTY393211:CUJ393213 DDU393211:DEF393213 DNQ393211:DOB393213 DXM393211:DXX393213 EHI393211:EHT393213 ERE393211:ERP393213 FBA393211:FBL393213 FKW393211:FLH393213 FUS393211:FVD393213 GEO393211:GEZ393213 GOK393211:GOV393213 GYG393211:GYR393213 HIC393211:HIN393213 HRY393211:HSJ393213 IBU393211:ICF393213 ILQ393211:IMB393213 IVM393211:IVX393213 JFI393211:JFT393213 JPE393211:JPP393213 JZA393211:JZL393213 KIW393211:KJH393213 KSS393211:KTD393213 LCO393211:LCZ393213 LMK393211:LMV393213 LWG393211:LWR393213 MGC393211:MGN393213 MPY393211:MQJ393213 MZU393211:NAF393213 NJQ393211:NKB393213 NTM393211:NTX393213 ODI393211:ODT393213 ONE393211:ONP393213 OXA393211:OXL393213 PGW393211:PHH393213 PQS393211:PRD393213 QAO393211:QAZ393213 QKK393211:QKV393213 QUG393211:QUR393213 REC393211:REN393213 RNY393211:ROJ393213 RXU393211:RYF393213 SHQ393211:SIB393213 SRM393211:SRX393213 TBI393211:TBT393213 TLE393211:TLP393213 TVA393211:TVL393213 UEW393211:UFH393213 UOS393211:UPD393213 UYO393211:UYZ393213 VIK393211:VIV393213 VSG393211:VSR393213 WCC393211:WCN393213 WLY393211:WMJ393213 WVU393211:WWF393213 JI458747:JT458749 TE458747:TP458749 ADA458747:ADL458749 AMW458747:ANH458749 AWS458747:AXD458749 BGO458747:BGZ458749 BQK458747:BQV458749 CAG458747:CAR458749 CKC458747:CKN458749 CTY458747:CUJ458749 DDU458747:DEF458749 DNQ458747:DOB458749 DXM458747:DXX458749 EHI458747:EHT458749 ERE458747:ERP458749 FBA458747:FBL458749 FKW458747:FLH458749 FUS458747:FVD458749 GEO458747:GEZ458749 GOK458747:GOV458749 GYG458747:GYR458749 HIC458747:HIN458749 HRY458747:HSJ458749 IBU458747:ICF458749 ILQ458747:IMB458749 IVM458747:IVX458749 JFI458747:JFT458749 JPE458747:JPP458749 JZA458747:JZL458749 KIW458747:KJH458749 KSS458747:KTD458749 LCO458747:LCZ458749 LMK458747:LMV458749 LWG458747:LWR458749 MGC458747:MGN458749 MPY458747:MQJ458749 MZU458747:NAF458749 NJQ458747:NKB458749 NTM458747:NTX458749 ODI458747:ODT458749 ONE458747:ONP458749 OXA458747:OXL458749 PGW458747:PHH458749 PQS458747:PRD458749 QAO458747:QAZ458749 QKK458747:QKV458749 QUG458747:QUR458749 REC458747:REN458749 RNY458747:ROJ458749 RXU458747:RYF458749 SHQ458747:SIB458749 SRM458747:SRX458749 TBI458747:TBT458749 TLE458747:TLP458749 TVA458747:TVL458749 UEW458747:UFH458749 UOS458747:UPD458749 UYO458747:UYZ458749 VIK458747:VIV458749 VSG458747:VSR458749 WCC458747:WCN458749 WLY458747:WMJ458749 WVU458747:WWF458749 JI524283:JT524285 TE524283:TP524285 ADA524283:ADL524285 AMW524283:ANH524285 AWS524283:AXD524285 BGO524283:BGZ524285 BQK524283:BQV524285 CAG524283:CAR524285 CKC524283:CKN524285 CTY524283:CUJ524285 DDU524283:DEF524285 DNQ524283:DOB524285 DXM524283:DXX524285 EHI524283:EHT524285 ERE524283:ERP524285 FBA524283:FBL524285 FKW524283:FLH524285 FUS524283:FVD524285 GEO524283:GEZ524285 GOK524283:GOV524285 GYG524283:GYR524285 HIC524283:HIN524285 HRY524283:HSJ524285 IBU524283:ICF524285 ILQ524283:IMB524285 IVM524283:IVX524285 JFI524283:JFT524285 JPE524283:JPP524285 JZA524283:JZL524285 KIW524283:KJH524285 KSS524283:KTD524285 LCO524283:LCZ524285 LMK524283:LMV524285 LWG524283:LWR524285 MGC524283:MGN524285 MPY524283:MQJ524285 MZU524283:NAF524285 NJQ524283:NKB524285 NTM524283:NTX524285 ODI524283:ODT524285 ONE524283:ONP524285 OXA524283:OXL524285 PGW524283:PHH524285 PQS524283:PRD524285 QAO524283:QAZ524285 QKK524283:QKV524285 QUG524283:QUR524285 REC524283:REN524285 RNY524283:ROJ524285 RXU524283:RYF524285 SHQ524283:SIB524285 SRM524283:SRX524285 TBI524283:TBT524285 TLE524283:TLP524285 TVA524283:TVL524285 UEW524283:UFH524285 UOS524283:UPD524285 UYO524283:UYZ524285 VIK524283:VIV524285 VSG524283:VSR524285 WCC524283:WCN524285 WLY524283:WMJ524285 WVU524283:WWF524285 JI589819:JT589821 TE589819:TP589821 ADA589819:ADL589821 AMW589819:ANH589821 AWS589819:AXD589821 BGO589819:BGZ589821 BQK589819:BQV589821 CAG589819:CAR589821 CKC589819:CKN589821 CTY589819:CUJ589821 DDU589819:DEF589821 DNQ589819:DOB589821 DXM589819:DXX589821 EHI589819:EHT589821 ERE589819:ERP589821 FBA589819:FBL589821 FKW589819:FLH589821 FUS589819:FVD589821 GEO589819:GEZ589821 GOK589819:GOV589821 GYG589819:GYR589821 HIC589819:HIN589821 HRY589819:HSJ589821 IBU589819:ICF589821 ILQ589819:IMB589821 IVM589819:IVX589821 JFI589819:JFT589821 JPE589819:JPP589821 JZA589819:JZL589821 KIW589819:KJH589821 KSS589819:KTD589821 LCO589819:LCZ589821 LMK589819:LMV589821 LWG589819:LWR589821 MGC589819:MGN589821 MPY589819:MQJ589821 MZU589819:NAF589821 NJQ589819:NKB589821 NTM589819:NTX589821 ODI589819:ODT589821 ONE589819:ONP589821 OXA589819:OXL589821 PGW589819:PHH589821 PQS589819:PRD589821 QAO589819:QAZ589821 QKK589819:QKV589821 QUG589819:QUR589821 REC589819:REN589821 RNY589819:ROJ589821 RXU589819:RYF589821 SHQ589819:SIB589821 SRM589819:SRX589821 TBI589819:TBT589821 TLE589819:TLP589821 TVA589819:TVL589821 UEW589819:UFH589821 UOS589819:UPD589821 UYO589819:UYZ589821 VIK589819:VIV589821 VSG589819:VSR589821 WCC589819:WCN589821 WLY589819:WMJ589821 WVU589819:WWF589821 JI655355:JT655357 TE655355:TP655357 ADA655355:ADL655357 AMW655355:ANH655357 AWS655355:AXD655357 BGO655355:BGZ655357 BQK655355:BQV655357 CAG655355:CAR655357 CKC655355:CKN655357 CTY655355:CUJ655357 DDU655355:DEF655357 DNQ655355:DOB655357 DXM655355:DXX655357 EHI655355:EHT655357 ERE655355:ERP655357 FBA655355:FBL655357 FKW655355:FLH655357 FUS655355:FVD655357 GEO655355:GEZ655357 GOK655355:GOV655357 GYG655355:GYR655357 HIC655355:HIN655357 HRY655355:HSJ655357 IBU655355:ICF655357 ILQ655355:IMB655357 IVM655355:IVX655357 JFI655355:JFT655357 JPE655355:JPP655357 JZA655355:JZL655357 KIW655355:KJH655357 KSS655355:KTD655357 LCO655355:LCZ655357 LMK655355:LMV655357 LWG655355:LWR655357 MGC655355:MGN655357 MPY655355:MQJ655357 MZU655355:NAF655357 NJQ655355:NKB655357 NTM655355:NTX655357 ODI655355:ODT655357 ONE655355:ONP655357 OXA655355:OXL655357 PGW655355:PHH655357 PQS655355:PRD655357 QAO655355:QAZ655357 QKK655355:QKV655357 QUG655355:QUR655357 REC655355:REN655357 RNY655355:ROJ655357 RXU655355:RYF655357 SHQ655355:SIB655357 SRM655355:SRX655357 TBI655355:TBT655357 TLE655355:TLP655357 TVA655355:TVL655357 UEW655355:UFH655357 UOS655355:UPD655357 UYO655355:UYZ655357 VIK655355:VIV655357 VSG655355:VSR655357 WCC655355:WCN655357 WLY655355:WMJ655357 WVU655355:WWF655357 JI720891:JT720893 TE720891:TP720893 ADA720891:ADL720893 AMW720891:ANH720893 AWS720891:AXD720893 BGO720891:BGZ720893 BQK720891:BQV720893 CAG720891:CAR720893 CKC720891:CKN720893 CTY720891:CUJ720893 DDU720891:DEF720893 DNQ720891:DOB720893 DXM720891:DXX720893 EHI720891:EHT720893 ERE720891:ERP720893 FBA720891:FBL720893 FKW720891:FLH720893 FUS720891:FVD720893 GEO720891:GEZ720893 GOK720891:GOV720893 GYG720891:GYR720893 HIC720891:HIN720893 HRY720891:HSJ720893 IBU720891:ICF720893 ILQ720891:IMB720893 IVM720891:IVX720893 JFI720891:JFT720893 JPE720891:JPP720893 JZA720891:JZL720893 KIW720891:KJH720893 KSS720891:KTD720893 LCO720891:LCZ720893 LMK720891:LMV720893 LWG720891:LWR720893 MGC720891:MGN720893 MPY720891:MQJ720893 MZU720891:NAF720893 NJQ720891:NKB720893 NTM720891:NTX720893 ODI720891:ODT720893 ONE720891:ONP720893 OXA720891:OXL720893 PGW720891:PHH720893 PQS720891:PRD720893 QAO720891:QAZ720893 QKK720891:QKV720893 QUG720891:QUR720893 REC720891:REN720893 RNY720891:ROJ720893 RXU720891:RYF720893 SHQ720891:SIB720893 SRM720891:SRX720893 TBI720891:TBT720893 TLE720891:TLP720893 TVA720891:TVL720893 UEW720891:UFH720893 UOS720891:UPD720893 UYO720891:UYZ720893 VIK720891:VIV720893 VSG720891:VSR720893 WCC720891:WCN720893 WLY720891:WMJ720893 WVU720891:WWF720893 JI786427:JT786429 TE786427:TP786429 ADA786427:ADL786429 AMW786427:ANH786429 AWS786427:AXD786429 BGO786427:BGZ786429 BQK786427:BQV786429 CAG786427:CAR786429 CKC786427:CKN786429 CTY786427:CUJ786429 DDU786427:DEF786429 DNQ786427:DOB786429 DXM786427:DXX786429 EHI786427:EHT786429 ERE786427:ERP786429 FBA786427:FBL786429 FKW786427:FLH786429 FUS786427:FVD786429 GEO786427:GEZ786429 GOK786427:GOV786429 GYG786427:GYR786429 HIC786427:HIN786429 HRY786427:HSJ786429 IBU786427:ICF786429 ILQ786427:IMB786429 IVM786427:IVX786429 JFI786427:JFT786429 JPE786427:JPP786429 JZA786427:JZL786429 KIW786427:KJH786429 KSS786427:KTD786429 LCO786427:LCZ786429 LMK786427:LMV786429 LWG786427:LWR786429 MGC786427:MGN786429 MPY786427:MQJ786429 MZU786427:NAF786429 NJQ786427:NKB786429 NTM786427:NTX786429 ODI786427:ODT786429 ONE786427:ONP786429 OXA786427:OXL786429 PGW786427:PHH786429 PQS786427:PRD786429 QAO786427:QAZ786429 QKK786427:QKV786429 QUG786427:QUR786429 REC786427:REN786429 RNY786427:ROJ786429 RXU786427:RYF786429 SHQ786427:SIB786429 SRM786427:SRX786429 TBI786427:TBT786429 TLE786427:TLP786429 TVA786427:TVL786429 UEW786427:UFH786429 UOS786427:UPD786429 UYO786427:UYZ786429 VIK786427:VIV786429 VSG786427:VSR786429 WCC786427:WCN786429 WLY786427:WMJ786429 WVU786427:WWF786429 JI851963:JT851965 TE851963:TP851965 ADA851963:ADL851965 AMW851963:ANH851965 AWS851963:AXD851965 BGO851963:BGZ851965 BQK851963:BQV851965 CAG851963:CAR851965 CKC851963:CKN851965 CTY851963:CUJ851965 DDU851963:DEF851965 DNQ851963:DOB851965 DXM851963:DXX851965 EHI851963:EHT851965 ERE851963:ERP851965 FBA851963:FBL851965 FKW851963:FLH851965 FUS851963:FVD851965 GEO851963:GEZ851965 GOK851963:GOV851965 GYG851963:GYR851965 HIC851963:HIN851965 HRY851963:HSJ851965 IBU851963:ICF851965 ILQ851963:IMB851965 IVM851963:IVX851965 JFI851963:JFT851965 JPE851963:JPP851965 JZA851963:JZL851965 KIW851963:KJH851965 KSS851963:KTD851965 LCO851963:LCZ851965 LMK851963:LMV851965 LWG851963:LWR851965 MGC851963:MGN851965 MPY851963:MQJ851965 MZU851963:NAF851965 NJQ851963:NKB851965 NTM851963:NTX851965 ODI851963:ODT851965 ONE851963:ONP851965 OXA851963:OXL851965 PGW851963:PHH851965 PQS851963:PRD851965 QAO851963:QAZ851965 QKK851963:QKV851965 QUG851963:QUR851965 REC851963:REN851965 RNY851963:ROJ851965 RXU851963:RYF851965 SHQ851963:SIB851965 SRM851963:SRX851965 TBI851963:TBT851965 TLE851963:TLP851965 TVA851963:TVL851965 UEW851963:UFH851965 UOS851963:UPD851965 UYO851963:UYZ851965 VIK851963:VIV851965 VSG851963:VSR851965 WCC851963:WCN851965 WLY851963:WMJ851965 WVU851963:WWF851965 JI917499:JT917501 TE917499:TP917501 ADA917499:ADL917501 AMW917499:ANH917501 AWS917499:AXD917501 BGO917499:BGZ917501 BQK917499:BQV917501 CAG917499:CAR917501 CKC917499:CKN917501 CTY917499:CUJ917501 DDU917499:DEF917501 DNQ917499:DOB917501 DXM917499:DXX917501 EHI917499:EHT917501 ERE917499:ERP917501 FBA917499:FBL917501 FKW917499:FLH917501 FUS917499:FVD917501 GEO917499:GEZ917501 GOK917499:GOV917501 GYG917499:GYR917501 HIC917499:HIN917501 HRY917499:HSJ917501 IBU917499:ICF917501 ILQ917499:IMB917501 IVM917499:IVX917501 JFI917499:JFT917501 JPE917499:JPP917501 JZA917499:JZL917501 KIW917499:KJH917501 KSS917499:KTD917501 LCO917499:LCZ917501 LMK917499:LMV917501 LWG917499:LWR917501 MGC917499:MGN917501 MPY917499:MQJ917501 MZU917499:NAF917501 NJQ917499:NKB917501 NTM917499:NTX917501 ODI917499:ODT917501 ONE917499:ONP917501 OXA917499:OXL917501 PGW917499:PHH917501 PQS917499:PRD917501 QAO917499:QAZ917501 QKK917499:QKV917501 QUG917499:QUR917501 REC917499:REN917501 RNY917499:ROJ917501 RXU917499:RYF917501 SHQ917499:SIB917501 SRM917499:SRX917501 TBI917499:TBT917501 TLE917499:TLP917501 TVA917499:TVL917501 UEW917499:UFH917501 UOS917499:UPD917501 UYO917499:UYZ917501 VIK917499:VIV917501 VSG917499:VSR917501 WCC917499:WCN917501 WLY917499:WMJ917501 WVU917499:WWF917501 JI983035:JT983037 TE983035:TP983037 ADA983035:ADL983037 AMW983035:ANH983037 AWS983035:AXD983037 BGO983035:BGZ983037 BQK983035:BQV983037 CAG983035:CAR983037 CKC983035:CKN983037 CTY983035:CUJ983037 DDU983035:DEF983037 DNQ983035:DOB983037 DXM983035:DXX983037 EHI983035:EHT983037 ERE983035:ERP983037 FBA983035:FBL983037 FKW983035:FLH983037 FUS983035:FVD983037 GEO983035:GEZ983037 GOK983035:GOV983037 GYG983035:GYR983037 HIC983035:HIN983037 HRY983035:HSJ983037 IBU983035:ICF983037 ILQ983035:IMB983037 IVM983035:IVX983037 JFI983035:JFT983037 JPE983035:JPP983037 JZA983035:JZL983037 KIW983035:KJH983037 KSS983035:KTD983037 LCO983035:LCZ983037 LMK983035:LMV983037 LWG983035:LWR983037 MGC983035:MGN983037 MPY983035:MQJ983037 MZU983035:NAF983037 NJQ983035:NKB983037 NTM983035:NTX983037 ODI983035:ODT983037 ONE983035:ONP983037 OXA983035:OXL983037 PGW983035:PHH983037 PQS983035:PRD983037 QAO983035:QAZ983037 QKK983035:QKV983037 QUG983035:QUR983037 REC983035:REN983037 RNY983035:ROJ983037 RXU983035:RYF983037 SHQ983035:SIB983037 SRM983035:SRX983037 TBI983035:TBT983037 TLE983035:TLP983037 TVA983035:TVL983037 UEW983035:UFH983037 UOS983035:UPD983037 UYO983035:UYZ983037 VIK983035:VIV983037 VSG983035:VSR983037 WCC983035:WCN983037 WLY983035:WMJ983037 WVU983035:WWF983037 Z262139:AJ262141 Z196603:AJ196605 Z131067:AJ131069 Z65531:AJ65533 Z983035:AJ983037 Z917499:AJ917501 Z851963:AJ851965 Z786427:AJ786429 Z720891:AJ720893 Z655355:AJ655357 Z589819:AJ589821 Z524283:AJ524285 Z458747:AJ458749 Z393211:AJ393213 Z327675:AJ327677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>
      <c r="A1" s="396" t="s">
        <v>78</v>
      </c>
      <c r="B1" s="397"/>
      <c r="C1" s="397"/>
      <c r="D1" s="397"/>
      <c r="E1" s="397"/>
      <c r="F1" s="397"/>
      <c r="G1" s="397"/>
      <c r="H1" s="398"/>
      <c r="I1" s="336" t="s">
        <v>79</v>
      </c>
      <c r="J1" s="337"/>
      <c r="K1" s="337"/>
      <c r="L1" s="337"/>
      <c r="M1" s="337"/>
      <c r="N1" s="337"/>
      <c r="O1" s="337"/>
      <c r="P1" s="337"/>
      <c r="Q1" s="338"/>
      <c r="R1" s="336" t="s">
        <v>80</v>
      </c>
      <c r="S1" s="337"/>
      <c r="T1" s="337"/>
      <c r="U1" s="337"/>
      <c r="V1" s="337"/>
      <c r="W1" s="337"/>
      <c r="X1" s="338"/>
      <c r="Y1" s="336" t="s">
        <v>135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8"/>
      <c r="AP1" s="407" t="s">
        <v>82</v>
      </c>
      <c r="AQ1" s="408"/>
      <c r="AR1" s="408"/>
      <c r="AS1" s="408"/>
      <c r="AT1" s="409"/>
      <c r="AU1" s="407" t="s">
        <v>83</v>
      </c>
      <c r="AV1" s="408"/>
      <c r="AW1" s="408"/>
      <c r="AX1" s="408"/>
      <c r="AY1" s="409"/>
      <c r="AZ1" s="407" t="s">
        <v>84</v>
      </c>
      <c r="BA1" s="408"/>
      <c r="BB1" s="408"/>
      <c r="BC1" s="408"/>
      <c r="BD1" s="409"/>
    </row>
    <row r="2" spans="1:57" s="17" customFormat="1" ht="14.4" customHeight="1">
      <c r="A2" s="399"/>
      <c r="B2" s="400"/>
      <c r="C2" s="400"/>
      <c r="D2" s="400"/>
      <c r="E2" s="400"/>
      <c r="F2" s="400"/>
      <c r="G2" s="400"/>
      <c r="H2" s="401"/>
      <c r="I2" s="366" t="s">
        <v>85</v>
      </c>
      <c r="J2" s="367"/>
      <c r="K2" s="367"/>
      <c r="L2" s="367"/>
      <c r="M2" s="367"/>
      <c r="N2" s="367"/>
      <c r="O2" s="367"/>
      <c r="P2" s="367"/>
      <c r="Q2" s="368"/>
      <c r="R2" s="366" t="str">
        <f ca="1">VLOOKUP(RIGHT(CELL("filename",A2),LEN(CELL("filename",A2))-FIND("]",CELL("filename",A2))),テーブル一覧!B:AD,22,FALSE)</f>
        <v>B.生産計画</v>
      </c>
      <c r="S2" s="367"/>
      <c r="T2" s="367"/>
      <c r="U2" s="367"/>
      <c r="V2" s="367"/>
      <c r="W2" s="367"/>
      <c r="X2" s="368"/>
      <c r="Y2" s="366" t="str">
        <f ca="1">VLOOKUP(RIGHT(CELL("filename",A2),LEN(CELL("filename",A2))-FIND("]",CELL("filename",A2))),テーブル一覧!B:AD,1,FALSE)</f>
        <v>生産指示情報（調薬）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8"/>
      <c r="AP2" s="339"/>
      <c r="AQ2" s="340"/>
      <c r="AR2" s="340"/>
      <c r="AS2" s="340"/>
      <c r="AT2" s="341"/>
      <c r="AU2" s="58" t="s">
        <v>88</v>
      </c>
      <c r="AV2" s="59"/>
      <c r="AW2" s="59"/>
      <c r="AX2" s="59"/>
      <c r="AY2" s="60"/>
      <c r="AZ2" s="413" t="s">
        <v>89</v>
      </c>
      <c r="BA2" s="414"/>
      <c r="BB2" s="414"/>
      <c r="BC2" s="414"/>
      <c r="BD2" s="415"/>
    </row>
    <row r="3" spans="1:57" s="17" customFormat="1" ht="14.4" customHeight="1">
      <c r="A3" s="399"/>
      <c r="B3" s="400"/>
      <c r="C3" s="400"/>
      <c r="D3" s="400"/>
      <c r="E3" s="400"/>
      <c r="F3" s="400"/>
      <c r="G3" s="400"/>
      <c r="H3" s="401"/>
      <c r="I3" s="369"/>
      <c r="J3" s="370"/>
      <c r="K3" s="370"/>
      <c r="L3" s="370"/>
      <c r="M3" s="370"/>
      <c r="N3" s="370"/>
      <c r="O3" s="370"/>
      <c r="P3" s="370"/>
      <c r="Q3" s="371"/>
      <c r="R3" s="369"/>
      <c r="S3" s="370"/>
      <c r="T3" s="370"/>
      <c r="U3" s="370"/>
      <c r="V3" s="370"/>
      <c r="W3" s="370"/>
      <c r="X3" s="371"/>
      <c r="Y3" s="372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4"/>
      <c r="AP3" s="342"/>
      <c r="AQ3" s="343"/>
      <c r="AR3" s="343"/>
      <c r="AS3" s="343"/>
      <c r="AT3" s="344"/>
      <c r="AU3" s="410"/>
      <c r="AV3" s="411"/>
      <c r="AW3" s="411"/>
      <c r="AX3" s="411"/>
      <c r="AY3" s="412"/>
      <c r="AZ3" s="413"/>
      <c r="BA3" s="414"/>
      <c r="BB3" s="414"/>
      <c r="BC3" s="414"/>
      <c r="BD3" s="415"/>
    </row>
    <row r="4" spans="1:57" s="17" customFormat="1" ht="14.4" customHeight="1">
      <c r="A4" s="402"/>
      <c r="B4" s="403"/>
      <c r="C4" s="403"/>
      <c r="D4" s="403"/>
      <c r="E4" s="403"/>
      <c r="F4" s="403"/>
      <c r="G4" s="403"/>
      <c r="H4" s="404"/>
      <c r="I4" s="372"/>
      <c r="J4" s="373"/>
      <c r="K4" s="373"/>
      <c r="L4" s="373"/>
      <c r="M4" s="373"/>
      <c r="N4" s="373"/>
      <c r="O4" s="373"/>
      <c r="P4" s="373"/>
      <c r="Q4" s="374"/>
      <c r="R4" s="372"/>
      <c r="S4" s="373"/>
      <c r="T4" s="373"/>
      <c r="U4" s="373"/>
      <c r="V4" s="373"/>
      <c r="W4" s="373"/>
      <c r="X4" s="374"/>
      <c r="Y4" s="41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t_seisan_shiji_choyaku</v>
      </c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8"/>
      <c r="AP4" s="342"/>
      <c r="AQ4" s="343"/>
      <c r="AR4" s="343"/>
      <c r="AS4" s="343"/>
      <c r="AT4" s="344"/>
      <c r="AU4" s="410"/>
      <c r="AV4" s="411"/>
      <c r="AW4" s="411"/>
      <c r="AX4" s="411"/>
      <c r="AY4" s="412"/>
      <c r="AZ4" s="413"/>
      <c r="BA4" s="414"/>
      <c r="BB4" s="414"/>
      <c r="BC4" s="414"/>
      <c r="BD4" s="415"/>
    </row>
    <row r="6" spans="1:57" ht="14.4" customHeight="1">
      <c r="A6" s="405" t="s">
        <v>90</v>
      </c>
      <c r="B6" s="386" t="s">
        <v>136</v>
      </c>
      <c r="C6" s="394"/>
      <c r="D6" s="394"/>
      <c r="E6" s="394"/>
      <c r="F6" s="394"/>
      <c r="G6" s="394"/>
      <c r="H6" s="387"/>
      <c r="I6" s="386" t="s">
        <v>137</v>
      </c>
      <c r="J6" s="394"/>
      <c r="K6" s="394"/>
      <c r="L6" s="394"/>
      <c r="M6" s="394"/>
      <c r="N6" s="394"/>
      <c r="O6" s="394"/>
      <c r="P6" s="394"/>
      <c r="Q6" s="387"/>
      <c r="R6" s="386" t="s">
        <v>138</v>
      </c>
      <c r="S6" s="394"/>
      <c r="T6" s="394"/>
      <c r="U6" s="394"/>
      <c r="V6" s="394"/>
      <c r="W6" s="394"/>
      <c r="X6" s="387"/>
      <c r="Y6" s="386" t="s">
        <v>139</v>
      </c>
      <c r="Z6" s="387"/>
      <c r="AA6" s="386" t="s">
        <v>140</v>
      </c>
      <c r="AB6" s="394"/>
      <c r="AC6" s="387"/>
      <c r="AD6" s="390" t="s">
        <v>141</v>
      </c>
      <c r="AE6" s="392" t="s">
        <v>142</v>
      </c>
      <c r="AF6" s="390" t="s">
        <v>143</v>
      </c>
      <c r="AG6" s="390" t="s">
        <v>144</v>
      </c>
      <c r="AH6" s="390" t="s">
        <v>145</v>
      </c>
      <c r="AI6" s="383" t="s">
        <v>146</v>
      </c>
      <c r="AJ6" s="384"/>
      <c r="AK6" s="384"/>
      <c r="AL6" s="384"/>
      <c r="AM6" s="384"/>
      <c r="AN6" s="384"/>
      <c r="AO6" s="384"/>
      <c r="AP6" s="384"/>
      <c r="AQ6" s="384"/>
      <c r="AR6" s="385"/>
      <c r="AS6" s="386" t="s">
        <v>147</v>
      </c>
      <c r="AT6" s="394"/>
      <c r="AU6" s="394"/>
      <c r="AV6" s="394"/>
      <c r="AW6" s="394"/>
      <c r="AX6" s="394"/>
      <c r="AY6" s="394"/>
      <c r="AZ6" s="394"/>
      <c r="BA6" s="394"/>
      <c r="BB6" s="394"/>
      <c r="BC6" s="394"/>
      <c r="BD6" s="387"/>
    </row>
    <row r="7" spans="1:57" ht="14.4" customHeight="1">
      <c r="A7" s="406"/>
      <c r="B7" s="388"/>
      <c r="C7" s="395"/>
      <c r="D7" s="395"/>
      <c r="E7" s="395"/>
      <c r="F7" s="395"/>
      <c r="G7" s="395"/>
      <c r="H7" s="389"/>
      <c r="I7" s="388"/>
      <c r="J7" s="395"/>
      <c r="K7" s="395"/>
      <c r="L7" s="395"/>
      <c r="M7" s="395"/>
      <c r="N7" s="395"/>
      <c r="O7" s="395"/>
      <c r="P7" s="395"/>
      <c r="Q7" s="389"/>
      <c r="R7" s="388"/>
      <c r="S7" s="395"/>
      <c r="T7" s="395"/>
      <c r="U7" s="395"/>
      <c r="V7" s="395"/>
      <c r="W7" s="395"/>
      <c r="X7" s="389"/>
      <c r="Y7" s="388"/>
      <c r="Z7" s="389"/>
      <c r="AA7" s="388"/>
      <c r="AB7" s="395"/>
      <c r="AC7" s="389"/>
      <c r="AD7" s="391"/>
      <c r="AE7" s="393"/>
      <c r="AF7" s="391"/>
      <c r="AG7" s="391"/>
      <c r="AH7" s="39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88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89"/>
    </row>
    <row r="8" spans="1:57" ht="14.4" customHeight="1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419" t="s">
        <v>150</v>
      </c>
      <c r="Z8" s="420"/>
      <c r="AA8" s="421" t="s">
        <v>151</v>
      </c>
      <c r="AB8" s="422"/>
      <c r="AC8" s="423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" customHeight="1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419" t="s">
        <v>150</v>
      </c>
      <c r="Z9" s="420"/>
      <c r="AA9" s="421" t="s">
        <v>151</v>
      </c>
      <c r="AB9" s="422"/>
      <c r="AC9" s="423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" customHeight="1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24" t="s">
        <v>401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419" t="s">
        <v>150</v>
      </c>
      <c r="Z10" s="420"/>
      <c r="AA10" s="421" t="s">
        <v>151</v>
      </c>
      <c r="AB10" s="422"/>
      <c r="AC10" s="423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s="1" customFormat="1" ht="14.4" customHeight="1">
      <c r="A11" s="131">
        <f>IF(B11="","",COUNTA($B$8:B11))</f>
        <v>4</v>
      </c>
      <c r="B11" s="64" t="s">
        <v>193</v>
      </c>
      <c r="C11" s="2"/>
      <c r="D11" s="2"/>
      <c r="E11" s="2"/>
      <c r="F11" s="2"/>
      <c r="G11" s="2"/>
      <c r="H11" s="3" t="s">
        <v>401</v>
      </c>
      <c r="I11" s="118" t="s">
        <v>194</v>
      </c>
      <c r="J11" s="116"/>
      <c r="K11" s="116"/>
      <c r="L11" s="116"/>
      <c r="M11" s="116"/>
      <c r="N11" s="116"/>
      <c r="O11" s="2"/>
      <c r="P11" s="116"/>
      <c r="Q11" s="134"/>
      <c r="R11" s="64" t="s">
        <v>193</v>
      </c>
      <c r="S11" s="116"/>
      <c r="T11" s="116"/>
      <c r="U11" s="116"/>
      <c r="V11" s="116"/>
      <c r="W11" s="116"/>
      <c r="X11" s="134"/>
      <c r="Y11" s="424" t="s">
        <v>150</v>
      </c>
      <c r="Z11" s="425"/>
      <c r="AA11" s="426" t="s">
        <v>151</v>
      </c>
      <c r="AB11" s="427"/>
      <c r="AC11" s="428"/>
      <c r="AD11" s="126">
        <v>5</v>
      </c>
      <c r="AE11" s="29"/>
      <c r="AF11" s="29"/>
      <c r="AG11" s="29"/>
      <c r="AH11" s="120"/>
      <c r="AI11" s="120"/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7" s="1" customFormat="1" ht="14.4" customHeight="1">
      <c r="A12" s="131">
        <f>IF(B12="","",COUNTA($B$8:B12))</f>
        <v>5</v>
      </c>
      <c r="B12" s="8" t="s">
        <v>195</v>
      </c>
      <c r="C12" s="2"/>
      <c r="D12" s="2"/>
      <c r="E12" s="2"/>
      <c r="F12" s="2"/>
      <c r="G12" s="2"/>
      <c r="H12" s="3" t="s">
        <v>401</v>
      </c>
      <c r="I12" s="118" t="s">
        <v>196</v>
      </c>
      <c r="J12" s="116"/>
      <c r="K12" s="116"/>
      <c r="L12" s="116"/>
      <c r="M12" s="116"/>
      <c r="N12" s="116"/>
      <c r="O12" s="116"/>
      <c r="P12" s="116"/>
      <c r="Q12" s="134"/>
      <c r="R12" s="64" t="s">
        <v>195</v>
      </c>
      <c r="S12" s="116"/>
      <c r="T12" s="116"/>
      <c r="U12" s="116"/>
      <c r="V12" s="116"/>
      <c r="W12" s="116"/>
      <c r="X12" s="134"/>
      <c r="Y12" s="424" t="s">
        <v>150</v>
      </c>
      <c r="Z12" s="425"/>
      <c r="AA12" s="426" t="s">
        <v>151</v>
      </c>
      <c r="AB12" s="427"/>
      <c r="AC12" s="428"/>
      <c r="AD12" s="267">
        <v>80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  <c r="BE12" s="18" t="s">
        <v>1513</v>
      </c>
    </row>
    <row r="13" spans="1:57" s="1" customFormat="1" ht="14.4" customHeight="1">
      <c r="A13" s="131">
        <f>IF(B13="","",COUNTA($B$8:B13))</f>
        <v>6</v>
      </c>
      <c r="B13" s="8" t="s">
        <v>197</v>
      </c>
      <c r="C13" s="114"/>
      <c r="D13" s="114"/>
      <c r="E13" s="114"/>
      <c r="F13" s="114"/>
      <c r="G13" s="114"/>
      <c r="H13" s="3" t="s">
        <v>401</v>
      </c>
      <c r="I13" s="118" t="s">
        <v>198</v>
      </c>
      <c r="J13" s="116"/>
      <c r="K13" s="116"/>
      <c r="L13" s="116"/>
      <c r="M13" s="116"/>
      <c r="N13" s="116"/>
      <c r="O13" s="116"/>
      <c r="P13" s="116"/>
      <c r="Q13" s="134"/>
      <c r="R13" s="8" t="s">
        <v>197</v>
      </c>
      <c r="S13" s="116"/>
      <c r="T13" s="116"/>
      <c r="U13" s="116"/>
      <c r="V13" s="116"/>
      <c r="W13" s="116"/>
      <c r="X13" s="134"/>
      <c r="Y13" s="424" t="s">
        <v>150</v>
      </c>
      <c r="Z13" s="425"/>
      <c r="AA13" s="426" t="s">
        <v>151</v>
      </c>
      <c r="AB13" s="427"/>
      <c r="AC13" s="428"/>
      <c r="AD13" s="126">
        <v>5</v>
      </c>
      <c r="AE13" s="29"/>
      <c r="AF13" s="29"/>
      <c r="AG13" s="29"/>
      <c r="AH13" s="120"/>
      <c r="AI13" s="120"/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7" s="1" customFormat="1" ht="14.4" customHeight="1">
      <c r="A14" s="131">
        <f>IF(B14="","",COUNTA($B$8:B14))</f>
        <v>7</v>
      </c>
      <c r="B14" s="132" t="s">
        <v>199</v>
      </c>
      <c r="C14" s="114"/>
      <c r="D14" s="114"/>
      <c r="E14" s="114"/>
      <c r="F14" s="114"/>
      <c r="G14" s="114"/>
      <c r="H14" s="3" t="s">
        <v>401</v>
      </c>
      <c r="I14" s="118" t="s">
        <v>200</v>
      </c>
      <c r="J14" s="116"/>
      <c r="K14" s="116"/>
      <c r="L14" s="116"/>
      <c r="M14" s="116"/>
      <c r="N14" s="116"/>
      <c r="O14" s="116"/>
      <c r="P14" s="116"/>
      <c r="Q14" s="134"/>
      <c r="R14" s="8" t="s">
        <v>199</v>
      </c>
      <c r="S14" s="116"/>
      <c r="T14" s="116"/>
      <c r="U14" s="116"/>
      <c r="V14" s="116"/>
      <c r="W14" s="116"/>
      <c r="X14" s="134"/>
      <c r="Y14" s="424" t="s">
        <v>150</v>
      </c>
      <c r="Z14" s="425"/>
      <c r="AA14" s="426" t="s">
        <v>151</v>
      </c>
      <c r="AB14" s="427"/>
      <c r="AC14" s="428"/>
      <c r="AD14" s="126">
        <v>20</v>
      </c>
      <c r="AE14" s="29"/>
      <c r="AF14" s="29"/>
      <c r="AG14" s="29"/>
      <c r="AH14" s="120"/>
      <c r="AI14" s="120"/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7" s="1" customFormat="1" ht="14.4" customHeight="1">
      <c r="A15" s="131">
        <f>IF(B15="","",COUNTA($B$8:B15))</f>
        <v>8</v>
      </c>
      <c r="B15" s="8" t="s">
        <v>201</v>
      </c>
      <c r="C15" s="114"/>
      <c r="D15" s="114"/>
      <c r="E15" s="114"/>
      <c r="F15" s="114"/>
      <c r="G15" s="114"/>
      <c r="H15" s="3" t="s">
        <v>401</v>
      </c>
      <c r="I15" s="118" t="s">
        <v>202</v>
      </c>
      <c r="J15" s="116"/>
      <c r="K15" s="116"/>
      <c r="L15" s="116"/>
      <c r="M15" s="116"/>
      <c r="N15" s="116"/>
      <c r="O15" s="116"/>
      <c r="P15" s="116"/>
      <c r="Q15" s="134"/>
      <c r="R15" s="8" t="s">
        <v>201</v>
      </c>
      <c r="S15" s="116"/>
      <c r="T15" s="116"/>
      <c r="U15" s="116"/>
      <c r="V15" s="116"/>
      <c r="W15" s="116"/>
      <c r="X15" s="134"/>
      <c r="Y15" s="424" t="s">
        <v>150</v>
      </c>
      <c r="Z15" s="425"/>
      <c r="AA15" s="426" t="s">
        <v>151</v>
      </c>
      <c r="AB15" s="427"/>
      <c r="AC15" s="428"/>
      <c r="AD15" s="126">
        <v>30</v>
      </c>
      <c r="AE15" s="29"/>
      <c r="AF15" s="29"/>
      <c r="AG15" s="29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7" s="1" customFormat="1" ht="14.4" customHeight="1">
      <c r="A16" s="131">
        <f>IF(B16="","",COUNTA($B$8:B16))</f>
        <v>9</v>
      </c>
      <c r="B16" s="8" t="s">
        <v>203</v>
      </c>
      <c r="C16" s="114"/>
      <c r="D16" s="114"/>
      <c r="E16" s="114"/>
      <c r="F16" s="114"/>
      <c r="G16" s="114"/>
      <c r="H16" s="3" t="s">
        <v>401</v>
      </c>
      <c r="I16" s="118" t="s">
        <v>204</v>
      </c>
      <c r="J16" s="116"/>
      <c r="K16" s="116"/>
      <c r="L16" s="116"/>
      <c r="M16" s="116"/>
      <c r="N16" s="116"/>
      <c r="O16" s="153"/>
      <c r="P16" s="116"/>
      <c r="Q16" s="134"/>
      <c r="R16" s="8" t="s">
        <v>203</v>
      </c>
      <c r="S16" s="116"/>
      <c r="T16" s="116"/>
      <c r="U16" s="116"/>
      <c r="V16" s="116"/>
      <c r="W16" s="116"/>
      <c r="X16" s="134"/>
      <c r="Y16" s="424" t="s">
        <v>155</v>
      </c>
      <c r="Z16" s="425"/>
      <c r="AA16" s="426" t="s">
        <v>156</v>
      </c>
      <c r="AB16" s="427"/>
      <c r="AC16" s="428"/>
      <c r="AD16" s="126">
        <v>5</v>
      </c>
      <c r="AE16" s="29">
        <v>2</v>
      </c>
      <c r="AF16" s="29"/>
      <c r="AG16" s="29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/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6" s="1" customFormat="1" ht="14.4" customHeight="1">
      <c r="A17" s="131">
        <f>IF(B17="","",COUNTA($B$8:B17))</f>
        <v>10</v>
      </c>
      <c r="B17" s="64" t="s">
        <v>205</v>
      </c>
      <c r="C17" s="2"/>
      <c r="D17" s="2"/>
      <c r="E17" s="2"/>
      <c r="F17" s="2"/>
      <c r="G17" s="2"/>
      <c r="H17" s="3" t="s">
        <v>401</v>
      </c>
      <c r="I17" s="118" t="s">
        <v>206</v>
      </c>
      <c r="J17" s="116"/>
      <c r="K17" s="116"/>
      <c r="L17" s="116"/>
      <c r="M17" s="116"/>
      <c r="N17" s="116"/>
      <c r="O17" s="2"/>
      <c r="P17" s="116"/>
      <c r="Q17" s="134"/>
      <c r="R17" s="64" t="s">
        <v>205</v>
      </c>
      <c r="S17" s="116"/>
      <c r="T17" s="116"/>
      <c r="U17" s="116"/>
      <c r="V17" s="116"/>
      <c r="W17" s="116"/>
      <c r="X17" s="134"/>
      <c r="Y17" s="424" t="s">
        <v>155</v>
      </c>
      <c r="Z17" s="425"/>
      <c r="AA17" s="426" t="s">
        <v>156</v>
      </c>
      <c r="AB17" s="427"/>
      <c r="AC17" s="428"/>
      <c r="AD17" s="126">
        <v>4</v>
      </c>
      <c r="AE17" s="29"/>
      <c r="AF17" s="29"/>
      <c r="AG17" s="29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/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6" s="1" customFormat="1" ht="14.4" customHeight="1">
      <c r="A18" s="131">
        <f>IF(B18="","",COUNTA($B$8:B18))</f>
        <v>11</v>
      </c>
      <c r="B18" s="64" t="s">
        <v>208</v>
      </c>
      <c r="C18" s="2"/>
      <c r="D18" s="2"/>
      <c r="E18" s="2"/>
      <c r="F18" s="2"/>
      <c r="G18" s="2"/>
      <c r="H18" s="3" t="s">
        <v>401</v>
      </c>
      <c r="I18" s="118" t="s">
        <v>209</v>
      </c>
      <c r="J18" s="116"/>
      <c r="K18" s="116"/>
      <c r="L18" s="116"/>
      <c r="M18" s="116"/>
      <c r="N18" s="116"/>
      <c r="O18" s="2"/>
      <c r="P18" s="116"/>
      <c r="Q18" s="134"/>
      <c r="R18" s="64" t="s">
        <v>208</v>
      </c>
      <c r="S18" s="116"/>
      <c r="T18" s="116"/>
      <c r="U18" s="116"/>
      <c r="V18" s="116"/>
      <c r="W18" s="116"/>
      <c r="X18" s="134"/>
      <c r="Y18" s="424" t="s">
        <v>155</v>
      </c>
      <c r="Z18" s="425"/>
      <c r="AA18" s="426" t="s">
        <v>156</v>
      </c>
      <c r="AB18" s="427"/>
      <c r="AC18" s="428"/>
      <c r="AD18" s="126">
        <v>5</v>
      </c>
      <c r="AE18" s="29"/>
      <c r="AF18" s="29"/>
      <c r="AG18" s="29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6" ht="14.4" customHeight="1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419" t="s">
        <v>150</v>
      </c>
      <c r="Z19" s="420"/>
      <c r="AA19" s="421" t="s">
        <v>151</v>
      </c>
      <c r="AB19" s="422"/>
      <c r="AC19" s="423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>
      <c r="A20" s="70">
        <f>IF(B20="","",COUNTA($B$8:B20))</f>
        <v>13</v>
      </c>
      <c r="B20" s="19" t="s">
        <v>1423</v>
      </c>
      <c r="C20" s="20"/>
      <c r="D20" s="20"/>
      <c r="E20" s="20"/>
      <c r="F20" s="20"/>
      <c r="G20" s="20"/>
      <c r="H20" s="24"/>
      <c r="I20" s="31" t="s">
        <v>1378</v>
      </c>
      <c r="J20" s="23"/>
      <c r="K20" s="23"/>
      <c r="L20" s="23"/>
      <c r="M20" s="23"/>
      <c r="N20" s="23"/>
      <c r="O20" s="38"/>
      <c r="P20" s="23"/>
      <c r="Q20" s="24"/>
      <c r="R20" s="19" t="s">
        <v>1423</v>
      </c>
      <c r="S20" s="23"/>
      <c r="T20" s="23"/>
      <c r="U20" s="23"/>
      <c r="V20" s="23"/>
      <c r="W20" s="23"/>
      <c r="X20" s="24"/>
      <c r="Y20" s="419" t="s">
        <v>150</v>
      </c>
      <c r="Z20" s="420"/>
      <c r="AA20" s="421" t="s">
        <v>151</v>
      </c>
      <c r="AB20" s="422"/>
      <c r="AC20" s="423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>
      <c r="A21" s="70">
        <f>IF(B21="","",COUNTA($B$8:B21))</f>
        <v>14</v>
      </c>
      <c r="B21" s="19" t="s">
        <v>375</v>
      </c>
      <c r="C21" s="20"/>
      <c r="D21" s="20"/>
      <c r="E21" s="20"/>
      <c r="F21" s="20"/>
      <c r="G21" s="20"/>
      <c r="H21" s="24"/>
      <c r="I21" s="31" t="s">
        <v>376</v>
      </c>
      <c r="J21" s="23"/>
      <c r="K21" s="23"/>
      <c r="L21" s="23"/>
      <c r="M21" s="23"/>
      <c r="N21" s="23"/>
      <c r="O21" s="38"/>
      <c r="P21" s="23"/>
      <c r="Q21" s="24"/>
      <c r="R21" s="22" t="s">
        <v>375</v>
      </c>
      <c r="S21" s="23"/>
      <c r="T21" s="23"/>
      <c r="U21" s="23"/>
      <c r="V21" s="23"/>
      <c r="W21" s="23"/>
      <c r="X21" s="24"/>
      <c r="Y21" s="419" t="s">
        <v>169</v>
      </c>
      <c r="Z21" s="420"/>
      <c r="AA21" s="421" t="s">
        <v>170</v>
      </c>
      <c r="AB21" s="422"/>
      <c r="AC21" s="423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 t="s">
        <v>377</v>
      </c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>
      <c r="A22" s="70">
        <f>IF(B22="","",COUNTA($B$8:B22))</f>
        <v>15</v>
      </c>
      <c r="B22" s="19" t="s">
        <v>249</v>
      </c>
      <c r="C22" s="20"/>
      <c r="D22" s="20"/>
      <c r="E22" s="20"/>
      <c r="F22" s="20"/>
      <c r="G22" s="20"/>
      <c r="H22" s="24"/>
      <c r="I22" s="31" t="s">
        <v>250</v>
      </c>
      <c r="J22" s="23"/>
      <c r="K22" s="23"/>
      <c r="L22" s="23"/>
      <c r="M22" s="23"/>
      <c r="N22" s="23"/>
      <c r="O22" s="23"/>
      <c r="P22" s="23"/>
      <c r="Q22" s="37"/>
      <c r="R22" s="19" t="s">
        <v>249</v>
      </c>
      <c r="S22" s="23"/>
      <c r="T22" s="23"/>
      <c r="U22" s="23"/>
      <c r="V22" s="23"/>
      <c r="W22" s="23"/>
      <c r="X22" s="24"/>
      <c r="Y22" s="419" t="s">
        <v>150</v>
      </c>
      <c r="Z22" s="420"/>
      <c r="AA22" s="421" t="s">
        <v>151</v>
      </c>
      <c r="AB22" s="422"/>
      <c r="AC22" s="423"/>
      <c r="AD22" s="27">
        <v>4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>
      <c r="A23" s="70">
        <f>IF(B23="","",COUNTA($B$8:B23))</f>
        <v>16</v>
      </c>
      <c r="B23" s="19" t="s">
        <v>251</v>
      </c>
      <c r="C23" s="20"/>
      <c r="D23" s="20"/>
      <c r="E23" s="20"/>
      <c r="F23" s="20"/>
      <c r="G23" s="20"/>
      <c r="H23" s="24"/>
      <c r="I23" s="31" t="s">
        <v>252</v>
      </c>
      <c r="J23" s="23"/>
      <c r="K23" s="23"/>
      <c r="L23" s="23"/>
      <c r="M23" s="23"/>
      <c r="N23" s="23"/>
      <c r="O23" s="23"/>
      <c r="P23" s="23"/>
      <c r="Q23" s="37"/>
      <c r="R23" s="19" t="s">
        <v>251</v>
      </c>
      <c r="S23" s="23"/>
      <c r="T23" s="23"/>
      <c r="U23" s="23"/>
      <c r="V23" s="23"/>
      <c r="W23" s="23"/>
      <c r="X23" s="24"/>
      <c r="Y23" s="419" t="s">
        <v>150</v>
      </c>
      <c r="Z23" s="420"/>
      <c r="AA23" s="421" t="s">
        <v>151</v>
      </c>
      <c r="AB23" s="422"/>
      <c r="AC23" s="423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>
      <c r="A24" s="70">
        <f>IF(B24="","",COUNTA($B$8:B24))</f>
        <v>17</v>
      </c>
      <c r="B24" s="19" t="s">
        <v>253</v>
      </c>
      <c r="C24" s="20"/>
      <c r="D24" s="20"/>
      <c r="E24" s="20"/>
      <c r="F24" s="20"/>
      <c r="G24" s="20"/>
      <c r="H24" s="24"/>
      <c r="I24" s="31" t="s">
        <v>254</v>
      </c>
      <c r="J24" s="23"/>
      <c r="K24" s="23"/>
      <c r="L24" s="23"/>
      <c r="M24" s="23"/>
      <c r="N24" s="23"/>
      <c r="O24" s="23"/>
      <c r="P24" s="23"/>
      <c r="Q24" s="37"/>
      <c r="R24" s="19" t="s">
        <v>253</v>
      </c>
      <c r="S24" s="23"/>
      <c r="T24" s="23"/>
      <c r="U24" s="23"/>
      <c r="V24" s="23"/>
      <c r="W24" s="23"/>
      <c r="X24" s="24"/>
      <c r="Y24" s="419" t="s">
        <v>150</v>
      </c>
      <c r="Z24" s="420"/>
      <c r="AA24" s="421" t="s">
        <v>151</v>
      </c>
      <c r="AB24" s="422"/>
      <c r="AC24" s="423"/>
      <c r="AD24" s="27">
        <v>10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" customHeight="1">
      <c r="A25" s="70">
        <f>IF(B25="","",COUNTA($B$8:B25))</f>
        <v>18</v>
      </c>
      <c r="B25" s="19" t="s">
        <v>255</v>
      </c>
      <c r="C25" s="20"/>
      <c r="D25" s="20"/>
      <c r="E25" s="20"/>
      <c r="F25" s="20"/>
      <c r="G25" s="20"/>
      <c r="H25" s="24"/>
      <c r="I25" s="31" t="s">
        <v>256</v>
      </c>
      <c r="J25" s="23"/>
      <c r="K25" s="23"/>
      <c r="L25" s="23"/>
      <c r="M25" s="23"/>
      <c r="N25" s="23"/>
      <c r="O25" s="23"/>
      <c r="P25" s="23"/>
      <c r="Q25" s="37"/>
      <c r="R25" s="19" t="s">
        <v>255</v>
      </c>
      <c r="S25" s="23"/>
      <c r="T25" s="23"/>
      <c r="U25" s="23"/>
      <c r="V25" s="23"/>
      <c r="W25" s="23"/>
      <c r="X25" s="24"/>
      <c r="Y25" s="419" t="s">
        <v>150</v>
      </c>
      <c r="Z25" s="420"/>
      <c r="AA25" s="421" t="s">
        <v>151</v>
      </c>
      <c r="AB25" s="422"/>
      <c r="AC25" s="423"/>
      <c r="AD25" s="27">
        <v>10</v>
      </c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" customHeight="1">
      <c r="A26" s="70">
        <f>IF(B26="","",COUNTA($B$8:B26))</f>
        <v>19</v>
      </c>
      <c r="B26" s="19" t="s">
        <v>257</v>
      </c>
      <c r="C26" s="20"/>
      <c r="D26" s="20"/>
      <c r="E26" s="20"/>
      <c r="F26" s="20"/>
      <c r="G26" s="20"/>
      <c r="H26" s="24"/>
      <c r="I26" s="31" t="s">
        <v>258</v>
      </c>
      <c r="J26" s="23"/>
      <c r="K26" s="23"/>
      <c r="L26" s="23"/>
      <c r="M26" s="23"/>
      <c r="N26" s="23"/>
      <c r="O26" s="23"/>
      <c r="P26" s="23"/>
      <c r="Q26" s="37"/>
      <c r="R26" s="19" t="s">
        <v>257</v>
      </c>
      <c r="S26" s="23"/>
      <c r="T26" s="23"/>
      <c r="U26" s="23"/>
      <c r="V26" s="23"/>
      <c r="W26" s="23"/>
      <c r="X26" s="24"/>
      <c r="Y26" s="419" t="s">
        <v>169</v>
      </c>
      <c r="Z26" s="420"/>
      <c r="AA26" s="421" t="s">
        <v>243</v>
      </c>
      <c r="AB26" s="422"/>
      <c r="AC26" s="423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" customHeight="1">
      <c r="A27" s="70">
        <f>IF(B27="","",COUNTA($B$8:B27))</f>
        <v>20</v>
      </c>
      <c r="B27" s="19" t="s">
        <v>259</v>
      </c>
      <c r="C27" s="20"/>
      <c r="D27" s="20"/>
      <c r="E27" s="20"/>
      <c r="F27" s="20"/>
      <c r="G27" s="20"/>
      <c r="H27" s="24"/>
      <c r="I27" s="31" t="s">
        <v>260</v>
      </c>
      <c r="J27" s="23"/>
      <c r="K27" s="23"/>
      <c r="L27" s="23"/>
      <c r="M27" s="23"/>
      <c r="N27" s="23"/>
      <c r="O27" s="23"/>
      <c r="P27" s="23"/>
      <c r="Q27" s="37"/>
      <c r="R27" s="19" t="s">
        <v>259</v>
      </c>
      <c r="S27" s="23"/>
      <c r="T27" s="23"/>
      <c r="U27" s="23"/>
      <c r="V27" s="23"/>
      <c r="W27" s="23"/>
      <c r="X27" s="24"/>
      <c r="Y27" s="419" t="s">
        <v>150</v>
      </c>
      <c r="Z27" s="420"/>
      <c r="AA27" s="421" t="s">
        <v>151</v>
      </c>
      <c r="AB27" s="422"/>
      <c r="AC27" s="423"/>
      <c r="AD27" s="27">
        <v>10</v>
      </c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" customHeight="1">
      <c r="A28" s="70">
        <f>IF(B28="","",COUNTA($B$8:B28))</f>
        <v>21</v>
      </c>
      <c r="B28" s="19" t="s">
        <v>261</v>
      </c>
      <c r="C28" s="20"/>
      <c r="D28" s="20"/>
      <c r="E28" s="20"/>
      <c r="F28" s="20"/>
      <c r="G28" s="20"/>
      <c r="H28" s="24"/>
      <c r="I28" s="31" t="s">
        <v>262</v>
      </c>
      <c r="J28" s="23"/>
      <c r="K28" s="23"/>
      <c r="L28" s="23"/>
      <c r="M28" s="23"/>
      <c r="N28" s="23"/>
      <c r="O28" s="23"/>
      <c r="P28" s="23"/>
      <c r="Q28" s="37"/>
      <c r="R28" s="19" t="s">
        <v>261</v>
      </c>
      <c r="S28" s="23"/>
      <c r="T28" s="23"/>
      <c r="U28" s="23"/>
      <c r="V28" s="23"/>
      <c r="W28" s="23"/>
      <c r="X28" s="24"/>
      <c r="Y28" s="419" t="s">
        <v>150</v>
      </c>
      <c r="Z28" s="420"/>
      <c r="AA28" s="421" t="s">
        <v>151</v>
      </c>
      <c r="AB28" s="422"/>
      <c r="AC28" s="423"/>
      <c r="AD28" s="51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>
      <c r="A29" s="70">
        <f>IF(B29="","",COUNTA($B$8:B29))</f>
        <v>22</v>
      </c>
      <c r="B29" s="19" t="s">
        <v>263</v>
      </c>
      <c r="C29" s="20"/>
      <c r="D29" s="20"/>
      <c r="E29" s="20"/>
      <c r="F29" s="20"/>
      <c r="G29" s="20"/>
      <c r="H29" s="24"/>
      <c r="I29" s="31" t="s">
        <v>264</v>
      </c>
      <c r="J29" s="23"/>
      <c r="K29" s="23"/>
      <c r="L29" s="23"/>
      <c r="M29" s="23"/>
      <c r="N29" s="23"/>
      <c r="O29" s="23"/>
      <c r="P29" s="23"/>
      <c r="Q29" s="37"/>
      <c r="R29" s="22" t="s">
        <v>263</v>
      </c>
      <c r="S29" s="23"/>
      <c r="T29" s="23"/>
      <c r="U29" s="23"/>
      <c r="V29" s="23"/>
      <c r="W29" s="23"/>
      <c r="X29" s="24"/>
      <c r="Y29" s="419" t="s">
        <v>169</v>
      </c>
      <c r="Z29" s="420"/>
      <c r="AA29" s="421" t="s">
        <v>243</v>
      </c>
      <c r="AB29" s="422"/>
      <c r="AC29" s="423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" customHeight="1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419"/>
      <c r="Z30" s="420"/>
      <c r="AA30" s="421"/>
      <c r="AB30" s="422"/>
      <c r="AC30" s="423"/>
      <c r="AD30" s="27"/>
      <c r="AE30" s="29" t="s">
        <v>244</v>
      </c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>
      <c r="A31" s="70" t="str">
        <f>IF(B31="","",COUNTA($B$8:B31))</f>
        <v/>
      </c>
      <c r="B31" s="19"/>
      <c r="C31" s="20" t="s">
        <v>378</v>
      </c>
      <c r="D31" s="20"/>
      <c r="E31" s="20" t="s">
        <v>379</v>
      </c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419"/>
      <c r="Z31" s="420"/>
      <c r="AA31" s="421"/>
      <c r="AB31" s="422"/>
      <c r="AC31" s="423"/>
      <c r="AD31" s="27"/>
      <c r="AE31" s="29" t="s">
        <v>244</v>
      </c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419"/>
      <c r="Z32" s="420"/>
      <c r="AA32" s="421"/>
      <c r="AB32" s="422"/>
      <c r="AC32" s="423"/>
      <c r="AD32" s="69"/>
      <c r="AE32" s="29" t="s">
        <v>244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24"/>
      <c r="R33" s="22"/>
      <c r="S33" s="23"/>
      <c r="T33" s="23"/>
      <c r="U33" s="23"/>
      <c r="V33" s="23"/>
      <c r="W33" s="23"/>
      <c r="X33" s="24"/>
      <c r="Y33" s="419"/>
      <c r="Z33" s="420"/>
      <c r="AA33" s="421"/>
      <c r="AB33" s="422"/>
      <c r="AC33" s="423"/>
      <c r="AD33" s="69"/>
      <c r="AE33" s="29" t="s">
        <v>244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419"/>
      <c r="Z34" s="420"/>
      <c r="AA34" s="421"/>
      <c r="AB34" s="422"/>
      <c r="AC34" s="423"/>
      <c r="AD34" s="51"/>
      <c r="AE34" s="29" t="s">
        <v>244</v>
      </c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419"/>
      <c r="Z35" s="420"/>
      <c r="AA35" s="421"/>
      <c r="AB35" s="422"/>
      <c r="AC35" s="423"/>
      <c r="AD35" s="27"/>
      <c r="AE35" s="29" t="s">
        <v>244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419"/>
      <c r="Z36" s="420"/>
      <c r="AA36" s="421"/>
      <c r="AB36" s="422"/>
      <c r="AC36" s="423"/>
      <c r="AD36" s="27"/>
      <c r="AE36" s="29" t="s">
        <v>244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419"/>
      <c r="Z37" s="420"/>
      <c r="AA37" s="421"/>
      <c r="AB37" s="422"/>
      <c r="AC37" s="423"/>
      <c r="AD37" s="27"/>
      <c r="AE37" s="29" t="s">
        <v>244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419"/>
      <c r="Z38" s="420"/>
      <c r="AA38" s="421"/>
      <c r="AB38" s="422"/>
      <c r="AC38" s="423"/>
      <c r="AD38" s="27"/>
      <c r="AE38" s="29" t="s">
        <v>244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419"/>
      <c r="Z39" s="420"/>
      <c r="AA39" s="421"/>
      <c r="AB39" s="422"/>
      <c r="AC39" s="423"/>
      <c r="AD39" s="27"/>
      <c r="AE39" s="29" t="s">
        <v>244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47"/>
      <c r="AT39" s="48"/>
      <c r="AU39" s="48"/>
      <c r="AV39" s="48"/>
      <c r="AW39" s="48"/>
      <c r="AX39" s="48"/>
      <c r="AY39" s="48"/>
      <c r="AZ39" s="48"/>
      <c r="BA39" s="48"/>
      <c r="BB39" s="48"/>
      <c r="BC39" s="48"/>
      <c r="BD39" s="66"/>
    </row>
    <row r="40" spans="1:56" ht="14.4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419"/>
      <c r="Z40" s="420"/>
      <c r="AA40" s="421"/>
      <c r="AB40" s="422"/>
      <c r="AC40" s="423"/>
      <c r="AD40" s="27"/>
      <c r="AE40" s="29" t="s">
        <v>244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47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66"/>
    </row>
    <row r="41" spans="1:56" ht="14.4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419"/>
      <c r="Z41" s="420"/>
      <c r="AA41" s="421"/>
      <c r="AB41" s="422"/>
      <c r="AC41" s="423"/>
      <c r="AD41" s="27"/>
      <c r="AE41" s="29" t="s">
        <v>244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47"/>
      <c r="AT41" s="48"/>
      <c r="AU41" s="48"/>
      <c r="AV41" s="48"/>
      <c r="AW41" s="48"/>
      <c r="AX41" s="48"/>
      <c r="AY41" s="48"/>
      <c r="AZ41" s="48"/>
      <c r="BA41" s="48"/>
      <c r="BB41" s="48"/>
      <c r="BC41" s="48"/>
      <c r="BD41" s="66"/>
    </row>
    <row r="42" spans="1:56" ht="14.4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419"/>
      <c r="Z42" s="420"/>
      <c r="AA42" s="421"/>
      <c r="AB42" s="422"/>
      <c r="AC42" s="423"/>
      <c r="AD42" s="27"/>
      <c r="AE42" s="29" t="s">
        <v>244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47"/>
      <c r="AT42" s="48"/>
      <c r="AU42" s="48"/>
      <c r="AV42" s="48"/>
      <c r="AW42" s="48"/>
      <c r="AX42" s="48"/>
      <c r="AY42" s="48"/>
      <c r="AZ42" s="48"/>
      <c r="BA42" s="48"/>
      <c r="BB42" s="48"/>
      <c r="BC42" s="48"/>
      <c r="BD42" s="66"/>
    </row>
    <row r="43" spans="1:56" ht="14.4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24"/>
      <c r="R43" s="22"/>
      <c r="S43" s="23"/>
      <c r="T43" s="23"/>
      <c r="U43" s="23"/>
      <c r="V43" s="23"/>
      <c r="W43" s="23"/>
      <c r="X43" s="24"/>
      <c r="Y43" s="419"/>
      <c r="Z43" s="420"/>
      <c r="AA43" s="421"/>
      <c r="AB43" s="422"/>
      <c r="AC43" s="423"/>
      <c r="AD43" s="27"/>
      <c r="AE43" s="29" t="s">
        <v>244</v>
      </c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47"/>
      <c r="AT43" s="48"/>
      <c r="AU43" s="48"/>
      <c r="AV43" s="48"/>
      <c r="AW43" s="48"/>
      <c r="AX43" s="48"/>
      <c r="AY43" s="48"/>
      <c r="AZ43" s="48"/>
      <c r="BA43" s="48"/>
      <c r="BB43" s="48"/>
      <c r="BC43" s="48"/>
      <c r="BD43" s="66"/>
    </row>
    <row r="44" spans="1:56" ht="14.4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24"/>
      <c r="R44" s="22"/>
      <c r="S44" s="23"/>
      <c r="T44" s="23"/>
      <c r="U44" s="23"/>
      <c r="V44" s="23"/>
      <c r="W44" s="23"/>
      <c r="X44" s="24"/>
      <c r="Y44" s="419"/>
      <c r="Z44" s="420"/>
      <c r="AA44" s="421"/>
      <c r="AB44" s="422"/>
      <c r="AC44" s="423"/>
      <c r="AD44" s="27"/>
      <c r="AE44" s="29" t="s">
        <v>244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7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" customHeight="1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24"/>
      <c r="R45" s="22"/>
      <c r="S45" s="23"/>
      <c r="T45" s="23"/>
      <c r="U45" s="23"/>
      <c r="V45" s="23"/>
      <c r="W45" s="23"/>
      <c r="X45" s="24"/>
      <c r="Y45" s="419"/>
      <c r="Z45" s="420"/>
      <c r="AA45" s="421"/>
      <c r="AB45" s="422"/>
      <c r="AC45" s="423"/>
      <c r="AD45" s="27"/>
      <c r="AE45" s="29" t="s">
        <v>244</v>
      </c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7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" customHeight="1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24"/>
      <c r="R46" s="22"/>
      <c r="S46" s="23"/>
      <c r="T46" s="23"/>
      <c r="U46" s="23"/>
      <c r="V46" s="23"/>
      <c r="W46" s="23"/>
      <c r="X46" s="24"/>
      <c r="Y46" s="419"/>
      <c r="Z46" s="420"/>
      <c r="AA46" s="421"/>
      <c r="AB46" s="422"/>
      <c r="AC46" s="423"/>
      <c r="AD46" s="27"/>
      <c r="AE46" s="29" t="s">
        <v>244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7"/>
      <c r="AT46" s="48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10">
    <mergeCell ref="Y44:Z44"/>
    <mergeCell ref="AA44:AC44"/>
    <mergeCell ref="Y45:Z45"/>
    <mergeCell ref="AA45:AC45"/>
    <mergeCell ref="Y46:Z46"/>
    <mergeCell ref="AA46:AC46"/>
    <mergeCell ref="Y30:Z30"/>
    <mergeCell ref="AA30:AC30"/>
    <mergeCell ref="Y38:Z38"/>
    <mergeCell ref="AA38:AC38"/>
    <mergeCell ref="Y39:Z39"/>
    <mergeCell ref="AA39:AC39"/>
    <mergeCell ref="Y35:Z35"/>
    <mergeCell ref="AA35:AC35"/>
    <mergeCell ref="Y36:Z36"/>
    <mergeCell ref="AA36:AC36"/>
    <mergeCell ref="Y37:Z37"/>
    <mergeCell ref="AA37:AC37"/>
    <mergeCell ref="Y31:Z31"/>
    <mergeCell ref="AA31:AC31"/>
    <mergeCell ref="Y32:Z32"/>
    <mergeCell ref="AA32:AC32"/>
    <mergeCell ref="Y33:Z33"/>
    <mergeCell ref="AA33:AC33"/>
    <mergeCell ref="Y34:Z34"/>
    <mergeCell ref="AA34:AC34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22:Z22"/>
    <mergeCell ref="AA22:AC22"/>
    <mergeCell ref="Y23:Z23"/>
    <mergeCell ref="AA23:AC23"/>
    <mergeCell ref="Y15:Z15"/>
    <mergeCell ref="AA15:AC15"/>
    <mergeCell ref="Y16:Z16"/>
    <mergeCell ref="AA16:AC16"/>
    <mergeCell ref="Y17:Z17"/>
    <mergeCell ref="AA17:AC17"/>
    <mergeCell ref="Y21:Z21"/>
    <mergeCell ref="AA21:AC21"/>
    <mergeCell ref="Y20:Z20"/>
    <mergeCell ref="AA20:AC20"/>
    <mergeCell ref="A1:H4"/>
    <mergeCell ref="AZ1:BD1"/>
    <mergeCell ref="I2:Q4"/>
    <mergeCell ref="R2:X4"/>
    <mergeCell ref="Y2:AO3"/>
    <mergeCell ref="AP2:AT2"/>
    <mergeCell ref="AZ2:BD2"/>
    <mergeCell ref="AP3:AT3"/>
    <mergeCell ref="Y12:Z12"/>
    <mergeCell ref="AA12:AC12"/>
    <mergeCell ref="Y9:Z9"/>
    <mergeCell ref="AA9:AC9"/>
    <mergeCell ref="Y10:Z10"/>
    <mergeCell ref="AA10:AC10"/>
    <mergeCell ref="Y11:Z11"/>
    <mergeCell ref="AA11:AC11"/>
    <mergeCell ref="A6:A7"/>
    <mergeCell ref="B6:H7"/>
    <mergeCell ref="I6:Q7"/>
    <mergeCell ref="R6:X7"/>
    <mergeCell ref="Y6:Z7"/>
    <mergeCell ref="AA6:AC7"/>
    <mergeCell ref="AD6:AD7"/>
    <mergeCell ref="AE6:AE7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AZ4:BD4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AU3:AY3"/>
    <mergeCell ref="AG6:AG7"/>
    <mergeCell ref="AH6:AH7"/>
    <mergeCell ref="AI6:AR6"/>
    <mergeCell ref="AS6:BD7"/>
    <mergeCell ref="Y8:Z8"/>
    <mergeCell ref="AA8:AC8"/>
    <mergeCell ref="Y13:Z13"/>
    <mergeCell ref="AA13:AC13"/>
    <mergeCell ref="Y14:Z14"/>
    <mergeCell ref="AA14:AC14"/>
    <mergeCell ref="Y18:Z18"/>
    <mergeCell ref="AA18:AC18"/>
    <mergeCell ref="Y19:Z19"/>
    <mergeCell ref="AA19:AC19"/>
    <mergeCell ref="AF6:AF7"/>
  </mergeCells>
  <phoneticPr fontId="5"/>
  <dataValidations count="3">
    <dataValidation imeMode="hiragana" allowBlank="1" showInputMessage="1" showErrorMessage="1" sqref="IR65535:JC65537 SN65535:SY65537 ACJ65535:ACU65537 AMF65535:AMQ65537 AWB65535:AWM65537 BFX65535:BGI65537 BPT65535:BQE65537 BZP65535:CAA65537 CJL65535:CJW65537 CTH65535:CTS65537 DDD65535:DDO65537 DMZ65535:DNK65537 DWV65535:DXG65537 EGR65535:EHC65537 EQN65535:EQY65537 FAJ65535:FAU65537 FKF65535:FKQ65537 FUB65535:FUM65537 GDX65535:GEI65537 GNT65535:GOE65537 GXP65535:GYA65537 HHL65535:HHW65537 HRH65535:HRS65537 IBD65535:IBO65537 IKZ65535:ILK65537 IUV65535:IVG65537 JER65535:JFC65537 JON65535:JOY65537 JYJ65535:JYU65537 KIF65535:KIQ65537 KSB65535:KSM65537 LBX65535:LCI65537 LLT65535:LME65537 LVP65535:LWA65537 MFL65535:MFW65537 MPH65535:MPS65537 MZD65535:MZO65537 NIZ65535:NJK65537 NSV65535:NTG65537 OCR65535:ODC65537 OMN65535:OMY65537 OWJ65535:OWU65537 PGF65535:PGQ65537 PQB65535:PQM65537 PZX65535:QAI65537 QJT65535:QKE65537 QTP65535:QUA65537 RDL65535:RDW65537 RNH65535:RNS65537 RXD65535:RXO65537 SGZ65535:SHK65537 SQV65535:SRG65537 TAR65535:TBC65537 TKN65535:TKY65537 TUJ65535:TUU65537 UEF65535:UEQ65537 UOB65535:UOM65537 UXX65535:UYI65537 VHT65535:VIE65537 VRP65535:VSA65537 WBL65535:WBW65537 WLH65535:WLS65537 WVD65535:WVO65537 IR131071:JC131073 SN131071:SY131073 ACJ131071:ACU131073 AMF131071:AMQ131073 AWB131071:AWM131073 BFX131071:BGI131073 BPT131071:BQE131073 BZP131071:CAA131073 CJL131071:CJW131073 CTH131071:CTS131073 DDD131071:DDO131073 DMZ131071:DNK131073 DWV131071:DXG131073 EGR131071:EHC131073 EQN131071:EQY131073 FAJ131071:FAU131073 FKF131071:FKQ131073 FUB131071:FUM131073 GDX131071:GEI131073 GNT131071:GOE131073 GXP131071:GYA131073 HHL131071:HHW131073 HRH131071:HRS131073 IBD131071:IBO131073 IKZ131071:ILK131073 IUV131071:IVG131073 JER131071:JFC131073 JON131071:JOY131073 JYJ131071:JYU131073 KIF131071:KIQ131073 KSB131071:KSM131073 LBX131071:LCI131073 LLT131071:LME131073 LVP131071:LWA131073 MFL131071:MFW131073 MPH131071:MPS131073 MZD131071:MZO131073 NIZ131071:NJK131073 NSV131071:NTG131073 OCR131071:ODC131073 OMN131071:OMY131073 OWJ131071:OWU131073 PGF131071:PGQ131073 PQB131071:PQM131073 PZX131071:QAI131073 QJT131071:QKE131073 QTP131071:QUA131073 RDL131071:RDW131073 RNH131071:RNS131073 RXD131071:RXO131073 SGZ131071:SHK131073 SQV131071:SRG131073 TAR131071:TBC131073 TKN131071:TKY131073 TUJ131071:TUU131073 UEF131071:UEQ131073 UOB131071:UOM131073 UXX131071:UYI131073 VHT131071:VIE131073 VRP131071:VSA131073 WBL131071:WBW131073 WLH131071:WLS131073 WVD131071:WVO131073 IR196607:JC196609 SN196607:SY196609 ACJ196607:ACU196609 AMF196607:AMQ196609 AWB196607:AWM196609 BFX196607:BGI196609 BPT196607:BQE196609 BZP196607:CAA196609 CJL196607:CJW196609 CTH196607:CTS196609 DDD196607:DDO196609 DMZ196607:DNK196609 DWV196607:DXG196609 EGR196607:EHC196609 EQN196607:EQY196609 FAJ196607:FAU196609 FKF196607:FKQ196609 FUB196607:FUM196609 GDX196607:GEI196609 GNT196607:GOE196609 GXP196607:GYA196609 HHL196607:HHW196609 HRH196607:HRS196609 IBD196607:IBO196609 IKZ196607:ILK196609 IUV196607:IVG196609 JER196607:JFC196609 JON196607:JOY196609 JYJ196607:JYU196609 KIF196607:KIQ196609 KSB196607:KSM196609 LBX196607:LCI196609 LLT196607:LME196609 LVP196607:LWA196609 MFL196607:MFW196609 MPH196607:MPS196609 MZD196607:MZO196609 NIZ196607:NJK196609 NSV196607:NTG196609 OCR196607:ODC196609 OMN196607:OMY196609 OWJ196607:OWU196609 PGF196607:PGQ196609 PQB196607:PQM196609 PZX196607:QAI196609 QJT196607:QKE196609 QTP196607:QUA196609 RDL196607:RDW196609 RNH196607:RNS196609 RXD196607:RXO196609 SGZ196607:SHK196609 SQV196607:SRG196609 TAR196607:TBC196609 TKN196607:TKY196609 TUJ196607:TUU196609 UEF196607:UEQ196609 UOB196607:UOM196609 UXX196607:UYI196609 VHT196607:VIE196609 VRP196607:VSA196609 WBL196607:WBW196609 WLH196607:WLS196609 WVD196607:WVO196609 IR262143:JC262145 SN262143:SY262145 ACJ262143:ACU262145 AMF262143:AMQ262145 AWB262143:AWM262145 BFX262143:BGI262145 BPT262143:BQE262145 BZP262143:CAA262145 CJL262143:CJW262145 CTH262143:CTS262145 DDD262143:DDO262145 DMZ262143:DNK262145 DWV262143:DXG262145 EGR262143:EHC262145 EQN262143:EQY262145 FAJ262143:FAU262145 FKF262143:FKQ262145 FUB262143:FUM262145 GDX262143:GEI262145 GNT262143:GOE262145 GXP262143:GYA262145 HHL262143:HHW262145 HRH262143:HRS262145 IBD262143:IBO262145 IKZ262143:ILK262145 IUV262143:IVG262145 JER262143:JFC262145 JON262143:JOY262145 JYJ262143:JYU262145 KIF262143:KIQ262145 KSB262143:KSM262145 LBX262143:LCI262145 LLT262143:LME262145 LVP262143:LWA262145 MFL262143:MFW262145 MPH262143:MPS262145 MZD262143:MZO262145 NIZ262143:NJK262145 NSV262143:NTG262145 OCR262143:ODC262145 OMN262143:OMY262145 OWJ262143:OWU262145 PGF262143:PGQ262145 PQB262143:PQM262145 PZX262143:QAI262145 QJT262143:QKE262145 QTP262143:QUA262145 RDL262143:RDW262145 RNH262143:RNS262145 RXD262143:RXO262145 SGZ262143:SHK262145 SQV262143:SRG262145 TAR262143:TBC262145 TKN262143:TKY262145 TUJ262143:TUU262145 UEF262143:UEQ262145 UOB262143:UOM262145 UXX262143:UYI262145 VHT262143:VIE262145 VRP262143:VSA262145 WBL262143:WBW262145 WLH262143:WLS262145 WVD262143:WVO262145 IR327679:JC327681 SN327679:SY327681 ACJ327679:ACU327681 AMF327679:AMQ327681 AWB327679:AWM327681 BFX327679:BGI327681 BPT327679:BQE327681 BZP327679:CAA327681 CJL327679:CJW327681 CTH327679:CTS327681 DDD327679:DDO327681 DMZ327679:DNK327681 DWV327679:DXG327681 EGR327679:EHC327681 EQN327679:EQY327681 FAJ327679:FAU327681 FKF327679:FKQ327681 FUB327679:FUM327681 GDX327679:GEI327681 GNT327679:GOE327681 GXP327679:GYA327681 HHL327679:HHW327681 HRH327679:HRS327681 IBD327679:IBO327681 IKZ327679:ILK327681 IUV327679:IVG327681 JER327679:JFC327681 JON327679:JOY327681 JYJ327679:JYU327681 KIF327679:KIQ327681 KSB327679:KSM327681 LBX327679:LCI327681 LLT327679:LME327681 LVP327679:LWA327681 MFL327679:MFW327681 MPH327679:MPS327681 MZD327679:MZO327681 NIZ327679:NJK327681 NSV327679:NTG327681 OCR327679:ODC327681 OMN327679:OMY327681 OWJ327679:OWU327681 PGF327679:PGQ327681 PQB327679:PQM327681 PZX327679:QAI327681 QJT327679:QKE327681 QTP327679:QUA327681 RDL327679:RDW327681 RNH327679:RNS327681 RXD327679:RXO327681 SGZ327679:SHK327681 SQV327679:SRG327681 TAR327679:TBC327681 TKN327679:TKY327681 TUJ327679:TUU327681 UEF327679:UEQ327681 UOB327679:UOM327681 UXX327679:UYI327681 VHT327679:VIE327681 VRP327679:VSA327681 WBL327679:WBW327681 WLH327679:WLS327681 WVD327679:WVO327681 IR393215:JC393217 SN393215:SY393217 ACJ393215:ACU393217 AMF393215:AMQ393217 AWB393215:AWM393217 BFX393215:BGI393217 BPT393215:BQE393217 BZP393215:CAA393217 CJL393215:CJW393217 CTH393215:CTS393217 DDD393215:DDO393217 DMZ393215:DNK393217 DWV393215:DXG393217 EGR393215:EHC393217 EQN393215:EQY393217 FAJ393215:FAU393217 FKF393215:FKQ393217 FUB393215:FUM393217 GDX393215:GEI393217 GNT393215:GOE393217 GXP393215:GYA393217 HHL393215:HHW393217 HRH393215:HRS393217 IBD393215:IBO393217 IKZ393215:ILK393217 IUV393215:IVG393217 JER393215:JFC393217 JON393215:JOY393217 JYJ393215:JYU393217 KIF393215:KIQ393217 KSB393215:KSM393217 LBX393215:LCI393217 LLT393215:LME393217 LVP393215:LWA393217 MFL393215:MFW393217 MPH393215:MPS393217 MZD393215:MZO393217 NIZ393215:NJK393217 NSV393215:NTG393217 OCR393215:ODC393217 OMN393215:OMY393217 OWJ393215:OWU393217 PGF393215:PGQ393217 PQB393215:PQM393217 PZX393215:QAI393217 QJT393215:QKE393217 QTP393215:QUA393217 RDL393215:RDW393217 RNH393215:RNS393217 RXD393215:RXO393217 SGZ393215:SHK393217 SQV393215:SRG393217 TAR393215:TBC393217 TKN393215:TKY393217 TUJ393215:TUU393217 UEF393215:UEQ393217 UOB393215:UOM393217 UXX393215:UYI393217 VHT393215:VIE393217 VRP393215:VSA393217 WBL393215:WBW393217 WLH393215:WLS393217 WVD393215:WVO393217 IR458751:JC458753 SN458751:SY458753 ACJ458751:ACU458753 AMF458751:AMQ458753 AWB458751:AWM458753 BFX458751:BGI458753 BPT458751:BQE458753 BZP458751:CAA458753 CJL458751:CJW458753 CTH458751:CTS458753 DDD458751:DDO458753 DMZ458751:DNK458753 DWV458751:DXG458753 EGR458751:EHC458753 EQN458751:EQY458753 FAJ458751:FAU458753 FKF458751:FKQ458753 FUB458751:FUM458753 GDX458751:GEI458753 GNT458751:GOE458753 GXP458751:GYA458753 HHL458751:HHW458753 HRH458751:HRS458753 IBD458751:IBO458753 IKZ458751:ILK458753 IUV458751:IVG458753 JER458751:JFC458753 JON458751:JOY458753 JYJ458751:JYU458753 KIF458751:KIQ458753 KSB458751:KSM458753 LBX458751:LCI458753 LLT458751:LME458753 LVP458751:LWA458753 MFL458751:MFW458753 MPH458751:MPS458753 MZD458751:MZO458753 NIZ458751:NJK458753 NSV458751:NTG458753 OCR458751:ODC458753 OMN458751:OMY458753 OWJ458751:OWU458753 PGF458751:PGQ458753 PQB458751:PQM458753 PZX458751:QAI458753 QJT458751:QKE458753 QTP458751:QUA458753 RDL458751:RDW458753 RNH458751:RNS458753 RXD458751:RXO458753 SGZ458751:SHK458753 SQV458751:SRG458753 TAR458751:TBC458753 TKN458751:TKY458753 TUJ458751:TUU458753 UEF458751:UEQ458753 UOB458751:UOM458753 UXX458751:UYI458753 VHT458751:VIE458753 VRP458751:VSA458753 WBL458751:WBW458753 WLH458751:WLS458753 WVD458751:WVO458753 IR524287:JC524289 SN524287:SY524289 ACJ524287:ACU524289 AMF524287:AMQ524289 AWB524287:AWM524289 BFX524287:BGI524289 BPT524287:BQE524289 BZP524287:CAA524289 CJL524287:CJW524289 CTH524287:CTS524289 DDD524287:DDO524289 DMZ524287:DNK524289 DWV524287:DXG524289 EGR524287:EHC524289 EQN524287:EQY524289 FAJ524287:FAU524289 FKF524287:FKQ524289 FUB524287:FUM524289 GDX524287:GEI524289 GNT524287:GOE524289 GXP524287:GYA524289 HHL524287:HHW524289 HRH524287:HRS524289 IBD524287:IBO524289 IKZ524287:ILK524289 IUV524287:IVG524289 JER524287:JFC524289 JON524287:JOY524289 JYJ524287:JYU524289 KIF524287:KIQ524289 KSB524287:KSM524289 LBX524287:LCI524289 LLT524287:LME524289 LVP524287:LWA524289 MFL524287:MFW524289 MPH524287:MPS524289 MZD524287:MZO524289 NIZ524287:NJK524289 NSV524287:NTG524289 OCR524287:ODC524289 OMN524287:OMY524289 OWJ524287:OWU524289 PGF524287:PGQ524289 PQB524287:PQM524289 PZX524287:QAI524289 QJT524287:QKE524289 QTP524287:QUA524289 RDL524287:RDW524289 RNH524287:RNS524289 RXD524287:RXO524289 SGZ524287:SHK524289 SQV524287:SRG524289 TAR524287:TBC524289 TKN524287:TKY524289 TUJ524287:TUU524289 UEF524287:UEQ524289 UOB524287:UOM524289 UXX524287:UYI524289 VHT524287:VIE524289 VRP524287:VSA524289 WBL524287:WBW524289 WLH524287:WLS524289 WVD524287:WVO524289 IR589823:JC589825 SN589823:SY589825 ACJ589823:ACU589825 AMF589823:AMQ589825 AWB589823:AWM589825 BFX589823:BGI589825 BPT589823:BQE589825 BZP589823:CAA589825 CJL589823:CJW589825 CTH589823:CTS589825 DDD589823:DDO589825 DMZ589823:DNK589825 DWV589823:DXG589825 EGR589823:EHC589825 EQN589823:EQY589825 FAJ589823:FAU589825 FKF589823:FKQ589825 FUB589823:FUM589825 GDX589823:GEI589825 GNT589823:GOE589825 GXP589823:GYA589825 HHL589823:HHW589825 HRH589823:HRS589825 IBD589823:IBO589825 IKZ589823:ILK589825 IUV589823:IVG589825 JER589823:JFC589825 JON589823:JOY589825 JYJ589823:JYU589825 KIF589823:KIQ589825 KSB589823:KSM589825 LBX589823:LCI589825 LLT589823:LME589825 LVP589823:LWA589825 MFL589823:MFW589825 MPH589823:MPS589825 MZD589823:MZO589825 NIZ589823:NJK589825 NSV589823:NTG589825 OCR589823:ODC589825 OMN589823:OMY589825 OWJ589823:OWU589825 PGF589823:PGQ589825 PQB589823:PQM589825 PZX589823:QAI589825 QJT589823:QKE589825 QTP589823:QUA589825 RDL589823:RDW589825 RNH589823:RNS589825 RXD589823:RXO589825 SGZ589823:SHK589825 SQV589823:SRG589825 TAR589823:TBC589825 TKN589823:TKY589825 TUJ589823:TUU589825 UEF589823:UEQ589825 UOB589823:UOM589825 UXX589823:UYI589825 VHT589823:VIE589825 VRP589823:VSA589825 WBL589823:WBW589825 WLH589823:WLS589825 WVD589823:WVO589825 IR655359:JC655361 SN655359:SY655361 ACJ655359:ACU655361 AMF655359:AMQ655361 AWB655359:AWM655361 BFX655359:BGI655361 BPT655359:BQE655361 BZP655359:CAA655361 CJL655359:CJW655361 CTH655359:CTS655361 DDD655359:DDO655361 DMZ655359:DNK655361 DWV655359:DXG655361 EGR655359:EHC655361 EQN655359:EQY655361 FAJ655359:FAU655361 FKF655359:FKQ655361 FUB655359:FUM655361 GDX655359:GEI655361 GNT655359:GOE655361 GXP655359:GYA655361 HHL655359:HHW655361 HRH655359:HRS655361 IBD655359:IBO655361 IKZ655359:ILK655361 IUV655359:IVG655361 JER655359:JFC655361 JON655359:JOY655361 JYJ655359:JYU655361 KIF655359:KIQ655361 KSB655359:KSM655361 LBX655359:LCI655361 LLT655359:LME655361 LVP655359:LWA655361 MFL655359:MFW655361 MPH655359:MPS655361 MZD655359:MZO655361 NIZ655359:NJK655361 NSV655359:NTG655361 OCR655359:ODC655361 OMN655359:OMY655361 OWJ655359:OWU655361 PGF655359:PGQ655361 PQB655359:PQM655361 PZX655359:QAI655361 QJT655359:QKE655361 QTP655359:QUA655361 RDL655359:RDW655361 RNH655359:RNS655361 RXD655359:RXO655361 SGZ655359:SHK655361 SQV655359:SRG655361 TAR655359:TBC655361 TKN655359:TKY655361 TUJ655359:TUU655361 UEF655359:UEQ655361 UOB655359:UOM655361 UXX655359:UYI655361 VHT655359:VIE655361 VRP655359:VSA655361 WBL655359:WBW655361 WLH655359:WLS655361 WVD655359:WVO655361 IR720895:JC720897 SN720895:SY720897 ACJ720895:ACU720897 AMF720895:AMQ720897 AWB720895:AWM720897 BFX720895:BGI720897 BPT720895:BQE720897 BZP720895:CAA720897 CJL720895:CJW720897 CTH720895:CTS720897 DDD720895:DDO720897 DMZ720895:DNK720897 DWV720895:DXG720897 EGR720895:EHC720897 EQN720895:EQY720897 FAJ720895:FAU720897 FKF720895:FKQ720897 FUB720895:FUM720897 GDX720895:GEI720897 GNT720895:GOE720897 GXP720895:GYA720897 HHL720895:HHW720897 HRH720895:HRS720897 IBD720895:IBO720897 IKZ720895:ILK720897 IUV720895:IVG720897 JER720895:JFC720897 JON720895:JOY720897 JYJ720895:JYU720897 KIF720895:KIQ720897 KSB720895:KSM720897 LBX720895:LCI720897 LLT720895:LME720897 LVP720895:LWA720897 MFL720895:MFW720897 MPH720895:MPS720897 MZD720895:MZO720897 NIZ720895:NJK720897 NSV720895:NTG720897 OCR720895:ODC720897 OMN720895:OMY720897 OWJ720895:OWU720897 PGF720895:PGQ720897 PQB720895:PQM720897 PZX720895:QAI720897 QJT720895:QKE720897 QTP720895:QUA720897 RDL720895:RDW720897 RNH720895:RNS720897 RXD720895:RXO720897 SGZ720895:SHK720897 SQV720895:SRG720897 TAR720895:TBC720897 TKN720895:TKY720897 TUJ720895:TUU720897 UEF720895:UEQ720897 UOB720895:UOM720897 UXX720895:UYI720897 VHT720895:VIE720897 VRP720895:VSA720897 WBL720895:WBW720897 WLH720895:WLS720897 WVD720895:WVO720897 IR786431:JC786433 SN786431:SY786433 ACJ786431:ACU786433 AMF786431:AMQ786433 AWB786431:AWM786433 BFX786431:BGI786433 BPT786431:BQE786433 BZP786431:CAA786433 CJL786431:CJW786433 CTH786431:CTS786433 DDD786431:DDO786433 DMZ786431:DNK786433 DWV786431:DXG786433 EGR786431:EHC786433 EQN786431:EQY786433 FAJ786431:FAU786433 FKF786431:FKQ786433 FUB786431:FUM786433 GDX786431:GEI786433 GNT786431:GOE786433 GXP786431:GYA786433 HHL786431:HHW786433 HRH786431:HRS786433 IBD786431:IBO786433 IKZ786431:ILK786433 IUV786431:IVG786433 JER786431:JFC786433 JON786431:JOY786433 JYJ786431:JYU786433 KIF786431:KIQ786433 KSB786431:KSM786433 LBX786431:LCI786433 LLT786431:LME786433 LVP786431:LWA786433 MFL786431:MFW786433 MPH786431:MPS786433 MZD786431:MZO786433 NIZ786431:NJK786433 NSV786431:NTG786433 OCR786431:ODC786433 OMN786431:OMY786433 OWJ786431:OWU786433 PGF786431:PGQ786433 PQB786431:PQM786433 PZX786431:QAI786433 QJT786431:QKE786433 QTP786431:QUA786433 RDL786431:RDW786433 RNH786431:RNS786433 RXD786431:RXO786433 SGZ786431:SHK786433 SQV786431:SRG786433 TAR786431:TBC786433 TKN786431:TKY786433 TUJ786431:TUU786433 UEF786431:UEQ786433 UOB786431:UOM786433 UXX786431:UYI786433 VHT786431:VIE786433 VRP786431:VSA786433 WBL786431:WBW786433 WLH786431:WLS786433 WVD786431:WVO786433 IR851967:JC851969 SN851967:SY851969 ACJ851967:ACU851969 AMF851967:AMQ851969 AWB851967:AWM851969 BFX851967:BGI851969 BPT851967:BQE851969 BZP851967:CAA851969 CJL851967:CJW851969 CTH851967:CTS851969 DDD851967:DDO851969 DMZ851967:DNK851969 DWV851967:DXG851969 EGR851967:EHC851969 EQN851967:EQY851969 FAJ851967:FAU851969 FKF851967:FKQ851969 FUB851967:FUM851969 GDX851967:GEI851969 GNT851967:GOE851969 GXP851967:GYA851969 HHL851967:HHW851969 HRH851967:HRS851969 IBD851967:IBO851969 IKZ851967:ILK851969 IUV851967:IVG851969 JER851967:JFC851969 JON851967:JOY851969 JYJ851967:JYU851969 KIF851967:KIQ851969 KSB851967:KSM851969 LBX851967:LCI851969 LLT851967:LME851969 LVP851967:LWA851969 MFL851967:MFW851969 MPH851967:MPS851969 MZD851967:MZO851969 NIZ851967:NJK851969 NSV851967:NTG851969 OCR851967:ODC851969 OMN851967:OMY851969 OWJ851967:OWU851969 PGF851967:PGQ851969 PQB851967:PQM851969 PZX851967:QAI851969 QJT851967:QKE851969 QTP851967:QUA851969 RDL851967:RDW851969 RNH851967:RNS851969 RXD851967:RXO851969 SGZ851967:SHK851969 SQV851967:SRG851969 TAR851967:TBC851969 TKN851967:TKY851969 TUJ851967:TUU851969 UEF851967:UEQ851969 UOB851967:UOM851969 UXX851967:UYI851969 VHT851967:VIE851969 VRP851967:VSA851969 WBL851967:WBW851969 WLH851967:WLS851969 WVD851967:WVO851969 IR917503:JC917505 SN917503:SY917505 ACJ917503:ACU917505 AMF917503:AMQ917505 AWB917503:AWM917505 BFX917503:BGI917505 BPT917503:BQE917505 BZP917503:CAA917505 CJL917503:CJW917505 CTH917503:CTS917505 DDD917503:DDO917505 DMZ917503:DNK917505 DWV917503:DXG917505 EGR917503:EHC917505 EQN917503:EQY917505 FAJ917503:FAU917505 FKF917503:FKQ917505 FUB917503:FUM917505 GDX917503:GEI917505 GNT917503:GOE917505 GXP917503:GYA917505 HHL917503:HHW917505 HRH917503:HRS917505 IBD917503:IBO917505 IKZ917503:ILK917505 IUV917503:IVG917505 JER917503:JFC917505 JON917503:JOY917505 JYJ917503:JYU917505 KIF917503:KIQ917505 KSB917503:KSM917505 LBX917503:LCI917505 LLT917503:LME917505 LVP917503:LWA917505 MFL917503:MFW917505 MPH917503:MPS917505 MZD917503:MZO917505 NIZ917503:NJK917505 NSV917503:NTG917505 OCR917503:ODC917505 OMN917503:OMY917505 OWJ917503:OWU917505 PGF917503:PGQ917505 PQB917503:PQM917505 PZX917503:QAI917505 QJT917503:QKE917505 QTP917503:QUA917505 RDL917503:RDW917505 RNH917503:RNS917505 RXD917503:RXO917505 SGZ917503:SHK917505 SQV917503:SRG917505 TAR917503:TBC917505 TKN917503:TKY917505 TUJ917503:TUU917505 UEF917503:UEQ917505 UOB917503:UOM917505 UXX917503:UYI917505 VHT917503:VIE917505 VRP917503:VSA917505 WBL917503:WBW917505 WLH917503:WLS917505 WVD917503:WVO917505 IR983039:JC983041 SN983039:SY983041 ACJ983039:ACU983041 AMF983039:AMQ983041 AWB983039:AWM983041 BFX983039:BGI983041 BPT983039:BQE983041 BZP983039:CAA983041 CJL983039:CJW983041 CTH983039:CTS983041 DDD983039:DDO983041 DMZ983039:DNK983041 DWV983039:DXG983041 EGR983039:EHC983041 EQN983039:EQY983041 FAJ983039:FAU983041 FKF983039:FKQ983041 FUB983039:FUM983041 GDX983039:GEI983041 GNT983039:GOE983041 GXP983039:GYA983041 HHL983039:HHW983041 HRH983039:HRS983041 IBD983039:IBO983041 IKZ983039:ILK983041 IUV983039:IVG983041 JER983039:JFC983041 JON983039:JOY983041 JYJ983039:JYU983041 KIF983039:KIQ983041 KSB983039:KSM983041 LBX983039:LCI983041 LLT983039:LME983041 LVP983039:LWA983041 MFL983039:MFW983041 MPH983039:MPS983041 MZD983039:MZO983041 NIZ983039:NJK983041 NSV983039:NTG983041 OCR983039:ODC983041 OMN983039:OMY983041 OWJ983039:OWU983041 PGF983039:PGQ983041 PQB983039:PQM983041 PZX983039:QAI983041 QJT983039:QKE983041 QTP983039:QUA983041 RDL983039:RDW983041 RNH983039:RNS983041 RXD983039:RXO983041 SGZ983039:SHK983041 SQV983039:SRG983041 TAR983039:TBC983041 TKN983039:TKY983041 TUJ983039:TUU983041 UEF983039:UEQ983041 UOB983039:UOM983041 UXX983039:UYI983041 VHT983039:VIE983041 VRP983039:VSA983041 WBL983039:WBW983041 WLH983039:WLS983041 WVD983039:WVO983041 Z262143:AJ262145 Z196607:AJ196609 Z131071:AJ131073 Z65535:AJ65537 Z983039:AJ983041 Z917503:AJ917505 Z851967:AJ851969 Z786431:AJ786433 Z720895:AJ720897 Z655359:AJ655361 Z589823:AJ589825 Z524287:AJ524289 Z458751:AJ458753 Z393215:AJ393217 Z327679:AJ327681 IS2:JD4 SO2:SZ4 ACK2:ACV4 AMG2:AMR4 AWC2:AWN4 BFY2:BGJ4 BPU2:BQF4 BZQ2:CAB4 CJM2:CJX4 CTI2:CTT4 DDE2:DDP4 DNA2:DNL4 DWW2:DXH4 EGS2:EHD4 EQO2:EQZ4 FAK2:FAV4 FKG2:FKR4 FUC2:FUN4 GDY2:GEJ4 GNU2:GOF4 GXQ2:GYB4 HHM2:HHX4 HRI2:HRT4 IBE2:IBP4 ILA2:ILL4 IUW2:IVH4 JES2:JFD4 JOO2:JOZ4 JYK2:JYV4 KIG2:KIR4 KSC2:KSN4 LBY2:LCJ4 LLU2:LMF4 LVQ2:LWB4 MFM2:MFX4 MPI2:MPT4 MZE2:MZP4 NJA2:NJL4 NSW2:NTH4 OCS2:ODD4 OMO2:OMZ4 OWK2:OWV4 PGG2:PGR4 PQC2:PQN4 PZY2:QAJ4 QJU2:QKF4 QTQ2:QUB4 RDM2:RDX4 RNI2:RNT4 RXE2:RXP4 SHA2:SHL4 SQW2:SRH4 TAS2:TBD4 TKO2:TKZ4 TUK2:TUV4 UEG2:UER4 UOC2:UON4 UXY2:UYJ4 VHU2:VIF4 VRQ2:VSB4 WBM2:WBX4 WLI2:WLT4 WVE2:WVP4 R2"/>
    <dataValidation type="list" allowBlank="1" showInputMessage="1" showErrorMessage="1" sqref="AA8:AC46">
      <formula1>"int,numeric,varchar,date,datetime2(0),datetime2,varbinary(max)"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>
      <c r="A1" s="396" t="s">
        <v>78</v>
      </c>
      <c r="B1" s="397"/>
      <c r="C1" s="397"/>
      <c r="D1" s="397"/>
      <c r="E1" s="397"/>
      <c r="F1" s="397"/>
      <c r="G1" s="397"/>
      <c r="H1" s="398"/>
      <c r="I1" s="336" t="s">
        <v>79</v>
      </c>
      <c r="J1" s="337"/>
      <c r="K1" s="337"/>
      <c r="L1" s="337"/>
      <c r="M1" s="337"/>
      <c r="N1" s="337"/>
      <c r="O1" s="337"/>
      <c r="P1" s="337"/>
      <c r="Q1" s="338"/>
      <c r="R1" s="336" t="s">
        <v>80</v>
      </c>
      <c r="S1" s="337"/>
      <c r="T1" s="337"/>
      <c r="U1" s="337"/>
      <c r="V1" s="337"/>
      <c r="W1" s="337"/>
      <c r="X1" s="338"/>
      <c r="Y1" s="336" t="s">
        <v>135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8"/>
      <c r="AP1" s="407" t="s">
        <v>82</v>
      </c>
      <c r="AQ1" s="408"/>
      <c r="AR1" s="408"/>
      <c r="AS1" s="408"/>
      <c r="AT1" s="409"/>
      <c r="AU1" s="407" t="s">
        <v>83</v>
      </c>
      <c r="AV1" s="408"/>
      <c r="AW1" s="408"/>
      <c r="AX1" s="408"/>
      <c r="AY1" s="409"/>
      <c r="AZ1" s="407" t="s">
        <v>84</v>
      </c>
      <c r="BA1" s="408"/>
      <c r="BB1" s="408"/>
      <c r="BC1" s="408"/>
      <c r="BD1" s="409"/>
    </row>
    <row r="2" spans="1:57" s="17" customFormat="1" ht="14.4" customHeight="1">
      <c r="A2" s="399"/>
      <c r="B2" s="400"/>
      <c r="C2" s="400"/>
      <c r="D2" s="400"/>
      <c r="E2" s="400"/>
      <c r="F2" s="400"/>
      <c r="G2" s="400"/>
      <c r="H2" s="401"/>
      <c r="I2" s="366" t="s">
        <v>85</v>
      </c>
      <c r="J2" s="367"/>
      <c r="K2" s="367"/>
      <c r="L2" s="367"/>
      <c r="M2" s="367"/>
      <c r="N2" s="367"/>
      <c r="O2" s="367"/>
      <c r="P2" s="367"/>
      <c r="Q2" s="368"/>
      <c r="R2" s="366" t="str">
        <f ca="1">VLOOKUP(RIGHT(CELL("filename",A2),LEN(CELL("filename",A2))-FIND("]",CELL("filename",A2))),テーブル一覧!B:AD,22,FALSE)</f>
        <v>B.生産計画</v>
      </c>
      <c r="S2" s="367"/>
      <c r="T2" s="367"/>
      <c r="U2" s="367"/>
      <c r="V2" s="367"/>
      <c r="W2" s="367"/>
      <c r="X2" s="368"/>
      <c r="Y2" s="366" t="str">
        <f ca="1">VLOOKUP(RIGHT(CELL("filename",A2),LEN(CELL("filename",A2))-FIND("]",CELL("filename",A2))),テーブル一覧!B:AD,1,FALSE)</f>
        <v>生産指示明細情報（調薬）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8"/>
      <c r="AP2" s="339"/>
      <c r="AQ2" s="340"/>
      <c r="AR2" s="340"/>
      <c r="AS2" s="340"/>
      <c r="AT2" s="341"/>
      <c r="AU2" s="58" t="s">
        <v>88</v>
      </c>
      <c r="AV2" s="59"/>
      <c r="AW2" s="59"/>
      <c r="AX2" s="59"/>
      <c r="AY2" s="60"/>
      <c r="AZ2" s="413" t="s">
        <v>89</v>
      </c>
      <c r="BA2" s="414"/>
      <c r="BB2" s="414"/>
      <c r="BC2" s="414"/>
      <c r="BD2" s="415"/>
    </row>
    <row r="3" spans="1:57" s="17" customFormat="1" ht="14.4" customHeight="1">
      <c r="A3" s="399"/>
      <c r="B3" s="400"/>
      <c r="C3" s="400"/>
      <c r="D3" s="400"/>
      <c r="E3" s="400"/>
      <c r="F3" s="400"/>
      <c r="G3" s="400"/>
      <c r="H3" s="401"/>
      <c r="I3" s="369"/>
      <c r="J3" s="370"/>
      <c r="K3" s="370"/>
      <c r="L3" s="370"/>
      <c r="M3" s="370"/>
      <c r="N3" s="370"/>
      <c r="O3" s="370"/>
      <c r="P3" s="370"/>
      <c r="Q3" s="371"/>
      <c r="R3" s="369"/>
      <c r="S3" s="370"/>
      <c r="T3" s="370"/>
      <c r="U3" s="370"/>
      <c r="V3" s="370"/>
      <c r="W3" s="370"/>
      <c r="X3" s="371"/>
      <c r="Y3" s="372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4"/>
      <c r="AP3" s="342"/>
      <c r="AQ3" s="343"/>
      <c r="AR3" s="343"/>
      <c r="AS3" s="343"/>
      <c r="AT3" s="344"/>
      <c r="AU3" s="410"/>
      <c r="AV3" s="411"/>
      <c r="AW3" s="411"/>
      <c r="AX3" s="411"/>
      <c r="AY3" s="412"/>
      <c r="AZ3" s="413"/>
      <c r="BA3" s="414"/>
      <c r="BB3" s="414"/>
      <c r="BC3" s="414"/>
      <c r="BD3" s="415"/>
    </row>
    <row r="4" spans="1:57" s="17" customFormat="1" ht="14.4" customHeight="1">
      <c r="A4" s="402"/>
      <c r="B4" s="403"/>
      <c r="C4" s="403"/>
      <c r="D4" s="403"/>
      <c r="E4" s="403"/>
      <c r="F4" s="403"/>
      <c r="G4" s="403"/>
      <c r="H4" s="404"/>
      <c r="I4" s="372"/>
      <c r="J4" s="373"/>
      <c r="K4" s="373"/>
      <c r="L4" s="373"/>
      <c r="M4" s="373"/>
      <c r="N4" s="373"/>
      <c r="O4" s="373"/>
      <c r="P4" s="373"/>
      <c r="Q4" s="374"/>
      <c r="R4" s="372"/>
      <c r="S4" s="373"/>
      <c r="T4" s="373"/>
      <c r="U4" s="373"/>
      <c r="V4" s="373"/>
      <c r="W4" s="373"/>
      <c r="X4" s="374"/>
      <c r="Y4" s="41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t_seisan_shiji_choyaku_m</v>
      </c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8"/>
      <c r="AP4" s="342"/>
      <c r="AQ4" s="343"/>
      <c r="AR4" s="343"/>
      <c r="AS4" s="343"/>
      <c r="AT4" s="344"/>
      <c r="AU4" s="410"/>
      <c r="AV4" s="411"/>
      <c r="AW4" s="411"/>
      <c r="AX4" s="411"/>
      <c r="AY4" s="412"/>
      <c r="AZ4" s="413"/>
      <c r="BA4" s="414"/>
      <c r="BB4" s="414"/>
      <c r="BC4" s="414"/>
      <c r="BD4" s="415"/>
    </row>
    <row r="6" spans="1:57" ht="14.4" customHeight="1">
      <c r="A6" s="405" t="s">
        <v>90</v>
      </c>
      <c r="B6" s="386" t="s">
        <v>136</v>
      </c>
      <c r="C6" s="394"/>
      <c r="D6" s="394"/>
      <c r="E6" s="394"/>
      <c r="F6" s="394"/>
      <c r="G6" s="394"/>
      <c r="H6" s="387"/>
      <c r="I6" s="386" t="s">
        <v>137</v>
      </c>
      <c r="J6" s="394"/>
      <c r="K6" s="394"/>
      <c r="L6" s="394"/>
      <c r="M6" s="394"/>
      <c r="N6" s="394"/>
      <c r="O6" s="394"/>
      <c r="P6" s="394"/>
      <c r="Q6" s="387"/>
      <c r="R6" s="386" t="s">
        <v>138</v>
      </c>
      <c r="S6" s="394"/>
      <c r="T6" s="394"/>
      <c r="U6" s="394"/>
      <c r="V6" s="394"/>
      <c r="W6" s="394"/>
      <c r="X6" s="387"/>
      <c r="Y6" s="386" t="s">
        <v>139</v>
      </c>
      <c r="Z6" s="387"/>
      <c r="AA6" s="386" t="s">
        <v>140</v>
      </c>
      <c r="AB6" s="394"/>
      <c r="AC6" s="387"/>
      <c r="AD6" s="390" t="s">
        <v>141</v>
      </c>
      <c r="AE6" s="392" t="s">
        <v>142</v>
      </c>
      <c r="AF6" s="390" t="s">
        <v>143</v>
      </c>
      <c r="AG6" s="390" t="s">
        <v>144</v>
      </c>
      <c r="AH6" s="390" t="s">
        <v>145</v>
      </c>
      <c r="AI6" s="383" t="s">
        <v>146</v>
      </c>
      <c r="AJ6" s="384"/>
      <c r="AK6" s="384"/>
      <c r="AL6" s="384"/>
      <c r="AM6" s="384"/>
      <c r="AN6" s="384"/>
      <c r="AO6" s="384"/>
      <c r="AP6" s="384"/>
      <c r="AQ6" s="384"/>
      <c r="AR6" s="385"/>
      <c r="AS6" s="386" t="s">
        <v>147</v>
      </c>
      <c r="AT6" s="394"/>
      <c r="AU6" s="394"/>
      <c r="AV6" s="394"/>
      <c r="AW6" s="394"/>
      <c r="AX6" s="394"/>
      <c r="AY6" s="394"/>
      <c r="AZ6" s="394"/>
      <c r="BA6" s="394"/>
      <c r="BB6" s="394"/>
      <c r="BC6" s="394"/>
      <c r="BD6" s="387"/>
    </row>
    <row r="7" spans="1:57" ht="14.4" customHeight="1">
      <c r="A7" s="406"/>
      <c r="B7" s="388"/>
      <c r="C7" s="395"/>
      <c r="D7" s="395"/>
      <c r="E7" s="395"/>
      <c r="F7" s="395"/>
      <c r="G7" s="395"/>
      <c r="H7" s="389"/>
      <c r="I7" s="388"/>
      <c r="J7" s="395"/>
      <c r="K7" s="395"/>
      <c r="L7" s="395"/>
      <c r="M7" s="395"/>
      <c r="N7" s="395"/>
      <c r="O7" s="395"/>
      <c r="P7" s="395"/>
      <c r="Q7" s="389"/>
      <c r="R7" s="388"/>
      <c r="S7" s="395"/>
      <c r="T7" s="395"/>
      <c r="U7" s="395"/>
      <c r="V7" s="395"/>
      <c r="W7" s="395"/>
      <c r="X7" s="389"/>
      <c r="Y7" s="388"/>
      <c r="Z7" s="389"/>
      <c r="AA7" s="388"/>
      <c r="AB7" s="395"/>
      <c r="AC7" s="389"/>
      <c r="AD7" s="391"/>
      <c r="AE7" s="393"/>
      <c r="AF7" s="391"/>
      <c r="AG7" s="391"/>
      <c r="AH7" s="39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88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89"/>
    </row>
    <row r="8" spans="1:57" ht="14.4" customHeight="1">
      <c r="A8" s="70">
        <f>IF(B8="","",COUNTA($B$8:B8))</f>
        <v>1</v>
      </c>
      <c r="B8" s="178" t="s">
        <v>148</v>
      </c>
      <c r="C8" s="179"/>
      <c r="D8" s="179"/>
      <c r="E8" s="179"/>
      <c r="F8" s="179"/>
      <c r="G8" s="179"/>
      <c r="H8" s="180"/>
      <c r="I8" s="181" t="s">
        <v>149</v>
      </c>
      <c r="J8" s="182"/>
      <c r="K8" s="182"/>
      <c r="L8" s="182"/>
      <c r="M8" s="182"/>
      <c r="N8" s="182"/>
      <c r="O8" s="262"/>
      <c r="P8" s="182"/>
      <c r="Q8" s="180"/>
      <c r="R8" s="178" t="s">
        <v>148</v>
      </c>
      <c r="S8" s="182"/>
      <c r="T8" s="182"/>
      <c r="U8" s="182"/>
      <c r="V8" s="182"/>
      <c r="W8" s="182"/>
      <c r="X8" s="180"/>
      <c r="Y8" s="445" t="s">
        <v>150</v>
      </c>
      <c r="Z8" s="446"/>
      <c r="AA8" s="457" t="s">
        <v>151</v>
      </c>
      <c r="AB8" s="458"/>
      <c r="AC8" s="459"/>
      <c r="AD8" s="184">
        <v>15</v>
      </c>
      <c r="AE8" s="217"/>
      <c r="AF8" s="217">
        <v>1</v>
      </c>
      <c r="AG8" s="218" t="s">
        <v>152</v>
      </c>
      <c r="AH8" s="218"/>
      <c r="AI8" s="218"/>
      <c r="AJ8" s="218"/>
      <c r="AK8" s="218"/>
      <c r="AL8" s="218"/>
      <c r="AM8" s="218"/>
      <c r="AN8" s="218"/>
      <c r="AO8" s="217"/>
      <c r="AP8" s="217"/>
      <c r="AQ8" s="217"/>
      <c r="AR8" s="217"/>
      <c r="AS8" s="238"/>
      <c r="AT8" s="239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" customHeight="1">
      <c r="A9" s="79">
        <f>IF(B9="","",COUNTA($B$8:B9))</f>
        <v>2</v>
      </c>
      <c r="B9" s="241" t="s">
        <v>381</v>
      </c>
      <c r="C9" s="242"/>
      <c r="D9" s="242"/>
      <c r="E9" s="242"/>
      <c r="F9" s="242"/>
      <c r="G9" s="242"/>
      <c r="H9" s="226"/>
      <c r="I9" s="222" t="s">
        <v>382</v>
      </c>
      <c r="J9" s="223"/>
      <c r="K9" s="223"/>
      <c r="L9" s="223"/>
      <c r="M9" s="223"/>
      <c r="N9" s="223"/>
      <c r="O9" s="223"/>
      <c r="P9" s="223"/>
      <c r="Q9" s="224"/>
      <c r="R9" s="241" t="s">
        <v>381</v>
      </c>
      <c r="S9" s="223"/>
      <c r="T9" s="223"/>
      <c r="U9" s="223"/>
      <c r="V9" s="223"/>
      <c r="W9" s="223"/>
      <c r="X9" s="226"/>
      <c r="Y9" s="460" t="s">
        <v>150</v>
      </c>
      <c r="Z9" s="461"/>
      <c r="AA9" s="462" t="s">
        <v>151</v>
      </c>
      <c r="AB9" s="463"/>
      <c r="AC9" s="464"/>
      <c r="AD9" s="243">
        <v>30</v>
      </c>
      <c r="AE9" s="244"/>
      <c r="AF9" s="244">
        <v>2</v>
      </c>
      <c r="AG9" s="245" t="s">
        <v>152</v>
      </c>
      <c r="AH9" s="245"/>
      <c r="AI9" s="245"/>
      <c r="AJ9" s="245"/>
      <c r="AK9" s="245"/>
      <c r="AL9" s="245"/>
      <c r="AM9" s="245"/>
      <c r="AN9" s="245"/>
      <c r="AO9" s="244"/>
      <c r="AP9" s="244"/>
      <c r="AQ9" s="244"/>
      <c r="AR9" s="244"/>
      <c r="AS9" s="222" t="s">
        <v>383</v>
      </c>
      <c r="AT9" s="246"/>
      <c r="AU9" s="76"/>
      <c r="AV9" s="76"/>
      <c r="AW9" s="76"/>
      <c r="AX9" s="76"/>
      <c r="AY9" s="76"/>
      <c r="AZ9" s="76"/>
      <c r="BA9" s="76"/>
      <c r="BB9" s="76"/>
      <c r="BC9" s="76"/>
      <c r="BD9" s="77"/>
    </row>
    <row r="10" spans="1:57" ht="14.4" customHeight="1">
      <c r="A10" s="150" t="str">
        <f>IF(B10="","",COUNTA($B$8:B10))</f>
        <v/>
      </c>
      <c r="B10" s="248"/>
      <c r="C10" s="249"/>
      <c r="D10" s="249"/>
      <c r="E10" s="249"/>
      <c r="F10" s="249"/>
      <c r="G10" s="249"/>
      <c r="H10" s="250"/>
      <c r="I10" s="251"/>
      <c r="J10" s="252"/>
      <c r="K10" s="252"/>
      <c r="L10" s="252"/>
      <c r="M10" s="252"/>
      <c r="N10" s="252"/>
      <c r="O10" s="252"/>
      <c r="P10" s="252"/>
      <c r="Q10" s="253"/>
      <c r="R10" s="248"/>
      <c r="S10" s="252"/>
      <c r="T10" s="252"/>
      <c r="U10" s="252"/>
      <c r="V10" s="252"/>
      <c r="W10" s="252"/>
      <c r="X10" s="250"/>
      <c r="Y10" s="248"/>
      <c r="Z10" s="254"/>
      <c r="AA10" s="465"/>
      <c r="AB10" s="466"/>
      <c r="AC10" s="467"/>
      <c r="AD10" s="255"/>
      <c r="AE10" s="256" t="s">
        <v>244</v>
      </c>
      <c r="AF10" s="256"/>
      <c r="AG10" s="256"/>
      <c r="AH10" s="257"/>
      <c r="AI10" s="257"/>
      <c r="AJ10" s="257"/>
      <c r="AK10" s="257"/>
      <c r="AL10" s="257"/>
      <c r="AM10" s="257"/>
      <c r="AN10" s="257"/>
      <c r="AO10" s="256"/>
      <c r="AP10" s="256"/>
      <c r="AQ10" s="256"/>
      <c r="AR10" s="256"/>
      <c r="AS10" s="251" t="s">
        <v>402</v>
      </c>
      <c r="AT10" s="258"/>
      <c r="BD10" s="151"/>
    </row>
    <row r="11" spans="1:57" ht="14.4" customHeight="1">
      <c r="A11" s="70">
        <f>IF(B11="","",COUNTA($B$8:B11))</f>
        <v>3</v>
      </c>
      <c r="B11" s="197" t="s">
        <v>338</v>
      </c>
      <c r="C11" s="198"/>
      <c r="D11" s="198"/>
      <c r="E11" s="198"/>
      <c r="F11" s="198"/>
      <c r="G11" s="198"/>
      <c r="H11" s="199"/>
      <c r="I11" s="181" t="s">
        <v>1510</v>
      </c>
      <c r="J11" s="182"/>
      <c r="K11" s="182"/>
      <c r="L11" s="182"/>
      <c r="M11" s="182"/>
      <c r="N11" s="182"/>
      <c r="O11" s="182"/>
      <c r="P11" s="182"/>
      <c r="Q11" s="183"/>
      <c r="R11" s="197" t="s">
        <v>338</v>
      </c>
      <c r="S11" s="182"/>
      <c r="T11" s="182"/>
      <c r="U11" s="182"/>
      <c r="V11" s="182"/>
      <c r="W11" s="182"/>
      <c r="X11" s="180"/>
      <c r="Y11" s="445" t="s">
        <v>1487</v>
      </c>
      <c r="Z11" s="446"/>
      <c r="AA11" s="457" t="s">
        <v>1488</v>
      </c>
      <c r="AB11" s="458"/>
      <c r="AC11" s="459"/>
      <c r="AD11" s="184">
        <v>3</v>
      </c>
      <c r="AE11" s="217"/>
      <c r="AF11" s="217">
        <v>4</v>
      </c>
      <c r="AG11" s="218" t="s">
        <v>152</v>
      </c>
      <c r="AH11" s="218"/>
      <c r="AI11" s="218"/>
      <c r="AJ11" s="218"/>
      <c r="AK11" s="218"/>
      <c r="AL11" s="218"/>
      <c r="AM11" s="218"/>
      <c r="AN11" s="218"/>
      <c r="AO11" s="217"/>
      <c r="AP11" s="217"/>
      <c r="AQ11" s="217"/>
      <c r="AR11" s="217"/>
      <c r="AS11" s="181" t="s">
        <v>404</v>
      </c>
      <c r="AT11" s="219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" customHeight="1">
      <c r="A12" s="131">
        <f>IF(B12="","",COUNTA($B$8:B12))</f>
        <v>4</v>
      </c>
      <c r="B12" s="186" t="s">
        <v>197</v>
      </c>
      <c r="C12" s="187"/>
      <c r="D12" s="187"/>
      <c r="E12" s="187"/>
      <c r="F12" s="187"/>
      <c r="G12" s="187"/>
      <c r="H12" s="188"/>
      <c r="I12" s="204" t="s">
        <v>198</v>
      </c>
      <c r="J12" s="190"/>
      <c r="K12" s="190"/>
      <c r="L12" s="190"/>
      <c r="M12" s="190"/>
      <c r="N12" s="190"/>
      <c r="O12" s="190"/>
      <c r="P12" s="190"/>
      <c r="Q12" s="191"/>
      <c r="R12" s="186" t="s">
        <v>197</v>
      </c>
      <c r="S12" s="190"/>
      <c r="T12" s="190"/>
      <c r="U12" s="190"/>
      <c r="V12" s="190"/>
      <c r="W12" s="190"/>
      <c r="X12" s="188"/>
      <c r="Y12" s="378" t="s">
        <v>150</v>
      </c>
      <c r="Z12" s="379"/>
      <c r="AA12" s="380" t="s">
        <v>151</v>
      </c>
      <c r="AB12" s="381"/>
      <c r="AC12" s="382"/>
      <c r="AD12" s="205">
        <v>5</v>
      </c>
      <c r="AE12" s="193"/>
      <c r="AF12" s="193"/>
      <c r="AG12" s="193"/>
      <c r="AH12" s="194"/>
      <c r="AI12" s="194"/>
      <c r="AJ12" s="194"/>
      <c r="AK12" s="194"/>
      <c r="AL12" s="194"/>
      <c r="AM12" s="194"/>
      <c r="AN12" s="194"/>
      <c r="AO12" s="193"/>
      <c r="AP12" s="193"/>
      <c r="AQ12" s="193"/>
      <c r="AR12" s="193"/>
      <c r="AS12" s="189"/>
      <c r="AT12" s="176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7" ht="14.4" customHeight="1">
      <c r="A13" s="70">
        <f>IF(B13="","",COUNTA($B$8:B13))</f>
        <v>5</v>
      </c>
      <c r="B13" s="197" t="s">
        <v>199</v>
      </c>
      <c r="C13" s="198"/>
      <c r="D13" s="198"/>
      <c r="E13" s="198"/>
      <c r="F13" s="198"/>
      <c r="G13" s="198"/>
      <c r="H13" s="199"/>
      <c r="I13" s="181" t="s">
        <v>1507</v>
      </c>
      <c r="J13" s="182"/>
      <c r="K13" s="182"/>
      <c r="L13" s="182"/>
      <c r="M13" s="182"/>
      <c r="N13" s="182"/>
      <c r="O13" s="182"/>
      <c r="P13" s="182"/>
      <c r="Q13" s="183"/>
      <c r="R13" s="197" t="s">
        <v>1425</v>
      </c>
      <c r="S13" s="182"/>
      <c r="T13" s="182"/>
      <c r="U13" s="182"/>
      <c r="V13" s="182"/>
      <c r="W13" s="182"/>
      <c r="X13" s="180"/>
      <c r="Y13" s="445" t="s">
        <v>150</v>
      </c>
      <c r="Z13" s="446"/>
      <c r="AA13" s="457" t="s">
        <v>1481</v>
      </c>
      <c r="AB13" s="458"/>
      <c r="AC13" s="459"/>
      <c r="AD13" s="184">
        <v>20</v>
      </c>
      <c r="AE13" s="217"/>
      <c r="AF13" s="217"/>
      <c r="AG13" s="217"/>
      <c r="AH13" s="218"/>
      <c r="AI13" s="218"/>
      <c r="AJ13" s="218"/>
      <c r="AK13" s="218"/>
      <c r="AL13" s="218"/>
      <c r="AM13" s="218"/>
      <c r="AN13" s="218"/>
      <c r="AO13" s="217"/>
      <c r="AP13" s="217"/>
      <c r="AQ13" s="217"/>
      <c r="AR13" s="217"/>
      <c r="AS13" s="181"/>
      <c r="AT13" s="219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1421</v>
      </c>
    </row>
    <row r="14" spans="1:57" ht="14.4" customHeight="1">
      <c r="A14" s="70">
        <f>IF(B14="","",COUNTA($B$8:B14))</f>
        <v>6</v>
      </c>
      <c r="B14" s="197" t="s">
        <v>201</v>
      </c>
      <c r="C14" s="198"/>
      <c r="D14" s="198"/>
      <c r="E14" s="198"/>
      <c r="F14" s="198"/>
      <c r="G14" s="198"/>
      <c r="H14" s="199"/>
      <c r="I14" s="181" t="s">
        <v>1508</v>
      </c>
      <c r="J14" s="182"/>
      <c r="K14" s="182"/>
      <c r="L14" s="182"/>
      <c r="M14" s="182"/>
      <c r="N14" s="182"/>
      <c r="O14" s="182"/>
      <c r="P14" s="182"/>
      <c r="Q14" s="183"/>
      <c r="R14" s="197" t="s">
        <v>1426</v>
      </c>
      <c r="S14" s="182"/>
      <c r="T14" s="182"/>
      <c r="U14" s="182"/>
      <c r="V14" s="182"/>
      <c r="W14" s="182"/>
      <c r="X14" s="180"/>
      <c r="Y14" s="445" t="s">
        <v>150</v>
      </c>
      <c r="Z14" s="446"/>
      <c r="AA14" s="457" t="s">
        <v>1498</v>
      </c>
      <c r="AB14" s="458"/>
      <c r="AC14" s="459"/>
      <c r="AD14" s="184">
        <v>30</v>
      </c>
      <c r="AE14" s="217"/>
      <c r="AF14" s="217"/>
      <c r="AG14" s="217"/>
      <c r="AH14" s="218"/>
      <c r="AI14" s="218"/>
      <c r="AJ14" s="218"/>
      <c r="AK14" s="218"/>
      <c r="AL14" s="218"/>
      <c r="AM14" s="218"/>
      <c r="AN14" s="218"/>
      <c r="AO14" s="217"/>
      <c r="AP14" s="217"/>
      <c r="AQ14" s="217"/>
      <c r="AR14" s="217"/>
      <c r="AS14" s="181"/>
      <c r="AT14" s="219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" customHeight="1">
      <c r="A15" s="70">
        <f>IF(B15="","",COUNTA($B$8:B15))</f>
        <v>7</v>
      </c>
      <c r="B15" s="178" t="s">
        <v>1427</v>
      </c>
      <c r="C15" s="179"/>
      <c r="D15" s="179"/>
      <c r="E15" s="179"/>
      <c r="F15" s="179"/>
      <c r="G15" s="179"/>
      <c r="H15" s="199" t="s">
        <v>374</v>
      </c>
      <c r="I15" s="181" t="s">
        <v>1380</v>
      </c>
      <c r="J15" s="182"/>
      <c r="K15" s="182"/>
      <c r="L15" s="182"/>
      <c r="M15" s="182"/>
      <c r="N15" s="182"/>
      <c r="O15" s="182"/>
      <c r="P15" s="182"/>
      <c r="Q15" s="183"/>
      <c r="R15" s="178" t="s">
        <v>1427</v>
      </c>
      <c r="S15" s="182"/>
      <c r="T15" s="182"/>
      <c r="U15" s="182"/>
      <c r="V15" s="182"/>
      <c r="W15" s="182"/>
      <c r="X15" s="180"/>
      <c r="Y15" s="445" t="s">
        <v>150</v>
      </c>
      <c r="Z15" s="446"/>
      <c r="AA15" s="457" t="s">
        <v>1481</v>
      </c>
      <c r="AB15" s="458"/>
      <c r="AC15" s="459"/>
      <c r="AD15" s="184">
        <v>3</v>
      </c>
      <c r="AE15" s="217"/>
      <c r="AF15" s="217"/>
      <c r="AG15" s="217"/>
      <c r="AH15" s="218"/>
      <c r="AI15" s="218"/>
      <c r="AJ15" s="218"/>
      <c r="AK15" s="218"/>
      <c r="AL15" s="218"/>
      <c r="AM15" s="218"/>
      <c r="AN15" s="218"/>
      <c r="AO15" s="217"/>
      <c r="AP15" s="217"/>
      <c r="AQ15" s="217"/>
      <c r="AR15" s="217"/>
      <c r="AS15" s="181"/>
      <c r="AT15" s="239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" customHeight="1">
      <c r="A16" s="70">
        <f>IF(B16="","",COUNTA($B$8:B16))</f>
        <v>8</v>
      </c>
      <c r="B16" s="178" t="s">
        <v>1428</v>
      </c>
      <c r="C16" s="179"/>
      <c r="D16" s="179"/>
      <c r="E16" s="179"/>
      <c r="F16" s="179"/>
      <c r="G16" s="179"/>
      <c r="H16" s="180"/>
      <c r="I16" s="181" t="s">
        <v>1505</v>
      </c>
      <c r="J16" s="182"/>
      <c r="K16" s="182"/>
      <c r="L16" s="182"/>
      <c r="M16" s="182"/>
      <c r="N16" s="182"/>
      <c r="O16" s="182"/>
      <c r="P16" s="182"/>
      <c r="Q16" s="183"/>
      <c r="R16" s="178" t="s">
        <v>1428</v>
      </c>
      <c r="S16" s="182"/>
      <c r="T16" s="182"/>
      <c r="U16" s="182"/>
      <c r="V16" s="182"/>
      <c r="W16" s="182"/>
      <c r="X16" s="180"/>
      <c r="Y16" s="445" t="s">
        <v>1487</v>
      </c>
      <c r="Z16" s="446"/>
      <c r="AA16" s="457" t="s">
        <v>1488</v>
      </c>
      <c r="AB16" s="458"/>
      <c r="AC16" s="459"/>
      <c r="AD16" s="184">
        <v>5</v>
      </c>
      <c r="AE16" s="217">
        <v>2</v>
      </c>
      <c r="AF16" s="217"/>
      <c r="AG16" s="217"/>
      <c r="AH16" s="218">
        <v>0</v>
      </c>
      <c r="AI16" s="218"/>
      <c r="AJ16" s="218"/>
      <c r="AK16" s="218"/>
      <c r="AL16" s="218"/>
      <c r="AM16" s="218"/>
      <c r="AN16" s="218"/>
      <c r="AO16" s="217"/>
      <c r="AP16" s="217"/>
      <c r="AQ16" s="217"/>
      <c r="AR16" s="217"/>
      <c r="AS16" s="181"/>
      <c r="AT16" s="239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" customHeight="1">
      <c r="A17" s="70">
        <f>IF(B17="","",COUNTA($B$8:B17))</f>
        <v>9</v>
      </c>
      <c r="B17" s="178" t="s">
        <v>228</v>
      </c>
      <c r="C17" s="179"/>
      <c r="D17" s="179"/>
      <c r="E17" s="179"/>
      <c r="F17" s="179"/>
      <c r="G17" s="179"/>
      <c r="H17" s="180"/>
      <c r="I17" s="181" t="s">
        <v>1506</v>
      </c>
      <c r="J17" s="182"/>
      <c r="K17" s="182"/>
      <c r="L17" s="182"/>
      <c r="M17" s="182"/>
      <c r="N17" s="182"/>
      <c r="O17" s="182"/>
      <c r="P17" s="182"/>
      <c r="Q17" s="183"/>
      <c r="R17" s="178" t="s">
        <v>228</v>
      </c>
      <c r="S17" s="182"/>
      <c r="T17" s="182"/>
      <c r="U17" s="182"/>
      <c r="V17" s="182"/>
      <c r="W17" s="182"/>
      <c r="X17" s="180"/>
      <c r="Y17" s="445" t="s">
        <v>150</v>
      </c>
      <c r="Z17" s="446"/>
      <c r="AA17" s="457" t="s">
        <v>1481</v>
      </c>
      <c r="AB17" s="458"/>
      <c r="AC17" s="459"/>
      <c r="AD17" s="184">
        <v>1000</v>
      </c>
      <c r="AE17" s="217"/>
      <c r="AF17" s="217"/>
      <c r="AG17" s="217"/>
      <c r="AH17" s="218"/>
      <c r="AI17" s="218"/>
      <c r="AJ17" s="218"/>
      <c r="AK17" s="218"/>
      <c r="AL17" s="218"/>
      <c r="AM17" s="218"/>
      <c r="AN17" s="218"/>
      <c r="AO17" s="217"/>
      <c r="AP17" s="217"/>
      <c r="AQ17" s="217"/>
      <c r="AR17" s="217"/>
      <c r="AS17" s="181"/>
      <c r="AT17" s="239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>
      <c r="A18" s="70">
        <f>IF(B18="","",COUNTA($B$8:B18))</f>
        <v>10</v>
      </c>
      <c r="B18" s="178" t="s">
        <v>249</v>
      </c>
      <c r="C18" s="179"/>
      <c r="D18" s="179"/>
      <c r="E18" s="179"/>
      <c r="F18" s="179"/>
      <c r="G18" s="179"/>
      <c r="H18" s="180"/>
      <c r="I18" s="181" t="s">
        <v>1502</v>
      </c>
      <c r="J18" s="182"/>
      <c r="K18" s="182"/>
      <c r="L18" s="182"/>
      <c r="M18" s="182"/>
      <c r="N18" s="182"/>
      <c r="O18" s="182"/>
      <c r="P18" s="182"/>
      <c r="Q18" s="183"/>
      <c r="R18" s="178" t="s">
        <v>249</v>
      </c>
      <c r="S18" s="182"/>
      <c r="T18" s="182"/>
      <c r="U18" s="182"/>
      <c r="V18" s="182"/>
      <c r="W18" s="182"/>
      <c r="X18" s="180"/>
      <c r="Y18" s="445" t="s">
        <v>150</v>
      </c>
      <c r="Z18" s="446"/>
      <c r="AA18" s="457" t="s">
        <v>1481</v>
      </c>
      <c r="AB18" s="458"/>
      <c r="AC18" s="459"/>
      <c r="AD18" s="184">
        <v>4</v>
      </c>
      <c r="AE18" s="217"/>
      <c r="AF18" s="217"/>
      <c r="AG18" s="217"/>
      <c r="AH18" s="218"/>
      <c r="AI18" s="218"/>
      <c r="AJ18" s="218"/>
      <c r="AK18" s="218"/>
      <c r="AL18" s="218"/>
      <c r="AM18" s="218"/>
      <c r="AN18" s="218"/>
      <c r="AO18" s="217"/>
      <c r="AP18" s="217"/>
      <c r="AQ18" s="217"/>
      <c r="AR18" s="217"/>
      <c r="AS18" s="181"/>
      <c r="AT18" s="219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>
      <c r="A19" s="70">
        <f>IF(B19="","",COUNTA($B$8:B19))</f>
        <v>11</v>
      </c>
      <c r="B19" s="178" t="s">
        <v>251</v>
      </c>
      <c r="C19" s="179"/>
      <c r="D19" s="179"/>
      <c r="E19" s="179"/>
      <c r="F19" s="179"/>
      <c r="G19" s="179"/>
      <c r="H19" s="180"/>
      <c r="I19" s="181" t="s">
        <v>1501</v>
      </c>
      <c r="J19" s="182"/>
      <c r="K19" s="182"/>
      <c r="L19" s="182"/>
      <c r="M19" s="182"/>
      <c r="N19" s="182"/>
      <c r="O19" s="182"/>
      <c r="P19" s="182"/>
      <c r="Q19" s="183"/>
      <c r="R19" s="178" t="s">
        <v>251</v>
      </c>
      <c r="S19" s="182"/>
      <c r="T19" s="182"/>
      <c r="U19" s="182"/>
      <c r="V19" s="182"/>
      <c r="W19" s="182"/>
      <c r="X19" s="180"/>
      <c r="Y19" s="445" t="s">
        <v>150</v>
      </c>
      <c r="Z19" s="446"/>
      <c r="AA19" s="457" t="s">
        <v>1481</v>
      </c>
      <c r="AB19" s="458"/>
      <c r="AC19" s="459"/>
      <c r="AD19" s="184">
        <v>4</v>
      </c>
      <c r="AE19" s="217"/>
      <c r="AF19" s="217"/>
      <c r="AG19" s="217"/>
      <c r="AH19" s="218"/>
      <c r="AI19" s="218"/>
      <c r="AJ19" s="218"/>
      <c r="AK19" s="218"/>
      <c r="AL19" s="218"/>
      <c r="AM19" s="218"/>
      <c r="AN19" s="218"/>
      <c r="AO19" s="217"/>
      <c r="AP19" s="217"/>
      <c r="AQ19" s="217"/>
      <c r="AR19" s="217"/>
      <c r="AS19" s="181"/>
      <c r="AT19" s="219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>
      <c r="A20" s="70">
        <f>IF(B20="","",COUNTA($B$8:B20))</f>
        <v>12</v>
      </c>
      <c r="B20" s="178" t="s">
        <v>253</v>
      </c>
      <c r="C20" s="179"/>
      <c r="D20" s="179"/>
      <c r="E20" s="179"/>
      <c r="F20" s="179"/>
      <c r="G20" s="179"/>
      <c r="H20" s="180"/>
      <c r="I20" s="181" t="s">
        <v>254</v>
      </c>
      <c r="J20" s="182"/>
      <c r="K20" s="182"/>
      <c r="L20" s="182"/>
      <c r="M20" s="182"/>
      <c r="N20" s="182"/>
      <c r="O20" s="182"/>
      <c r="P20" s="182"/>
      <c r="Q20" s="183"/>
      <c r="R20" s="178" t="s">
        <v>253</v>
      </c>
      <c r="S20" s="182"/>
      <c r="T20" s="182"/>
      <c r="U20" s="182"/>
      <c r="V20" s="182"/>
      <c r="W20" s="182"/>
      <c r="X20" s="180"/>
      <c r="Y20" s="445" t="s">
        <v>150</v>
      </c>
      <c r="Z20" s="446"/>
      <c r="AA20" s="457" t="s">
        <v>151</v>
      </c>
      <c r="AB20" s="458"/>
      <c r="AC20" s="459"/>
      <c r="AD20" s="184">
        <v>10</v>
      </c>
      <c r="AE20" s="217"/>
      <c r="AF20" s="217"/>
      <c r="AG20" s="217"/>
      <c r="AH20" s="218"/>
      <c r="AI20" s="218"/>
      <c r="AJ20" s="218"/>
      <c r="AK20" s="218"/>
      <c r="AL20" s="218"/>
      <c r="AM20" s="218"/>
      <c r="AN20" s="218"/>
      <c r="AO20" s="217"/>
      <c r="AP20" s="217"/>
      <c r="AQ20" s="217"/>
      <c r="AR20" s="217"/>
      <c r="AS20" s="181"/>
      <c r="AT20" s="219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>
      <c r="A21" s="70">
        <f>IF(B21="","",COUNTA($B$8:B21))</f>
        <v>13</v>
      </c>
      <c r="B21" s="178" t="s">
        <v>255</v>
      </c>
      <c r="C21" s="179"/>
      <c r="D21" s="179"/>
      <c r="E21" s="179"/>
      <c r="F21" s="179"/>
      <c r="G21" s="179"/>
      <c r="H21" s="180"/>
      <c r="I21" s="181" t="s">
        <v>256</v>
      </c>
      <c r="J21" s="182"/>
      <c r="K21" s="182"/>
      <c r="L21" s="182"/>
      <c r="M21" s="182"/>
      <c r="N21" s="182"/>
      <c r="O21" s="182"/>
      <c r="P21" s="182"/>
      <c r="Q21" s="183"/>
      <c r="R21" s="178" t="s">
        <v>255</v>
      </c>
      <c r="S21" s="182"/>
      <c r="T21" s="182"/>
      <c r="U21" s="182"/>
      <c r="V21" s="182"/>
      <c r="W21" s="182"/>
      <c r="X21" s="180"/>
      <c r="Y21" s="445" t="s">
        <v>150</v>
      </c>
      <c r="Z21" s="446"/>
      <c r="AA21" s="457" t="s">
        <v>151</v>
      </c>
      <c r="AB21" s="458"/>
      <c r="AC21" s="459"/>
      <c r="AD21" s="184">
        <v>10</v>
      </c>
      <c r="AE21" s="217"/>
      <c r="AF21" s="217"/>
      <c r="AG21" s="217"/>
      <c r="AH21" s="218"/>
      <c r="AI21" s="218"/>
      <c r="AJ21" s="218"/>
      <c r="AK21" s="218"/>
      <c r="AL21" s="218"/>
      <c r="AM21" s="218"/>
      <c r="AN21" s="218"/>
      <c r="AO21" s="217"/>
      <c r="AP21" s="217"/>
      <c r="AQ21" s="217"/>
      <c r="AR21" s="217"/>
      <c r="AS21" s="181"/>
      <c r="AT21" s="219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>
      <c r="A22" s="70">
        <f>IF(B22="","",COUNTA($B$8:B22))</f>
        <v>14</v>
      </c>
      <c r="B22" s="178" t="s">
        <v>257</v>
      </c>
      <c r="C22" s="179"/>
      <c r="D22" s="179"/>
      <c r="E22" s="179"/>
      <c r="F22" s="179"/>
      <c r="G22" s="179"/>
      <c r="H22" s="180"/>
      <c r="I22" s="181" t="s">
        <v>258</v>
      </c>
      <c r="J22" s="182"/>
      <c r="K22" s="182"/>
      <c r="L22" s="182"/>
      <c r="M22" s="182"/>
      <c r="N22" s="182"/>
      <c r="O22" s="182"/>
      <c r="P22" s="182"/>
      <c r="Q22" s="183"/>
      <c r="R22" s="178" t="s">
        <v>257</v>
      </c>
      <c r="S22" s="182"/>
      <c r="T22" s="182"/>
      <c r="U22" s="182"/>
      <c r="V22" s="182"/>
      <c r="W22" s="182"/>
      <c r="X22" s="180"/>
      <c r="Y22" s="445" t="s">
        <v>169</v>
      </c>
      <c r="Z22" s="446"/>
      <c r="AA22" s="457" t="s">
        <v>243</v>
      </c>
      <c r="AB22" s="458"/>
      <c r="AC22" s="459"/>
      <c r="AD22" s="263"/>
      <c r="AE22" s="217"/>
      <c r="AF22" s="217"/>
      <c r="AG22" s="217"/>
      <c r="AH22" s="218"/>
      <c r="AI22" s="218"/>
      <c r="AJ22" s="218"/>
      <c r="AK22" s="218"/>
      <c r="AL22" s="218"/>
      <c r="AM22" s="218"/>
      <c r="AN22" s="218"/>
      <c r="AO22" s="217"/>
      <c r="AP22" s="217"/>
      <c r="AQ22" s="217"/>
      <c r="AR22" s="217"/>
      <c r="AS22" s="181"/>
      <c r="AT22" s="219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>
      <c r="A23" s="70">
        <f>IF(B23="","",COUNTA($B$8:B23))</f>
        <v>15</v>
      </c>
      <c r="B23" s="178" t="s">
        <v>259</v>
      </c>
      <c r="C23" s="179"/>
      <c r="D23" s="179"/>
      <c r="E23" s="179"/>
      <c r="F23" s="179"/>
      <c r="G23" s="179"/>
      <c r="H23" s="180"/>
      <c r="I23" s="181" t="s">
        <v>260</v>
      </c>
      <c r="J23" s="182"/>
      <c r="K23" s="182"/>
      <c r="L23" s="182"/>
      <c r="M23" s="182"/>
      <c r="N23" s="182"/>
      <c r="O23" s="182"/>
      <c r="P23" s="182"/>
      <c r="Q23" s="183"/>
      <c r="R23" s="178" t="s">
        <v>259</v>
      </c>
      <c r="S23" s="182"/>
      <c r="T23" s="182"/>
      <c r="U23" s="182"/>
      <c r="V23" s="182"/>
      <c r="W23" s="182"/>
      <c r="X23" s="180"/>
      <c r="Y23" s="445" t="s">
        <v>150</v>
      </c>
      <c r="Z23" s="446"/>
      <c r="AA23" s="457" t="s">
        <v>151</v>
      </c>
      <c r="AB23" s="458"/>
      <c r="AC23" s="459"/>
      <c r="AD23" s="184">
        <v>10</v>
      </c>
      <c r="AE23" s="217"/>
      <c r="AF23" s="217"/>
      <c r="AG23" s="217"/>
      <c r="AH23" s="218"/>
      <c r="AI23" s="218"/>
      <c r="AJ23" s="218"/>
      <c r="AK23" s="218"/>
      <c r="AL23" s="218"/>
      <c r="AM23" s="218"/>
      <c r="AN23" s="218"/>
      <c r="AO23" s="217"/>
      <c r="AP23" s="217"/>
      <c r="AQ23" s="217"/>
      <c r="AR23" s="217"/>
      <c r="AS23" s="181"/>
      <c r="AT23" s="220"/>
      <c r="AU23" s="32"/>
      <c r="AV23" s="32"/>
      <c r="AW23" s="32"/>
      <c r="AX23" s="32"/>
      <c r="AY23" s="32"/>
      <c r="AZ23" s="32"/>
      <c r="BA23" s="32"/>
      <c r="BB23" s="32"/>
      <c r="BC23" s="32"/>
      <c r="BD23" s="33"/>
    </row>
    <row r="24" spans="1:56" ht="14.4" customHeight="1">
      <c r="A24" s="70">
        <f>IF(B24="","",COUNTA($B$8:B24))</f>
        <v>16</v>
      </c>
      <c r="B24" s="178" t="s">
        <v>261</v>
      </c>
      <c r="C24" s="179"/>
      <c r="D24" s="179"/>
      <c r="E24" s="179"/>
      <c r="F24" s="179"/>
      <c r="G24" s="179"/>
      <c r="H24" s="180"/>
      <c r="I24" s="181" t="s">
        <v>262</v>
      </c>
      <c r="J24" s="182"/>
      <c r="K24" s="182"/>
      <c r="L24" s="182"/>
      <c r="M24" s="182"/>
      <c r="N24" s="182"/>
      <c r="O24" s="182"/>
      <c r="P24" s="182"/>
      <c r="Q24" s="183"/>
      <c r="R24" s="178" t="s">
        <v>261</v>
      </c>
      <c r="S24" s="182"/>
      <c r="T24" s="182"/>
      <c r="U24" s="182"/>
      <c r="V24" s="182"/>
      <c r="W24" s="182"/>
      <c r="X24" s="180"/>
      <c r="Y24" s="445" t="s">
        <v>150</v>
      </c>
      <c r="Z24" s="446"/>
      <c r="AA24" s="457" t="s">
        <v>151</v>
      </c>
      <c r="AB24" s="458"/>
      <c r="AC24" s="459"/>
      <c r="AD24" s="263">
        <v>10</v>
      </c>
      <c r="AE24" s="217"/>
      <c r="AF24" s="217"/>
      <c r="AG24" s="217"/>
      <c r="AH24" s="218"/>
      <c r="AI24" s="218"/>
      <c r="AJ24" s="218"/>
      <c r="AK24" s="218"/>
      <c r="AL24" s="218"/>
      <c r="AM24" s="218"/>
      <c r="AN24" s="218"/>
      <c r="AO24" s="217"/>
      <c r="AP24" s="217"/>
      <c r="AQ24" s="217"/>
      <c r="AR24" s="217"/>
      <c r="AS24" s="181"/>
      <c r="AT24" s="220"/>
      <c r="AU24" s="32"/>
      <c r="AV24" s="32"/>
      <c r="AW24" s="32"/>
      <c r="AX24" s="32"/>
      <c r="AY24" s="32"/>
      <c r="AZ24" s="32"/>
      <c r="BA24" s="32"/>
      <c r="BB24" s="32"/>
      <c r="BC24" s="32"/>
      <c r="BD24" s="33"/>
    </row>
    <row r="25" spans="1:56" ht="14.4" customHeight="1">
      <c r="A25" s="70">
        <f>IF(B25="","",COUNTA($B$8:B25))</f>
        <v>17</v>
      </c>
      <c r="B25" s="178" t="s">
        <v>263</v>
      </c>
      <c r="C25" s="179"/>
      <c r="D25" s="179"/>
      <c r="E25" s="179"/>
      <c r="F25" s="179"/>
      <c r="G25" s="179"/>
      <c r="H25" s="180"/>
      <c r="I25" s="181" t="s">
        <v>264</v>
      </c>
      <c r="J25" s="182"/>
      <c r="K25" s="182"/>
      <c r="L25" s="182"/>
      <c r="M25" s="182"/>
      <c r="N25" s="182"/>
      <c r="O25" s="182"/>
      <c r="P25" s="182"/>
      <c r="Q25" s="183"/>
      <c r="R25" s="185" t="s">
        <v>263</v>
      </c>
      <c r="S25" s="182"/>
      <c r="T25" s="182"/>
      <c r="U25" s="182"/>
      <c r="V25" s="182"/>
      <c r="W25" s="182"/>
      <c r="X25" s="180"/>
      <c r="Y25" s="445" t="s">
        <v>169</v>
      </c>
      <c r="Z25" s="446"/>
      <c r="AA25" s="457" t="s">
        <v>243</v>
      </c>
      <c r="AB25" s="458"/>
      <c r="AC25" s="459"/>
      <c r="AD25" s="263"/>
      <c r="AE25" s="217"/>
      <c r="AF25" s="217"/>
      <c r="AG25" s="217"/>
      <c r="AH25" s="218"/>
      <c r="AI25" s="218"/>
      <c r="AJ25" s="218"/>
      <c r="AK25" s="218"/>
      <c r="AL25" s="218"/>
      <c r="AM25" s="218"/>
      <c r="AN25" s="218"/>
      <c r="AO25" s="217"/>
      <c r="AP25" s="217"/>
      <c r="AQ25" s="217"/>
      <c r="AR25" s="217"/>
      <c r="AS25" s="181"/>
      <c r="AT25" s="219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" customHeight="1">
      <c r="A26" s="70" t="str">
        <f>IF(B26="","",COUNTA($B$8:B26))</f>
        <v/>
      </c>
      <c r="B26" s="178"/>
      <c r="C26" s="179"/>
      <c r="D26" s="179"/>
      <c r="E26" s="179"/>
      <c r="F26" s="179"/>
      <c r="G26" s="179"/>
      <c r="H26" s="199"/>
      <c r="I26" s="181"/>
      <c r="J26" s="182"/>
      <c r="K26" s="182"/>
      <c r="L26" s="182"/>
      <c r="M26" s="182"/>
      <c r="N26" s="182"/>
      <c r="O26" s="182"/>
      <c r="P26" s="182"/>
      <c r="Q26" s="183"/>
      <c r="R26" s="178"/>
      <c r="S26" s="182"/>
      <c r="T26" s="182"/>
      <c r="U26" s="182"/>
      <c r="V26" s="182"/>
      <c r="W26" s="182"/>
      <c r="X26" s="180"/>
      <c r="Y26" s="445"/>
      <c r="Z26" s="446"/>
      <c r="AA26" s="457"/>
      <c r="AB26" s="458"/>
      <c r="AC26" s="459"/>
      <c r="AD26" s="184"/>
      <c r="AE26" s="217"/>
      <c r="AF26" s="217"/>
      <c r="AG26" s="217"/>
      <c r="AH26" s="218"/>
      <c r="AI26" s="218"/>
      <c r="AJ26" s="218"/>
      <c r="AK26" s="218"/>
      <c r="AL26" s="218"/>
      <c r="AM26" s="218"/>
      <c r="AN26" s="218"/>
      <c r="AO26" s="217"/>
      <c r="AP26" s="217"/>
      <c r="AQ26" s="217"/>
      <c r="AR26" s="217"/>
      <c r="AS26" s="181"/>
      <c r="AT26" s="219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" customHeight="1">
      <c r="A27" s="70" t="str">
        <f>IF(B27="","",COUNTA($B$8:B27))</f>
        <v/>
      </c>
      <c r="B27" s="178"/>
      <c r="C27" s="179" t="s">
        <v>378</v>
      </c>
      <c r="D27" s="179"/>
      <c r="E27" s="179" t="s">
        <v>409</v>
      </c>
      <c r="F27" s="179"/>
      <c r="G27" s="179"/>
      <c r="H27" s="180"/>
      <c r="I27" s="181"/>
      <c r="J27" s="182"/>
      <c r="K27" s="182"/>
      <c r="L27" s="182"/>
      <c r="M27" s="182"/>
      <c r="N27" s="182"/>
      <c r="O27" s="182"/>
      <c r="P27" s="182"/>
      <c r="Q27" s="183"/>
      <c r="R27" s="185"/>
      <c r="S27" s="182"/>
      <c r="T27" s="262"/>
      <c r="U27" s="182"/>
      <c r="V27" s="182"/>
      <c r="W27" s="182"/>
      <c r="X27" s="180"/>
      <c r="Y27" s="445"/>
      <c r="Z27" s="446"/>
      <c r="AA27" s="457"/>
      <c r="AB27" s="458"/>
      <c r="AC27" s="459"/>
      <c r="AD27" s="184"/>
      <c r="AE27" s="217"/>
      <c r="AF27" s="217"/>
      <c r="AG27" s="217"/>
      <c r="AH27" s="228"/>
      <c r="AI27" s="228"/>
      <c r="AJ27" s="218"/>
      <c r="AK27" s="218"/>
      <c r="AL27" s="218"/>
      <c r="AM27" s="218"/>
      <c r="AN27" s="218"/>
      <c r="AO27" s="217"/>
      <c r="AP27" s="217"/>
      <c r="AQ27" s="217"/>
      <c r="AR27" s="217"/>
      <c r="AS27" s="181"/>
      <c r="AT27" s="219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" customHeight="1">
      <c r="A28" s="70" t="str">
        <f>IF(B28="","",COUNTA($B$8:B28))</f>
        <v/>
      </c>
      <c r="B28" s="178"/>
      <c r="C28" s="179"/>
      <c r="D28" s="179"/>
      <c r="E28" s="179"/>
      <c r="F28" s="179"/>
      <c r="G28" s="179"/>
      <c r="H28" s="180"/>
      <c r="I28" s="181"/>
      <c r="J28" s="182"/>
      <c r="K28" s="182"/>
      <c r="L28" s="182"/>
      <c r="M28" s="182"/>
      <c r="N28" s="182"/>
      <c r="O28" s="182"/>
      <c r="P28" s="182"/>
      <c r="Q28" s="183"/>
      <c r="R28" s="185"/>
      <c r="S28" s="182"/>
      <c r="T28" s="262"/>
      <c r="U28" s="182"/>
      <c r="V28" s="182"/>
      <c r="W28" s="182"/>
      <c r="X28" s="180"/>
      <c r="Y28" s="445"/>
      <c r="Z28" s="446"/>
      <c r="AA28" s="457"/>
      <c r="AB28" s="458"/>
      <c r="AC28" s="459"/>
      <c r="AD28" s="263"/>
      <c r="AE28" s="217"/>
      <c r="AF28" s="217"/>
      <c r="AG28" s="217"/>
      <c r="AH28" s="218"/>
      <c r="AI28" s="218"/>
      <c r="AJ28" s="218"/>
      <c r="AK28" s="218"/>
      <c r="AL28" s="228"/>
      <c r="AM28" s="228"/>
      <c r="AN28" s="228"/>
      <c r="AO28" s="227"/>
      <c r="AP28" s="227"/>
      <c r="AQ28" s="227"/>
      <c r="AR28" s="227"/>
      <c r="AS28" s="229"/>
      <c r="AT28" s="230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>
      <c r="A29" s="70" t="str">
        <f>IF(B29="","",COUNTA($B$8:B29))</f>
        <v/>
      </c>
      <c r="B29" s="178"/>
      <c r="C29" s="179"/>
      <c r="D29" s="179"/>
      <c r="E29" s="179"/>
      <c r="F29" s="179"/>
      <c r="G29" s="179"/>
      <c r="H29" s="180"/>
      <c r="I29" s="181"/>
      <c r="J29" s="182"/>
      <c r="K29" s="182"/>
      <c r="L29" s="182"/>
      <c r="M29" s="182"/>
      <c r="N29" s="182"/>
      <c r="O29" s="182"/>
      <c r="P29" s="182"/>
      <c r="Q29" s="183"/>
      <c r="R29" s="185"/>
      <c r="S29" s="182"/>
      <c r="T29" s="262"/>
      <c r="U29" s="182"/>
      <c r="V29" s="182"/>
      <c r="W29" s="182"/>
      <c r="X29" s="180"/>
      <c r="Y29" s="445"/>
      <c r="Z29" s="446"/>
      <c r="AA29" s="457"/>
      <c r="AB29" s="458"/>
      <c r="AC29" s="459"/>
      <c r="AD29" s="184"/>
      <c r="AE29" s="217"/>
      <c r="AF29" s="217"/>
      <c r="AG29" s="217"/>
      <c r="AH29" s="228"/>
      <c r="AI29" s="228"/>
      <c r="AJ29" s="228"/>
      <c r="AK29" s="228"/>
      <c r="AL29" s="228"/>
      <c r="AM29" s="228"/>
      <c r="AN29" s="228"/>
      <c r="AO29" s="227"/>
      <c r="AP29" s="227"/>
      <c r="AQ29" s="227"/>
      <c r="AR29" s="227"/>
      <c r="AS29" s="229"/>
      <c r="AT29" s="230"/>
      <c r="AU29" s="48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" customHeight="1">
      <c r="A30" s="7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38"/>
      <c r="U30" s="23"/>
      <c r="V30" s="23"/>
      <c r="W30" s="23"/>
      <c r="X30" s="24"/>
      <c r="Y30" s="419"/>
      <c r="Z30" s="420"/>
      <c r="AA30" s="421"/>
      <c r="AB30" s="422"/>
      <c r="AC30" s="423"/>
      <c r="AD30" s="51"/>
      <c r="AE30" s="29"/>
      <c r="AF30" s="29"/>
      <c r="AG30" s="29"/>
      <c r="AH30" s="40"/>
      <c r="AI30" s="40"/>
      <c r="AJ30" s="40"/>
      <c r="AK30" s="40"/>
      <c r="AL30" s="40"/>
      <c r="AM30" s="40"/>
      <c r="AN30" s="40"/>
      <c r="AO30" s="41"/>
      <c r="AP30" s="41"/>
      <c r="AQ30" s="41"/>
      <c r="AR30" s="41"/>
      <c r="AS30" s="42"/>
      <c r="AT30" s="43"/>
      <c r="AU30" s="48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38"/>
      <c r="U31" s="23"/>
      <c r="V31" s="23"/>
      <c r="W31" s="23"/>
      <c r="X31" s="24"/>
      <c r="Y31" s="419"/>
      <c r="Z31" s="420"/>
      <c r="AA31" s="421"/>
      <c r="AB31" s="422"/>
      <c r="AC31" s="423"/>
      <c r="AD31" s="51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24"/>
      <c r="Y32" s="419"/>
      <c r="Z32" s="420"/>
      <c r="AA32" s="421"/>
      <c r="AB32" s="422"/>
      <c r="AC32" s="423"/>
      <c r="AD32" s="27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48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24"/>
      <c r="Y33" s="419"/>
      <c r="Z33" s="420"/>
      <c r="AA33" s="421"/>
      <c r="AB33" s="422"/>
      <c r="AC33" s="423"/>
      <c r="AD33" s="27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419"/>
      <c r="Z34" s="420"/>
      <c r="AA34" s="421"/>
      <c r="AB34" s="422"/>
      <c r="AC34" s="423"/>
      <c r="AD34" s="51"/>
      <c r="AE34" s="29"/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419"/>
      <c r="Z35" s="420"/>
      <c r="AA35" s="421"/>
      <c r="AB35" s="422"/>
      <c r="AC35" s="423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419"/>
      <c r="Z36" s="420"/>
      <c r="AA36" s="421"/>
      <c r="AB36" s="422"/>
      <c r="AC36" s="423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419"/>
      <c r="Z37" s="420"/>
      <c r="AA37" s="421"/>
      <c r="AB37" s="422"/>
      <c r="AC37" s="423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419"/>
      <c r="Z38" s="420"/>
      <c r="AA38" s="421"/>
      <c r="AB38" s="422"/>
      <c r="AC38" s="423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419"/>
      <c r="Z39" s="420"/>
      <c r="AA39" s="421"/>
      <c r="AB39" s="422"/>
      <c r="AC39" s="423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419"/>
      <c r="Z40" s="420"/>
      <c r="AA40" s="421"/>
      <c r="AB40" s="422"/>
      <c r="AC40" s="423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419"/>
      <c r="Z41" s="420"/>
      <c r="AA41" s="421"/>
      <c r="AB41" s="422"/>
      <c r="AC41" s="423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419"/>
      <c r="Z42" s="420"/>
      <c r="AA42" s="421"/>
      <c r="AB42" s="422"/>
      <c r="AC42" s="423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19"/>
      <c r="Z43" s="420"/>
      <c r="AA43" s="421"/>
      <c r="AB43" s="422"/>
      <c r="AC43" s="423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419"/>
      <c r="Z44" s="420"/>
      <c r="AA44" s="421"/>
      <c r="AB44" s="422"/>
      <c r="AC44" s="423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419"/>
      <c r="Z45" s="420"/>
      <c r="AA45" s="421"/>
      <c r="AB45" s="422"/>
      <c r="AC45" s="423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419"/>
      <c r="Z46" s="420"/>
      <c r="AA46" s="421"/>
      <c r="AB46" s="422"/>
      <c r="AC46" s="423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9">
    <mergeCell ref="Y42:Z42"/>
    <mergeCell ref="AA42:AC42"/>
    <mergeCell ref="Y43:Z43"/>
    <mergeCell ref="AA43:AC43"/>
    <mergeCell ref="Y44:Z44"/>
    <mergeCell ref="AA44:AC44"/>
    <mergeCell ref="Y45:Z45"/>
    <mergeCell ref="AA45:AC45"/>
    <mergeCell ref="Y46:Z46"/>
    <mergeCell ref="AA46:AC46"/>
    <mergeCell ref="Y37:Z37"/>
    <mergeCell ref="AA37:AC37"/>
    <mergeCell ref="Y38:Z38"/>
    <mergeCell ref="AA38:AC38"/>
    <mergeCell ref="Y39:Z39"/>
    <mergeCell ref="AA39:AC39"/>
    <mergeCell ref="Y40:Z40"/>
    <mergeCell ref="AA40:AC40"/>
    <mergeCell ref="Y41:Z41"/>
    <mergeCell ref="AA41:AC41"/>
    <mergeCell ref="Y26:Z26"/>
    <mergeCell ref="AA26:AC26"/>
    <mergeCell ref="Y27:Z27"/>
    <mergeCell ref="AA27:AC27"/>
    <mergeCell ref="Y28:Z28"/>
    <mergeCell ref="AA28:AC28"/>
    <mergeCell ref="Y23:Z23"/>
    <mergeCell ref="AA23:AC23"/>
    <mergeCell ref="Y24:Z24"/>
    <mergeCell ref="AA24:AC24"/>
    <mergeCell ref="Y25:Z25"/>
    <mergeCell ref="AA25:AC25"/>
    <mergeCell ref="AA35:AC35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A1:H4"/>
    <mergeCell ref="AZ1:BD1"/>
    <mergeCell ref="I2:Q4"/>
    <mergeCell ref="R2:X4"/>
    <mergeCell ref="Y2:AO3"/>
    <mergeCell ref="AP2:AT2"/>
    <mergeCell ref="AZ2:BD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A10:AC10"/>
    <mergeCell ref="Y11:Z11"/>
    <mergeCell ref="AA11:AC11"/>
    <mergeCell ref="Y16:Z16"/>
    <mergeCell ref="AA16:AC16"/>
    <mergeCell ref="Y15:Z15"/>
    <mergeCell ref="AA15:AC15"/>
    <mergeCell ref="Y36:Z36"/>
    <mergeCell ref="AA36:AC36"/>
    <mergeCell ref="Y14:Z14"/>
    <mergeCell ref="AA14:AC14"/>
    <mergeCell ref="Y20:Z20"/>
    <mergeCell ref="AA20:AC20"/>
    <mergeCell ref="Y21:Z21"/>
    <mergeCell ref="AA21:AC21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35:Z35"/>
    <mergeCell ref="Y13:Z13"/>
    <mergeCell ref="AA13:AC13"/>
    <mergeCell ref="AP3:AT3"/>
    <mergeCell ref="AU3:AY3"/>
    <mergeCell ref="AZ3:BD3"/>
    <mergeCell ref="I1:Q1"/>
    <mergeCell ref="R1:X1"/>
    <mergeCell ref="AU1:AY1"/>
    <mergeCell ref="Y12:Z12"/>
    <mergeCell ref="AA12:AC12"/>
    <mergeCell ref="Y1:AO1"/>
    <mergeCell ref="AP1:AT1"/>
    <mergeCell ref="Y4:AO4"/>
    <mergeCell ref="AP4:AT4"/>
    <mergeCell ref="AS6:BD7"/>
    <mergeCell ref="AZ4:BD4"/>
    <mergeCell ref="Y9:Z9"/>
    <mergeCell ref="AA9:AC9"/>
    <mergeCell ref="AU4:AY4"/>
    <mergeCell ref="AG6:AG7"/>
    <mergeCell ref="AH6:AH7"/>
    <mergeCell ref="AI6:AR6"/>
    <mergeCell ref="Y8:Z8"/>
    <mergeCell ref="AA8:AC8"/>
  </mergeCells>
  <phoneticPr fontId="5"/>
  <dataValidations count="3">
    <dataValidation imeMode="hiragana" allowBlank="1" showInputMessage="1" showErrorMessage="1" sqref="JG65522:JR65524 TC65522:TN65524 ACY65522:ADJ65524 AMU65522:ANF65524 AWQ65522:AXB65524 BGM65522:BGX65524 BQI65522:BQT65524 CAE65522:CAP65524 CKA65522:CKL65524 CTW65522:CUH65524 DDS65522:DED65524 DNO65522:DNZ65524 DXK65522:DXV65524 EHG65522:EHR65524 ERC65522:ERN65524 FAY65522:FBJ65524 FKU65522:FLF65524 FUQ65522:FVB65524 GEM65522:GEX65524 GOI65522:GOT65524 GYE65522:GYP65524 HIA65522:HIL65524 HRW65522:HSH65524 IBS65522:ICD65524 ILO65522:ILZ65524 IVK65522:IVV65524 JFG65522:JFR65524 JPC65522:JPN65524 JYY65522:JZJ65524 KIU65522:KJF65524 KSQ65522:KTB65524 LCM65522:LCX65524 LMI65522:LMT65524 LWE65522:LWP65524 MGA65522:MGL65524 MPW65522:MQH65524 MZS65522:NAD65524 NJO65522:NJZ65524 NTK65522:NTV65524 ODG65522:ODR65524 ONC65522:ONN65524 OWY65522:OXJ65524 PGU65522:PHF65524 PQQ65522:PRB65524 QAM65522:QAX65524 QKI65522:QKT65524 QUE65522:QUP65524 REA65522:REL65524 RNW65522:ROH65524 RXS65522:RYD65524 SHO65522:SHZ65524 SRK65522:SRV65524 TBG65522:TBR65524 TLC65522:TLN65524 TUY65522:TVJ65524 UEU65522:UFF65524 UOQ65522:UPB65524 UYM65522:UYX65524 VII65522:VIT65524 VSE65522:VSP65524 WCA65522:WCL65524 WLW65522:WMH65524 WVS65522:WWD65524 JG131058:JR131060 TC131058:TN131060 ACY131058:ADJ131060 AMU131058:ANF131060 AWQ131058:AXB131060 BGM131058:BGX131060 BQI131058:BQT131060 CAE131058:CAP131060 CKA131058:CKL131060 CTW131058:CUH131060 DDS131058:DED131060 DNO131058:DNZ131060 DXK131058:DXV131060 EHG131058:EHR131060 ERC131058:ERN131060 FAY131058:FBJ131060 FKU131058:FLF131060 FUQ131058:FVB131060 GEM131058:GEX131060 GOI131058:GOT131060 GYE131058:GYP131060 HIA131058:HIL131060 HRW131058:HSH131060 IBS131058:ICD131060 ILO131058:ILZ131060 IVK131058:IVV131060 JFG131058:JFR131060 JPC131058:JPN131060 JYY131058:JZJ131060 KIU131058:KJF131060 KSQ131058:KTB131060 LCM131058:LCX131060 LMI131058:LMT131060 LWE131058:LWP131060 MGA131058:MGL131060 MPW131058:MQH131060 MZS131058:NAD131060 NJO131058:NJZ131060 NTK131058:NTV131060 ODG131058:ODR131060 ONC131058:ONN131060 OWY131058:OXJ131060 PGU131058:PHF131060 PQQ131058:PRB131060 QAM131058:QAX131060 QKI131058:QKT131060 QUE131058:QUP131060 REA131058:REL131060 RNW131058:ROH131060 RXS131058:RYD131060 SHO131058:SHZ131060 SRK131058:SRV131060 TBG131058:TBR131060 TLC131058:TLN131060 TUY131058:TVJ131060 UEU131058:UFF131060 UOQ131058:UPB131060 UYM131058:UYX131060 VII131058:VIT131060 VSE131058:VSP131060 WCA131058:WCL131060 WLW131058:WMH131060 WVS131058:WWD131060 JG196594:JR196596 TC196594:TN196596 ACY196594:ADJ196596 AMU196594:ANF196596 AWQ196594:AXB196596 BGM196594:BGX196596 BQI196594:BQT196596 CAE196594:CAP196596 CKA196594:CKL196596 CTW196594:CUH196596 DDS196594:DED196596 DNO196594:DNZ196596 DXK196594:DXV196596 EHG196594:EHR196596 ERC196594:ERN196596 FAY196594:FBJ196596 FKU196594:FLF196596 FUQ196594:FVB196596 GEM196594:GEX196596 GOI196594:GOT196596 GYE196594:GYP196596 HIA196594:HIL196596 HRW196594:HSH196596 IBS196594:ICD196596 ILO196594:ILZ196596 IVK196594:IVV196596 JFG196594:JFR196596 JPC196594:JPN196596 JYY196594:JZJ196596 KIU196594:KJF196596 KSQ196594:KTB196596 LCM196594:LCX196596 LMI196594:LMT196596 LWE196594:LWP196596 MGA196594:MGL196596 MPW196594:MQH196596 MZS196594:NAD196596 NJO196594:NJZ196596 NTK196594:NTV196596 ODG196594:ODR196596 ONC196594:ONN196596 OWY196594:OXJ196596 PGU196594:PHF196596 PQQ196594:PRB196596 QAM196594:QAX196596 QKI196594:QKT196596 QUE196594:QUP196596 REA196594:REL196596 RNW196594:ROH196596 RXS196594:RYD196596 SHO196594:SHZ196596 SRK196594:SRV196596 TBG196594:TBR196596 TLC196594:TLN196596 TUY196594:TVJ196596 UEU196594:UFF196596 UOQ196594:UPB196596 UYM196594:UYX196596 VII196594:VIT196596 VSE196594:VSP196596 WCA196594:WCL196596 WLW196594:WMH196596 WVS196594:WWD196596 JG262130:JR262132 TC262130:TN262132 ACY262130:ADJ262132 AMU262130:ANF262132 AWQ262130:AXB262132 BGM262130:BGX262132 BQI262130:BQT262132 CAE262130:CAP262132 CKA262130:CKL262132 CTW262130:CUH262132 DDS262130:DED262132 DNO262130:DNZ262132 DXK262130:DXV262132 EHG262130:EHR262132 ERC262130:ERN262132 FAY262130:FBJ262132 FKU262130:FLF262132 FUQ262130:FVB262132 GEM262130:GEX262132 GOI262130:GOT262132 GYE262130:GYP262132 HIA262130:HIL262132 HRW262130:HSH262132 IBS262130:ICD262132 ILO262130:ILZ262132 IVK262130:IVV262132 JFG262130:JFR262132 JPC262130:JPN262132 JYY262130:JZJ262132 KIU262130:KJF262132 KSQ262130:KTB262132 LCM262130:LCX262132 LMI262130:LMT262132 LWE262130:LWP262132 MGA262130:MGL262132 MPW262130:MQH262132 MZS262130:NAD262132 NJO262130:NJZ262132 NTK262130:NTV262132 ODG262130:ODR262132 ONC262130:ONN262132 OWY262130:OXJ262132 PGU262130:PHF262132 PQQ262130:PRB262132 QAM262130:QAX262132 QKI262130:QKT262132 QUE262130:QUP262132 REA262130:REL262132 RNW262130:ROH262132 RXS262130:RYD262132 SHO262130:SHZ262132 SRK262130:SRV262132 TBG262130:TBR262132 TLC262130:TLN262132 TUY262130:TVJ262132 UEU262130:UFF262132 UOQ262130:UPB262132 UYM262130:UYX262132 VII262130:VIT262132 VSE262130:VSP262132 WCA262130:WCL262132 WLW262130:WMH262132 WVS262130:WWD262132 JG327666:JR327668 TC327666:TN327668 ACY327666:ADJ327668 AMU327666:ANF327668 AWQ327666:AXB327668 BGM327666:BGX327668 BQI327666:BQT327668 CAE327666:CAP327668 CKA327666:CKL327668 CTW327666:CUH327668 DDS327666:DED327668 DNO327666:DNZ327668 DXK327666:DXV327668 EHG327666:EHR327668 ERC327666:ERN327668 FAY327666:FBJ327668 FKU327666:FLF327668 FUQ327666:FVB327668 GEM327666:GEX327668 GOI327666:GOT327668 GYE327666:GYP327668 HIA327666:HIL327668 HRW327666:HSH327668 IBS327666:ICD327668 ILO327666:ILZ327668 IVK327666:IVV327668 JFG327666:JFR327668 JPC327666:JPN327668 JYY327666:JZJ327668 KIU327666:KJF327668 KSQ327666:KTB327668 LCM327666:LCX327668 LMI327666:LMT327668 LWE327666:LWP327668 MGA327666:MGL327668 MPW327666:MQH327668 MZS327666:NAD327668 NJO327666:NJZ327668 NTK327666:NTV327668 ODG327666:ODR327668 ONC327666:ONN327668 OWY327666:OXJ327668 PGU327666:PHF327668 PQQ327666:PRB327668 QAM327666:QAX327668 QKI327666:QKT327668 QUE327666:QUP327668 REA327666:REL327668 RNW327666:ROH327668 RXS327666:RYD327668 SHO327666:SHZ327668 SRK327666:SRV327668 TBG327666:TBR327668 TLC327666:TLN327668 TUY327666:TVJ327668 UEU327666:UFF327668 UOQ327666:UPB327668 UYM327666:UYX327668 VII327666:VIT327668 VSE327666:VSP327668 WCA327666:WCL327668 WLW327666:WMH327668 WVS327666:WWD327668 JG393202:JR393204 TC393202:TN393204 ACY393202:ADJ393204 AMU393202:ANF393204 AWQ393202:AXB393204 BGM393202:BGX393204 BQI393202:BQT393204 CAE393202:CAP393204 CKA393202:CKL393204 CTW393202:CUH393204 DDS393202:DED393204 DNO393202:DNZ393204 DXK393202:DXV393204 EHG393202:EHR393204 ERC393202:ERN393204 FAY393202:FBJ393204 FKU393202:FLF393204 FUQ393202:FVB393204 GEM393202:GEX393204 GOI393202:GOT393204 GYE393202:GYP393204 HIA393202:HIL393204 HRW393202:HSH393204 IBS393202:ICD393204 ILO393202:ILZ393204 IVK393202:IVV393204 JFG393202:JFR393204 JPC393202:JPN393204 JYY393202:JZJ393204 KIU393202:KJF393204 KSQ393202:KTB393204 LCM393202:LCX393204 LMI393202:LMT393204 LWE393202:LWP393204 MGA393202:MGL393204 MPW393202:MQH393204 MZS393202:NAD393204 NJO393202:NJZ393204 NTK393202:NTV393204 ODG393202:ODR393204 ONC393202:ONN393204 OWY393202:OXJ393204 PGU393202:PHF393204 PQQ393202:PRB393204 QAM393202:QAX393204 QKI393202:QKT393204 QUE393202:QUP393204 REA393202:REL393204 RNW393202:ROH393204 RXS393202:RYD393204 SHO393202:SHZ393204 SRK393202:SRV393204 TBG393202:TBR393204 TLC393202:TLN393204 TUY393202:TVJ393204 UEU393202:UFF393204 UOQ393202:UPB393204 UYM393202:UYX393204 VII393202:VIT393204 VSE393202:VSP393204 WCA393202:WCL393204 WLW393202:WMH393204 WVS393202:WWD393204 JG458738:JR458740 TC458738:TN458740 ACY458738:ADJ458740 AMU458738:ANF458740 AWQ458738:AXB458740 BGM458738:BGX458740 BQI458738:BQT458740 CAE458738:CAP458740 CKA458738:CKL458740 CTW458738:CUH458740 DDS458738:DED458740 DNO458738:DNZ458740 DXK458738:DXV458740 EHG458738:EHR458740 ERC458738:ERN458740 FAY458738:FBJ458740 FKU458738:FLF458740 FUQ458738:FVB458740 GEM458738:GEX458740 GOI458738:GOT458740 GYE458738:GYP458740 HIA458738:HIL458740 HRW458738:HSH458740 IBS458738:ICD458740 ILO458738:ILZ458740 IVK458738:IVV458740 JFG458738:JFR458740 JPC458738:JPN458740 JYY458738:JZJ458740 KIU458738:KJF458740 KSQ458738:KTB458740 LCM458738:LCX458740 LMI458738:LMT458740 LWE458738:LWP458740 MGA458738:MGL458740 MPW458738:MQH458740 MZS458738:NAD458740 NJO458738:NJZ458740 NTK458738:NTV458740 ODG458738:ODR458740 ONC458738:ONN458740 OWY458738:OXJ458740 PGU458738:PHF458740 PQQ458738:PRB458740 QAM458738:QAX458740 QKI458738:QKT458740 QUE458738:QUP458740 REA458738:REL458740 RNW458738:ROH458740 RXS458738:RYD458740 SHO458738:SHZ458740 SRK458738:SRV458740 TBG458738:TBR458740 TLC458738:TLN458740 TUY458738:TVJ458740 UEU458738:UFF458740 UOQ458738:UPB458740 UYM458738:UYX458740 VII458738:VIT458740 VSE458738:VSP458740 WCA458738:WCL458740 WLW458738:WMH458740 WVS458738:WWD458740 JG524274:JR524276 TC524274:TN524276 ACY524274:ADJ524276 AMU524274:ANF524276 AWQ524274:AXB524276 BGM524274:BGX524276 BQI524274:BQT524276 CAE524274:CAP524276 CKA524274:CKL524276 CTW524274:CUH524276 DDS524274:DED524276 DNO524274:DNZ524276 DXK524274:DXV524276 EHG524274:EHR524276 ERC524274:ERN524276 FAY524274:FBJ524276 FKU524274:FLF524276 FUQ524274:FVB524276 GEM524274:GEX524276 GOI524274:GOT524276 GYE524274:GYP524276 HIA524274:HIL524276 HRW524274:HSH524276 IBS524274:ICD524276 ILO524274:ILZ524276 IVK524274:IVV524276 JFG524274:JFR524276 JPC524274:JPN524276 JYY524274:JZJ524276 KIU524274:KJF524276 KSQ524274:KTB524276 LCM524274:LCX524276 LMI524274:LMT524276 LWE524274:LWP524276 MGA524274:MGL524276 MPW524274:MQH524276 MZS524274:NAD524276 NJO524274:NJZ524276 NTK524274:NTV524276 ODG524274:ODR524276 ONC524274:ONN524276 OWY524274:OXJ524276 PGU524274:PHF524276 PQQ524274:PRB524276 QAM524274:QAX524276 QKI524274:QKT524276 QUE524274:QUP524276 REA524274:REL524276 RNW524274:ROH524276 RXS524274:RYD524276 SHO524274:SHZ524276 SRK524274:SRV524276 TBG524274:TBR524276 TLC524274:TLN524276 TUY524274:TVJ524276 UEU524274:UFF524276 UOQ524274:UPB524276 UYM524274:UYX524276 VII524274:VIT524276 VSE524274:VSP524276 WCA524274:WCL524276 WLW524274:WMH524276 WVS524274:WWD524276 JG589810:JR589812 TC589810:TN589812 ACY589810:ADJ589812 AMU589810:ANF589812 AWQ589810:AXB589812 BGM589810:BGX589812 BQI589810:BQT589812 CAE589810:CAP589812 CKA589810:CKL589812 CTW589810:CUH589812 DDS589810:DED589812 DNO589810:DNZ589812 DXK589810:DXV589812 EHG589810:EHR589812 ERC589810:ERN589812 FAY589810:FBJ589812 FKU589810:FLF589812 FUQ589810:FVB589812 GEM589810:GEX589812 GOI589810:GOT589812 GYE589810:GYP589812 HIA589810:HIL589812 HRW589810:HSH589812 IBS589810:ICD589812 ILO589810:ILZ589812 IVK589810:IVV589812 JFG589810:JFR589812 JPC589810:JPN589812 JYY589810:JZJ589812 KIU589810:KJF589812 KSQ589810:KTB589812 LCM589810:LCX589812 LMI589810:LMT589812 LWE589810:LWP589812 MGA589810:MGL589812 MPW589810:MQH589812 MZS589810:NAD589812 NJO589810:NJZ589812 NTK589810:NTV589812 ODG589810:ODR589812 ONC589810:ONN589812 OWY589810:OXJ589812 PGU589810:PHF589812 PQQ589810:PRB589812 QAM589810:QAX589812 QKI589810:QKT589812 QUE589810:QUP589812 REA589810:REL589812 RNW589810:ROH589812 RXS589810:RYD589812 SHO589810:SHZ589812 SRK589810:SRV589812 TBG589810:TBR589812 TLC589810:TLN589812 TUY589810:TVJ589812 UEU589810:UFF589812 UOQ589810:UPB589812 UYM589810:UYX589812 VII589810:VIT589812 VSE589810:VSP589812 WCA589810:WCL589812 WLW589810:WMH589812 WVS589810:WWD589812 JG655346:JR655348 TC655346:TN655348 ACY655346:ADJ655348 AMU655346:ANF655348 AWQ655346:AXB655348 BGM655346:BGX655348 BQI655346:BQT655348 CAE655346:CAP655348 CKA655346:CKL655348 CTW655346:CUH655348 DDS655346:DED655348 DNO655346:DNZ655348 DXK655346:DXV655348 EHG655346:EHR655348 ERC655346:ERN655348 FAY655346:FBJ655348 FKU655346:FLF655348 FUQ655346:FVB655348 GEM655346:GEX655348 GOI655346:GOT655348 GYE655346:GYP655348 HIA655346:HIL655348 HRW655346:HSH655348 IBS655346:ICD655348 ILO655346:ILZ655348 IVK655346:IVV655348 JFG655346:JFR655348 JPC655346:JPN655348 JYY655346:JZJ655348 KIU655346:KJF655348 KSQ655346:KTB655348 LCM655346:LCX655348 LMI655346:LMT655348 LWE655346:LWP655348 MGA655346:MGL655348 MPW655346:MQH655348 MZS655346:NAD655348 NJO655346:NJZ655348 NTK655346:NTV655348 ODG655346:ODR655348 ONC655346:ONN655348 OWY655346:OXJ655348 PGU655346:PHF655348 PQQ655346:PRB655348 QAM655346:QAX655348 QKI655346:QKT655348 QUE655346:QUP655348 REA655346:REL655348 RNW655346:ROH655348 RXS655346:RYD655348 SHO655346:SHZ655348 SRK655346:SRV655348 TBG655346:TBR655348 TLC655346:TLN655348 TUY655346:TVJ655348 UEU655346:UFF655348 UOQ655346:UPB655348 UYM655346:UYX655348 VII655346:VIT655348 VSE655346:VSP655348 WCA655346:WCL655348 WLW655346:WMH655348 WVS655346:WWD655348 JG720882:JR720884 TC720882:TN720884 ACY720882:ADJ720884 AMU720882:ANF720884 AWQ720882:AXB720884 BGM720882:BGX720884 BQI720882:BQT720884 CAE720882:CAP720884 CKA720882:CKL720884 CTW720882:CUH720884 DDS720882:DED720884 DNO720882:DNZ720884 DXK720882:DXV720884 EHG720882:EHR720884 ERC720882:ERN720884 FAY720882:FBJ720884 FKU720882:FLF720884 FUQ720882:FVB720884 GEM720882:GEX720884 GOI720882:GOT720884 GYE720882:GYP720884 HIA720882:HIL720884 HRW720882:HSH720884 IBS720882:ICD720884 ILO720882:ILZ720884 IVK720882:IVV720884 JFG720882:JFR720884 JPC720882:JPN720884 JYY720882:JZJ720884 KIU720882:KJF720884 KSQ720882:KTB720884 LCM720882:LCX720884 LMI720882:LMT720884 LWE720882:LWP720884 MGA720882:MGL720884 MPW720882:MQH720884 MZS720882:NAD720884 NJO720882:NJZ720884 NTK720882:NTV720884 ODG720882:ODR720884 ONC720882:ONN720884 OWY720882:OXJ720884 PGU720882:PHF720884 PQQ720882:PRB720884 QAM720882:QAX720884 QKI720882:QKT720884 QUE720882:QUP720884 REA720882:REL720884 RNW720882:ROH720884 RXS720882:RYD720884 SHO720882:SHZ720884 SRK720882:SRV720884 TBG720882:TBR720884 TLC720882:TLN720884 TUY720882:TVJ720884 UEU720882:UFF720884 UOQ720882:UPB720884 UYM720882:UYX720884 VII720882:VIT720884 VSE720882:VSP720884 WCA720882:WCL720884 WLW720882:WMH720884 WVS720882:WWD720884 JG786418:JR786420 TC786418:TN786420 ACY786418:ADJ786420 AMU786418:ANF786420 AWQ786418:AXB786420 BGM786418:BGX786420 BQI786418:BQT786420 CAE786418:CAP786420 CKA786418:CKL786420 CTW786418:CUH786420 DDS786418:DED786420 DNO786418:DNZ786420 DXK786418:DXV786420 EHG786418:EHR786420 ERC786418:ERN786420 FAY786418:FBJ786420 FKU786418:FLF786420 FUQ786418:FVB786420 GEM786418:GEX786420 GOI786418:GOT786420 GYE786418:GYP786420 HIA786418:HIL786420 HRW786418:HSH786420 IBS786418:ICD786420 ILO786418:ILZ786420 IVK786418:IVV786420 JFG786418:JFR786420 JPC786418:JPN786420 JYY786418:JZJ786420 KIU786418:KJF786420 KSQ786418:KTB786420 LCM786418:LCX786420 LMI786418:LMT786420 LWE786418:LWP786420 MGA786418:MGL786420 MPW786418:MQH786420 MZS786418:NAD786420 NJO786418:NJZ786420 NTK786418:NTV786420 ODG786418:ODR786420 ONC786418:ONN786420 OWY786418:OXJ786420 PGU786418:PHF786420 PQQ786418:PRB786420 QAM786418:QAX786420 QKI786418:QKT786420 QUE786418:QUP786420 REA786418:REL786420 RNW786418:ROH786420 RXS786418:RYD786420 SHO786418:SHZ786420 SRK786418:SRV786420 TBG786418:TBR786420 TLC786418:TLN786420 TUY786418:TVJ786420 UEU786418:UFF786420 UOQ786418:UPB786420 UYM786418:UYX786420 VII786418:VIT786420 VSE786418:VSP786420 WCA786418:WCL786420 WLW786418:WMH786420 WVS786418:WWD786420 JG851954:JR851956 TC851954:TN851956 ACY851954:ADJ851956 AMU851954:ANF851956 AWQ851954:AXB851956 BGM851954:BGX851956 BQI851954:BQT851956 CAE851954:CAP851956 CKA851954:CKL851956 CTW851954:CUH851956 DDS851954:DED851956 DNO851954:DNZ851956 DXK851954:DXV851956 EHG851954:EHR851956 ERC851954:ERN851956 FAY851954:FBJ851956 FKU851954:FLF851956 FUQ851954:FVB851956 GEM851954:GEX851956 GOI851954:GOT851956 GYE851954:GYP851956 HIA851954:HIL851956 HRW851954:HSH851956 IBS851954:ICD851956 ILO851954:ILZ851956 IVK851954:IVV851956 JFG851954:JFR851956 JPC851954:JPN851956 JYY851954:JZJ851956 KIU851954:KJF851956 KSQ851954:KTB851956 LCM851954:LCX851956 LMI851954:LMT851956 LWE851954:LWP851956 MGA851954:MGL851956 MPW851954:MQH851956 MZS851954:NAD851956 NJO851954:NJZ851956 NTK851954:NTV851956 ODG851954:ODR851956 ONC851954:ONN851956 OWY851954:OXJ851956 PGU851954:PHF851956 PQQ851954:PRB851956 QAM851954:QAX851956 QKI851954:QKT851956 QUE851954:QUP851956 REA851954:REL851956 RNW851954:ROH851956 RXS851954:RYD851956 SHO851954:SHZ851956 SRK851954:SRV851956 TBG851954:TBR851956 TLC851954:TLN851956 TUY851954:TVJ851956 UEU851954:UFF851956 UOQ851954:UPB851956 UYM851954:UYX851956 VII851954:VIT851956 VSE851954:VSP851956 WCA851954:WCL851956 WLW851954:WMH851956 WVS851954:WWD851956 JG917490:JR917492 TC917490:TN917492 ACY917490:ADJ917492 AMU917490:ANF917492 AWQ917490:AXB917492 BGM917490:BGX917492 BQI917490:BQT917492 CAE917490:CAP917492 CKA917490:CKL917492 CTW917490:CUH917492 DDS917490:DED917492 DNO917490:DNZ917492 DXK917490:DXV917492 EHG917490:EHR917492 ERC917490:ERN917492 FAY917490:FBJ917492 FKU917490:FLF917492 FUQ917490:FVB917492 GEM917490:GEX917492 GOI917490:GOT917492 GYE917490:GYP917492 HIA917490:HIL917492 HRW917490:HSH917492 IBS917490:ICD917492 ILO917490:ILZ917492 IVK917490:IVV917492 JFG917490:JFR917492 JPC917490:JPN917492 JYY917490:JZJ917492 KIU917490:KJF917492 KSQ917490:KTB917492 LCM917490:LCX917492 LMI917490:LMT917492 LWE917490:LWP917492 MGA917490:MGL917492 MPW917490:MQH917492 MZS917490:NAD917492 NJO917490:NJZ917492 NTK917490:NTV917492 ODG917490:ODR917492 ONC917490:ONN917492 OWY917490:OXJ917492 PGU917490:PHF917492 PQQ917490:PRB917492 QAM917490:QAX917492 QKI917490:QKT917492 QUE917490:QUP917492 REA917490:REL917492 RNW917490:ROH917492 RXS917490:RYD917492 SHO917490:SHZ917492 SRK917490:SRV917492 TBG917490:TBR917492 TLC917490:TLN917492 TUY917490:TVJ917492 UEU917490:UFF917492 UOQ917490:UPB917492 UYM917490:UYX917492 VII917490:VIT917492 VSE917490:VSP917492 WCA917490:WCL917492 WLW917490:WMH917492 WVS917490:WWD917492 JG983026:JR983028 TC983026:TN983028 ACY983026:ADJ983028 AMU983026:ANF983028 AWQ983026:AXB983028 BGM983026:BGX983028 BQI983026:BQT983028 CAE983026:CAP983028 CKA983026:CKL983028 CTW983026:CUH983028 DDS983026:DED983028 DNO983026:DNZ983028 DXK983026:DXV983028 EHG983026:EHR983028 ERC983026:ERN983028 FAY983026:FBJ983028 FKU983026:FLF983028 FUQ983026:FVB983028 GEM983026:GEX983028 GOI983026:GOT983028 GYE983026:GYP983028 HIA983026:HIL983028 HRW983026:HSH983028 IBS983026:ICD983028 ILO983026:ILZ983028 IVK983026:IVV983028 JFG983026:JFR983028 JPC983026:JPN983028 JYY983026:JZJ983028 KIU983026:KJF983028 KSQ983026:KTB983028 LCM983026:LCX983028 LMI983026:LMT983028 LWE983026:LWP983028 MGA983026:MGL983028 MPW983026:MQH983028 MZS983026:NAD983028 NJO983026:NJZ983028 NTK983026:NTV983028 ODG983026:ODR983028 ONC983026:ONN983028 OWY983026:OXJ983028 PGU983026:PHF983028 PQQ983026:PRB983028 QAM983026:QAX983028 QKI983026:QKT983028 QUE983026:QUP983028 REA983026:REL983028 RNW983026:ROH983028 RXS983026:RYD983028 SHO983026:SHZ983028 SRK983026:SRV983028 TBG983026:TBR983028 TLC983026:TLN983028 TUY983026:TVJ983028 UEU983026:UFF983028 UOQ983026:UPB983028 UYM983026:UYX983028 VII983026:VIT983028 VSE983026:VSP983028 WCA983026:WCL983028 WLW983026:WMH983028 WVS983026:WWD983028 Z262130:AJ262132 Z196594:AJ196596 Z131058:AJ131060 Z65522:AJ65524 Z983026:AJ983028 Z917490:AJ917492 Z851954:AJ851956 Z786418:AJ786420 Z720882:AJ720884 Z655346:AJ655348 Z589810:AJ589812 Z524274:AJ524276 Z458738:AJ458740 Z393202:AJ393204 Z327666:AJ327668 JH2:JS4 TD2:TO4 ACZ2:ADK4 AMV2:ANG4 AWR2:AXC4 BGN2:BGY4 BQJ2:BQU4 CAF2:CAQ4 CKB2:CKM4 CTX2:CUI4 DDT2:DEE4 DNP2:DOA4 DXL2:DXW4 EHH2:EHS4 ERD2:ERO4 FAZ2:FBK4 FKV2:FLG4 FUR2:FVC4 GEN2:GEY4 GOJ2:GOU4 GYF2:GYQ4 HIB2:HIM4 HRX2:HSI4 IBT2:ICE4 ILP2:IMA4 IVL2:IVW4 JFH2:JFS4 JPD2:JPO4 JYZ2:JZK4 KIV2:KJG4 KSR2:KTC4 LCN2:LCY4 LMJ2:LMU4 LWF2:LWQ4 MGB2:MGM4 MPX2:MQI4 MZT2:NAE4 NJP2:NKA4 NTL2:NTW4 ODH2:ODS4 OND2:ONO4 OWZ2:OXK4 PGV2:PHG4 PQR2:PRC4 QAN2:QAY4 QKJ2:QKU4 QUF2:QUQ4 REB2:REM4 RNX2:ROI4 RXT2:RYE4 SHP2:SIA4 SRL2:SRW4 TBH2:TBS4 TLD2:TLO4 TUZ2:TVK4 UEV2:UFG4 UOR2:UPC4 UYN2:UYY4 VIJ2:VIU4 VSF2:VSQ4 WCB2:WCM4 WLX2:WMI4 WVT2:WWE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>
      <c r="A1" s="396" t="s">
        <v>78</v>
      </c>
      <c r="B1" s="397"/>
      <c r="C1" s="397"/>
      <c r="D1" s="397"/>
      <c r="E1" s="397"/>
      <c r="F1" s="397"/>
      <c r="G1" s="397"/>
      <c r="H1" s="398"/>
      <c r="I1" s="336" t="s">
        <v>79</v>
      </c>
      <c r="J1" s="337"/>
      <c r="K1" s="337"/>
      <c r="L1" s="337"/>
      <c r="M1" s="337"/>
      <c r="N1" s="337"/>
      <c r="O1" s="337"/>
      <c r="P1" s="337"/>
      <c r="Q1" s="338"/>
      <c r="R1" s="336" t="s">
        <v>80</v>
      </c>
      <c r="S1" s="337"/>
      <c r="T1" s="337"/>
      <c r="U1" s="337"/>
      <c r="V1" s="337"/>
      <c r="W1" s="337"/>
      <c r="X1" s="338"/>
      <c r="Y1" s="336" t="s">
        <v>135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8"/>
      <c r="AP1" s="407" t="s">
        <v>82</v>
      </c>
      <c r="AQ1" s="408"/>
      <c r="AR1" s="408"/>
      <c r="AS1" s="408"/>
      <c r="AT1" s="409"/>
      <c r="AU1" s="407" t="s">
        <v>83</v>
      </c>
      <c r="AV1" s="408"/>
      <c r="AW1" s="408"/>
      <c r="AX1" s="408"/>
      <c r="AY1" s="409"/>
      <c r="AZ1" s="407" t="s">
        <v>84</v>
      </c>
      <c r="BA1" s="408"/>
      <c r="BB1" s="408"/>
      <c r="BC1" s="408"/>
      <c r="BD1" s="409"/>
    </row>
    <row r="2" spans="1:57" s="17" customFormat="1" ht="14.4" customHeight="1">
      <c r="A2" s="399"/>
      <c r="B2" s="400"/>
      <c r="C2" s="400"/>
      <c r="D2" s="400"/>
      <c r="E2" s="400"/>
      <c r="F2" s="400"/>
      <c r="G2" s="400"/>
      <c r="H2" s="401"/>
      <c r="I2" s="366" t="s">
        <v>85</v>
      </c>
      <c r="J2" s="367"/>
      <c r="K2" s="367"/>
      <c r="L2" s="367"/>
      <c r="M2" s="367"/>
      <c r="N2" s="367"/>
      <c r="O2" s="367"/>
      <c r="P2" s="367"/>
      <c r="Q2" s="368"/>
      <c r="R2" s="366" t="str">
        <f ca="1">VLOOKUP(RIGHT(CELL("filename",A2),LEN(CELL("filename",A2))-FIND("]",CELL("filename",A2))),テーブル一覧!B:AD,22,FALSE)</f>
        <v>B.生産計画</v>
      </c>
      <c r="S2" s="367"/>
      <c r="T2" s="367"/>
      <c r="U2" s="367"/>
      <c r="V2" s="367"/>
      <c r="W2" s="367"/>
      <c r="X2" s="368"/>
      <c r="Y2" s="366" t="str">
        <f ca="1">VLOOKUP(RIGHT(CELL("filename",A2),LEN(CELL("filename",A2))-FIND("]",CELL("filename",A2))),テーブル一覧!B:AD,1,FALSE)</f>
        <v>生産指示情報（原反）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8"/>
      <c r="AP2" s="339"/>
      <c r="AQ2" s="340"/>
      <c r="AR2" s="340"/>
      <c r="AS2" s="340"/>
      <c r="AT2" s="341"/>
      <c r="AU2" s="58" t="s">
        <v>88</v>
      </c>
      <c r="AV2" s="59"/>
      <c r="AW2" s="59"/>
      <c r="AX2" s="59"/>
      <c r="AY2" s="60"/>
      <c r="AZ2" s="413" t="s">
        <v>89</v>
      </c>
      <c r="BA2" s="414"/>
      <c r="BB2" s="414"/>
      <c r="BC2" s="414"/>
      <c r="BD2" s="415"/>
    </row>
    <row r="3" spans="1:57" s="17" customFormat="1" ht="14.4" customHeight="1">
      <c r="A3" s="399"/>
      <c r="B3" s="400"/>
      <c r="C3" s="400"/>
      <c r="D3" s="400"/>
      <c r="E3" s="400"/>
      <c r="F3" s="400"/>
      <c r="G3" s="400"/>
      <c r="H3" s="401"/>
      <c r="I3" s="369"/>
      <c r="J3" s="370"/>
      <c r="K3" s="370"/>
      <c r="L3" s="370"/>
      <c r="M3" s="370"/>
      <c r="N3" s="370"/>
      <c r="O3" s="370"/>
      <c r="P3" s="370"/>
      <c r="Q3" s="371"/>
      <c r="R3" s="369"/>
      <c r="S3" s="370"/>
      <c r="T3" s="370"/>
      <c r="U3" s="370"/>
      <c r="V3" s="370"/>
      <c r="W3" s="370"/>
      <c r="X3" s="371"/>
      <c r="Y3" s="372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4"/>
      <c r="AP3" s="342"/>
      <c r="AQ3" s="343"/>
      <c r="AR3" s="343"/>
      <c r="AS3" s="343"/>
      <c r="AT3" s="344"/>
      <c r="AU3" s="410"/>
      <c r="AV3" s="411"/>
      <c r="AW3" s="411"/>
      <c r="AX3" s="411"/>
      <c r="AY3" s="412"/>
      <c r="AZ3" s="413"/>
      <c r="BA3" s="414"/>
      <c r="BB3" s="414"/>
      <c r="BC3" s="414"/>
      <c r="BD3" s="415"/>
    </row>
    <row r="4" spans="1:57" s="17" customFormat="1" ht="14.4" customHeight="1">
      <c r="A4" s="402"/>
      <c r="B4" s="403"/>
      <c r="C4" s="403"/>
      <c r="D4" s="403"/>
      <c r="E4" s="403"/>
      <c r="F4" s="403"/>
      <c r="G4" s="403"/>
      <c r="H4" s="404"/>
      <c r="I4" s="372"/>
      <c r="J4" s="373"/>
      <c r="K4" s="373"/>
      <c r="L4" s="373"/>
      <c r="M4" s="373"/>
      <c r="N4" s="373"/>
      <c r="O4" s="373"/>
      <c r="P4" s="373"/>
      <c r="Q4" s="374"/>
      <c r="R4" s="372"/>
      <c r="S4" s="373"/>
      <c r="T4" s="373"/>
      <c r="U4" s="373"/>
      <c r="V4" s="373"/>
      <c r="W4" s="373"/>
      <c r="X4" s="374"/>
      <c r="Y4" s="41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t_seisan_shiji_gentan</v>
      </c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8"/>
      <c r="AP4" s="342"/>
      <c r="AQ4" s="343"/>
      <c r="AR4" s="343"/>
      <c r="AS4" s="343"/>
      <c r="AT4" s="344"/>
      <c r="AU4" s="410"/>
      <c r="AV4" s="411"/>
      <c r="AW4" s="411"/>
      <c r="AX4" s="411"/>
      <c r="AY4" s="412"/>
      <c r="AZ4" s="413"/>
      <c r="BA4" s="414"/>
      <c r="BB4" s="414"/>
      <c r="BC4" s="414"/>
      <c r="BD4" s="415"/>
    </row>
    <row r="6" spans="1:57" ht="14.4" customHeight="1">
      <c r="A6" s="405" t="s">
        <v>90</v>
      </c>
      <c r="B6" s="386" t="s">
        <v>136</v>
      </c>
      <c r="C6" s="394"/>
      <c r="D6" s="394"/>
      <c r="E6" s="394"/>
      <c r="F6" s="394"/>
      <c r="G6" s="394"/>
      <c r="H6" s="387"/>
      <c r="I6" s="386" t="s">
        <v>137</v>
      </c>
      <c r="J6" s="394"/>
      <c r="K6" s="394"/>
      <c r="L6" s="394"/>
      <c r="M6" s="394"/>
      <c r="N6" s="394"/>
      <c r="O6" s="394"/>
      <c r="P6" s="394"/>
      <c r="Q6" s="387"/>
      <c r="R6" s="386" t="s">
        <v>138</v>
      </c>
      <c r="S6" s="394"/>
      <c r="T6" s="394"/>
      <c r="U6" s="394"/>
      <c r="V6" s="394"/>
      <c r="W6" s="394"/>
      <c r="X6" s="387"/>
      <c r="Y6" s="386" t="s">
        <v>139</v>
      </c>
      <c r="Z6" s="387"/>
      <c r="AA6" s="386" t="s">
        <v>140</v>
      </c>
      <c r="AB6" s="394"/>
      <c r="AC6" s="387"/>
      <c r="AD6" s="390" t="s">
        <v>141</v>
      </c>
      <c r="AE6" s="392" t="s">
        <v>142</v>
      </c>
      <c r="AF6" s="390" t="s">
        <v>143</v>
      </c>
      <c r="AG6" s="390" t="s">
        <v>144</v>
      </c>
      <c r="AH6" s="390" t="s">
        <v>145</v>
      </c>
      <c r="AI6" s="383" t="s">
        <v>146</v>
      </c>
      <c r="AJ6" s="384"/>
      <c r="AK6" s="384"/>
      <c r="AL6" s="384"/>
      <c r="AM6" s="384"/>
      <c r="AN6" s="384"/>
      <c r="AO6" s="384"/>
      <c r="AP6" s="384"/>
      <c r="AQ6" s="384"/>
      <c r="AR6" s="385"/>
      <c r="AS6" s="386" t="s">
        <v>147</v>
      </c>
      <c r="AT6" s="394"/>
      <c r="AU6" s="394"/>
      <c r="AV6" s="394"/>
      <c r="AW6" s="394"/>
      <c r="AX6" s="394"/>
      <c r="AY6" s="394"/>
      <c r="AZ6" s="394"/>
      <c r="BA6" s="394"/>
      <c r="BB6" s="394"/>
      <c r="BC6" s="394"/>
      <c r="BD6" s="387"/>
    </row>
    <row r="7" spans="1:57" ht="14.4" customHeight="1">
      <c r="A7" s="406"/>
      <c r="B7" s="388"/>
      <c r="C7" s="395"/>
      <c r="D7" s="395"/>
      <c r="E7" s="395"/>
      <c r="F7" s="395"/>
      <c r="G7" s="395"/>
      <c r="H7" s="389"/>
      <c r="I7" s="388"/>
      <c r="J7" s="395"/>
      <c r="K7" s="395"/>
      <c r="L7" s="395"/>
      <c r="M7" s="395"/>
      <c r="N7" s="395"/>
      <c r="O7" s="395"/>
      <c r="P7" s="395"/>
      <c r="Q7" s="389"/>
      <c r="R7" s="388"/>
      <c r="S7" s="395"/>
      <c r="T7" s="395"/>
      <c r="U7" s="395"/>
      <c r="V7" s="395"/>
      <c r="W7" s="395"/>
      <c r="X7" s="389"/>
      <c r="Y7" s="388"/>
      <c r="Z7" s="389"/>
      <c r="AA7" s="388"/>
      <c r="AB7" s="395"/>
      <c r="AC7" s="389"/>
      <c r="AD7" s="391"/>
      <c r="AE7" s="393"/>
      <c r="AF7" s="391"/>
      <c r="AG7" s="391"/>
      <c r="AH7" s="39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88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89"/>
    </row>
    <row r="8" spans="1:57" ht="14.4" customHeight="1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419" t="s">
        <v>150</v>
      </c>
      <c r="Z8" s="420"/>
      <c r="AA8" s="421" t="s">
        <v>151</v>
      </c>
      <c r="AB8" s="422"/>
      <c r="AC8" s="423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" customHeight="1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419" t="s">
        <v>150</v>
      </c>
      <c r="Z9" s="420"/>
      <c r="AA9" s="421" t="s">
        <v>151</v>
      </c>
      <c r="AB9" s="422"/>
      <c r="AC9" s="423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" customHeight="1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24" t="s">
        <v>374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419" t="s">
        <v>150</v>
      </c>
      <c r="Z10" s="420"/>
      <c r="AA10" s="421" t="s">
        <v>151</v>
      </c>
      <c r="AB10" s="422"/>
      <c r="AC10" s="423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" customHeight="1">
      <c r="A11" s="70">
        <f>IF(B11="","",COUNTA($B$8:B11))</f>
        <v>4</v>
      </c>
      <c r="B11" s="25" t="s">
        <v>193</v>
      </c>
      <c r="C11" s="26"/>
      <c r="D11" s="26"/>
      <c r="E11" s="26"/>
      <c r="F11" s="26"/>
      <c r="G11" s="26"/>
      <c r="H11" s="39" t="s">
        <v>401</v>
      </c>
      <c r="I11" s="31" t="s">
        <v>194</v>
      </c>
      <c r="J11" s="23"/>
      <c r="K11" s="23"/>
      <c r="L11" s="23"/>
      <c r="M11" s="23"/>
      <c r="N11" s="23"/>
      <c r="O11" s="26"/>
      <c r="P11" s="23"/>
      <c r="Q11" s="24"/>
      <c r="R11" s="25" t="s">
        <v>193</v>
      </c>
      <c r="S11" s="23"/>
      <c r="T11" s="23"/>
      <c r="U11" s="23"/>
      <c r="V11" s="23"/>
      <c r="W11" s="23"/>
      <c r="X11" s="24"/>
      <c r="Y11" s="419" t="s">
        <v>150</v>
      </c>
      <c r="Z11" s="420"/>
      <c r="AA11" s="421" t="s">
        <v>151</v>
      </c>
      <c r="AB11" s="422"/>
      <c r="AC11" s="423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" customHeight="1">
      <c r="A12" s="70">
        <f>IF(B12="","",COUNTA($B$8:B12))</f>
        <v>5</v>
      </c>
      <c r="B12" s="19" t="s">
        <v>195</v>
      </c>
      <c r="C12" s="26"/>
      <c r="D12" s="26"/>
      <c r="E12" s="26"/>
      <c r="F12" s="26"/>
      <c r="G12" s="26"/>
      <c r="H12" s="39" t="s">
        <v>401</v>
      </c>
      <c r="I12" s="31" t="s">
        <v>196</v>
      </c>
      <c r="J12" s="23"/>
      <c r="K12" s="23"/>
      <c r="L12" s="23"/>
      <c r="M12" s="23"/>
      <c r="N12" s="23"/>
      <c r="O12" s="23"/>
      <c r="P12" s="23"/>
      <c r="Q12" s="24"/>
      <c r="R12" s="25" t="s">
        <v>195</v>
      </c>
      <c r="S12" s="23"/>
      <c r="T12" s="23"/>
      <c r="U12" s="23"/>
      <c r="V12" s="23"/>
      <c r="W12" s="23"/>
      <c r="X12" s="24"/>
      <c r="Y12" s="419" t="s">
        <v>150</v>
      </c>
      <c r="Z12" s="420"/>
      <c r="AA12" s="421" t="s">
        <v>151</v>
      </c>
      <c r="AB12" s="422"/>
      <c r="AC12" s="423"/>
      <c r="AD12" s="267">
        <v>80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  <c r="BE12" s="18" t="s">
        <v>1513</v>
      </c>
    </row>
    <row r="13" spans="1:57" ht="14.4" customHeight="1">
      <c r="A13" s="70">
        <f>IF(B13="","",COUNTA($B$8:B13))</f>
        <v>6</v>
      </c>
      <c r="B13" s="19" t="s">
        <v>197</v>
      </c>
      <c r="C13" s="20"/>
      <c r="D13" s="20"/>
      <c r="E13" s="20"/>
      <c r="F13" s="20"/>
      <c r="G13" s="20"/>
      <c r="H13" s="39" t="s">
        <v>401</v>
      </c>
      <c r="I13" s="31" t="s">
        <v>198</v>
      </c>
      <c r="J13" s="23"/>
      <c r="K13" s="23"/>
      <c r="L13" s="23"/>
      <c r="M13" s="23"/>
      <c r="N13" s="23"/>
      <c r="O13" s="23"/>
      <c r="P13" s="23"/>
      <c r="Q13" s="24"/>
      <c r="R13" s="19" t="s">
        <v>197</v>
      </c>
      <c r="S13" s="23"/>
      <c r="T13" s="23"/>
      <c r="U13" s="23"/>
      <c r="V13" s="23"/>
      <c r="W13" s="23"/>
      <c r="X13" s="24"/>
      <c r="Y13" s="419" t="s">
        <v>150</v>
      </c>
      <c r="Z13" s="420"/>
      <c r="AA13" s="421" t="s">
        <v>151</v>
      </c>
      <c r="AB13" s="422"/>
      <c r="AC13" s="423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" customHeight="1">
      <c r="A14" s="70">
        <f>IF(B14="","",COUNTA($B$8:B14))</f>
        <v>7</v>
      </c>
      <c r="B14" s="22" t="s">
        <v>199</v>
      </c>
      <c r="C14" s="20"/>
      <c r="D14" s="20"/>
      <c r="E14" s="20"/>
      <c r="F14" s="20"/>
      <c r="G14" s="20"/>
      <c r="H14" s="39" t="s">
        <v>401</v>
      </c>
      <c r="I14" s="31" t="s">
        <v>200</v>
      </c>
      <c r="J14" s="23"/>
      <c r="K14" s="23"/>
      <c r="L14" s="23"/>
      <c r="M14" s="23"/>
      <c r="N14" s="23"/>
      <c r="O14" s="23"/>
      <c r="P14" s="23"/>
      <c r="Q14" s="24"/>
      <c r="R14" s="19" t="s">
        <v>199</v>
      </c>
      <c r="S14" s="23"/>
      <c r="T14" s="23"/>
      <c r="U14" s="23"/>
      <c r="V14" s="23"/>
      <c r="W14" s="23"/>
      <c r="X14" s="24"/>
      <c r="Y14" s="419" t="s">
        <v>150</v>
      </c>
      <c r="Z14" s="420"/>
      <c r="AA14" s="421" t="s">
        <v>151</v>
      </c>
      <c r="AB14" s="422"/>
      <c r="AC14" s="423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" customHeight="1">
      <c r="A15" s="70">
        <f>IF(B15="","",COUNTA($B$8:B15))</f>
        <v>8</v>
      </c>
      <c r="B15" s="19" t="s">
        <v>201</v>
      </c>
      <c r="C15" s="20"/>
      <c r="D15" s="20"/>
      <c r="E15" s="20"/>
      <c r="F15" s="20"/>
      <c r="G15" s="20"/>
      <c r="H15" s="39" t="s">
        <v>401</v>
      </c>
      <c r="I15" s="31" t="s">
        <v>202</v>
      </c>
      <c r="J15" s="23"/>
      <c r="K15" s="23"/>
      <c r="L15" s="23"/>
      <c r="M15" s="23"/>
      <c r="N15" s="23"/>
      <c r="O15" s="23"/>
      <c r="P15" s="23"/>
      <c r="Q15" s="24"/>
      <c r="R15" s="19" t="s">
        <v>201</v>
      </c>
      <c r="S15" s="23"/>
      <c r="T15" s="23"/>
      <c r="U15" s="23"/>
      <c r="V15" s="23"/>
      <c r="W15" s="23"/>
      <c r="X15" s="24"/>
      <c r="Y15" s="419" t="s">
        <v>150</v>
      </c>
      <c r="Z15" s="420"/>
      <c r="AA15" s="421" t="s">
        <v>151</v>
      </c>
      <c r="AB15" s="422"/>
      <c r="AC15" s="423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" customHeight="1">
      <c r="A16" s="70">
        <f>IF(B16="","",COUNTA($B$8:B16))</f>
        <v>9</v>
      </c>
      <c r="B16" s="19" t="s">
        <v>203</v>
      </c>
      <c r="C16" s="20"/>
      <c r="D16" s="20"/>
      <c r="E16" s="20"/>
      <c r="F16" s="20"/>
      <c r="G16" s="20"/>
      <c r="H16" s="39" t="s">
        <v>401</v>
      </c>
      <c r="I16" s="31" t="s">
        <v>204</v>
      </c>
      <c r="J16" s="23"/>
      <c r="K16" s="23"/>
      <c r="L16" s="23"/>
      <c r="M16" s="23"/>
      <c r="N16" s="23"/>
      <c r="O16" s="38"/>
      <c r="P16" s="23"/>
      <c r="Q16" s="24"/>
      <c r="R16" s="19" t="s">
        <v>203</v>
      </c>
      <c r="S16" s="23"/>
      <c r="T16" s="23"/>
      <c r="U16" s="23"/>
      <c r="V16" s="23"/>
      <c r="W16" s="23"/>
      <c r="X16" s="24"/>
      <c r="Y16" s="419" t="s">
        <v>155</v>
      </c>
      <c r="Z16" s="420"/>
      <c r="AA16" s="421" t="s">
        <v>156</v>
      </c>
      <c r="AB16" s="422"/>
      <c r="AC16" s="423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" customHeight="1">
      <c r="A17" s="70">
        <f>IF(B17="","",COUNTA($B$8:B17))</f>
        <v>10</v>
      </c>
      <c r="B17" s="25" t="s">
        <v>205</v>
      </c>
      <c r="C17" s="26"/>
      <c r="D17" s="26"/>
      <c r="E17" s="26"/>
      <c r="F17" s="26"/>
      <c r="G17" s="26"/>
      <c r="H17" s="39" t="s">
        <v>401</v>
      </c>
      <c r="I17" s="31" t="s">
        <v>206</v>
      </c>
      <c r="J17" s="23"/>
      <c r="K17" s="23"/>
      <c r="L17" s="23"/>
      <c r="M17" s="23"/>
      <c r="N17" s="23"/>
      <c r="O17" s="26"/>
      <c r="P17" s="23"/>
      <c r="Q17" s="24"/>
      <c r="R17" s="25" t="s">
        <v>205</v>
      </c>
      <c r="S17" s="23"/>
      <c r="T17" s="23"/>
      <c r="U17" s="23"/>
      <c r="V17" s="23"/>
      <c r="W17" s="23"/>
      <c r="X17" s="24"/>
      <c r="Y17" s="419" t="s">
        <v>155</v>
      </c>
      <c r="Z17" s="420"/>
      <c r="AA17" s="421" t="s">
        <v>156</v>
      </c>
      <c r="AB17" s="422"/>
      <c r="AC17" s="423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>
      <c r="A18" s="70">
        <f>IF(B18="","",COUNTA($B$8:B18))</f>
        <v>11</v>
      </c>
      <c r="B18" s="25" t="s">
        <v>208</v>
      </c>
      <c r="C18" s="26"/>
      <c r="D18" s="26"/>
      <c r="E18" s="26"/>
      <c r="F18" s="26"/>
      <c r="G18" s="26"/>
      <c r="H18" s="39" t="s">
        <v>401</v>
      </c>
      <c r="I18" s="31" t="s">
        <v>209</v>
      </c>
      <c r="J18" s="23"/>
      <c r="K18" s="23"/>
      <c r="L18" s="23"/>
      <c r="M18" s="23"/>
      <c r="N18" s="23"/>
      <c r="O18" s="26"/>
      <c r="P18" s="23"/>
      <c r="Q18" s="24"/>
      <c r="R18" s="25" t="s">
        <v>208</v>
      </c>
      <c r="S18" s="23"/>
      <c r="T18" s="23"/>
      <c r="U18" s="23"/>
      <c r="V18" s="23"/>
      <c r="W18" s="23"/>
      <c r="X18" s="24"/>
      <c r="Y18" s="419" t="s">
        <v>155</v>
      </c>
      <c r="Z18" s="420"/>
      <c r="AA18" s="421" t="s">
        <v>156</v>
      </c>
      <c r="AB18" s="422"/>
      <c r="AC18" s="423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419" t="s">
        <v>150</v>
      </c>
      <c r="Z19" s="420"/>
      <c r="AA19" s="421" t="s">
        <v>151</v>
      </c>
      <c r="AB19" s="422"/>
      <c r="AC19" s="423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>
      <c r="A20" s="70">
        <f>IF(B20="","",COUNTA($B$8:B20))</f>
        <v>13</v>
      </c>
      <c r="B20" s="19" t="s">
        <v>1423</v>
      </c>
      <c r="C20" s="20"/>
      <c r="D20" s="20"/>
      <c r="E20" s="20"/>
      <c r="F20" s="20"/>
      <c r="G20" s="20"/>
      <c r="H20" s="24"/>
      <c r="I20" s="31" t="s">
        <v>1378</v>
      </c>
      <c r="J20" s="23"/>
      <c r="K20" s="23"/>
      <c r="L20" s="23"/>
      <c r="M20" s="23"/>
      <c r="N20" s="23"/>
      <c r="O20" s="38"/>
      <c r="P20" s="23"/>
      <c r="Q20" s="24"/>
      <c r="R20" s="19" t="s">
        <v>1423</v>
      </c>
      <c r="S20" s="23"/>
      <c r="T20" s="23"/>
      <c r="U20" s="23"/>
      <c r="V20" s="23"/>
      <c r="W20" s="23"/>
      <c r="X20" s="24"/>
      <c r="Y20" s="419" t="s">
        <v>150</v>
      </c>
      <c r="Z20" s="420"/>
      <c r="AA20" s="421" t="s">
        <v>151</v>
      </c>
      <c r="AB20" s="422"/>
      <c r="AC20" s="423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>
      <c r="A21" s="70">
        <f>IF(B21="","",COUNTA($B$8:B21))</f>
        <v>14</v>
      </c>
      <c r="B21" s="19" t="s">
        <v>375</v>
      </c>
      <c r="C21" s="20"/>
      <c r="D21" s="20"/>
      <c r="E21" s="20"/>
      <c r="F21" s="20"/>
      <c r="G21" s="20"/>
      <c r="H21" s="24"/>
      <c r="I21" s="31" t="s">
        <v>376</v>
      </c>
      <c r="J21" s="23"/>
      <c r="K21" s="23"/>
      <c r="L21" s="23"/>
      <c r="M21" s="23"/>
      <c r="N21" s="23"/>
      <c r="O21" s="38"/>
      <c r="P21" s="23"/>
      <c r="Q21" s="24"/>
      <c r="R21" s="22" t="s">
        <v>375</v>
      </c>
      <c r="S21" s="23"/>
      <c r="T21" s="23"/>
      <c r="U21" s="23"/>
      <c r="V21" s="23"/>
      <c r="W21" s="23"/>
      <c r="X21" s="24"/>
      <c r="Y21" s="419" t="s">
        <v>169</v>
      </c>
      <c r="Z21" s="420"/>
      <c r="AA21" s="421" t="s">
        <v>170</v>
      </c>
      <c r="AB21" s="422"/>
      <c r="AC21" s="423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>
      <c r="A22" s="70">
        <f>IF(B22="","",COUNTA($B$8:B22))</f>
        <v>15</v>
      </c>
      <c r="B22" s="19" t="s">
        <v>249</v>
      </c>
      <c r="C22" s="20"/>
      <c r="D22" s="20"/>
      <c r="E22" s="20"/>
      <c r="F22" s="20"/>
      <c r="G22" s="20"/>
      <c r="H22" s="24"/>
      <c r="I22" s="31" t="s">
        <v>250</v>
      </c>
      <c r="J22" s="23"/>
      <c r="K22" s="23"/>
      <c r="L22" s="23"/>
      <c r="M22" s="23"/>
      <c r="N22" s="23"/>
      <c r="O22" s="23"/>
      <c r="P22" s="23"/>
      <c r="Q22" s="37"/>
      <c r="R22" s="19" t="s">
        <v>249</v>
      </c>
      <c r="S22" s="23"/>
      <c r="T22" s="23"/>
      <c r="U22" s="23"/>
      <c r="V22" s="23"/>
      <c r="W22" s="23"/>
      <c r="X22" s="24"/>
      <c r="Y22" s="419" t="s">
        <v>150</v>
      </c>
      <c r="Z22" s="420"/>
      <c r="AA22" s="421" t="s">
        <v>151</v>
      </c>
      <c r="AB22" s="422"/>
      <c r="AC22" s="423"/>
      <c r="AD22" s="27">
        <v>4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>
      <c r="A23" s="70">
        <f>IF(B23="","",COUNTA($B$8:B23))</f>
        <v>16</v>
      </c>
      <c r="B23" s="19" t="s">
        <v>251</v>
      </c>
      <c r="C23" s="20"/>
      <c r="D23" s="20"/>
      <c r="E23" s="20"/>
      <c r="F23" s="20"/>
      <c r="G23" s="20"/>
      <c r="H23" s="24"/>
      <c r="I23" s="31" t="s">
        <v>252</v>
      </c>
      <c r="J23" s="23"/>
      <c r="K23" s="23"/>
      <c r="L23" s="23"/>
      <c r="M23" s="23"/>
      <c r="N23" s="23"/>
      <c r="O23" s="23"/>
      <c r="P23" s="23"/>
      <c r="Q23" s="37"/>
      <c r="R23" s="19" t="s">
        <v>251</v>
      </c>
      <c r="S23" s="23"/>
      <c r="T23" s="23"/>
      <c r="U23" s="23"/>
      <c r="V23" s="23"/>
      <c r="W23" s="23"/>
      <c r="X23" s="24"/>
      <c r="Y23" s="419" t="s">
        <v>150</v>
      </c>
      <c r="Z23" s="420"/>
      <c r="AA23" s="421" t="s">
        <v>151</v>
      </c>
      <c r="AB23" s="422"/>
      <c r="AC23" s="423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>
      <c r="A24" s="70">
        <f>IF(B24="","",COUNTA($B$8:B24))</f>
        <v>17</v>
      </c>
      <c r="B24" s="19" t="s">
        <v>253</v>
      </c>
      <c r="C24" s="20"/>
      <c r="D24" s="20"/>
      <c r="E24" s="20"/>
      <c r="F24" s="20"/>
      <c r="G24" s="20"/>
      <c r="H24" s="24"/>
      <c r="I24" s="31" t="s">
        <v>254</v>
      </c>
      <c r="J24" s="23"/>
      <c r="K24" s="23"/>
      <c r="L24" s="23"/>
      <c r="M24" s="23"/>
      <c r="N24" s="23"/>
      <c r="O24" s="23"/>
      <c r="P24" s="23"/>
      <c r="Q24" s="37"/>
      <c r="R24" s="19" t="s">
        <v>253</v>
      </c>
      <c r="S24" s="23"/>
      <c r="T24" s="23"/>
      <c r="U24" s="23"/>
      <c r="V24" s="23"/>
      <c r="W24" s="23"/>
      <c r="X24" s="24"/>
      <c r="Y24" s="419" t="s">
        <v>150</v>
      </c>
      <c r="Z24" s="420"/>
      <c r="AA24" s="421" t="s">
        <v>151</v>
      </c>
      <c r="AB24" s="422"/>
      <c r="AC24" s="423"/>
      <c r="AD24" s="27">
        <v>10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" customHeight="1">
      <c r="A25" s="70">
        <f>IF(B25="","",COUNTA($B$8:B25))</f>
        <v>18</v>
      </c>
      <c r="B25" s="19" t="s">
        <v>255</v>
      </c>
      <c r="C25" s="20"/>
      <c r="D25" s="20"/>
      <c r="E25" s="20"/>
      <c r="F25" s="20"/>
      <c r="G25" s="20"/>
      <c r="H25" s="24"/>
      <c r="I25" s="31" t="s">
        <v>256</v>
      </c>
      <c r="J25" s="23"/>
      <c r="K25" s="23"/>
      <c r="L25" s="23"/>
      <c r="M25" s="23"/>
      <c r="N25" s="23"/>
      <c r="O25" s="23"/>
      <c r="P25" s="23"/>
      <c r="Q25" s="37"/>
      <c r="R25" s="19" t="s">
        <v>255</v>
      </c>
      <c r="S25" s="23"/>
      <c r="T25" s="23"/>
      <c r="U25" s="23"/>
      <c r="V25" s="23"/>
      <c r="W25" s="23"/>
      <c r="X25" s="24"/>
      <c r="Y25" s="419" t="s">
        <v>150</v>
      </c>
      <c r="Z25" s="420"/>
      <c r="AA25" s="421" t="s">
        <v>151</v>
      </c>
      <c r="AB25" s="422"/>
      <c r="AC25" s="423"/>
      <c r="AD25" s="27">
        <v>10</v>
      </c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" customHeight="1">
      <c r="A26" s="70">
        <f>IF(B26="","",COUNTA($B$8:B26))</f>
        <v>19</v>
      </c>
      <c r="B26" s="19" t="s">
        <v>257</v>
      </c>
      <c r="C26" s="20"/>
      <c r="D26" s="20"/>
      <c r="E26" s="20"/>
      <c r="F26" s="20"/>
      <c r="G26" s="20"/>
      <c r="H26" s="24"/>
      <c r="I26" s="31" t="s">
        <v>258</v>
      </c>
      <c r="J26" s="23"/>
      <c r="K26" s="23"/>
      <c r="L26" s="23"/>
      <c r="M26" s="23"/>
      <c r="N26" s="23"/>
      <c r="O26" s="23"/>
      <c r="P26" s="23"/>
      <c r="Q26" s="37"/>
      <c r="R26" s="19" t="s">
        <v>257</v>
      </c>
      <c r="S26" s="23"/>
      <c r="T26" s="23"/>
      <c r="U26" s="23"/>
      <c r="V26" s="23"/>
      <c r="W26" s="23"/>
      <c r="X26" s="24"/>
      <c r="Y26" s="419" t="s">
        <v>169</v>
      </c>
      <c r="Z26" s="420"/>
      <c r="AA26" s="421" t="s">
        <v>243</v>
      </c>
      <c r="AB26" s="422"/>
      <c r="AC26" s="423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" customHeight="1">
      <c r="A27" s="70">
        <f>IF(B27="","",COUNTA($B$8:B27))</f>
        <v>20</v>
      </c>
      <c r="B27" s="19" t="s">
        <v>259</v>
      </c>
      <c r="C27" s="20"/>
      <c r="D27" s="20"/>
      <c r="E27" s="20"/>
      <c r="F27" s="20"/>
      <c r="G27" s="20"/>
      <c r="H27" s="24"/>
      <c r="I27" s="31" t="s">
        <v>260</v>
      </c>
      <c r="J27" s="23"/>
      <c r="K27" s="23"/>
      <c r="L27" s="23"/>
      <c r="M27" s="23"/>
      <c r="N27" s="23"/>
      <c r="O27" s="23"/>
      <c r="P27" s="23"/>
      <c r="Q27" s="37"/>
      <c r="R27" s="19" t="s">
        <v>259</v>
      </c>
      <c r="S27" s="23"/>
      <c r="T27" s="23"/>
      <c r="U27" s="23"/>
      <c r="V27" s="23"/>
      <c r="W27" s="23"/>
      <c r="X27" s="24"/>
      <c r="Y27" s="419" t="s">
        <v>150</v>
      </c>
      <c r="Z27" s="420"/>
      <c r="AA27" s="421" t="s">
        <v>151</v>
      </c>
      <c r="AB27" s="422"/>
      <c r="AC27" s="423"/>
      <c r="AD27" s="27">
        <v>10</v>
      </c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" customHeight="1">
      <c r="A28" s="70">
        <f>IF(B28="","",COUNTA($B$8:B28))</f>
        <v>21</v>
      </c>
      <c r="B28" s="19" t="s">
        <v>261</v>
      </c>
      <c r="C28" s="20"/>
      <c r="D28" s="20"/>
      <c r="E28" s="20"/>
      <c r="F28" s="20"/>
      <c r="G28" s="20"/>
      <c r="H28" s="24"/>
      <c r="I28" s="31" t="s">
        <v>262</v>
      </c>
      <c r="J28" s="23"/>
      <c r="K28" s="23"/>
      <c r="L28" s="23"/>
      <c r="M28" s="23"/>
      <c r="N28" s="23"/>
      <c r="O28" s="23"/>
      <c r="P28" s="23"/>
      <c r="Q28" s="37"/>
      <c r="R28" s="19" t="s">
        <v>261</v>
      </c>
      <c r="S28" s="23"/>
      <c r="T28" s="23"/>
      <c r="U28" s="23"/>
      <c r="V28" s="23"/>
      <c r="W28" s="23"/>
      <c r="X28" s="24"/>
      <c r="Y28" s="419" t="s">
        <v>150</v>
      </c>
      <c r="Z28" s="420"/>
      <c r="AA28" s="421" t="s">
        <v>151</v>
      </c>
      <c r="AB28" s="422"/>
      <c r="AC28" s="423"/>
      <c r="AD28" s="51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>
      <c r="A29" s="70">
        <f>IF(B29="","",COUNTA($B$8:B29))</f>
        <v>22</v>
      </c>
      <c r="B29" s="19" t="s">
        <v>263</v>
      </c>
      <c r="C29" s="20"/>
      <c r="D29" s="20"/>
      <c r="E29" s="20"/>
      <c r="F29" s="20"/>
      <c r="G29" s="20"/>
      <c r="H29" s="24"/>
      <c r="I29" s="31" t="s">
        <v>264</v>
      </c>
      <c r="J29" s="23"/>
      <c r="K29" s="23"/>
      <c r="L29" s="23"/>
      <c r="M29" s="23"/>
      <c r="N29" s="23"/>
      <c r="O29" s="23"/>
      <c r="P29" s="23"/>
      <c r="Q29" s="37"/>
      <c r="R29" s="22" t="s">
        <v>263</v>
      </c>
      <c r="S29" s="23"/>
      <c r="T29" s="23"/>
      <c r="U29" s="23"/>
      <c r="V29" s="23"/>
      <c r="W29" s="23"/>
      <c r="X29" s="24"/>
      <c r="Y29" s="419" t="s">
        <v>169</v>
      </c>
      <c r="Z29" s="420"/>
      <c r="AA29" s="421" t="s">
        <v>243</v>
      </c>
      <c r="AB29" s="422"/>
      <c r="AC29" s="423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" customHeight="1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419"/>
      <c r="Z30" s="420"/>
      <c r="AA30" s="421"/>
      <c r="AB30" s="422"/>
      <c r="AC30" s="423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>
      <c r="A31" s="70" t="str">
        <f>IF(B31="","",COUNTA($B$8:B31))</f>
        <v/>
      </c>
      <c r="B31" s="19"/>
      <c r="C31" s="20" t="s">
        <v>378</v>
      </c>
      <c r="D31" s="20"/>
      <c r="E31" s="20" t="s">
        <v>379</v>
      </c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419"/>
      <c r="Z31" s="420"/>
      <c r="AA31" s="421"/>
      <c r="AB31" s="422"/>
      <c r="AC31" s="423"/>
      <c r="AD31" s="27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419"/>
      <c r="Z32" s="420"/>
      <c r="AA32" s="421"/>
      <c r="AB32" s="422"/>
      <c r="AC32" s="423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419"/>
      <c r="Z33" s="420"/>
      <c r="AA33" s="421"/>
      <c r="AB33" s="422"/>
      <c r="AC33" s="423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419"/>
      <c r="Z34" s="420"/>
      <c r="AA34" s="421"/>
      <c r="AB34" s="422"/>
      <c r="AC34" s="423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419"/>
      <c r="Z35" s="420"/>
      <c r="AA35" s="421"/>
      <c r="AB35" s="422"/>
      <c r="AC35" s="423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419"/>
      <c r="Z36" s="420"/>
      <c r="AA36" s="421"/>
      <c r="AB36" s="422"/>
      <c r="AC36" s="423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419"/>
      <c r="Z37" s="420"/>
      <c r="AA37" s="421"/>
      <c r="AB37" s="422"/>
      <c r="AC37" s="423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419"/>
      <c r="Z38" s="420"/>
      <c r="AA38" s="421"/>
      <c r="AB38" s="422"/>
      <c r="AC38" s="423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419"/>
      <c r="Z39" s="420"/>
      <c r="AA39" s="421"/>
      <c r="AB39" s="422"/>
      <c r="AC39" s="423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419"/>
      <c r="Z40" s="420"/>
      <c r="AA40" s="421"/>
      <c r="AB40" s="422"/>
      <c r="AC40" s="423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419"/>
      <c r="Z41" s="420"/>
      <c r="AA41" s="421"/>
      <c r="AB41" s="422"/>
      <c r="AC41" s="423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419"/>
      <c r="Z42" s="420"/>
      <c r="AA42" s="421"/>
      <c r="AB42" s="422"/>
      <c r="AC42" s="423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19"/>
      <c r="Z43" s="420"/>
      <c r="AA43" s="421"/>
      <c r="AB43" s="422"/>
      <c r="AC43" s="423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419"/>
      <c r="Z44" s="420"/>
      <c r="AA44" s="421"/>
      <c r="AB44" s="422"/>
      <c r="AC44" s="423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419"/>
      <c r="Z45" s="420"/>
      <c r="AA45" s="421"/>
      <c r="AB45" s="422"/>
      <c r="AC45" s="423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419"/>
      <c r="Z46" s="420"/>
      <c r="AA46" s="421"/>
      <c r="AB46" s="422"/>
      <c r="AC46" s="423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35:Z35"/>
    <mergeCell ref="AA35:AC35"/>
    <mergeCell ref="Y36:Z36"/>
    <mergeCell ref="AA36:AC36"/>
    <mergeCell ref="Y37:Z37"/>
    <mergeCell ref="AA37:AC37"/>
    <mergeCell ref="Y32:Z32"/>
    <mergeCell ref="AA32:AC32"/>
    <mergeCell ref="Y33:Z33"/>
    <mergeCell ref="AA33:AC33"/>
    <mergeCell ref="Y34:Z34"/>
    <mergeCell ref="AA34:AC34"/>
    <mergeCell ref="Y45:Z45"/>
    <mergeCell ref="AA45:AC45"/>
    <mergeCell ref="Y46:Z46"/>
    <mergeCell ref="AA46:AC46"/>
    <mergeCell ref="Y41:Z41"/>
    <mergeCell ref="AA41:AC41"/>
    <mergeCell ref="Y38:Z38"/>
    <mergeCell ref="AA38:AC38"/>
    <mergeCell ref="Y39:Z39"/>
    <mergeCell ref="AA39:AC39"/>
    <mergeCell ref="Y40:Z40"/>
    <mergeCell ref="AA40:AC40"/>
    <mergeCell ref="Y42:Z42"/>
    <mergeCell ref="AA42:AC42"/>
    <mergeCell ref="Y43:Z43"/>
    <mergeCell ref="AA43:AC43"/>
    <mergeCell ref="Y44:Z44"/>
    <mergeCell ref="AA44:AC44"/>
    <mergeCell ref="Y30:Z30"/>
    <mergeCell ref="AA30:AC30"/>
    <mergeCell ref="Y31:Z31"/>
    <mergeCell ref="AA31:AC31"/>
    <mergeCell ref="Y28:Z28"/>
    <mergeCell ref="AA28:AC28"/>
    <mergeCell ref="Y29:Z29"/>
    <mergeCell ref="AA29:AC29"/>
    <mergeCell ref="Y25:Z25"/>
    <mergeCell ref="AA25:AC25"/>
    <mergeCell ref="Y26:Z26"/>
    <mergeCell ref="AA26:AC26"/>
    <mergeCell ref="Y27:Z27"/>
    <mergeCell ref="AA27:AC27"/>
    <mergeCell ref="Y24:Z24"/>
    <mergeCell ref="AA24:AC24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22:Z22"/>
    <mergeCell ref="AA22:AC22"/>
    <mergeCell ref="Y23:Z23"/>
    <mergeCell ref="AA23:AC23"/>
    <mergeCell ref="Y18:Z18"/>
    <mergeCell ref="AA18:AC18"/>
    <mergeCell ref="Y21:Z21"/>
    <mergeCell ref="AA21:AC21"/>
    <mergeCell ref="Y14:Z14"/>
    <mergeCell ref="AA14:AC14"/>
    <mergeCell ref="Y9:Z9"/>
    <mergeCell ref="AA9:AC9"/>
    <mergeCell ref="Y10:Z10"/>
    <mergeCell ref="AA10:AC10"/>
    <mergeCell ref="Y11:Z11"/>
    <mergeCell ref="AA11:AC11"/>
    <mergeCell ref="Y19:Z19"/>
    <mergeCell ref="AA19:AC19"/>
    <mergeCell ref="A1:H4"/>
    <mergeCell ref="AZ1:BD1"/>
    <mergeCell ref="I2:Q4"/>
    <mergeCell ref="R2:X4"/>
    <mergeCell ref="Y2:AO3"/>
    <mergeCell ref="AP2:AT2"/>
    <mergeCell ref="AZ2:BD2"/>
    <mergeCell ref="AP3:AT3"/>
    <mergeCell ref="Y12:Z12"/>
    <mergeCell ref="AA12:AC1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U3:AY3"/>
    <mergeCell ref="AZ3:BD3"/>
    <mergeCell ref="I1:Q1"/>
    <mergeCell ref="R1:X1"/>
    <mergeCell ref="Y1:AO1"/>
    <mergeCell ref="Y8:Z8"/>
    <mergeCell ref="AA8:AC8"/>
    <mergeCell ref="AZ4:BD4"/>
    <mergeCell ref="Y13:Z13"/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AA13:AC13"/>
  </mergeCells>
  <phoneticPr fontId="5"/>
  <dataValidations count="3">
    <dataValidation imeMode="hiragana" allowBlank="1" showInputMessage="1" showErrorMessage="1" sqref="JO65537:JZ65539 TK65537:TV65539 ADG65537:ADR65539 ANC65537:ANN65539 AWY65537:AXJ65539 BGU65537:BHF65539 BQQ65537:BRB65539 CAM65537:CAX65539 CKI65537:CKT65539 CUE65537:CUP65539 DEA65537:DEL65539 DNW65537:DOH65539 DXS65537:DYD65539 EHO65537:EHZ65539 ERK65537:ERV65539 FBG65537:FBR65539 FLC65537:FLN65539 FUY65537:FVJ65539 GEU65537:GFF65539 GOQ65537:GPB65539 GYM65537:GYX65539 HII65537:HIT65539 HSE65537:HSP65539 ICA65537:ICL65539 ILW65537:IMH65539 IVS65537:IWD65539 JFO65537:JFZ65539 JPK65537:JPV65539 JZG65537:JZR65539 KJC65537:KJN65539 KSY65537:KTJ65539 LCU65537:LDF65539 LMQ65537:LNB65539 LWM65537:LWX65539 MGI65537:MGT65539 MQE65537:MQP65539 NAA65537:NAL65539 NJW65537:NKH65539 NTS65537:NUD65539 ODO65537:ODZ65539 ONK65537:ONV65539 OXG65537:OXR65539 PHC65537:PHN65539 PQY65537:PRJ65539 QAU65537:QBF65539 QKQ65537:QLB65539 QUM65537:QUX65539 REI65537:RET65539 ROE65537:ROP65539 RYA65537:RYL65539 SHW65537:SIH65539 SRS65537:SSD65539 TBO65537:TBZ65539 TLK65537:TLV65539 TVG65537:TVR65539 UFC65537:UFN65539 UOY65537:UPJ65539 UYU65537:UZF65539 VIQ65537:VJB65539 VSM65537:VSX65539 WCI65537:WCT65539 WME65537:WMP65539 WWA65537:WWL65539 JO131073:JZ131075 TK131073:TV131075 ADG131073:ADR131075 ANC131073:ANN131075 AWY131073:AXJ131075 BGU131073:BHF131075 BQQ131073:BRB131075 CAM131073:CAX131075 CKI131073:CKT131075 CUE131073:CUP131075 DEA131073:DEL131075 DNW131073:DOH131075 DXS131073:DYD131075 EHO131073:EHZ131075 ERK131073:ERV131075 FBG131073:FBR131075 FLC131073:FLN131075 FUY131073:FVJ131075 GEU131073:GFF131075 GOQ131073:GPB131075 GYM131073:GYX131075 HII131073:HIT131075 HSE131073:HSP131075 ICA131073:ICL131075 ILW131073:IMH131075 IVS131073:IWD131075 JFO131073:JFZ131075 JPK131073:JPV131075 JZG131073:JZR131075 KJC131073:KJN131075 KSY131073:KTJ131075 LCU131073:LDF131075 LMQ131073:LNB131075 LWM131073:LWX131075 MGI131073:MGT131075 MQE131073:MQP131075 NAA131073:NAL131075 NJW131073:NKH131075 NTS131073:NUD131075 ODO131073:ODZ131075 ONK131073:ONV131075 OXG131073:OXR131075 PHC131073:PHN131075 PQY131073:PRJ131075 QAU131073:QBF131075 QKQ131073:QLB131075 QUM131073:QUX131075 REI131073:RET131075 ROE131073:ROP131075 RYA131073:RYL131075 SHW131073:SIH131075 SRS131073:SSD131075 TBO131073:TBZ131075 TLK131073:TLV131075 TVG131073:TVR131075 UFC131073:UFN131075 UOY131073:UPJ131075 UYU131073:UZF131075 VIQ131073:VJB131075 VSM131073:VSX131075 WCI131073:WCT131075 WME131073:WMP131075 WWA131073:WWL131075 JO196609:JZ196611 TK196609:TV196611 ADG196609:ADR196611 ANC196609:ANN196611 AWY196609:AXJ196611 BGU196609:BHF196611 BQQ196609:BRB196611 CAM196609:CAX196611 CKI196609:CKT196611 CUE196609:CUP196611 DEA196609:DEL196611 DNW196609:DOH196611 DXS196609:DYD196611 EHO196609:EHZ196611 ERK196609:ERV196611 FBG196609:FBR196611 FLC196609:FLN196611 FUY196609:FVJ196611 GEU196609:GFF196611 GOQ196609:GPB196611 GYM196609:GYX196611 HII196609:HIT196611 HSE196609:HSP196611 ICA196609:ICL196611 ILW196609:IMH196611 IVS196609:IWD196611 JFO196609:JFZ196611 JPK196609:JPV196611 JZG196609:JZR196611 KJC196609:KJN196611 KSY196609:KTJ196611 LCU196609:LDF196611 LMQ196609:LNB196611 LWM196609:LWX196611 MGI196609:MGT196611 MQE196609:MQP196611 NAA196609:NAL196611 NJW196609:NKH196611 NTS196609:NUD196611 ODO196609:ODZ196611 ONK196609:ONV196611 OXG196609:OXR196611 PHC196609:PHN196611 PQY196609:PRJ196611 QAU196609:QBF196611 QKQ196609:QLB196611 QUM196609:QUX196611 REI196609:RET196611 ROE196609:ROP196611 RYA196609:RYL196611 SHW196609:SIH196611 SRS196609:SSD196611 TBO196609:TBZ196611 TLK196609:TLV196611 TVG196609:TVR196611 UFC196609:UFN196611 UOY196609:UPJ196611 UYU196609:UZF196611 VIQ196609:VJB196611 VSM196609:VSX196611 WCI196609:WCT196611 WME196609:WMP196611 WWA196609:WWL196611 JO262145:JZ262147 TK262145:TV262147 ADG262145:ADR262147 ANC262145:ANN262147 AWY262145:AXJ262147 BGU262145:BHF262147 BQQ262145:BRB262147 CAM262145:CAX262147 CKI262145:CKT262147 CUE262145:CUP262147 DEA262145:DEL262147 DNW262145:DOH262147 DXS262145:DYD262147 EHO262145:EHZ262147 ERK262145:ERV262147 FBG262145:FBR262147 FLC262145:FLN262147 FUY262145:FVJ262147 GEU262145:GFF262147 GOQ262145:GPB262147 GYM262145:GYX262147 HII262145:HIT262147 HSE262145:HSP262147 ICA262145:ICL262147 ILW262145:IMH262147 IVS262145:IWD262147 JFO262145:JFZ262147 JPK262145:JPV262147 JZG262145:JZR262147 KJC262145:KJN262147 KSY262145:KTJ262147 LCU262145:LDF262147 LMQ262145:LNB262147 LWM262145:LWX262147 MGI262145:MGT262147 MQE262145:MQP262147 NAA262145:NAL262147 NJW262145:NKH262147 NTS262145:NUD262147 ODO262145:ODZ262147 ONK262145:ONV262147 OXG262145:OXR262147 PHC262145:PHN262147 PQY262145:PRJ262147 QAU262145:QBF262147 QKQ262145:QLB262147 QUM262145:QUX262147 REI262145:RET262147 ROE262145:ROP262147 RYA262145:RYL262147 SHW262145:SIH262147 SRS262145:SSD262147 TBO262145:TBZ262147 TLK262145:TLV262147 TVG262145:TVR262147 UFC262145:UFN262147 UOY262145:UPJ262147 UYU262145:UZF262147 VIQ262145:VJB262147 VSM262145:VSX262147 WCI262145:WCT262147 WME262145:WMP262147 WWA262145:WWL262147 JO327681:JZ327683 TK327681:TV327683 ADG327681:ADR327683 ANC327681:ANN327683 AWY327681:AXJ327683 BGU327681:BHF327683 BQQ327681:BRB327683 CAM327681:CAX327683 CKI327681:CKT327683 CUE327681:CUP327683 DEA327681:DEL327683 DNW327681:DOH327683 DXS327681:DYD327683 EHO327681:EHZ327683 ERK327681:ERV327683 FBG327681:FBR327683 FLC327681:FLN327683 FUY327681:FVJ327683 GEU327681:GFF327683 GOQ327681:GPB327683 GYM327681:GYX327683 HII327681:HIT327683 HSE327681:HSP327683 ICA327681:ICL327683 ILW327681:IMH327683 IVS327681:IWD327683 JFO327681:JFZ327683 JPK327681:JPV327683 JZG327681:JZR327683 KJC327681:KJN327683 KSY327681:KTJ327683 LCU327681:LDF327683 LMQ327681:LNB327683 LWM327681:LWX327683 MGI327681:MGT327683 MQE327681:MQP327683 NAA327681:NAL327683 NJW327681:NKH327683 NTS327681:NUD327683 ODO327681:ODZ327683 ONK327681:ONV327683 OXG327681:OXR327683 PHC327681:PHN327683 PQY327681:PRJ327683 QAU327681:QBF327683 QKQ327681:QLB327683 QUM327681:QUX327683 REI327681:RET327683 ROE327681:ROP327683 RYA327681:RYL327683 SHW327681:SIH327683 SRS327681:SSD327683 TBO327681:TBZ327683 TLK327681:TLV327683 TVG327681:TVR327683 UFC327681:UFN327683 UOY327681:UPJ327683 UYU327681:UZF327683 VIQ327681:VJB327683 VSM327681:VSX327683 WCI327681:WCT327683 WME327681:WMP327683 WWA327681:WWL327683 JO393217:JZ393219 TK393217:TV393219 ADG393217:ADR393219 ANC393217:ANN393219 AWY393217:AXJ393219 BGU393217:BHF393219 BQQ393217:BRB393219 CAM393217:CAX393219 CKI393217:CKT393219 CUE393217:CUP393219 DEA393217:DEL393219 DNW393217:DOH393219 DXS393217:DYD393219 EHO393217:EHZ393219 ERK393217:ERV393219 FBG393217:FBR393219 FLC393217:FLN393219 FUY393217:FVJ393219 GEU393217:GFF393219 GOQ393217:GPB393219 GYM393217:GYX393219 HII393217:HIT393219 HSE393217:HSP393219 ICA393217:ICL393219 ILW393217:IMH393219 IVS393217:IWD393219 JFO393217:JFZ393219 JPK393217:JPV393219 JZG393217:JZR393219 KJC393217:KJN393219 KSY393217:KTJ393219 LCU393217:LDF393219 LMQ393217:LNB393219 LWM393217:LWX393219 MGI393217:MGT393219 MQE393217:MQP393219 NAA393217:NAL393219 NJW393217:NKH393219 NTS393217:NUD393219 ODO393217:ODZ393219 ONK393217:ONV393219 OXG393217:OXR393219 PHC393217:PHN393219 PQY393217:PRJ393219 QAU393217:QBF393219 QKQ393217:QLB393219 QUM393217:QUX393219 REI393217:RET393219 ROE393217:ROP393219 RYA393217:RYL393219 SHW393217:SIH393219 SRS393217:SSD393219 TBO393217:TBZ393219 TLK393217:TLV393219 TVG393217:TVR393219 UFC393217:UFN393219 UOY393217:UPJ393219 UYU393217:UZF393219 VIQ393217:VJB393219 VSM393217:VSX393219 WCI393217:WCT393219 WME393217:WMP393219 WWA393217:WWL393219 JO458753:JZ458755 TK458753:TV458755 ADG458753:ADR458755 ANC458753:ANN458755 AWY458753:AXJ458755 BGU458753:BHF458755 BQQ458753:BRB458755 CAM458753:CAX458755 CKI458753:CKT458755 CUE458753:CUP458755 DEA458753:DEL458755 DNW458753:DOH458755 DXS458753:DYD458755 EHO458753:EHZ458755 ERK458753:ERV458755 FBG458753:FBR458755 FLC458753:FLN458755 FUY458753:FVJ458755 GEU458753:GFF458755 GOQ458753:GPB458755 GYM458753:GYX458755 HII458753:HIT458755 HSE458753:HSP458755 ICA458753:ICL458755 ILW458753:IMH458755 IVS458753:IWD458755 JFO458753:JFZ458755 JPK458753:JPV458755 JZG458753:JZR458755 KJC458753:KJN458755 KSY458753:KTJ458755 LCU458753:LDF458755 LMQ458753:LNB458755 LWM458753:LWX458755 MGI458753:MGT458755 MQE458753:MQP458755 NAA458753:NAL458755 NJW458753:NKH458755 NTS458753:NUD458755 ODO458753:ODZ458755 ONK458753:ONV458755 OXG458753:OXR458755 PHC458753:PHN458755 PQY458753:PRJ458755 QAU458753:QBF458755 QKQ458753:QLB458755 QUM458753:QUX458755 REI458753:RET458755 ROE458753:ROP458755 RYA458753:RYL458755 SHW458753:SIH458755 SRS458753:SSD458755 TBO458753:TBZ458755 TLK458753:TLV458755 TVG458753:TVR458755 UFC458753:UFN458755 UOY458753:UPJ458755 UYU458753:UZF458755 VIQ458753:VJB458755 VSM458753:VSX458755 WCI458753:WCT458755 WME458753:WMP458755 WWA458753:WWL458755 JO524289:JZ524291 TK524289:TV524291 ADG524289:ADR524291 ANC524289:ANN524291 AWY524289:AXJ524291 BGU524289:BHF524291 BQQ524289:BRB524291 CAM524289:CAX524291 CKI524289:CKT524291 CUE524289:CUP524291 DEA524289:DEL524291 DNW524289:DOH524291 DXS524289:DYD524291 EHO524289:EHZ524291 ERK524289:ERV524291 FBG524289:FBR524291 FLC524289:FLN524291 FUY524289:FVJ524291 GEU524289:GFF524291 GOQ524289:GPB524291 GYM524289:GYX524291 HII524289:HIT524291 HSE524289:HSP524291 ICA524289:ICL524291 ILW524289:IMH524291 IVS524289:IWD524291 JFO524289:JFZ524291 JPK524289:JPV524291 JZG524289:JZR524291 KJC524289:KJN524291 KSY524289:KTJ524291 LCU524289:LDF524291 LMQ524289:LNB524291 LWM524289:LWX524291 MGI524289:MGT524291 MQE524289:MQP524291 NAA524289:NAL524291 NJW524289:NKH524291 NTS524289:NUD524291 ODO524289:ODZ524291 ONK524289:ONV524291 OXG524289:OXR524291 PHC524289:PHN524291 PQY524289:PRJ524291 QAU524289:QBF524291 QKQ524289:QLB524291 QUM524289:QUX524291 REI524289:RET524291 ROE524289:ROP524291 RYA524289:RYL524291 SHW524289:SIH524291 SRS524289:SSD524291 TBO524289:TBZ524291 TLK524289:TLV524291 TVG524289:TVR524291 UFC524289:UFN524291 UOY524289:UPJ524291 UYU524289:UZF524291 VIQ524289:VJB524291 VSM524289:VSX524291 WCI524289:WCT524291 WME524289:WMP524291 WWA524289:WWL524291 JO589825:JZ589827 TK589825:TV589827 ADG589825:ADR589827 ANC589825:ANN589827 AWY589825:AXJ589827 BGU589825:BHF589827 BQQ589825:BRB589827 CAM589825:CAX589827 CKI589825:CKT589827 CUE589825:CUP589827 DEA589825:DEL589827 DNW589825:DOH589827 DXS589825:DYD589827 EHO589825:EHZ589827 ERK589825:ERV589827 FBG589825:FBR589827 FLC589825:FLN589827 FUY589825:FVJ589827 GEU589825:GFF589827 GOQ589825:GPB589827 GYM589825:GYX589827 HII589825:HIT589827 HSE589825:HSP589827 ICA589825:ICL589827 ILW589825:IMH589827 IVS589825:IWD589827 JFO589825:JFZ589827 JPK589825:JPV589827 JZG589825:JZR589827 KJC589825:KJN589827 KSY589825:KTJ589827 LCU589825:LDF589827 LMQ589825:LNB589827 LWM589825:LWX589827 MGI589825:MGT589827 MQE589825:MQP589827 NAA589825:NAL589827 NJW589825:NKH589827 NTS589825:NUD589827 ODO589825:ODZ589827 ONK589825:ONV589827 OXG589825:OXR589827 PHC589825:PHN589827 PQY589825:PRJ589827 QAU589825:QBF589827 QKQ589825:QLB589827 QUM589825:QUX589827 REI589825:RET589827 ROE589825:ROP589827 RYA589825:RYL589827 SHW589825:SIH589827 SRS589825:SSD589827 TBO589825:TBZ589827 TLK589825:TLV589827 TVG589825:TVR589827 UFC589825:UFN589827 UOY589825:UPJ589827 UYU589825:UZF589827 VIQ589825:VJB589827 VSM589825:VSX589827 WCI589825:WCT589827 WME589825:WMP589827 WWA589825:WWL589827 JO655361:JZ655363 TK655361:TV655363 ADG655361:ADR655363 ANC655361:ANN655363 AWY655361:AXJ655363 BGU655361:BHF655363 BQQ655361:BRB655363 CAM655361:CAX655363 CKI655361:CKT655363 CUE655361:CUP655363 DEA655361:DEL655363 DNW655361:DOH655363 DXS655361:DYD655363 EHO655361:EHZ655363 ERK655361:ERV655363 FBG655361:FBR655363 FLC655361:FLN655363 FUY655361:FVJ655363 GEU655361:GFF655363 GOQ655361:GPB655363 GYM655361:GYX655363 HII655361:HIT655363 HSE655361:HSP655363 ICA655361:ICL655363 ILW655361:IMH655363 IVS655361:IWD655363 JFO655361:JFZ655363 JPK655361:JPV655363 JZG655361:JZR655363 KJC655361:KJN655363 KSY655361:KTJ655363 LCU655361:LDF655363 LMQ655361:LNB655363 LWM655361:LWX655363 MGI655361:MGT655363 MQE655361:MQP655363 NAA655361:NAL655363 NJW655361:NKH655363 NTS655361:NUD655363 ODO655361:ODZ655363 ONK655361:ONV655363 OXG655361:OXR655363 PHC655361:PHN655363 PQY655361:PRJ655363 QAU655361:QBF655363 QKQ655361:QLB655363 QUM655361:QUX655363 REI655361:RET655363 ROE655361:ROP655363 RYA655361:RYL655363 SHW655361:SIH655363 SRS655361:SSD655363 TBO655361:TBZ655363 TLK655361:TLV655363 TVG655361:TVR655363 UFC655361:UFN655363 UOY655361:UPJ655363 UYU655361:UZF655363 VIQ655361:VJB655363 VSM655361:VSX655363 WCI655361:WCT655363 WME655361:WMP655363 WWA655361:WWL655363 JO720897:JZ720899 TK720897:TV720899 ADG720897:ADR720899 ANC720897:ANN720899 AWY720897:AXJ720899 BGU720897:BHF720899 BQQ720897:BRB720899 CAM720897:CAX720899 CKI720897:CKT720899 CUE720897:CUP720899 DEA720897:DEL720899 DNW720897:DOH720899 DXS720897:DYD720899 EHO720897:EHZ720899 ERK720897:ERV720899 FBG720897:FBR720899 FLC720897:FLN720899 FUY720897:FVJ720899 GEU720897:GFF720899 GOQ720897:GPB720899 GYM720897:GYX720899 HII720897:HIT720899 HSE720897:HSP720899 ICA720897:ICL720899 ILW720897:IMH720899 IVS720897:IWD720899 JFO720897:JFZ720899 JPK720897:JPV720899 JZG720897:JZR720899 KJC720897:KJN720899 KSY720897:KTJ720899 LCU720897:LDF720899 LMQ720897:LNB720899 LWM720897:LWX720899 MGI720897:MGT720899 MQE720897:MQP720899 NAA720897:NAL720899 NJW720897:NKH720899 NTS720897:NUD720899 ODO720897:ODZ720899 ONK720897:ONV720899 OXG720897:OXR720899 PHC720897:PHN720899 PQY720897:PRJ720899 QAU720897:QBF720899 QKQ720897:QLB720899 QUM720897:QUX720899 REI720897:RET720899 ROE720897:ROP720899 RYA720897:RYL720899 SHW720897:SIH720899 SRS720897:SSD720899 TBO720897:TBZ720899 TLK720897:TLV720899 TVG720897:TVR720899 UFC720897:UFN720899 UOY720897:UPJ720899 UYU720897:UZF720899 VIQ720897:VJB720899 VSM720897:VSX720899 WCI720897:WCT720899 WME720897:WMP720899 WWA720897:WWL720899 JO786433:JZ786435 TK786433:TV786435 ADG786433:ADR786435 ANC786433:ANN786435 AWY786433:AXJ786435 BGU786433:BHF786435 BQQ786433:BRB786435 CAM786433:CAX786435 CKI786433:CKT786435 CUE786433:CUP786435 DEA786433:DEL786435 DNW786433:DOH786435 DXS786433:DYD786435 EHO786433:EHZ786435 ERK786433:ERV786435 FBG786433:FBR786435 FLC786433:FLN786435 FUY786433:FVJ786435 GEU786433:GFF786435 GOQ786433:GPB786435 GYM786433:GYX786435 HII786433:HIT786435 HSE786433:HSP786435 ICA786433:ICL786435 ILW786433:IMH786435 IVS786433:IWD786435 JFO786433:JFZ786435 JPK786433:JPV786435 JZG786433:JZR786435 KJC786433:KJN786435 KSY786433:KTJ786435 LCU786433:LDF786435 LMQ786433:LNB786435 LWM786433:LWX786435 MGI786433:MGT786435 MQE786433:MQP786435 NAA786433:NAL786435 NJW786433:NKH786435 NTS786433:NUD786435 ODO786433:ODZ786435 ONK786433:ONV786435 OXG786433:OXR786435 PHC786433:PHN786435 PQY786433:PRJ786435 QAU786433:QBF786435 QKQ786433:QLB786435 QUM786433:QUX786435 REI786433:RET786435 ROE786433:ROP786435 RYA786433:RYL786435 SHW786433:SIH786435 SRS786433:SSD786435 TBO786433:TBZ786435 TLK786433:TLV786435 TVG786433:TVR786435 UFC786433:UFN786435 UOY786433:UPJ786435 UYU786433:UZF786435 VIQ786433:VJB786435 VSM786433:VSX786435 WCI786433:WCT786435 WME786433:WMP786435 WWA786433:WWL786435 JO851969:JZ851971 TK851969:TV851971 ADG851969:ADR851971 ANC851969:ANN851971 AWY851969:AXJ851971 BGU851969:BHF851971 BQQ851969:BRB851971 CAM851969:CAX851971 CKI851969:CKT851971 CUE851969:CUP851971 DEA851969:DEL851971 DNW851969:DOH851971 DXS851969:DYD851971 EHO851969:EHZ851971 ERK851969:ERV851971 FBG851969:FBR851971 FLC851969:FLN851971 FUY851969:FVJ851971 GEU851969:GFF851971 GOQ851969:GPB851971 GYM851969:GYX851971 HII851969:HIT851971 HSE851969:HSP851971 ICA851969:ICL851971 ILW851969:IMH851971 IVS851969:IWD851971 JFO851969:JFZ851971 JPK851969:JPV851971 JZG851969:JZR851971 KJC851969:KJN851971 KSY851969:KTJ851971 LCU851969:LDF851971 LMQ851969:LNB851971 LWM851969:LWX851971 MGI851969:MGT851971 MQE851969:MQP851971 NAA851969:NAL851971 NJW851969:NKH851971 NTS851969:NUD851971 ODO851969:ODZ851971 ONK851969:ONV851971 OXG851969:OXR851971 PHC851969:PHN851971 PQY851969:PRJ851971 QAU851969:QBF851971 QKQ851969:QLB851971 QUM851969:QUX851971 REI851969:RET851971 ROE851969:ROP851971 RYA851969:RYL851971 SHW851969:SIH851971 SRS851969:SSD851971 TBO851969:TBZ851971 TLK851969:TLV851971 TVG851969:TVR851971 UFC851969:UFN851971 UOY851969:UPJ851971 UYU851969:UZF851971 VIQ851969:VJB851971 VSM851969:VSX851971 WCI851969:WCT851971 WME851969:WMP851971 WWA851969:WWL851971 JO917505:JZ917507 TK917505:TV917507 ADG917505:ADR917507 ANC917505:ANN917507 AWY917505:AXJ917507 BGU917505:BHF917507 BQQ917505:BRB917507 CAM917505:CAX917507 CKI917505:CKT917507 CUE917505:CUP917507 DEA917505:DEL917507 DNW917505:DOH917507 DXS917505:DYD917507 EHO917505:EHZ917507 ERK917505:ERV917507 FBG917505:FBR917507 FLC917505:FLN917507 FUY917505:FVJ917507 GEU917505:GFF917507 GOQ917505:GPB917507 GYM917505:GYX917507 HII917505:HIT917507 HSE917505:HSP917507 ICA917505:ICL917507 ILW917505:IMH917507 IVS917505:IWD917507 JFO917505:JFZ917507 JPK917505:JPV917507 JZG917505:JZR917507 KJC917505:KJN917507 KSY917505:KTJ917507 LCU917505:LDF917507 LMQ917505:LNB917507 LWM917505:LWX917507 MGI917505:MGT917507 MQE917505:MQP917507 NAA917505:NAL917507 NJW917505:NKH917507 NTS917505:NUD917507 ODO917505:ODZ917507 ONK917505:ONV917507 OXG917505:OXR917507 PHC917505:PHN917507 PQY917505:PRJ917507 QAU917505:QBF917507 QKQ917505:QLB917507 QUM917505:QUX917507 REI917505:RET917507 ROE917505:ROP917507 RYA917505:RYL917507 SHW917505:SIH917507 SRS917505:SSD917507 TBO917505:TBZ917507 TLK917505:TLV917507 TVG917505:TVR917507 UFC917505:UFN917507 UOY917505:UPJ917507 UYU917505:UZF917507 VIQ917505:VJB917507 VSM917505:VSX917507 WCI917505:WCT917507 WME917505:WMP917507 WWA917505:WWL917507 JO983041:JZ983043 TK983041:TV983043 ADG983041:ADR983043 ANC983041:ANN983043 AWY983041:AXJ983043 BGU983041:BHF983043 BQQ983041:BRB983043 CAM983041:CAX983043 CKI983041:CKT983043 CUE983041:CUP983043 DEA983041:DEL983043 DNW983041:DOH983043 DXS983041:DYD983043 EHO983041:EHZ983043 ERK983041:ERV983043 FBG983041:FBR983043 FLC983041:FLN983043 FUY983041:FVJ983043 GEU983041:GFF983043 GOQ983041:GPB983043 GYM983041:GYX983043 HII983041:HIT983043 HSE983041:HSP983043 ICA983041:ICL983043 ILW983041:IMH983043 IVS983041:IWD983043 JFO983041:JFZ983043 JPK983041:JPV983043 JZG983041:JZR983043 KJC983041:KJN983043 KSY983041:KTJ983043 LCU983041:LDF983043 LMQ983041:LNB983043 LWM983041:LWX983043 MGI983041:MGT983043 MQE983041:MQP983043 NAA983041:NAL983043 NJW983041:NKH983043 NTS983041:NUD983043 ODO983041:ODZ983043 ONK983041:ONV983043 OXG983041:OXR983043 PHC983041:PHN983043 PQY983041:PRJ983043 QAU983041:QBF983043 QKQ983041:QLB983043 QUM983041:QUX983043 REI983041:RET983043 ROE983041:ROP983043 RYA983041:RYL983043 SHW983041:SIH983043 SRS983041:SSD983043 TBO983041:TBZ983043 TLK983041:TLV983043 TVG983041:TVR983043 UFC983041:UFN983043 UOY983041:UPJ983043 UYU983041:UZF983043 VIQ983041:VJB983043 VSM983041:VSX983043 WCI983041:WCT983043 WME983041:WMP983043 WWA983041:WWL983043 Z262145:AJ262147 Z196609:AJ196611 Z131073:AJ131075 Z65537:AJ65539 Z983041:AJ983043 Z917505:AJ917507 Z851969:AJ851971 Z786433:AJ786435 Z720897:AJ720899 Z655361:AJ655363 Z589825:AJ589827 Z524289:AJ524291 Z458753:AJ458755 Z393217:AJ393219 Z327681:AJ32768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/>
    <dataValidation type="list" allowBlank="1" showInputMessage="1" showErrorMessage="1" sqref="AA8:AC46">
      <formula1>"int,numeric,varchar,date,datetime2(0),datetime2,varbinary(max)"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>
    <tabColor rgb="FFFFC000"/>
  </sheetPr>
  <dimension ref="A1:BE47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>
      <c r="A1" s="396" t="s">
        <v>78</v>
      </c>
      <c r="B1" s="397"/>
      <c r="C1" s="397"/>
      <c r="D1" s="397"/>
      <c r="E1" s="397"/>
      <c r="F1" s="397"/>
      <c r="G1" s="397"/>
      <c r="H1" s="398"/>
      <c r="I1" s="336" t="s">
        <v>79</v>
      </c>
      <c r="J1" s="337"/>
      <c r="K1" s="337"/>
      <c r="L1" s="337"/>
      <c r="M1" s="337"/>
      <c r="N1" s="337"/>
      <c r="O1" s="337"/>
      <c r="P1" s="337"/>
      <c r="Q1" s="338"/>
      <c r="R1" s="336" t="s">
        <v>80</v>
      </c>
      <c r="S1" s="337"/>
      <c r="T1" s="337"/>
      <c r="U1" s="337"/>
      <c r="V1" s="337"/>
      <c r="W1" s="337"/>
      <c r="X1" s="338"/>
      <c r="Y1" s="336" t="s">
        <v>135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8"/>
      <c r="AP1" s="407" t="s">
        <v>82</v>
      </c>
      <c r="AQ1" s="408"/>
      <c r="AR1" s="408"/>
      <c r="AS1" s="408"/>
      <c r="AT1" s="409"/>
      <c r="AU1" s="407" t="s">
        <v>83</v>
      </c>
      <c r="AV1" s="408"/>
      <c r="AW1" s="408"/>
      <c r="AX1" s="408"/>
      <c r="AY1" s="409"/>
      <c r="AZ1" s="407" t="s">
        <v>84</v>
      </c>
      <c r="BA1" s="408"/>
      <c r="BB1" s="408"/>
      <c r="BC1" s="408"/>
      <c r="BD1" s="409"/>
    </row>
    <row r="2" spans="1:57" s="17" customFormat="1" ht="14.4" customHeight="1">
      <c r="A2" s="399"/>
      <c r="B2" s="400"/>
      <c r="C2" s="400"/>
      <c r="D2" s="400"/>
      <c r="E2" s="400"/>
      <c r="F2" s="400"/>
      <c r="G2" s="400"/>
      <c r="H2" s="401"/>
      <c r="I2" s="366" t="s">
        <v>85</v>
      </c>
      <c r="J2" s="367"/>
      <c r="K2" s="367"/>
      <c r="L2" s="367"/>
      <c r="M2" s="367"/>
      <c r="N2" s="367"/>
      <c r="O2" s="367"/>
      <c r="P2" s="367"/>
      <c r="Q2" s="368"/>
      <c r="R2" s="366" t="str">
        <f ca="1">VLOOKUP(RIGHT(CELL("filename",A2),LEN(CELL("filename",A2))-FIND("]",CELL("filename",A2))),テーブル一覧!B:AD,22,FALSE)</f>
        <v>B.生産計画</v>
      </c>
      <c r="S2" s="367"/>
      <c r="T2" s="367"/>
      <c r="U2" s="367"/>
      <c r="V2" s="367"/>
      <c r="W2" s="367"/>
      <c r="X2" s="368"/>
      <c r="Y2" s="366" t="str">
        <f ca="1">VLOOKUP(RIGHT(CELL("filename",A2),LEN(CELL("filename",A2))-FIND("]",CELL("filename",A2))),テーブル一覧!B:AD,1,FALSE)</f>
        <v>生産指示明細情報（原反）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8"/>
      <c r="AP2" s="339"/>
      <c r="AQ2" s="340"/>
      <c r="AR2" s="340"/>
      <c r="AS2" s="340"/>
      <c r="AT2" s="341"/>
      <c r="AU2" s="58" t="s">
        <v>88</v>
      </c>
      <c r="AV2" s="59"/>
      <c r="AW2" s="59"/>
      <c r="AX2" s="59"/>
      <c r="AY2" s="60"/>
      <c r="AZ2" s="413" t="s">
        <v>89</v>
      </c>
      <c r="BA2" s="414"/>
      <c r="BB2" s="414"/>
      <c r="BC2" s="414"/>
      <c r="BD2" s="415"/>
    </row>
    <row r="3" spans="1:57" s="17" customFormat="1" ht="14.4" customHeight="1">
      <c r="A3" s="399"/>
      <c r="B3" s="400"/>
      <c r="C3" s="400"/>
      <c r="D3" s="400"/>
      <c r="E3" s="400"/>
      <c r="F3" s="400"/>
      <c r="G3" s="400"/>
      <c r="H3" s="401"/>
      <c r="I3" s="369"/>
      <c r="J3" s="370"/>
      <c r="K3" s="370"/>
      <c r="L3" s="370"/>
      <c r="M3" s="370"/>
      <c r="N3" s="370"/>
      <c r="O3" s="370"/>
      <c r="P3" s="370"/>
      <c r="Q3" s="371"/>
      <c r="R3" s="369"/>
      <c r="S3" s="370"/>
      <c r="T3" s="370"/>
      <c r="U3" s="370"/>
      <c r="V3" s="370"/>
      <c r="W3" s="370"/>
      <c r="X3" s="371"/>
      <c r="Y3" s="372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4"/>
      <c r="AP3" s="342"/>
      <c r="AQ3" s="343"/>
      <c r="AR3" s="343"/>
      <c r="AS3" s="343"/>
      <c r="AT3" s="344"/>
      <c r="AU3" s="410"/>
      <c r="AV3" s="411"/>
      <c r="AW3" s="411"/>
      <c r="AX3" s="411"/>
      <c r="AY3" s="412"/>
      <c r="AZ3" s="413"/>
      <c r="BA3" s="414"/>
      <c r="BB3" s="414"/>
      <c r="BC3" s="414"/>
      <c r="BD3" s="415"/>
    </row>
    <row r="4" spans="1:57" s="17" customFormat="1" ht="14.4" customHeight="1">
      <c r="A4" s="402"/>
      <c r="B4" s="403"/>
      <c r="C4" s="403"/>
      <c r="D4" s="403"/>
      <c r="E4" s="403"/>
      <c r="F4" s="403"/>
      <c r="G4" s="403"/>
      <c r="H4" s="404"/>
      <c r="I4" s="372"/>
      <c r="J4" s="373"/>
      <c r="K4" s="373"/>
      <c r="L4" s="373"/>
      <c r="M4" s="373"/>
      <c r="N4" s="373"/>
      <c r="O4" s="373"/>
      <c r="P4" s="373"/>
      <c r="Q4" s="374"/>
      <c r="R4" s="372"/>
      <c r="S4" s="373"/>
      <c r="T4" s="373"/>
      <c r="U4" s="373"/>
      <c r="V4" s="373"/>
      <c r="W4" s="373"/>
      <c r="X4" s="374"/>
      <c r="Y4" s="41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t_seisan_shiji_gentan_m</v>
      </c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8"/>
      <c r="AP4" s="342"/>
      <c r="AQ4" s="343"/>
      <c r="AR4" s="343"/>
      <c r="AS4" s="343"/>
      <c r="AT4" s="344"/>
      <c r="AU4" s="410"/>
      <c r="AV4" s="411"/>
      <c r="AW4" s="411"/>
      <c r="AX4" s="411"/>
      <c r="AY4" s="412"/>
      <c r="AZ4" s="413"/>
      <c r="BA4" s="414"/>
      <c r="BB4" s="414"/>
      <c r="BC4" s="414"/>
      <c r="BD4" s="415"/>
    </row>
    <row r="6" spans="1:57" ht="14.4" customHeight="1">
      <c r="A6" s="405" t="s">
        <v>90</v>
      </c>
      <c r="B6" s="386" t="s">
        <v>136</v>
      </c>
      <c r="C6" s="394"/>
      <c r="D6" s="394"/>
      <c r="E6" s="394"/>
      <c r="F6" s="394"/>
      <c r="G6" s="394"/>
      <c r="H6" s="387"/>
      <c r="I6" s="386" t="s">
        <v>137</v>
      </c>
      <c r="J6" s="394"/>
      <c r="K6" s="394"/>
      <c r="L6" s="394"/>
      <c r="M6" s="394"/>
      <c r="N6" s="394"/>
      <c r="O6" s="394"/>
      <c r="P6" s="394"/>
      <c r="Q6" s="387"/>
      <c r="R6" s="386" t="s">
        <v>138</v>
      </c>
      <c r="S6" s="394"/>
      <c r="T6" s="394"/>
      <c r="U6" s="394"/>
      <c r="V6" s="394"/>
      <c r="W6" s="394"/>
      <c r="X6" s="387"/>
      <c r="Y6" s="386" t="s">
        <v>139</v>
      </c>
      <c r="Z6" s="387"/>
      <c r="AA6" s="386" t="s">
        <v>140</v>
      </c>
      <c r="AB6" s="394"/>
      <c r="AC6" s="387"/>
      <c r="AD6" s="390" t="s">
        <v>141</v>
      </c>
      <c r="AE6" s="392" t="s">
        <v>142</v>
      </c>
      <c r="AF6" s="390" t="s">
        <v>143</v>
      </c>
      <c r="AG6" s="390" t="s">
        <v>144</v>
      </c>
      <c r="AH6" s="390" t="s">
        <v>145</v>
      </c>
      <c r="AI6" s="383" t="s">
        <v>146</v>
      </c>
      <c r="AJ6" s="384"/>
      <c r="AK6" s="384"/>
      <c r="AL6" s="384"/>
      <c r="AM6" s="384"/>
      <c r="AN6" s="384"/>
      <c r="AO6" s="384"/>
      <c r="AP6" s="384"/>
      <c r="AQ6" s="384"/>
      <c r="AR6" s="385"/>
      <c r="AS6" s="386" t="s">
        <v>147</v>
      </c>
      <c r="AT6" s="394"/>
      <c r="AU6" s="394"/>
      <c r="AV6" s="394"/>
      <c r="AW6" s="394"/>
      <c r="AX6" s="394"/>
      <c r="AY6" s="394"/>
      <c r="AZ6" s="394"/>
      <c r="BA6" s="394"/>
      <c r="BB6" s="394"/>
      <c r="BC6" s="394"/>
      <c r="BD6" s="387"/>
    </row>
    <row r="7" spans="1:57" ht="14.4" customHeight="1">
      <c r="A7" s="406"/>
      <c r="B7" s="388"/>
      <c r="C7" s="395"/>
      <c r="D7" s="395"/>
      <c r="E7" s="395"/>
      <c r="F7" s="395"/>
      <c r="G7" s="395"/>
      <c r="H7" s="389"/>
      <c r="I7" s="388"/>
      <c r="J7" s="395"/>
      <c r="K7" s="395"/>
      <c r="L7" s="395"/>
      <c r="M7" s="395"/>
      <c r="N7" s="395"/>
      <c r="O7" s="395"/>
      <c r="P7" s="395"/>
      <c r="Q7" s="389"/>
      <c r="R7" s="388"/>
      <c r="S7" s="395"/>
      <c r="T7" s="395"/>
      <c r="U7" s="395"/>
      <c r="V7" s="395"/>
      <c r="W7" s="395"/>
      <c r="X7" s="389"/>
      <c r="Y7" s="388"/>
      <c r="Z7" s="389"/>
      <c r="AA7" s="388"/>
      <c r="AB7" s="395"/>
      <c r="AC7" s="389"/>
      <c r="AD7" s="391"/>
      <c r="AE7" s="393"/>
      <c r="AF7" s="391"/>
      <c r="AG7" s="391"/>
      <c r="AH7" s="39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88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89"/>
    </row>
    <row r="8" spans="1:57" ht="14.4" customHeight="1">
      <c r="A8" s="5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23"/>
      <c r="P8" s="23"/>
      <c r="Q8" s="37"/>
      <c r="R8" s="19" t="s">
        <v>148</v>
      </c>
      <c r="S8" s="23"/>
      <c r="T8" s="23"/>
      <c r="U8" s="23"/>
      <c r="V8" s="23"/>
      <c r="W8" s="23"/>
      <c r="X8" s="24"/>
      <c r="Y8" s="419" t="s">
        <v>150</v>
      </c>
      <c r="Z8" s="420"/>
      <c r="AA8" s="421" t="s">
        <v>151</v>
      </c>
      <c r="AB8" s="422"/>
      <c r="AC8" s="423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" customHeight="1">
      <c r="A9" s="50">
        <f>IF(B9="","",COUNTA($B$8:B9))</f>
        <v>2</v>
      </c>
      <c r="B9" s="25" t="s">
        <v>338</v>
      </c>
      <c r="C9" s="26"/>
      <c r="D9" s="26"/>
      <c r="E9" s="26"/>
      <c r="F9" s="26"/>
      <c r="G9" s="26"/>
      <c r="H9" s="39"/>
      <c r="I9" s="31" t="s">
        <v>339</v>
      </c>
      <c r="J9" s="23"/>
      <c r="K9" s="23"/>
      <c r="L9" s="23"/>
      <c r="M9" s="23"/>
      <c r="N9" s="23"/>
      <c r="O9" s="23"/>
      <c r="P9" s="23"/>
      <c r="Q9" s="37"/>
      <c r="R9" s="25" t="s">
        <v>338</v>
      </c>
      <c r="S9" s="23"/>
      <c r="T9" s="23"/>
      <c r="U9" s="23"/>
      <c r="V9" s="23"/>
      <c r="W9" s="23"/>
      <c r="X9" s="24"/>
      <c r="Y9" s="419" t="s">
        <v>155</v>
      </c>
      <c r="Z9" s="420"/>
      <c r="AA9" s="421" t="s">
        <v>156</v>
      </c>
      <c r="AB9" s="422"/>
      <c r="AC9" s="423"/>
      <c r="AD9" s="27">
        <v>3</v>
      </c>
      <c r="AE9" s="29"/>
      <c r="AF9" s="29">
        <v>2</v>
      </c>
      <c r="AG9" s="29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385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" customHeight="1">
      <c r="A10" s="50">
        <f>IF(B10="","",COUNTA($B$8:B10))</f>
        <v>3</v>
      </c>
      <c r="B10" s="19" t="s">
        <v>197</v>
      </c>
      <c r="C10" s="20"/>
      <c r="D10" s="20"/>
      <c r="E10" s="20"/>
      <c r="F10" s="20"/>
      <c r="G10" s="20"/>
      <c r="H10" s="39"/>
      <c r="I10" s="31" t="s">
        <v>198</v>
      </c>
      <c r="J10" s="23"/>
      <c r="K10" s="23"/>
      <c r="L10" s="23"/>
      <c r="M10" s="23"/>
      <c r="N10" s="23"/>
      <c r="O10" s="23"/>
      <c r="P10" s="23"/>
      <c r="Q10" s="24"/>
      <c r="R10" s="19" t="s">
        <v>197</v>
      </c>
      <c r="S10" s="23"/>
      <c r="T10" s="23"/>
      <c r="U10" s="23"/>
      <c r="V10" s="23"/>
      <c r="W10" s="23"/>
      <c r="X10" s="24"/>
      <c r="Y10" s="419" t="s">
        <v>150</v>
      </c>
      <c r="Z10" s="420"/>
      <c r="AA10" s="421" t="s">
        <v>151</v>
      </c>
      <c r="AB10" s="422"/>
      <c r="AC10" s="423"/>
      <c r="AD10" s="27">
        <v>5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" customHeight="1">
      <c r="A11" s="50">
        <f>IF(B11="","",COUNTA($B$8:B11))</f>
        <v>4</v>
      </c>
      <c r="B11" s="22" t="s">
        <v>199</v>
      </c>
      <c r="C11" s="20"/>
      <c r="D11" s="20"/>
      <c r="E11" s="20"/>
      <c r="F11" s="20"/>
      <c r="G11" s="20"/>
      <c r="H11" s="39"/>
      <c r="I11" s="31" t="s">
        <v>200</v>
      </c>
      <c r="J11" s="23"/>
      <c r="K11" s="23"/>
      <c r="L11" s="23"/>
      <c r="M11" s="23"/>
      <c r="N11" s="23"/>
      <c r="O11" s="23"/>
      <c r="P11" s="23"/>
      <c r="Q11" s="24"/>
      <c r="R11" s="19" t="s">
        <v>199</v>
      </c>
      <c r="S11" s="23"/>
      <c r="T11" s="23"/>
      <c r="U11" s="23"/>
      <c r="V11" s="23"/>
      <c r="W11" s="23"/>
      <c r="X11" s="24"/>
      <c r="Y11" s="419" t="s">
        <v>150</v>
      </c>
      <c r="Z11" s="420"/>
      <c r="AA11" s="421" t="s">
        <v>151</v>
      </c>
      <c r="AB11" s="422"/>
      <c r="AC11" s="423"/>
      <c r="AD11" s="27">
        <v>20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" customHeight="1">
      <c r="A12" s="50">
        <f>IF(B12="","",COUNTA($B$8:B12))</f>
        <v>5</v>
      </c>
      <c r="B12" s="19" t="s">
        <v>201</v>
      </c>
      <c r="C12" s="20"/>
      <c r="D12" s="20"/>
      <c r="E12" s="20"/>
      <c r="F12" s="20"/>
      <c r="G12" s="20"/>
      <c r="H12" s="39"/>
      <c r="I12" s="31" t="s">
        <v>202</v>
      </c>
      <c r="J12" s="23"/>
      <c r="K12" s="23"/>
      <c r="L12" s="23"/>
      <c r="M12" s="23"/>
      <c r="N12" s="23"/>
      <c r="O12" s="23"/>
      <c r="P12" s="23"/>
      <c r="Q12" s="24"/>
      <c r="R12" s="19" t="s">
        <v>201</v>
      </c>
      <c r="S12" s="23"/>
      <c r="T12" s="23"/>
      <c r="U12" s="23"/>
      <c r="V12" s="182"/>
      <c r="W12" s="182"/>
      <c r="X12" s="180"/>
      <c r="Y12" s="445" t="s">
        <v>150</v>
      </c>
      <c r="Z12" s="446"/>
      <c r="AA12" s="457" t="s">
        <v>151</v>
      </c>
      <c r="AB12" s="458"/>
      <c r="AC12" s="459"/>
      <c r="AD12" s="184">
        <v>30</v>
      </c>
      <c r="AE12" s="217"/>
      <c r="AF12" s="217"/>
      <c r="AG12" s="217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4.4" customHeight="1">
      <c r="A13" s="50">
        <f>IF(B13="","",COUNTA($B$8:B13))</f>
        <v>6</v>
      </c>
      <c r="B13" s="25" t="s">
        <v>203</v>
      </c>
      <c r="C13" s="26"/>
      <c r="D13" s="26"/>
      <c r="E13" s="26"/>
      <c r="F13" s="26"/>
      <c r="G13" s="26"/>
      <c r="H13" s="39"/>
      <c r="I13" s="31" t="s">
        <v>1504</v>
      </c>
      <c r="J13" s="23"/>
      <c r="K13" s="23"/>
      <c r="L13" s="23"/>
      <c r="M13" s="23"/>
      <c r="N13" s="23"/>
      <c r="O13" s="23"/>
      <c r="P13" s="23"/>
      <c r="Q13" s="37"/>
      <c r="R13" s="25" t="s">
        <v>203</v>
      </c>
      <c r="S13" s="23"/>
      <c r="T13" s="23"/>
      <c r="U13" s="23"/>
      <c r="V13" s="182"/>
      <c r="W13" s="182"/>
      <c r="X13" s="180"/>
      <c r="Y13" s="445" t="s">
        <v>1487</v>
      </c>
      <c r="Z13" s="446"/>
      <c r="AA13" s="457" t="s">
        <v>1488</v>
      </c>
      <c r="AB13" s="458"/>
      <c r="AC13" s="459"/>
      <c r="AD13" s="184">
        <v>5</v>
      </c>
      <c r="AE13" s="217">
        <v>2</v>
      </c>
      <c r="AF13" s="217"/>
      <c r="AG13" s="217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10" t="s">
        <v>1420</v>
      </c>
    </row>
    <row r="14" spans="1:57" ht="14.4" customHeight="1">
      <c r="A14" s="50">
        <f>IF(B14="","",COUNTA($B$8:B14))</f>
        <v>7</v>
      </c>
      <c r="B14" s="25" t="s">
        <v>205</v>
      </c>
      <c r="C14" s="26"/>
      <c r="D14" s="26"/>
      <c r="E14" s="26"/>
      <c r="F14" s="26"/>
      <c r="G14" s="26"/>
      <c r="H14" s="39"/>
      <c r="I14" s="31" t="s">
        <v>1509</v>
      </c>
      <c r="J14" s="23"/>
      <c r="K14" s="23"/>
      <c r="L14" s="23"/>
      <c r="M14" s="23"/>
      <c r="N14" s="23"/>
      <c r="O14" s="23"/>
      <c r="P14" s="23"/>
      <c r="Q14" s="37"/>
      <c r="R14" s="25" t="s">
        <v>205</v>
      </c>
      <c r="S14" s="23"/>
      <c r="T14" s="23"/>
      <c r="U14" s="23"/>
      <c r="V14" s="182"/>
      <c r="W14" s="182"/>
      <c r="X14" s="180"/>
      <c r="Y14" s="445" t="s">
        <v>1487</v>
      </c>
      <c r="Z14" s="446"/>
      <c r="AA14" s="457" t="s">
        <v>1488</v>
      </c>
      <c r="AB14" s="458"/>
      <c r="AC14" s="459"/>
      <c r="AD14" s="184">
        <v>4</v>
      </c>
      <c r="AE14" s="217"/>
      <c r="AF14" s="217"/>
      <c r="AG14" s="217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  <c r="BE14" s="110" t="s">
        <v>1420</v>
      </c>
    </row>
    <row r="15" spans="1:57" ht="14.4" customHeight="1">
      <c r="A15" s="50">
        <f>IF(B15="","",COUNTA($B$8:B15))</f>
        <v>8</v>
      </c>
      <c r="B15" s="25" t="s">
        <v>208</v>
      </c>
      <c r="C15" s="26"/>
      <c r="D15" s="26"/>
      <c r="E15" s="26"/>
      <c r="F15" s="26"/>
      <c r="G15" s="26"/>
      <c r="H15" s="39"/>
      <c r="I15" s="31" t="s">
        <v>1503</v>
      </c>
      <c r="J15" s="23"/>
      <c r="K15" s="23"/>
      <c r="L15" s="23"/>
      <c r="M15" s="23"/>
      <c r="N15" s="23"/>
      <c r="O15" s="23"/>
      <c r="P15" s="23"/>
      <c r="Q15" s="37"/>
      <c r="R15" s="25" t="s">
        <v>208</v>
      </c>
      <c r="S15" s="23"/>
      <c r="T15" s="23"/>
      <c r="U15" s="23"/>
      <c r="V15" s="182"/>
      <c r="W15" s="182"/>
      <c r="X15" s="180"/>
      <c r="Y15" s="445" t="s">
        <v>1487</v>
      </c>
      <c r="Z15" s="446"/>
      <c r="AA15" s="457" t="s">
        <v>1488</v>
      </c>
      <c r="AB15" s="458"/>
      <c r="AC15" s="459"/>
      <c r="AD15" s="184">
        <v>5</v>
      </c>
      <c r="AE15" s="217"/>
      <c r="AF15" s="217"/>
      <c r="AG15" s="217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" customHeight="1">
      <c r="A16" s="50">
        <f>IF(B16="","",COUNTA($B$8:B16))</f>
        <v>9</v>
      </c>
      <c r="B16" s="22" t="s">
        <v>1429</v>
      </c>
      <c r="C16" s="20"/>
      <c r="D16" s="20"/>
      <c r="E16" s="20"/>
      <c r="F16" s="20"/>
      <c r="G16" s="20"/>
      <c r="H16" s="24"/>
      <c r="I16" s="31" t="s">
        <v>1500</v>
      </c>
      <c r="J16" s="23"/>
      <c r="K16" s="23"/>
      <c r="L16" s="23"/>
      <c r="M16" s="23"/>
      <c r="N16" s="23"/>
      <c r="O16" s="23"/>
      <c r="P16" s="23"/>
      <c r="Q16" s="37"/>
      <c r="R16" s="22" t="s">
        <v>1486</v>
      </c>
      <c r="S16" s="23"/>
      <c r="T16" s="23"/>
      <c r="U16" s="23"/>
      <c r="V16" s="182"/>
      <c r="W16" s="182"/>
      <c r="X16" s="180"/>
      <c r="Y16" s="445" t="s">
        <v>1487</v>
      </c>
      <c r="Z16" s="446"/>
      <c r="AA16" s="457" t="s">
        <v>1488</v>
      </c>
      <c r="AB16" s="458"/>
      <c r="AC16" s="459"/>
      <c r="AD16" s="184">
        <v>5</v>
      </c>
      <c r="AE16" s="217"/>
      <c r="AF16" s="217"/>
      <c r="AG16" s="217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" customHeight="1">
      <c r="A17" s="50">
        <f>IF(B17="","",COUNTA($B$8:B17))</f>
        <v>10</v>
      </c>
      <c r="B17" s="19" t="s">
        <v>162</v>
      </c>
      <c r="C17" s="20"/>
      <c r="D17" s="20"/>
      <c r="E17" s="20"/>
      <c r="F17" s="20"/>
      <c r="G17" s="20"/>
      <c r="H17" s="24"/>
      <c r="I17" s="31" t="s">
        <v>163</v>
      </c>
      <c r="J17" s="23"/>
      <c r="K17" s="23"/>
      <c r="L17" s="23"/>
      <c r="M17" s="23"/>
      <c r="N17" s="23"/>
      <c r="O17" s="38"/>
      <c r="P17" s="23"/>
      <c r="Q17" s="24"/>
      <c r="R17" s="19" t="s">
        <v>164</v>
      </c>
      <c r="S17" s="23"/>
      <c r="T17" s="23"/>
      <c r="U17" s="23"/>
      <c r="V17" s="182"/>
      <c r="W17" s="182"/>
      <c r="X17" s="180"/>
      <c r="Y17" s="445" t="s">
        <v>150</v>
      </c>
      <c r="Z17" s="446"/>
      <c r="AA17" s="457" t="s">
        <v>151</v>
      </c>
      <c r="AB17" s="458"/>
      <c r="AC17" s="459"/>
      <c r="AD17" s="184">
        <v>4</v>
      </c>
      <c r="AE17" s="217"/>
      <c r="AF17" s="217"/>
      <c r="AG17" s="217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 t="s">
        <v>410</v>
      </c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>
      <c r="A18" s="50">
        <f>IF(B18="","",COUNTA($B$8:B18))</f>
        <v>11</v>
      </c>
      <c r="B18" s="19" t="s">
        <v>249</v>
      </c>
      <c r="C18" s="20"/>
      <c r="D18" s="20"/>
      <c r="E18" s="20"/>
      <c r="F18" s="20"/>
      <c r="G18" s="20"/>
      <c r="H18" s="24"/>
      <c r="I18" s="31" t="s">
        <v>250</v>
      </c>
      <c r="J18" s="23"/>
      <c r="K18" s="23"/>
      <c r="L18" s="23"/>
      <c r="M18" s="23"/>
      <c r="N18" s="23"/>
      <c r="O18" s="23"/>
      <c r="P18" s="23"/>
      <c r="Q18" s="37"/>
      <c r="R18" s="19" t="s">
        <v>249</v>
      </c>
      <c r="S18" s="23"/>
      <c r="T18" s="23"/>
      <c r="U18" s="23"/>
      <c r="V18" s="23"/>
      <c r="W18" s="23"/>
      <c r="X18" s="24"/>
      <c r="Y18" s="419" t="s">
        <v>150</v>
      </c>
      <c r="Z18" s="420"/>
      <c r="AA18" s="421" t="s">
        <v>151</v>
      </c>
      <c r="AB18" s="422"/>
      <c r="AC18" s="423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>
      <c r="A19" s="70">
        <f>IF(B19="","",COUNTA($B$8:B19))</f>
        <v>12</v>
      </c>
      <c r="B19" s="19" t="s">
        <v>251</v>
      </c>
      <c r="C19" s="20"/>
      <c r="D19" s="20"/>
      <c r="E19" s="20"/>
      <c r="F19" s="20"/>
      <c r="G19" s="20"/>
      <c r="H19" s="24"/>
      <c r="I19" s="31" t="s">
        <v>252</v>
      </c>
      <c r="J19" s="23"/>
      <c r="K19" s="23"/>
      <c r="L19" s="23"/>
      <c r="M19" s="23"/>
      <c r="N19" s="23"/>
      <c r="O19" s="23"/>
      <c r="P19" s="23"/>
      <c r="Q19" s="37"/>
      <c r="R19" s="19" t="s">
        <v>251</v>
      </c>
      <c r="S19" s="23"/>
      <c r="T19" s="23"/>
      <c r="U19" s="23"/>
      <c r="V19" s="23"/>
      <c r="W19" s="23"/>
      <c r="X19" s="24"/>
      <c r="Y19" s="419" t="s">
        <v>150</v>
      </c>
      <c r="Z19" s="420"/>
      <c r="AA19" s="421" t="s">
        <v>151</v>
      </c>
      <c r="AB19" s="422"/>
      <c r="AC19" s="423"/>
      <c r="AD19" s="27">
        <v>4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>
      <c r="A20" s="50">
        <f>IF(B20="","",COUNTA($B$8:B20))</f>
        <v>13</v>
      </c>
      <c r="B20" s="19" t="s">
        <v>253</v>
      </c>
      <c r="C20" s="20"/>
      <c r="D20" s="20"/>
      <c r="E20" s="20"/>
      <c r="F20" s="20"/>
      <c r="G20" s="20"/>
      <c r="H20" s="24"/>
      <c r="I20" s="31" t="s">
        <v>254</v>
      </c>
      <c r="J20" s="23"/>
      <c r="K20" s="23"/>
      <c r="L20" s="23"/>
      <c r="M20" s="23"/>
      <c r="N20" s="23"/>
      <c r="O20" s="23"/>
      <c r="P20" s="23"/>
      <c r="Q20" s="37"/>
      <c r="R20" s="19" t="s">
        <v>253</v>
      </c>
      <c r="S20" s="23"/>
      <c r="T20" s="23"/>
      <c r="U20" s="23"/>
      <c r="V20" s="23"/>
      <c r="W20" s="23"/>
      <c r="X20" s="24"/>
      <c r="Y20" s="419" t="s">
        <v>150</v>
      </c>
      <c r="Z20" s="420"/>
      <c r="AA20" s="421" t="s">
        <v>151</v>
      </c>
      <c r="AB20" s="422"/>
      <c r="AC20" s="423"/>
      <c r="AD20" s="27">
        <v>10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>
      <c r="A21" s="50">
        <f>IF(B21="","",COUNTA($B$8:B21))</f>
        <v>14</v>
      </c>
      <c r="B21" s="19" t="s">
        <v>255</v>
      </c>
      <c r="C21" s="20"/>
      <c r="D21" s="20"/>
      <c r="E21" s="20"/>
      <c r="F21" s="20"/>
      <c r="G21" s="20"/>
      <c r="H21" s="24"/>
      <c r="I21" s="31" t="s">
        <v>256</v>
      </c>
      <c r="J21" s="23"/>
      <c r="K21" s="23"/>
      <c r="L21" s="23"/>
      <c r="M21" s="23"/>
      <c r="N21" s="23"/>
      <c r="O21" s="23"/>
      <c r="P21" s="23"/>
      <c r="Q21" s="37"/>
      <c r="R21" s="19" t="s">
        <v>255</v>
      </c>
      <c r="S21" s="23"/>
      <c r="T21" s="23"/>
      <c r="U21" s="23"/>
      <c r="V21" s="23"/>
      <c r="W21" s="23"/>
      <c r="X21" s="24"/>
      <c r="Y21" s="419" t="s">
        <v>150</v>
      </c>
      <c r="Z21" s="420"/>
      <c r="AA21" s="421" t="s">
        <v>151</v>
      </c>
      <c r="AB21" s="422"/>
      <c r="AC21" s="423"/>
      <c r="AD21" s="27">
        <v>10</v>
      </c>
      <c r="AE21" s="29"/>
      <c r="AF21" s="29"/>
      <c r="AG21" s="29"/>
      <c r="AH21" s="40"/>
      <c r="AI21" s="40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>
      <c r="A22" s="50">
        <f>IF(B22="","",COUNTA($B$8:B22))</f>
        <v>15</v>
      </c>
      <c r="B22" s="19" t="s">
        <v>257</v>
      </c>
      <c r="C22" s="20"/>
      <c r="D22" s="20"/>
      <c r="E22" s="20"/>
      <c r="F22" s="20"/>
      <c r="G22" s="20"/>
      <c r="H22" s="24"/>
      <c r="I22" s="31" t="s">
        <v>258</v>
      </c>
      <c r="J22" s="23"/>
      <c r="K22" s="23"/>
      <c r="L22" s="23"/>
      <c r="M22" s="23"/>
      <c r="N22" s="23"/>
      <c r="O22" s="23"/>
      <c r="P22" s="23"/>
      <c r="Q22" s="37"/>
      <c r="R22" s="19" t="s">
        <v>257</v>
      </c>
      <c r="S22" s="23"/>
      <c r="T22" s="23"/>
      <c r="U22" s="23"/>
      <c r="V22" s="23"/>
      <c r="W22" s="23"/>
      <c r="X22" s="24"/>
      <c r="Y22" s="419" t="s">
        <v>169</v>
      </c>
      <c r="Z22" s="420"/>
      <c r="AA22" s="421" t="s">
        <v>243</v>
      </c>
      <c r="AB22" s="422"/>
      <c r="AC22" s="423"/>
      <c r="AD22" s="51"/>
      <c r="AE22" s="29"/>
      <c r="AF22" s="29"/>
      <c r="AG22" s="29"/>
      <c r="AH22" s="28"/>
      <c r="AI22" s="28"/>
      <c r="AJ22" s="28"/>
      <c r="AK22" s="28"/>
      <c r="AL22" s="40"/>
      <c r="AM22" s="40"/>
      <c r="AN22" s="40"/>
      <c r="AO22" s="41"/>
      <c r="AP22" s="41"/>
      <c r="AQ22" s="41"/>
      <c r="AR22" s="41"/>
      <c r="AS22" s="42"/>
      <c r="AT22" s="43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>
      <c r="A23" s="50">
        <f>IF(B23="","",COUNTA($B$8:B23))</f>
        <v>16</v>
      </c>
      <c r="B23" s="19" t="s">
        <v>259</v>
      </c>
      <c r="C23" s="20"/>
      <c r="D23" s="20"/>
      <c r="E23" s="20"/>
      <c r="F23" s="20"/>
      <c r="G23" s="20"/>
      <c r="H23" s="24"/>
      <c r="I23" s="31" t="s">
        <v>260</v>
      </c>
      <c r="J23" s="23"/>
      <c r="K23" s="23"/>
      <c r="L23" s="23"/>
      <c r="M23" s="23"/>
      <c r="N23" s="23"/>
      <c r="O23" s="23"/>
      <c r="P23" s="23"/>
      <c r="Q23" s="37"/>
      <c r="R23" s="19" t="s">
        <v>259</v>
      </c>
      <c r="S23" s="23"/>
      <c r="T23" s="23"/>
      <c r="U23" s="23"/>
      <c r="V23" s="23"/>
      <c r="W23" s="23"/>
      <c r="X23" s="24"/>
      <c r="Y23" s="419" t="s">
        <v>150</v>
      </c>
      <c r="Z23" s="420"/>
      <c r="AA23" s="421" t="s">
        <v>151</v>
      </c>
      <c r="AB23" s="422"/>
      <c r="AC23" s="423"/>
      <c r="AD23" s="27">
        <v>10</v>
      </c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>
      <c r="A24" s="50">
        <f>IF(B24="","",COUNTA($B$8:B24))</f>
        <v>17</v>
      </c>
      <c r="B24" s="19" t="s">
        <v>261</v>
      </c>
      <c r="C24" s="20"/>
      <c r="D24" s="20"/>
      <c r="E24" s="20"/>
      <c r="F24" s="20"/>
      <c r="G24" s="20"/>
      <c r="H24" s="24"/>
      <c r="I24" s="31" t="s">
        <v>262</v>
      </c>
      <c r="J24" s="23"/>
      <c r="K24" s="23"/>
      <c r="L24" s="23"/>
      <c r="M24" s="23"/>
      <c r="N24" s="23"/>
      <c r="O24" s="23"/>
      <c r="P24" s="23"/>
      <c r="Q24" s="37"/>
      <c r="R24" s="19" t="s">
        <v>261</v>
      </c>
      <c r="S24" s="23"/>
      <c r="T24" s="23"/>
      <c r="U24" s="23"/>
      <c r="V24" s="23"/>
      <c r="W24" s="23"/>
      <c r="X24" s="24"/>
      <c r="Y24" s="419" t="s">
        <v>150</v>
      </c>
      <c r="Z24" s="420"/>
      <c r="AA24" s="421" t="s">
        <v>151</v>
      </c>
      <c r="AB24" s="422"/>
      <c r="AC24" s="423"/>
      <c r="AD24" s="51">
        <v>10</v>
      </c>
      <c r="AE24" s="29"/>
      <c r="AF24" s="29"/>
      <c r="AG24" s="29"/>
      <c r="AH24" s="40"/>
      <c r="AI24" s="40"/>
      <c r="AJ24" s="40"/>
      <c r="AK24" s="40"/>
      <c r="AL24" s="40"/>
      <c r="AM24" s="40"/>
      <c r="AN24" s="40"/>
      <c r="AO24" s="41"/>
      <c r="AP24" s="41"/>
      <c r="AQ24" s="41"/>
      <c r="AR24" s="41"/>
      <c r="AS24" s="42"/>
      <c r="AT24" s="43"/>
      <c r="AU24" s="48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" customHeight="1">
      <c r="A25" s="50">
        <f>IF(B25="","",COUNTA($B$8:B25))</f>
        <v>18</v>
      </c>
      <c r="B25" s="19" t="s">
        <v>263</v>
      </c>
      <c r="C25" s="20"/>
      <c r="D25" s="20"/>
      <c r="E25" s="20"/>
      <c r="F25" s="20"/>
      <c r="G25" s="20"/>
      <c r="H25" s="24"/>
      <c r="I25" s="31" t="s">
        <v>264</v>
      </c>
      <c r="J25" s="23"/>
      <c r="K25" s="23"/>
      <c r="L25" s="23"/>
      <c r="M25" s="23"/>
      <c r="N25" s="23"/>
      <c r="O25" s="23"/>
      <c r="P25" s="23"/>
      <c r="Q25" s="37"/>
      <c r="R25" s="22" t="s">
        <v>263</v>
      </c>
      <c r="S25" s="23"/>
      <c r="T25" s="23"/>
      <c r="U25" s="23"/>
      <c r="V25" s="23"/>
      <c r="W25" s="23"/>
      <c r="X25" s="24"/>
      <c r="Y25" s="419" t="s">
        <v>169</v>
      </c>
      <c r="Z25" s="420"/>
      <c r="AA25" s="421" t="s">
        <v>243</v>
      </c>
      <c r="AB25" s="422"/>
      <c r="AC25" s="423"/>
      <c r="AD25" s="51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" customHeight="1">
      <c r="A26" s="5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419"/>
      <c r="Z26" s="420"/>
      <c r="AA26" s="421"/>
      <c r="AB26" s="422"/>
      <c r="AC26" s="423"/>
      <c r="AD26" s="27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" customHeight="1">
      <c r="A27" s="5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419"/>
      <c r="Z27" s="420"/>
      <c r="AA27" s="421"/>
      <c r="AB27" s="422"/>
      <c r="AC27" s="423"/>
      <c r="AD27" s="51"/>
      <c r="AE27" s="29"/>
      <c r="AF27" s="29"/>
      <c r="AG27" s="29"/>
      <c r="AH27" s="40"/>
      <c r="AI27" s="40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" customHeight="1">
      <c r="A28" s="5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419"/>
      <c r="Z28" s="420"/>
      <c r="AA28" s="421"/>
      <c r="AB28" s="422"/>
      <c r="AC28" s="423"/>
      <c r="AD28" s="51"/>
      <c r="AE28" s="29"/>
      <c r="AF28" s="29"/>
      <c r="AG28" s="29"/>
      <c r="AH28" s="28"/>
      <c r="AI28" s="28"/>
      <c r="AJ28" s="28"/>
      <c r="AK28" s="28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419"/>
      <c r="Z29" s="420"/>
      <c r="AA29" s="421"/>
      <c r="AB29" s="422"/>
      <c r="AC29" s="423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48"/>
      <c r="AV29" s="48"/>
      <c r="AW29" s="48"/>
      <c r="AX29" s="48"/>
      <c r="AY29" s="48"/>
      <c r="AZ29" s="48"/>
      <c r="BA29" s="48"/>
      <c r="BB29" s="48"/>
      <c r="BC29" s="48"/>
      <c r="BD29" s="66"/>
    </row>
    <row r="30" spans="1:56" ht="14.4" customHeight="1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419"/>
      <c r="Z30" s="420"/>
      <c r="AA30" s="421"/>
      <c r="AB30" s="422"/>
      <c r="AC30" s="423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419"/>
      <c r="Z31" s="420"/>
      <c r="AA31" s="421"/>
      <c r="AB31" s="422"/>
      <c r="AC31" s="423"/>
      <c r="AD31" s="51"/>
      <c r="AE31" s="29"/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>
      <c r="A32" s="5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419"/>
      <c r="Z32" s="420"/>
      <c r="AA32" s="421"/>
      <c r="AB32" s="422"/>
      <c r="AC32" s="423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>
      <c r="A33" s="5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419"/>
      <c r="Z33" s="420"/>
      <c r="AA33" s="421"/>
      <c r="AB33" s="422"/>
      <c r="AC33" s="423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" customHeight="1">
      <c r="A34" s="5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419"/>
      <c r="Z34" s="420"/>
      <c r="AA34" s="421"/>
      <c r="AB34" s="422"/>
      <c r="AC34" s="423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" customHeight="1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419"/>
      <c r="Z35" s="420"/>
      <c r="AA35" s="421"/>
      <c r="AB35" s="422"/>
      <c r="AC35" s="423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419"/>
      <c r="Z36" s="420"/>
      <c r="AA36" s="421"/>
      <c r="AB36" s="422"/>
      <c r="AC36" s="423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419"/>
      <c r="Z37" s="420"/>
      <c r="AA37" s="421"/>
      <c r="AB37" s="422"/>
      <c r="AC37" s="423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419"/>
      <c r="Z38" s="420"/>
      <c r="AA38" s="421"/>
      <c r="AB38" s="422"/>
      <c r="AC38" s="423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419"/>
      <c r="Z39" s="420"/>
      <c r="AA39" s="421"/>
      <c r="AB39" s="422"/>
      <c r="AC39" s="423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419"/>
      <c r="Z40" s="420"/>
      <c r="AA40" s="421"/>
      <c r="AB40" s="422"/>
      <c r="AC40" s="423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419"/>
      <c r="Z41" s="420"/>
      <c r="AA41" s="421"/>
      <c r="AB41" s="422"/>
      <c r="AC41" s="423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419"/>
      <c r="Z42" s="420"/>
      <c r="AA42" s="421"/>
      <c r="AB42" s="422"/>
      <c r="AC42" s="423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19"/>
      <c r="Z43" s="420"/>
      <c r="AA43" s="421"/>
      <c r="AB43" s="422"/>
      <c r="AC43" s="423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419"/>
      <c r="Z44" s="420"/>
      <c r="AA44" s="421"/>
      <c r="AB44" s="422"/>
      <c r="AC44" s="423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419"/>
      <c r="Z45" s="420"/>
      <c r="AA45" s="421"/>
      <c r="AB45" s="422"/>
      <c r="AC45" s="423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419"/>
      <c r="Z46" s="420"/>
      <c r="AA46" s="421"/>
      <c r="AB46" s="422"/>
      <c r="AC46" s="423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6" s="46" customFormat="1" ht="14.4" customHeigh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</row>
  </sheetData>
  <mergeCells count="110">
    <mergeCell ref="A1:H4"/>
    <mergeCell ref="AP4:AT4"/>
    <mergeCell ref="AU4:AY4"/>
    <mergeCell ref="Y9:Z9"/>
    <mergeCell ref="AA9:AC9"/>
    <mergeCell ref="AG6:AG7"/>
    <mergeCell ref="AH6:AH7"/>
    <mergeCell ref="AI6:AR6"/>
    <mergeCell ref="Y13:Z13"/>
    <mergeCell ref="AA13:AC13"/>
    <mergeCell ref="Y10:Z10"/>
    <mergeCell ref="AA10:AC10"/>
    <mergeCell ref="Y12:Z12"/>
    <mergeCell ref="AA12:AC12"/>
    <mergeCell ref="AA8:AC8"/>
    <mergeCell ref="A6:A7"/>
    <mergeCell ref="B6:H7"/>
    <mergeCell ref="I6:Q7"/>
    <mergeCell ref="R6:X7"/>
    <mergeCell ref="Y6:Z7"/>
    <mergeCell ref="I1:Q1"/>
    <mergeCell ref="R1:X1"/>
    <mergeCell ref="Y1:AO1"/>
    <mergeCell ref="AP1:AT1"/>
    <mergeCell ref="AA23:AC23"/>
    <mergeCell ref="Y24:Z24"/>
    <mergeCell ref="AA24:AC24"/>
    <mergeCell ref="Y25:Z25"/>
    <mergeCell ref="AA25:AC25"/>
    <mergeCell ref="Y46:Z46"/>
    <mergeCell ref="AA46:AC46"/>
    <mergeCell ref="Y45:Z45"/>
    <mergeCell ref="AA45:AC45"/>
    <mergeCell ref="Y26:Z26"/>
    <mergeCell ref="AA26:AC26"/>
    <mergeCell ref="Y44:Z44"/>
    <mergeCell ref="AA44:AC44"/>
    <mergeCell ref="Y41:Z41"/>
    <mergeCell ref="AA41:AC41"/>
    <mergeCell ref="Y42:Z42"/>
    <mergeCell ref="AA42:AC42"/>
    <mergeCell ref="Y43:Z43"/>
    <mergeCell ref="AA43:AC43"/>
    <mergeCell ref="Y37:Z37"/>
    <mergeCell ref="AA37:AC37"/>
    <mergeCell ref="Y40:Z40"/>
    <mergeCell ref="AA27:AC27"/>
    <mergeCell ref="Y28:Z28"/>
    <mergeCell ref="Y16:Z16"/>
    <mergeCell ref="AA16:AC16"/>
    <mergeCell ref="Y33:Z33"/>
    <mergeCell ref="AA33:AC33"/>
    <mergeCell ref="Y34:Z34"/>
    <mergeCell ref="AA34:AC34"/>
    <mergeCell ref="Y35:Z35"/>
    <mergeCell ref="AA28:AC28"/>
    <mergeCell ref="Y29:Z29"/>
    <mergeCell ref="AA29:AC29"/>
    <mergeCell ref="Y23:Z23"/>
    <mergeCell ref="AA20:AC20"/>
    <mergeCell ref="Y20:Z20"/>
    <mergeCell ref="Y21:Z21"/>
    <mergeCell ref="AA21:AC21"/>
    <mergeCell ref="Y22:Z22"/>
    <mergeCell ref="AA22:AC22"/>
    <mergeCell ref="Y18:Z18"/>
    <mergeCell ref="AA18:AC18"/>
    <mergeCell ref="Y19:Z19"/>
    <mergeCell ref="AA19:AC19"/>
    <mergeCell ref="Y17:Z17"/>
    <mergeCell ref="AA17:AC17"/>
    <mergeCell ref="Y27:Z27"/>
    <mergeCell ref="Y14:Z14"/>
    <mergeCell ref="AA14:AC14"/>
    <mergeCell ref="Y11:Z11"/>
    <mergeCell ref="AA11:AC11"/>
    <mergeCell ref="AS6:BD7"/>
    <mergeCell ref="Y8:Z8"/>
    <mergeCell ref="Y15:Z15"/>
    <mergeCell ref="AA15:AC15"/>
    <mergeCell ref="AD6:AD7"/>
    <mergeCell ref="AE6:AE7"/>
    <mergeCell ref="AF6:AF7"/>
    <mergeCell ref="AA6:AC7"/>
    <mergeCell ref="AU1:AY1"/>
    <mergeCell ref="AZ1:BD1"/>
    <mergeCell ref="I2:Q4"/>
    <mergeCell ref="R2:X4"/>
    <mergeCell ref="Y2:AO3"/>
    <mergeCell ref="Y4:AO4"/>
    <mergeCell ref="AZ4:BD4"/>
    <mergeCell ref="AP2:AT2"/>
    <mergeCell ref="AZ2:BD2"/>
    <mergeCell ref="AP3:AT3"/>
    <mergeCell ref="AU3:AY3"/>
    <mergeCell ref="AZ3:BD3"/>
    <mergeCell ref="AA40:AC40"/>
    <mergeCell ref="AA38:AC38"/>
    <mergeCell ref="Y38:Z38"/>
    <mergeCell ref="Y39:Z39"/>
    <mergeCell ref="AA39:AC39"/>
    <mergeCell ref="AA35:AC35"/>
    <mergeCell ref="Y30:Z30"/>
    <mergeCell ref="AA30:AC30"/>
    <mergeCell ref="Y31:Z31"/>
    <mergeCell ref="AA31:AC31"/>
    <mergeCell ref="Y32:Z32"/>
    <mergeCell ref="AA32:AC32"/>
    <mergeCell ref="Y36:Z36"/>
    <mergeCell ref="AA36:AC36"/>
  </mergeCells>
  <phoneticPr fontId="5"/>
  <dataValidations count="3">
    <dataValidation imeMode="hiragana" allowBlank="1" showInputMessage="1" showErrorMessage="1" sqref="JH65530:JS65532 TD65530:TO65532 ACZ65530:ADK65532 AMV65530:ANG65532 AWR65530:AXC65532 BGN65530:BGY65532 BQJ65530:BQU65532 CAF65530:CAQ65532 CKB65530:CKM65532 CTX65530:CUI65532 DDT65530:DEE65532 DNP65530:DOA65532 DXL65530:DXW65532 EHH65530:EHS65532 ERD65530:ERO65532 FAZ65530:FBK65532 FKV65530:FLG65532 FUR65530:FVC65532 GEN65530:GEY65532 GOJ65530:GOU65532 GYF65530:GYQ65532 HIB65530:HIM65532 HRX65530:HSI65532 IBT65530:ICE65532 ILP65530:IMA65532 IVL65530:IVW65532 JFH65530:JFS65532 JPD65530:JPO65532 JYZ65530:JZK65532 KIV65530:KJG65532 KSR65530:KTC65532 LCN65530:LCY65532 LMJ65530:LMU65532 LWF65530:LWQ65532 MGB65530:MGM65532 MPX65530:MQI65532 MZT65530:NAE65532 NJP65530:NKA65532 NTL65530:NTW65532 ODH65530:ODS65532 OND65530:ONO65532 OWZ65530:OXK65532 PGV65530:PHG65532 PQR65530:PRC65532 QAN65530:QAY65532 QKJ65530:QKU65532 QUF65530:QUQ65532 REB65530:REM65532 RNX65530:ROI65532 RXT65530:RYE65532 SHP65530:SIA65532 SRL65530:SRW65532 TBH65530:TBS65532 TLD65530:TLO65532 TUZ65530:TVK65532 UEV65530:UFG65532 UOR65530:UPC65532 UYN65530:UYY65532 VIJ65530:VIU65532 VSF65530:VSQ65532 WCB65530:WCM65532 WLX65530:WMI65532 WVT65530:WWE65532 JH131066:JS131068 TD131066:TO131068 ACZ131066:ADK131068 AMV131066:ANG131068 AWR131066:AXC131068 BGN131066:BGY131068 BQJ131066:BQU131068 CAF131066:CAQ131068 CKB131066:CKM131068 CTX131066:CUI131068 DDT131066:DEE131068 DNP131066:DOA131068 DXL131066:DXW131068 EHH131066:EHS131068 ERD131066:ERO131068 FAZ131066:FBK131068 FKV131066:FLG131068 FUR131066:FVC131068 GEN131066:GEY131068 GOJ131066:GOU131068 GYF131066:GYQ131068 HIB131066:HIM131068 HRX131066:HSI131068 IBT131066:ICE131068 ILP131066:IMA131068 IVL131066:IVW131068 JFH131066:JFS131068 JPD131066:JPO131068 JYZ131066:JZK131068 KIV131066:KJG131068 KSR131066:KTC131068 LCN131066:LCY131068 LMJ131066:LMU131068 LWF131066:LWQ131068 MGB131066:MGM131068 MPX131066:MQI131068 MZT131066:NAE131068 NJP131066:NKA131068 NTL131066:NTW131068 ODH131066:ODS131068 OND131066:ONO131068 OWZ131066:OXK131068 PGV131066:PHG131068 PQR131066:PRC131068 QAN131066:QAY131068 QKJ131066:QKU131068 QUF131066:QUQ131068 REB131066:REM131068 RNX131066:ROI131068 RXT131066:RYE131068 SHP131066:SIA131068 SRL131066:SRW131068 TBH131066:TBS131068 TLD131066:TLO131068 TUZ131066:TVK131068 UEV131066:UFG131068 UOR131066:UPC131068 UYN131066:UYY131068 VIJ131066:VIU131068 VSF131066:VSQ131068 WCB131066:WCM131068 WLX131066:WMI131068 WVT131066:WWE131068 JH196602:JS196604 TD196602:TO196604 ACZ196602:ADK196604 AMV196602:ANG196604 AWR196602:AXC196604 BGN196602:BGY196604 BQJ196602:BQU196604 CAF196602:CAQ196604 CKB196602:CKM196604 CTX196602:CUI196604 DDT196602:DEE196604 DNP196602:DOA196604 DXL196602:DXW196604 EHH196602:EHS196604 ERD196602:ERO196604 FAZ196602:FBK196604 FKV196602:FLG196604 FUR196602:FVC196604 GEN196602:GEY196604 GOJ196602:GOU196604 GYF196602:GYQ196604 HIB196602:HIM196604 HRX196602:HSI196604 IBT196602:ICE196604 ILP196602:IMA196604 IVL196602:IVW196604 JFH196602:JFS196604 JPD196602:JPO196604 JYZ196602:JZK196604 KIV196602:KJG196604 KSR196602:KTC196604 LCN196602:LCY196604 LMJ196602:LMU196604 LWF196602:LWQ196604 MGB196602:MGM196604 MPX196602:MQI196604 MZT196602:NAE196604 NJP196602:NKA196604 NTL196602:NTW196604 ODH196602:ODS196604 OND196602:ONO196604 OWZ196602:OXK196604 PGV196602:PHG196604 PQR196602:PRC196604 QAN196602:QAY196604 QKJ196602:QKU196604 QUF196602:QUQ196604 REB196602:REM196604 RNX196602:ROI196604 RXT196602:RYE196604 SHP196602:SIA196604 SRL196602:SRW196604 TBH196602:TBS196604 TLD196602:TLO196604 TUZ196602:TVK196604 UEV196602:UFG196604 UOR196602:UPC196604 UYN196602:UYY196604 VIJ196602:VIU196604 VSF196602:VSQ196604 WCB196602:WCM196604 WLX196602:WMI196604 WVT196602:WWE196604 JH262138:JS262140 TD262138:TO262140 ACZ262138:ADK262140 AMV262138:ANG262140 AWR262138:AXC262140 BGN262138:BGY262140 BQJ262138:BQU262140 CAF262138:CAQ262140 CKB262138:CKM262140 CTX262138:CUI262140 DDT262138:DEE262140 DNP262138:DOA262140 DXL262138:DXW262140 EHH262138:EHS262140 ERD262138:ERO262140 FAZ262138:FBK262140 FKV262138:FLG262140 FUR262138:FVC262140 GEN262138:GEY262140 GOJ262138:GOU262140 GYF262138:GYQ262140 HIB262138:HIM262140 HRX262138:HSI262140 IBT262138:ICE262140 ILP262138:IMA262140 IVL262138:IVW262140 JFH262138:JFS262140 JPD262138:JPO262140 JYZ262138:JZK262140 KIV262138:KJG262140 KSR262138:KTC262140 LCN262138:LCY262140 LMJ262138:LMU262140 LWF262138:LWQ262140 MGB262138:MGM262140 MPX262138:MQI262140 MZT262138:NAE262140 NJP262138:NKA262140 NTL262138:NTW262140 ODH262138:ODS262140 OND262138:ONO262140 OWZ262138:OXK262140 PGV262138:PHG262140 PQR262138:PRC262140 QAN262138:QAY262140 QKJ262138:QKU262140 QUF262138:QUQ262140 REB262138:REM262140 RNX262138:ROI262140 RXT262138:RYE262140 SHP262138:SIA262140 SRL262138:SRW262140 TBH262138:TBS262140 TLD262138:TLO262140 TUZ262138:TVK262140 UEV262138:UFG262140 UOR262138:UPC262140 UYN262138:UYY262140 VIJ262138:VIU262140 VSF262138:VSQ262140 WCB262138:WCM262140 WLX262138:WMI262140 WVT262138:WWE262140 JH327674:JS327676 TD327674:TO327676 ACZ327674:ADK327676 AMV327674:ANG327676 AWR327674:AXC327676 BGN327674:BGY327676 BQJ327674:BQU327676 CAF327674:CAQ327676 CKB327674:CKM327676 CTX327674:CUI327676 DDT327674:DEE327676 DNP327674:DOA327676 DXL327674:DXW327676 EHH327674:EHS327676 ERD327674:ERO327676 FAZ327674:FBK327676 FKV327674:FLG327676 FUR327674:FVC327676 GEN327674:GEY327676 GOJ327674:GOU327676 GYF327674:GYQ327676 HIB327674:HIM327676 HRX327674:HSI327676 IBT327674:ICE327676 ILP327674:IMA327676 IVL327674:IVW327676 JFH327674:JFS327676 JPD327674:JPO327676 JYZ327674:JZK327676 KIV327674:KJG327676 KSR327674:KTC327676 LCN327674:LCY327676 LMJ327674:LMU327676 LWF327674:LWQ327676 MGB327674:MGM327676 MPX327674:MQI327676 MZT327674:NAE327676 NJP327674:NKA327676 NTL327674:NTW327676 ODH327674:ODS327676 OND327674:ONO327676 OWZ327674:OXK327676 PGV327674:PHG327676 PQR327674:PRC327676 QAN327674:QAY327676 QKJ327674:QKU327676 QUF327674:QUQ327676 REB327674:REM327676 RNX327674:ROI327676 RXT327674:RYE327676 SHP327674:SIA327676 SRL327674:SRW327676 TBH327674:TBS327676 TLD327674:TLO327676 TUZ327674:TVK327676 UEV327674:UFG327676 UOR327674:UPC327676 UYN327674:UYY327676 VIJ327674:VIU327676 VSF327674:VSQ327676 WCB327674:WCM327676 WLX327674:WMI327676 WVT327674:WWE327676 JH393210:JS393212 TD393210:TO393212 ACZ393210:ADK393212 AMV393210:ANG393212 AWR393210:AXC393212 BGN393210:BGY393212 BQJ393210:BQU393212 CAF393210:CAQ393212 CKB393210:CKM393212 CTX393210:CUI393212 DDT393210:DEE393212 DNP393210:DOA393212 DXL393210:DXW393212 EHH393210:EHS393212 ERD393210:ERO393212 FAZ393210:FBK393212 FKV393210:FLG393212 FUR393210:FVC393212 GEN393210:GEY393212 GOJ393210:GOU393212 GYF393210:GYQ393212 HIB393210:HIM393212 HRX393210:HSI393212 IBT393210:ICE393212 ILP393210:IMA393212 IVL393210:IVW393212 JFH393210:JFS393212 JPD393210:JPO393212 JYZ393210:JZK393212 KIV393210:KJG393212 KSR393210:KTC393212 LCN393210:LCY393212 LMJ393210:LMU393212 LWF393210:LWQ393212 MGB393210:MGM393212 MPX393210:MQI393212 MZT393210:NAE393212 NJP393210:NKA393212 NTL393210:NTW393212 ODH393210:ODS393212 OND393210:ONO393212 OWZ393210:OXK393212 PGV393210:PHG393212 PQR393210:PRC393212 QAN393210:QAY393212 QKJ393210:QKU393212 QUF393210:QUQ393212 REB393210:REM393212 RNX393210:ROI393212 RXT393210:RYE393212 SHP393210:SIA393212 SRL393210:SRW393212 TBH393210:TBS393212 TLD393210:TLO393212 TUZ393210:TVK393212 UEV393210:UFG393212 UOR393210:UPC393212 UYN393210:UYY393212 VIJ393210:VIU393212 VSF393210:VSQ393212 WCB393210:WCM393212 WLX393210:WMI393212 WVT393210:WWE393212 JH458746:JS458748 TD458746:TO458748 ACZ458746:ADK458748 AMV458746:ANG458748 AWR458746:AXC458748 BGN458746:BGY458748 BQJ458746:BQU458748 CAF458746:CAQ458748 CKB458746:CKM458748 CTX458746:CUI458748 DDT458746:DEE458748 DNP458746:DOA458748 DXL458746:DXW458748 EHH458746:EHS458748 ERD458746:ERO458748 FAZ458746:FBK458748 FKV458746:FLG458748 FUR458746:FVC458748 GEN458746:GEY458748 GOJ458746:GOU458748 GYF458746:GYQ458748 HIB458746:HIM458748 HRX458746:HSI458748 IBT458746:ICE458748 ILP458746:IMA458748 IVL458746:IVW458748 JFH458746:JFS458748 JPD458746:JPO458748 JYZ458746:JZK458748 KIV458746:KJG458748 KSR458746:KTC458748 LCN458746:LCY458748 LMJ458746:LMU458748 LWF458746:LWQ458748 MGB458746:MGM458748 MPX458746:MQI458748 MZT458746:NAE458748 NJP458746:NKA458748 NTL458746:NTW458748 ODH458746:ODS458748 OND458746:ONO458748 OWZ458746:OXK458748 PGV458746:PHG458748 PQR458746:PRC458748 QAN458746:QAY458748 QKJ458746:QKU458748 QUF458746:QUQ458748 REB458746:REM458748 RNX458746:ROI458748 RXT458746:RYE458748 SHP458746:SIA458748 SRL458746:SRW458748 TBH458746:TBS458748 TLD458746:TLO458748 TUZ458746:TVK458748 UEV458746:UFG458748 UOR458746:UPC458748 UYN458746:UYY458748 VIJ458746:VIU458748 VSF458746:VSQ458748 WCB458746:WCM458748 WLX458746:WMI458748 WVT458746:WWE458748 JH524282:JS524284 TD524282:TO524284 ACZ524282:ADK524284 AMV524282:ANG524284 AWR524282:AXC524284 BGN524282:BGY524284 BQJ524282:BQU524284 CAF524282:CAQ524284 CKB524282:CKM524284 CTX524282:CUI524284 DDT524282:DEE524284 DNP524282:DOA524284 DXL524282:DXW524284 EHH524282:EHS524284 ERD524282:ERO524284 FAZ524282:FBK524284 FKV524282:FLG524284 FUR524282:FVC524284 GEN524282:GEY524284 GOJ524282:GOU524284 GYF524282:GYQ524284 HIB524282:HIM524284 HRX524282:HSI524284 IBT524282:ICE524284 ILP524282:IMA524284 IVL524282:IVW524284 JFH524282:JFS524284 JPD524282:JPO524284 JYZ524282:JZK524284 KIV524282:KJG524284 KSR524282:KTC524284 LCN524282:LCY524284 LMJ524282:LMU524284 LWF524282:LWQ524284 MGB524282:MGM524284 MPX524282:MQI524284 MZT524282:NAE524284 NJP524282:NKA524284 NTL524282:NTW524284 ODH524282:ODS524284 OND524282:ONO524284 OWZ524282:OXK524284 PGV524282:PHG524284 PQR524282:PRC524284 QAN524282:QAY524284 QKJ524282:QKU524284 QUF524282:QUQ524284 REB524282:REM524284 RNX524282:ROI524284 RXT524282:RYE524284 SHP524282:SIA524284 SRL524282:SRW524284 TBH524282:TBS524284 TLD524282:TLO524284 TUZ524282:TVK524284 UEV524282:UFG524284 UOR524282:UPC524284 UYN524282:UYY524284 VIJ524282:VIU524284 VSF524282:VSQ524284 WCB524282:WCM524284 WLX524282:WMI524284 WVT524282:WWE524284 JH589818:JS589820 TD589818:TO589820 ACZ589818:ADK589820 AMV589818:ANG589820 AWR589818:AXC589820 BGN589818:BGY589820 BQJ589818:BQU589820 CAF589818:CAQ589820 CKB589818:CKM589820 CTX589818:CUI589820 DDT589818:DEE589820 DNP589818:DOA589820 DXL589818:DXW589820 EHH589818:EHS589820 ERD589818:ERO589820 FAZ589818:FBK589820 FKV589818:FLG589820 FUR589818:FVC589820 GEN589818:GEY589820 GOJ589818:GOU589820 GYF589818:GYQ589820 HIB589818:HIM589820 HRX589818:HSI589820 IBT589818:ICE589820 ILP589818:IMA589820 IVL589818:IVW589820 JFH589818:JFS589820 JPD589818:JPO589820 JYZ589818:JZK589820 KIV589818:KJG589820 KSR589818:KTC589820 LCN589818:LCY589820 LMJ589818:LMU589820 LWF589818:LWQ589820 MGB589818:MGM589820 MPX589818:MQI589820 MZT589818:NAE589820 NJP589818:NKA589820 NTL589818:NTW589820 ODH589818:ODS589820 OND589818:ONO589820 OWZ589818:OXK589820 PGV589818:PHG589820 PQR589818:PRC589820 QAN589818:QAY589820 QKJ589818:QKU589820 QUF589818:QUQ589820 REB589818:REM589820 RNX589818:ROI589820 RXT589818:RYE589820 SHP589818:SIA589820 SRL589818:SRW589820 TBH589818:TBS589820 TLD589818:TLO589820 TUZ589818:TVK589820 UEV589818:UFG589820 UOR589818:UPC589820 UYN589818:UYY589820 VIJ589818:VIU589820 VSF589818:VSQ589820 WCB589818:WCM589820 WLX589818:WMI589820 WVT589818:WWE589820 JH655354:JS655356 TD655354:TO655356 ACZ655354:ADK655356 AMV655354:ANG655356 AWR655354:AXC655356 BGN655354:BGY655356 BQJ655354:BQU655356 CAF655354:CAQ655356 CKB655354:CKM655356 CTX655354:CUI655356 DDT655354:DEE655356 DNP655354:DOA655356 DXL655354:DXW655356 EHH655354:EHS655356 ERD655354:ERO655356 FAZ655354:FBK655356 FKV655354:FLG655356 FUR655354:FVC655356 GEN655354:GEY655356 GOJ655354:GOU655356 GYF655354:GYQ655356 HIB655354:HIM655356 HRX655354:HSI655356 IBT655354:ICE655356 ILP655354:IMA655356 IVL655354:IVW655356 JFH655354:JFS655356 JPD655354:JPO655356 JYZ655354:JZK655356 KIV655354:KJG655356 KSR655354:KTC655356 LCN655354:LCY655356 LMJ655354:LMU655356 LWF655354:LWQ655356 MGB655354:MGM655356 MPX655354:MQI655356 MZT655354:NAE655356 NJP655354:NKA655356 NTL655354:NTW655356 ODH655354:ODS655356 OND655354:ONO655356 OWZ655354:OXK655356 PGV655354:PHG655356 PQR655354:PRC655356 QAN655354:QAY655356 QKJ655354:QKU655356 QUF655354:QUQ655356 REB655354:REM655356 RNX655354:ROI655356 RXT655354:RYE655356 SHP655354:SIA655356 SRL655354:SRW655356 TBH655354:TBS655356 TLD655354:TLO655356 TUZ655354:TVK655356 UEV655354:UFG655356 UOR655354:UPC655356 UYN655354:UYY655356 VIJ655354:VIU655356 VSF655354:VSQ655356 WCB655354:WCM655356 WLX655354:WMI655356 WVT655354:WWE655356 JH720890:JS720892 TD720890:TO720892 ACZ720890:ADK720892 AMV720890:ANG720892 AWR720890:AXC720892 BGN720890:BGY720892 BQJ720890:BQU720892 CAF720890:CAQ720892 CKB720890:CKM720892 CTX720890:CUI720892 DDT720890:DEE720892 DNP720890:DOA720892 DXL720890:DXW720892 EHH720890:EHS720892 ERD720890:ERO720892 FAZ720890:FBK720892 FKV720890:FLG720892 FUR720890:FVC720892 GEN720890:GEY720892 GOJ720890:GOU720892 GYF720890:GYQ720892 HIB720890:HIM720892 HRX720890:HSI720892 IBT720890:ICE720892 ILP720890:IMA720892 IVL720890:IVW720892 JFH720890:JFS720892 JPD720890:JPO720892 JYZ720890:JZK720892 KIV720890:KJG720892 KSR720890:KTC720892 LCN720890:LCY720892 LMJ720890:LMU720892 LWF720890:LWQ720892 MGB720890:MGM720892 MPX720890:MQI720892 MZT720890:NAE720892 NJP720890:NKA720892 NTL720890:NTW720892 ODH720890:ODS720892 OND720890:ONO720892 OWZ720890:OXK720892 PGV720890:PHG720892 PQR720890:PRC720892 QAN720890:QAY720892 QKJ720890:QKU720892 QUF720890:QUQ720892 REB720890:REM720892 RNX720890:ROI720892 RXT720890:RYE720892 SHP720890:SIA720892 SRL720890:SRW720892 TBH720890:TBS720892 TLD720890:TLO720892 TUZ720890:TVK720892 UEV720890:UFG720892 UOR720890:UPC720892 UYN720890:UYY720892 VIJ720890:VIU720892 VSF720890:VSQ720892 WCB720890:WCM720892 WLX720890:WMI720892 WVT720890:WWE720892 JH786426:JS786428 TD786426:TO786428 ACZ786426:ADK786428 AMV786426:ANG786428 AWR786426:AXC786428 BGN786426:BGY786428 BQJ786426:BQU786428 CAF786426:CAQ786428 CKB786426:CKM786428 CTX786426:CUI786428 DDT786426:DEE786428 DNP786426:DOA786428 DXL786426:DXW786428 EHH786426:EHS786428 ERD786426:ERO786428 FAZ786426:FBK786428 FKV786426:FLG786428 FUR786426:FVC786428 GEN786426:GEY786428 GOJ786426:GOU786428 GYF786426:GYQ786428 HIB786426:HIM786428 HRX786426:HSI786428 IBT786426:ICE786428 ILP786426:IMA786428 IVL786426:IVW786428 JFH786426:JFS786428 JPD786426:JPO786428 JYZ786426:JZK786428 KIV786426:KJG786428 KSR786426:KTC786428 LCN786426:LCY786428 LMJ786426:LMU786428 LWF786426:LWQ786428 MGB786426:MGM786428 MPX786426:MQI786428 MZT786426:NAE786428 NJP786426:NKA786428 NTL786426:NTW786428 ODH786426:ODS786428 OND786426:ONO786428 OWZ786426:OXK786428 PGV786426:PHG786428 PQR786426:PRC786428 QAN786426:QAY786428 QKJ786426:QKU786428 QUF786426:QUQ786428 REB786426:REM786428 RNX786426:ROI786428 RXT786426:RYE786428 SHP786426:SIA786428 SRL786426:SRW786428 TBH786426:TBS786428 TLD786426:TLO786428 TUZ786426:TVK786428 UEV786426:UFG786428 UOR786426:UPC786428 UYN786426:UYY786428 VIJ786426:VIU786428 VSF786426:VSQ786428 WCB786426:WCM786428 WLX786426:WMI786428 WVT786426:WWE786428 JH851962:JS851964 TD851962:TO851964 ACZ851962:ADK851964 AMV851962:ANG851964 AWR851962:AXC851964 BGN851962:BGY851964 BQJ851962:BQU851964 CAF851962:CAQ851964 CKB851962:CKM851964 CTX851962:CUI851964 DDT851962:DEE851964 DNP851962:DOA851964 DXL851962:DXW851964 EHH851962:EHS851964 ERD851962:ERO851964 FAZ851962:FBK851964 FKV851962:FLG851964 FUR851962:FVC851964 GEN851962:GEY851964 GOJ851962:GOU851964 GYF851962:GYQ851964 HIB851962:HIM851964 HRX851962:HSI851964 IBT851962:ICE851964 ILP851962:IMA851964 IVL851962:IVW851964 JFH851962:JFS851964 JPD851962:JPO851964 JYZ851962:JZK851964 KIV851962:KJG851964 KSR851962:KTC851964 LCN851962:LCY851964 LMJ851962:LMU851964 LWF851962:LWQ851964 MGB851962:MGM851964 MPX851962:MQI851964 MZT851962:NAE851964 NJP851962:NKA851964 NTL851962:NTW851964 ODH851962:ODS851964 OND851962:ONO851964 OWZ851962:OXK851964 PGV851962:PHG851964 PQR851962:PRC851964 QAN851962:QAY851964 QKJ851962:QKU851964 QUF851962:QUQ851964 REB851962:REM851964 RNX851962:ROI851964 RXT851962:RYE851964 SHP851962:SIA851964 SRL851962:SRW851964 TBH851962:TBS851964 TLD851962:TLO851964 TUZ851962:TVK851964 UEV851962:UFG851964 UOR851962:UPC851964 UYN851962:UYY851964 VIJ851962:VIU851964 VSF851962:VSQ851964 WCB851962:WCM851964 WLX851962:WMI851964 WVT851962:WWE851964 JH917498:JS917500 TD917498:TO917500 ACZ917498:ADK917500 AMV917498:ANG917500 AWR917498:AXC917500 BGN917498:BGY917500 BQJ917498:BQU917500 CAF917498:CAQ917500 CKB917498:CKM917500 CTX917498:CUI917500 DDT917498:DEE917500 DNP917498:DOA917500 DXL917498:DXW917500 EHH917498:EHS917500 ERD917498:ERO917500 FAZ917498:FBK917500 FKV917498:FLG917500 FUR917498:FVC917500 GEN917498:GEY917500 GOJ917498:GOU917500 GYF917498:GYQ917500 HIB917498:HIM917500 HRX917498:HSI917500 IBT917498:ICE917500 ILP917498:IMA917500 IVL917498:IVW917500 JFH917498:JFS917500 JPD917498:JPO917500 JYZ917498:JZK917500 KIV917498:KJG917500 KSR917498:KTC917500 LCN917498:LCY917500 LMJ917498:LMU917500 LWF917498:LWQ917500 MGB917498:MGM917500 MPX917498:MQI917500 MZT917498:NAE917500 NJP917498:NKA917500 NTL917498:NTW917500 ODH917498:ODS917500 OND917498:ONO917500 OWZ917498:OXK917500 PGV917498:PHG917500 PQR917498:PRC917500 QAN917498:QAY917500 QKJ917498:QKU917500 QUF917498:QUQ917500 REB917498:REM917500 RNX917498:ROI917500 RXT917498:RYE917500 SHP917498:SIA917500 SRL917498:SRW917500 TBH917498:TBS917500 TLD917498:TLO917500 TUZ917498:TVK917500 UEV917498:UFG917500 UOR917498:UPC917500 UYN917498:UYY917500 VIJ917498:VIU917500 VSF917498:VSQ917500 WCB917498:WCM917500 WLX917498:WMI917500 WVT917498:WWE917500 JH983034:JS983036 TD983034:TO983036 ACZ983034:ADK983036 AMV983034:ANG983036 AWR983034:AXC983036 BGN983034:BGY983036 BQJ983034:BQU983036 CAF983034:CAQ983036 CKB983034:CKM983036 CTX983034:CUI983036 DDT983034:DEE983036 DNP983034:DOA983036 DXL983034:DXW983036 EHH983034:EHS983036 ERD983034:ERO983036 FAZ983034:FBK983036 FKV983034:FLG983036 FUR983034:FVC983036 GEN983034:GEY983036 GOJ983034:GOU983036 GYF983034:GYQ983036 HIB983034:HIM983036 HRX983034:HSI983036 IBT983034:ICE983036 ILP983034:IMA983036 IVL983034:IVW983036 JFH983034:JFS983036 JPD983034:JPO983036 JYZ983034:JZK983036 KIV983034:KJG983036 KSR983034:KTC983036 LCN983034:LCY983036 LMJ983034:LMU983036 LWF983034:LWQ983036 MGB983034:MGM983036 MPX983034:MQI983036 MZT983034:NAE983036 NJP983034:NKA983036 NTL983034:NTW983036 ODH983034:ODS983036 OND983034:ONO983036 OWZ983034:OXK983036 PGV983034:PHG983036 PQR983034:PRC983036 QAN983034:QAY983036 QKJ983034:QKU983036 QUF983034:QUQ983036 REB983034:REM983036 RNX983034:ROI983036 RXT983034:RYE983036 SHP983034:SIA983036 SRL983034:SRW983036 TBH983034:TBS983036 TLD983034:TLO983036 TUZ983034:TVK983036 UEV983034:UFG983036 UOR983034:UPC983036 UYN983034:UYY983036 VIJ983034:VIU983036 VSF983034:VSQ983036 WCB983034:WCM983036 WLX983034:WMI983036 WVT983034:WWE983036 Z262138:AJ262140 Z196602:AJ196604 Z131066:AJ131068 Z65530:AJ65532 Z983034:AJ983036 Z917498:AJ917500 Z851962:AJ851964 Z786426:AJ786428 Z720890:AJ720892 Z655354:AJ655356 Z589818:AJ589820 Z524282:AJ524284 Z458746:AJ458748 Z393210:AJ393212 Z327674:AJ327676 JI2:JT4 TE2:TP4 ADA2:ADL4 AMW2:ANH4 AWS2:AXD4 BGO2:BGZ4 BQK2:BQV4 CAG2:CAR4 CKC2:CKN4 CTY2:CUJ4 DDU2:DEF4 DNQ2:DOB4 DXM2:DXX4 EHI2:EHT4 ERE2:ERP4 FBA2:FBL4 FKW2:FLH4 FUS2:FVD4 GEO2:GEZ4 GOK2:GOV4 GYG2:GYR4 HIC2:HIN4 HRY2:HSJ4 IBU2:ICF4 ILQ2:IMB4 IVM2:IVX4 JFI2:JFT4 JPE2:JPP4 JZA2:JZL4 KIW2:KJH4 KSS2:KTD4 LCO2:LCZ4 LMK2:LMV4 LWG2:LWR4 MGC2:MGN4 MPY2:MQJ4 MZU2:NAF4 NJQ2:NKB4 NTM2:NTX4 ODI2:ODT4 ONE2:ONP4 OXA2:OXL4 PGW2:PHH4 PQS2:PRD4 QAO2:QAZ4 QKK2:QKV4 QUG2:QUR4 REC2:REN4 RNY2:ROJ4 RXU2:RYF4 SHQ2:SIB4 SRM2:SRX4 TBI2:TBT4 TLE2:TLP4 TVA2:TVL4 UEW2:UFH4 UOS2:UPD4 UYO2:UYZ4 VIK2:VIV4 VSG2:VSR4 WCC2:WCN4 WLY2:WMJ4 WVU2:WWF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>
      <c r="A1" s="396" t="s">
        <v>78</v>
      </c>
      <c r="B1" s="397"/>
      <c r="C1" s="397"/>
      <c r="D1" s="397"/>
      <c r="E1" s="397"/>
      <c r="F1" s="397"/>
      <c r="G1" s="397"/>
      <c r="H1" s="398"/>
      <c r="I1" s="336" t="s">
        <v>79</v>
      </c>
      <c r="J1" s="337"/>
      <c r="K1" s="337"/>
      <c r="L1" s="337"/>
      <c r="M1" s="337"/>
      <c r="N1" s="337"/>
      <c r="O1" s="337"/>
      <c r="P1" s="337"/>
      <c r="Q1" s="338"/>
      <c r="R1" s="336" t="s">
        <v>80</v>
      </c>
      <c r="S1" s="337"/>
      <c r="T1" s="337"/>
      <c r="U1" s="337"/>
      <c r="V1" s="337"/>
      <c r="W1" s="337"/>
      <c r="X1" s="338"/>
      <c r="Y1" s="336" t="s">
        <v>135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8"/>
      <c r="AP1" s="407" t="s">
        <v>82</v>
      </c>
      <c r="AQ1" s="408"/>
      <c r="AR1" s="408"/>
      <c r="AS1" s="408"/>
      <c r="AT1" s="409"/>
      <c r="AU1" s="407" t="s">
        <v>83</v>
      </c>
      <c r="AV1" s="408"/>
      <c r="AW1" s="408"/>
      <c r="AX1" s="408"/>
      <c r="AY1" s="409"/>
      <c r="AZ1" s="407" t="s">
        <v>84</v>
      </c>
      <c r="BA1" s="408"/>
      <c r="BB1" s="408"/>
      <c r="BC1" s="408"/>
      <c r="BD1" s="409"/>
    </row>
    <row r="2" spans="1:57" s="17" customFormat="1" ht="14.4" customHeight="1">
      <c r="A2" s="399"/>
      <c r="B2" s="400"/>
      <c r="C2" s="400"/>
      <c r="D2" s="400"/>
      <c r="E2" s="400"/>
      <c r="F2" s="400"/>
      <c r="G2" s="400"/>
      <c r="H2" s="401"/>
      <c r="I2" s="366" t="s">
        <v>85</v>
      </c>
      <c r="J2" s="367"/>
      <c r="K2" s="367"/>
      <c r="L2" s="367"/>
      <c r="M2" s="367"/>
      <c r="N2" s="367"/>
      <c r="O2" s="367"/>
      <c r="P2" s="367"/>
      <c r="Q2" s="368"/>
      <c r="R2" s="366" t="str">
        <f ca="1">VLOOKUP(RIGHT(CELL("filename",A2),LEN(CELL("filename",A2))-FIND("]",CELL("filename",A2))),テーブル一覧!B:AD,22,FALSE)</f>
        <v>B.生産計画</v>
      </c>
      <c r="S2" s="367"/>
      <c r="T2" s="367"/>
      <c r="U2" s="367"/>
      <c r="V2" s="367"/>
      <c r="W2" s="367"/>
      <c r="X2" s="368"/>
      <c r="Y2" s="366" t="str">
        <f ca="1">VLOOKUP(RIGHT(CELL("filename",A2),LEN(CELL("filename",A2))-FIND("]",CELL("filename",A2))),テーブル一覧!B:AD,1,FALSE)</f>
        <v>加工依頼情報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8"/>
      <c r="AP2" s="339"/>
      <c r="AQ2" s="340"/>
      <c r="AR2" s="340"/>
      <c r="AS2" s="340"/>
      <c r="AT2" s="341"/>
      <c r="AU2" s="58" t="s">
        <v>88</v>
      </c>
      <c r="AV2" s="59"/>
      <c r="AW2" s="59"/>
      <c r="AX2" s="59"/>
      <c r="AY2" s="60"/>
      <c r="AZ2" s="413" t="s">
        <v>89</v>
      </c>
      <c r="BA2" s="414"/>
      <c r="BB2" s="414"/>
      <c r="BC2" s="414"/>
      <c r="BD2" s="415"/>
    </row>
    <row r="3" spans="1:57" s="17" customFormat="1" ht="14.4" customHeight="1">
      <c r="A3" s="399"/>
      <c r="B3" s="400"/>
      <c r="C3" s="400"/>
      <c r="D3" s="400"/>
      <c r="E3" s="400"/>
      <c r="F3" s="400"/>
      <c r="G3" s="400"/>
      <c r="H3" s="401"/>
      <c r="I3" s="369"/>
      <c r="J3" s="370"/>
      <c r="K3" s="370"/>
      <c r="L3" s="370"/>
      <c r="M3" s="370"/>
      <c r="N3" s="370"/>
      <c r="O3" s="370"/>
      <c r="P3" s="370"/>
      <c r="Q3" s="371"/>
      <c r="R3" s="369"/>
      <c r="S3" s="370"/>
      <c r="T3" s="370"/>
      <c r="U3" s="370"/>
      <c r="V3" s="370"/>
      <c r="W3" s="370"/>
      <c r="X3" s="371"/>
      <c r="Y3" s="372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4"/>
      <c r="AP3" s="342"/>
      <c r="AQ3" s="343"/>
      <c r="AR3" s="343"/>
      <c r="AS3" s="343"/>
      <c r="AT3" s="344"/>
      <c r="AU3" s="410"/>
      <c r="AV3" s="411"/>
      <c r="AW3" s="411"/>
      <c r="AX3" s="411"/>
      <c r="AY3" s="412"/>
      <c r="AZ3" s="413"/>
      <c r="BA3" s="414"/>
      <c r="BB3" s="414"/>
      <c r="BC3" s="414"/>
      <c r="BD3" s="415"/>
    </row>
    <row r="4" spans="1:57" s="17" customFormat="1" ht="14.4" customHeight="1">
      <c r="A4" s="402"/>
      <c r="B4" s="403"/>
      <c r="C4" s="403"/>
      <c r="D4" s="403"/>
      <c r="E4" s="403"/>
      <c r="F4" s="403"/>
      <c r="G4" s="403"/>
      <c r="H4" s="404"/>
      <c r="I4" s="372"/>
      <c r="J4" s="373"/>
      <c r="K4" s="373"/>
      <c r="L4" s="373"/>
      <c r="M4" s="373"/>
      <c r="N4" s="373"/>
      <c r="O4" s="373"/>
      <c r="P4" s="373"/>
      <c r="Q4" s="374"/>
      <c r="R4" s="372"/>
      <c r="S4" s="373"/>
      <c r="T4" s="373"/>
      <c r="U4" s="373"/>
      <c r="V4" s="373"/>
      <c r="W4" s="373"/>
      <c r="X4" s="374"/>
      <c r="Y4" s="41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t_kako_irai</v>
      </c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8"/>
      <c r="AP4" s="342"/>
      <c r="AQ4" s="343"/>
      <c r="AR4" s="343"/>
      <c r="AS4" s="343"/>
      <c r="AT4" s="344"/>
      <c r="AU4" s="410"/>
      <c r="AV4" s="411"/>
      <c r="AW4" s="411"/>
      <c r="AX4" s="411"/>
      <c r="AY4" s="412"/>
      <c r="AZ4" s="413"/>
      <c r="BA4" s="414"/>
      <c r="BB4" s="414"/>
      <c r="BC4" s="414"/>
      <c r="BD4" s="415"/>
    </row>
    <row r="6" spans="1:57" ht="14.4" customHeight="1">
      <c r="A6" s="405" t="s">
        <v>90</v>
      </c>
      <c r="B6" s="386" t="s">
        <v>136</v>
      </c>
      <c r="C6" s="394"/>
      <c r="D6" s="394"/>
      <c r="E6" s="394"/>
      <c r="F6" s="394"/>
      <c r="G6" s="394"/>
      <c r="H6" s="387"/>
      <c r="I6" s="386" t="s">
        <v>137</v>
      </c>
      <c r="J6" s="394"/>
      <c r="K6" s="394"/>
      <c r="L6" s="394"/>
      <c r="M6" s="394"/>
      <c r="N6" s="394"/>
      <c r="O6" s="394"/>
      <c r="P6" s="394"/>
      <c r="Q6" s="387"/>
      <c r="R6" s="386" t="s">
        <v>138</v>
      </c>
      <c r="S6" s="394"/>
      <c r="T6" s="394"/>
      <c r="U6" s="394"/>
      <c r="V6" s="394"/>
      <c r="W6" s="394"/>
      <c r="X6" s="387"/>
      <c r="Y6" s="386" t="s">
        <v>139</v>
      </c>
      <c r="Z6" s="387"/>
      <c r="AA6" s="386" t="s">
        <v>140</v>
      </c>
      <c r="AB6" s="394"/>
      <c r="AC6" s="387"/>
      <c r="AD6" s="390" t="s">
        <v>141</v>
      </c>
      <c r="AE6" s="392" t="s">
        <v>142</v>
      </c>
      <c r="AF6" s="390" t="s">
        <v>143</v>
      </c>
      <c r="AG6" s="390" t="s">
        <v>144</v>
      </c>
      <c r="AH6" s="390" t="s">
        <v>145</v>
      </c>
      <c r="AI6" s="383" t="s">
        <v>146</v>
      </c>
      <c r="AJ6" s="384"/>
      <c r="AK6" s="384"/>
      <c r="AL6" s="384"/>
      <c r="AM6" s="384"/>
      <c r="AN6" s="384"/>
      <c r="AO6" s="384"/>
      <c r="AP6" s="384"/>
      <c r="AQ6" s="384"/>
      <c r="AR6" s="385"/>
      <c r="AS6" s="386" t="s">
        <v>147</v>
      </c>
      <c r="AT6" s="394"/>
      <c r="AU6" s="394"/>
      <c r="AV6" s="394"/>
      <c r="AW6" s="394"/>
      <c r="AX6" s="394"/>
      <c r="AY6" s="394"/>
      <c r="AZ6" s="394"/>
      <c r="BA6" s="394"/>
      <c r="BB6" s="394"/>
      <c r="BC6" s="394"/>
      <c r="BD6" s="387"/>
    </row>
    <row r="7" spans="1:57" ht="14.4" customHeight="1">
      <c r="A7" s="406"/>
      <c r="B7" s="388"/>
      <c r="C7" s="395"/>
      <c r="D7" s="395"/>
      <c r="E7" s="395"/>
      <c r="F7" s="395"/>
      <c r="G7" s="395"/>
      <c r="H7" s="389"/>
      <c r="I7" s="388"/>
      <c r="J7" s="395"/>
      <c r="K7" s="395"/>
      <c r="L7" s="395"/>
      <c r="M7" s="395"/>
      <c r="N7" s="395"/>
      <c r="O7" s="395"/>
      <c r="P7" s="395"/>
      <c r="Q7" s="389"/>
      <c r="R7" s="388"/>
      <c r="S7" s="395"/>
      <c r="T7" s="395"/>
      <c r="U7" s="395"/>
      <c r="V7" s="395"/>
      <c r="W7" s="395"/>
      <c r="X7" s="389"/>
      <c r="Y7" s="388"/>
      <c r="Z7" s="389"/>
      <c r="AA7" s="388"/>
      <c r="AB7" s="395"/>
      <c r="AC7" s="389"/>
      <c r="AD7" s="391"/>
      <c r="AE7" s="393"/>
      <c r="AF7" s="391"/>
      <c r="AG7" s="391"/>
      <c r="AH7" s="39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88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89"/>
    </row>
    <row r="8" spans="1:57" ht="14.4" customHeight="1">
      <c r="A8" s="70">
        <f>IF(B8="","",COUNTA($B$8:B8))</f>
        <v>1</v>
      </c>
      <c r="B8" s="274" t="s">
        <v>148</v>
      </c>
      <c r="C8" s="179"/>
      <c r="D8" s="179"/>
      <c r="E8" s="179"/>
      <c r="F8" s="179"/>
      <c r="G8" s="179"/>
      <c r="H8" s="180"/>
      <c r="I8" s="181" t="s">
        <v>149</v>
      </c>
      <c r="J8" s="182"/>
      <c r="K8" s="182"/>
      <c r="L8" s="182"/>
      <c r="M8" s="182"/>
      <c r="N8" s="182"/>
      <c r="O8" s="262"/>
      <c r="P8" s="182"/>
      <c r="Q8" s="180"/>
      <c r="R8" s="274" t="s">
        <v>148</v>
      </c>
      <c r="S8" s="182"/>
      <c r="T8" s="182"/>
      <c r="U8" s="182"/>
      <c r="V8" s="182"/>
      <c r="W8" s="182"/>
      <c r="X8" s="180"/>
      <c r="Y8" s="445" t="s">
        <v>150</v>
      </c>
      <c r="Z8" s="446"/>
      <c r="AA8" s="457" t="s">
        <v>151</v>
      </c>
      <c r="AB8" s="458"/>
      <c r="AC8" s="459"/>
      <c r="AD8" s="184">
        <v>15</v>
      </c>
      <c r="AE8" s="217"/>
      <c r="AF8" s="217">
        <v>1</v>
      </c>
      <c r="AG8" s="218" t="s">
        <v>152</v>
      </c>
      <c r="AH8" s="218"/>
      <c r="AI8" s="218"/>
      <c r="AJ8" s="218"/>
      <c r="AK8" s="218"/>
      <c r="AL8" s="218"/>
      <c r="AM8" s="218"/>
      <c r="AN8" s="218"/>
      <c r="AO8" s="217"/>
      <c r="AP8" s="217"/>
      <c r="AQ8" s="217"/>
      <c r="AR8" s="217"/>
      <c r="AS8" s="238"/>
      <c r="AT8" s="239"/>
      <c r="AU8" s="239"/>
      <c r="AV8" s="239"/>
      <c r="AW8" s="239"/>
      <c r="AX8" s="239"/>
      <c r="AY8" s="239"/>
      <c r="AZ8" s="239"/>
      <c r="BA8" s="239"/>
      <c r="BB8" s="239"/>
      <c r="BC8" s="239"/>
      <c r="BD8" s="240"/>
    </row>
    <row r="9" spans="1:57">
      <c r="A9" s="70">
        <f>IF(B9="","",COUNTA($B$8:B9))</f>
        <v>2</v>
      </c>
      <c r="B9" s="185" t="s">
        <v>1460</v>
      </c>
      <c r="C9" s="182"/>
      <c r="D9" s="182"/>
      <c r="E9" s="182"/>
      <c r="F9" s="182"/>
      <c r="G9" s="182"/>
      <c r="H9" s="183"/>
      <c r="I9" s="316" t="s">
        <v>1397</v>
      </c>
      <c r="J9" s="182"/>
      <c r="K9" s="182"/>
      <c r="L9" s="182"/>
      <c r="M9" s="182"/>
      <c r="N9" s="182"/>
      <c r="O9" s="182"/>
      <c r="P9" s="182"/>
      <c r="Q9" s="183"/>
      <c r="R9" s="185" t="s">
        <v>1460</v>
      </c>
      <c r="S9" s="182"/>
      <c r="T9" s="182"/>
      <c r="U9" s="182"/>
      <c r="V9" s="182"/>
      <c r="W9" s="182"/>
      <c r="X9" s="180"/>
      <c r="Y9" s="445" t="s">
        <v>1487</v>
      </c>
      <c r="Z9" s="446"/>
      <c r="AA9" s="457" t="s">
        <v>1488</v>
      </c>
      <c r="AB9" s="458"/>
      <c r="AC9" s="459"/>
      <c r="AD9" s="184">
        <v>5</v>
      </c>
      <c r="AE9" s="217"/>
      <c r="AF9" s="217">
        <v>2</v>
      </c>
      <c r="AG9" s="217" t="s">
        <v>1463</v>
      </c>
      <c r="AH9" s="218"/>
      <c r="AI9" s="218"/>
      <c r="AJ9" s="218"/>
      <c r="AK9" s="218"/>
      <c r="AL9" s="218"/>
      <c r="AM9" s="218"/>
      <c r="AN9" s="218"/>
      <c r="AO9" s="217"/>
      <c r="AP9" s="217"/>
      <c r="AQ9" s="217"/>
      <c r="AR9" s="217"/>
      <c r="AS9" s="181" t="s">
        <v>1461</v>
      </c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31"/>
      <c r="BE9" s="110" t="s">
        <v>1462</v>
      </c>
    </row>
    <row r="10" spans="1:57" ht="14.4" customHeight="1">
      <c r="A10" s="70">
        <f>IF(B10="","",COUNTA($B$8:B10))</f>
        <v>3</v>
      </c>
      <c r="B10" s="274" t="s">
        <v>159</v>
      </c>
      <c r="C10" s="179"/>
      <c r="D10" s="179"/>
      <c r="E10" s="179"/>
      <c r="F10" s="179"/>
      <c r="G10" s="179"/>
      <c r="H10" s="180"/>
      <c r="I10" s="181" t="s">
        <v>160</v>
      </c>
      <c r="J10" s="182"/>
      <c r="K10" s="182"/>
      <c r="L10" s="182"/>
      <c r="M10" s="182"/>
      <c r="N10" s="182"/>
      <c r="O10" s="262"/>
      <c r="P10" s="182"/>
      <c r="Q10" s="180"/>
      <c r="R10" s="274" t="s">
        <v>159</v>
      </c>
      <c r="S10" s="182"/>
      <c r="T10" s="182"/>
      <c r="U10" s="182"/>
      <c r="V10" s="182"/>
      <c r="W10" s="182"/>
      <c r="X10" s="180"/>
      <c r="Y10" s="445" t="s">
        <v>150</v>
      </c>
      <c r="Z10" s="446"/>
      <c r="AA10" s="457" t="s">
        <v>151</v>
      </c>
      <c r="AB10" s="458"/>
      <c r="AC10" s="459"/>
      <c r="AD10" s="184">
        <v>4</v>
      </c>
      <c r="AE10" s="217"/>
      <c r="AF10" s="217"/>
      <c r="AG10" s="217"/>
      <c r="AH10" s="218"/>
      <c r="AI10" s="218"/>
      <c r="AJ10" s="218"/>
      <c r="AK10" s="218"/>
      <c r="AL10" s="218"/>
      <c r="AM10" s="218"/>
      <c r="AN10" s="218"/>
      <c r="AO10" s="217"/>
      <c r="AP10" s="217"/>
      <c r="AQ10" s="217"/>
      <c r="AR10" s="217"/>
      <c r="AS10" s="181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31"/>
    </row>
    <row r="11" spans="1:57" ht="14.4" customHeight="1">
      <c r="A11" s="70">
        <f>IF(B11="","",COUNTA($B$8:B11))</f>
        <v>4</v>
      </c>
      <c r="B11" s="274" t="s">
        <v>162</v>
      </c>
      <c r="C11" s="179"/>
      <c r="D11" s="179"/>
      <c r="E11" s="179"/>
      <c r="F11" s="179"/>
      <c r="G11" s="179"/>
      <c r="H11" s="277" t="s">
        <v>374</v>
      </c>
      <c r="I11" s="181" t="s">
        <v>163</v>
      </c>
      <c r="J11" s="182"/>
      <c r="K11" s="182"/>
      <c r="L11" s="182"/>
      <c r="M11" s="182"/>
      <c r="N11" s="182"/>
      <c r="O11" s="262"/>
      <c r="P11" s="182"/>
      <c r="Q11" s="180"/>
      <c r="R11" s="274" t="s">
        <v>164</v>
      </c>
      <c r="S11" s="182"/>
      <c r="T11" s="182"/>
      <c r="U11" s="182"/>
      <c r="V11" s="182"/>
      <c r="W11" s="182"/>
      <c r="X11" s="180"/>
      <c r="Y11" s="445" t="s">
        <v>150</v>
      </c>
      <c r="Z11" s="446"/>
      <c r="AA11" s="457" t="s">
        <v>151</v>
      </c>
      <c r="AB11" s="458"/>
      <c r="AC11" s="459"/>
      <c r="AD11" s="184">
        <v>4</v>
      </c>
      <c r="AE11" s="217"/>
      <c r="AF11" s="217"/>
      <c r="AG11" s="217"/>
      <c r="AH11" s="218"/>
      <c r="AI11" s="218"/>
      <c r="AJ11" s="218"/>
      <c r="AK11" s="218"/>
      <c r="AL11" s="218"/>
      <c r="AM11" s="218"/>
      <c r="AN11" s="218"/>
      <c r="AO11" s="217"/>
      <c r="AP11" s="217"/>
      <c r="AQ11" s="217"/>
      <c r="AR11" s="217"/>
      <c r="AS11" s="181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31"/>
    </row>
    <row r="12" spans="1:57" ht="14.4" customHeight="1">
      <c r="A12" s="70">
        <f>IF(B12="","",COUNTA($B$8:B12))</f>
        <v>5</v>
      </c>
      <c r="B12" s="275" t="s">
        <v>193</v>
      </c>
      <c r="C12" s="276"/>
      <c r="D12" s="276"/>
      <c r="E12" s="276"/>
      <c r="F12" s="276"/>
      <c r="G12" s="276"/>
      <c r="H12" s="277" t="s">
        <v>374</v>
      </c>
      <c r="I12" s="181" t="s">
        <v>194</v>
      </c>
      <c r="J12" s="182"/>
      <c r="K12" s="182"/>
      <c r="L12" s="182"/>
      <c r="M12" s="182"/>
      <c r="N12" s="182"/>
      <c r="O12" s="276"/>
      <c r="P12" s="182"/>
      <c r="Q12" s="180"/>
      <c r="R12" s="275" t="s">
        <v>193</v>
      </c>
      <c r="S12" s="182"/>
      <c r="T12" s="182"/>
      <c r="U12" s="182"/>
      <c r="V12" s="182"/>
      <c r="W12" s="182"/>
      <c r="X12" s="180"/>
      <c r="Y12" s="445" t="s">
        <v>150</v>
      </c>
      <c r="Z12" s="446"/>
      <c r="AA12" s="457" t="s">
        <v>151</v>
      </c>
      <c r="AB12" s="458"/>
      <c r="AC12" s="459"/>
      <c r="AD12" s="184">
        <v>5</v>
      </c>
      <c r="AE12" s="217"/>
      <c r="AF12" s="217"/>
      <c r="AG12" s="217"/>
      <c r="AH12" s="218"/>
      <c r="AI12" s="218"/>
      <c r="AJ12" s="218"/>
      <c r="AK12" s="218"/>
      <c r="AL12" s="218"/>
      <c r="AM12" s="218"/>
      <c r="AN12" s="218"/>
      <c r="AO12" s="217"/>
      <c r="AP12" s="217"/>
      <c r="AQ12" s="217"/>
      <c r="AR12" s="217"/>
      <c r="AS12" s="181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31"/>
    </row>
    <row r="13" spans="1:57" ht="14.4" customHeight="1">
      <c r="A13" s="70">
        <f>IF(B13="","",COUNTA($B$8:B13))</f>
        <v>6</v>
      </c>
      <c r="B13" s="274" t="s">
        <v>195</v>
      </c>
      <c r="C13" s="276"/>
      <c r="D13" s="276"/>
      <c r="E13" s="276"/>
      <c r="F13" s="276"/>
      <c r="G13" s="276"/>
      <c r="H13" s="277" t="s">
        <v>374</v>
      </c>
      <c r="I13" s="181" t="s">
        <v>196</v>
      </c>
      <c r="J13" s="182"/>
      <c r="K13" s="182"/>
      <c r="L13" s="182"/>
      <c r="M13" s="182"/>
      <c r="N13" s="182"/>
      <c r="O13" s="182"/>
      <c r="P13" s="182"/>
      <c r="Q13" s="180"/>
      <c r="R13" s="275" t="s">
        <v>195</v>
      </c>
      <c r="S13" s="182"/>
      <c r="T13" s="182"/>
      <c r="U13" s="182"/>
      <c r="V13" s="182"/>
      <c r="W13" s="182"/>
      <c r="X13" s="180"/>
      <c r="Y13" s="445" t="s">
        <v>150</v>
      </c>
      <c r="Z13" s="446"/>
      <c r="AA13" s="457" t="s">
        <v>151</v>
      </c>
      <c r="AB13" s="458"/>
      <c r="AC13" s="459"/>
      <c r="AD13" s="267">
        <v>80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1513</v>
      </c>
    </row>
    <row r="14" spans="1:57" ht="14.4" customHeight="1">
      <c r="A14" s="70">
        <f>IF(B14="","",COUNTA($B$8:B14))</f>
        <v>7</v>
      </c>
      <c r="B14" s="274" t="s">
        <v>197</v>
      </c>
      <c r="C14" s="179"/>
      <c r="D14" s="179"/>
      <c r="E14" s="179"/>
      <c r="F14" s="179"/>
      <c r="G14" s="179"/>
      <c r="H14" s="277" t="s">
        <v>374</v>
      </c>
      <c r="I14" s="181" t="s">
        <v>198</v>
      </c>
      <c r="J14" s="182"/>
      <c r="K14" s="182"/>
      <c r="L14" s="182"/>
      <c r="M14" s="182"/>
      <c r="N14" s="182"/>
      <c r="O14" s="182"/>
      <c r="P14" s="182"/>
      <c r="Q14" s="180"/>
      <c r="R14" s="274" t="s">
        <v>197</v>
      </c>
      <c r="S14" s="182"/>
      <c r="T14" s="182"/>
      <c r="U14" s="182"/>
      <c r="V14" s="182"/>
      <c r="W14" s="182"/>
      <c r="X14" s="180"/>
      <c r="Y14" s="445" t="s">
        <v>150</v>
      </c>
      <c r="Z14" s="446"/>
      <c r="AA14" s="457" t="s">
        <v>151</v>
      </c>
      <c r="AB14" s="458"/>
      <c r="AC14" s="459"/>
      <c r="AD14" s="184">
        <v>5</v>
      </c>
      <c r="AE14" s="217"/>
      <c r="AF14" s="217"/>
      <c r="AG14" s="217"/>
      <c r="AH14" s="218"/>
      <c r="AI14" s="218"/>
      <c r="AJ14" s="218"/>
      <c r="AK14" s="218"/>
      <c r="AL14" s="218"/>
      <c r="AM14" s="218"/>
      <c r="AN14" s="218"/>
      <c r="AO14" s="217"/>
      <c r="AP14" s="217"/>
      <c r="AQ14" s="217"/>
      <c r="AR14" s="217"/>
      <c r="AS14" s="181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31"/>
    </row>
    <row r="15" spans="1:57" ht="14.4" customHeight="1">
      <c r="A15" s="70">
        <f>IF(B15="","",COUNTA($B$8:B15))</f>
        <v>8</v>
      </c>
      <c r="B15" s="185" t="s">
        <v>199</v>
      </c>
      <c r="C15" s="179"/>
      <c r="D15" s="179"/>
      <c r="E15" s="179"/>
      <c r="F15" s="179"/>
      <c r="G15" s="179"/>
      <c r="H15" s="277" t="s">
        <v>374</v>
      </c>
      <c r="I15" s="181" t="s">
        <v>200</v>
      </c>
      <c r="J15" s="182"/>
      <c r="K15" s="182"/>
      <c r="L15" s="182"/>
      <c r="M15" s="182"/>
      <c r="N15" s="182"/>
      <c r="O15" s="182"/>
      <c r="P15" s="182"/>
      <c r="Q15" s="180"/>
      <c r="R15" s="274" t="s">
        <v>199</v>
      </c>
      <c r="S15" s="182"/>
      <c r="T15" s="182"/>
      <c r="U15" s="182"/>
      <c r="V15" s="182"/>
      <c r="W15" s="182"/>
      <c r="X15" s="180"/>
      <c r="Y15" s="445" t="s">
        <v>150</v>
      </c>
      <c r="Z15" s="446"/>
      <c r="AA15" s="457" t="s">
        <v>151</v>
      </c>
      <c r="AB15" s="458"/>
      <c r="AC15" s="459"/>
      <c r="AD15" s="184">
        <v>20</v>
      </c>
      <c r="AE15" s="217"/>
      <c r="AF15" s="217"/>
      <c r="AG15" s="217"/>
      <c r="AH15" s="218"/>
      <c r="AI15" s="218"/>
      <c r="AJ15" s="218"/>
      <c r="AK15" s="218"/>
      <c r="AL15" s="218"/>
      <c r="AM15" s="218"/>
      <c r="AN15" s="218"/>
      <c r="AO15" s="217"/>
      <c r="AP15" s="217"/>
      <c r="AQ15" s="217"/>
      <c r="AR15" s="217"/>
      <c r="AS15" s="181"/>
      <c r="AT15" s="219"/>
      <c r="AU15" s="219"/>
      <c r="AV15" s="219"/>
      <c r="AW15" s="219"/>
      <c r="AX15" s="219"/>
      <c r="AY15" s="219"/>
      <c r="AZ15" s="219"/>
      <c r="BA15" s="219"/>
      <c r="BB15" s="219"/>
      <c r="BC15" s="219"/>
      <c r="BD15" s="231"/>
    </row>
    <row r="16" spans="1:57" ht="14.4" customHeight="1">
      <c r="A16" s="70">
        <f>IF(B16="","",COUNTA($B$8:B16))</f>
        <v>9</v>
      </c>
      <c r="B16" s="274" t="s">
        <v>201</v>
      </c>
      <c r="C16" s="179"/>
      <c r="D16" s="179"/>
      <c r="E16" s="179"/>
      <c r="F16" s="179"/>
      <c r="G16" s="179"/>
      <c r="H16" s="277" t="s">
        <v>374</v>
      </c>
      <c r="I16" s="181" t="s">
        <v>202</v>
      </c>
      <c r="J16" s="182"/>
      <c r="K16" s="182"/>
      <c r="L16" s="182"/>
      <c r="M16" s="182"/>
      <c r="N16" s="182"/>
      <c r="O16" s="182"/>
      <c r="P16" s="182"/>
      <c r="Q16" s="180"/>
      <c r="R16" s="274" t="s">
        <v>201</v>
      </c>
      <c r="S16" s="182"/>
      <c r="T16" s="182"/>
      <c r="U16" s="182"/>
      <c r="V16" s="182"/>
      <c r="W16" s="182"/>
      <c r="X16" s="180"/>
      <c r="Y16" s="445" t="s">
        <v>150</v>
      </c>
      <c r="Z16" s="446"/>
      <c r="AA16" s="457" t="s">
        <v>151</v>
      </c>
      <c r="AB16" s="458"/>
      <c r="AC16" s="459"/>
      <c r="AD16" s="184">
        <v>30</v>
      </c>
      <c r="AE16" s="217"/>
      <c r="AF16" s="217"/>
      <c r="AG16" s="217"/>
      <c r="AH16" s="218"/>
      <c r="AI16" s="218"/>
      <c r="AJ16" s="218"/>
      <c r="AK16" s="218"/>
      <c r="AL16" s="218"/>
      <c r="AM16" s="218"/>
      <c r="AN16" s="218"/>
      <c r="AO16" s="217"/>
      <c r="AP16" s="217"/>
      <c r="AQ16" s="217"/>
      <c r="AR16" s="217"/>
      <c r="AS16" s="181"/>
      <c r="AT16" s="219"/>
      <c r="AU16" s="219"/>
      <c r="AV16" s="219"/>
      <c r="AW16" s="219"/>
      <c r="AX16" s="219"/>
      <c r="AY16" s="219"/>
      <c r="AZ16" s="219"/>
      <c r="BA16" s="219"/>
      <c r="BB16" s="219"/>
      <c r="BC16" s="219"/>
      <c r="BD16" s="231"/>
    </row>
    <row r="17" spans="1:56" ht="14.4" customHeight="1">
      <c r="A17" s="70">
        <f>IF(B17="","",COUNTA($B$8:B17))</f>
        <v>10</v>
      </c>
      <c r="B17" s="274" t="s">
        <v>203</v>
      </c>
      <c r="C17" s="179"/>
      <c r="D17" s="179"/>
      <c r="E17" s="179"/>
      <c r="F17" s="179"/>
      <c r="G17" s="179"/>
      <c r="H17" s="277" t="s">
        <v>374</v>
      </c>
      <c r="I17" s="181" t="s">
        <v>204</v>
      </c>
      <c r="J17" s="182"/>
      <c r="K17" s="182"/>
      <c r="L17" s="182"/>
      <c r="M17" s="182"/>
      <c r="N17" s="182"/>
      <c r="O17" s="262"/>
      <c r="P17" s="182"/>
      <c r="Q17" s="180"/>
      <c r="R17" s="274" t="s">
        <v>203</v>
      </c>
      <c r="S17" s="182"/>
      <c r="T17" s="182"/>
      <c r="U17" s="182"/>
      <c r="V17" s="182"/>
      <c r="W17" s="182"/>
      <c r="X17" s="180"/>
      <c r="Y17" s="445" t="s">
        <v>155</v>
      </c>
      <c r="Z17" s="446"/>
      <c r="AA17" s="457" t="s">
        <v>156</v>
      </c>
      <c r="AB17" s="458"/>
      <c r="AC17" s="459"/>
      <c r="AD17" s="184">
        <v>5</v>
      </c>
      <c r="AE17" s="217">
        <v>2</v>
      </c>
      <c r="AF17" s="217"/>
      <c r="AG17" s="217"/>
      <c r="AH17" s="218"/>
      <c r="AI17" s="218"/>
      <c r="AJ17" s="218"/>
      <c r="AK17" s="218"/>
      <c r="AL17" s="218"/>
      <c r="AM17" s="218"/>
      <c r="AN17" s="218"/>
      <c r="AO17" s="217"/>
      <c r="AP17" s="217"/>
      <c r="AQ17" s="217"/>
      <c r="AR17" s="217"/>
      <c r="AS17" s="181"/>
      <c r="AT17" s="219"/>
      <c r="AU17" s="219"/>
      <c r="AV17" s="219"/>
      <c r="AW17" s="219"/>
      <c r="AX17" s="219"/>
      <c r="AY17" s="219"/>
      <c r="AZ17" s="219"/>
      <c r="BA17" s="219"/>
      <c r="BB17" s="219"/>
      <c r="BC17" s="219"/>
      <c r="BD17" s="231"/>
    </row>
    <row r="18" spans="1:56" ht="14.4" customHeight="1">
      <c r="A18" s="70">
        <f>IF(B18="","",COUNTA($B$8:B18))</f>
        <v>11</v>
      </c>
      <c r="B18" s="275" t="s">
        <v>205</v>
      </c>
      <c r="C18" s="276"/>
      <c r="D18" s="276"/>
      <c r="E18" s="276"/>
      <c r="F18" s="276"/>
      <c r="G18" s="276"/>
      <c r="H18" s="277" t="s">
        <v>374</v>
      </c>
      <c r="I18" s="181" t="s">
        <v>206</v>
      </c>
      <c r="J18" s="182"/>
      <c r="K18" s="182"/>
      <c r="L18" s="182"/>
      <c r="M18" s="182"/>
      <c r="N18" s="182"/>
      <c r="O18" s="276"/>
      <c r="P18" s="182"/>
      <c r="Q18" s="180"/>
      <c r="R18" s="275" t="s">
        <v>205</v>
      </c>
      <c r="S18" s="182"/>
      <c r="T18" s="182"/>
      <c r="U18" s="182"/>
      <c r="V18" s="182"/>
      <c r="W18" s="182"/>
      <c r="X18" s="180"/>
      <c r="Y18" s="445" t="s">
        <v>155</v>
      </c>
      <c r="Z18" s="446"/>
      <c r="AA18" s="457" t="s">
        <v>156</v>
      </c>
      <c r="AB18" s="458"/>
      <c r="AC18" s="459"/>
      <c r="AD18" s="184">
        <v>4</v>
      </c>
      <c r="AE18" s="217"/>
      <c r="AF18" s="217"/>
      <c r="AG18" s="217"/>
      <c r="AH18" s="218"/>
      <c r="AI18" s="218"/>
      <c r="AJ18" s="218"/>
      <c r="AK18" s="218"/>
      <c r="AL18" s="218"/>
      <c r="AM18" s="218"/>
      <c r="AN18" s="218"/>
      <c r="AO18" s="217"/>
      <c r="AP18" s="217"/>
      <c r="AQ18" s="217"/>
      <c r="AR18" s="217"/>
      <c r="AS18" s="181"/>
      <c r="AT18" s="219"/>
      <c r="AU18" s="219"/>
      <c r="AV18" s="219"/>
      <c r="AW18" s="219"/>
      <c r="AX18" s="219"/>
      <c r="AY18" s="219"/>
      <c r="AZ18" s="219"/>
      <c r="BA18" s="219"/>
      <c r="BB18" s="219"/>
      <c r="BC18" s="219"/>
      <c r="BD18" s="231"/>
    </row>
    <row r="19" spans="1:56" ht="14.4" customHeight="1">
      <c r="A19" s="70">
        <f>IF(B19="","",COUNTA($B$8:B19))</f>
        <v>12</v>
      </c>
      <c r="B19" s="275" t="s">
        <v>208</v>
      </c>
      <c r="C19" s="276"/>
      <c r="D19" s="276"/>
      <c r="E19" s="276"/>
      <c r="F19" s="276"/>
      <c r="G19" s="276"/>
      <c r="H19" s="277" t="s">
        <v>374</v>
      </c>
      <c r="I19" s="181" t="s">
        <v>209</v>
      </c>
      <c r="J19" s="182"/>
      <c r="K19" s="182"/>
      <c r="L19" s="182"/>
      <c r="M19" s="182"/>
      <c r="N19" s="182"/>
      <c r="O19" s="276"/>
      <c r="P19" s="182"/>
      <c r="Q19" s="180"/>
      <c r="R19" s="275" t="s">
        <v>208</v>
      </c>
      <c r="S19" s="182"/>
      <c r="T19" s="182"/>
      <c r="U19" s="182"/>
      <c r="V19" s="182"/>
      <c r="W19" s="182"/>
      <c r="X19" s="180"/>
      <c r="Y19" s="445" t="s">
        <v>155</v>
      </c>
      <c r="Z19" s="446"/>
      <c r="AA19" s="457" t="s">
        <v>156</v>
      </c>
      <c r="AB19" s="458"/>
      <c r="AC19" s="459"/>
      <c r="AD19" s="184">
        <v>5</v>
      </c>
      <c r="AE19" s="217"/>
      <c r="AF19" s="217"/>
      <c r="AG19" s="217"/>
      <c r="AH19" s="218"/>
      <c r="AI19" s="218"/>
      <c r="AJ19" s="218"/>
      <c r="AK19" s="218"/>
      <c r="AL19" s="218"/>
      <c r="AM19" s="218"/>
      <c r="AN19" s="218"/>
      <c r="AO19" s="217"/>
      <c r="AP19" s="217"/>
      <c r="AQ19" s="217"/>
      <c r="AR19" s="217"/>
      <c r="AS19" s="181"/>
      <c r="AT19" s="219"/>
      <c r="AU19" s="219"/>
      <c r="AV19" s="219"/>
      <c r="AW19" s="219"/>
      <c r="AX19" s="219"/>
      <c r="AY19" s="219"/>
      <c r="AZ19" s="219"/>
      <c r="BA19" s="219"/>
      <c r="BB19" s="219"/>
      <c r="BC19" s="219"/>
      <c r="BD19" s="231"/>
    </row>
    <row r="20" spans="1:56" ht="14.4" customHeight="1">
      <c r="A20" s="70">
        <f>IF(B20="","",COUNTA($B$8:B20))</f>
        <v>13</v>
      </c>
      <c r="B20" s="274" t="s">
        <v>375</v>
      </c>
      <c r="C20" s="179"/>
      <c r="D20" s="179"/>
      <c r="E20" s="179"/>
      <c r="F20" s="179"/>
      <c r="G20" s="179"/>
      <c r="H20" s="180"/>
      <c r="I20" s="181" t="s">
        <v>376</v>
      </c>
      <c r="J20" s="182"/>
      <c r="K20" s="182"/>
      <c r="L20" s="182"/>
      <c r="M20" s="182"/>
      <c r="N20" s="182"/>
      <c r="O20" s="262"/>
      <c r="P20" s="182"/>
      <c r="Q20" s="180"/>
      <c r="R20" s="185" t="s">
        <v>375</v>
      </c>
      <c r="S20" s="182"/>
      <c r="T20" s="182"/>
      <c r="U20" s="182"/>
      <c r="V20" s="182"/>
      <c r="W20" s="182"/>
      <c r="X20" s="180"/>
      <c r="Y20" s="445" t="s">
        <v>169</v>
      </c>
      <c r="Z20" s="446"/>
      <c r="AA20" s="457" t="s">
        <v>170</v>
      </c>
      <c r="AB20" s="458"/>
      <c r="AC20" s="459"/>
      <c r="AD20" s="263"/>
      <c r="AE20" s="217"/>
      <c r="AF20" s="217"/>
      <c r="AG20" s="217"/>
      <c r="AH20" s="218"/>
      <c r="AI20" s="218"/>
      <c r="AJ20" s="218"/>
      <c r="AK20" s="218"/>
      <c r="AL20" s="218"/>
      <c r="AM20" s="218"/>
      <c r="AN20" s="218"/>
      <c r="AO20" s="217"/>
      <c r="AP20" s="217"/>
      <c r="AQ20" s="217"/>
      <c r="AR20" s="217"/>
      <c r="AS20" s="181" t="s">
        <v>411</v>
      </c>
      <c r="AT20" s="219"/>
      <c r="AU20" s="219"/>
      <c r="AV20" s="219"/>
      <c r="AW20" s="219"/>
      <c r="AX20" s="219"/>
      <c r="AY20" s="219"/>
      <c r="AZ20" s="219"/>
      <c r="BA20" s="219"/>
      <c r="BB20" s="219"/>
      <c r="BC20" s="219"/>
      <c r="BD20" s="231"/>
    </row>
    <row r="21" spans="1:56" ht="14.4" customHeight="1">
      <c r="A21" s="70">
        <f>IF(B21="","",COUNTA($B$8:B21))</f>
        <v>14</v>
      </c>
      <c r="B21" s="274" t="s">
        <v>249</v>
      </c>
      <c r="C21" s="179"/>
      <c r="D21" s="179"/>
      <c r="E21" s="179"/>
      <c r="F21" s="179"/>
      <c r="G21" s="179"/>
      <c r="H21" s="180"/>
      <c r="I21" s="181" t="s">
        <v>250</v>
      </c>
      <c r="J21" s="182"/>
      <c r="K21" s="182"/>
      <c r="L21" s="182"/>
      <c r="M21" s="182"/>
      <c r="N21" s="182"/>
      <c r="O21" s="182"/>
      <c r="P21" s="182"/>
      <c r="Q21" s="183"/>
      <c r="R21" s="274" t="s">
        <v>249</v>
      </c>
      <c r="S21" s="182"/>
      <c r="T21" s="182"/>
      <c r="U21" s="182"/>
      <c r="V21" s="182"/>
      <c r="W21" s="182"/>
      <c r="X21" s="180"/>
      <c r="Y21" s="445" t="s">
        <v>150</v>
      </c>
      <c r="Z21" s="446"/>
      <c r="AA21" s="457" t="s">
        <v>151</v>
      </c>
      <c r="AB21" s="458"/>
      <c r="AC21" s="459"/>
      <c r="AD21" s="184">
        <v>4</v>
      </c>
      <c r="AE21" s="217"/>
      <c r="AF21" s="217"/>
      <c r="AG21" s="217"/>
      <c r="AH21" s="218"/>
      <c r="AI21" s="218"/>
      <c r="AJ21" s="218"/>
      <c r="AK21" s="218"/>
      <c r="AL21" s="218"/>
      <c r="AM21" s="218"/>
      <c r="AN21" s="218"/>
      <c r="AO21" s="217"/>
      <c r="AP21" s="217"/>
      <c r="AQ21" s="217"/>
      <c r="AR21" s="217"/>
      <c r="AS21" s="181"/>
      <c r="AT21" s="219"/>
      <c r="AU21" s="219"/>
      <c r="AV21" s="219"/>
      <c r="AW21" s="219"/>
      <c r="AX21" s="219"/>
      <c r="AY21" s="219"/>
      <c r="AZ21" s="219"/>
      <c r="BA21" s="219"/>
      <c r="BB21" s="219"/>
      <c r="BC21" s="219"/>
      <c r="BD21" s="231"/>
    </row>
    <row r="22" spans="1:56" ht="14.4" customHeight="1">
      <c r="A22" s="70">
        <f>IF(B22="","",COUNTA($B$8:B22))</f>
        <v>15</v>
      </c>
      <c r="B22" s="274" t="s">
        <v>251</v>
      </c>
      <c r="C22" s="179"/>
      <c r="D22" s="179"/>
      <c r="E22" s="179"/>
      <c r="F22" s="179"/>
      <c r="G22" s="179"/>
      <c r="H22" s="180"/>
      <c r="I22" s="181" t="s">
        <v>252</v>
      </c>
      <c r="J22" s="182"/>
      <c r="K22" s="182"/>
      <c r="L22" s="182"/>
      <c r="M22" s="182"/>
      <c r="N22" s="182"/>
      <c r="O22" s="182"/>
      <c r="P22" s="182"/>
      <c r="Q22" s="183"/>
      <c r="R22" s="274" t="s">
        <v>251</v>
      </c>
      <c r="S22" s="182"/>
      <c r="T22" s="182"/>
      <c r="U22" s="182"/>
      <c r="V22" s="182"/>
      <c r="W22" s="182"/>
      <c r="X22" s="180"/>
      <c r="Y22" s="445" t="s">
        <v>150</v>
      </c>
      <c r="Z22" s="446"/>
      <c r="AA22" s="457" t="s">
        <v>151</v>
      </c>
      <c r="AB22" s="458"/>
      <c r="AC22" s="459"/>
      <c r="AD22" s="184">
        <v>4</v>
      </c>
      <c r="AE22" s="217"/>
      <c r="AF22" s="217"/>
      <c r="AG22" s="217"/>
      <c r="AH22" s="218"/>
      <c r="AI22" s="218"/>
      <c r="AJ22" s="218"/>
      <c r="AK22" s="218"/>
      <c r="AL22" s="218"/>
      <c r="AM22" s="218"/>
      <c r="AN22" s="218"/>
      <c r="AO22" s="217"/>
      <c r="AP22" s="217"/>
      <c r="AQ22" s="217"/>
      <c r="AR22" s="217"/>
      <c r="AS22" s="181"/>
      <c r="AT22" s="219"/>
      <c r="AU22" s="219"/>
      <c r="AV22" s="219"/>
      <c r="AW22" s="219"/>
      <c r="AX22" s="219"/>
      <c r="AY22" s="219"/>
      <c r="AZ22" s="219"/>
      <c r="BA22" s="219"/>
      <c r="BB22" s="219"/>
      <c r="BC22" s="219"/>
      <c r="BD22" s="231"/>
    </row>
    <row r="23" spans="1:56" ht="14.4" customHeight="1">
      <c r="A23" s="70">
        <f>IF(B23="","",COUNTA($B$8:B23))</f>
        <v>16</v>
      </c>
      <c r="B23" s="274" t="s">
        <v>253</v>
      </c>
      <c r="C23" s="179"/>
      <c r="D23" s="179"/>
      <c r="E23" s="179"/>
      <c r="F23" s="179"/>
      <c r="G23" s="179"/>
      <c r="H23" s="180"/>
      <c r="I23" s="181" t="s">
        <v>254</v>
      </c>
      <c r="J23" s="182"/>
      <c r="K23" s="182"/>
      <c r="L23" s="182"/>
      <c r="M23" s="182"/>
      <c r="N23" s="182"/>
      <c r="O23" s="182"/>
      <c r="P23" s="182"/>
      <c r="Q23" s="183"/>
      <c r="R23" s="274" t="s">
        <v>253</v>
      </c>
      <c r="S23" s="182"/>
      <c r="T23" s="182"/>
      <c r="U23" s="182"/>
      <c r="V23" s="182"/>
      <c r="W23" s="182"/>
      <c r="X23" s="180"/>
      <c r="Y23" s="445" t="s">
        <v>150</v>
      </c>
      <c r="Z23" s="446"/>
      <c r="AA23" s="457" t="s">
        <v>151</v>
      </c>
      <c r="AB23" s="458"/>
      <c r="AC23" s="459"/>
      <c r="AD23" s="184">
        <v>10</v>
      </c>
      <c r="AE23" s="217"/>
      <c r="AF23" s="217"/>
      <c r="AG23" s="217"/>
      <c r="AH23" s="218"/>
      <c r="AI23" s="218"/>
      <c r="AJ23" s="218"/>
      <c r="AK23" s="218"/>
      <c r="AL23" s="218"/>
      <c r="AM23" s="218"/>
      <c r="AN23" s="218"/>
      <c r="AO23" s="217"/>
      <c r="AP23" s="217"/>
      <c r="AQ23" s="217"/>
      <c r="AR23" s="217"/>
      <c r="AS23" s="181"/>
      <c r="AT23" s="219"/>
      <c r="AU23" s="219"/>
      <c r="AV23" s="219"/>
      <c r="AW23" s="219"/>
      <c r="AX23" s="219"/>
      <c r="AY23" s="219"/>
      <c r="AZ23" s="219"/>
      <c r="BA23" s="219"/>
      <c r="BB23" s="219"/>
      <c r="BC23" s="219"/>
      <c r="BD23" s="231"/>
    </row>
    <row r="24" spans="1:56" ht="14.4" customHeight="1">
      <c r="A24" s="70">
        <f>IF(B24="","",COUNTA($B$8:B24))</f>
        <v>17</v>
      </c>
      <c r="B24" s="274" t="s">
        <v>255</v>
      </c>
      <c r="C24" s="179"/>
      <c r="D24" s="179"/>
      <c r="E24" s="179"/>
      <c r="F24" s="179"/>
      <c r="G24" s="179"/>
      <c r="H24" s="180"/>
      <c r="I24" s="181" t="s">
        <v>256</v>
      </c>
      <c r="J24" s="182"/>
      <c r="K24" s="182"/>
      <c r="L24" s="182"/>
      <c r="M24" s="182"/>
      <c r="N24" s="182"/>
      <c r="O24" s="182"/>
      <c r="P24" s="182"/>
      <c r="Q24" s="183"/>
      <c r="R24" s="274" t="s">
        <v>255</v>
      </c>
      <c r="S24" s="182"/>
      <c r="T24" s="182"/>
      <c r="U24" s="182"/>
      <c r="V24" s="182"/>
      <c r="W24" s="182"/>
      <c r="X24" s="180"/>
      <c r="Y24" s="445" t="s">
        <v>150</v>
      </c>
      <c r="Z24" s="446"/>
      <c r="AA24" s="457" t="s">
        <v>151</v>
      </c>
      <c r="AB24" s="458"/>
      <c r="AC24" s="459"/>
      <c r="AD24" s="184">
        <v>10</v>
      </c>
      <c r="AE24" s="217"/>
      <c r="AF24" s="217"/>
      <c r="AG24" s="217"/>
      <c r="AH24" s="228"/>
      <c r="AI24" s="228"/>
      <c r="AJ24" s="218"/>
      <c r="AK24" s="218"/>
      <c r="AL24" s="218"/>
      <c r="AM24" s="218"/>
      <c r="AN24" s="218"/>
      <c r="AO24" s="217"/>
      <c r="AP24" s="217"/>
      <c r="AQ24" s="217"/>
      <c r="AR24" s="217"/>
      <c r="AS24" s="181"/>
      <c r="AT24" s="219"/>
      <c r="AU24" s="220"/>
      <c r="AV24" s="220"/>
      <c r="AW24" s="220"/>
      <c r="AX24" s="220"/>
      <c r="AY24" s="219"/>
      <c r="AZ24" s="219"/>
      <c r="BA24" s="219"/>
      <c r="BB24" s="219"/>
      <c r="BC24" s="219"/>
      <c r="BD24" s="231"/>
    </row>
    <row r="25" spans="1:56" ht="14.4" customHeight="1">
      <c r="A25" s="70">
        <f>IF(B25="","",COUNTA($B$8:B25))</f>
        <v>18</v>
      </c>
      <c r="B25" s="274" t="s">
        <v>257</v>
      </c>
      <c r="C25" s="179"/>
      <c r="D25" s="179"/>
      <c r="E25" s="179"/>
      <c r="F25" s="179"/>
      <c r="G25" s="179"/>
      <c r="H25" s="180"/>
      <c r="I25" s="181" t="s">
        <v>258</v>
      </c>
      <c r="J25" s="182"/>
      <c r="K25" s="182"/>
      <c r="L25" s="182"/>
      <c r="M25" s="182"/>
      <c r="N25" s="182"/>
      <c r="O25" s="182"/>
      <c r="P25" s="182"/>
      <c r="Q25" s="183"/>
      <c r="R25" s="274" t="s">
        <v>257</v>
      </c>
      <c r="S25" s="182"/>
      <c r="T25" s="182"/>
      <c r="U25" s="182"/>
      <c r="V25" s="182"/>
      <c r="W25" s="182"/>
      <c r="X25" s="180"/>
      <c r="Y25" s="445" t="s">
        <v>169</v>
      </c>
      <c r="Z25" s="446"/>
      <c r="AA25" s="457" t="s">
        <v>243</v>
      </c>
      <c r="AB25" s="458"/>
      <c r="AC25" s="459"/>
      <c r="AD25" s="263"/>
      <c r="AE25" s="217"/>
      <c r="AF25" s="217"/>
      <c r="AG25" s="217"/>
      <c r="AH25" s="218"/>
      <c r="AI25" s="218"/>
      <c r="AJ25" s="218"/>
      <c r="AK25" s="218"/>
      <c r="AL25" s="228"/>
      <c r="AM25" s="228"/>
      <c r="AN25" s="228"/>
      <c r="AO25" s="227"/>
      <c r="AP25" s="227"/>
      <c r="AQ25" s="227"/>
      <c r="AR25" s="227"/>
      <c r="AS25" s="229"/>
      <c r="AT25" s="230"/>
      <c r="AU25" s="220"/>
      <c r="AV25" s="220"/>
      <c r="AW25" s="220"/>
      <c r="AX25" s="220"/>
      <c r="AY25" s="220"/>
      <c r="AZ25" s="220"/>
      <c r="BA25" s="220"/>
      <c r="BB25" s="220"/>
      <c r="BC25" s="220"/>
      <c r="BD25" s="317"/>
    </row>
    <row r="26" spans="1:56" ht="14.4" customHeight="1">
      <c r="A26" s="70">
        <f>IF(B26="","",COUNTA($B$8:B26))</f>
        <v>19</v>
      </c>
      <c r="B26" s="274" t="s">
        <v>259</v>
      </c>
      <c r="C26" s="179"/>
      <c r="D26" s="179"/>
      <c r="E26" s="179"/>
      <c r="F26" s="179"/>
      <c r="G26" s="179"/>
      <c r="H26" s="180"/>
      <c r="I26" s="181" t="s">
        <v>260</v>
      </c>
      <c r="J26" s="182"/>
      <c r="K26" s="182"/>
      <c r="L26" s="182"/>
      <c r="M26" s="182"/>
      <c r="N26" s="182"/>
      <c r="O26" s="182"/>
      <c r="P26" s="182"/>
      <c r="Q26" s="183"/>
      <c r="R26" s="274" t="s">
        <v>259</v>
      </c>
      <c r="S26" s="182"/>
      <c r="T26" s="182"/>
      <c r="U26" s="182"/>
      <c r="V26" s="182"/>
      <c r="W26" s="182"/>
      <c r="X26" s="180"/>
      <c r="Y26" s="445" t="s">
        <v>150</v>
      </c>
      <c r="Z26" s="446"/>
      <c r="AA26" s="457" t="s">
        <v>151</v>
      </c>
      <c r="AB26" s="458"/>
      <c r="AC26" s="459"/>
      <c r="AD26" s="184">
        <v>10</v>
      </c>
      <c r="AE26" s="217"/>
      <c r="AF26" s="217"/>
      <c r="AG26" s="217"/>
      <c r="AH26" s="228"/>
      <c r="AI26" s="228"/>
      <c r="AJ26" s="228"/>
      <c r="AK26" s="228"/>
      <c r="AL26" s="228"/>
      <c r="AM26" s="228"/>
      <c r="AN26" s="228"/>
      <c r="AO26" s="227"/>
      <c r="AP26" s="227"/>
      <c r="AQ26" s="227"/>
      <c r="AR26" s="227"/>
      <c r="AS26" s="229"/>
      <c r="AT26" s="230"/>
      <c r="AU26" s="219"/>
      <c r="AV26" s="219"/>
      <c r="AW26" s="219"/>
      <c r="AX26" s="219"/>
      <c r="AY26" s="220"/>
      <c r="AZ26" s="220"/>
      <c r="BA26" s="220"/>
      <c r="BB26" s="220"/>
      <c r="BC26" s="220"/>
      <c r="BD26" s="317"/>
    </row>
    <row r="27" spans="1:56" ht="14.4" customHeight="1">
      <c r="A27" s="70">
        <f>IF(B27="","",COUNTA($B$8:B27))</f>
        <v>20</v>
      </c>
      <c r="B27" s="274" t="s">
        <v>261</v>
      </c>
      <c r="C27" s="179"/>
      <c r="D27" s="179"/>
      <c r="E27" s="179"/>
      <c r="F27" s="179"/>
      <c r="G27" s="179"/>
      <c r="H27" s="180"/>
      <c r="I27" s="181" t="s">
        <v>262</v>
      </c>
      <c r="J27" s="182"/>
      <c r="K27" s="182"/>
      <c r="L27" s="182"/>
      <c r="M27" s="182"/>
      <c r="N27" s="182"/>
      <c r="O27" s="182"/>
      <c r="P27" s="182"/>
      <c r="Q27" s="183"/>
      <c r="R27" s="274" t="s">
        <v>261</v>
      </c>
      <c r="S27" s="182"/>
      <c r="T27" s="182"/>
      <c r="U27" s="182"/>
      <c r="V27" s="182"/>
      <c r="W27" s="182"/>
      <c r="X27" s="180"/>
      <c r="Y27" s="445" t="s">
        <v>150</v>
      </c>
      <c r="Z27" s="446"/>
      <c r="AA27" s="457" t="s">
        <v>151</v>
      </c>
      <c r="AB27" s="458"/>
      <c r="AC27" s="459"/>
      <c r="AD27" s="263">
        <v>10</v>
      </c>
      <c r="AE27" s="217"/>
      <c r="AF27" s="217"/>
      <c r="AG27" s="217"/>
      <c r="AH27" s="228"/>
      <c r="AI27" s="228"/>
      <c r="AJ27" s="228"/>
      <c r="AK27" s="228"/>
      <c r="AL27" s="228"/>
      <c r="AM27" s="228"/>
      <c r="AN27" s="228"/>
      <c r="AO27" s="227"/>
      <c r="AP27" s="227"/>
      <c r="AQ27" s="227"/>
      <c r="AR27" s="227"/>
      <c r="AS27" s="229"/>
      <c r="AT27" s="230"/>
      <c r="AU27" s="219"/>
      <c r="AV27" s="219"/>
      <c r="AW27" s="219"/>
      <c r="AX27" s="219"/>
      <c r="AY27" s="219"/>
      <c r="AZ27" s="219"/>
      <c r="BA27" s="219"/>
      <c r="BB27" s="219"/>
      <c r="BC27" s="219"/>
      <c r="BD27" s="231"/>
    </row>
    <row r="28" spans="1:56" ht="14.4" customHeight="1">
      <c r="A28" s="70">
        <f>IF(B28="","",COUNTA($B$8:B28))</f>
        <v>21</v>
      </c>
      <c r="B28" s="274" t="s">
        <v>263</v>
      </c>
      <c r="C28" s="179"/>
      <c r="D28" s="179"/>
      <c r="E28" s="179"/>
      <c r="F28" s="179"/>
      <c r="G28" s="179"/>
      <c r="H28" s="180"/>
      <c r="I28" s="181" t="s">
        <v>264</v>
      </c>
      <c r="J28" s="182"/>
      <c r="K28" s="182"/>
      <c r="L28" s="182"/>
      <c r="M28" s="182"/>
      <c r="N28" s="182"/>
      <c r="O28" s="182"/>
      <c r="P28" s="182"/>
      <c r="Q28" s="183"/>
      <c r="R28" s="185" t="s">
        <v>263</v>
      </c>
      <c r="S28" s="182"/>
      <c r="T28" s="182"/>
      <c r="U28" s="182"/>
      <c r="V28" s="182"/>
      <c r="W28" s="182"/>
      <c r="X28" s="180"/>
      <c r="Y28" s="445" t="s">
        <v>169</v>
      </c>
      <c r="Z28" s="446"/>
      <c r="AA28" s="457" t="s">
        <v>243</v>
      </c>
      <c r="AB28" s="458"/>
      <c r="AC28" s="459"/>
      <c r="AD28" s="263"/>
      <c r="AE28" s="217"/>
      <c r="AF28" s="217"/>
      <c r="AG28" s="217"/>
      <c r="AH28" s="218"/>
      <c r="AI28" s="218"/>
      <c r="AJ28" s="218"/>
      <c r="AK28" s="218"/>
      <c r="AL28" s="218"/>
      <c r="AM28" s="218"/>
      <c r="AN28" s="218"/>
      <c r="AO28" s="217"/>
      <c r="AP28" s="217"/>
      <c r="AQ28" s="217"/>
      <c r="AR28" s="217"/>
      <c r="AS28" s="181"/>
      <c r="AT28" s="219"/>
      <c r="AU28" s="219"/>
      <c r="AV28" s="219"/>
      <c r="AW28" s="219"/>
      <c r="AX28" s="219"/>
      <c r="AY28" s="219"/>
      <c r="AZ28" s="219"/>
      <c r="BA28" s="219"/>
      <c r="BB28" s="219"/>
      <c r="BC28" s="219"/>
      <c r="BD28" s="231"/>
    </row>
    <row r="29" spans="1:56" ht="14.4" customHeight="1">
      <c r="A29" s="70" t="str">
        <f>IF(B29="","",COUNTA($B$8:B29))</f>
        <v/>
      </c>
      <c r="B29" s="25"/>
      <c r="C29" s="26"/>
      <c r="D29" s="26"/>
      <c r="E29" s="26"/>
      <c r="F29" s="26"/>
      <c r="G29" s="26"/>
      <c r="H29" s="39"/>
      <c r="I29" s="31"/>
      <c r="J29" s="23"/>
      <c r="K29" s="23"/>
      <c r="L29" s="23"/>
      <c r="M29" s="23"/>
      <c r="N29" s="23"/>
      <c r="O29" s="23"/>
      <c r="P29" s="23"/>
      <c r="Q29" s="24"/>
      <c r="R29" s="22"/>
      <c r="S29" s="23"/>
      <c r="T29" s="23"/>
      <c r="U29" s="23"/>
      <c r="V29" s="23"/>
      <c r="W29" s="23"/>
      <c r="X29" s="24"/>
      <c r="Y29" s="419"/>
      <c r="Z29" s="420"/>
      <c r="AA29" s="421"/>
      <c r="AB29" s="422"/>
      <c r="AC29" s="423"/>
      <c r="AD29" s="27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" customHeight="1">
      <c r="A30" s="70" t="str">
        <f>IF(B30="","",COUNTA($B$8:B30))</f>
        <v/>
      </c>
      <c r="B30" s="19"/>
      <c r="C30" s="20" t="s">
        <v>378</v>
      </c>
      <c r="D30" s="20"/>
      <c r="E30" s="20" t="s">
        <v>412</v>
      </c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419"/>
      <c r="Z30" s="420"/>
      <c r="AA30" s="421"/>
      <c r="AB30" s="422"/>
      <c r="AC30" s="423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419"/>
      <c r="Z31" s="420"/>
      <c r="AA31" s="421"/>
      <c r="AB31" s="422"/>
      <c r="AC31" s="423"/>
      <c r="AD31" s="69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419"/>
      <c r="Z32" s="420"/>
      <c r="AA32" s="421"/>
      <c r="AB32" s="422"/>
      <c r="AC32" s="423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419"/>
      <c r="Z33" s="420"/>
      <c r="AA33" s="421"/>
      <c r="AB33" s="422"/>
      <c r="AC33" s="423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419"/>
      <c r="Z34" s="420"/>
      <c r="AA34" s="421"/>
      <c r="AB34" s="422"/>
      <c r="AC34" s="423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419"/>
      <c r="Z35" s="420"/>
      <c r="AA35" s="421"/>
      <c r="AB35" s="422"/>
      <c r="AC35" s="423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419"/>
      <c r="Z36" s="420"/>
      <c r="AA36" s="421"/>
      <c r="AB36" s="422"/>
      <c r="AC36" s="423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419"/>
      <c r="Z37" s="420"/>
      <c r="AA37" s="421"/>
      <c r="AB37" s="422"/>
      <c r="AC37" s="423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419"/>
      <c r="Z38" s="420"/>
      <c r="AA38" s="421"/>
      <c r="AB38" s="422"/>
      <c r="AC38" s="423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419"/>
      <c r="Z39" s="420"/>
      <c r="AA39" s="421"/>
      <c r="AB39" s="422"/>
      <c r="AC39" s="423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419"/>
      <c r="Z40" s="420"/>
      <c r="AA40" s="421"/>
      <c r="AB40" s="422"/>
      <c r="AC40" s="423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419"/>
      <c r="Z41" s="420"/>
      <c r="AA41" s="421"/>
      <c r="AB41" s="422"/>
      <c r="AC41" s="423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419"/>
      <c r="Z42" s="420"/>
      <c r="AA42" s="421"/>
      <c r="AB42" s="422"/>
      <c r="AC42" s="423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19"/>
      <c r="Z43" s="420"/>
      <c r="AA43" s="421"/>
      <c r="AB43" s="422"/>
      <c r="AC43" s="423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419"/>
      <c r="Z44" s="420"/>
      <c r="AA44" s="421"/>
      <c r="AB44" s="422"/>
      <c r="AC44" s="423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419"/>
      <c r="Z45" s="420"/>
      <c r="AA45" s="421"/>
      <c r="AB45" s="422"/>
      <c r="AC45" s="423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419"/>
      <c r="Z46" s="420"/>
      <c r="AA46" s="421"/>
      <c r="AB46" s="422"/>
      <c r="AC46" s="423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44:Z44"/>
    <mergeCell ref="AA44:AC44"/>
    <mergeCell ref="Y45:Z45"/>
    <mergeCell ref="AA45:AC45"/>
    <mergeCell ref="Y46:Z46"/>
    <mergeCell ref="AA46:AC46"/>
    <mergeCell ref="Y20:Z20"/>
    <mergeCell ref="AA20:AC20"/>
    <mergeCell ref="Y42:Z42"/>
    <mergeCell ref="AA42:AC42"/>
    <mergeCell ref="Y43:Z43"/>
    <mergeCell ref="AA43:AC43"/>
    <mergeCell ref="Y41:Z41"/>
    <mergeCell ref="AA41:AC4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1:Z31"/>
    <mergeCell ref="AA31:AC31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AG6:AG7"/>
    <mergeCell ref="AH6:AH7"/>
    <mergeCell ref="AI6:AR6"/>
    <mergeCell ref="Y13:Z13"/>
    <mergeCell ref="AA13:AC13"/>
    <mergeCell ref="AS6:BD7"/>
    <mergeCell ref="Y8:Z8"/>
    <mergeCell ref="AA8:AC8"/>
    <mergeCell ref="Y40:Z40"/>
    <mergeCell ref="AA40:AC40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0:Z30"/>
    <mergeCell ref="AA30:AC30"/>
    <mergeCell ref="Y10:Z10"/>
    <mergeCell ref="AA10:AC10"/>
    <mergeCell ref="Y11:Z11"/>
    <mergeCell ref="AA11:AC11"/>
    <mergeCell ref="Y12:Z12"/>
    <mergeCell ref="AA12:AC12"/>
    <mergeCell ref="Y9:Z9"/>
    <mergeCell ref="AA9:AC9"/>
    <mergeCell ref="Y21:Z21"/>
    <mergeCell ref="AA21:AC21"/>
    <mergeCell ref="Y17:Z17"/>
    <mergeCell ref="AA17:AC17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I1:Q1"/>
    <mergeCell ref="R1:X1"/>
    <mergeCell ref="Y1:AO1"/>
    <mergeCell ref="AP1:AT1"/>
    <mergeCell ref="AU1:AY1"/>
    <mergeCell ref="AP4:AT4"/>
    <mergeCell ref="AU4:AY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Z4:BD4"/>
  </mergeCells>
  <phoneticPr fontId="5"/>
  <dataValidations count="3">
    <dataValidation imeMode="hiragana" allowBlank="1" showInputMessage="1" showErrorMessage="1" sqref="JO65536:JZ65538 TK65536:TV65538 ADG65536:ADR65538 ANC65536:ANN65538 AWY65536:AXJ65538 BGU65536:BHF65538 BQQ65536:BRB65538 CAM65536:CAX65538 CKI65536:CKT65538 CUE65536:CUP65538 DEA65536:DEL65538 DNW65536:DOH65538 DXS65536:DYD65538 EHO65536:EHZ65538 ERK65536:ERV65538 FBG65536:FBR65538 FLC65536:FLN65538 FUY65536:FVJ65538 GEU65536:GFF65538 GOQ65536:GPB65538 GYM65536:GYX65538 HII65536:HIT65538 HSE65536:HSP65538 ICA65536:ICL65538 ILW65536:IMH65538 IVS65536:IWD65538 JFO65536:JFZ65538 JPK65536:JPV65538 JZG65536:JZR65538 KJC65536:KJN65538 KSY65536:KTJ65538 LCU65536:LDF65538 LMQ65536:LNB65538 LWM65536:LWX65538 MGI65536:MGT65538 MQE65536:MQP65538 NAA65536:NAL65538 NJW65536:NKH65538 NTS65536:NUD65538 ODO65536:ODZ65538 ONK65536:ONV65538 OXG65536:OXR65538 PHC65536:PHN65538 PQY65536:PRJ65538 QAU65536:QBF65538 QKQ65536:QLB65538 QUM65536:QUX65538 REI65536:RET65538 ROE65536:ROP65538 RYA65536:RYL65538 SHW65536:SIH65538 SRS65536:SSD65538 TBO65536:TBZ65538 TLK65536:TLV65538 TVG65536:TVR65538 UFC65536:UFN65538 UOY65536:UPJ65538 UYU65536:UZF65538 VIQ65536:VJB65538 VSM65536:VSX65538 WCI65536:WCT65538 WME65536:WMP65538 WWA65536:WWL65538 JO131072:JZ131074 TK131072:TV131074 ADG131072:ADR131074 ANC131072:ANN131074 AWY131072:AXJ131074 BGU131072:BHF131074 BQQ131072:BRB131074 CAM131072:CAX131074 CKI131072:CKT131074 CUE131072:CUP131074 DEA131072:DEL131074 DNW131072:DOH131074 DXS131072:DYD131074 EHO131072:EHZ131074 ERK131072:ERV131074 FBG131072:FBR131074 FLC131072:FLN131074 FUY131072:FVJ131074 GEU131072:GFF131074 GOQ131072:GPB131074 GYM131072:GYX131074 HII131072:HIT131074 HSE131072:HSP131074 ICA131072:ICL131074 ILW131072:IMH131074 IVS131072:IWD131074 JFO131072:JFZ131074 JPK131072:JPV131074 JZG131072:JZR131074 KJC131072:KJN131074 KSY131072:KTJ131074 LCU131072:LDF131074 LMQ131072:LNB131074 LWM131072:LWX131074 MGI131072:MGT131074 MQE131072:MQP131074 NAA131072:NAL131074 NJW131072:NKH131074 NTS131072:NUD131074 ODO131072:ODZ131074 ONK131072:ONV131074 OXG131072:OXR131074 PHC131072:PHN131074 PQY131072:PRJ131074 QAU131072:QBF131074 QKQ131072:QLB131074 QUM131072:QUX131074 REI131072:RET131074 ROE131072:ROP131074 RYA131072:RYL131074 SHW131072:SIH131074 SRS131072:SSD131074 TBO131072:TBZ131074 TLK131072:TLV131074 TVG131072:TVR131074 UFC131072:UFN131074 UOY131072:UPJ131074 UYU131072:UZF131074 VIQ131072:VJB131074 VSM131072:VSX131074 WCI131072:WCT131074 WME131072:WMP131074 WWA131072:WWL131074 JO196608:JZ196610 TK196608:TV196610 ADG196608:ADR196610 ANC196608:ANN196610 AWY196608:AXJ196610 BGU196608:BHF196610 BQQ196608:BRB196610 CAM196608:CAX196610 CKI196608:CKT196610 CUE196608:CUP196610 DEA196608:DEL196610 DNW196608:DOH196610 DXS196608:DYD196610 EHO196608:EHZ196610 ERK196608:ERV196610 FBG196608:FBR196610 FLC196608:FLN196610 FUY196608:FVJ196610 GEU196608:GFF196610 GOQ196608:GPB196610 GYM196608:GYX196610 HII196608:HIT196610 HSE196608:HSP196610 ICA196608:ICL196610 ILW196608:IMH196610 IVS196608:IWD196610 JFO196608:JFZ196610 JPK196608:JPV196610 JZG196608:JZR196610 KJC196608:KJN196610 KSY196608:KTJ196610 LCU196608:LDF196610 LMQ196608:LNB196610 LWM196608:LWX196610 MGI196608:MGT196610 MQE196608:MQP196610 NAA196608:NAL196610 NJW196608:NKH196610 NTS196608:NUD196610 ODO196608:ODZ196610 ONK196608:ONV196610 OXG196608:OXR196610 PHC196608:PHN196610 PQY196608:PRJ196610 QAU196608:QBF196610 QKQ196608:QLB196610 QUM196608:QUX196610 REI196608:RET196610 ROE196608:ROP196610 RYA196608:RYL196610 SHW196608:SIH196610 SRS196608:SSD196610 TBO196608:TBZ196610 TLK196608:TLV196610 TVG196608:TVR196610 UFC196608:UFN196610 UOY196608:UPJ196610 UYU196608:UZF196610 VIQ196608:VJB196610 VSM196608:VSX196610 WCI196608:WCT196610 WME196608:WMP196610 WWA196608:WWL196610 JO262144:JZ262146 TK262144:TV262146 ADG262144:ADR262146 ANC262144:ANN262146 AWY262144:AXJ262146 BGU262144:BHF262146 BQQ262144:BRB262146 CAM262144:CAX262146 CKI262144:CKT262146 CUE262144:CUP262146 DEA262144:DEL262146 DNW262144:DOH262146 DXS262144:DYD262146 EHO262144:EHZ262146 ERK262144:ERV262146 FBG262144:FBR262146 FLC262144:FLN262146 FUY262144:FVJ262146 GEU262144:GFF262146 GOQ262144:GPB262146 GYM262144:GYX262146 HII262144:HIT262146 HSE262144:HSP262146 ICA262144:ICL262146 ILW262144:IMH262146 IVS262144:IWD262146 JFO262144:JFZ262146 JPK262144:JPV262146 JZG262144:JZR262146 KJC262144:KJN262146 KSY262144:KTJ262146 LCU262144:LDF262146 LMQ262144:LNB262146 LWM262144:LWX262146 MGI262144:MGT262146 MQE262144:MQP262146 NAA262144:NAL262146 NJW262144:NKH262146 NTS262144:NUD262146 ODO262144:ODZ262146 ONK262144:ONV262146 OXG262144:OXR262146 PHC262144:PHN262146 PQY262144:PRJ262146 QAU262144:QBF262146 QKQ262144:QLB262146 QUM262144:QUX262146 REI262144:RET262146 ROE262144:ROP262146 RYA262144:RYL262146 SHW262144:SIH262146 SRS262144:SSD262146 TBO262144:TBZ262146 TLK262144:TLV262146 TVG262144:TVR262146 UFC262144:UFN262146 UOY262144:UPJ262146 UYU262144:UZF262146 VIQ262144:VJB262146 VSM262144:VSX262146 WCI262144:WCT262146 WME262144:WMP262146 WWA262144:WWL262146 JO327680:JZ327682 TK327680:TV327682 ADG327680:ADR327682 ANC327680:ANN327682 AWY327680:AXJ327682 BGU327680:BHF327682 BQQ327680:BRB327682 CAM327680:CAX327682 CKI327680:CKT327682 CUE327680:CUP327682 DEA327680:DEL327682 DNW327680:DOH327682 DXS327680:DYD327682 EHO327680:EHZ327682 ERK327680:ERV327682 FBG327680:FBR327682 FLC327680:FLN327682 FUY327680:FVJ327682 GEU327680:GFF327682 GOQ327680:GPB327682 GYM327680:GYX327682 HII327680:HIT327682 HSE327680:HSP327682 ICA327680:ICL327682 ILW327680:IMH327682 IVS327680:IWD327682 JFO327680:JFZ327682 JPK327680:JPV327682 JZG327680:JZR327682 KJC327680:KJN327682 KSY327680:KTJ327682 LCU327680:LDF327682 LMQ327680:LNB327682 LWM327680:LWX327682 MGI327680:MGT327682 MQE327680:MQP327682 NAA327680:NAL327682 NJW327680:NKH327682 NTS327680:NUD327682 ODO327680:ODZ327682 ONK327680:ONV327682 OXG327680:OXR327682 PHC327680:PHN327682 PQY327680:PRJ327682 QAU327680:QBF327682 QKQ327680:QLB327682 QUM327680:QUX327682 REI327680:RET327682 ROE327680:ROP327682 RYA327680:RYL327682 SHW327680:SIH327682 SRS327680:SSD327682 TBO327680:TBZ327682 TLK327680:TLV327682 TVG327680:TVR327682 UFC327680:UFN327682 UOY327680:UPJ327682 UYU327680:UZF327682 VIQ327680:VJB327682 VSM327680:VSX327682 WCI327680:WCT327682 WME327680:WMP327682 WWA327680:WWL327682 JO393216:JZ393218 TK393216:TV393218 ADG393216:ADR393218 ANC393216:ANN393218 AWY393216:AXJ393218 BGU393216:BHF393218 BQQ393216:BRB393218 CAM393216:CAX393218 CKI393216:CKT393218 CUE393216:CUP393218 DEA393216:DEL393218 DNW393216:DOH393218 DXS393216:DYD393218 EHO393216:EHZ393218 ERK393216:ERV393218 FBG393216:FBR393218 FLC393216:FLN393218 FUY393216:FVJ393218 GEU393216:GFF393218 GOQ393216:GPB393218 GYM393216:GYX393218 HII393216:HIT393218 HSE393216:HSP393218 ICA393216:ICL393218 ILW393216:IMH393218 IVS393216:IWD393218 JFO393216:JFZ393218 JPK393216:JPV393218 JZG393216:JZR393218 KJC393216:KJN393218 KSY393216:KTJ393218 LCU393216:LDF393218 LMQ393216:LNB393218 LWM393216:LWX393218 MGI393216:MGT393218 MQE393216:MQP393218 NAA393216:NAL393218 NJW393216:NKH393218 NTS393216:NUD393218 ODO393216:ODZ393218 ONK393216:ONV393218 OXG393216:OXR393218 PHC393216:PHN393218 PQY393216:PRJ393218 QAU393216:QBF393218 QKQ393216:QLB393218 QUM393216:QUX393218 REI393216:RET393218 ROE393216:ROP393218 RYA393216:RYL393218 SHW393216:SIH393218 SRS393216:SSD393218 TBO393216:TBZ393218 TLK393216:TLV393218 TVG393216:TVR393218 UFC393216:UFN393218 UOY393216:UPJ393218 UYU393216:UZF393218 VIQ393216:VJB393218 VSM393216:VSX393218 WCI393216:WCT393218 WME393216:WMP393218 WWA393216:WWL393218 JO458752:JZ458754 TK458752:TV458754 ADG458752:ADR458754 ANC458752:ANN458754 AWY458752:AXJ458754 BGU458752:BHF458754 BQQ458752:BRB458754 CAM458752:CAX458754 CKI458752:CKT458754 CUE458752:CUP458754 DEA458752:DEL458754 DNW458752:DOH458754 DXS458752:DYD458754 EHO458752:EHZ458754 ERK458752:ERV458754 FBG458752:FBR458754 FLC458752:FLN458754 FUY458752:FVJ458754 GEU458752:GFF458754 GOQ458752:GPB458754 GYM458752:GYX458754 HII458752:HIT458754 HSE458752:HSP458754 ICA458752:ICL458754 ILW458752:IMH458754 IVS458752:IWD458754 JFO458752:JFZ458754 JPK458752:JPV458754 JZG458752:JZR458754 KJC458752:KJN458754 KSY458752:KTJ458754 LCU458752:LDF458754 LMQ458752:LNB458754 LWM458752:LWX458754 MGI458752:MGT458754 MQE458752:MQP458754 NAA458752:NAL458754 NJW458752:NKH458754 NTS458752:NUD458754 ODO458752:ODZ458754 ONK458752:ONV458754 OXG458752:OXR458754 PHC458752:PHN458754 PQY458752:PRJ458754 QAU458752:QBF458754 QKQ458752:QLB458754 QUM458752:QUX458754 REI458752:RET458754 ROE458752:ROP458754 RYA458752:RYL458754 SHW458752:SIH458754 SRS458752:SSD458754 TBO458752:TBZ458754 TLK458752:TLV458754 TVG458752:TVR458754 UFC458752:UFN458754 UOY458752:UPJ458754 UYU458752:UZF458754 VIQ458752:VJB458754 VSM458752:VSX458754 WCI458752:WCT458754 WME458752:WMP458754 WWA458752:WWL458754 JO524288:JZ524290 TK524288:TV524290 ADG524288:ADR524290 ANC524288:ANN524290 AWY524288:AXJ524290 BGU524288:BHF524290 BQQ524288:BRB524290 CAM524288:CAX524290 CKI524288:CKT524290 CUE524288:CUP524290 DEA524288:DEL524290 DNW524288:DOH524290 DXS524288:DYD524290 EHO524288:EHZ524290 ERK524288:ERV524290 FBG524288:FBR524290 FLC524288:FLN524290 FUY524288:FVJ524290 GEU524288:GFF524290 GOQ524288:GPB524290 GYM524288:GYX524290 HII524288:HIT524290 HSE524288:HSP524290 ICA524288:ICL524290 ILW524288:IMH524290 IVS524288:IWD524290 JFO524288:JFZ524290 JPK524288:JPV524290 JZG524288:JZR524290 KJC524288:KJN524290 KSY524288:KTJ524290 LCU524288:LDF524290 LMQ524288:LNB524290 LWM524288:LWX524290 MGI524288:MGT524290 MQE524288:MQP524290 NAA524288:NAL524290 NJW524288:NKH524290 NTS524288:NUD524290 ODO524288:ODZ524290 ONK524288:ONV524290 OXG524288:OXR524290 PHC524288:PHN524290 PQY524288:PRJ524290 QAU524288:QBF524290 QKQ524288:QLB524290 QUM524288:QUX524290 REI524288:RET524290 ROE524288:ROP524290 RYA524288:RYL524290 SHW524288:SIH524290 SRS524288:SSD524290 TBO524288:TBZ524290 TLK524288:TLV524290 TVG524288:TVR524290 UFC524288:UFN524290 UOY524288:UPJ524290 UYU524288:UZF524290 VIQ524288:VJB524290 VSM524288:VSX524290 WCI524288:WCT524290 WME524288:WMP524290 WWA524288:WWL524290 JO589824:JZ589826 TK589824:TV589826 ADG589824:ADR589826 ANC589824:ANN589826 AWY589824:AXJ589826 BGU589824:BHF589826 BQQ589824:BRB589826 CAM589824:CAX589826 CKI589824:CKT589826 CUE589824:CUP589826 DEA589824:DEL589826 DNW589824:DOH589826 DXS589824:DYD589826 EHO589824:EHZ589826 ERK589824:ERV589826 FBG589824:FBR589826 FLC589824:FLN589826 FUY589824:FVJ589826 GEU589824:GFF589826 GOQ589824:GPB589826 GYM589824:GYX589826 HII589824:HIT589826 HSE589824:HSP589826 ICA589824:ICL589826 ILW589824:IMH589826 IVS589824:IWD589826 JFO589824:JFZ589826 JPK589824:JPV589826 JZG589824:JZR589826 KJC589824:KJN589826 KSY589824:KTJ589826 LCU589824:LDF589826 LMQ589824:LNB589826 LWM589824:LWX589826 MGI589824:MGT589826 MQE589824:MQP589826 NAA589824:NAL589826 NJW589824:NKH589826 NTS589824:NUD589826 ODO589824:ODZ589826 ONK589824:ONV589826 OXG589824:OXR589826 PHC589824:PHN589826 PQY589824:PRJ589826 QAU589824:QBF589826 QKQ589824:QLB589826 QUM589824:QUX589826 REI589824:RET589826 ROE589824:ROP589826 RYA589824:RYL589826 SHW589824:SIH589826 SRS589824:SSD589826 TBO589824:TBZ589826 TLK589824:TLV589826 TVG589824:TVR589826 UFC589824:UFN589826 UOY589824:UPJ589826 UYU589824:UZF589826 VIQ589824:VJB589826 VSM589824:VSX589826 WCI589824:WCT589826 WME589824:WMP589826 WWA589824:WWL589826 JO655360:JZ655362 TK655360:TV655362 ADG655360:ADR655362 ANC655360:ANN655362 AWY655360:AXJ655362 BGU655360:BHF655362 BQQ655360:BRB655362 CAM655360:CAX655362 CKI655360:CKT655362 CUE655360:CUP655362 DEA655360:DEL655362 DNW655360:DOH655362 DXS655360:DYD655362 EHO655360:EHZ655362 ERK655360:ERV655362 FBG655360:FBR655362 FLC655360:FLN655362 FUY655360:FVJ655362 GEU655360:GFF655362 GOQ655360:GPB655362 GYM655360:GYX655362 HII655360:HIT655362 HSE655360:HSP655362 ICA655360:ICL655362 ILW655360:IMH655362 IVS655360:IWD655362 JFO655360:JFZ655362 JPK655360:JPV655362 JZG655360:JZR655362 KJC655360:KJN655362 KSY655360:KTJ655362 LCU655360:LDF655362 LMQ655360:LNB655362 LWM655360:LWX655362 MGI655360:MGT655362 MQE655360:MQP655362 NAA655360:NAL655362 NJW655360:NKH655362 NTS655360:NUD655362 ODO655360:ODZ655362 ONK655360:ONV655362 OXG655360:OXR655362 PHC655360:PHN655362 PQY655360:PRJ655362 QAU655360:QBF655362 QKQ655360:QLB655362 QUM655360:QUX655362 REI655360:RET655362 ROE655360:ROP655362 RYA655360:RYL655362 SHW655360:SIH655362 SRS655360:SSD655362 TBO655360:TBZ655362 TLK655360:TLV655362 TVG655360:TVR655362 UFC655360:UFN655362 UOY655360:UPJ655362 UYU655360:UZF655362 VIQ655360:VJB655362 VSM655360:VSX655362 WCI655360:WCT655362 WME655360:WMP655362 WWA655360:WWL655362 JO720896:JZ720898 TK720896:TV720898 ADG720896:ADR720898 ANC720896:ANN720898 AWY720896:AXJ720898 BGU720896:BHF720898 BQQ720896:BRB720898 CAM720896:CAX720898 CKI720896:CKT720898 CUE720896:CUP720898 DEA720896:DEL720898 DNW720896:DOH720898 DXS720896:DYD720898 EHO720896:EHZ720898 ERK720896:ERV720898 FBG720896:FBR720898 FLC720896:FLN720898 FUY720896:FVJ720898 GEU720896:GFF720898 GOQ720896:GPB720898 GYM720896:GYX720898 HII720896:HIT720898 HSE720896:HSP720898 ICA720896:ICL720898 ILW720896:IMH720898 IVS720896:IWD720898 JFO720896:JFZ720898 JPK720896:JPV720898 JZG720896:JZR720898 KJC720896:KJN720898 KSY720896:KTJ720898 LCU720896:LDF720898 LMQ720896:LNB720898 LWM720896:LWX720898 MGI720896:MGT720898 MQE720896:MQP720898 NAA720896:NAL720898 NJW720896:NKH720898 NTS720896:NUD720898 ODO720896:ODZ720898 ONK720896:ONV720898 OXG720896:OXR720898 PHC720896:PHN720898 PQY720896:PRJ720898 QAU720896:QBF720898 QKQ720896:QLB720898 QUM720896:QUX720898 REI720896:RET720898 ROE720896:ROP720898 RYA720896:RYL720898 SHW720896:SIH720898 SRS720896:SSD720898 TBO720896:TBZ720898 TLK720896:TLV720898 TVG720896:TVR720898 UFC720896:UFN720898 UOY720896:UPJ720898 UYU720896:UZF720898 VIQ720896:VJB720898 VSM720896:VSX720898 WCI720896:WCT720898 WME720896:WMP720898 WWA720896:WWL720898 JO786432:JZ786434 TK786432:TV786434 ADG786432:ADR786434 ANC786432:ANN786434 AWY786432:AXJ786434 BGU786432:BHF786434 BQQ786432:BRB786434 CAM786432:CAX786434 CKI786432:CKT786434 CUE786432:CUP786434 DEA786432:DEL786434 DNW786432:DOH786434 DXS786432:DYD786434 EHO786432:EHZ786434 ERK786432:ERV786434 FBG786432:FBR786434 FLC786432:FLN786434 FUY786432:FVJ786434 GEU786432:GFF786434 GOQ786432:GPB786434 GYM786432:GYX786434 HII786432:HIT786434 HSE786432:HSP786434 ICA786432:ICL786434 ILW786432:IMH786434 IVS786432:IWD786434 JFO786432:JFZ786434 JPK786432:JPV786434 JZG786432:JZR786434 KJC786432:KJN786434 KSY786432:KTJ786434 LCU786432:LDF786434 LMQ786432:LNB786434 LWM786432:LWX786434 MGI786432:MGT786434 MQE786432:MQP786434 NAA786432:NAL786434 NJW786432:NKH786434 NTS786432:NUD786434 ODO786432:ODZ786434 ONK786432:ONV786434 OXG786432:OXR786434 PHC786432:PHN786434 PQY786432:PRJ786434 QAU786432:QBF786434 QKQ786432:QLB786434 QUM786432:QUX786434 REI786432:RET786434 ROE786432:ROP786434 RYA786432:RYL786434 SHW786432:SIH786434 SRS786432:SSD786434 TBO786432:TBZ786434 TLK786432:TLV786434 TVG786432:TVR786434 UFC786432:UFN786434 UOY786432:UPJ786434 UYU786432:UZF786434 VIQ786432:VJB786434 VSM786432:VSX786434 WCI786432:WCT786434 WME786432:WMP786434 WWA786432:WWL786434 JO851968:JZ851970 TK851968:TV851970 ADG851968:ADR851970 ANC851968:ANN851970 AWY851968:AXJ851970 BGU851968:BHF851970 BQQ851968:BRB851970 CAM851968:CAX851970 CKI851968:CKT851970 CUE851968:CUP851970 DEA851968:DEL851970 DNW851968:DOH851970 DXS851968:DYD851970 EHO851968:EHZ851970 ERK851968:ERV851970 FBG851968:FBR851970 FLC851968:FLN851970 FUY851968:FVJ851970 GEU851968:GFF851970 GOQ851968:GPB851970 GYM851968:GYX851970 HII851968:HIT851970 HSE851968:HSP851970 ICA851968:ICL851970 ILW851968:IMH851970 IVS851968:IWD851970 JFO851968:JFZ851970 JPK851968:JPV851970 JZG851968:JZR851970 KJC851968:KJN851970 KSY851968:KTJ851970 LCU851968:LDF851970 LMQ851968:LNB851970 LWM851968:LWX851970 MGI851968:MGT851970 MQE851968:MQP851970 NAA851968:NAL851970 NJW851968:NKH851970 NTS851968:NUD851970 ODO851968:ODZ851970 ONK851968:ONV851970 OXG851968:OXR851970 PHC851968:PHN851970 PQY851968:PRJ851970 QAU851968:QBF851970 QKQ851968:QLB851970 QUM851968:QUX851970 REI851968:RET851970 ROE851968:ROP851970 RYA851968:RYL851970 SHW851968:SIH851970 SRS851968:SSD851970 TBO851968:TBZ851970 TLK851968:TLV851970 TVG851968:TVR851970 UFC851968:UFN851970 UOY851968:UPJ851970 UYU851968:UZF851970 VIQ851968:VJB851970 VSM851968:VSX851970 WCI851968:WCT851970 WME851968:WMP851970 WWA851968:WWL851970 JO917504:JZ917506 TK917504:TV917506 ADG917504:ADR917506 ANC917504:ANN917506 AWY917504:AXJ917506 BGU917504:BHF917506 BQQ917504:BRB917506 CAM917504:CAX917506 CKI917504:CKT917506 CUE917504:CUP917506 DEA917504:DEL917506 DNW917504:DOH917506 DXS917504:DYD917506 EHO917504:EHZ917506 ERK917504:ERV917506 FBG917504:FBR917506 FLC917504:FLN917506 FUY917504:FVJ917506 GEU917504:GFF917506 GOQ917504:GPB917506 GYM917504:GYX917506 HII917504:HIT917506 HSE917504:HSP917506 ICA917504:ICL917506 ILW917504:IMH917506 IVS917504:IWD917506 JFO917504:JFZ917506 JPK917504:JPV917506 JZG917504:JZR917506 KJC917504:KJN917506 KSY917504:KTJ917506 LCU917504:LDF917506 LMQ917504:LNB917506 LWM917504:LWX917506 MGI917504:MGT917506 MQE917504:MQP917506 NAA917504:NAL917506 NJW917504:NKH917506 NTS917504:NUD917506 ODO917504:ODZ917506 ONK917504:ONV917506 OXG917504:OXR917506 PHC917504:PHN917506 PQY917504:PRJ917506 QAU917504:QBF917506 QKQ917504:QLB917506 QUM917504:QUX917506 REI917504:RET917506 ROE917504:ROP917506 RYA917504:RYL917506 SHW917504:SIH917506 SRS917504:SSD917506 TBO917504:TBZ917506 TLK917504:TLV917506 TVG917504:TVR917506 UFC917504:UFN917506 UOY917504:UPJ917506 UYU917504:UZF917506 VIQ917504:VJB917506 VSM917504:VSX917506 WCI917504:WCT917506 WME917504:WMP917506 WWA917504:WWL917506 JO983040:JZ983042 TK983040:TV983042 ADG983040:ADR983042 ANC983040:ANN983042 AWY983040:AXJ983042 BGU983040:BHF983042 BQQ983040:BRB983042 CAM983040:CAX983042 CKI983040:CKT983042 CUE983040:CUP983042 DEA983040:DEL983042 DNW983040:DOH983042 DXS983040:DYD983042 EHO983040:EHZ983042 ERK983040:ERV983042 FBG983040:FBR983042 FLC983040:FLN983042 FUY983040:FVJ983042 GEU983040:GFF983042 GOQ983040:GPB983042 GYM983040:GYX983042 HII983040:HIT983042 HSE983040:HSP983042 ICA983040:ICL983042 ILW983040:IMH983042 IVS983040:IWD983042 JFO983040:JFZ983042 JPK983040:JPV983042 JZG983040:JZR983042 KJC983040:KJN983042 KSY983040:KTJ983042 LCU983040:LDF983042 LMQ983040:LNB983042 LWM983040:LWX983042 MGI983040:MGT983042 MQE983040:MQP983042 NAA983040:NAL983042 NJW983040:NKH983042 NTS983040:NUD983042 ODO983040:ODZ983042 ONK983040:ONV983042 OXG983040:OXR983042 PHC983040:PHN983042 PQY983040:PRJ983042 QAU983040:QBF983042 QKQ983040:QLB983042 QUM983040:QUX983042 REI983040:RET983042 ROE983040:ROP983042 RYA983040:RYL983042 SHW983040:SIH983042 SRS983040:SSD983042 TBO983040:TBZ983042 TLK983040:TLV983042 TVG983040:TVR983042 UFC983040:UFN983042 UOY983040:UPJ983042 UYU983040:UZF983042 VIQ983040:VJB983042 VSM983040:VSX983042 WCI983040:WCT983042 WME983040:WMP983042 WWA983040:WWL983042 Z262144:AJ262146 Z196608:AJ196610 Z131072:AJ131074 Z65536:AJ65538 Z983040:AJ983042 Z917504:AJ917506 Z851968:AJ851970 Z786432:AJ786434 Z720896:AJ720898 Z655360:AJ655362 Z589824:AJ589826 Z524288:AJ524290 Z458752:AJ458754 Z393216:AJ393218 Z327680:AJ32768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>
      <c r="A1" s="396" t="s">
        <v>78</v>
      </c>
      <c r="B1" s="397"/>
      <c r="C1" s="397"/>
      <c r="D1" s="397"/>
      <c r="E1" s="397"/>
      <c r="F1" s="397"/>
      <c r="G1" s="397"/>
      <c r="H1" s="398"/>
      <c r="I1" s="336" t="s">
        <v>79</v>
      </c>
      <c r="J1" s="337"/>
      <c r="K1" s="337"/>
      <c r="L1" s="337"/>
      <c r="M1" s="337"/>
      <c r="N1" s="337"/>
      <c r="O1" s="337"/>
      <c r="P1" s="337"/>
      <c r="Q1" s="338"/>
      <c r="R1" s="336" t="s">
        <v>80</v>
      </c>
      <c r="S1" s="337"/>
      <c r="T1" s="337"/>
      <c r="U1" s="337"/>
      <c r="V1" s="337"/>
      <c r="W1" s="337"/>
      <c r="X1" s="338"/>
      <c r="Y1" s="336" t="s">
        <v>135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8"/>
      <c r="AP1" s="407" t="s">
        <v>82</v>
      </c>
      <c r="AQ1" s="408"/>
      <c r="AR1" s="408"/>
      <c r="AS1" s="408"/>
      <c r="AT1" s="409"/>
      <c r="AU1" s="407" t="s">
        <v>83</v>
      </c>
      <c r="AV1" s="408"/>
      <c r="AW1" s="408"/>
      <c r="AX1" s="408"/>
      <c r="AY1" s="409"/>
      <c r="AZ1" s="407" t="s">
        <v>84</v>
      </c>
      <c r="BA1" s="408"/>
      <c r="BB1" s="408"/>
      <c r="BC1" s="408"/>
      <c r="BD1" s="409"/>
    </row>
    <row r="2" spans="1:57" s="17" customFormat="1" ht="14.4" customHeight="1">
      <c r="A2" s="399"/>
      <c r="B2" s="400"/>
      <c r="C2" s="400"/>
      <c r="D2" s="400"/>
      <c r="E2" s="400"/>
      <c r="F2" s="400"/>
      <c r="G2" s="400"/>
      <c r="H2" s="401"/>
      <c r="I2" s="366" t="s">
        <v>85</v>
      </c>
      <c r="J2" s="367"/>
      <c r="K2" s="367"/>
      <c r="L2" s="367"/>
      <c r="M2" s="367"/>
      <c r="N2" s="367"/>
      <c r="O2" s="367"/>
      <c r="P2" s="367"/>
      <c r="Q2" s="368"/>
      <c r="R2" s="366" t="str">
        <f ca="1">VLOOKUP(RIGHT(CELL("filename",A2),LEN(CELL("filename",A2))-FIND("]",CELL("filename",A2))),テーブル一覧!B:AD,22,FALSE)</f>
        <v>B.生産計画</v>
      </c>
      <c r="S2" s="367"/>
      <c r="T2" s="367"/>
      <c r="U2" s="367"/>
      <c r="V2" s="367"/>
      <c r="W2" s="367"/>
      <c r="X2" s="368"/>
      <c r="Y2" s="366" t="str">
        <f ca="1">VLOOKUP(RIGHT(CELL("filename",A2),LEN(CELL("filename",A2))-FIND("]",CELL("filename",A2))),テーブル一覧!B:AD,1,FALSE)</f>
        <v>加工依頼明細情報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8"/>
      <c r="AP2" s="339"/>
      <c r="AQ2" s="340"/>
      <c r="AR2" s="340"/>
      <c r="AS2" s="340"/>
      <c r="AT2" s="341"/>
      <c r="AU2" s="58" t="s">
        <v>88</v>
      </c>
      <c r="AV2" s="59"/>
      <c r="AW2" s="59"/>
      <c r="AX2" s="59"/>
      <c r="AY2" s="60"/>
      <c r="AZ2" s="413" t="s">
        <v>89</v>
      </c>
      <c r="BA2" s="414"/>
      <c r="BB2" s="414"/>
      <c r="BC2" s="414"/>
      <c r="BD2" s="415"/>
    </row>
    <row r="3" spans="1:57" s="17" customFormat="1" ht="14.4" customHeight="1">
      <c r="A3" s="399"/>
      <c r="B3" s="400"/>
      <c r="C3" s="400"/>
      <c r="D3" s="400"/>
      <c r="E3" s="400"/>
      <c r="F3" s="400"/>
      <c r="G3" s="400"/>
      <c r="H3" s="401"/>
      <c r="I3" s="369"/>
      <c r="J3" s="370"/>
      <c r="K3" s="370"/>
      <c r="L3" s="370"/>
      <c r="M3" s="370"/>
      <c r="N3" s="370"/>
      <c r="O3" s="370"/>
      <c r="P3" s="370"/>
      <c r="Q3" s="371"/>
      <c r="R3" s="369"/>
      <c r="S3" s="370"/>
      <c r="T3" s="370"/>
      <c r="U3" s="370"/>
      <c r="V3" s="370"/>
      <c r="W3" s="370"/>
      <c r="X3" s="371"/>
      <c r="Y3" s="372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4"/>
      <c r="AP3" s="342"/>
      <c r="AQ3" s="343"/>
      <c r="AR3" s="343"/>
      <c r="AS3" s="343"/>
      <c r="AT3" s="344"/>
      <c r="AU3" s="410"/>
      <c r="AV3" s="411"/>
      <c r="AW3" s="411"/>
      <c r="AX3" s="411"/>
      <c r="AY3" s="412"/>
      <c r="AZ3" s="413"/>
      <c r="BA3" s="414"/>
      <c r="BB3" s="414"/>
      <c r="BC3" s="414"/>
      <c r="BD3" s="415"/>
    </row>
    <row r="4" spans="1:57" s="17" customFormat="1" ht="14.4" customHeight="1">
      <c r="A4" s="402"/>
      <c r="B4" s="403"/>
      <c r="C4" s="403"/>
      <c r="D4" s="403"/>
      <c r="E4" s="403"/>
      <c r="F4" s="403"/>
      <c r="G4" s="403"/>
      <c r="H4" s="404"/>
      <c r="I4" s="372"/>
      <c r="J4" s="373"/>
      <c r="K4" s="373"/>
      <c r="L4" s="373"/>
      <c r="M4" s="373"/>
      <c r="N4" s="373"/>
      <c r="O4" s="373"/>
      <c r="P4" s="373"/>
      <c r="Q4" s="374"/>
      <c r="R4" s="372"/>
      <c r="S4" s="373"/>
      <c r="T4" s="373"/>
      <c r="U4" s="373"/>
      <c r="V4" s="373"/>
      <c r="W4" s="373"/>
      <c r="X4" s="374"/>
      <c r="Y4" s="41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t_kako_irai_m</v>
      </c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8"/>
      <c r="AP4" s="342"/>
      <c r="AQ4" s="343"/>
      <c r="AR4" s="343"/>
      <c r="AS4" s="343"/>
      <c r="AT4" s="344"/>
      <c r="AU4" s="410"/>
      <c r="AV4" s="411"/>
      <c r="AW4" s="411"/>
      <c r="AX4" s="411"/>
      <c r="AY4" s="412"/>
      <c r="AZ4" s="413"/>
      <c r="BA4" s="414"/>
      <c r="BB4" s="414"/>
      <c r="BC4" s="414"/>
      <c r="BD4" s="415"/>
    </row>
    <row r="6" spans="1:57" ht="14.4" customHeight="1">
      <c r="A6" s="405" t="s">
        <v>90</v>
      </c>
      <c r="B6" s="386" t="s">
        <v>136</v>
      </c>
      <c r="C6" s="394"/>
      <c r="D6" s="394"/>
      <c r="E6" s="394"/>
      <c r="F6" s="394"/>
      <c r="G6" s="394"/>
      <c r="H6" s="387"/>
      <c r="I6" s="386" t="s">
        <v>137</v>
      </c>
      <c r="J6" s="394"/>
      <c r="K6" s="394"/>
      <c r="L6" s="394"/>
      <c r="M6" s="394"/>
      <c r="N6" s="394"/>
      <c r="O6" s="394"/>
      <c r="P6" s="394"/>
      <c r="Q6" s="387"/>
      <c r="R6" s="386" t="s">
        <v>138</v>
      </c>
      <c r="S6" s="394"/>
      <c r="T6" s="394"/>
      <c r="U6" s="394"/>
      <c r="V6" s="394"/>
      <c r="W6" s="394"/>
      <c r="X6" s="387"/>
      <c r="Y6" s="386" t="s">
        <v>139</v>
      </c>
      <c r="Z6" s="387"/>
      <c r="AA6" s="386" t="s">
        <v>140</v>
      </c>
      <c r="AB6" s="394"/>
      <c r="AC6" s="387"/>
      <c r="AD6" s="390" t="s">
        <v>141</v>
      </c>
      <c r="AE6" s="392" t="s">
        <v>142</v>
      </c>
      <c r="AF6" s="390" t="s">
        <v>143</v>
      </c>
      <c r="AG6" s="390" t="s">
        <v>144</v>
      </c>
      <c r="AH6" s="390" t="s">
        <v>145</v>
      </c>
      <c r="AI6" s="383" t="s">
        <v>146</v>
      </c>
      <c r="AJ6" s="384"/>
      <c r="AK6" s="384"/>
      <c r="AL6" s="384"/>
      <c r="AM6" s="384"/>
      <c r="AN6" s="384"/>
      <c r="AO6" s="384"/>
      <c r="AP6" s="384"/>
      <c r="AQ6" s="384"/>
      <c r="AR6" s="385"/>
      <c r="AS6" s="386" t="s">
        <v>147</v>
      </c>
      <c r="AT6" s="394"/>
      <c r="AU6" s="394"/>
      <c r="AV6" s="394"/>
      <c r="AW6" s="394"/>
      <c r="AX6" s="394"/>
      <c r="AY6" s="394"/>
      <c r="AZ6" s="394"/>
      <c r="BA6" s="394"/>
      <c r="BB6" s="394"/>
      <c r="BC6" s="394"/>
      <c r="BD6" s="387"/>
    </row>
    <row r="7" spans="1:57" ht="14.4" customHeight="1">
      <c r="A7" s="406"/>
      <c r="B7" s="388"/>
      <c r="C7" s="395"/>
      <c r="D7" s="395"/>
      <c r="E7" s="395"/>
      <c r="F7" s="395"/>
      <c r="G7" s="395"/>
      <c r="H7" s="389"/>
      <c r="I7" s="388"/>
      <c r="J7" s="395"/>
      <c r="K7" s="395"/>
      <c r="L7" s="395"/>
      <c r="M7" s="395"/>
      <c r="N7" s="395"/>
      <c r="O7" s="395"/>
      <c r="P7" s="395"/>
      <c r="Q7" s="389"/>
      <c r="R7" s="388"/>
      <c r="S7" s="395"/>
      <c r="T7" s="395"/>
      <c r="U7" s="395"/>
      <c r="V7" s="395"/>
      <c r="W7" s="395"/>
      <c r="X7" s="389"/>
      <c r="Y7" s="388"/>
      <c r="Z7" s="389"/>
      <c r="AA7" s="388"/>
      <c r="AB7" s="395"/>
      <c r="AC7" s="389"/>
      <c r="AD7" s="391"/>
      <c r="AE7" s="393"/>
      <c r="AF7" s="391"/>
      <c r="AG7" s="391"/>
      <c r="AH7" s="39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88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89"/>
    </row>
    <row r="8" spans="1:57" ht="14.4" customHeight="1">
      <c r="A8" s="70">
        <f>IF(B8="","",COUNTA($B$8:B8))</f>
        <v>1</v>
      </c>
      <c r="B8" s="274" t="s">
        <v>148</v>
      </c>
      <c r="C8" s="179"/>
      <c r="D8" s="179"/>
      <c r="E8" s="179"/>
      <c r="F8" s="179"/>
      <c r="G8" s="179"/>
      <c r="H8" s="180"/>
      <c r="I8" s="181" t="s">
        <v>149</v>
      </c>
      <c r="J8" s="182"/>
      <c r="K8" s="182"/>
      <c r="L8" s="182"/>
      <c r="M8" s="182"/>
      <c r="N8" s="182"/>
      <c r="O8" s="262"/>
      <c r="P8" s="182"/>
      <c r="Q8" s="180"/>
      <c r="R8" s="274" t="s">
        <v>148</v>
      </c>
      <c r="S8" s="182"/>
      <c r="T8" s="182"/>
      <c r="U8" s="182"/>
      <c r="V8" s="182"/>
      <c r="W8" s="182"/>
      <c r="X8" s="180"/>
      <c r="Y8" s="445" t="s">
        <v>150</v>
      </c>
      <c r="Z8" s="446"/>
      <c r="AA8" s="457" t="s">
        <v>151</v>
      </c>
      <c r="AB8" s="458"/>
      <c r="AC8" s="459"/>
      <c r="AD8" s="184">
        <v>15</v>
      </c>
      <c r="AE8" s="217"/>
      <c r="AF8" s="217">
        <v>1</v>
      </c>
      <c r="AG8" s="218" t="s">
        <v>152</v>
      </c>
      <c r="AH8" s="218"/>
      <c r="AI8" s="218"/>
      <c r="AJ8" s="218"/>
      <c r="AK8" s="218"/>
      <c r="AL8" s="218"/>
      <c r="AM8" s="218"/>
      <c r="AN8" s="218"/>
      <c r="AO8" s="217"/>
      <c r="AP8" s="217"/>
      <c r="AQ8" s="217"/>
      <c r="AR8" s="217"/>
      <c r="AS8" s="238"/>
      <c r="AT8" s="239"/>
      <c r="AU8" s="239"/>
      <c r="AV8" s="239"/>
      <c r="AW8" s="239"/>
      <c r="AX8" s="239"/>
      <c r="AY8" s="239"/>
      <c r="AZ8" s="239"/>
      <c r="BA8" s="239"/>
      <c r="BB8" s="239"/>
      <c r="BC8" s="239"/>
      <c r="BD8" s="240"/>
    </row>
    <row r="9" spans="1:57">
      <c r="A9" s="70">
        <f>IF(B9="","",COUNTA($B$8:B9))</f>
        <v>2</v>
      </c>
      <c r="B9" s="185" t="s">
        <v>1460</v>
      </c>
      <c r="C9" s="182"/>
      <c r="D9" s="182"/>
      <c r="E9" s="182"/>
      <c r="F9" s="182"/>
      <c r="G9" s="182"/>
      <c r="H9" s="183"/>
      <c r="I9" s="316" t="s">
        <v>1397</v>
      </c>
      <c r="J9" s="182"/>
      <c r="K9" s="182"/>
      <c r="L9" s="182"/>
      <c r="M9" s="182"/>
      <c r="N9" s="182"/>
      <c r="O9" s="182"/>
      <c r="P9" s="182"/>
      <c r="Q9" s="183"/>
      <c r="R9" s="185" t="s">
        <v>1460</v>
      </c>
      <c r="S9" s="182"/>
      <c r="T9" s="182"/>
      <c r="U9" s="182"/>
      <c r="V9" s="182"/>
      <c r="W9" s="182"/>
      <c r="X9" s="180"/>
      <c r="Y9" s="445" t="s">
        <v>1487</v>
      </c>
      <c r="Z9" s="446"/>
      <c r="AA9" s="457" t="s">
        <v>1488</v>
      </c>
      <c r="AB9" s="458"/>
      <c r="AC9" s="459"/>
      <c r="AD9" s="184">
        <v>5</v>
      </c>
      <c r="AE9" s="217"/>
      <c r="AF9" s="217">
        <v>2</v>
      </c>
      <c r="AG9" s="217" t="s">
        <v>1463</v>
      </c>
      <c r="AH9" s="218"/>
      <c r="AI9" s="218"/>
      <c r="AJ9" s="218"/>
      <c r="AK9" s="218"/>
      <c r="AL9" s="218"/>
      <c r="AM9" s="218"/>
      <c r="AN9" s="218"/>
      <c r="AO9" s="217"/>
      <c r="AP9" s="217"/>
      <c r="AQ9" s="217"/>
      <c r="AR9" s="217"/>
      <c r="AS9" s="181" t="s">
        <v>1461</v>
      </c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31"/>
      <c r="BE9" s="110" t="s">
        <v>1462</v>
      </c>
    </row>
    <row r="10" spans="1:57">
      <c r="A10" s="70">
        <f>IF(B10="","",COUNTA($B$8:B10))</f>
        <v>3</v>
      </c>
      <c r="B10" s="274" t="s">
        <v>338</v>
      </c>
      <c r="C10" s="179"/>
      <c r="D10" s="179"/>
      <c r="E10" s="179"/>
      <c r="F10" s="179"/>
      <c r="G10" s="179"/>
      <c r="H10" s="180"/>
      <c r="I10" s="181" t="s">
        <v>339</v>
      </c>
      <c r="J10" s="182"/>
      <c r="K10" s="182"/>
      <c r="L10" s="182"/>
      <c r="M10" s="182"/>
      <c r="N10" s="182"/>
      <c r="O10" s="262"/>
      <c r="P10" s="182"/>
      <c r="Q10" s="180"/>
      <c r="R10" s="274" t="s">
        <v>338</v>
      </c>
      <c r="S10" s="182"/>
      <c r="T10" s="182"/>
      <c r="U10" s="182"/>
      <c r="V10" s="182"/>
      <c r="W10" s="182"/>
      <c r="X10" s="180"/>
      <c r="Y10" s="445" t="s">
        <v>1487</v>
      </c>
      <c r="Z10" s="446"/>
      <c r="AA10" s="457" t="s">
        <v>1488</v>
      </c>
      <c r="AB10" s="458"/>
      <c r="AC10" s="459"/>
      <c r="AD10" s="184">
        <v>3</v>
      </c>
      <c r="AE10" s="217"/>
      <c r="AF10" s="217">
        <v>3</v>
      </c>
      <c r="AG10" s="217" t="s">
        <v>152</v>
      </c>
      <c r="AH10" s="218"/>
      <c r="AI10" s="218"/>
      <c r="AJ10" s="218"/>
      <c r="AK10" s="218"/>
      <c r="AL10" s="218"/>
      <c r="AM10" s="218"/>
      <c r="AN10" s="218"/>
      <c r="AO10" s="217"/>
      <c r="AP10" s="217"/>
      <c r="AQ10" s="217"/>
      <c r="AR10" s="217"/>
      <c r="AS10" s="181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31"/>
      <c r="BE10" s="110" t="s">
        <v>1462</v>
      </c>
    </row>
    <row r="11" spans="1:57" ht="14.4" customHeight="1">
      <c r="A11" s="70">
        <f>IF(B11="","",COUNTA($B$8:B11))</f>
        <v>4</v>
      </c>
      <c r="B11" s="274" t="s">
        <v>1430</v>
      </c>
      <c r="C11" s="179"/>
      <c r="D11" s="179"/>
      <c r="E11" s="179"/>
      <c r="F11" s="179"/>
      <c r="G11" s="179"/>
      <c r="H11" s="180"/>
      <c r="I11" s="181" t="s">
        <v>413</v>
      </c>
      <c r="J11" s="182"/>
      <c r="K11" s="182"/>
      <c r="L11" s="182"/>
      <c r="M11" s="182"/>
      <c r="N11" s="182"/>
      <c r="O11" s="262"/>
      <c r="P11" s="182"/>
      <c r="Q11" s="180"/>
      <c r="R11" s="274" t="s">
        <v>1430</v>
      </c>
      <c r="S11" s="182"/>
      <c r="T11" s="182"/>
      <c r="U11" s="182"/>
      <c r="V11" s="182"/>
      <c r="W11" s="182"/>
      <c r="X11" s="180"/>
      <c r="Y11" s="445" t="s">
        <v>1487</v>
      </c>
      <c r="Z11" s="446"/>
      <c r="AA11" s="457" t="s">
        <v>1488</v>
      </c>
      <c r="AB11" s="458"/>
      <c r="AC11" s="459"/>
      <c r="AD11" s="184">
        <v>1</v>
      </c>
      <c r="AE11" s="217"/>
      <c r="AF11" s="217"/>
      <c r="AG11" s="217"/>
      <c r="AH11" s="218"/>
      <c r="AI11" s="218"/>
      <c r="AJ11" s="218"/>
      <c r="AK11" s="218"/>
      <c r="AL11" s="218"/>
      <c r="AM11" s="218"/>
      <c r="AN11" s="218"/>
      <c r="AO11" s="217"/>
      <c r="AP11" s="217"/>
      <c r="AQ11" s="217"/>
      <c r="AR11" s="217"/>
      <c r="AS11" s="181" t="s">
        <v>414</v>
      </c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31"/>
    </row>
    <row r="12" spans="1:57">
      <c r="A12" s="70">
        <f>IF(B12="","",COUNTA($B$8:B12))</f>
        <v>5</v>
      </c>
      <c r="B12" s="285" t="s">
        <v>1432</v>
      </c>
      <c r="C12" s="179"/>
      <c r="D12" s="179"/>
      <c r="E12" s="179"/>
      <c r="F12" s="179"/>
      <c r="G12" s="179"/>
      <c r="H12" s="180"/>
      <c r="I12" s="478" t="s">
        <v>1559</v>
      </c>
      <c r="J12" s="265"/>
      <c r="K12" s="265"/>
      <c r="L12" s="265"/>
      <c r="M12" s="265"/>
      <c r="N12" s="265"/>
      <c r="O12" s="479"/>
      <c r="P12" s="265"/>
      <c r="Q12" s="266"/>
      <c r="R12" s="285" t="s">
        <v>1432</v>
      </c>
      <c r="S12" s="182"/>
      <c r="T12" s="182"/>
      <c r="U12" s="182"/>
      <c r="V12" s="182"/>
      <c r="W12" s="182"/>
      <c r="X12" s="180"/>
      <c r="Y12" s="473" t="s">
        <v>150</v>
      </c>
      <c r="Z12" s="474"/>
      <c r="AA12" s="475" t="s">
        <v>151</v>
      </c>
      <c r="AB12" s="476"/>
      <c r="AC12" s="477"/>
      <c r="AD12" s="480">
        <v>2</v>
      </c>
      <c r="AE12" s="217"/>
      <c r="AF12" s="217"/>
      <c r="AG12" s="217"/>
      <c r="AH12" s="218"/>
      <c r="AI12" s="218"/>
      <c r="AJ12" s="218"/>
      <c r="AK12" s="218"/>
      <c r="AL12" s="218"/>
      <c r="AM12" s="218"/>
      <c r="AN12" s="218"/>
      <c r="AO12" s="217"/>
      <c r="AP12" s="217"/>
      <c r="AQ12" s="217"/>
      <c r="AR12" s="217"/>
      <c r="AS12" s="181" t="s">
        <v>1465</v>
      </c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31"/>
      <c r="BE12" s="18" t="s">
        <v>1560</v>
      </c>
    </row>
    <row r="13" spans="1:57">
      <c r="A13" s="70">
        <f>IF(B13="","",COUNTA($B$8:B13))</f>
        <v>6</v>
      </c>
      <c r="B13" s="274" t="s">
        <v>1279</v>
      </c>
      <c r="C13" s="179"/>
      <c r="D13" s="179"/>
      <c r="E13" s="179"/>
      <c r="F13" s="179"/>
      <c r="G13" s="179"/>
      <c r="H13" s="180"/>
      <c r="I13" s="181" t="s">
        <v>1280</v>
      </c>
      <c r="J13" s="182"/>
      <c r="K13" s="182"/>
      <c r="L13" s="182"/>
      <c r="M13" s="182"/>
      <c r="N13" s="182"/>
      <c r="O13" s="262"/>
      <c r="P13" s="182"/>
      <c r="Q13" s="180"/>
      <c r="R13" s="274" t="s">
        <v>1279</v>
      </c>
      <c r="S13" s="182"/>
      <c r="T13" s="182"/>
      <c r="U13" s="182"/>
      <c r="V13" s="182"/>
      <c r="W13" s="182"/>
      <c r="X13" s="180"/>
      <c r="Y13" s="445" t="s">
        <v>155</v>
      </c>
      <c r="Z13" s="446"/>
      <c r="AA13" s="457" t="s">
        <v>156</v>
      </c>
      <c r="AB13" s="458"/>
      <c r="AC13" s="459"/>
      <c r="AD13" s="184">
        <v>1</v>
      </c>
      <c r="AE13" s="217"/>
      <c r="AF13" s="217"/>
      <c r="AG13" s="217"/>
      <c r="AH13" s="218"/>
      <c r="AI13" s="218"/>
      <c r="AJ13" s="218"/>
      <c r="AK13" s="218"/>
      <c r="AL13" s="218"/>
      <c r="AM13" s="218"/>
      <c r="AN13" s="218"/>
      <c r="AO13" s="217"/>
      <c r="AP13" s="217"/>
      <c r="AQ13" s="217"/>
      <c r="AR13" s="217"/>
      <c r="AS13" s="181" t="s">
        <v>1464</v>
      </c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31"/>
    </row>
    <row r="14" spans="1:57">
      <c r="A14" s="70">
        <f>IF(B14="","",COUNTA($B$8:B14))</f>
        <v>7</v>
      </c>
      <c r="B14" s="275" t="s">
        <v>1469</v>
      </c>
      <c r="C14" s="276"/>
      <c r="D14" s="276"/>
      <c r="E14" s="276"/>
      <c r="F14" s="276"/>
      <c r="G14" s="276"/>
      <c r="H14" s="277"/>
      <c r="I14" s="181" t="s">
        <v>1466</v>
      </c>
      <c r="J14" s="182"/>
      <c r="K14" s="182"/>
      <c r="L14" s="182"/>
      <c r="M14" s="182"/>
      <c r="N14" s="182"/>
      <c r="O14" s="276"/>
      <c r="P14" s="182"/>
      <c r="Q14" s="180"/>
      <c r="R14" s="275" t="s">
        <v>1469</v>
      </c>
      <c r="S14" s="182"/>
      <c r="T14" s="182"/>
      <c r="U14" s="182"/>
      <c r="V14" s="182"/>
      <c r="W14" s="182"/>
      <c r="X14" s="180"/>
      <c r="Y14" s="445" t="s">
        <v>150</v>
      </c>
      <c r="Z14" s="446"/>
      <c r="AA14" s="457" t="s">
        <v>151</v>
      </c>
      <c r="AB14" s="458"/>
      <c r="AC14" s="459"/>
      <c r="AD14" s="184">
        <v>15</v>
      </c>
      <c r="AE14" s="217"/>
      <c r="AF14" s="217"/>
      <c r="AG14" s="217"/>
      <c r="AH14" s="218"/>
      <c r="AI14" s="218"/>
      <c r="AJ14" s="218"/>
      <c r="AK14" s="218"/>
      <c r="AL14" s="218"/>
      <c r="AM14" s="218"/>
      <c r="AN14" s="218"/>
      <c r="AO14" s="217"/>
      <c r="AP14" s="217"/>
      <c r="AQ14" s="217"/>
      <c r="AR14" s="217"/>
      <c r="AS14" s="181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31"/>
      <c r="BE14" s="18" t="s">
        <v>1467</v>
      </c>
    </row>
    <row r="15" spans="1:57" ht="14.4" customHeight="1">
      <c r="A15" s="70">
        <f>IF(B15="","",COUNTA($B$8:B15))</f>
        <v>8</v>
      </c>
      <c r="B15" s="274" t="s">
        <v>1431</v>
      </c>
      <c r="C15" s="179"/>
      <c r="D15" s="179"/>
      <c r="E15" s="179"/>
      <c r="F15" s="179"/>
      <c r="G15" s="179"/>
      <c r="H15" s="180"/>
      <c r="I15" s="181" t="s">
        <v>337</v>
      </c>
      <c r="J15" s="182"/>
      <c r="K15" s="182"/>
      <c r="L15" s="182"/>
      <c r="M15" s="182"/>
      <c r="N15" s="182"/>
      <c r="O15" s="182"/>
      <c r="P15" s="182"/>
      <c r="Q15" s="183"/>
      <c r="R15" s="274" t="s">
        <v>1431</v>
      </c>
      <c r="S15" s="182"/>
      <c r="T15" s="182"/>
      <c r="U15" s="182"/>
      <c r="V15" s="182"/>
      <c r="W15" s="182"/>
      <c r="X15" s="180"/>
      <c r="Y15" s="445" t="s">
        <v>150</v>
      </c>
      <c r="Z15" s="446"/>
      <c r="AA15" s="457" t="s">
        <v>151</v>
      </c>
      <c r="AB15" s="458"/>
      <c r="AC15" s="459"/>
      <c r="AD15" s="184">
        <v>15</v>
      </c>
      <c r="AE15" s="217"/>
      <c r="AF15" s="217"/>
      <c r="AG15" s="217"/>
      <c r="AH15" s="218"/>
      <c r="AI15" s="218"/>
      <c r="AJ15" s="218"/>
      <c r="AK15" s="218"/>
      <c r="AL15" s="218"/>
      <c r="AM15" s="218"/>
      <c r="AN15" s="218"/>
      <c r="AO15" s="217"/>
      <c r="AP15" s="217"/>
      <c r="AQ15" s="217"/>
      <c r="AR15" s="217"/>
      <c r="AS15" s="238"/>
      <c r="AT15" s="239"/>
      <c r="AU15" s="239"/>
      <c r="AV15" s="239"/>
      <c r="AW15" s="239"/>
      <c r="AX15" s="239"/>
      <c r="AY15" s="239"/>
      <c r="AZ15" s="239"/>
      <c r="BA15" s="239"/>
      <c r="BB15" s="239"/>
      <c r="BC15" s="239"/>
      <c r="BD15" s="240"/>
    </row>
    <row r="16" spans="1:57" ht="14.4" customHeight="1">
      <c r="A16" s="70">
        <f>IF(B16="","",COUNTA($B$8:B16))</f>
        <v>9</v>
      </c>
      <c r="B16" s="274" t="s">
        <v>159</v>
      </c>
      <c r="C16" s="179"/>
      <c r="D16" s="179"/>
      <c r="E16" s="179"/>
      <c r="F16" s="179"/>
      <c r="G16" s="179"/>
      <c r="H16" s="180"/>
      <c r="I16" s="181" t="s">
        <v>160</v>
      </c>
      <c r="J16" s="182"/>
      <c r="K16" s="182"/>
      <c r="L16" s="182"/>
      <c r="M16" s="182"/>
      <c r="N16" s="182"/>
      <c r="O16" s="262"/>
      <c r="P16" s="182"/>
      <c r="Q16" s="180"/>
      <c r="R16" s="274" t="s">
        <v>159</v>
      </c>
      <c r="S16" s="182"/>
      <c r="T16" s="182"/>
      <c r="U16" s="182"/>
      <c r="V16" s="182"/>
      <c r="W16" s="182"/>
      <c r="X16" s="180"/>
      <c r="Y16" s="445" t="s">
        <v>150</v>
      </c>
      <c r="Z16" s="446"/>
      <c r="AA16" s="457" t="s">
        <v>151</v>
      </c>
      <c r="AB16" s="458"/>
      <c r="AC16" s="459"/>
      <c r="AD16" s="184">
        <v>4</v>
      </c>
      <c r="AE16" s="217"/>
      <c r="AF16" s="217"/>
      <c r="AG16" s="217"/>
      <c r="AH16" s="218"/>
      <c r="AI16" s="218"/>
      <c r="AJ16" s="218"/>
      <c r="AK16" s="218"/>
      <c r="AL16" s="218"/>
      <c r="AM16" s="218"/>
      <c r="AN16" s="218"/>
      <c r="AO16" s="217"/>
      <c r="AP16" s="217"/>
      <c r="AQ16" s="217"/>
      <c r="AR16" s="217"/>
      <c r="AS16" s="181"/>
      <c r="AT16" s="219"/>
      <c r="AU16" s="219"/>
      <c r="AV16" s="219"/>
      <c r="AW16" s="219"/>
      <c r="AX16" s="219"/>
      <c r="AY16" s="219"/>
      <c r="AZ16" s="219"/>
      <c r="BA16" s="219"/>
      <c r="BB16" s="219"/>
      <c r="BC16" s="219"/>
      <c r="BD16" s="231"/>
    </row>
    <row r="17" spans="1:57" ht="14.4" customHeight="1">
      <c r="A17" s="70">
        <f>IF(B17="","",COUNTA($B$8:B17))</f>
        <v>10</v>
      </c>
      <c r="B17" s="274" t="s">
        <v>162</v>
      </c>
      <c r="C17" s="179"/>
      <c r="D17" s="179"/>
      <c r="E17" s="179"/>
      <c r="F17" s="179"/>
      <c r="G17" s="179"/>
      <c r="H17" s="180"/>
      <c r="I17" s="181" t="s">
        <v>163</v>
      </c>
      <c r="J17" s="182"/>
      <c r="K17" s="182"/>
      <c r="L17" s="182"/>
      <c r="M17" s="182"/>
      <c r="N17" s="182"/>
      <c r="O17" s="262"/>
      <c r="P17" s="182"/>
      <c r="Q17" s="180"/>
      <c r="R17" s="274" t="s">
        <v>164</v>
      </c>
      <c r="S17" s="182"/>
      <c r="T17" s="182"/>
      <c r="U17" s="182"/>
      <c r="V17" s="182"/>
      <c r="W17" s="182"/>
      <c r="X17" s="180"/>
      <c r="Y17" s="445" t="s">
        <v>150</v>
      </c>
      <c r="Z17" s="446"/>
      <c r="AA17" s="457" t="s">
        <v>151</v>
      </c>
      <c r="AB17" s="458"/>
      <c r="AC17" s="459"/>
      <c r="AD17" s="184">
        <v>4</v>
      </c>
      <c r="AE17" s="217"/>
      <c r="AF17" s="217"/>
      <c r="AG17" s="217"/>
      <c r="AH17" s="218"/>
      <c r="AI17" s="218"/>
      <c r="AJ17" s="218"/>
      <c r="AK17" s="218"/>
      <c r="AL17" s="218"/>
      <c r="AM17" s="218"/>
      <c r="AN17" s="218"/>
      <c r="AO17" s="217"/>
      <c r="AP17" s="217"/>
      <c r="AQ17" s="217"/>
      <c r="AR17" s="217"/>
      <c r="AS17" s="181"/>
      <c r="AT17" s="219"/>
      <c r="AU17" s="219"/>
      <c r="AV17" s="219"/>
      <c r="AW17" s="219"/>
      <c r="AX17" s="219"/>
      <c r="AY17" s="219"/>
      <c r="AZ17" s="219"/>
      <c r="BA17" s="219"/>
      <c r="BB17" s="219"/>
      <c r="BC17" s="219"/>
      <c r="BD17" s="231"/>
    </row>
    <row r="18" spans="1:57">
      <c r="A18" s="70">
        <f>IF(B18="","",COUNTA($B$8:B18))</f>
        <v>11</v>
      </c>
      <c r="B18" s="274" t="s">
        <v>197</v>
      </c>
      <c r="C18" s="179"/>
      <c r="D18" s="179"/>
      <c r="E18" s="179"/>
      <c r="F18" s="179"/>
      <c r="G18" s="179"/>
      <c r="H18" s="180"/>
      <c r="I18" s="274" t="s">
        <v>198</v>
      </c>
      <c r="J18" s="182"/>
      <c r="K18" s="182"/>
      <c r="L18" s="182"/>
      <c r="M18" s="182"/>
      <c r="N18" s="182"/>
      <c r="O18" s="262"/>
      <c r="P18" s="182"/>
      <c r="Q18" s="180"/>
      <c r="R18" s="274" t="s">
        <v>197</v>
      </c>
      <c r="S18" s="182"/>
      <c r="T18" s="182"/>
      <c r="U18" s="182"/>
      <c r="V18" s="182"/>
      <c r="W18" s="182"/>
      <c r="X18" s="180"/>
      <c r="Y18" s="445" t="s">
        <v>150</v>
      </c>
      <c r="Z18" s="446"/>
      <c r="AA18" s="457" t="s">
        <v>151</v>
      </c>
      <c r="AB18" s="458"/>
      <c r="AC18" s="459"/>
      <c r="AD18" s="184">
        <v>5</v>
      </c>
      <c r="AE18" s="217"/>
      <c r="AF18" s="217"/>
      <c r="AG18" s="217"/>
      <c r="AH18" s="218"/>
      <c r="AI18" s="218"/>
      <c r="AJ18" s="218"/>
      <c r="AK18" s="218"/>
      <c r="AL18" s="218"/>
      <c r="AM18" s="218"/>
      <c r="AN18" s="218"/>
      <c r="AO18" s="217"/>
      <c r="AP18" s="217"/>
      <c r="AQ18" s="217"/>
      <c r="AR18" s="217"/>
      <c r="AS18" s="181"/>
      <c r="AT18" s="219"/>
      <c r="AU18" s="219"/>
      <c r="AV18" s="219"/>
      <c r="AW18" s="219"/>
      <c r="AX18" s="219"/>
      <c r="AY18" s="219"/>
      <c r="AZ18" s="219"/>
      <c r="BA18" s="219"/>
      <c r="BB18" s="219"/>
      <c r="BC18" s="219"/>
      <c r="BD18" s="231"/>
      <c r="BE18" s="18" t="s">
        <v>1467</v>
      </c>
    </row>
    <row r="19" spans="1:57">
      <c r="A19" s="70">
        <f>IF(B19="","",COUNTA($B$8:B19))</f>
        <v>12</v>
      </c>
      <c r="B19" s="274" t="s">
        <v>199</v>
      </c>
      <c r="C19" s="179"/>
      <c r="D19" s="179"/>
      <c r="E19" s="179"/>
      <c r="F19" s="179"/>
      <c r="G19" s="179"/>
      <c r="H19" s="180"/>
      <c r="I19" s="274" t="s">
        <v>200</v>
      </c>
      <c r="J19" s="182"/>
      <c r="K19" s="182"/>
      <c r="L19" s="182"/>
      <c r="M19" s="182"/>
      <c r="N19" s="182"/>
      <c r="O19" s="262"/>
      <c r="P19" s="182"/>
      <c r="Q19" s="180"/>
      <c r="R19" s="274" t="s">
        <v>199</v>
      </c>
      <c r="S19" s="182"/>
      <c r="T19" s="182"/>
      <c r="U19" s="182"/>
      <c r="V19" s="182"/>
      <c r="W19" s="182"/>
      <c r="X19" s="180"/>
      <c r="Y19" s="445" t="s">
        <v>150</v>
      </c>
      <c r="Z19" s="446"/>
      <c r="AA19" s="457" t="s">
        <v>151</v>
      </c>
      <c r="AB19" s="458"/>
      <c r="AC19" s="459"/>
      <c r="AD19" s="319">
        <v>20</v>
      </c>
      <c r="AE19" s="217"/>
      <c r="AF19" s="217"/>
      <c r="AG19" s="217"/>
      <c r="AH19" s="218"/>
      <c r="AI19" s="218"/>
      <c r="AJ19" s="218"/>
      <c r="AK19" s="218"/>
      <c r="AL19" s="218"/>
      <c r="AM19" s="218"/>
      <c r="AN19" s="218"/>
      <c r="AO19" s="217"/>
      <c r="AP19" s="217"/>
      <c r="AQ19" s="217"/>
      <c r="AR19" s="217"/>
      <c r="AS19" s="181"/>
      <c r="AT19" s="219"/>
      <c r="AU19" s="219"/>
      <c r="AV19" s="219"/>
      <c r="AW19" s="219"/>
      <c r="AX19" s="219"/>
      <c r="AY19" s="219"/>
      <c r="AZ19" s="219"/>
      <c r="BA19" s="219"/>
      <c r="BB19" s="219"/>
      <c r="BC19" s="219"/>
      <c r="BD19" s="231"/>
      <c r="BE19" s="18" t="s">
        <v>1467</v>
      </c>
    </row>
    <row r="20" spans="1:57">
      <c r="A20" s="70">
        <f>IF(B20="","",COUNTA($B$8:B20))</f>
        <v>13</v>
      </c>
      <c r="B20" s="274" t="s">
        <v>201</v>
      </c>
      <c r="C20" s="179"/>
      <c r="D20" s="179"/>
      <c r="E20" s="179"/>
      <c r="F20" s="179"/>
      <c r="G20" s="179"/>
      <c r="H20" s="180"/>
      <c r="I20" s="274" t="s">
        <v>202</v>
      </c>
      <c r="J20" s="182"/>
      <c r="K20" s="182"/>
      <c r="L20" s="182"/>
      <c r="M20" s="182"/>
      <c r="N20" s="182"/>
      <c r="O20" s="262"/>
      <c r="P20" s="182"/>
      <c r="Q20" s="180"/>
      <c r="R20" s="274" t="s">
        <v>201</v>
      </c>
      <c r="S20" s="182"/>
      <c r="T20" s="182"/>
      <c r="U20" s="182"/>
      <c r="V20" s="182"/>
      <c r="W20" s="182"/>
      <c r="X20" s="180"/>
      <c r="Y20" s="445" t="s">
        <v>150</v>
      </c>
      <c r="Z20" s="446"/>
      <c r="AA20" s="457" t="s">
        <v>151</v>
      </c>
      <c r="AB20" s="458"/>
      <c r="AC20" s="459"/>
      <c r="AD20" s="319">
        <v>30</v>
      </c>
      <c r="AE20" s="217"/>
      <c r="AF20" s="217"/>
      <c r="AG20" s="217"/>
      <c r="AH20" s="218"/>
      <c r="AI20" s="218"/>
      <c r="AJ20" s="218"/>
      <c r="AK20" s="218"/>
      <c r="AL20" s="218"/>
      <c r="AM20" s="218"/>
      <c r="AN20" s="218"/>
      <c r="AO20" s="217"/>
      <c r="AP20" s="217"/>
      <c r="AQ20" s="217"/>
      <c r="AR20" s="217"/>
      <c r="AS20" s="181"/>
      <c r="AT20" s="219"/>
      <c r="AU20" s="219"/>
      <c r="AV20" s="219"/>
      <c r="AW20" s="219"/>
      <c r="AX20" s="219"/>
      <c r="AY20" s="219"/>
      <c r="AZ20" s="219"/>
      <c r="BA20" s="219"/>
      <c r="BB20" s="219"/>
      <c r="BC20" s="219"/>
      <c r="BD20" s="231"/>
      <c r="BE20" s="18" t="s">
        <v>1467</v>
      </c>
    </row>
    <row r="21" spans="1:57">
      <c r="A21" s="70">
        <f>IF(B21="","",COUNTA($B$8:B21))</f>
        <v>14</v>
      </c>
      <c r="B21" s="274" t="s">
        <v>1468</v>
      </c>
      <c r="C21" s="179"/>
      <c r="D21" s="179"/>
      <c r="E21" s="179"/>
      <c r="F21" s="179"/>
      <c r="G21" s="179"/>
      <c r="H21" s="180"/>
      <c r="I21" s="274" t="s">
        <v>204</v>
      </c>
      <c r="J21" s="182"/>
      <c r="K21" s="182"/>
      <c r="L21" s="182"/>
      <c r="M21" s="182"/>
      <c r="N21" s="182"/>
      <c r="O21" s="262"/>
      <c r="P21" s="182"/>
      <c r="Q21" s="180"/>
      <c r="R21" s="274" t="s">
        <v>1468</v>
      </c>
      <c r="S21" s="182"/>
      <c r="T21" s="182"/>
      <c r="U21" s="182"/>
      <c r="V21" s="182"/>
      <c r="W21" s="182"/>
      <c r="X21" s="180"/>
      <c r="Y21" s="445" t="s">
        <v>155</v>
      </c>
      <c r="Z21" s="446"/>
      <c r="AA21" s="457" t="s">
        <v>156</v>
      </c>
      <c r="AB21" s="458"/>
      <c r="AC21" s="459"/>
      <c r="AD21" s="319">
        <v>5</v>
      </c>
      <c r="AE21" s="217">
        <v>2</v>
      </c>
      <c r="AF21" s="217"/>
      <c r="AG21" s="217"/>
      <c r="AH21" s="218"/>
      <c r="AI21" s="218"/>
      <c r="AJ21" s="218"/>
      <c r="AK21" s="218"/>
      <c r="AL21" s="218"/>
      <c r="AM21" s="218"/>
      <c r="AN21" s="218"/>
      <c r="AO21" s="217"/>
      <c r="AP21" s="217"/>
      <c r="AQ21" s="217"/>
      <c r="AR21" s="217"/>
      <c r="AS21" s="181"/>
      <c r="AT21" s="219"/>
      <c r="AU21" s="219"/>
      <c r="AV21" s="219"/>
      <c r="AW21" s="219"/>
      <c r="AX21" s="219"/>
      <c r="AY21" s="219"/>
      <c r="AZ21" s="219"/>
      <c r="BA21" s="219"/>
      <c r="BB21" s="219"/>
      <c r="BC21" s="219"/>
      <c r="BD21" s="231"/>
      <c r="BE21" s="18" t="s">
        <v>1467</v>
      </c>
    </row>
    <row r="22" spans="1:57">
      <c r="A22" s="70">
        <f>IF(B22="","",COUNTA($B$8:B22))</f>
        <v>15</v>
      </c>
      <c r="B22" s="274" t="s">
        <v>205</v>
      </c>
      <c r="C22" s="179"/>
      <c r="D22" s="179"/>
      <c r="E22" s="179"/>
      <c r="F22" s="179"/>
      <c r="G22" s="179"/>
      <c r="H22" s="180"/>
      <c r="I22" s="274" t="s">
        <v>206</v>
      </c>
      <c r="J22" s="182"/>
      <c r="K22" s="182"/>
      <c r="L22" s="182"/>
      <c r="M22" s="182"/>
      <c r="N22" s="182"/>
      <c r="O22" s="262"/>
      <c r="P22" s="182"/>
      <c r="Q22" s="180"/>
      <c r="R22" s="274" t="s">
        <v>205</v>
      </c>
      <c r="S22" s="182"/>
      <c r="T22" s="182"/>
      <c r="U22" s="182"/>
      <c r="V22" s="182"/>
      <c r="W22" s="182"/>
      <c r="X22" s="180"/>
      <c r="Y22" s="445" t="s">
        <v>155</v>
      </c>
      <c r="Z22" s="446"/>
      <c r="AA22" s="457" t="s">
        <v>156</v>
      </c>
      <c r="AB22" s="458"/>
      <c r="AC22" s="459"/>
      <c r="AD22" s="319">
        <v>4</v>
      </c>
      <c r="AE22" s="217"/>
      <c r="AF22" s="217"/>
      <c r="AG22" s="217"/>
      <c r="AH22" s="228"/>
      <c r="AI22" s="228"/>
      <c r="AJ22" s="218"/>
      <c r="AK22" s="218"/>
      <c r="AL22" s="218"/>
      <c r="AM22" s="218"/>
      <c r="AN22" s="218"/>
      <c r="AO22" s="217"/>
      <c r="AP22" s="217"/>
      <c r="AQ22" s="217"/>
      <c r="AR22" s="217"/>
      <c r="AS22" s="181"/>
      <c r="AT22" s="219"/>
      <c r="AU22" s="220"/>
      <c r="AV22" s="220"/>
      <c r="AW22" s="220"/>
      <c r="AX22" s="220"/>
      <c r="AY22" s="219"/>
      <c r="AZ22" s="219"/>
      <c r="BA22" s="219"/>
      <c r="BB22" s="219"/>
      <c r="BC22" s="219"/>
      <c r="BD22" s="231"/>
      <c r="BE22" s="18" t="s">
        <v>1467</v>
      </c>
    </row>
    <row r="23" spans="1:57">
      <c r="A23" s="70">
        <f>IF(B23="","",COUNTA($B$8:B23))</f>
        <v>16</v>
      </c>
      <c r="B23" s="274" t="s">
        <v>208</v>
      </c>
      <c r="C23" s="179"/>
      <c r="D23" s="179"/>
      <c r="E23" s="179"/>
      <c r="F23" s="179"/>
      <c r="G23" s="179"/>
      <c r="H23" s="180"/>
      <c r="I23" s="274" t="s">
        <v>209</v>
      </c>
      <c r="J23" s="182"/>
      <c r="K23" s="182"/>
      <c r="L23" s="182"/>
      <c r="M23" s="182"/>
      <c r="N23" s="182"/>
      <c r="O23" s="262"/>
      <c r="P23" s="182"/>
      <c r="Q23" s="180"/>
      <c r="R23" s="274" t="s">
        <v>208</v>
      </c>
      <c r="S23" s="182"/>
      <c r="T23" s="182"/>
      <c r="U23" s="182"/>
      <c r="V23" s="182"/>
      <c r="W23" s="182"/>
      <c r="X23" s="180"/>
      <c r="Y23" s="445" t="s">
        <v>155</v>
      </c>
      <c r="Z23" s="446"/>
      <c r="AA23" s="457" t="s">
        <v>156</v>
      </c>
      <c r="AB23" s="458"/>
      <c r="AC23" s="459"/>
      <c r="AD23" s="319">
        <v>5</v>
      </c>
      <c r="AE23" s="217"/>
      <c r="AF23" s="217"/>
      <c r="AG23" s="217"/>
      <c r="AH23" s="218"/>
      <c r="AI23" s="218"/>
      <c r="AJ23" s="218"/>
      <c r="AK23" s="218"/>
      <c r="AL23" s="228"/>
      <c r="AM23" s="228"/>
      <c r="AN23" s="228"/>
      <c r="AO23" s="227"/>
      <c r="AP23" s="227"/>
      <c r="AQ23" s="227"/>
      <c r="AR23" s="227"/>
      <c r="AS23" s="229"/>
      <c r="AT23" s="230"/>
      <c r="AU23" s="220"/>
      <c r="AV23" s="220"/>
      <c r="AW23" s="220"/>
      <c r="AX23" s="220"/>
      <c r="AY23" s="220"/>
      <c r="AZ23" s="220"/>
      <c r="BA23" s="220"/>
      <c r="BB23" s="220"/>
      <c r="BC23" s="220"/>
      <c r="BD23" s="317"/>
      <c r="BE23" s="18" t="s">
        <v>1467</v>
      </c>
    </row>
    <row r="24" spans="1:57" ht="14.4" customHeight="1">
      <c r="A24" s="70">
        <f>IF(B24="","",COUNTA($B$8:B24))</f>
        <v>17</v>
      </c>
      <c r="B24" s="22" t="s">
        <v>311</v>
      </c>
      <c r="C24" s="20"/>
      <c r="D24" s="20"/>
      <c r="E24" s="20"/>
      <c r="F24" s="20"/>
      <c r="G24" s="20"/>
      <c r="H24" s="24"/>
      <c r="I24" s="31" t="s">
        <v>1499</v>
      </c>
      <c r="J24" s="23"/>
      <c r="K24" s="23"/>
      <c r="L24" s="23"/>
      <c r="M24" s="23"/>
      <c r="N24" s="23"/>
      <c r="O24" s="23"/>
      <c r="P24" s="23"/>
      <c r="Q24" s="37"/>
      <c r="R24" s="22" t="s">
        <v>313</v>
      </c>
      <c r="S24" s="23"/>
      <c r="T24" s="23"/>
      <c r="U24" s="23"/>
      <c r="V24" s="23"/>
      <c r="W24" s="23"/>
      <c r="X24" s="24"/>
      <c r="Y24" s="419" t="s">
        <v>1487</v>
      </c>
      <c r="Z24" s="420"/>
      <c r="AA24" s="421" t="s">
        <v>1488</v>
      </c>
      <c r="AB24" s="422"/>
      <c r="AC24" s="423"/>
      <c r="AD24" s="27">
        <v>5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" customHeight="1">
      <c r="A25" s="70">
        <f>IF(B25="","",COUNTA($B$8:B25))</f>
        <v>18</v>
      </c>
      <c r="B25" s="19" t="s">
        <v>249</v>
      </c>
      <c r="C25" s="20"/>
      <c r="D25" s="20"/>
      <c r="E25" s="20"/>
      <c r="F25" s="20"/>
      <c r="G25" s="20"/>
      <c r="H25" s="24"/>
      <c r="I25" s="31" t="s">
        <v>250</v>
      </c>
      <c r="J25" s="23"/>
      <c r="K25" s="23"/>
      <c r="L25" s="23"/>
      <c r="M25" s="23"/>
      <c r="N25" s="23"/>
      <c r="O25" s="23"/>
      <c r="P25" s="23"/>
      <c r="Q25" s="37"/>
      <c r="R25" s="19" t="s">
        <v>249</v>
      </c>
      <c r="S25" s="23"/>
      <c r="T25" s="23"/>
      <c r="U25" s="23"/>
      <c r="V25" s="23"/>
      <c r="W25" s="23"/>
      <c r="X25" s="24"/>
      <c r="Y25" s="419" t="s">
        <v>150</v>
      </c>
      <c r="Z25" s="420"/>
      <c r="AA25" s="421" t="s">
        <v>151</v>
      </c>
      <c r="AB25" s="422"/>
      <c r="AC25" s="423"/>
      <c r="AD25" s="27">
        <v>4</v>
      </c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" customHeight="1">
      <c r="A26" s="70">
        <f>IF(B26="","",COUNTA($B$8:B26))</f>
        <v>19</v>
      </c>
      <c r="B26" s="19" t="s">
        <v>251</v>
      </c>
      <c r="C26" s="20"/>
      <c r="D26" s="20"/>
      <c r="E26" s="20"/>
      <c r="F26" s="20"/>
      <c r="G26" s="20"/>
      <c r="H26" s="24"/>
      <c r="I26" s="31" t="s">
        <v>252</v>
      </c>
      <c r="J26" s="23"/>
      <c r="K26" s="23"/>
      <c r="L26" s="23"/>
      <c r="M26" s="23"/>
      <c r="N26" s="23"/>
      <c r="O26" s="23"/>
      <c r="P26" s="23"/>
      <c r="Q26" s="37"/>
      <c r="R26" s="19" t="s">
        <v>251</v>
      </c>
      <c r="S26" s="23"/>
      <c r="T26" s="23"/>
      <c r="U26" s="23"/>
      <c r="V26" s="23"/>
      <c r="W26" s="23"/>
      <c r="X26" s="24"/>
      <c r="Y26" s="419" t="s">
        <v>150</v>
      </c>
      <c r="Z26" s="420"/>
      <c r="AA26" s="421" t="s">
        <v>151</v>
      </c>
      <c r="AB26" s="422"/>
      <c r="AC26" s="423"/>
      <c r="AD26" s="27">
        <v>4</v>
      </c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" customHeight="1">
      <c r="A27" s="70">
        <f>IF(B27="","",COUNTA($B$8:B27))</f>
        <v>20</v>
      </c>
      <c r="B27" s="19" t="s">
        <v>253</v>
      </c>
      <c r="C27" s="20"/>
      <c r="D27" s="20"/>
      <c r="E27" s="20"/>
      <c r="F27" s="20"/>
      <c r="G27" s="20"/>
      <c r="H27" s="24"/>
      <c r="I27" s="31" t="s">
        <v>254</v>
      </c>
      <c r="J27" s="23"/>
      <c r="K27" s="23"/>
      <c r="L27" s="23"/>
      <c r="M27" s="23"/>
      <c r="N27" s="23"/>
      <c r="O27" s="23"/>
      <c r="P27" s="23"/>
      <c r="Q27" s="37"/>
      <c r="R27" s="19" t="s">
        <v>253</v>
      </c>
      <c r="S27" s="23"/>
      <c r="T27" s="23"/>
      <c r="U27" s="23"/>
      <c r="V27" s="23"/>
      <c r="W27" s="23"/>
      <c r="X27" s="24"/>
      <c r="Y27" s="419" t="s">
        <v>150</v>
      </c>
      <c r="Z27" s="420"/>
      <c r="AA27" s="421" t="s">
        <v>151</v>
      </c>
      <c r="AB27" s="422"/>
      <c r="AC27" s="423"/>
      <c r="AD27" s="27">
        <v>10</v>
      </c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" customHeight="1">
      <c r="A28" s="70">
        <f>IF(B28="","",COUNTA($B$8:B28))</f>
        <v>21</v>
      </c>
      <c r="B28" s="19" t="s">
        <v>255</v>
      </c>
      <c r="C28" s="20"/>
      <c r="D28" s="20"/>
      <c r="E28" s="20"/>
      <c r="F28" s="20"/>
      <c r="G28" s="20"/>
      <c r="H28" s="24"/>
      <c r="I28" s="31" t="s">
        <v>256</v>
      </c>
      <c r="J28" s="23"/>
      <c r="K28" s="23"/>
      <c r="L28" s="23"/>
      <c r="M28" s="23"/>
      <c r="N28" s="23"/>
      <c r="O28" s="23"/>
      <c r="P28" s="23"/>
      <c r="Q28" s="37"/>
      <c r="R28" s="19" t="s">
        <v>255</v>
      </c>
      <c r="S28" s="23"/>
      <c r="T28" s="23"/>
      <c r="U28" s="23"/>
      <c r="V28" s="23"/>
      <c r="W28" s="23"/>
      <c r="X28" s="24"/>
      <c r="Y28" s="419" t="s">
        <v>150</v>
      </c>
      <c r="Z28" s="420"/>
      <c r="AA28" s="421" t="s">
        <v>151</v>
      </c>
      <c r="AB28" s="422"/>
      <c r="AC28" s="423"/>
      <c r="AD28" s="27">
        <v>10</v>
      </c>
      <c r="AE28" s="29"/>
      <c r="AF28" s="29"/>
      <c r="AG28" s="29"/>
      <c r="AH28" s="40"/>
      <c r="AI28" s="40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" customHeight="1">
      <c r="A29" s="70">
        <f>IF(B29="","",COUNTA($B$8:B29))</f>
        <v>22</v>
      </c>
      <c r="B29" s="19" t="s">
        <v>257</v>
      </c>
      <c r="C29" s="20"/>
      <c r="D29" s="20"/>
      <c r="E29" s="20"/>
      <c r="F29" s="20"/>
      <c r="G29" s="20"/>
      <c r="H29" s="24"/>
      <c r="I29" s="31" t="s">
        <v>258</v>
      </c>
      <c r="J29" s="23"/>
      <c r="K29" s="23"/>
      <c r="L29" s="23"/>
      <c r="M29" s="23"/>
      <c r="N29" s="23"/>
      <c r="O29" s="23"/>
      <c r="P29" s="23"/>
      <c r="Q29" s="37"/>
      <c r="R29" s="19" t="s">
        <v>257</v>
      </c>
      <c r="S29" s="23"/>
      <c r="T29" s="23"/>
      <c r="U29" s="23"/>
      <c r="V29" s="23"/>
      <c r="W29" s="23"/>
      <c r="X29" s="24"/>
      <c r="Y29" s="419" t="s">
        <v>169</v>
      </c>
      <c r="Z29" s="420"/>
      <c r="AA29" s="421" t="s">
        <v>243</v>
      </c>
      <c r="AB29" s="422"/>
      <c r="AC29" s="423"/>
      <c r="AD29" s="51"/>
      <c r="AE29" s="29"/>
      <c r="AF29" s="29"/>
      <c r="AG29" s="29"/>
      <c r="AH29" s="28"/>
      <c r="AI29" s="28"/>
      <c r="AJ29" s="28"/>
      <c r="AK29" s="28"/>
      <c r="AL29" s="40"/>
      <c r="AM29" s="40"/>
      <c r="AN29" s="40"/>
      <c r="AO29" s="41"/>
      <c r="AP29" s="41"/>
      <c r="AQ29" s="41"/>
      <c r="AR29" s="41"/>
      <c r="AS29" s="42"/>
      <c r="AT29" s="43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" customHeight="1">
      <c r="A30" s="70">
        <f>IF(B30="","",COUNTA($B$8:B30))</f>
        <v>23</v>
      </c>
      <c r="B30" s="19" t="s">
        <v>259</v>
      </c>
      <c r="C30" s="20"/>
      <c r="D30" s="20"/>
      <c r="E30" s="20"/>
      <c r="F30" s="20"/>
      <c r="G30" s="20"/>
      <c r="H30" s="24"/>
      <c r="I30" s="31" t="s">
        <v>260</v>
      </c>
      <c r="J30" s="23"/>
      <c r="K30" s="23"/>
      <c r="L30" s="23"/>
      <c r="M30" s="23"/>
      <c r="N30" s="23"/>
      <c r="O30" s="23"/>
      <c r="P30" s="23"/>
      <c r="Q30" s="37"/>
      <c r="R30" s="19" t="s">
        <v>259</v>
      </c>
      <c r="S30" s="23"/>
      <c r="T30" s="23"/>
      <c r="U30" s="23"/>
      <c r="V30" s="23"/>
      <c r="W30" s="23"/>
      <c r="X30" s="24"/>
      <c r="Y30" s="419" t="s">
        <v>150</v>
      </c>
      <c r="Z30" s="420"/>
      <c r="AA30" s="421" t="s">
        <v>151</v>
      </c>
      <c r="AB30" s="422"/>
      <c r="AC30" s="423"/>
      <c r="AD30" s="27">
        <v>10</v>
      </c>
      <c r="AE30" s="29"/>
      <c r="AF30" s="29"/>
      <c r="AG30" s="29"/>
      <c r="AH30" s="40"/>
      <c r="AI30" s="40"/>
      <c r="AJ30" s="40"/>
      <c r="AK30" s="40"/>
      <c r="AL30" s="40"/>
      <c r="AM30" s="40"/>
      <c r="AN30" s="40"/>
      <c r="AO30" s="41"/>
      <c r="AP30" s="41"/>
      <c r="AQ30" s="41"/>
      <c r="AR30" s="41"/>
      <c r="AS30" s="42"/>
      <c r="AT30" s="43"/>
      <c r="AU30" s="48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" customHeight="1">
      <c r="A31" s="70">
        <f>IF(B31="","",COUNTA($B$8:B31))</f>
        <v>24</v>
      </c>
      <c r="B31" s="19" t="s">
        <v>261</v>
      </c>
      <c r="C31" s="20"/>
      <c r="D31" s="20"/>
      <c r="E31" s="20"/>
      <c r="F31" s="20"/>
      <c r="G31" s="20"/>
      <c r="H31" s="24"/>
      <c r="I31" s="31" t="s">
        <v>262</v>
      </c>
      <c r="J31" s="23"/>
      <c r="K31" s="23"/>
      <c r="L31" s="23"/>
      <c r="M31" s="23"/>
      <c r="N31" s="23"/>
      <c r="O31" s="23"/>
      <c r="P31" s="23"/>
      <c r="Q31" s="37"/>
      <c r="R31" s="19" t="s">
        <v>261</v>
      </c>
      <c r="S31" s="23"/>
      <c r="T31" s="23"/>
      <c r="U31" s="23"/>
      <c r="V31" s="23"/>
      <c r="W31" s="23"/>
      <c r="X31" s="24"/>
      <c r="Y31" s="419" t="s">
        <v>150</v>
      </c>
      <c r="Z31" s="420"/>
      <c r="AA31" s="421" t="s">
        <v>151</v>
      </c>
      <c r="AB31" s="422"/>
      <c r="AC31" s="423"/>
      <c r="AD31" s="51">
        <v>10</v>
      </c>
      <c r="AE31" s="29"/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48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" customHeight="1">
      <c r="A32" s="70">
        <f>IF(B32="","",COUNTA($B$8:B32))</f>
        <v>25</v>
      </c>
      <c r="B32" s="19" t="s">
        <v>263</v>
      </c>
      <c r="C32" s="20"/>
      <c r="D32" s="20"/>
      <c r="E32" s="20"/>
      <c r="F32" s="20"/>
      <c r="G32" s="20"/>
      <c r="H32" s="24"/>
      <c r="I32" s="31" t="s">
        <v>264</v>
      </c>
      <c r="J32" s="23"/>
      <c r="K32" s="23"/>
      <c r="L32" s="23"/>
      <c r="M32" s="23"/>
      <c r="N32" s="23"/>
      <c r="O32" s="23"/>
      <c r="P32" s="23"/>
      <c r="Q32" s="37"/>
      <c r="R32" s="22" t="s">
        <v>263</v>
      </c>
      <c r="S32" s="23"/>
      <c r="T32" s="23"/>
      <c r="U32" s="23"/>
      <c r="V32" s="23"/>
      <c r="W32" s="23"/>
      <c r="X32" s="24"/>
      <c r="Y32" s="419" t="s">
        <v>169</v>
      </c>
      <c r="Z32" s="420"/>
      <c r="AA32" s="421" t="s">
        <v>243</v>
      </c>
      <c r="AB32" s="422"/>
      <c r="AC32" s="423"/>
      <c r="AD32" s="51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24"/>
      <c r="Y33" s="419"/>
      <c r="Z33" s="420"/>
      <c r="AA33" s="421"/>
      <c r="AB33" s="422"/>
      <c r="AC33" s="423"/>
      <c r="AD33" s="27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48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24"/>
      <c r="Y34" s="419"/>
      <c r="Z34" s="420"/>
      <c r="AA34" s="421"/>
      <c r="AB34" s="422"/>
      <c r="AC34" s="423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24"/>
      <c r="Y35" s="419"/>
      <c r="Z35" s="420"/>
      <c r="AA35" s="421"/>
      <c r="AB35" s="422"/>
      <c r="AC35" s="423"/>
      <c r="AD35" s="51"/>
      <c r="AE35" s="29"/>
      <c r="AF35" s="29"/>
      <c r="AG35" s="29"/>
      <c r="AH35" s="40"/>
      <c r="AI35" s="40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50" t="str">
        <f>IF(B36="","",COUNTA($B$15:B36))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24"/>
      <c r="Y36" s="419"/>
      <c r="Z36" s="420"/>
      <c r="AA36" s="421"/>
      <c r="AB36" s="422"/>
      <c r="AC36" s="423"/>
      <c r="AD36" s="51"/>
      <c r="AE36" s="29"/>
      <c r="AF36" s="29"/>
      <c r="AG36" s="29"/>
      <c r="AH36" s="28"/>
      <c r="AI36" s="28"/>
      <c r="AJ36" s="28"/>
      <c r="AK36" s="28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50" t="str">
        <f>IF(B37="","",COUNTA($B$15:B37))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24"/>
      <c r="Y37" s="419"/>
      <c r="Z37" s="420"/>
      <c r="AA37" s="421"/>
      <c r="AB37" s="422"/>
      <c r="AC37" s="423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48"/>
      <c r="AV37" s="48"/>
      <c r="AW37" s="48"/>
      <c r="AX37" s="48"/>
      <c r="AY37" s="48"/>
      <c r="AZ37" s="48"/>
      <c r="BA37" s="48"/>
      <c r="BB37" s="48"/>
      <c r="BC37" s="48"/>
      <c r="BD37" s="66"/>
    </row>
    <row r="38" spans="1:56" ht="14.4" customHeight="1">
      <c r="A38" s="50" t="str">
        <f>IF(B38="","",COUNTA($B$15:B38))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24"/>
      <c r="Y38" s="419"/>
      <c r="Z38" s="420"/>
      <c r="AA38" s="421"/>
      <c r="AB38" s="422"/>
      <c r="AC38" s="423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>
      <c r="A39" s="50" t="str">
        <f>IF(B39="","",COUNTA($B$15:B39))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419"/>
      <c r="Z39" s="420"/>
      <c r="AA39" s="421"/>
      <c r="AB39" s="422"/>
      <c r="AC39" s="423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50" t="str">
        <f>IF(B40="","",COUNTA($B$15:B40))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419"/>
      <c r="Z40" s="420"/>
      <c r="AA40" s="421"/>
      <c r="AB40" s="422"/>
      <c r="AC40" s="423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50" t="str">
        <f>IF(B41="","",COUNTA($B$15:B41))</f>
        <v/>
      </c>
      <c r="B41" s="31"/>
      <c r="C41" s="44"/>
      <c r="D41" s="44"/>
      <c r="E41" s="44"/>
      <c r="F41" s="44"/>
      <c r="G41" s="44"/>
      <c r="H41" s="45"/>
      <c r="I41" s="31"/>
      <c r="J41" s="35"/>
      <c r="K41" s="35"/>
      <c r="L41" s="35"/>
      <c r="M41" s="35"/>
      <c r="N41" s="35"/>
      <c r="O41" s="35"/>
      <c r="P41" s="35"/>
      <c r="Q41" s="36"/>
      <c r="R41" s="34"/>
      <c r="S41" s="35"/>
      <c r="T41" s="35"/>
      <c r="U41" s="35"/>
      <c r="V41" s="35"/>
      <c r="W41" s="35"/>
      <c r="X41" s="36"/>
      <c r="Y41" s="419"/>
      <c r="Z41" s="420"/>
      <c r="AA41" s="421"/>
      <c r="AB41" s="422"/>
      <c r="AC41" s="423"/>
      <c r="AD41" s="51"/>
      <c r="AE41" s="29"/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42"/>
      <c r="AT41" s="49"/>
      <c r="AU41" s="48"/>
      <c r="AV41" s="48"/>
      <c r="AW41" s="48"/>
      <c r="AX41" s="48"/>
      <c r="AY41" s="48"/>
      <c r="AZ41" s="48"/>
      <c r="BA41" s="48"/>
      <c r="BB41" s="48"/>
      <c r="BC41" s="48"/>
      <c r="BD41" s="66"/>
    </row>
    <row r="42" spans="1:56" ht="14.4" customHeight="1">
      <c r="A42" s="50" t="str">
        <f>IF(B42="","",COUNTA($B$15:B42))</f>
        <v/>
      </c>
      <c r="B42" s="31"/>
      <c r="C42" s="44"/>
      <c r="D42" s="44"/>
      <c r="E42" s="44"/>
      <c r="F42" s="44"/>
      <c r="G42" s="44"/>
      <c r="H42" s="45"/>
      <c r="I42" s="31"/>
      <c r="J42" s="35"/>
      <c r="K42" s="35"/>
      <c r="L42" s="35"/>
      <c r="M42" s="35"/>
      <c r="N42" s="35"/>
      <c r="O42" s="35"/>
      <c r="P42" s="35"/>
      <c r="Q42" s="36"/>
      <c r="R42" s="34"/>
      <c r="S42" s="35"/>
      <c r="T42" s="35"/>
      <c r="U42" s="35"/>
      <c r="V42" s="35"/>
      <c r="W42" s="35"/>
      <c r="X42" s="36"/>
      <c r="Y42" s="419"/>
      <c r="Z42" s="420"/>
      <c r="AA42" s="421"/>
      <c r="AB42" s="422"/>
      <c r="AC42" s="423"/>
      <c r="AD42" s="51"/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42"/>
      <c r="AT42" s="49"/>
      <c r="AU42" s="48"/>
      <c r="AV42" s="48"/>
      <c r="AW42" s="48"/>
      <c r="AX42" s="48"/>
      <c r="AY42" s="48"/>
      <c r="AZ42" s="48"/>
      <c r="BA42" s="48"/>
      <c r="BB42" s="48"/>
      <c r="BC42" s="48"/>
      <c r="BD42" s="66"/>
    </row>
    <row r="43" spans="1:56" ht="14.4" customHeight="1">
      <c r="A43" s="50" t="str">
        <f>IF(B43="","",COUNTA($B$15:B43))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19"/>
      <c r="Z43" s="420"/>
      <c r="AA43" s="421"/>
      <c r="AB43" s="422"/>
      <c r="AC43" s="423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50" t="str">
        <f>IF(B44="","",COUNTA($B$15:B44))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419"/>
      <c r="Z44" s="420"/>
      <c r="AA44" s="421"/>
      <c r="AB44" s="422"/>
      <c r="AC44" s="423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>
      <c r="A45" s="50" t="str">
        <f>IF(B45="","",COUNTA($B$15:B45))</f>
        <v/>
      </c>
      <c r="B45" s="272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419"/>
      <c r="Z45" s="420"/>
      <c r="AA45" s="421"/>
      <c r="AB45" s="422"/>
      <c r="AC45" s="423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50" t="str">
        <f>IF(B46="","",COUNTA($B$15:B46))</f>
        <v/>
      </c>
      <c r="B46" s="272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419"/>
      <c r="Z46" s="420"/>
      <c r="AA46" s="421"/>
      <c r="AB46" s="422"/>
      <c r="AC46" s="423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AA20:AC20"/>
    <mergeCell ref="Y21:Z21"/>
    <mergeCell ref="AA21:AC21"/>
    <mergeCell ref="Y22:Z22"/>
    <mergeCell ref="AA22:AC22"/>
    <mergeCell ref="Y36:Z36"/>
    <mergeCell ref="AA36:AC36"/>
    <mergeCell ref="Y37:Z37"/>
    <mergeCell ref="AA37:AC37"/>
    <mergeCell ref="Y38:Z38"/>
    <mergeCell ref="AA38:AC38"/>
    <mergeCell ref="Y33:Z33"/>
    <mergeCell ref="AA33:AC33"/>
    <mergeCell ref="Y42:Z42"/>
    <mergeCell ref="AA42:AC42"/>
    <mergeCell ref="Y34:Z34"/>
    <mergeCell ref="AA34:AC34"/>
    <mergeCell ref="Y35:Z35"/>
    <mergeCell ref="AA35:AC35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AA31:AC31"/>
    <mergeCell ref="Y32:Z32"/>
    <mergeCell ref="AA32:AC32"/>
    <mergeCell ref="Y17:Z17"/>
    <mergeCell ref="AA17:AC17"/>
    <mergeCell ref="Y27:Z27"/>
    <mergeCell ref="AA27:AC27"/>
    <mergeCell ref="Y28:Z28"/>
    <mergeCell ref="AA28:AC28"/>
    <mergeCell ref="Y29:Z29"/>
    <mergeCell ref="AA29:AC29"/>
    <mergeCell ref="Y25:Z25"/>
    <mergeCell ref="AA25:AC25"/>
    <mergeCell ref="Y26:Z26"/>
    <mergeCell ref="AA26:AC26"/>
    <mergeCell ref="Y24:Z24"/>
    <mergeCell ref="AA24:AC24"/>
    <mergeCell ref="Y23:Z23"/>
    <mergeCell ref="AA23:AC23"/>
    <mergeCell ref="Y18:Z18"/>
    <mergeCell ref="AA18:AC18"/>
    <mergeCell ref="Y19:Z19"/>
    <mergeCell ref="AA19:AC19"/>
    <mergeCell ref="Y20:Z20"/>
    <mergeCell ref="A6:A7"/>
    <mergeCell ref="B6:H7"/>
    <mergeCell ref="I6:Q7"/>
    <mergeCell ref="R6:X7"/>
    <mergeCell ref="Y6:Z7"/>
    <mergeCell ref="AA6:AC7"/>
    <mergeCell ref="Y13:Z13"/>
    <mergeCell ref="AA13:AC13"/>
    <mergeCell ref="Y12:Z12"/>
    <mergeCell ref="AA12:AC12"/>
    <mergeCell ref="Y9:Z9"/>
    <mergeCell ref="AA9:AC9"/>
    <mergeCell ref="Y10:Z10"/>
    <mergeCell ref="AA10:AC10"/>
    <mergeCell ref="I1:Q1"/>
    <mergeCell ref="R1:X1"/>
    <mergeCell ref="Y1:AO1"/>
    <mergeCell ref="AP1:AT1"/>
    <mergeCell ref="AU1:AY1"/>
    <mergeCell ref="AP4:AT4"/>
    <mergeCell ref="AU4:AY4"/>
    <mergeCell ref="AZ4:BD4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Y45:Z45"/>
    <mergeCell ref="AA45:AC45"/>
    <mergeCell ref="Y46:Z46"/>
    <mergeCell ref="AA46:AC46"/>
    <mergeCell ref="AG6:AG7"/>
    <mergeCell ref="AH6:AH7"/>
    <mergeCell ref="AI6:AR6"/>
    <mergeCell ref="AS6:BD7"/>
    <mergeCell ref="AD6:AD7"/>
    <mergeCell ref="AE6:AE7"/>
    <mergeCell ref="AF6:AF7"/>
    <mergeCell ref="Y15:Z15"/>
    <mergeCell ref="AA15:AC15"/>
    <mergeCell ref="Y16:Z16"/>
    <mergeCell ref="AA16:AC16"/>
    <mergeCell ref="Y8:Z8"/>
    <mergeCell ref="AA8:AC8"/>
    <mergeCell ref="Y11:Z11"/>
    <mergeCell ref="AA11:AC11"/>
    <mergeCell ref="Y14:Z14"/>
    <mergeCell ref="AA14:AC14"/>
    <mergeCell ref="Y30:Z30"/>
    <mergeCell ref="AA30:AC30"/>
    <mergeCell ref="Y31:Z31"/>
  </mergeCells>
  <phoneticPr fontId="5"/>
  <dataValidations count="3">
    <dataValidation imeMode="hiragana" allowBlank="1" showInputMessage="1" showErrorMessage="1" sqref="JI65525:JT65527 TE65525:TP65527 ADA65525:ADL65527 AMW65525:ANH65527 AWS65525:AXD65527 BGO65525:BGZ65527 BQK65525:BQV65527 CAG65525:CAR65527 CKC65525:CKN65527 CTY65525:CUJ65527 DDU65525:DEF65527 DNQ65525:DOB65527 DXM65525:DXX65527 EHI65525:EHT65527 ERE65525:ERP65527 FBA65525:FBL65527 FKW65525:FLH65527 FUS65525:FVD65527 GEO65525:GEZ65527 GOK65525:GOV65527 GYG65525:GYR65527 HIC65525:HIN65527 HRY65525:HSJ65527 IBU65525:ICF65527 ILQ65525:IMB65527 IVM65525:IVX65527 JFI65525:JFT65527 JPE65525:JPP65527 JZA65525:JZL65527 KIW65525:KJH65527 KSS65525:KTD65527 LCO65525:LCZ65527 LMK65525:LMV65527 LWG65525:LWR65527 MGC65525:MGN65527 MPY65525:MQJ65527 MZU65525:NAF65527 NJQ65525:NKB65527 NTM65525:NTX65527 ODI65525:ODT65527 ONE65525:ONP65527 OXA65525:OXL65527 PGW65525:PHH65527 PQS65525:PRD65527 QAO65525:QAZ65527 QKK65525:QKV65527 QUG65525:QUR65527 REC65525:REN65527 RNY65525:ROJ65527 RXU65525:RYF65527 SHQ65525:SIB65527 SRM65525:SRX65527 TBI65525:TBT65527 TLE65525:TLP65527 TVA65525:TVL65527 UEW65525:UFH65527 UOS65525:UPD65527 UYO65525:UYZ65527 VIK65525:VIV65527 VSG65525:VSR65527 WCC65525:WCN65527 WLY65525:WMJ65527 WVU65525:WWF65527 JI131061:JT131063 TE131061:TP131063 ADA131061:ADL131063 AMW131061:ANH131063 AWS131061:AXD131063 BGO131061:BGZ131063 BQK131061:BQV131063 CAG131061:CAR131063 CKC131061:CKN131063 CTY131061:CUJ131063 DDU131061:DEF131063 DNQ131061:DOB131063 DXM131061:DXX131063 EHI131061:EHT131063 ERE131061:ERP131063 FBA131061:FBL131063 FKW131061:FLH131063 FUS131061:FVD131063 GEO131061:GEZ131063 GOK131061:GOV131063 GYG131061:GYR131063 HIC131061:HIN131063 HRY131061:HSJ131063 IBU131061:ICF131063 ILQ131061:IMB131063 IVM131061:IVX131063 JFI131061:JFT131063 JPE131061:JPP131063 JZA131061:JZL131063 KIW131061:KJH131063 KSS131061:KTD131063 LCO131061:LCZ131063 LMK131061:LMV131063 LWG131061:LWR131063 MGC131061:MGN131063 MPY131061:MQJ131063 MZU131061:NAF131063 NJQ131061:NKB131063 NTM131061:NTX131063 ODI131061:ODT131063 ONE131061:ONP131063 OXA131061:OXL131063 PGW131061:PHH131063 PQS131061:PRD131063 QAO131061:QAZ131063 QKK131061:QKV131063 QUG131061:QUR131063 REC131061:REN131063 RNY131061:ROJ131063 RXU131061:RYF131063 SHQ131061:SIB131063 SRM131061:SRX131063 TBI131061:TBT131063 TLE131061:TLP131063 TVA131061:TVL131063 UEW131061:UFH131063 UOS131061:UPD131063 UYO131061:UYZ131063 VIK131061:VIV131063 VSG131061:VSR131063 WCC131061:WCN131063 WLY131061:WMJ131063 WVU131061:WWF131063 JI196597:JT196599 TE196597:TP196599 ADA196597:ADL196599 AMW196597:ANH196599 AWS196597:AXD196599 BGO196597:BGZ196599 BQK196597:BQV196599 CAG196597:CAR196599 CKC196597:CKN196599 CTY196597:CUJ196599 DDU196597:DEF196599 DNQ196597:DOB196599 DXM196597:DXX196599 EHI196597:EHT196599 ERE196597:ERP196599 FBA196597:FBL196599 FKW196597:FLH196599 FUS196597:FVD196599 GEO196597:GEZ196599 GOK196597:GOV196599 GYG196597:GYR196599 HIC196597:HIN196599 HRY196597:HSJ196599 IBU196597:ICF196599 ILQ196597:IMB196599 IVM196597:IVX196599 JFI196597:JFT196599 JPE196597:JPP196599 JZA196597:JZL196599 KIW196597:KJH196599 KSS196597:KTD196599 LCO196597:LCZ196599 LMK196597:LMV196599 LWG196597:LWR196599 MGC196597:MGN196599 MPY196597:MQJ196599 MZU196597:NAF196599 NJQ196597:NKB196599 NTM196597:NTX196599 ODI196597:ODT196599 ONE196597:ONP196599 OXA196597:OXL196599 PGW196597:PHH196599 PQS196597:PRD196599 QAO196597:QAZ196599 QKK196597:QKV196599 QUG196597:QUR196599 REC196597:REN196599 RNY196597:ROJ196599 RXU196597:RYF196599 SHQ196597:SIB196599 SRM196597:SRX196599 TBI196597:TBT196599 TLE196597:TLP196599 TVA196597:TVL196599 UEW196597:UFH196599 UOS196597:UPD196599 UYO196597:UYZ196599 VIK196597:VIV196599 VSG196597:VSR196599 WCC196597:WCN196599 WLY196597:WMJ196599 WVU196597:WWF196599 JI262133:JT262135 TE262133:TP262135 ADA262133:ADL262135 AMW262133:ANH262135 AWS262133:AXD262135 BGO262133:BGZ262135 BQK262133:BQV262135 CAG262133:CAR262135 CKC262133:CKN262135 CTY262133:CUJ262135 DDU262133:DEF262135 DNQ262133:DOB262135 DXM262133:DXX262135 EHI262133:EHT262135 ERE262133:ERP262135 FBA262133:FBL262135 FKW262133:FLH262135 FUS262133:FVD262135 GEO262133:GEZ262135 GOK262133:GOV262135 GYG262133:GYR262135 HIC262133:HIN262135 HRY262133:HSJ262135 IBU262133:ICF262135 ILQ262133:IMB262135 IVM262133:IVX262135 JFI262133:JFT262135 JPE262133:JPP262135 JZA262133:JZL262135 KIW262133:KJH262135 KSS262133:KTD262135 LCO262133:LCZ262135 LMK262133:LMV262135 LWG262133:LWR262135 MGC262133:MGN262135 MPY262133:MQJ262135 MZU262133:NAF262135 NJQ262133:NKB262135 NTM262133:NTX262135 ODI262133:ODT262135 ONE262133:ONP262135 OXA262133:OXL262135 PGW262133:PHH262135 PQS262133:PRD262135 QAO262133:QAZ262135 QKK262133:QKV262135 QUG262133:QUR262135 REC262133:REN262135 RNY262133:ROJ262135 RXU262133:RYF262135 SHQ262133:SIB262135 SRM262133:SRX262135 TBI262133:TBT262135 TLE262133:TLP262135 TVA262133:TVL262135 UEW262133:UFH262135 UOS262133:UPD262135 UYO262133:UYZ262135 VIK262133:VIV262135 VSG262133:VSR262135 WCC262133:WCN262135 WLY262133:WMJ262135 WVU262133:WWF262135 JI327669:JT327671 TE327669:TP327671 ADA327669:ADL327671 AMW327669:ANH327671 AWS327669:AXD327671 BGO327669:BGZ327671 BQK327669:BQV327671 CAG327669:CAR327671 CKC327669:CKN327671 CTY327669:CUJ327671 DDU327669:DEF327671 DNQ327669:DOB327671 DXM327669:DXX327671 EHI327669:EHT327671 ERE327669:ERP327671 FBA327669:FBL327671 FKW327669:FLH327671 FUS327669:FVD327671 GEO327669:GEZ327671 GOK327669:GOV327671 GYG327669:GYR327671 HIC327669:HIN327671 HRY327669:HSJ327671 IBU327669:ICF327671 ILQ327669:IMB327671 IVM327669:IVX327671 JFI327669:JFT327671 JPE327669:JPP327671 JZA327669:JZL327671 KIW327669:KJH327671 KSS327669:KTD327671 LCO327669:LCZ327671 LMK327669:LMV327671 LWG327669:LWR327671 MGC327669:MGN327671 MPY327669:MQJ327671 MZU327669:NAF327671 NJQ327669:NKB327671 NTM327669:NTX327671 ODI327669:ODT327671 ONE327669:ONP327671 OXA327669:OXL327671 PGW327669:PHH327671 PQS327669:PRD327671 QAO327669:QAZ327671 QKK327669:QKV327671 QUG327669:QUR327671 REC327669:REN327671 RNY327669:ROJ327671 RXU327669:RYF327671 SHQ327669:SIB327671 SRM327669:SRX327671 TBI327669:TBT327671 TLE327669:TLP327671 TVA327669:TVL327671 UEW327669:UFH327671 UOS327669:UPD327671 UYO327669:UYZ327671 VIK327669:VIV327671 VSG327669:VSR327671 WCC327669:WCN327671 WLY327669:WMJ327671 WVU327669:WWF327671 JI393205:JT393207 TE393205:TP393207 ADA393205:ADL393207 AMW393205:ANH393207 AWS393205:AXD393207 BGO393205:BGZ393207 BQK393205:BQV393207 CAG393205:CAR393207 CKC393205:CKN393207 CTY393205:CUJ393207 DDU393205:DEF393207 DNQ393205:DOB393207 DXM393205:DXX393207 EHI393205:EHT393207 ERE393205:ERP393207 FBA393205:FBL393207 FKW393205:FLH393207 FUS393205:FVD393207 GEO393205:GEZ393207 GOK393205:GOV393207 GYG393205:GYR393207 HIC393205:HIN393207 HRY393205:HSJ393207 IBU393205:ICF393207 ILQ393205:IMB393207 IVM393205:IVX393207 JFI393205:JFT393207 JPE393205:JPP393207 JZA393205:JZL393207 KIW393205:KJH393207 KSS393205:KTD393207 LCO393205:LCZ393207 LMK393205:LMV393207 LWG393205:LWR393207 MGC393205:MGN393207 MPY393205:MQJ393207 MZU393205:NAF393207 NJQ393205:NKB393207 NTM393205:NTX393207 ODI393205:ODT393207 ONE393205:ONP393207 OXA393205:OXL393207 PGW393205:PHH393207 PQS393205:PRD393207 QAO393205:QAZ393207 QKK393205:QKV393207 QUG393205:QUR393207 REC393205:REN393207 RNY393205:ROJ393207 RXU393205:RYF393207 SHQ393205:SIB393207 SRM393205:SRX393207 TBI393205:TBT393207 TLE393205:TLP393207 TVA393205:TVL393207 UEW393205:UFH393207 UOS393205:UPD393207 UYO393205:UYZ393207 VIK393205:VIV393207 VSG393205:VSR393207 WCC393205:WCN393207 WLY393205:WMJ393207 WVU393205:WWF393207 JI458741:JT458743 TE458741:TP458743 ADA458741:ADL458743 AMW458741:ANH458743 AWS458741:AXD458743 BGO458741:BGZ458743 BQK458741:BQV458743 CAG458741:CAR458743 CKC458741:CKN458743 CTY458741:CUJ458743 DDU458741:DEF458743 DNQ458741:DOB458743 DXM458741:DXX458743 EHI458741:EHT458743 ERE458741:ERP458743 FBA458741:FBL458743 FKW458741:FLH458743 FUS458741:FVD458743 GEO458741:GEZ458743 GOK458741:GOV458743 GYG458741:GYR458743 HIC458741:HIN458743 HRY458741:HSJ458743 IBU458741:ICF458743 ILQ458741:IMB458743 IVM458741:IVX458743 JFI458741:JFT458743 JPE458741:JPP458743 JZA458741:JZL458743 KIW458741:KJH458743 KSS458741:KTD458743 LCO458741:LCZ458743 LMK458741:LMV458743 LWG458741:LWR458743 MGC458741:MGN458743 MPY458741:MQJ458743 MZU458741:NAF458743 NJQ458741:NKB458743 NTM458741:NTX458743 ODI458741:ODT458743 ONE458741:ONP458743 OXA458741:OXL458743 PGW458741:PHH458743 PQS458741:PRD458743 QAO458741:QAZ458743 QKK458741:QKV458743 QUG458741:QUR458743 REC458741:REN458743 RNY458741:ROJ458743 RXU458741:RYF458743 SHQ458741:SIB458743 SRM458741:SRX458743 TBI458741:TBT458743 TLE458741:TLP458743 TVA458741:TVL458743 UEW458741:UFH458743 UOS458741:UPD458743 UYO458741:UYZ458743 VIK458741:VIV458743 VSG458741:VSR458743 WCC458741:WCN458743 WLY458741:WMJ458743 WVU458741:WWF458743 JI524277:JT524279 TE524277:TP524279 ADA524277:ADL524279 AMW524277:ANH524279 AWS524277:AXD524279 BGO524277:BGZ524279 BQK524277:BQV524279 CAG524277:CAR524279 CKC524277:CKN524279 CTY524277:CUJ524279 DDU524277:DEF524279 DNQ524277:DOB524279 DXM524277:DXX524279 EHI524277:EHT524279 ERE524277:ERP524279 FBA524277:FBL524279 FKW524277:FLH524279 FUS524277:FVD524279 GEO524277:GEZ524279 GOK524277:GOV524279 GYG524277:GYR524279 HIC524277:HIN524279 HRY524277:HSJ524279 IBU524277:ICF524279 ILQ524277:IMB524279 IVM524277:IVX524279 JFI524277:JFT524279 JPE524277:JPP524279 JZA524277:JZL524279 KIW524277:KJH524279 KSS524277:KTD524279 LCO524277:LCZ524279 LMK524277:LMV524279 LWG524277:LWR524279 MGC524277:MGN524279 MPY524277:MQJ524279 MZU524277:NAF524279 NJQ524277:NKB524279 NTM524277:NTX524279 ODI524277:ODT524279 ONE524277:ONP524279 OXA524277:OXL524279 PGW524277:PHH524279 PQS524277:PRD524279 QAO524277:QAZ524279 QKK524277:QKV524279 QUG524277:QUR524279 REC524277:REN524279 RNY524277:ROJ524279 RXU524277:RYF524279 SHQ524277:SIB524279 SRM524277:SRX524279 TBI524277:TBT524279 TLE524277:TLP524279 TVA524277:TVL524279 UEW524277:UFH524279 UOS524277:UPD524279 UYO524277:UYZ524279 VIK524277:VIV524279 VSG524277:VSR524279 WCC524277:WCN524279 WLY524277:WMJ524279 WVU524277:WWF524279 JI589813:JT589815 TE589813:TP589815 ADA589813:ADL589815 AMW589813:ANH589815 AWS589813:AXD589815 BGO589813:BGZ589815 BQK589813:BQV589815 CAG589813:CAR589815 CKC589813:CKN589815 CTY589813:CUJ589815 DDU589813:DEF589815 DNQ589813:DOB589815 DXM589813:DXX589815 EHI589813:EHT589815 ERE589813:ERP589815 FBA589813:FBL589815 FKW589813:FLH589815 FUS589813:FVD589815 GEO589813:GEZ589815 GOK589813:GOV589815 GYG589813:GYR589815 HIC589813:HIN589815 HRY589813:HSJ589815 IBU589813:ICF589815 ILQ589813:IMB589815 IVM589813:IVX589815 JFI589813:JFT589815 JPE589813:JPP589815 JZA589813:JZL589815 KIW589813:KJH589815 KSS589813:KTD589815 LCO589813:LCZ589815 LMK589813:LMV589815 LWG589813:LWR589815 MGC589813:MGN589815 MPY589813:MQJ589815 MZU589813:NAF589815 NJQ589813:NKB589815 NTM589813:NTX589815 ODI589813:ODT589815 ONE589813:ONP589815 OXA589813:OXL589815 PGW589813:PHH589815 PQS589813:PRD589815 QAO589813:QAZ589815 QKK589813:QKV589815 QUG589813:QUR589815 REC589813:REN589815 RNY589813:ROJ589815 RXU589813:RYF589815 SHQ589813:SIB589815 SRM589813:SRX589815 TBI589813:TBT589815 TLE589813:TLP589815 TVA589813:TVL589815 UEW589813:UFH589815 UOS589813:UPD589815 UYO589813:UYZ589815 VIK589813:VIV589815 VSG589813:VSR589815 WCC589813:WCN589815 WLY589813:WMJ589815 WVU589813:WWF589815 JI655349:JT655351 TE655349:TP655351 ADA655349:ADL655351 AMW655349:ANH655351 AWS655349:AXD655351 BGO655349:BGZ655351 BQK655349:BQV655351 CAG655349:CAR655351 CKC655349:CKN655351 CTY655349:CUJ655351 DDU655349:DEF655351 DNQ655349:DOB655351 DXM655349:DXX655351 EHI655349:EHT655351 ERE655349:ERP655351 FBA655349:FBL655351 FKW655349:FLH655351 FUS655349:FVD655351 GEO655349:GEZ655351 GOK655349:GOV655351 GYG655349:GYR655351 HIC655349:HIN655351 HRY655349:HSJ655351 IBU655349:ICF655351 ILQ655349:IMB655351 IVM655349:IVX655351 JFI655349:JFT655351 JPE655349:JPP655351 JZA655349:JZL655351 KIW655349:KJH655351 KSS655349:KTD655351 LCO655349:LCZ655351 LMK655349:LMV655351 LWG655349:LWR655351 MGC655349:MGN655351 MPY655349:MQJ655351 MZU655349:NAF655351 NJQ655349:NKB655351 NTM655349:NTX655351 ODI655349:ODT655351 ONE655349:ONP655351 OXA655349:OXL655351 PGW655349:PHH655351 PQS655349:PRD655351 QAO655349:QAZ655351 QKK655349:QKV655351 QUG655349:QUR655351 REC655349:REN655351 RNY655349:ROJ655351 RXU655349:RYF655351 SHQ655349:SIB655351 SRM655349:SRX655351 TBI655349:TBT655351 TLE655349:TLP655351 TVA655349:TVL655351 UEW655349:UFH655351 UOS655349:UPD655351 UYO655349:UYZ655351 VIK655349:VIV655351 VSG655349:VSR655351 WCC655349:WCN655351 WLY655349:WMJ655351 WVU655349:WWF655351 JI720885:JT720887 TE720885:TP720887 ADA720885:ADL720887 AMW720885:ANH720887 AWS720885:AXD720887 BGO720885:BGZ720887 BQK720885:BQV720887 CAG720885:CAR720887 CKC720885:CKN720887 CTY720885:CUJ720887 DDU720885:DEF720887 DNQ720885:DOB720887 DXM720885:DXX720887 EHI720885:EHT720887 ERE720885:ERP720887 FBA720885:FBL720887 FKW720885:FLH720887 FUS720885:FVD720887 GEO720885:GEZ720887 GOK720885:GOV720887 GYG720885:GYR720887 HIC720885:HIN720887 HRY720885:HSJ720887 IBU720885:ICF720887 ILQ720885:IMB720887 IVM720885:IVX720887 JFI720885:JFT720887 JPE720885:JPP720887 JZA720885:JZL720887 KIW720885:KJH720887 KSS720885:KTD720887 LCO720885:LCZ720887 LMK720885:LMV720887 LWG720885:LWR720887 MGC720885:MGN720887 MPY720885:MQJ720887 MZU720885:NAF720887 NJQ720885:NKB720887 NTM720885:NTX720887 ODI720885:ODT720887 ONE720885:ONP720887 OXA720885:OXL720887 PGW720885:PHH720887 PQS720885:PRD720887 QAO720885:QAZ720887 QKK720885:QKV720887 QUG720885:QUR720887 REC720885:REN720887 RNY720885:ROJ720887 RXU720885:RYF720887 SHQ720885:SIB720887 SRM720885:SRX720887 TBI720885:TBT720887 TLE720885:TLP720887 TVA720885:TVL720887 UEW720885:UFH720887 UOS720885:UPD720887 UYO720885:UYZ720887 VIK720885:VIV720887 VSG720885:VSR720887 WCC720885:WCN720887 WLY720885:WMJ720887 WVU720885:WWF720887 JI786421:JT786423 TE786421:TP786423 ADA786421:ADL786423 AMW786421:ANH786423 AWS786421:AXD786423 BGO786421:BGZ786423 BQK786421:BQV786423 CAG786421:CAR786423 CKC786421:CKN786423 CTY786421:CUJ786423 DDU786421:DEF786423 DNQ786421:DOB786423 DXM786421:DXX786423 EHI786421:EHT786423 ERE786421:ERP786423 FBA786421:FBL786423 FKW786421:FLH786423 FUS786421:FVD786423 GEO786421:GEZ786423 GOK786421:GOV786423 GYG786421:GYR786423 HIC786421:HIN786423 HRY786421:HSJ786423 IBU786421:ICF786423 ILQ786421:IMB786423 IVM786421:IVX786423 JFI786421:JFT786423 JPE786421:JPP786423 JZA786421:JZL786423 KIW786421:KJH786423 KSS786421:KTD786423 LCO786421:LCZ786423 LMK786421:LMV786423 LWG786421:LWR786423 MGC786421:MGN786423 MPY786421:MQJ786423 MZU786421:NAF786423 NJQ786421:NKB786423 NTM786421:NTX786423 ODI786421:ODT786423 ONE786421:ONP786423 OXA786421:OXL786423 PGW786421:PHH786423 PQS786421:PRD786423 QAO786421:QAZ786423 QKK786421:QKV786423 QUG786421:QUR786423 REC786421:REN786423 RNY786421:ROJ786423 RXU786421:RYF786423 SHQ786421:SIB786423 SRM786421:SRX786423 TBI786421:TBT786423 TLE786421:TLP786423 TVA786421:TVL786423 UEW786421:UFH786423 UOS786421:UPD786423 UYO786421:UYZ786423 VIK786421:VIV786423 VSG786421:VSR786423 WCC786421:WCN786423 WLY786421:WMJ786423 WVU786421:WWF786423 JI851957:JT851959 TE851957:TP851959 ADA851957:ADL851959 AMW851957:ANH851959 AWS851957:AXD851959 BGO851957:BGZ851959 BQK851957:BQV851959 CAG851957:CAR851959 CKC851957:CKN851959 CTY851957:CUJ851959 DDU851957:DEF851959 DNQ851957:DOB851959 DXM851957:DXX851959 EHI851957:EHT851959 ERE851957:ERP851959 FBA851957:FBL851959 FKW851957:FLH851959 FUS851957:FVD851959 GEO851957:GEZ851959 GOK851957:GOV851959 GYG851957:GYR851959 HIC851957:HIN851959 HRY851957:HSJ851959 IBU851957:ICF851959 ILQ851957:IMB851959 IVM851957:IVX851959 JFI851957:JFT851959 JPE851957:JPP851959 JZA851957:JZL851959 KIW851957:KJH851959 KSS851957:KTD851959 LCO851957:LCZ851959 LMK851957:LMV851959 LWG851957:LWR851959 MGC851957:MGN851959 MPY851957:MQJ851959 MZU851957:NAF851959 NJQ851957:NKB851959 NTM851957:NTX851959 ODI851957:ODT851959 ONE851957:ONP851959 OXA851957:OXL851959 PGW851957:PHH851959 PQS851957:PRD851959 QAO851957:QAZ851959 QKK851957:QKV851959 QUG851957:QUR851959 REC851957:REN851959 RNY851957:ROJ851959 RXU851957:RYF851959 SHQ851957:SIB851959 SRM851957:SRX851959 TBI851957:TBT851959 TLE851957:TLP851959 TVA851957:TVL851959 UEW851957:UFH851959 UOS851957:UPD851959 UYO851957:UYZ851959 VIK851957:VIV851959 VSG851957:VSR851959 WCC851957:WCN851959 WLY851957:WMJ851959 WVU851957:WWF851959 JI917493:JT917495 TE917493:TP917495 ADA917493:ADL917495 AMW917493:ANH917495 AWS917493:AXD917495 BGO917493:BGZ917495 BQK917493:BQV917495 CAG917493:CAR917495 CKC917493:CKN917495 CTY917493:CUJ917495 DDU917493:DEF917495 DNQ917493:DOB917495 DXM917493:DXX917495 EHI917493:EHT917495 ERE917493:ERP917495 FBA917493:FBL917495 FKW917493:FLH917495 FUS917493:FVD917495 GEO917493:GEZ917495 GOK917493:GOV917495 GYG917493:GYR917495 HIC917493:HIN917495 HRY917493:HSJ917495 IBU917493:ICF917495 ILQ917493:IMB917495 IVM917493:IVX917495 JFI917493:JFT917495 JPE917493:JPP917495 JZA917493:JZL917495 KIW917493:KJH917495 KSS917493:KTD917495 LCO917493:LCZ917495 LMK917493:LMV917495 LWG917493:LWR917495 MGC917493:MGN917495 MPY917493:MQJ917495 MZU917493:NAF917495 NJQ917493:NKB917495 NTM917493:NTX917495 ODI917493:ODT917495 ONE917493:ONP917495 OXA917493:OXL917495 PGW917493:PHH917495 PQS917493:PRD917495 QAO917493:QAZ917495 QKK917493:QKV917495 QUG917493:QUR917495 REC917493:REN917495 RNY917493:ROJ917495 RXU917493:RYF917495 SHQ917493:SIB917495 SRM917493:SRX917495 TBI917493:TBT917495 TLE917493:TLP917495 TVA917493:TVL917495 UEW917493:UFH917495 UOS917493:UPD917495 UYO917493:UYZ917495 VIK917493:VIV917495 VSG917493:VSR917495 WCC917493:WCN917495 WLY917493:WMJ917495 WVU917493:WWF917495 JI983029:JT983031 TE983029:TP983031 ADA983029:ADL983031 AMW983029:ANH983031 AWS983029:AXD983031 BGO983029:BGZ983031 BQK983029:BQV983031 CAG983029:CAR983031 CKC983029:CKN983031 CTY983029:CUJ983031 DDU983029:DEF983031 DNQ983029:DOB983031 DXM983029:DXX983031 EHI983029:EHT983031 ERE983029:ERP983031 FBA983029:FBL983031 FKW983029:FLH983031 FUS983029:FVD983031 GEO983029:GEZ983031 GOK983029:GOV983031 GYG983029:GYR983031 HIC983029:HIN983031 HRY983029:HSJ983031 IBU983029:ICF983031 ILQ983029:IMB983031 IVM983029:IVX983031 JFI983029:JFT983031 JPE983029:JPP983031 JZA983029:JZL983031 KIW983029:KJH983031 KSS983029:KTD983031 LCO983029:LCZ983031 LMK983029:LMV983031 LWG983029:LWR983031 MGC983029:MGN983031 MPY983029:MQJ983031 MZU983029:NAF983031 NJQ983029:NKB983031 NTM983029:NTX983031 ODI983029:ODT983031 ONE983029:ONP983031 OXA983029:OXL983031 PGW983029:PHH983031 PQS983029:PRD983031 QAO983029:QAZ983031 QKK983029:QKV983031 QUG983029:QUR983031 REC983029:REN983031 RNY983029:ROJ983031 RXU983029:RYF983031 SHQ983029:SIB983031 SRM983029:SRX983031 TBI983029:TBT983031 TLE983029:TLP983031 TVA983029:TVL983031 UEW983029:UFH983031 UOS983029:UPD983031 UYO983029:UYZ983031 VIK983029:VIV983031 VSG983029:VSR983031 WCC983029:WCN983031 WLY983029:WMJ983031 WVU983029:WWF983031 Z262133:AJ262135 Z196597:AJ196599 Z131061:AJ131063 Z65525:AJ65527 Z983029:AJ983031 Z917493:AJ917495 Z851957:AJ851959 Z786421:AJ786423 Z720885:AJ720887 Z655349:AJ655351 Z589813:AJ589815 Z524277:AJ524279 Z458741:AJ458743 Z393205:AJ393207 Z327669:AJ327671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AA8:AC46">
      <formula1>"int,numeric,varchar,date,datetime2(0),datetime2,varbinary(max)"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6" s="17" customFormat="1" ht="14.4" customHeight="1">
      <c r="A1" s="396" t="s">
        <v>78</v>
      </c>
      <c r="B1" s="397"/>
      <c r="C1" s="397"/>
      <c r="D1" s="397"/>
      <c r="E1" s="397"/>
      <c r="F1" s="397"/>
      <c r="G1" s="397"/>
      <c r="H1" s="398"/>
      <c r="I1" s="336" t="s">
        <v>79</v>
      </c>
      <c r="J1" s="337"/>
      <c r="K1" s="337"/>
      <c r="L1" s="337"/>
      <c r="M1" s="337"/>
      <c r="N1" s="337"/>
      <c r="O1" s="337"/>
      <c r="P1" s="337"/>
      <c r="Q1" s="338"/>
      <c r="R1" s="336" t="s">
        <v>80</v>
      </c>
      <c r="S1" s="337"/>
      <c r="T1" s="337"/>
      <c r="U1" s="337"/>
      <c r="V1" s="337"/>
      <c r="W1" s="337"/>
      <c r="X1" s="338"/>
      <c r="Y1" s="336" t="s">
        <v>135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8"/>
      <c r="AP1" s="407" t="s">
        <v>82</v>
      </c>
      <c r="AQ1" s="408"/>
      <c r="AR1" s="408"/>
      <c r="AS1" s="408"/>
      <c r="AT1" s="409"/>
      <c r="AU1" s="407" t="s">
        <v>83</v>
      </c>
      <c r="AV1" s="408"/>
      <c r="AW1" s="408"/>
      <c r="AX1" s="408"/>
      <c r="AY1" s="409"/>
      <c r="AZ1" s="407" t="s">
        <v>84</v>
      </c>
      <c r="BA1" s="408"/>
      <c r="BB1" s="408"/>
      <c r="BC1" s="408"/>
      <c r="BD1" s="409"/>
    </row>
    <row r="2" spans="1:56" s="17" customFormat="1" ht="14.4" customHeight="1">
      <c r="A2" s="399"/>
      <c r="B2" s="400"/>
      <c r="C2" s="400"/>
      <c r="D2" s="400"/>
      <c r="E2" s="400"/>
      <c r="F2" s="400"/>
      <c r="G2" s="400"/>
      <c r="H2" s="401"/>
      <c r="I2" s="366" t="s">
        <v>85</v>
      </c>
      <c r="J2" s="367"/>
      <c r="K2" s="367"/>
      <c r="L2" s="367"/>
      <c r="M2" s="367"/>
      <c r="N2" s="367"/>
      <c r="O2" s="367"/>
      <c r="P2" s="367"/>
      <c r="Q2" s="368"/>
      <c r="R2" s="366" t="str">
        <f ca="1">VLOOKUP(RIGHT(CELL("filename",A2),LEN(CELL("filename",A2))-FIND("]",CELL("filename",A2))),テーブル一覧!B:AD,22,FALSE)</f>
        <v>B.生産計画</v>
      </c>
      <c r="S2" s="367"/>
      <c r="T2" s="367"/>
      <c r="U2" s="367"/>
      <c r="V2" s="367"/>
      <c r="W2" s="367"/>
      <c r="X2" s="368"/>
      <c r="Y2" s="366" t="str">
        <f ca="1">VLOOKUP(RIGHT(CELL("filename",A2),LEN(CELL("filename",A2))-FIND("]",CELL("filename",A2))),テーブル一覧!B:AD,1,FALSE)</f>
        <v>加工依頼明細情報（ロット指定）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8"/>
      <c r="AP2" s="339"/>
      <c r="AQ2" s="340"/>
      <c r="AR2" s="340"/>
      <c r="AS2" s="340"/>
      <c r="AT2" s="341"/>
      <c r="AU2" s="58" t="s">
        <v>88</v>
      </c>
      <c r="AV2" s="59"/>
      <c r="AW2" s="59"/>
      <c r="AX2" s="59"/>
      <c r="AY2" s="60"/>
      <c r="AZ2" s="413" t="s">
        <v>89</v>
      </c>
      <c r="BA2" s="414"/>
      <c r="BB2" s="414"/>
      <c r="BC2" s="414"/>
      <c r="BD2" s="415"/>
    </row>
    <row r="3" spans="1:56" s="17" customFormat="1" ht="14.4" customHeight="1">
      <c r="A3" s="399"/>
      <c r="B3" s="400"/>
      <c r="C3" s="400"/>
      <c r="D3" s="400"/>
      <c r="E3" s="400"/>
      <c r="F3" s="400"/>
      <c r="G3" s="400"/>
      <c r="H3" s="401"/>
      <c r="I3" s="369"/>
      <c r="J3" s="370"/>
      <c r="K3" s="370"/>
      <c r="L3" s="370"/>
      <c r="M3" s="370"/>
      <c r="N3" s="370"/>
      <c r="O3" s="370"/>
      <c r="P3" s="370"/>
      <c r="Q3" s="371"/>
      <c r="R3" s="369"/>
      <c r="S3" s="370"/>
      <c r="T3" s="370"/>
      <c r="U3" s="370"/>
      <c r="V3" s="370"/>
      <c r="W3" s="370"/>
      <c r="X3" s="371"/>
      <c r="Y3" s="372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4"/>
      <c r="AP3" s="342"/>
      <c r="AQ3" s="343"/>
      <c r="AR3" s="343"/>
      <c r="AS3" s="343"/>
      <c r="AT3" s="344"/>
      <c r="AU3" s="410"/>
      <c r="AV3" s="411"/>
      <c r="AW3" s="411"/>
      <c r="AX3" s="411"/>
      <c r="AY3" s="412"/>
      <c r="AZ3" s="413"/>
      <c r="BA3" s="414"/>
      <c r="BB3" s="414"/>
      <c r="BC3" s="414"/>
      <c r="BD3" s="415"/>
    </row>
    <row r="4" spans="1:56" s="17" customFormat="1" ht="14.4" customHeight="1">
      <c r="A4" s="402"/>
      <c r="B4" s="403"/>
      <c r="C4" s="403"/>
      <c r="D4" s="403"/>
      <c r="E4" s="403"/>
      <c r="F4" s="403"/>
      <c r="G4" s="403"/>
      <c r="H4" s="404"/>
      <c r="I4" s="372"/>
      <c r="J4" s="373"/>
      <c r="K4" s="373"/>
      <c r="L4" s="373"/>
      <c r="M4" s="373"/>
      <c r="N4" s="373"/>
      <c r="O4" s="373"/>
      <c r="P4" s="373"/>
      <c r="Q4" s="374"/>
      <c r="R4" s="372"/>
      <c r="S4" s="373"/>
      <c r="T4" s="373"/>
      <c r="U4" s="373"/>
      <c r="V4" s="373"/>
      <c r="W4" s="373"/>
      <c r="X4" s="374"/>
      <c r="Y4" s="41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t_kako_irai_lot</v>
      </c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8"/>
      <c r="AP4" s="342"/>
      <c r="AQ4" s="343"/>
      <c r="AR4" s="343"/>
      <c r="AS4" s="343"/>
      <c r="AT4" s="344"/>
      <c r="AU4" s="410"/>
      <c r="AV4" s="411"/>
      <c r="AW4" s="411"/>
      <c r="AX4" s="411"/>
      <c r="AY4" s="412"/>
      <c r="AZ4" s="413"/>
      <c r="BA4" s="414"/>
      <c r="BB4" s="414"/>
      <c r="BC4" s="414"/>
      <c r="BD4" s="415"/>
    </row>
    <row r="6" spans="1:56" ht="14.4" customHeight="1">
      <c r="A6" s="405" t="s">
        <v>90</v>
      </c>
      <c r="B6" s="386" t="s">
        <v>136</v>
      </c>
      <c r="C6" s="394"/>
      <c r="D6" s="394"/>
      <c r="E6" s="394"/>
      <c r="F6" s="394"/>
      <c r="G6" s="394"/>
      <c r="H6" s="387"/>
      <c r="I6" s="386" t="s">
        <v>137</v>
      </c>
      <c r="J6" s="394"/>
      <c r="K6" s="394"/>
      <c r="L6" s="394"/>
      <c r="M6" s="394"/>
      <c r="N6" s="394"/>
      <c r="O6" s="394"/>
      <c r="P6" s="394"/>
      <c r="Q6" s="387"/>
      <c r="R6" s="386" t="s">
        <v>138</v>
      </c>
      <c r="S6" s="394"/>
      <c r="T6" s="394"/>
      <c r="U6" s="394"/>
      <c r="V6" s="394"/>
      <c r="W6" s="394"/>
      <c r="X6" s="387"/>
      <c r="Y6" s="386" t="s">
        <v>139</v>
      </c>
      <c r="Z6" s="387"/>
      <c r="AA6" s="386" t="s">
        <v>140</v>
      </c>
      <c r="AB6" s="394"/>
      <c r="AC6" s="387"/>
      <c r="AD6" s="390" t="s">
        <v>141</v>
      </c>
      <c r="AE6" s="392" t="s">
        <v>142</v>
      </c>
      <c r="AF6" s="390" t="s">
        <v>143</v>
      </c>
      <c r="AG6" s="390" t="s">
        <v>144</v>
      </c>
      <c r="AH6" s="390" t="s">
        <v>145</v>
      </c>
      <c r="AI6" s="383" t="s">
        <v>146</v>
      </c>
      <c r="AJ6" s="384"/>
      <c r="AK6" s="384"/>
      <c r="AL6" s="384"/>
      <c r="AM6" s="384"/>
      <c r="AN6" s="384"/>
      <c r="AO6" s="384"/>
      <c r="AP6" s="384"/>
      <c r="AQ6" s="384"/>
      <c r="AR6" s="385"/>
      <c r="AS6" s="386" t="s">
        <v>147</v>
      </c>
      <c r="AT6" s="394"/>
      <c r="AU6" s="394"/>
      <c r="AV6" s="394"/>
      <c r="AW6" s="394"/>
      <c r="AX6" s="394"/>
      <c r="AY6" s="394"/>
      <c r="AZ6" s="394"/>
      <c r="BA6" s="394"/>
      <c r="BB6" s="394"/>
      <c r="BC6" s="394"/>
      <c r="BD6" s="387"/>
    </row>
    <row r="7" spans="1:56" ht="14.4" customHeight="1">
      <c r="A7" s="406"/>
      <c r="B7" s="388"/>
      <c r="C7" s="395"/>
      <c r="D7" s="395"/>
      <c r="E7" s="395"/>
      <c r="F7" s="395"/>
      <c r="G7" s="395"/>
      <c r="H7" s="389"/>
      <c r="I7" s="388"/>
      <c r="J7" s="395"/>
      <c r="K7" s="395"/>
      <c r="L7" s="395"/>
      <c r="M7" s="395"/>
      <c r="N7" s="395"/>
      <c r="O7" s="395"/>
      <c r="P7" s="395"/>
      <c r="Q7" s="389"/>
      <c r="R7" s="388"/>
      <c r="S7" s="395"/>
      <c r="T7" s="395"/>
      <c r="U7" s="395"/>
      <c r="V7" s="395"/>
      <c r="W7" s="395"/>
      <c r="X7" s="389"/>
      <c r="Y7" s="388"/>
      <c r="Z7" s="389"/>
      <c r="AA7" s="388"/>
      <c r="AB7" s="395"/>
      <c r="AC7" s="389"/>
      <c r="AD7" s="391"/>
      <c r="AE7" s="393"/>
      <c r="AF7" s="391"/>
      <c r="AG7" s="391"/>
      <c r="AH7" s="39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88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89"/>
    </row>
    <row r="8" spans="1:56" ht="14.4" customHeight="1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419" t="s">
        <v>150</v>
      </c>
      <c r="Z8" s="420"/>
      <c r="AA8" s="421" t="s">
        <v>151</v>
      </c>
      <c r="AB8" s="422"/>
      <c r="AC8" s="423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" customHeight="1">
      <c r="A9" s="70">
        <f>IF(B9="","",COUNTA($B$8:B9))</f>
        <v>2</v>
      </c>
      <c r="B9" s="19" t="s">
        <v>1430</v>
      </c>
      <c r="C9" s="20"/>
      <c r="D9" s="20"/>
      <c r="E9" s="20"/>
      <c r="F9" s="20"/>
      <c r="G9" s="20"/>
      <c r="H9" s="24"/>
      <c r="I9" s="31" t="s">
        <v>413</v>
      </c>
      <c r="J9" s="23"/>
      <c r="K9" s="23"/>
      <c r="L9" s="23"/>
      <c r="M9" s="23"/>
      <c r="N9" s="23"/>
      <c r="O9" s="38"/>
      <c r="P9" s="23"/>
      <c r="Q9" s="24"/>
      <c r="R9" s="19" t="s">
        <v>1430</v>
      </c>
      <c r="S9" s="23"/>
      <c r="T9" s="23"/>
      <c r="U9" s="23"/>
      <c r="V9" s="23"/>
      <c r="W9" s="23"/>
      <c r="X9" s="24"/>
      <c r="Y9" s="419" t="s">
        <v>1487</v>
      </c>
      <c r="Z9" s="420"/>
      <c r="AA9" s="421" t="s">
        <v>1488</v>
      </c>
      <c r="AB9" s="422"/>
      <c r="AC9" s="423"/>
      <c r="AD9" s="27">
        <v>1</v>
      </c>
      <c r="AE9" s="29"/>
      <c r="AF9" s="29">
        <v>2</v>
      </c>
      <c r="AG9" s="29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414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" customHeight="1">
      <c r="A10" s="70">
        <f>IF(B10="","",COUNTA($B$8:B10))</f>
        <v>3</v>
      </c>
      <c r="B10" s="19" t="s">
        <v>1431</v>
      </c>
      <c r="C10" s="20"/>
      <c r="D10" s="20"/>
      <c r="E10" s="20"/>
      <c r="F10" s="20"/>
      <c r="G10" s="20"/>
      <c r="H10" s="24"/>
      <c r="I10" s="31" t="s">
        <v>337</v>
      </c>
      <c r="J10" s="23"/>
      <c r="K10" s="23"/>
      <c r="L10" s="23"/>
      <c r="M10" s="23"/>
      <c r="N10" s="23"/>
      <c r="O10" s="23"/>
      <c r="P10" s="23"/>
      <c r="Q10" s="37"/>
      <c r="R10" s="19" t="s">
        <v>1431</v>
      </c>
      <c r="S10" s="23"/>
      <c r="T10" s="23"/>
      <c r="U10" s="23"/>
      <c r="V10" s="23"/>
      <c r="W10" s="23"/>
      <c r="X10" s="24"/>
      <c r="Y10" s="419" t="s">
        <v>150</v>
      </c>
      <c r="Z10" s="420"/>
      <c r="AA10" s="421" t="s">
        <v>151</v>
      </c>
      <c r="AB10" s="422"/>
      <c r="AC10" s="423"/>
      <c r="AD10" s="27">
        <v>15</v>
      </c>
      <c r="AE10" s="29"/>
      <c r="AF10" s="29">
        <v>3</v>
      </c>
      <c r="AG10" s="29" t="s">
        <v>152</v>
      </c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47" t="s">
        <v>416</v>
      </c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66"/>
    </row>
    <row r="11" spans="1:56" ht="14.4" customHeight="1">
      <c r="A11" s="70">
        <f>IF(B11="","",COUNTA($B$8:B11))</f>
        <v>4</v>
      </c>
      <c r="B11" s="19" t="s">
        <v>1433</v>
      </c>
      <c r="C11" s="20"/>
      <c r="D11" s="20"/>
      <c r="E11" s="20"/>
      <c r="F11" s="20"/>
      <c r="G11" s="20"/>
      <c r="H11" s="24"/>
      <c r="I11" s="31" t="s">
        <v>417</v>
      </c>
      <c r="J11" s="23"/>
      <c r="K11" s="23"/>
      <c r="L11" s="23"/>
      <c r="M11" s="23"/>
      <c r="N11" s="23"/>
      <c r="O11" s="23"/>
      <c r="P11" s="23"/>
      <c r="Q11" s="37"/>
      <c r="R11" s="19" t="s">
        <v>1434</v>
      </c>
      <c r="S11" s="23"/>
      <c r="T11" s="23"/>
      <c r="U11" s="23"/>
      <c r="V11" s="23"/>
      <c r="W11" s="23"/>
      <c r="X11" s="24"/>
      <c r="Y11" s="419" t="s">
        <v>150</v>
      </c>
      <c r="Z11" s="420"/>
      <c r="AA11" s="421" t="s">
        <v>151</v>
      </c>
      <c r="AB11" s="422"/>
      <c r="AC11" s="423"/>
      <c r="AD11" s="27">
        <v>15</v>
      </c>
      <c r="AE11" s="29"/>
      <c r="AF11" s="29">
        <v>4</v>
      </c>
      <c r="AG11" s="29" t="s">
        <v>152</v>
      </c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47" t="s">
        <v>415</v>
      </c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66"/>
    </row>
    <row r="12" spans="1:56" ht="14.4" customHeight="1">
      <c r="A12" s="70">
        <f>IF(B12="","",COUNTA($B$8:B12))</f>
        <v>5</v>
      </c>
      <c r="B12" s="19" t="s">
        <v>159</v>
      </c>
      <c r="C12" s="20"/>
      <c r="D12" s="20"/>
      <c r="E12" s="20"/>
      <c r="F12" s="20"/>
      <c r="G12" s="20"/>
      <c r="H12" s="24"/>
      <c r="I12" s="31" t="s">
        <v>160</v>
      </c>
      <c r="J12" s="23"/>
      <c r="K12" s="23"/>
      <c r="L12" s="23"/>
      <c r="M12" s="23"/>
      <c r="N12" s="23"/>
      <c r="O12" s="38"/>
      <c r="P12" s="23"/>
      <c r="Q12" s="24"/>
      <c r="R12" s="19" t="s">
        <v>159</v>
      </c>
      <c r="S12" s="23"/>
      <c r="T12" s="23"/>
      <c r="U12" s="23"/>
      <c r="V12" s="23"/>
      <c r="W12" s="23"/>
      <c r="X12" s="24"/>
      <c r="Y12" s="419" t="s">
        <v>150</v>
      </c>
      <c r="Z12" s="420"/>
      <c r="AA12" s="421" t="s">
        <v>151</v>
      </c>
      <c r="AB12" s="422"/>
      <c r="AC12" s="423"/>
      <c r="AD12" s="27">
        <v>4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" customHeight="1">
      <c r="A13" s="70">
        <f>IF(B13="","",COUNTA($B$8:B13))</f>
        <v>6</v>
      </c>
      <c r="B13" s="19" t="s">
        <v>162</v>
      </c>
      <c r="C13" s="20"/>
      <c r="D13" s="20"/>
      <c r="E13" s="20"/>
      <c r="F13" s="20"/>
      <c r="G13" s="20"/>
      <c r="H13" s="24"/>
      <c r="I13" s="31" t="s">
        <v>163</v>
      </c>
      <c r="J13" s="23"/>
      <c r="K13" s="23"/>
      <c r="L13" s="23"/>
      <c r="M13" s="23"/>
      <c r="N13" s="23"/>
      <c r="O13" s="38"/>
      <c r="P13" s="23"/>
      <c r="Q13" s="24"/>
      <c r="R13" s="19" t="s">
        <v>164</v>
      </c>
      <c r="S13" s="23"/>
      <c r="T13" s="23"/>
      <c r="U13" s="23"/>
      <c r="V13" s="23"/>
      <c r="W13" s="23"/>
      <c r="X13" s="24"/>
      <c r="Y13" s="419" t="s">
        <v>150</v>
      </c>
      <c r="Z13" s="420"/>
      <c r="AA13" s="421" t="s">
        <v>151</v>
      </c>
      <c r="AB13" s="422"/>
      <c r="AC13" s="423"/>
      <c r="AD13" s="27">
        <v>4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" customHeight="1">
      <c r="A14" s="70">
        <f>IF(B14="","",COUNTA($B$8:B14))</f>
        <v>7</v>
      </c>
      <c r="B14" s="19" t="s">
        <v>249</v>
      </c>
      <c r="C14" s="20"/>
      <c r="D14" s="20"/>
      <c r="E14" s="20"/>
      <c r="F14" s="20"/>
      <c r="G14" s="20"/>
      <c r="H14" s="24"/>
      <c r="I14" s="31" t="s">
        <v>250</v>
      </c>
      <c r="J14" s="23"/>
      <c r="K14" s="23"/>
      <c r="L14" s="23"/>
      <c r="M14" s="23"/>
      <c r="N14" s="23"/>
      <c r="O14" s="23"/>
      <c r="P14" s="23"/>
      <c r="Q14" s="37"/>
      <c r="R14" s="19" t="s">
        <v>249</v>
      </c>
      <c r="S14" s="23"/>
      <c r="T14" s="23"/>
      <c r="U14" s="23"/>
      <c r="V14" s="23"/>
      <c r="W14" s="23"/>
      <c r="X14" s="24"/>
      <c r="Y14" s="419" t="s">
        <v>150</v>
      </c>
      <c r="Z14" s="420"/>
      <c r="AA14" s="421" t="s">
        <v>151</v>
      </c>
      <c r="AB14" s="422"/>
      <c r="AC14" s="423"/>
      <c r="AD14" s="27">
        <v>4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" customHeight="1">
      <c r="A15" s="70">
        <f>IF(B15="","",COUNTA($B$8:B15))</f>
        <v>8</v>
      </c>
      <c r="B15" s="19" t="s">
        <v>251</v>
      </c>
      <c r="C15" s="20"/>
      <c r="D15" s="20"/>
      <c r="E15" s="20"/>
      <c r="F15" s="20"/>
      <c r="G15" s="20"/>
      <c r="H15" s="24"/>
      <c r="I15" s="31" t="s">
        <v>252</v>
      </c>
      <c r="J15" s="23"/>
      <c r="K15" s="23"/>
      <c r="L15" s="23"/>
      <c r="M15" s="23"/>
      <c r="N15" s="23"/>
      <c r="O15" s="23"/>
      <c r="P15" s="23"/>
      <c r="Q15" s="37"/>
      <c r="R15" s="19" t="s">
        <v>251</v>
      </c>
      <c r="S15" s="23"/>
      <c r="T15" s="23"/>
      <c r="U15" s="23"/>
      <c r="V15" s="23"/>
      <c r="W15" s="23"/>
      <c r="X15" s="24"/>
      <c r="Y15" s="419" t="s">
        <v>150</v>
      </c>
      <c r="Z15" s="420"/>
      <c r="AA15" s="421" t="s">
        <v>151</v>
      </c>
      <c r="AB15" s="422"/>
      <c r="AC15" s="423"/>
      <c r="AD15" s="27">
        <v>4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" customHeight="1">
      <c r="A16" s="70">
        <f>IF(B16="","",COUNTA($B$8:B16))</f>
        <v>9</v>
      </c>
      <c r="B16" s="19" t="s">
        <v>253</v>
      </c>
      <c r="C16" s="20"/>
      <c r="D16" s="20"/>
      <c r="E16" s="20"/>
      <c r="F16" s="20"/>
      <c r="G16" s="20"/>
      <c r="H16" s="24"/>
      <c r="I16" s="31" t="s">
        <v>254</v>
      </c>
      <c r="J16" s="23"/>
      <c r="K16" s="23"/>
      <c r="L16" s="23"/>
      <c r="M16" s="23"/>
      <c r="N16" s="23"/>
      <c r="O16" s="23"/>
      <c r="P16" s="23"/>
      <c r="Q16" s="37"/>
      <c r="R16" s="19" t="s">
        <v>253</v>
      </c>
      <c r="S16" s="23"/>
      <c r="T16" s="23"/>
      <c r="U16" s="23"/>
      <c r="V16" s="23"/>
      <c r="W16" s="23"/>
      <c r="X16" s="24"/>
      <c r="Y16" s="419" t="s">
        <v>150</v>
      </c>
      <c r="Z16" s="420"/>
      <c r="AA16" s="421" t="s">
        <v>151</v>
      </c>
      <c r="AB16" s="422"/>
      <c r="AC16" s="423"/>
      <c r="AD16" s="27">
        <v>10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" customHeight="1">
      <c r="A17" s="70">
        <f>IF(B17="","",COUNTA($B$8:B17))</f>
        <v>10</v>
      </c>
      <c r="B17" s="19" t="s">
        <v>255</v>
      </c>
      <c r="C17" s="20"/>
      <c r="D17" s="20"/>
      <c r="E17" s="20"/>
      <c r="F17" s="20"/>
      <c r="G17" s="20"/>
      <c r="H17" s="24"/>
      <c r="I17" s="31" t="s">
        <v>256</v>
      </c>
      <c r="J17" s="23"/>
      <c r="K17" s="23"/>
      <c r="L17" s="23"/>
      <c r="M17" s="23"/>
      <c r="N17" s="23"/>
      <c r="O17" s="23"/>
      <c r="P17" s="23"/>
      <c r="Q17" s="37"/>
      <c r="R17" s="19" t="s">
        <v>255</v>
      </c>
      <c r="S17" s="23"/>
      <c r="T17" s="23"/>
      <c r="U17" s="23"/>
      <c r="V17" s="23"/>
      <c r="W17" s="23"/>
      <c r="X17" s="24"/>
      <c r="Y17" s="419" t="s">
        <v>150</v>
      </c>
      <c r="Z17" s="420"/>
      <c r="AA17" s="421" t="s">
        <v>151</v>
      </c>
      <c r="AB17" s="422"/>
      <c r="AC17" s="423"/>
      <c r="AD17" s="27">
        <v>10</v>
      </c>
      <c r="AE17" s="29"/>
      <c r="AF17" s="29"/>
      <c r="AG17" s="29"/>
      <c r="AH17" s="40"/>
      <c r="AI17" s="40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>
      <c r="A18" s="70">
        <f>IF(B18="","",COUNTA($B$8:B18))</f>
        <v>11</v>
      </c>
      <c r="B18" s="19" t="s">
        <v>257</v>
      </c>
      <c r="C18" s="20"/>
      <c r="D18" s="20"/>
      <c r="E18" s="20"/>
      <c r="F18" s="20"/>
      <c r="G18" s="20"/>
      <c r="H18" s="24"/>
      <c r="I18" s="31" t="s">
        <v>258</v>
      </c>
      <c r="J18" s="23"/>
      <c r="K18" s="23"/>
      <c r="L18" s="23"/>
      <c r="M18" s="23"/>
      <c r="N18" s="23"/>
      <c r="O18" s="23"/>
      <c r="P18" s="23"/>
      <c r="Q18" s="37"/>
      <c r="R18" s="19" t="s">
        <v>257</v>
      </c>
      <c r="S18" s="23"/>
      <c r="T18" s="23"/>
      <c r="U18" s="23"/>
      <c r="V18" s="23"/>
      <c r="W18" s="23"/>
      <c r="X18" s="24"/>
      <c r="Y18" s="419" t="s">
        <v>169</v>
      </c>
      <c r="Z18" s="420"/>
      <c r="AA18" s="421" t="s">
        <v>243</v>
      </c>
      <c r="AB18" s="422"/>
      <c r="AC18" s="423"/>
      <c r="AD18" s="51"/>
      <c r="AE18" s="29"/>
      <c r="AF18" s="29"/>
      <c r="AG18" s="29"/>
      <c r="AH18" s="28"/>
      <c r="AI18" s="28"/>
      <c r="AJ18" s="28"/>
      <c r="AK18" s="28"/>
      <c r="AL18" s="40"/>
      <c r="AM18" s="40"/>
      <c r="AN18" s="40"/>
      <c r="AO18" s="41"/>
      <c r="AP18" s="41"/>
      <c r="AQ18" s="41"/>
      <c r="AR18" s="41"/>
      <c r="AS18" s="42"/>
      <c r="AT18" s="43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>
      <c r="A19" s="70">
        <f>IF(B19="","",COUNTA($B$8:B19))</f>
        <v>12</v>
      </c>
      <c r="B19" s="19" t="s">
        <v>259</v>
      </c>
      <c r="C19" s="20"/>
      <c r="D19" s="20"/>
      <c r="E19" s="20"/>
      <c r="F19" s="20"/>
      <c r="G19" s="20"/>
      <c r="H19" s="24"/>
      <c r="I19" s="31" t="s">
        <v>260</v>
      </c>
      <c r="J19" s="23"/>
      <c r="K19" s="23"/>
      <c r="L19" s="23"/>
      <c r="M19" s="23"/>
      <c r="N19" s="23"/>
      <c r="O19" s="23"/>
      <c r="P19" s="23"/>
      <c r="Q19" s="37"/>
      <c r="R19" s="19" t="s">
        <v>259</v>
      </c>
      <c r="S19" s="23"/>
      <c r="T19" s="23"/>
      <c r="U19" s="23"/>
      <c r="V19" s="23"/>
      <c r="W19" s="23"/>
      <c r="X19" s="24"/>
      <c r="Y19" s="419" t="s">
        <v>150</v>
      </c>
      <c r="Z19" s="420"/>
      <c r="AA19" s="421" t="s">
        <v>151</v>
      </c>
      <c r="AB19" s="422"/>
      <c r="AC19" s="423"/>
      <c r="AD19" s="27">
        <v>10</v>
      </c>
      <c r="AE19" s="29"/>
      <c r="AF19" s="29"/>
      <c r="AG19" s="29"/>
      <c r="AH19" s="40"/>
      <c r="AI19" s="40"/>
      <c r="AJ19" s="40"/>
      <c r="AK19" s="40"/>
      <c r="AL19" s="40"/>
      <c r="AM19" s="40"/>
      <c r="AN19" s="40"/>
      <c r="AO19" s="41"/>
      <c r="AP19" s="41"/>
      <c r="AQ19" s="41"/>
      <c r="AR19" s="41"/>
      <c r="AS19" s="42"/>
      <c r="AT19" s="43"/>
      <c r="AU19" s="48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>
      <c r="A20" s="70">
        <f>IF(B20="","",COUNTA($B$8:B20))</f>
        <v>13</v>
      </c>
      <c r="B20" s="19" t="s">
        <v>261</v>
      </c>
      <c r="C20" s="20"/>
      <c r="D20" s="20"/>
      <c r="E20" s="20"/>
      <c r="F20" s="20"/>
      <c r="G20" s="20"/>
      <c r="H20" s="24"/>
      <c r="I20" s="31" t="s">
        <v>262</v>
      </c>
      <c r="J20" s="23"/>
      <c r="K20" s="23"/>
      <c r="L20" s="23"/>
      <c r="M20" s="23"/>
      <c r="N20" s="23"/>
      <c r="O20" s="23"/>
      <c r="P20" s="23"/>
      <c r="Q20" s="37"/>
      <c r="R20" s="19" t="s">
        <v>261</v>
      </c>
      <c r="S20" s="23"/>
      <c r="T20" s="23"/>
      <c r="U20" s="23"/>
      <c r="V20" s="23"/>
      <c r="W20" s="23"/>
      <c r="X20" s="24"/>
      <c r="Y20" s="419" t="s">
        <v>150</v>
      </c>
      <c r="Z20" s="420"/>
      <c r="AA20" s="421" t="s">
        <v>151</v>
      </c>
      <c r="AB20" s="422"/>
      <c r="AC20" s="423"/>
      <c r="AD20" s="51">
        <v>10</v>
      </c>
      <c r="AE20" s="29"/>
      <c r="AF20" s="29"/>
      <c r="AG20" s="29"/>
      <c r="AH20" s="40"/>
      <c r="AI20" s="40"/>
      <c r="AJ20" s="40"/>
      <c r="AK20" s="40"/>
      <c r="AL20" s="40"/>
      <c r="AM20" s="40"/>
      <c r="AN20" s="40"/>
      <c r="AO20" s="41"/>
      <c r="AP20" s="41"/>
      <c r="AQ20" s="41"/>
      <c r="AR20" s="41"/>
      <c r="AS20" s="42"/>
      <c r="AT20" s="43"/>
      <c r="AU20" s="48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>
      <c r="A21" s="70">
        <f>IF(B21="","",COUNTA($B$8:B21))</f>
        <v>14</v>
      </c>
      <c r="B21" s="19" t="s">
        <v>263</v>
      </c>
      <c r="C21" s="20"/>
      <c r="D21" s="20"/>
      <c r="E21" s="20"/>
      <c r="F21" s="20"/>
      <c r="G21" s="20"/>
      <c r="H21" s="24"/>
      <c r="I21" s="31" t="s">
        <v>264</v>
      </c>
      <c r="J21" s="23"/>
      <c r="K21" s="23"/>
      <c r="L21" s="23"/>
      <c r="M21" s="23"/>
      <c r="N21" s="23"/>
      <c r="O21" s="23"/>
      <c r="P21" s="23"/>
      <c r="Q21" s="37"/>
      <c r="R21" s="22" t="s">
        <v>263</v>
      </c>
      <c r="S21" s="23"/>
      <c r="T21" s="23"/>
      <c r="U21" s="23"/>
      <c r="V21" s="23"/>
      <c r="W21" s="23"/>
      <c r="X21" s="24"/>
      <c r="Y21" s="419" t="s">
        <v>169</v>
      </c>
      <c r="Z21" s="420"/>
      <c r="AA21" s="421" t="s">
        <v>243</v>
      </c>
      <c r="AB21" s="422"/>
      <c r="AC21" s="423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>
      <c r="A22" s="70" t="str">
        <f>IF(B22="","",COUNTA($B$8:B22))</f>
        <v/>
      </c>
      <c r="B22" s="19"/>
      <c r="C22" s="20"/>
      <c r="D22" s="20"/>
      <c r="E22" s="20"/>
      <c r="F22" s="20"/>
      <c r="G22" s="20"/>
      <c r="H22" s="24"/>
      <c r="I22" s="31"/>
      <c r="J22" s="23"/>
      <c r="K22" s="23"/>
      <c r="L22" s="23"/>
      <c r="M22" s="23"/>
      <c r="N22" s="23"/>
      <c r="O22" s="23"/>
      <c r="P22" s="23"/>
      <c r="Q22" s="37"/>
      <c r="R22" s="22"/>
      <c r="S22" s="23"/>
      <c r="T22" s="23"/>
      <c r="U22" s="23"/>
      <c r="V22" s="23"/>
      <c r="W22" s="23"/>
      <c r="X22" s="24"/>
      <c r="Y22" s="419"/>
      <c r="Z22" s="420"/>
      <c r="AA22" s="421"/>
      <c r="AB22" s="422"/>
      <c r="AC22" s="423"/>
      <c r="AD22" s="27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48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>
      <c r="A23" s="70" t="str">
        <f>IF(B23="","",COUNTA($B$8:B23))</f>
        <v/>
      </c>
      <c r="B23" s="19"/>
      <c r="C23" s="20"/>
      <c r="D23" s="20"/>
      <c r="E23" s="20"/>
      <c r="F23" s="20"/>
      <c r="G23" s="20"/>
      <c r="H23" s="24"/>
      <c r="I23" s="31"/>
      <c r="J23" s="23"/>
      <c r="K23" s="23"/>
      <c r="L23" s="23"/>
      <c r="M23" s="23"/>
      <c r="N23" s="23"/>
      <c r="O23" s="23"/>
      <c r="P23" s="23"/>
      <c r="Q23" s="37"/>
      <c r="R23" s="22"/>
      <c r="S23" s="23"/>
      <c r="T23" s="23"/>
      <c r="U23" s="23"/>
      <c r="V23" s="23"/>
      <c r="W23" s="23"/>
      <c r="X23" s="24"/>
      <c r="Y23" s="419"/>
      <c r="Z23" s="420"/>
      <c r="AA23" s="421"/>
      <c r="AB23" s="422"/>
      <c r="AC23" s="423"/>
      <c r="AD23" s="27"/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>
      <c r="A24" s="70" t="str">
        <f>IF(B24="","",COUNTA($B$8:B24))</f>
        <v/>
      </c>
      <c r="B24" s="19"/>
      <c r="C24" s="20"/>
      <c r="D24" s="20"/>
      <c r="E24" s="20"/>
      <c r="F24" s="20"/>
      <c r="G24" s="20"/>
      <c r="H24" s="24"/>
      <c r="I24" s="31"/>
      <c r="J24" s="23"/>
      <c r="K24" s="23"/>
      <c r="L24" s="23"/>
      <c r="M24" s="23"/>
      <c r="N24" s="23"/>
      <c r="O24" s="23"/>
      <c r="P24" s="23"/>
      <c r="Q24" s="37"/>
      <c r="R24" s="22"/>
      <c r="S24" s="23"/>
      <c r="T24" s="23"/>
      <c r="U24" s="23"/>
      <c r="V24" s="23"/>
      <c r="W24" s="23"/>
      <c r="X24" s="24"/>
      <c r="Y24" s="419"/>
      <c r="Z24" s="420"/>
      <c r="AA24" s="421"/>
      <c r="AB24" s="422"/>
      <c r="AC24" s="423"/>
      <c r="AD24" s="51"/>
      <c r="AE24" s="29"/>
      <c r="AF24" s="29"/>
      <c r="AG24" s="29"/>
      <c r="AH24" s="40"/>
      <c r="AI24" s="40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" customHeight="1">
      <c r="A25" s="50" t="str">
        <f>IF(B25="","",COUNTA($B$10:B25))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419"/>
      <c r="Z25" s="420"/>
      <c r="AA25" s="421"/>
      <c r="AB25" s="422"/>
      <c r="AC25" s="423"/>
      <c r="AD25" s="51"/>
      <c r="AE25" s="29"/>
      <c r="AF25" s="29"/>
      <c r="AG25" s="29"/>
      <c r="AH25" s="28"/>
      <c r="AI25" s="28"/>
      <c r="AJ25" s="28"/>
      <c r="AK25" s="28"/>
      <c r="AL25" s="40"/>
      <c r="AM25" s="40"/>
      <c r="AN25" s="40"/>
      <c r="AO25" s="41"/>
      <c r="AP25" s="41"/>
      <c r="AQ25" s="41"/>
      <c r="AR25" s="41"/>
      <c r="AS25" s="42"/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" customHeight="1">
      <c r="A26" s="50" t="str">
        <f>IF(B26="","",COUNTA($B$10:B26))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419"/>
      <c r="Z26" s="420"/>
      <c r="AA26" s="421"/>
      <c r="AB26" s="422"/>
      <c r="AC26" s="423"/>
      <c r="AD26" s="51"/>
      <c r="AE26" s="29"/>
      <c r="AF26" s="29"/>
      <c r="AG26" s="29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48"/>
      <c r="AV26" s="48"/>
      <c r="AW26" s="48"/>
      <c r="AX26" s="48"/>
      <c r="AY26" s="48"/>
      <c r="AZ26" s="48"/>
      <c r="BA26" s="48"/>
      <c r="BB26" s="48"/>
      <c r="BC26" s="48"/>
      <c r="BD26" s="66"/>
    </row>
    <row r="27" spans="1:56" ht="14.4" customHeight="1">
      <c r="A27" s="50" t="str">
        <f>IF(B27="","",COUNTA($B$10:B27))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419"/>
      <c r="Z27" s="420"/>
      <c r="AA27" s="421"/>
      <c r="AB27" s="422"/>
      <c r="AC27" s="423"/>
      <c r="AD27" s="27"/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" customHeight="1">
      <c r="A28" s="50" t="str">
        <f>IF(B28="","",COUNTA($B$10:B28))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37"/>
      <c r="Y28" s="419"/>
      <c r="Z28" s="420"/>
      <c r="AA28" s="421"/>
      <c r="AB28" s="422"/>
      <c r="AC28" s="423"/>
      <c r="AD28" s="51"/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>
      <c r="A29" s="50" t="str">
        <f>IF(B29="","",COUNTA($B$10:B29))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37"/>
      <c r="Y29" s="419"/>
      <c r="Z29" s="420"/>
      <c r="AA29" s="421"/>
      <c r="AB29" s="422"/>
      <c r="AC29" s="423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" customHeight="1">
      <c r="A30" s="50" t="str">
        <f>IF(B30="","",COUNTA($B$10:B30))</f>
        <v/>
      </c>
      <c r="B30" s="31"/>
      <c r="C30" s="44"/>
      <c r="D30" s="44"/>
      <c r="E30" s="44"/>
      <c r="F30" s="44"/>
      <c r="G30" s="44"/>
      <c r="H30" s="45"/>
      <c r="I30" s="31"/>
      <c r="J30" s="35"/>
      <c r="K30" s="35"/>
      <c r="L30" s="35"/>
      <c r="M30" s="35"/>
      <c r="N30" s="35"/>
      <c r="O30" s="35"/>
      <c r="P30" s="35"/>
      <c r="Q30" s="36"/>
      <c r="R30" s="34"/>
      <c r="S30" s="35"/>
      <c r="T30" s="35"/>
      <c r="U30" s="35"/>
      <c r="V30" s="35"/>
      <c r="W30" s="35"/>
      <c r="X30" s="36"/>
      <c r="Y30" s="419"/>
      <c r="Z30" s="420"/>
      <c r="AA30" s="421"/>
      <c r="AB30" s="422"/>
      <c r="AC30" s="423"/>
      <c r="AD30" s="51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42"/>
      <c r="AT30" s="49"/>
      <c r="AU30" s="48"/>
      <c r="AV30" s="48"/>
      <c r="AW30" s="48"/>
      <c r="AX30" s="48"/>
      <c r="AY30" s="48"/>
      <c r="AZ30" s="48"/>
      <c r="BA30" s="48"/>
      <c r="BB30" s="48"/>
      <c r="BC30" s="48"/>
      <c r="BD30" s="66"/>
    </row>
    <row r="31" spans="1:56" ht="14.4" customHeight="1">
      <c r="A31" s="50" t="str">
        <f>IF(B31="","",COUNTA($B$10:B31))</f>
        <v/>
      </c>
      <c r="B31" s="31"/>
      <c r="C31" s="44"/>
      <c r="D31" s="44"/>
      <c r="E31" s="44"/>
      <c r="F31" s="44"/>
      <c r="G31" s="44"/>
      <c r="H31" s="45"/>
      <c r="I31" s="31"/>
      <c r="J31" s="35"/>
      <c r="K31" s="35"/>
      <c r="L31" s="35"/>
      <c r="M31" s="35"/>
      <c r="N31" s="35"/>
      <c r="O31" s="35"/>
      <c r="P31" s="35"/>
      <c r="Q31" s="36"/>
      <c r="R31" s="34"/>
      <c r="S31" s="35"/>
      <c r="T31" s="35"/>
      <c r="U31" s="35"/>
      <c r="V31" s="35"/>
      <c r="W31" s="35"/>
      <c r="X31" s="36"/>
      <c r="Y31" s="419"/>
      <c r="Z31" s="420"/>
      <c r="AA31" s="421"/>
      <c r="AB31" s="422"/>
      <c r="AC31" s="423"/>
      <c r="AD31" s="51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42"/>
      <c r="AT31" s="49"/>
      <c r="AU31" s="48"/>
      <c r="AV31" s="48"/>
      <c r="AW31" s="48"/>
      <c r="AX31" s="48"/>
      <c r="AY31" s="48"/>
      <c r="AZ31" s="48"/>
      <c r="BA31" s="48"/>
      <c r="BB31" s="48"/>
      <c r="BC31" s="48"/>
      <c r="BD31" s="66"/>
    </row>
    <row r="32" spans="1:56" ht="14.4" customHeight="1">
      <c r="A32" s="50" t="str">
        <f>IF(B32="","",COUNTA($B$10:B32))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419"/>
      <c r="Z32" s="420"/>
      <c r="AA32" s="421"/>
      <c r="AB32" s="422"/>
      <c r="AC32" s="423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>
      <c r="A33" s="50" t="str">
        <f>IF(B33="","",COUNTA($B$10:B33))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419"/>
      <c r="Z33" s="420"/>
      <c r="AA33" s="421"/>
      <c r="AB33" s="422"/>
      <c r="AC33" s="423"/>
      <c r="AD33" s="51"/>
      <c r="AE33" s="29"/>
      <c r="AF33" s="29"/>
      <c r="AG33" s="29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>
      <c r="A34" s="50" t="str">
        <f>IF(B34="","",COUNTA($B$10:B34))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419"/>
      <c r="Z34" s="420"/>
      <c r="AA34" s="421"/>
      <c r="AB34" s="422"/>
      <c r="AC34" s="423"/>
      <c r="AD34" s="51"/>
      <c r="AE34" s="29"/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>
      <c r="A35" s="50" t="str">
        <f>IF(B35="","",COUNTA($B$10:B35))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419"/>
      <c r="Z35" s="420"/>
      <c r="AA35" s="421"/>
      <c r="AB35" s="422"/>
      <c r="AC35" s="423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50" t="str">
        <f>IF(B36="","",COUNTA($B$10:B36))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419"/>
      <c r="Z36" s="420"/>
      <c r="AA36" s="421"/>
      <c r="AB36" s="422"/>
      <c r="AC36" s="423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50" t="str">
        <f>IF(B37="","",COUNTA($B$10:B37))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419"/>
      <c r="Z37" s="420"/>
      <c r="AA37" s="421"/>
      <c r="AB37" s="422"/>
      <c r="AC37" s="423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50" t="str">
        <f>IF(B38="","",COUNTA($B$10:B38))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419"/>
      <c r="Z38" s="420"/>
      <c r="AA38" s="421"/>
      <c r="AB38" s="422"/>
      <c r="AC38" s="423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>
      <c r="A39" s="50" t="str">
        <f>IF(B39="","",COUNTA($B$10:B39))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419"/>
      <c r="Z39" s="420"/>
      <c r="AA39" s="421"/>
      <c r="AB39" s="422"/>
      <c r="AC39" s="423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50" t="str">
        <f>IF(B40="","",COUNTA($B$10:B40))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419"/>
      <c r="Z40" s="420"/>
      <c r="AA40" s="421"/>
      <c r="AB40" s="422"/>
      <c r="AC40" s="423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50" t="str">
        <f>IF(B41="","",COUNTA($B$10:B41))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419"/>
      <c r="Z41" s="420"/>
      <c r="AA41" s="421"/>
      <c r="AB41" s="422"/>
      <c r="AC41" s="423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50" t="str">
        <f>IF(B42="","",COUNTA($B$10:B42))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419"/>
      <c r="Z42" s="420"/>
      <c r="AA42" s="421"/>
      <c r="AB42" s="422"/>
      <c r="AC42" s="423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50" t="str">
        <f>IF(B43="","",COUNTA($B$10:B43))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19"/>
      <c r="Z43" s="420"/>
      <c r="AA43" s="421"/>
      <c r="AB43" s="422"/>
      <c r="AC43" s="423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50" t="str">
        <f>IF(B44="","",COUNTA($B$10:B44))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419"/>
      <c r="Z44" s="420"/>
      <c r="AA44" s="421"/>
      <c r="AB44" s="422"/>
      <c r="AC44" s="423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>
      <c r="A45" s="50" t="str">
        <f>IF(B45="","",COUNTA($B$10:B45))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419"/>
      <c r="Z45" s="420"/>
      <c r="AA45" s="421"/>
      <c r="AB45" s="422"/>
      <c r="AC45" s="423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50" t="str">
        <f>IF(B46="","",COUNTA($B$10:B46))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419"/>
      <c r="Z46" s="420"/>
      <c r="AA46" s="421"/>
      <c r="AB46" s="422"/>
      <c r="AC46" s="423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43:Z43"/>
    <mergeCell ref="AA43:AC43"/>
    <mergeCell ref="Y44:Z44"/>
    <mergeCell ref="AA44:AC44"/>
    <mergeCell ref="Y11:Z11"/>
    <mergeCell ref="AA11:AC11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19:Z19"/>
    <mergeCell ref="AA19:AC19"/>
    <mergeCell ref="Y20:Z20"/>
    <mergeCell ref="AA20:AC20"/>
    <mergeCell ref="Y21:Z21"/>
    <mergeCell ref="AA21:AC21"/>
    <mergeCell ref="Y16:Z16"/>
    <mergeCell ref="AA16:AC16"/>
    <mergeCell ref="Y17:Z17"/>
    <mergeCell ref="AA17:AC17"/>
    <mergeCell ref="Y18:Z18"/>
    <mergeCell ref="AA18:AC18"/>
    <mergeCell ref="Y14:Z14"/>
    <mergeCell ref="AA14:AC14"/>
    <mergeCell ref="Y15:Z15"/>
    <mergeCell ref="AA15:AC15"/>
    <mergeCell ref="Y13:Z13"/>
    <mergeCell ref="AA13:AC13"/>
    <mergeCell ref="Y9:Z9"/>
    <mergeCell ref="AA9:AC9"/>
    <mergeCell ref="Y10:Z10"/>
    <mergeCell ref="AA10:AC10"/>
    <mergeCell ref="Y12:Z12"/>
    <mergeCell ref="AA12:AC12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Y45:Z45"/>
    <mergeCell ref="AA45:AC45"/>
    <mergeCell ref="Y46:Z46"/>
    <mergeCell ref="AA46:AC46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</mergeCells>
  <phoneticPr fontId="5"/>
  <dataValidations count="3">
    <dataValidation imeMode="hiragana" allowBlank="1" showInputMessage="1" showErrorMessage="1" sqref="JI65527:JT65529 TE65527:TP65529 ADA65527:ADL65529 AMW65527:ANH65529 AWS65527:AXD65529 BGO65527:BGZ65529 BQK65527:BQV65529 CAG65527:CAR65529 CKC65527:CKN65529 CTY65527:CUJ65529 DDU65527:DEF65529 DNQ65527:DOB65529 DXM65527:DXX65529 EHI65527:EHT65529 ERE65527:ERP65529 FBA65527:FBL65529 FKW65527:FLH65529 FUS65527:FVD65529 GEO65527:GEZ65529 GOK65527:GOV65529 GYG65527:GYR65529 HIC65527:HIN65529 HRY65527:HSJ65529 IBU65527:ICF65529 ILQ65527:IMB65529 IVM65527:IVX65529 JFI65527:JFT65529 JPE65527:JPP65529 JZA65527:JZL65529 KIW65527:KJH65529 KSS65527:KTD65529 LCO65527:LCZ65529 LMK65527:LMV65529 LWG65527:LWR65529 MGC65527:MGN65529 MPY65527:MQJ65529 MZU65527:NAF65529 NJQ65527:NKB65529 NTM65527:NTX65529 ODI65527:ODT65529 ONE65527:ONP65529 OXA65527:OXL65529 PGW65527:PHH65529 PQS65527:PRD65529 QAO65527:QAZ65529 QKK65527:QKV65529 QUG65527:QUR65529 REC65527:REN65529 RNY65527:ROJ65529 RXU65527:RYF65529 SHQ65527:SIB65529 SRM65527:SRX65529 TBI65527:TBT65529 TLE65527:TLP65529 TVA65527:TVL65529 UEW65527:UFH65529 UOS65527:UPD65529 UYO65527:UYZ65529 VIK65527:VIV65529 VSG65527:VSR65529 WCC65527:WCN65529 WLY65527:WMJ65529 WVU65527:WWF65529 JI131063:JT131065 TE131063:TP131065 ADA131063:ADL131065 AMW131063:ANH131065 AWS131063:AXD131065 BGO131063:BGZ131065 BQK131063:BQV131065 CAG131063:CAR131065 CKC131063:CKN131065 CTY131063:CUJ131065 DDU131063:DEF131065 DNQ131063:DOB131065 DXM131063:DXX131065 EHI131063:EHT131065 ERE131063:ERP131065 FBA131063:FBL131065 FKW131063:FLH131065 FUS131063:FVD131065 GEO131063:GEZ131065 GOK131063:GOV131065 GYG131063:GYR131065 HIC131063:HIN131065 HRY131063:HSJ131065 IBU131063:ICF131065 ILQ131063:IMB131065 IVM131063:IVX131065 JFI131063:JFT131065 JPE131063:JPP131065 JZA131063:JZL131065 KIW131063:KJH131065 KSS131063:KTD131065 LCO131063:LCZ131065 LMK131063:LMV131065 LWG131063:LWR131065 MGC131063:MGN131065 MPY131063:MQJ131065 MZU131063:NAF131065 NJQ131063:NKB131065 NTM131063:NTX131065 ODI131063:ODT131065 ONE131063:ONP131065 OXA131063:OXL131065 PGW131063:PHH131065 PQS131063:PRD131065 QAO131063:QAZ131065 QKK131063:QKV131065 QUG131063:QUR131065 REC131063:REN131065 RNY131063:ROJ131065 RXU131063:RYF131065 SHQ131063:SIB131065 SRM131063:SRX131065 TBI131063:TBT131065 TLE131063:TLP131065 TVA131063:TVL131065 UEW131063:UFH131065 UOS131063:UPD131065 UYO131063:UYZ131065 VIK131063:VIV131065 VSG131063:VSR131065 WCC131063:WCN131065 WLY131063:WMJ131065 WVU131063:WWF131065 JI196599:JT196601 TE196599:TP196601 ADA196599:ADL196601 AMW196599:ANH196601 AWS196599:AXD196601 BGO196599:BGZ196601 BQK196599:BQV196601 CAG196599:CAR196601 CKC196599:CKN196601 CTY196599:CUJ196601 DDU196599:DEF196601 DNQ196599:DOB196601 DXM196599:DXX196601 EHI196599:EHT196601 ERE196599:ERP196601 FBA196599:FBL196601 FKW196599:FLH196601 FUS196599:FVD196601 GEO196599:GEZ196601 GOK196599:GOV196601 GYG196599:GYR196601 HIC196599:HIN196601 HRY196599:HSJ196601 IBU196599:ICF196601 ILQ196599:IMB196601 IVM196599:IVX196601 JFI196599:JFT196601 JPE196599:JPP196601 JZA196599:JZL196601 KIW196599:KJH196601 KSS196599:KTD196601 LCO196599:LCZ196601 LMK196599:LMV196601 LWG196599:LWR196601 MGC196599:MGN196601 MPY196599:MQJ196601 MZU196599:NAF196601 NJQ196599:NKB196601 NTM196599:NTX196601 ODI196599:ODT196601 ONE196599:ONP196601 OXA196599:OXL196601 PGW196599:PHH196601 PQS196599:PRD196601 QAO196599:QAZ196601 QKK196599:QKV196601 QUG196599:QUR196601 REC196599:REN196601 RNY196599:ROJ196601 RXU196599:RYF196601 SHQ196599:SIB196601 SRM196599:SRX196601 TBI196599:TBT196601 TLE196599:TLP196601 TVA196599:TVL196601 UEW196599:UFH196601 UOS196599:UPD196601 UYO196599:UYZ196601 VIK196599:VIV196601 VSG196599:VSR196601 WCC196599:WCN196601 WLY196599:WMJ196601 WVU196599:WWF196601 JI262135:JT262137 TE262135:TP262137 ADA262135:ADL262137 AMW262135:ANH262137 AWS262135:AXD262137 BGO262135:BGZ262137 BQK262135:BQV262137 CAG262135:CAR262137 CKC262135:CKN262137 CTY262135:CUJ262137 DDU262135:DEF262137 DNQ262135:DOB262137 DXM262135:DXX262137 EHI262135:EHT262137 ERE262135:ERP262137 FBA262135:FBL262137 FKW262135:FLH262137 FUS262135:FVD262137 GEO262135:GEZ262137 GOK262135:GOV262137 GYG262135:GYR262137 HIC262135:HIN262137 HRY262135:HSJ262137 IBU262135:ICF262137 ILQ262135:IMB262137 IVM262135:IVX262137 JFI262135:JFT262137 JPE262135:JPP262137 JZA262135:JZL262137 KIW262135:KJH262137 KSS262135:KTD262137 LCO262135:LCZ262137 LMK262135:LMV262137 LWG262135:LWR262137 MGC262135:MGN262137 MPY262135:MQJ262137 MZU262135:NAF262137 NJQ262135:NKB262137 NTM262135:NTX262137 ODI262135:ODT262137 ONE262135:ONP262137 OXA262135:OXL262137 PGW262135:PHH262137 PQS262135:PRD262137 QAO262135:QAZ262137 QKK262135:QKV262137 QUG262135:QUR262137 REC262135:REN262137 RNY262135:ROJ262137 RXU262135:RYF262137 SHQ262135:SIB262137 SRM262135:SRX262137 TBI262135:TBT262137 TLE262135:TLP262137 TVA262135:TVL262137 UEW262135:UFH262137 UOS262135:UPD262137 UYO262135:UYZ262137 VIK262135:VIV262137 VSG262135:VSR262137 WCC262135:WCN262137 WLY262135:WMJ262137 WVU262135:WWF262137 JI327671:JT327673 TE327671:TP327673 ADA327671:ADL327673 AMW327671:ANH327673 AWS327671:AXD327673 BGO327671:BGZ327673 BQK327671:BQV327673 CAG327671:CAR327673 CKC327671:CKN327673 CTY327671:CUJ327673 DDU327671:DEF327673 DNQ327671:DOB327673 DXM327671:DXX327673 EHI327671:EHT327673 ERE327671:ERP327673 FBA327671:FBL327673 FKW327671:FLH327673 FUS327671:FVD327673 GEO327671:GEZ327673 GOK327671:GOV327673 GYG327671:GYR327673 HIC327671:HIN327673 HRY327671:HSJ327673 IBU327671:ICF327673 ILQ327671:IMB327673 IVM327671:IVX327673 JFI327671:JFT327673 JPE327671:JPP327673 JZA327671:JZL327673 KIW327671:KJH327673 KSS327671:KTD327673 LCO327671:LCZ327673 LMK327671:LMV327673 LWG327671:LWR327673 MGC327671:MGN327673 MPY327671:MQJ327673 MZU327671:NAF327673 NJQ327671:NKB327673 NTM327671:NTX327673 ODI327671:ODT327673 ONE327671:ONP327673 OXA327671:OXL327673 PGW327671:PHH327673 PQS327671:PRD327673 QAO327671:QAZ327673 QKK327671:QKV327673 QUG327671:QUR327673 REC327671:REN327673 RNY327671:ROJ327673 RXU327671:RYF327673 SHQ327671:SIB327673 SRM327671:SRX327673 TBI327671:TBT327673 TLE327671:TLP327673 TVA327671:TVL327673 UEW327671:UFH327673 UOS327671:UPD327673 UYO327671:UYZ327673 VIK327671:VIV327673 VSG327671:VSR327673 WCC327671:WCN327673 WLY327671:WMJ327673 WVU327671:WWF327673 JI393207:JT393209 TE393207:TP393209 ADA393207:ADL393209 AMW393207:ANH393209 AWS393207:AXD393209 BGO393207:BGZ393209 BQK393207:BQV393209 CAG393207:CAR393209 CKC393207:CKN393209 CTY393207:CUJ393209 DDU393207:DEF393209 DNQ393207:DOB393209 DXM393207:DXX393209 EHI393207:EHT393209 ERE393207:ERP393209 FBA393207:FBL393209 FKW393207:FLH393209 FUS393207:FVD393209 GEO393207:GEZ393209 GOK393207:GOV393209 GYG393207:GYR393209 HIC393207:HIN393209 HRY393207:HSJ393209 IBU393207:ICF393209 ILQ393207:IMB393209 IVM393207:IVX393209 JFI393207:JFT393209 JPE393207:JPP393209 JZA393207:JZL393209 KIW393207:KJH393209 KSS393207:KTD393209 LCO393207:LCZ393209 LMK393207:LMV393209 LWG393207:LWR393209 MGC393207:MGN393209 MPY393207:MQJ393209 MZU393207:NAF393209 NJQ393207:NKB393209 NTM393207:NTX393209 ODI393207:ODT393209 ONE393207:ONP393209 OXA393207:OXL393209 PGW393207:PHH393209 PQS393207:PRD393209 QAO393207:QAZ393209 QKK393207:QKV393209 QUG393207:QUR393209 REC393207:REN393209 RNY393207:ROJ393209 RXU393207:RYF393209 SHQ393207:SIB393209 SRM393207:SRX393209 TBI393207:TBT393209 TLE393207:TLP393209 TVA393207:TVL393209 UEW393207:UFH393209 UOS393207:UPD393209 UYO393207:UYZ393209 VIK393207:VIV393209 VSG393207:VSR393209 WCC393207:WCN393209 WLY393207:WMJ393209 WVU393207:WWF393209 JI458743:JT458745 TE458743:TP458745 ADA458743:ADL458745 AMW458743:ANH458745 AWS458743:AXD458745 BGO458743:BGZ458745 BQK458743:BQV458745 CAG458743:CAR458745 CKC458743:CKN458745 CTY458743:CUJ458745 DDU458743:DEF458745 DNQ458743:DOB458745 DXM458743:DXX458745 EHI458743:EHT458745 ERE458743:ERP458745 FBA458743:FBL458745 FKW458743:FLH458745 FUS458743:FVD458745 GEO458743:GEZ458745 GOK458743:GOV458745 GYG458743:GYR458745 HIC458743:HIN458745 HRY458743:HSJ458745 IBU458743:ICF458745 ILQ458743:IMB458745 IVM458743:IVX458745 JFI458743:JFT458745 JPE458743:JPP458745 JZA458743:JZL458745 KIW458743:KJH458745 KSS458743:KTD458745 LCO458743:LCZ458745 LMK458743:LMV458745 LWG458743:LWR458745 MGC458743:MGN458745 MPY458743:MQJ458745 MZU458743:NAF458745 NJQ458743:NKB458745 NTM458743:NTX458745 ODI458743:ODT458745 ONE458743:ONP458745 OXA458743:OXL458745 PGW458743:PHH458745 PQS458743:PRD458745 QAO458743:QAZ458745 QKK458743:QKV458745 QUG458743:QUR458745 REC458743:REN458745 RNY458743:ROJ458745 RXU458743:RYF458745 SHQ458743:SIB458745 SRM458743:SRX458745 TBI458743:TBT458745 TLE458743:TLP458745 TVA458743:TVL458745 UEW458743:UFH458745 UOS458743:UPD458745 UYO458743:UYZ458745 VIK458743:VIV458745 VSG458743:VSR458745 WCC458743:WCN458745 WLY458743:WMJ458745 WVU458743:WWF458745 JI524279:JT524281 TE524279:TP524281 ADA524279:ADL524281 AMW524279:ANH524281 AWS524279:AXD524281 BGO524279:BGZ524281 BQK524279:BQV524281 CAG524279:CAR524281 CKC524279:CKN524281 CTY524279:CUJ524281 DDU524279:DEF524281 DNQ524279:DOB524281 DXM524279:DXX524281 EHI524279:EHT524281 ERE524279:ERP524281 FBA524279:FBL524281 FKW524279:FLH524281 FUS524279:FVD524281 GEO524279:GEZ524281 GOK524279:GOV524281 GYG524279:GYR524281 HIC524279:HIN524281 HRY524279:HSJ524281 IBU524279:ICF524281 ILQ524279:IMB524281 IVM524279:IVX524281 JFI524279:JFT524281 JPE524279:JPP524281 JZA524279:JZL524281 KIW524279:KJH524281 KSS524279:KTD524281 LCO524279:LCZ524281 LMK524279:LMV524281 LWG524279:LWR524281 MGC524279:MGN524281 MPY524279:MQJ524281 MZU524279:NAF524281 NJQ524279:NKB524281 NTM524279:NTX524281 ODI524279:ODT524281 ONE524279:ONP524281 OXA524279:OXL524281 PGW524279:PHH524281 PQS524279:PRD524281 QAO524279:QAZ524281 QKK524279:QKV524281 QUG524279:QUR524281 REC524279:REN524281 RNY524279:ROJ524281 RXU524279:RYF524281 SHQ524279:SIB524281 SRM524279:SRX524281 TBI524279:TBT524281 TLE524279:TLP524281 TVA524279:TVL524281 UEW524279:UFH524281 UOS524279:UPD524281 UYO524279:UYZ524281 VIK524279:VIV524281 VSG524279:VSR524281 WCC524279:WCN524281 WLY524279:WMJ524281 WVU524279:WWF524281 JI589815:JT589817 TE589815:TP589817 ADA589815:ADL589817 AMW589815:ANH589817 AWS589815:AXD589817 BGO589815:BGZ589817 BQK589815:BQV589817 CAG589815:CAR589817 CKC589815:CKN589817 CTY589815:CUJ589817 DDU589815:DEF589817 DNQ589815:DOB589817 DXM589815:DXX589817 EHI589815:EHT589817 ERE589815:ERP589817 FBA589815:FBL589817 FKW589815:FLH589817 FUS589815:FVD589817 GEO589815:GEZ589817 GOK589815:GOV589817 GYG589815:GYR589817 HIC589815:HIN589817 HRY589815:HSJ589817 IBU589815:ICF589817 ILQ589815:IMB589817 IVM589815:IVX589817 JFI589815:JFT589817 JPE589815:JPP589817 JZA589815:JZL589817 KIW589815:KJH589817 KSS589815:KTD589817 LCO589815:LCZ589817 LMK589815:LMV589817 LWG589815:LWR589817 MGC589815:MGN589817 MPY589815:MQJ589817 MZU589815:NAF589817 NJQ589815:NKB589817 NTM589815:NTX589817 ODI589815:ODT589817 ONE589815:ONP589817 OXA589815:OXL589817 PGW589815:PHH589817 PQS589815:PRD589817 QAO589815:QAZ589817 QKK589815:QKV589817 QUG589815:QUR589817 REC589815:REN589817 RNY589815:ROJ589817 RXU589815:RYF589817 SHQ589815:SIB589817 SRM589815:SRX589817 TBI589815:TBT589817 TLE589815:TLP589817 TVA589815:TVL589817 UEW589815:UFH589817 UOS589815:UPD589817 UYO589815:UYZ589817 VIK589815:VIV589817 VSG589815:VSR589817 WCC589815:WCN589817 WLY589815:WMJ589817 WVU589815:WWF589817 JI655351:JT655353 TE655351:TP655353 ADA655351:ADL655353 AMW655351:ANH655353 AWS655351:AXD655353 BGO655351:BGZ655353 BQK655351:BQV655353 CAG655351:CAR655353 CKC655351:CKN655353 CTY655351:CUJ655353 DDU655351:DEF655353 DNQ655351:DOB655353 DXM655351:DXX655353 EHI655351:EHT655353 ERE655351:ERP655353 FBA655351:FBL655353 FKW655351:FLH655353 FUS655351:FVD655353 GEO655351:GEZ655353 GOK655351:GOV655353 GYG655351:GYR655353 HIC655351:HIN655353 HRY655351:HSJ655353 IBU655351:ICF655353 ILQ655351:IMB655353 IVM655351:IVX655353 JFI655351:JFT655353 JPE655351:JPP655353 JZA655351:JZL655353 KIW655351:KJH655353 KSS655351:KTD655353 LCO655351:LCZ655353 LMK655351:LMV655353 LWG655351:LWR655353 MGC655351:MGN655353 MPY655351:MQJ655353 MZU655351:NAF655353 NJQ655351:NKB655353 NTM655351:NTX655353 ODI655351:ODT655353 ONE655351:ONP655353 OXA655351:OXL655353 PGW655351:PHH655353 PQS655351:PRD655353 QAO655351:QAZ655353 QKK655351:QKV655353 QUG655351:QUR655353 REC655351:REN655353 RNY655351:ROJ655353 RXU655351:RYF655353 SHQ655351:SIB655353 SRM655351:SRX655353 TBI655351:TBT655353 TLE655351:TLP655353 TVA655351:TVL655353 UEW655351:UFH655353 UOS655351:UPD655353 UYO655351:UYZ655353 VIK655351:VIV655353 VSG655351:VSR655353 WCC655351:WCN655353 WLY655351:WMJ655353 WVU655351:WWF655353 JI720887:JT720889 TE720887:TP720889 ADA720887:ADL720889 AMW720887:ANH720889 AWS720887:AXD720889 BGO720887:BGZ720889 BQK720887:BQV720889 CAG720887:CAR720889 CKC720887:CKN720889 CTY720887:CUJ720889 DDU720887:DEF720889 DNQ720887:DOB720889 DXM720887:DXX720889 EHI720887:EHT720889 ERE720887:ERP720889 FBA720887:FBL720889 FKW720887:FLH720889 FUS720887:FVD720889 GEO720887:GEZ720889 GOK720887:GOV720889 GYG720887:GYR720889 HIC720887:HIN720889 HRY720887:HSJ720889 IBU720887:ICF720889 ILQ720887:IMB720889 IVM720887:IVX720889 JFI720887:JFT720889 JPE720887:JPP720889 JZA720887:JZL720889 KIW720887:KJH720889 KSS720887:KTD720889 LCO720887:LCZ720889 LMK720887:LMV720889 LWG720887:LWR720889 MGC720887:MGN720889 MPY720887:MQJ720889 MZU720887:NAF720889 NJQ720887:NKB720889 NTM720887:NTX720889 ODI720887:ODT720889 ONE720887:ONP720889 OXA720887:OXL720889 PGW720887:PHH720889 PQS720887:PRD720889 QAO720887:QAZ720889 QKK720887:QKV720889 QUG720887:QUR720889 REC720887:REN720889 RNY720887:ROJ720889 RXU720887:RYF720889 SHQ720887:SIB720889 SRM720887:SRX720889 TBI720887:TBT720889 TLE720887:TLP720889 TVA720887:TVL720889 UEW720887:UFH720889 UOS720887:UPD720889 UYO720887:UYZ720889 VIK720887:VIV720889 VSG720887:VSR720889 WCC720887:WCN720889 WLY720887:WMJ720889 WVU720887:WWF720889 JI786423:JT786425 TE786423:TP786425 ADA786423:ADL786425 AMW786423:ANH786425 AWS786423:AXD786425 BGO786423:BGZ786425 BQK786423:BQV786425 CAG786423:CAR786425 CKC786423:CKN786425 CTY786423:CUJ786425 DDU786423:DEF786425 DNQ786423:DOB786425 DXM786423:DXX786425 EHI786423:EHT786425 ERE786423:ERP786425 FBA786423:FBL786425 FKW786423:FLH786425 FUS786423:FVD786425 GEO786423:GEZ786425 GOK786423:GOV786425 GYG786423:GYR786425 HIC786423:HIN786425 HRY786423:HSJ786425 IBU786423:ICF786425 ILQ786423:IMB786425 IVM786423:IVX786425 JFI786423:JFT786425 JPE786423:JPP786425 JZA786423:JZL786425 KIW786423:KJH786425 KSS786423:KTD786425 LCO786423:LCZ786425 LMK786423:LMV786425 LWG786423:LWR786425 MGC786423:MGN786425 MPY786423:MQJ786425 MZU786423:NAF786425 NJQ786423:NKB786425 NTM786423:NTX786425 ODI786423:ODT786425 ONE786423:ONP786425 OXA786423:OXL786425 PGW786423:PHH786425 PQS786423:PRD786425 QAO786423:QAZ786425 QKK786423:QKV786425 QUG786423:QUR786425 REC786423:REN786425 RNY786423:ROJ786425 RXU786423:RYF786425 SHQ786423:SIB786425 SRM786423:SRX786425 TBI786423:TBT786425 TLE786423:TLP786425 TVA786423:TVL786425 UEW786423:UFH786425 UOS786423:UPD786425 UYO786423:UYZ786425 VIK786423:VIV786425 VSG786423:VSR786425 WCC786423:WCN786425 WLY786423:WMJ786425 WVU786423:WWF786425 JI851959:JT851961 TE851959:TP851961 ADA851959:ADL851961 AMW851959:ANH851961 AWS851959:AXD851961 BGO851959:BGZ851961 BQK851959:BQV851961 CAG851959:CAR851961 CKC851959:CKN851961 CTY851959:CUJ851961 DDU851959:DEF851961 DNQ851959:DOB851961 DXM851959:DXX851961 EHI851959:EHT851961 ERE851959:ERP851961 FBA851959:FBL851961 FKW851959:FLH851961 FUS851959:FVD851961 GEO851959:GEZ851961 GOK851959:GOV851961 GYG851959:GYR851961 HIC851959:HIN851961 HRY851959:HSJ851961 IBU851959:ICF851961 ILQ851959:IMB851961 IVM851959:IVX851961 JFI851959:JFT851961 JPE851959:JPP851961 JZA851959:JZL851961 KIW851959:KJH851961 KSS851959:KTD851961 LCO851959:LCZ851961 LMK851959:LMV851961 LWG851959:LWR851961 MGC851959:MGN851961 MPY851959:MQJ851961 MZU851959:NAF851961 NJQ851959:NKB851961 NTM851959:NTX851961 ODI851959:ODT851961 ONE851959:ONP851961 OXA851959:OXL851961 PGW851959:PHH851961 PQS851959:PRD851961 QAO851959:QAZ851961 QKK851959:QKV851961 QUG851959:QUR851961 REC851959:REN851961 RNY851959:ROJ851961 RXU851959:RYF851961 SHQ851959:SIB851961 SRM851959:SRX851961 TBI851959:TBT851961 TLE851959:TLP851961 TVA851959:TVL851961 UEW851959:UFH851961 UOS851959:UPD851961 UYO851959:UYZ851961 VIK851959:VIV851961 VSG851959:VSR851961 WCC851959:WCN851961 WLY851959:WMJ851961 WVU851959:WWF851961 JI917495:JT917497 TE917495:TP917497 ADA917495:ADL917497 AMW917495:ANH917497 AWS917495:AXD917497 BGO917495:BGZ917497 BQK917495:BQV917497 CAG917495:CAR917497 CKC917495:CKN917497 CTY917495:CUJ917497 DDU917495:DEF917497 DNQ917495:DOB917497 DXM917495:DXX917497 EHI917495:EHT917497 ERE917495:ERP917497 FBA917495:FBL917497 FKW917495:FLH917497 FUS917495:FVD917497 GEO917495:GEZ917497 GOK917495:GOV917497 GYG917495:GYR917497 HIC917495:HIN917497 HRY917495:HSJ917497 IBU917495:ICF917497 ILQ917495:IMB917497 IVM917495:IVX917497 JFI917495:JFT917497 JPE917495:JPP917497 JZA917495:JZL917497 KIW917495:KJH917497 KSS917495:KTD917497 LCO917495:LCZ917497 LMK917495:LMV917497 LWG917495:LWR917497 MGC917495:MGN917497 MPY917495:MQJ917497 MZU917495:NAF917497 NJQ917495:NKB917497 NTM917495:NTX917497 ODI917495:ODT917497 ONE917495:ONP917497 OXA917495:OXL917497 PGW917495:PHH917497 PQS917495:PRD917497 QAO917495:QAZ917497 QKK917495:QKV917497 QUG917495:QUR917497 REC917495:REN917497 RNY917495:ROJ917497 RXU917495:RYF917497 SHQ917495:SIB917497 SRM917495:SRX917497 TBI917495:TBT917497 TLE917495:TLP917497 TVA917495:TVL917497 UEW917495:UFH917497 UOS917495:UPD917497 UYO917495:UYZ917497 VIK917495:VIV917497 VSG917495:VSR917497 WCC917495:WCN917497 WLY917495:WMJ917497 WVU917495:WWF917497 JI983031:JT983033 TE983031:TP983033 ADA983031:ADL983033 AMW983031:ANH983033 AWS983031:AXD983033 BGO983031:BGZ983033 BQK983031:BQV983033 CAG983031:CAR983033 CKC983031:CKN983033 CTY983031:CUJ983033 DDU983031:DEF983033 DNQ983031:DOB983033 DXM983031:DXX983033 EHI983031:EHT983033 ERE983031:ERP983033 FBA983031:FBL983033 FKW983031:FLH983033 FUS983031:FVD983033 GEO983031:GEZ983033 GOK983031:GOV983033 GYG983031:GYR983033 HIC983031:HIN983033 HRY983031:HSJ983033 IBU983031:ICF983033 ILQ983031:IMB983033 IVM983031:IVX983033 JFI983031:JFT983033 JPE983031:JPP983033 JZA983031:JZL983033 KIW983031:KJH983033 KSS983031:KTD983033 LCO983031:LCZ983033 LMK983031:LMV983033 LWG983031:LWR983033 MGC983031:MGN983033 MPY983031:MQJ983033 MZU983031:NAF983033 NJQ983031:NKB983033 NTM983031:NTX983033 ODI983031:ODT983033 ONE983031:ONP983033 OXA983031:OXL983033 PGW983031:PHH983033 PQS983031:PRD983033 QAO983031:QAZ983033 QKK983031:QKV983033 QUG983031:QUR983033 REC983031:REN983033 RNY983031:ROJ983033 RXU983031:RYF983033 SHQ983031:SIB983033 SRM983031:SRX983033 TBI983031:TBT983033 TLE983031:TLP983033 TVA983031:TVL983033 UEW983031:UFH983033 UOS983031:UPD983033 UYO983031:UYZ983033 VIK983031:VIV983033 VSG983031:VSR983033 WCC983031:WCN983033 WLY983031:WMJ983033 WVU983031:WWF983033 Z262135:AJ262137 Z196599:AJ196601 Z131063:AJ131065 Z65527:AJ65529 Z983031:AJ983033 Z917495:AJ917497 Z851959:AJ851961 Z786423:AJ786425 Z720887:AJ720889 Z655351:AJ655353 Z589815:AJ589817 Z524279:AJ524281 Z458743:AJ458745 Z393207:AJ393209 Z327671:AJ327673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6" s="17" customFormat="1" ht="14.4" customHeight="1">
      <c r="A1" s="396" t="s">
        <v>78</v>
      </c>
      <c r="B1" s="397"/>
      <c r="C1" s="397"/>
      <c r="D1" s="397"/>
      <c r="E1" s="397"/>
      <c r="F1" s="397"/>
      <c r="G1" s="397"/>
      <c r="H1" s="398"/>
      <c r="I1" s="336" t="s">
        <v>79</v>
      </c>
      <c r="J1" s="337"/>
      <c r="K1" s="337"/>
      <c r="L1" s="337"/>
      <c r="M1" s="337"/>
      <c r="N1" s="337"/>
      <c r="O1" s="337"/>
      <c r="P1" s="337"/>
      <c r="Q1" s="338"/>
      <c r="R1" s="336" t="s">
        <v>80</v>
      </c>
      <c r="S1" s="337"/>
      <c r="T1" s="337"/>
      <c r="U1" s="337"/>
      <c r="V1" s="337"/>
      <c r="W1" s="337"/>
      <c r="X1" s="338"/>
      <c r="Y1" s="336" t="s">
        <v>135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8"/>
      <c r="AP1" s="407" t="s">
        <v>82</v>
      </c>
      <c r="AQ1" s="408"/>
      <c r="AR1" s="408"/>
      <c r="AS1" s="408"/>
      <c r="AT1" s="409"/>
      <c r="AU1" s="407" t="s">
        <v>83</v>
      </c>
      <c r="AV1" s="408"/>
      <c r="AW1" s="408"/>
      <c r="AX1" s="408"/>
      <c r="AY1" s="409"/>
      <c r="AZ1" s="407" t="s">
        <v>84</v>
      </c>
      <c r="BA1" s="408"/>
      <c r="BB1" s="408"/>
      <c r="BC1" s="408"/>
      <c r="BD1" s="409"/>
    </row>
    <row r="2" spans="1:56" s="17" customFormat="1" ht="14.4" customHeight="1">
      <c r="A2" s="399"/>
      <c r="B2" s="400"/>
      <c r="C2" s="400"/>
      <c r="D2" s="400"/>
      <c r="E2" s="400"/>
      <c r="F2" s="400"/>
      <c r="G2" s="400"/>
      <c r="H2" s="401"/>
      <c r="I2" s="366" t="s">
        <v>85</v>
      </c>
      <c r="J2" s="367"/>
      <c r="K2" s="367"/>
      <c r="L2" s="367"/>
      <c r="M2" s="367"/>
      <c r="N2" s="367"/>
      <c r="O2" s="367"/>
      <c r="P2" s="367"/>
      <c r="Q2" s="368"/>
      <c r="R2" s="366" t="str">
        <f ca="1">VLOOKUP(RIGHT(CELL("filename",A2),LEN(CELL("filename",A2))-FIND("]",CELL("filename",A2))),テーブル一覧!B:AD,22,FALSE)</f>
        <v>B.生産計画</v>
      </c>
      <c r="S2" s="367"/>
      <c r="T2" s="367"/>
      <c r="U2" s="367"/>
      <c r="V2" s="367"/>
      <c r="W2" s="367"/>
      <c r="X2" s="368"/>
      <c r="Y2" s="366" t="str">
        <f ca="1">VLOOKUP(RIGHT(CELL("filename",A2),LEN(CELL("filename",A2))-FIND("]",CELL("filename",A2))),テーブル一覧!B:AD,1,FALSE)</f>
        <v>生産計画項目制御情報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8"/>
      <c r="AP2" s="339"/>
      <c r="AQ2" s="340"/>
      <c r="AR2" s="340"/>
      <c r="AS2" s="340"/>
      <c r="AT2" s="341"/>
      <c r="AU2" s="58" t="s">
        <v>88</v>
      </c>
      <c r="AV2" s="59"/>
      <c r="AW2" s="59"/>
      <c r="AX2" s="59"/>
      <c r="AY2" s="60"/>
      <c r="AZ2" s="413" t="s">
        <v>89</v>
      </c>
      <c r="BA2" s="414"/>
      <c r="BB2" s="414"/>
      <c r="BC2" s="414"/>
      <c r="BD2" s="415"/>
    </row>
    <row r="3" spans="1:56" s="17" customFormat="1" ht="14.4" customHeight="1">
      <c r="A3" s="399"/>
      <c r="B3" s="400"/>
      <c r="C3" s="400"/>
      <c r="D3" s="400"/>
      <c r="E3" s="400"/>
      <c r="F3" s="400"/>
      <c r="G3" s="400"/>
      <c r="H3" s="401"/>
      <c r="I3" s="369"/>
      <c r="J3" s="370"/>
      <c r="K3" s="370"/>
      <c r="L3" s="370"/>
      <c r="M3" s="370"/>
      <c r="N3" s="370"/>
      <c r="O3" s="370"/>
      <c r="P3" s="370"/>
      <c r="Q3" s="371"/>
      <c r="R3" s="369"/>
      <c r="S3" s="370"/>
      <c r="T3" s="370"/>
      <c r="U3" s="370"/>
      <c r="V3" s="370"/>
      <c r="W3" s="370"/>
      <c r="X3" s="371"/>
      <c r="Y3" s="372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4"/>
      <c r="AP3" s="342"/>
      <c r="AQ3" s="343"/>
      <c r="AR3" s="343"/>
      <c r="AS3" s="343"/>
      <c r="AT3" s="344"/>
      <c r="AU3" s="410"/>
      <c r="AV3" s="411"/>
      <c r="AW3" s="411"/>
      <c r="AX3" s="411"/>
      <c r="AY3" s="412"/>
      <c r="AZ3" s="413"/>
      <c r="BA3" s="414"/>
      <c r="BB3" s="414"/>
      <c r="BC3" s="414"/>
      <c r="BD3" s="415"/>
    </row>
    <row r="4" spans="1:56" s="17" customFormat="1" ht="14.4" customHeight="1">
      <c r="A4" s="402"/>
      <c r="B4" s="403"/>
      <c r="C4" s="403"/>
      <c r="D4" s="403"/>
      <c r="E4" s="403"/>
      <c r="F4" s="403"/>
      <c r="G4" s="403"/>
      <c r="H4" s="404"/>
      <c r="I4" s="372"/>
      <c r="J4" s="373"/>
      <c r="K4" s="373"/>
      <c r="L4" s="373"/>
      <c r="M4" s="373"/>
      <c r="N4" s="373"/>
      <c r="O4" s="373"/>
      <c r="P4" s="373"/>
      <c r="Q4" s="374"/>
      <c r="R4" s="372"/>
      <c r="S4" s="373"/>
      <c r="T4" s="373"/>
      <c r="U4" s="373"/>
      <c r="V4" s="373"/>
      <c r="W4" s="373"/>
      <c r="X4" s="374"/>
      <c r="Y4" s="41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t_seisan_itemcontrol</v>
      </c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8"/>
      <c r="AP4" s="342"/>
      <c r="AQ4" s="343"/>
      <c r="AR4" s="343"/>
      <c r="AS4" s="343"/>
      <c r="AT4" s="344"/>
      <c r="AU4" s="410"/>
      <c r="AV4" s="411"/>
      <c r="AW4" s="411"/>
      <c r="AX4" s="411"/>
      <c r="AY4" s="412"/>
      <c r="AZ4" s="413"/>
      <c r="BA4" s="414"/>
      <c r="BB4" s="414"/>
      <c r="BC4" s="414"/>
      <c r="BD4" s="415"/>
    </row>
    <row r="6" spans="1:56" ht="14.4" customHeight="1">
      <c r="A6" s="405" t="s">
        <v>90</v>
      </c>
      <c r="B6" s="386" t="s">
        <v>136</v>
      </c>
      <c r="C6" s="394"/>
      <c r="D6" s="394"/>
      <c r="E6" s="394"/>
      <c r="F6" s="394"/>
      <c r="G6" s="394"/>
      <c r="H6" s="387"/>
      <c r="I6" s="386" t="s">
        <v>137</v>
      </c>
      <c r="J6" s="394"/>
      <c r="K6" s="394"/>
      <c r="L6" s="394"/>
      <c r="M6" s="394"/>
      <c r="N6" s="394"/>
      <c r="O6" s="394"/>
      <c r="P6" s="394"/>
      <c r="Q6" s="387"/>
      <c r="R6" s="386" t="s">
        <v>138</v>
      </c>
      <c r="S6" s="394"/>
      <c r="T6" s="394"/>
      <c r="U6" s="394"/>
      <c r="V6" s="394"/>
      <c r="W6" s="394"/>
      <c r="X6" s="387"/>
      <c r="Y6" s="386" t="s">
        <v>139</v>
      </c>
      <c r="Z6" s="387"/>
      <c r="AA6" s="386" t="s">
        <v>140</v>
      </c>
      <c r="AB6" s="394"/>
      <c r="AC6" s="387"/>
      <c r="AD6" s="390" t="s">
        <v>141</v>
      </c>
      <c r="AE6" s="392" t="s">
        <v>142</v>
      </c>
      <c r="AF6" s="390" t="s">
        <v>143</v>
      </c>
      <c r="AG6" s="390" t="s">
        <v>144</v>
      </c>
      <c r="AH6" s="390" t="s">
        <v>145</v>
      </c>
      <c r="AI6" s="383" t="s">
        <v>146</v>
      </c>
      <c r="AJ6" s="384"/>
      <c r="AK6" s="384"/>
      <c r="AL6" s="384"/>
      <c r="AM6" s="384"/>
      <c r="AN6" s="384"/>
      <c r="AO6" s="384"/>
      <c r="AP6" s="384"/>
      <c r="AQ6" s="384"/>
      <c r="AR6" s="385"/>
      <c r="AS6" s="386" t="s">
        <v>147</v>
      </c>
      <c r="AT6" s="394"/>
      <c r="AU6" s="394"/>
      <c r="AV6" s="394"/>
      <c r="AW6" s="394"/>
      <c r="AX6" s="394"/>
      <c r="AY6" s="394"/>
      <c r="AZ6" s="394"/>
      <c r="BA6" s="394"/>
      <c r="BB6" s="394"/>
      <c r="BC6" s="394"/>
      <c r="BD6" s="387"/>
    </row>
    <row r="7" spans="1:56" ht="14.4" customHeight="1">
      <c r="A7" s="406"/>
      <c r="B7" s="388"/>
      <c r="C7" s="395"/>
      <c r="D7" s="395"/>
      <c r="E7" s="395"/>
      <c r="F7" s="395"/>
      <c r="G7" s="395"/>
      <c r="H7" s="389"/>
      <c r="I7" s="388"/>
      <c r="J7" s="395"/>
      <c r="K7" s="395"/>
      <c r="L7" s="395"/>
      <c r="M7" s="395"/>
      <c r="N7" s="395"/>
      <c r="O7" s="395"/>
      <c r="P7" s="395"/>
      <c r="Q7" s="389"/>
      <c r="R7" s="388"/>
      <c r="S7" s="395"/>
      <c r="T7" s="395"/>
      <c r="U7" s="395"/>
      <c r="V7" s="395"/>
      <c r="W7" s="395"/>
      <c r="X7" s="389"/>
      <c r="Y7" s="388"/>
      <c r="Z7" s="389"/>
      <c r="AA7" s="388"/>
      <c r="AB7" s="395"/>
      <c r="AC7" s="389"/>
      <c r="AD7" s="391"/>
      <c r="AE7" s="393"/>
      <c r="AF7" s="391"/>
      <c r="AG7" s="391"/>
      <c r="AH7" s="39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88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89"/>
    </row>
    <row r="8" spans="1:56" ht="14.4" customHeight="1">
      <c r="A8" s="70">
        <f>IF(B8="","",COUNTA($B$8:B8))</f>
        <v>1</v>
      </c>
      <c r="B8" s="274" t="s">
        <v>159</v>
      </c>
      <c r="C8" s="179"/>
      <c r="D8" s="179"/>
      <c r="E8" s="179"/>
      <c r="F8" s="179"/>
      <c r="G8" s="179"/>
      <c r="H8" s="180"/>
      <c r="I8" s="181" t="s">
        <v>160</v>
      </c>
      <c r="J8" s="182"/>
      <c r="K8" s="182"/>
      <c r="L8" s="182"/>
      <c r="M8" s="182"/>
      <c r="N8" s="182"/>
      <c r="O8" s="262"/>
      <c r="P8" s="182"/>
      <c r="Q8" s="180"/>
      <c r="R8" s="274" t="s">
        <v>159</v>
      </c>
      <c r="S8" s="182"/>
      <c r="T8" s="182"/>
      <c r="U8" s="182"/>
      <c r="V8" s="182"/>
      <c r="W8" s="182"/>
      <c r="X8" s="180"/>
      <c r="Y8" s="445" t="s">
        <v>150</v>
      </c>
      <c r="Z8" s="446"/>
      <c r="AA8" s="457" t="s">
        <v>151</v>
      </c>
      <c r="AB8" s="458"/>
      <c r="AC8" s="459"/>
      <c r="AD8" s="184">
        <v>4</v>
      </c>
      <c r="AE8" s="217"/>
      <c r="AF8" s="217">
        <v>1</v>
      </c>
      <c r="AG8" s="217" t="s">
        <v>152</v>
      </c>
      <c r="AH8" s="218"/>
      <c r="AI8" s="218"/>
      <c r="AJ8" s="218"/>
      <c r="AK8" s="218"/>
      <c r="AL8" s="218"/>
      <c r="AM8" s="218"/>
      <c r="AN8" s="218"/>
      <c r="AO8" s="217"/>
      <c r="AP8" s="217"/>
      <c r="AQ8" s="217"/>
      <c r="AR8" s="217"/>
      <c r="AS8" s="181"/>
      <c r="AT8" s="219"/>
      <c r="AU8" s="219"/>
      <c r="AV8" s="219"/>
      <c r="AW8" s="219"/>
      <c r="AX8" s="219"/>
      <c r="AY8" s="219"/>
      <c r="AZ8" s="219"/>
      <c r="BA8" s="219"/>
      <c r="BB8" s="219"/>
      <c r="BC8" s="219"/>
      <c r="BD8" s="231"/>
    </row>
    <row r="9" spans="1:56" ht="14.4" customHeight="1">
      <c r="A9" s="70">
        <f>IF(B9="","",COUNTA($B$8:B9))</f>
        <v>2</v>
      </c>
      <c r="B9" s="270" t="s">
        <v>418</v>
      </c>
      <c r="C9" s="187"/>
      <c r="D9" s="187"/>
      <c r="E9" s="187"/>
      <c r="F9" s="187"/>
      <c r="G9" s="187"/>
      <c r="H9" s="187"/>
      <c r="I9" s="204" t="s">
        <v>419</v>
      </c>
      <c r="J9" s="190"/>
      <c r="K9" s="190"/>
      <c r="L9" s="190"/>
      <c r="M9" s="190"/>
      <c r="N9" s="190"/>
      <c r="O9" s="190"/>
      <c r="P9" s="190"/>
      <c r="Q9" s="190"/>
      <c r="R9" s="204" t="s">
        <v>418</v>
      </c>
      <c r="S9" s="187"/>
      <c r="T9" s="213"/>
      <c r="U9" s="213"/>
      <c r="V9" s="213"/>
      <c r="W9" s="213"/>
      <c r="X9" s="213"/>
      <c r="Y9" s="378" t="s">
        <v>150</v>
      </c>
      <c r="Z9" s="379"/>
      <c r="AA9" s="380" t="s">
        <v>151</v>
      </c>
      <c r="AB9" s="381"/>
      <c r="AC9" s="382"/>
      <c r="AD9" s="214">
        <v>8</v>
      </c>
      <c r="AE9" s="217"/>
      <c r="AF9" s="217">
        <v>2</v>
      </c>
      <c r="AG9" s="217" t="s">
        <v>152</v>
      </c>
      <c r="AH9" s="218"/>
      <c r="AI9" s="218"/>
      <c r="AJ9" s="218"/>
      <c r="AK9" s="218"/>
      <c r="AL9" s="218"/>
      <c r="AM9" s="218"/>
      <c r="AN9" s="218"/>
      <c r="AO9" s="217"/>
      <c r="AP9" s="217"/>
      <c r="AQ9" s="217"/>
      <c r="AR9" s="217"/>
      <c r="AS9" s="181"/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31"/>
    </row>
    <row r="10" spans="1:56" ht="14.4" customHeight="1">
      <c r="A10" s="70">
        <f>IF(B10="","",COUNTA($B$8:B10))</f>
        <v>3</v>
      </c>
      <c r="B10" s="212" t="s">
        <v>420</v>
      </c>
      <c r="C10" s="187"/>
      <c r="D10" s="187"/>
      <c r="E10" s="187"/>
      <c r="F10" s="187"/>
      <c r="G10" s="187"/>
      <c r="H10" s="187"/>
      <c r="I10" s="204" t="s">
        <v>421</v>
      </c>
      <c r="J10" s="190"/>
      <c r="K10" s="190"/>
      <c r="L10" s="190"/>
      <c r="M10" s="190"/>
      <c r="N10" s="190"/>
      <c r="O10" s="190"/>
      <c r="P10" s="190"/>
      <c r="Q10" s="190"/>
      <c r="R10" s="204" t="s">
        <v>420</v>
      </c>
      <c r="S10" s="187"/>
      <c r="T10" s="213"/>
      <c r="U10" s="213"/>
      <c r="V10" s="213"/>
      <c r="W10" s="213"/>
      <c r="X10" s="213"/>
      <c r="Y10" s="378" t="s">
        <v>150</v>
      </c>
      <c r="Z10" s="379"/>
      <c r="AA10" s="380" t="s">
        <v>151</v>
      </c>
      <c r="AB10" s="381"/>
      <c r="AC10" s="382"/>
      <c r="AD10" s="214">
        <v>30</v>
      </c>
      <c r="AE10" s="217"/>
      <c r="AF10" s="217">
        <v>3</v>
      </c>
      <c r="AG10" s="217" t="s">
        <v>152</v>
      </c>
      <c r="AH10" s="218"/>
      <c r="AI10" s="218"/>
      <c r="AJ10" s="218"/>
      <c r="AK10" s="218"/>
      <c r="AL10" s="218"/>
      <c r="AM10" s="218"/>
      <c r="AN10" s="218"/>
      <c r="AO10" s="217"/>
      <c r="AP10" s="217"/>
      <c r="AQ10" s="217"/>
      <c r="AR10" s="217"/>
      <c r="AS10" s="181"/>
      <c r="AT10" s="239"/>
      <c r="AU10" s="219"/>
      <c r="AV10" s="219"/>
      <c r="AW10" s="219"/>
      <c r="AX10" s="219"/>
      <c r="AY10" s="219"/>
      <c r="AZ10" s="219"/>
      <c r="BA10" s="219"/>
      <c r="BB10" s="219"/>
      <c r="BC10" s="219"/>
      <c r="BD10" s="231"/>
    </row>
    <row r="11" spans="1:56" ht="14.4" customHeight="1">
      <c r="A11" s="79">
        <f>IF(B11="","",COUNTA($B$8:B11))</f>
        <v>4</v>
      </c>
      <c r="B11" s="278" t="s">
        <v>422</v>
      </c>
      <c r="C11" s="279"/>
      <c r="D11" s="279"/>
      <c r="E11" s="279"/>
      <c r="F11" s="279"/>
      <c r="G11" s="279"/>
      <c r="H11" s="280"/>
      <c r="I11" s="222" t="s">
        <v>423</v>
      </c>
      <c r="J11" s="223"/>
      <c r="K11" s="223"/>
      <c r="L11" s="223"/>
      <c r="M11" s="223"/>
      <c r="N11" s="223"/>
      <c r="O11" s="223"/>
      <c r="P11" s="223"/>
      <c r="Q11" s="224"/>
      <c r="R11" s="278" t="s">
        <v>422</v>
      </c>
      <c r="S11" s="223"/>
      <c r="T11" s="223"/>
      <c r="U11" s="223"/>
      <c r="V11" s="223"/>
      <c r="W11" s="223"/>
      <c r="X11" s="226"/>
      <c r="Y11" s="447" t="s">
        <v>150</v>
      </c>
      <c r="Z11" s="448"/>
      <c r="AA11" s="462" t="s">
        <v>151</v>
      </c>
      <c r="AB11" s="463"/>
      <c r="AC11" s="464"/>
      <c r="AD11" s="243">
        <v>1</v>
      </c>
      <c r="AE11" s="244"/>
      <c r="AF11" s="244"/>
      <c r="AG11" s="244"/>
      <c r="AH11" s="245"/>
      <c r="AI11" s="245"/>
      <c r="AJ11" s="245"/>
      <c r="AK11" s="245"/>
      <c r="AL11" s="245"/>
      <c r="AM11" s="245"/>
      <c r="AN11" s="245"/>
      <c r="AO11" s="244"/>
      <c r="AP11" s="244"/>
      <c r="AQ11" s="244"/>
      <c r="AR11" s="244"/>
      <c r="AS11" s="222" t="s">
        <v>424</v>
      </c>
      <c r="AT11" s="246"/>
      <c r="AU11" s="246"/>
      <c r="AV11" s="246"/>
      <c r="AW11" s="246"/>
      <c r="AX11" s="246"/>
      <c r="AY11" s="246"/>
      <c r="AZ11" s="246"/>
      <c r="BA11" s="246"/>
      <c r="BB11" s="246"/>
      <c r="BC11" s="246"/>
      <c r="BD11" s="247"/>
    </row>
    <row r="12" spans="1:56" ht="14.4" customHeight="1">
      <c r="A12" s="80" t="str">
        <f>IF(B12="","",COUNTA($B$8:B12))</f>
        <v/>
      </c>
      <c r="B12" s="320"/>
      <c r="C12" s="321"/>
      <c r="D12" s="321"/>
      <c r="E12" s="321"/>
      <c r="F12" s="321"/>
      <c r="G12" s="321"/>
      <c r="H12" s="322"/>
      <c r="I12" s="323"/>
      <c r="J12" s="324"/>
      <c r="K12" s="324"/>
      <c r="L12" s="324"/>
      <c r="M12" s="324"/>
      <c r="N12" s="324"/>
      <c r="O12" s="324"/>
      <c r="P12" s="324"/>
      <c r="Q12" s="325"/>
      <c r="R12" s="320"/>
      <c r="S12" s="324"/>
      <c r="T12" s="324"/>
      <c r="U12" s="324"/>
      <c r="V12" s="324"/>
      <c r="W12" s="324"/>
      <c r="X12" s="326"/>
      <c r="Y12" s="468"/>
      <c r="Z12" s="469"/>
      <c r="AA12" s="470"/>
      <c r="AB12" s="471"/>
      <c r="AC12" s="472"/>
      <c r="AD12" s="328"/>
      <c r="AE12" s="329"/>
      <c r="AF12" s="329"/>
      <c r="AG12" s="329"/>
      <c r="AH12" s="330"/>
      <c r="AI12" s="330"/>
      <c r="AJ12" s="330"/>
      <c r="AK12" s="330"/>
      <c r="AL12" s="330"/>
      <c r="AM12" s="330"/>
      <c r="AN12" s="330"/>
      <c r="AO12" s="329"/>
      <c r="AP12" s="329"/>
      <c r="AQ12" s="329"/>
      <c r="AR12" s="329"/>
      <c r="AS12" s="323" t="s">
        <v>425</v>
      </c>
      <c r="AT12" s="331"/>
      <c r="AU12" s="331"/>
      <c r="AV12" s="331"/>
      <c r="AW12" s="331"/>
      <c r="AX12" s="331"/>
      <c r="AY12" s="331"/>
      <c r="AZ12" s="331"/>
      <c r="BA12" s="331"/>
      <c r="BB12" s="331"/>
      <c r="BC12" s="331"/>
      <c r="BD12" s="332"/>
    </row>
    <row r="13" spans="1:56" ht="14.4" customHeight="1">
      <c r="A13" s="79">
        <f>IF(B13="","",COUNTA($B$8:B13))</f>
        <v>5</v>
      </c>
      <c r="B13" s="278" t="s">
        <v>426</v>
      </c>
      <c r="C13" s="279"/>
      <c r="D13" s="279"/>
      <c r="E13" s="279"/>
      <c r="F13" s="279"/>
      <c r="G13" s="279"/>
      <c r="H13" s="280"/>
      <c r="I13" s="222" t="s">
        <v>427</v>
      </c>
      <c r="J13" s="223"/>
      <c r="K13" s="223"/>
      <c r="L13" s="223"/>
      <c r="M13" s="223"/>
      <c r="N13" s="223"/>
      <c r="O13" s="223"/>
      <c r="P13" s="223"/>
      <c r="Q13" s="224"/>
      <c r="R13" s="278" t="s">
        <v>426</v>
      </c>
      <c r="S13" s="223"/>
      <c r="T13" s="223"/>
      <c r="U13" s="223"/>
      <c r="V13" s="223"/>
      <c r="W13" s="223"/>
      <c r="X13" s="226"/>
      <c r="Y13" s="447" t="s">
        <v>150</v>
      </c>
      <c r="Z13" s="448"/>
      <c r="AA13" s="462" t="s">
        <v>151</v>
      </c>
      <c r="AB13" s="463"/>
      <c r="AC13" s="464"/>
      <c r="AD13" s="243">
        <v>1</v>
      </c>
      <c r="AE13" s="244"/>
      <c r="AF13" s="244"/>
      <c r="AG13" s="244"/>
      <c r="AH13" s="245"/>
      <c r="AI13" s="245"/>
      <c r="AJ13" s="245"/>
      <c r="AK13" s="245"/>
      <c r="AL13" s="245"/>
      <c r="AM13" s="245"/>
      <c r="AN13" s="245"/>
      <c r="AO13" s="244"/>
      <c r="AP13" s="244"/>
      <c r="AQ13" s="244"/>
      <c r="AR13" s="244"/>
      <c r="AS13" s="222" t="s">
        <v>428</v>
      </c>
      <c r="AT13" s="246"/>
      <c r="AU13" s="246"/>
      <c r="AV13" s="246"/>
      <c r="AW13" s="246"/>
      <c r="AX13" s="246"/>
      <c r="AY13" s="246"/>
      <c r="AZ13" s="246"/>
      <c r="BA13" s="246"/>
      <c r="BB13" s="246"/>
      <c r="BC13" s="246"/>
      <c r="BD13" s="247"/>
    </row>
    <row r="14" spans="1:56" ht="14.4" customHeight="1">
      <c r="A14" s="80" t="str">
        <f>IF(B14="","",COUNTA($B$8:B14))</f>
        <v/>
      </c>
      <c r="B14" s="320"/>
      <c r="C14" s="321"/>
      <c r="D14" s="321"/>
      <c r="E14" s="321"/>
      <c r="F14" s="321"/>
      <c r="G14" s="321"/>
      <c r="H14" s="322"/>
      <c r="I14" s="323"/>
      <c r="J14" s="324"/>
      <c r="K14" s="324"/>
      <c r="L14" s="324"/>
      <c r="M14" s="324"/>
      <c r="N14" s="324"/>
      <c r="O14" s="324"/>
      <c r="P14" s="324"/>
      <c r="Q14" s="325"/>
      <c r="R14" s="320"/>
      <c r="S14" s="324"/>
      <c r="T14" s="324"/>
      <c r="U14" s="324"/>
      <c r="V14" s="324"/>
      <c r="W14" s="324"/>
      <c r="X14" s="326"/>
      <c r="Y14" s="468"/>
      <c r="Z14" s="469"/>
      <c r="AA14" s="470"/>
      <c r="AB14" s="471"/>
      <c r="AC14" s="472"/>
      <c r="AD14" s="328"/>
      <c r="AE14" s="329"/>
      <c r="AF14" s="329"/>
      <c r="AG14" s="329"/>
      <c r="AH14" s="330"/>
      <c r="AI14" s="330"/>
      <c r="AJ14" s="330"/>
      <c r="AK14" s="330"/>
      <c r="AL14" s="330"/>
      <c r="AM14" s="330"/>
      <c r="AN14" s="330"/>
      <c r="AO14" s="329"/>
      <c r="AP14" s="329"/>
      <c r="AQ14" s="329"/>
      <c r="AR14" s="329"/>
      <c r="AS14" s="323" t="s">
        <v>429</v>
      </c>
      <c r="AT14" s="331"/>
      <c r="AU14" s="331"/>
      <c r="AV14" s="331"/>
      <c r="AW14" s="331"/>
      <c r="AX14" s="331"/>
      <c r="AY14" s="331"/>
      <c r="AZ14" s="331"/>
      <c r="BA14" s="331"/>
      <c r="BB14" s="331"/>
      <c r="BC14" s="331"/>
      <c r="BD14" s="332"/>
    </row>
    <row r="15" spans="1:56" ht="14.4" customHeight="1">
      <c r="A15" s="79">
        <f>IF(B15="","",COUNTA($B$8:B15))</f>
        <v>6</v>
      </c>
      <c r="B15" s="278" t="s">
        <v>430</v>
      </c>
      <c r="C15" s="279"/>
      <c r="D15" s="279"/>
      <c r="E15" s="279"/>
      <c r="F15" s="279"/>
      <c r="G15" s="279"/>
      <c r="H15" s="280"/>
      <c r="I15" s="222" t="s">
        <v>431</v>
      </c>
      <c r="J15" s="223"/>
      <c r="K15" s="223"/>
      <c r="L15" s="223"/>
      <c r="M15" s="223"/>
      <c r="N15" s="223"/>
      <c r="O15" s="223"/>
      <c r="P15" s="223"/>
      <c r="Q15" s="224"/>
      <c r="R15" s="278" t="s">
        <v>430</v>
      </c>
      <c r="S15" s="223"/>
      <c r="T15" s="223"/>
      <c r="U15" s="223"/>
      <c r="V15" s="223"/>
      <c r="W15" s="223"/>
      <c r="X15" s="226"/>
      <c r="Y15" s="447" t="s">
        <v>150</v>
      </c>
      <c r="Z15" s="448"/>
      <c r="AA15" s="462" t="s">
        <v>151</v>
      </c>
      <c r="AB15" s="463"/>
      <c r="AC15" s="464"/>
      <c r="AD15" s="243">
        <v>1</v>
      </c>
      <c r="AE15" s="244"/>
      <c r="AF15" s="244"/>
      <c r="AG15" s="244"/>
      <c r="AH15" s="245"/>
      <c r="AI15" s="245"/>
      <c r="AJ15" s="245"/>
      <c r="AK15" s="245"/>
      <c r="AL15" s="245"/>
      <c r="AM15" s="245"/>
      <c r="AN15" s="245"/>
      <c r="AO15" s="244"/>
      <c r="AP15" s="244"/>
      <c r="AQ15" s="244"/>
      <c r="AR15" s="244"/>
      <c r="AS15" s="222" t="s">
        <v>432</v>
      </c>
      <c r="AT15" s="246"/>
      <c r="AU15" s="246"/>
      <c r="AV15" s="246"/>
      <c r="AW15" s="246"/>
      <c r="AX15" s="246"/>
      <c r="AY15" s="246"/>
      <c r="AZ15" s="246"/>
      <c r="BA15" s="246"/>
      <c r="BB15" s="246"/>
      <c r="BC15" s="246"/>
      <c r="BD15" s="247"/>
    </row>
    <row r="16" spans="1:56" ht="14.4" customHeight="1">
      <c r="A16" s="80" t="str">
        <f>IF(B16="","",COUNTA($B$8:B16))</f>
        <v/>
      </c>
      <c r="B16" s="320"/>
      <c r="C16" s="321"/>
      <c r="D16" s="321"/>
      <c r="E16" s="321"/>
      <c r="F16" s="321"/>
      <c r="G16" s="321"/>
      <c r="H16" s="322"/>
      <c r="I16" s="323"/>
      <c r="J16" s="324"/>
      <c r="K16" s="324"/>
      <c r="L16" s="324"/>
      <c r="M16" s="324"/>
      <c r="N16" s="324"/>
      <c r="O16" s="324"/>
      <c r="P16" s="324"/>
      <c r="Q16" s="325"/>
      <c r="R16" s="320"/>
      <c r="S16" s="324"/>
      <c r="T16" s="324"/>
      <c r="U16" s="324"/>
      <c r="V16" s="324"/>
      <c r="W16" s="324"/>
      <c r="X16" s="326"/>
      <c r="Y16" s="468"/>
      <c r="Z16" s="469"/>
      <c r="AA16" s="470"/>
      <c r="AB16" s="471"/>
      <c r="AC16" s="472"/>
      <c r="AD16" s="328"/>
      <c r="AE16" s="329"/>
      <c r="AF16" s="329"/>
      <c r="AG16" s="329"/>
      <c r="AH16" s="330"/>
      <c r="AI16" s="330"/>
      <c r="AJ16" s="330"/>
      <c r="AK16" s="330"/>
      <c r="AL16" s="330"/>
      <c r="AM16" s="330"/>
      <c r="AN16" s="330"/>
      <c r="AO16" s="329"/>
      <c r="AP16" s="329"/>
      <c r="AQ16" s="329"/>
      <c r="AR16" s="329"/>
      <c r="AS16" s="323" t="s">
        <v>429</v>
      </c>
      <c r="AT16" s="331"/>
      <c r="AU16" s="331"/>
      <c r="AV16" s="331"/>
      <c r="AW16" s="331"/>
      <c r="AX16" s="331"/>
      <c r="AY16" s="331"/>
      <c r="AZ16" s="331"/>
      <c r="BA16" s="331"/>
      <c r="BB16" s="331"/>
      <c r="BC16" s="331"/>
      <c r="BD16" s="332"/>
    </row>
    <row r="17" spans="1:57" ht="14.4" customHeight="1">
      <c r="A17" s="79">
        <f>IF(B17="","",COUNTA($B$8:B17))</f>
        <v>7</v>
      </c>
      <c r="B17" s="278" t="s">
        <v>1495</v>
      </c>
      <c r="C17" s="279"/>
      <c r="D17" s="279"/>
      <c r="E17" s="279"/>
      <c r="F17" s="279"/>
      <c r="G17" s="279"/>
      <c r="H17" s="280"/>
      <c r="I17" s="222" t="s">
        <v>1496</v>
      </c>
      <c r="J17" s="223"/>
      <c r="K17" s="223"/>
      <c r="L17" s="223"/>
      <c r="M17" s="223"/>
      <c r="N17" s="223"/>
      <c r="O17" s="223"/>
      <c r="P17" s="223"/>
      <c r="Q17" s="224"/>
      <c r="R17" s="278" t="s">
        <v>1495</v>
      </c>
      <c r="S17" s="223"/>
      <c r="T17" s="223"/>
      <c r="U17" s="223"/>
      <c r="V17" s="223"/>
      <c r="W17" s="223"/>
      <c r="X17" s="226"/>
      <c r="Y17" s="447" t="s">
        <v>150</v>
      </c>
      <c r="Z17" s="448"/>
      <c r="AA17" s="462" t="s">
        <v>151</v>
      </c>
      <c r="AB17" s="463"/>
      <c r="AC17" s="464"/>
      <c r="AD17" s="243">
        <v>1</v>
      </c>
      <c r="AE17" s="244"/>
      <c r="AF17" s="244"/>
      <c r="AG17" s="244"/>
      <c r="AH17" s="245"/>
      <c r="AI17" s="245"/>
      <c r="AJ17" s="245"/>
      <c r="AK17" s="245"/>
      <c r="AL17" s="245"/>
      <c r="AM17" s="245"/>
      <c r="AN17" s="245"/>
      <c r="AO17" s="244"/>
      <c r="AP17" s="244"/>
      <c r="AQ17" s="244"/>
      <c r="AR17" s="244"/>
      <c r="AS17" s="222" t="s">
        <v>1418</v>
      </c>
      <c r="AT17" s="246"/>
      <c r="AU17" s="246"/>
      <c r="AV17" s="246"/>
      <c r="AW17" s="246"/>
      <c r="AX17" s="246"/>
      <c r="AY17" s="246"/>
      <c r="AZ17" s="246"/>
      <c r="BA17" s="246"/>
      <c r="BB17" s="246"/>
      <c r="BC17" s="246"/>
      <c r="BD17" s="247"/>
    </row>
    <row r="18" spans="1:57" ht="14.4" customHeight="1">
      <c r="A18" s="80" t="str">
        <f>IF(B18="","",COUNTA($B$8:B18))</f>
        <v/>
      </c>
      <c r="B18" s="320"/>
      <c r="C18" s="321"/>
      <c r="D18" s="321"/>
      <c r="E18" s="321"/>
      <c r="F18" s="321"/>
      <c r="G18" s="321"/>
      <c r="H18" s="322"/>
      <c r="I18" s="323"/>
      <c r="J18" s="324"/>
      <c r="K18" s="324"/>
      <c r="L18" s="324"/>
      <c r="M18" s="324"/>
      <c r="N18" s="324"/>
      <c r="O18" s="324"/>
      <c r="P18" s="324"/>
      <c r="Q18" s="325"/>
      <c r="R18" s="320"/>
      <c r="S18" s="324"/>
      <c r="T18" s="324"/>
      <c r="U18" s="324"/>
      <c r="V18" s="324"/>
      <c r="W18" s="324"/>
      <c r="X18" s="326"/>
      <c r="Y18" s="468"/>
      <c r="Z18" s="469"/>
      <c r="AA18" s="470"/>
      <c r="AB18" s="471"/>
      <c r="AC18" s="472"/>
      <c r="AD18" s="328"/>
      <c r="AE18" s="329"/>
      <c r="AF18" s="329"/>
      <c r="AG18" s="329"/>
      <c r="AH18" s="330"/>
      <c r="AI18" s="330"/>
      <c r="AJ18" s="330"/>
      <c r="AK18" s="330"/>
      <c r="AL18" s="330"/>
      <c r="AM18" s="330"/>
      <c r="AN18" s="330"/>
      <c r="AO18" s="329"/>
      <c r="AP18" s="329"/>
      <c r="AQ18" s="329"/>
      <c r="AR18" s="329"/>
      <c r="AS18" s="323" t="s">
        <v>435</v>
      </c>
      <c r="AT18" s="331"/>
      <c r="AU18" s="331"/>
      <c r="AV18" s="331"/>
      <c r="AW18" s="331"/>
      <c r="AX18" s="331"/>
      <c r="AY18" s="331"/>
      <c r="AZ18" s="331"/>
      <c r="BA18" s="331"/>
      <c r="BB18" s="331"/>
      <c r="BC18" s="331"/>
      <c r="BD18" s="332"/>
    </row>
    <row r="19" spans="1:57" ht="14.4" customHeight="1">
      <c r="A19" s="79">
        <f>IF(B19="","",COUNTA($B$8:B19))</f>
        <v>8</v>
      </c>
      <c r="B19" s="278" t="s">
        <v>434</v>
      </c>
      <c r="C19" s="279"/>
      <c r="D19" s="279"/>
      <c r="E19" s="279"/>
      <c r="F19" s="279"/>
      <c r="G19" s="279"/>
      <c r="H19" s="280"/>
      <c r="I19" s="222" t="s">
        <v>433</v>
      </c>
      <c r="J19" s="223"/>
      <c r="K19" s="223"/>
      <c r="L19" s="223"/>
      <c r="M19" s="223"/>
      <c r="N19" s="223"/>
      <c r="O19" s="223"/>
      <c r="P19" s="223"/>
      <c r="Q19" s="224"/>
      <c r="R19" s="278" t="s">
        <v>434</v>
      </c>
      <c r="S19" s="223"/>
      <c r="T19" s="223"/>
      <c r="U19" s="223"/>
      <c r="V19" s="223"/>
      <c r="W19" s="223"/>
      <c r="X19" s="226"/>
      <c r="Y19" s="447" t="s">
        <v>150</v>
      </c>
      <c r="Z19" s="448"/>
      <c r="AA19" s="462" t="s">
        <v>151</v>
      </c>
      <c r="AB19" s="463"/>
      <c r="AC19" s="464"/>
      <c r="AD19" s="243">
        <v>1</v>
      </c>
      <c r="AE19" s="244"/>
      <c r="AF19" s="244"/>
      <c r="AG19" s="244"/>
      <c r="AH19" s="245"/>
      <c r="AI19" s="245"/>
      <c r="AJ19" s="245"/>
      <c r="AK19" s="245"/>
      <c r="AL19" s="245"/>
      <c r="AM19" s="245"/>
      <c r="AN19" s="245"/>
      <c r="AO19" s="244"/>
      <c r="AP19" s="244"/>
      <c r="AQ19" s="244"/>
      <c r="AR19" s="244"/>
      <c r="AS19" s="222" t="s">
        <v>436</v>
      </c>
      <c r="AT19" s="246"/>
      <c r="AU19" s="246"/>
      <c r="AV19" s="246"/>
      <c r="AW19" s="246"/>
      <c r="AX19" s="246"/>
      <c r="AY19" s="246"/>
      <c r="AZ19" s="246"/>
      <c r="BA19" s="246"/>
      <c r="BB19" s="246"/>
      <c r="BC19" s="246"/>
      <c r="BD19" s="247"/>
    </row>
    <row r="20" spans="1:57" ht="14.4" customHeight="1">
      <c r="A20" s="80" t="str">
        <f>IF(B20="","",COUNTA($B$8:B20))</f>
        <v/>
      </c>
      <c r="B20" s="320"/>
      <c r="C20" s="321"/>
      <c r="D20" s="321"/>
      <c r="E20" s="321"/>
      <c r="F20" s="321"/>
      <c r="G20" s="321"/>
      <c r="H20" s="322"/>
      <c r="I20" s="323"/>
      <c r="J20" s="324"/>
      <c r="K20" s="324"/>
      <c r="L20" s="324"/>
      <c r="M20" s="324"/>
      <c r="N20" s="324"/>
      <c r="O20" s="324"/>
      <c r="P20" s="324"/>
      <c r="Q20" s="325"/>
      <c r="R20" s="320"/>
      <c r="S20" s="324"/>
      <c r="T20" s="324"/>
      <c r="U20" s="324"/>
      <c r="V20" s="324"/>
      <c r="W20" s="324"/>
      <c r="X20" s="326"/>
      <c r="Y20" s="468"/>
      <c r="Z20" s="469"/>
      <c r="AA20" s="470"/>
      <c r="AB20" s="471"/>
      <c r="AC20" s="472"/>
      <c r="AD20" s="328"/>
      <c r="AE20" s="329"/>
      <c r="AF20" s="329"/>
      <c r="AG20" s="329"/>
      <c r="AH20" s="330"/>
      <c r="AI20" s="330"/>
      <c r="AJ20" s="330"/>
      <c r="AK20" s="330"/>
      <c r="AL20" s="330"/>
      <c r="AM20" s="330"/>
      <c r="AN20" s="330"/>
      <c r="AO20" s="329"/>
      <c r="AP20" s="329"/>
      <c r="AQ20" s="329"/>
      <c r="AR20" s="329"/>
      <c r="AS20" s="323" t="s">
        <v>437</v>
      </c>
      <c r="AT20" s="331"/>
      <c r="AU20" s="331"/>
      <c r="AV20" s="331"/>
      <c r="AW20" s="331"/>
      <c r="AX20" s="331"/>
      <c r="AY20" s="331"/>
      <c r="AZ20" s="331"/>
      <c r="BA20" s="331"/>
      <c r="BB20" s="331"/>
      <c r="BC20" s="331"/>
      <c r="BD20" s="332"/>
    </row>
    <row r="21" spans="1:57" ht="14.4" customHeight="1">
      <c r="A21" s="79">
        <f>IF(B21="","",COUNTA($B$8:B21))</f>
        <v>9</v>
      </c>
      <c r="B21" s="278" t="s">
        <v>1484</v>
      </c>
      <c r="C21" s="279"/>
      <c r="D21" s="279"/>
      <c r="E21" s="279"/>
      <c r="F21" s="279"/>
      <c r="G21" s="279"/>
      <c r="H21" s="280"/>
      <c r="I21" s="222" t="s">
        <v>1485</v>
      </c>
      <c r="J21" s="223"/>
      <c r="K21" s="223"/>
      <c r="L21" s="223"/>
      <c r="M21" s="223"/>
      <c r="N21" s="223"/>
      <c r="O21" s="223"/>
      <c r="P21" s="223"/>
      <c r="Q21" s="224"/>
      <c r="R21" s="278" t="s">
        <v>1450</v>
      </c>
      <c r="S21" s="223"/>
      <c r="T21" s="223"/>
      <c r="U21" s="223"/>
      <c r="V21" s="223"/>
      <c r="W21" s="223"/>
      <c r="X21" s="226"/>
      <c r="Y21" s="447" t="s">
        <v>150</v>
      </c>
      <c r="Z21" s="448"/>
      <c r="AA21" s="462" t="s">
        <v>151</v>
      </c>
      <c r="AB21" s="463"/>
      <c r="AC21" s="464"/>
      <c r="AD21" s="243">
        <v>1</v>
      </c>
      <c r="AE21" s="244"/>
      <c r="AF21" s="244"/>
      <c r="AG21" s="244"/>
      <c r="AH21" s="245"/>
      <c r="AI21" s="245"/>
      <c r="AJ21" s="245"/>
      <c r="AK21" s="245"/>
      <c r="AL21" s="245"/>
      <c r="AM21" s="245"/>
      <c r="AN21" s="245"/>
      <c r="AO21" s="244"/>
      <c r="AP21" s="244"/>
      <c r="AQ21" s="244"/>
      <c r="AR21" s="244"/>
      <c r="AS21" s="222" t="s">
        <v>1451</v>
      </c>
      <c r="AT21" s="246"/>
      <c r="AU21" s="246"/>
      <c r="AV21" s="246"/>
      <c r="AW21" s="246"/>
      <c r="AX21" s="246"/>
      <c r="AY21" s="246"/>
      <c r="AZ21" s="246"/>
      <c r="BA21" s="246"/>
      <c r="BB21" s="246"/>
      <c r="BC21" s="246"/>
      <c r="BD21" s="247"/>
      <c r="BE21" s="18" t="s">
        <v>1456</v>
      </c>
    </row>
    <row r="22" spans="1:57" ht="14.4" customHeight="1">
      <c r="A22" s="80" t="str">
        <f>IF(B22="","",COUNTA($B$8:B22))</f>
        <v/>
      </c>
      <c r="B22" s="320"/>
      <c r="C22" s="321"/>
      <c r="D22" s="321"/>
      <c r="E22" s="321"/>
      <c r="F22" s="321"/>
      <c r="G22" s="321"/>
      <c r="H22" s="322"/>
      <c r="I22" s="323"/>
      <c r="J22" s="324"/>
      <c r="K22" s="324"/>
      <c r="L22" s="324"/>
      <c r="M22" s="324"/>
      <c r="N22" s="324"/>
      <c r="O22" s="324"/>
      <c r="P22" s="324"/>
      <c r="Q22" s="325"/>
      <c r="R22" s="320"/>
      <c r="S22" s="324"/>
      <c r="T22" s="324"/>
      <c r="U22" s="324"/>
      <c r="V22" s="324"/>
      <c r="W22" s="324"/>
      <c r="X22" s="326"/>
      <c r="Y22" s="468"/>
      <c r="Z22" s="469"/>
      <c r="AA22" s="470"/>
      <c r="AB22" s="471"/>
      <c r="AC22" s="472"/>
      <c r="AD22" s="328"/>
      <c r="AE22" s="329"/>
      <c r="AF22" s="329"/>
      <c r="AG22" s="329"/>
      <c r="AH22" s="330"/>
      <c r="AI22" s="330"/>
      <c r="AJ22" s="330"/>
      <c r="AK22" s="330"/>
      <c r="AL22" s="330"/>
      <c r="AM22" s="330"/>
      <c r="AN22" s="330"/>
      <c r="AO22" s="329"/>
      <c r="AP22" s="329"/>
      <c r="AQ22" s="329"/>
      <c r="AR22" s="329"/>
      <c r="AS22" s="323" t="s">
        <v>1452</v>
      </c>
      <c r="AT22" s="331"/>
      <c r="AU22" s="331"/>
      <c r="AV22" s="331"/>
      <c r="AW22" s="331"/>
      <c r="AX22" s="331"/>
      <c r="AY22" s="331"/>
      <c r="AZ22" s="331"/>
      <c r="BA22" s="331"/>
      <c r="BB22" s="331"/>
      <c r="BC22" s="331"/>
      <c r="BD22" s="332"/>
      <c r="BE22" s="18" t="s">
        <v>1457</v>
      </c>
    </row>
    <row r="23" spans="1:57" ht="14.4" customHeight="1">
      <c r="A23" s="79">
        <f>IF(B23="","",COUNTA($B$8:B23))</f>
        <v>10</v>
      </c>
      <c r="B23" s="278" t="s">
        <v>1482</v>
      </c>
      <c r="C23" s="279"/>
      <c r="D23" s="279"/>
      <c r="E23" s="279"/>
      <c r="F23" s="279"/>
      <c r="G23" s="279"/>
      <c r="H23" s="280"/>
      <c r="I23" s="222" t="s">
        <v>1483</v>
      </c>
      <c r="J23" s="223"/>
      <c r="K23" s="223"/>
      <c r="L23" s="223"/>
      <c r="M23" s="223"/>
      <c r="N23" s="223"/>
      <c r="O23" s="223"/>
      <c r="P23" s="223"/>
      <c r="Q23" s="224"/>
      <c r="R23" s="278" t="s">
        <v>1453</v>
      </c>
      <c r="S23" s="223"/>
      <c r="T23" s="223"/>
      <c r="U23" s="223"/>
      <c r="V23" s="223"/>
      <c r="W23" s="223"/>
      <c r="X23" s="226"/>
      <c r="Y23" s="447" t="s">
        <v>150</v>
      </c>
      <c r="Z23" s="448"/>
      <c r="AA23" s="462" t="s">
        <v>151</v>
      </c>
      <c r="AB23" s="463"/>
      <c r="AC23" s="464"/>
      <c r="AD23" s="243">
        <v>1</v>
      </c>
      <c r="AE23" s="244"/>
      <c r="AF23" s="244"/>
      <c r="AG23" s="244"/>
      <c r="AH23" s="245"/>
      <c r="AI23" s="245"/>
      <c r="AJ23" s="245"/>
      <c r="AK23" s="245"/>
      <c r="AL23" s="245"/>
      <c r="AM23" s="245"/>
      <c r="AN23" s="245"/>
      <c r="AO23" s="244"/>
      <c r="AP23" s="244"/>
      <c r="AQ23" s="244"/>
      <c r="AR23" s="244"/>
      <c r="AS23" s="222" t="s">
        <v>1454</v>
      </c>
      <c r="AT23" s="246"/>
      <c r="AU23" s="246"/>
      <c r="AV23" s="246"/>
      <c r="AW23" s="246"/>
      <c r="AX23" s="246"/>
      <c r="AY23" s="246"/>
      <c r="AZ23" s="246"/>
      <c r="BA23" s="246"/>
      <c r="BB23" s="246"/>
      <c r="BC23" s="246"/>
      <c r="BD23" s="247"/>
      <c r="BE23" s="18" t="s">
        <v>1457</v>
      </c>
    </row>
    <row r="24" spans="1:57" ht="14.4" customHeight="1">
      <c r="A24" s="80" t="str">
        <f>IF(B24="","",COUNTA($B$8:B24))</f>
        <v/>
      </c>
      <c r="B24" s="320"/>
      <c r="C24" s="321"/>
      <c r="D24" s="321"/>
      <c r="E24" s="321"/>
      <c r="F24" s="321"/>
      <c r="G24" s="321"/>
      <c r="H24" s="322"/>
      <c r="I24" s="323"/>
      <c r="J24" s="324"/>
      <c r="K24" s="324"/>
      <c r="L24" s="324"/>
      <c r="M24" s="324"/>
      <c r="N24" s="324"/>
      <c r="O24" s="324"/>
      <c r="P24" s="324"/>
      <c r="Q24" s="325"/>
      <c r="R24" s="320"/>
      <c r="S24" s="324"/>
      <c r="T24" s="324"/>
      <c r="U24" s="324"/>
      <c r="V24" s="324"/>
      <c r="W24" s="324"/>
      <c r="X24" s="326"/>
      <c r="Y24" s="468"/>
      <c r="Z24" s="469"/>
      <c r="AA24" s="470"/>
      <c r="AB24" s="471"/>
      <c r="AC24" s="472"/>
      <c r="AD24" s="328"/>
      <c r="AE24" s="329"/>
      <c r="AF24" s="329"/>
      <c r="AG24" s="329"/>
      <c r="AH24" s="330"/>
      <c r="AI24" s="330"/>
      <c r="AJ24" s="330"/>
      <c r="AK24" s="330"/>
      <c r="AL24" s="330"/>
      <c r="AM24" s="330"/>
      <c r="AN24" s="330"/>
      <c r="AO24" s="329"/>
      <c r="AP24" s="329"/>
      <c r="AQ24" s="329"/>
      <c r="AR24" s="329"/>
      <c r="AS24" s="323" t="s">
        <v>1455</v>
      </c>
      <c r="AT24" s="331"/>
      <c r="AU24" s="331"/>
      <c r="AV24" s="331"/>
      <c r="AW24" s="331"/>
      <c r="AX24" s="331"/>
      <c r="AY24" s="331"/>
      <c r="AZ24" s="331"/>
      <c r="BA24" s="331"/>
      <c r="BB24" s="331"/>
      <c r="BC24" s="331"/>
      <c r="BD24" s="332"/>
      <c r="BE24" s="18" t="s">
        <v>1457</v>
      </c>
    </row>
    <row r="25" spans="1:57" ht="14.4" customHeight="1">
      <c r="A25" s="70">
        <f>IF(B25="","",COUNTA($B$8:B25))</f>
        <v>11</v>
      </c>
      <c r="B25" s="275" t="s">
        <v>438</v>
      </c>
      <c r="C25" s="276"/>
      <c r="D25" s="276"/>
      <c r="E25" s="276"/>
      <c r="F25" s="276"/>
      <c r="G25" s="276"/>
      <c r="H25" s="277"/>
      <c r="I25" s="181" t="s">
        <v>439</v>
      </c>
      <c r="J25" s="182"/>
      <c r="K25" s="182"/>
      <c r="L25" s="182"/>
      <c r="M25" s="182"/>
      <c r="N25" s="182"/>
      <c r="O25" s="182"/>
      <c r="P25" s="182"/>
      <c r="Q25" s="183"/>
      <c r="R25" s="275" t="s">
        <v>438</v>
      </c>
      <c r="S25" s="182"/>
      <c r="T25" s="182"/>
      <c r="U25" s="182"/>
      <c r="V25" s="182"/>
      <c r="W25" s="182"/>
      <c r="X25" s="180"/>
      <c r="Y25" s="378" t="s">
        <v>150</v>
      </c>
      <c r="Z25" s="379"/>
      <c r="AA25" s="457" t="s">
        <v>151</v>
      </c>
      <c r="AB25" s="458"/>
      <c r="AC25" s="459"/>
      <c r="AD25" s="184">
        <v>1</v>
      </c>
      <c r="AE25" s="217"/>
      <c r="AF25" s="217"/>
      <c r="AG25" s="217"/>
      <c r="AH25" s="218"/>
      <c r="AI25" s="218"/>
      <c r="AJ25" s="218"/>
      <c r="AK25" s="218"/>
      <c r="AL25" s="218"/>
      <c r="AM25" s="218"/>
      <c r="AN25" s="218"/>
      <c r="AO25" s="217"/>
      <c r="AP25" s="217"/>
      <c r="AQ25" s="217"/>
      <c r="AR25" s="217"/>
      <c r="AS25" s="181" t="s">
        <v>440</v>
      </c>
      <c r="AT25" s="219"/>
      <c r="AU25" s="219"/>
      <c r="AV25" s="219"/>
      <c r="AW25" s="219"/>
      <c r="AX25" s="219"/>
      <c r="AY25" s="219"/>
      <c r="AZ25" s="219"/>
      <c r="BA25" s="219"/>
      <c r="BB25" s="219"/>
      <c r="BC25" s="219"/>
      <c r="BD25" s="231"/>
    </row>
    <row r="26" spans="1:57" ht="14.4" customHeight="1">
      <c r="A26" s="79">
        <f>IF(B26="","",COUNTA($B$8:B26))</f>
        <v>12</v>
      </c>
      <c r="B26" s="278" t="s">
        <v>1447</v>
      </c>
      <c r="C26" s="279"/>
      <c r="D26" s="279"/>
      <c r="E26" s="279"/>
      <c r="F26" s="279"/>
      <c r="G26" s="279"/>
      <c r="H26" s="280"/>
      <c r="I26" s="222" t="s">
        <v>1439</v>
      </c>
      <c r="J26" s="223"/>
      <c r="K26" s="223"/>
      <c r="L26" s="223"/>
      <c r="M26" s="223"/>
      <c r="N26" s="223"/>
      <c r="O26" s="223"/>
      <c r="P26" s="223"/>
      <c r="Q26" s="224"/>
      <c r="R26" s="278" t="s">
        <v>1447</v>
      </c>
      <c r="S26" s="223"/>
      <c r="T26" s="223"/>
      <c r="U26" s="223"/>
      <c r="V26" s="223"/>
      <c r="W26" s="223"/>
      <c r="X26" s="226"/>
      <c r="Y26" s="447" t="s">
        <v>150</v>
      </c>
      <c r="Z26" s="448"/>
      <c r="AA26" s="462" t="s">
        <v>151</v>
      </c>
      <c r="AB26" s="463"/>
      <c r="AC26" s="464"/>
      <c r="AD26" s="243">
        <v>4</v>
      </c>
      <c r="AE26" s="244"/>
      <c r="AF26" s="244"/>
      <c r="AG26" s="244"/>
      <c r="AH26" s="245"/>
      <c r="AI26" s="245"/>
      <c r="AJ26" s="245"/>
      <c r="AK26" s="245"/>
      <c r="AL26" s="245"/>
      <c r="AM26" s="245"/>
      <c r="AN26" s="245"/>
      <c r="AO26" s="244"/>
      <c r="AP26" s="244"/>
      <c r="AQ26" s="244"/>
      <c r="AR26" s="244"/>
      <c r="AS26" s="222" t="s">
        <v>1440</v>
      </c>
      <c r="AT26" s="246"/>
      <c r="AU26" s="246"/>
      <c r="AV26" s="246"/>
      <c r="AW26" s="246"/>
      <c r="AX26" s="246"/>
      <c r="AY26" s="246"/>
      <c r="AZ26" s="246"/>
      <c r="BA26" s="246"/>
      <c r="BB26" s="246"/>
      <c r="BC26" s="246"/>
      <c r="BD26" s="247"/>
      <c r="BE26" s="18" t="s">
        <v>1441</v>
      </c>
    </row>
    <row r="27" spans="1:57" ht="14.4" customHeight="1">
      <c r="A27" s="80" t="str">
        <f>IF(B27="","",COUNTA($B$8:B27))</f>
        <v/>
      </c>
      <c r="B27" s="320"/>
      <c r="C27" s="321"/>
      <c r="D27" s="321"/>
      <c r="E27" s="321"/>
      <c r="F27" s="321"/>
      <c r="G27" s="321"/>
      <c r="H27" s="322"/>
      <c r="I27" s="323"/>
      <c r="J27" s="324"/>
      <c r="K27" s="324"/>
      <c r="L27" s="324"/>
      <c r="M27" s="324"/>
      <c r="N27" s="324"/>
      <c r="O27" s="324"/>
      <c r="P27" s="324"/>
      <c r="Q27" s="325"/>
      <c r="R27" s="320"/>
      <c r="S27" s="324"/>
      <c r="T27" s="324"/>
      <c r="U27" s="324"/>
      <c r="V27" s="324"/>
      <c r="W27" s="324"/>
      <c r="X27" s="326"/>
      <c r="Y27" s="468"/>
      <c r="Z27" s="469"/>
      <c r="AA27" s="470"/>
      <c r="AB27" s="471"/>
      <c r="AC27" s="472"/>
      <c r="AD27" s="328"/>
      <c r="AE27" s="329"/>
      <c r="AF27" s="329"/>
      <c r="AG27" s="329"/>
      <c r="AH27" s="330"/>
      <c r="AI27" s="330"/>
      <c r="AJ27" s="330"/>
      <c r="AK27" s="330"/>
      <c r="AL27" s="330"/>
      <c r="AM27" s="330"/>
      <c r="AN27" s="330"/>
      <c r="AO27" s="329"/>
      <c r="AP27" s="329"/>
      <c r="AQ27" s="329"/>
      <c r="AR27" s="329"/>
      <c r="AS27" s="323" t="s">
        <v>1442</v>
      </c>
      <c r="AT27" s="331"/>
      <c r="AU27" s="331"/>
      <c r="AV27" s="331"/>
      <c r="AW27" s="331"/>
      <c r="AX27" s="331"/>
      <c r="AY27" s="331"/>
      <c r="AZ27" s="331"/>
      <c r="BA27" s="331"/>
      <c r="BB27" s="331"/>
      <c r="BC27" s="331"/>
      <c r="BD27" s="332"/>
      <c r="BE27" s="18" t="s">
        <v>1441</v>
      </c>
    </row>
    <row r="28" spans="1:57" ht="14.4" customHeight="1">
      <c r="A28" s="79">
        <f>IF(B28="","",COUNTA($B$8:B28))</f>
        <v>13</v>
      </c>
      <c r="B28" s="278" t="s">
        <v>1448</v>
      </c>
      <c r="C28" s="279"/>
      <c r="D28" s="279"/>
      <c r="E28" s="279"/>
      <c r="F28" s="279"/>
      <c r="G28" s="279"/>
      <c r="H28" s="280"/>
      <c r="I28" s="222" t="s">
        <v>1444</v>
      </c>
      <c r="J28" s="223"/>
      <c r="K28" s="223"/>
      <c r="L28" s="223"/>
      <c r="M28" s="223"/>
      <c r="N28" s="223"/>
      <c r="O28" s="223"/>
      <c r="P28" s="223"/>
      <c r="Q28" s="224"/>
      <c r="R28" s="278" t="s">
        <v>1448</v>
      </c>
      <c r="S28" s="223"/>
      <c r="T28" s="223"/>
      <c r="U28" s="223"/>
      <c r="V28" s="223"/>
      <c r="W28" s="223"/>
      <c r="X28" s="226"/>
      <c r="Y28" s="447" t="s">
        <v>150</v>
      </c>
      <c r="Z28" s="448"/>
      <c r="AA28" s="462" t="s">
        <v>151</v>
      </c>
      <c r="AB28" s="463"/>
      <c r="AC28" s="464"/>
      <c r="AD28" s="243">
        <v>4</v>
      </c>
      <c r="AE28" s="244"/>
      <c r="AF28" s="244"/>
      <c r="AG28" s="244"/>
      <c r="AH28" s="245"/>
      <c r="AI28" s="245"/>
      <c r="AJ28" s="245"/>
      <c r="AK28" s="245"/>
      <c r="AL28" s="245"/>
      <c r="AM28" s="245"/>
      <c r="AN28" s="245"/>
      <c r="AO28" s="244"/>
      <c r="AP28" s="244"/>
      <c r="AQ28" s="244"/>
      <c r="AR28" s="244"/>
      <c r="AS28" s="222" t="s">
        <v>1443</v>
      </c>
      <c r="AT28" s="246"/>
      <c r="AU28" s="246"/>
      <c r="AV28" s="246"/>
      <c r="AW28" s="246"/>
      <c r="AX28" s="246"/>
      <c r="AY28" s="246"/>
      <c r="AZ28" s="246"/>
      <c r="BA28" s="246"/>
      <c r="BB28" s="246"/>
      <c r="BC28" s="246"/>
      <c r="BD28" s="247"/>
      <c r="BE28" s="18" t="s">
        <v>1441</v>
      </c>
    </row>
    <row r="29" spans="1:57" ht="14.4" customHeight="1">
      <c r="A29" s="80" t="str">
        <f>IF(B29="","",COUNTA($B$8:B29))</f>
        <v/>
      </c>
      <c r="B29" s="320"/>
      <c r="C29" s="321"/>
      <c r="D29" s="321"/>
      <c r="E29" s="321"/>
      <c r="F29" s="321"/>
      <c r="G29" s="321"/>
      <c r="H29" s="322"/>
      <c r="I29" s="323"/>
      <c r="J29" s="324"/>
      <c r="K29" s="324"/>
      <c r="L29" s="324"/>
      <c r="M29" s="324"/>
      <c r="N29" s="324"/>
      <c r="O29" s="324"/>
      <c r="P29" s="324"/>
      <c r="Q29" s="325"/>
      <c r="R29" s="320"/>
      <c r="S29" s="324"/>
      <c r="T29" s="324"/>
      <c r="U29" s="324"/>
      <c r="V29" s="324"/>
      <c r="W29" s="324"/>
      <c r="X29" s="326"/>
      <c r="Y29" s="468"/>
      <c r="Z29" s="469"/>
      <c r="AA29" s="470"/>
      <c r="AB29" s="471"/>
      <c r="AC29" s="472"/>
      <c r="AD29" s="328"/>
      <c r="AE29" s="329"/>
      <c r="AF29" s="329"/>
      <c r="AG29" s="329"/>
      <c r="AH29" s="330"/>
      <c r="AI29" s="330"/>
      <c r="AJ29" s="330"/>
      <c r="AK29" s="330"/>
      <c r="AL29" s="330"/>
      <c r="AM29" s="330"/>
      <c r="AN29" s="330"/>
      <c r="AO29" s="329"/>
      <c r="AP29" s="329"/>
      <c r="AQ29" s="329"/>
      <c r="AR29" s="329"/>
      <c r="AS29" s="323" t="s">
        <v>1436</v>
      </c>
      <c r="AT29" s="331"/>
      <c r="AU29" s="331"/>
      <c r="AV29" s="331"/>
      <c r="AW29" s="331"/>
      <c r="AX29" s="331"/>
      <c r="AY29" s="331"/>
      <c r="AZ29" s="331"/>
      <c r="BA29" s="331"/>
      <c r="BB29" s="331"/>
      <c r="BC29" s="331"/>
      <c r="BD29" s="332"/>
      <c r="BE29" s="18" t="s">
        <v>1441</v>
      </c>
    </row>
    <row r="30" spans="1:57" ht="14.4" customHeight="1">
      <c r="A30" s="79">
        <f>IF(B30="","",COUNTA($B$8:B30))</f>
        <v>14</v>
      </c>
      <c r="B30" s="278" t="s">
        <v>1449</v>
      </c>
      <c r="C30" s="279"/>
      <c r="D30" s="279"/>
      <c r="E30" s="279"/>
      <c r="F30" s="279"/>
      <c r="G30" s="279"/>
      <c r="H30" s="280"/>
      <c r="I30" s="222" t="s">
        <v>1435</v>
      </c>
      <c r="J30" s="223"/>
      <c r="K30" s="223"/>
      <c r="L30" s="223"/>
      <c r="M30" s="223"/>
      <c r="N30" s="223"/>
      <c r="O30" s="223"/>
      <c r="P30" s="223"/>
      <c r="Q30" s="224"/>
      <c r="R30" s="278" t="s">
        <v>1449</v>
      </c>
      <c r="S30" s="223"/>
      <c r="T30" s="223"/>
      <c r="U30" s="223"/>
      <c r="V30" s="223"/>
      <c r="W30" s="223"/>
      <c r="X30" s="226"/>
      <c r="Y30" s="447" t="s">
        <v>150</v>
      </c>
      <c r="Z30" s="448"/>
      <c r="AA30" s="462" t="s">
        <v>151</v>
      </c>
      <c r="AB30" s="463"/>
      <c r="AC30" s="464"/>
      <c r="AD30" s="243">
        <v>1</v>
      </c>
      <c r="AE30" s="244"/>
      <c r="AF30" s="244"/>
      <c r="AG30" s="244"/>
      <c r="AH30" s="245"/>
      <c r="AI30" s="245"/>
      <c r="AJ30" s="245"/>
      <c r="AK30" s="245"/>
      <c r="AL30" s="245"/>
      <c r="AM30" s="245"/>
      <c r="AN30" s="245"/>
      <c r="AO30" s="244"/>
      <c r="AP30" s="244"/>
      <c r="AQ30" s="244"/>
      <c r="AR30" s="244"/>
      <c r="AS30" s="222" t="s">
        <v>1437</v>
      </c>
      <c r="AT30" s="246"/>
      <c r="AU30" s="246"/>
      <c r="AV30" s="246"/>
      <c r="AW30" s="246"/>
      <c r="AX30" s="246"/>
      <c r="AY30" s="246"/>
      <c r="AZ30" s="246"/>
      <c r="BA30" s="246"/>
      <c r="BB30" s="246"/>
      <c r="BC30" s="246"/>
      <c r="BD30" s="247"/>
      <c r="BE30" s="18" t="s">
        <v>1441</v>
      </c>
    </row>
    <row r="31" spans="1:57" ht="14.4" customHeight="1">
      <c r="A31" s="80" t="str">
        <f>IF(B31="","",COUNTA($B$8:B31))</f>
        <v/>
      </c>
      <c r="B31" s="320"/>
      <c r="C31" s="321"/>
      <c r="D31" s="321"/>
      <c r="E31" s="321"/>
      <c r="F31" s="321"/>
      <c r="G31" s="321"/>
      <c r="H31" s="322"/>
      <c r="I31" s="323"/>
      <c r="J31" s="324"/>
      <c r="K31" s="324"/>
      <c r="L31" s="324"/>
      <c r="M31" s="324"/>
      <c r="N31" s="324"/>
      <c r="O31" s="324"/>
      <c r="P31" s="324"/>
      <c r="Q31" s="325"/>
      <c r="R31" s="320"/>
      <c r="S31" s="324"/>
      <c r="T31" s="324"/>
      <c r="U31" s="324"/>
      <c r="V31" s="324"/>
      <c r="W31" s="324"/>
      <c r="X31" s="326"/>
      <c r="Y31" s="468"/>
      <c r="Z31" s="469"/>
      <c r="AA31" s="470"/>
      <c r="AB31" s="471"/>
      <c r="AC31" s="472"/>
      <c r="AD31" s="328"/>
      <c r="AE31" s="329"/>
      <c r="AF31" s="329"/>
      <c r="AG31" s="329"/>
      <c r="AH31" s="330"/>
      <c r="AI31" s="330"/>
      <c r="AJ31" s="330"/>
      <c r="AK31" s="330"/>
      <c r="AL31" s="330"/>
      <c r="AM31" s="330"/>
      <c r="AN31" s="330"/>
      <c r="AO31" s="329"/>
      <c r="AP31" s="329"/>
      <c r="AQ31" s="329"/>
      <c r="AR31" s="329"/>
      <c r="AS31" s="323" t="s">
        <v>1438</v>
      </c>
      <c r="AT31" s="331"/>
      <c r="AU31" s="331"/>
      <c r="AV31" s="331"/>
      <c r="AW31" s="331"/>
      <c r="AX31" s="331"/>
      <c r="AY31" s="331"/>
      <c r="AZ31" s="331"/>
      <c r="BA31" s="331"/>
      <c r="BB31" s="331"/>
      <c r="BC31" s="331"/>
      <c r="BD31" s="332"/>
      <c r="BE31" s="18" t="s">
        <v>1441</v>
      </c>
    </row>
    <row r="32" spans="1:57" s="1" customFormat="1" ht="14.4" customHeight="1">
      <c r="A32" s="70">
        <f>IF(B32="","",COUNTA($B$8:B32))</f>
        <v>15</v>
      </c>
      <c r="B32" s="189" t="s">
        <v>441</v>
      </c>
      <c r="C32" s="187"/>
      <c r="D32" s="187"/>
      <c r="E32" s="187"/>
      <c r="F32" s="187"/>
      <c r="G32" s="187"/>
      <c r="H32" s="187"/>
      <c r="I32" s="189" t="s">
        <v>442</v>
      </c>
      <c r="J32" s="190"/>
      <c r="K32" s="190"/>
      <c r="L32" s="190"/>
      <c r="M32" s="190"/>
      <c r="N32" s="190"/>
      <c r="O32" s="190"/>
      <c r="P32" s="190"/>
      <c r="Q32" s="190"/>
      <c r="R32" s="189" t="s">
        <v>441</v>
      </c>
      <c r="S32" s="187"/>
      <c r="T32" s="213"/>
      <c r="U32" s="213"/>
      <c r="V32" s="213"/>
      <c r="W32" s="213"/>
      <c r="X32" s="213"/>
      <c r="Y32" s="270" t="s">
        <v>150</v>
      </c>
      <c r="Z32" s="271"/>
      <c r="AA32" s="380" t="s">
        <v>151</v>
      </c>
      <c r="AB32" s="381"/>
      <c r="AC32" s="382"/>
      <c r="AD32" s="214">
        <v>1</v>
      </c>
      <c r="AE32" s="194" t="s">
        <v>244</v>
      </c>
      <c r="AF32" s="209"/>
      <c r="AG32" s="209"/>
      <c r="AH32" s="209"/>
      <c r="AI32" s="209"/>
      <c r="AJ32" s="209"/>
      <c r="AK32" s="209"/>
      <c r="AL32" s="209"/>
      <c r="AM32" s="209"/>
      <c r="AN32" s="209"/>
      <c r="AO32" s="208"/>
      <c r="AP32" s="208"/>
      <c r="AQ32" s="208"/>
      <c r="AR32" s="208"/>
      <c r="AS32" s="210" t="s">
        <v>443</v>
      </c>
      <c r="AT32" s="176"/>
      <c r="AU32" s="176"/>
      <c r="AV32" s="176"/>
      <c r="AW32" s="176"/>
      <c r="AX32" s="176"/>
      <c r="AY32" s="176"/>
      <c r="AZ32" s="176"/>
      <c r="BA32" s="176"/>
      <c r="BB32" s="176"/>
      <c r="BC32" s="176"/>
      <c r="BD32" s="177"/>
    </row>
    <row r="33" spans="1:56" ht="14.4" customHeight="1">
      <c r="A33" s="70">
        <f>IF(B33="","",COUNTA($B$8:B33))</f>
        <v>16</v>
      </c>
      <c r="B33" s="8" t="s">
        <v>255</v>
      </c>
      <c r="C33" s="114"/>
      <c r="D33" s="114"/>
      <c r="E33" s="114"/>
      <c r="F33" s="114"/>
      <c r="G33" s="114"/>
      <c r="H33" s="114"/>
      <c r="I33" s="118" t="s">
        <v>256</v>
      </c>
      <c r="J33" s="116"/>
      <c r="K33" s="116"/>
      <c r="L33" s="116"/>
      <c r="M33" s="116"/>
      <c r="N33" s="116"/>
      <c r="O33" s="116"/>
      <c r="P33" s="116"/>
      <c r="Q33" s="116"/>
      <c r="R33" s="8" t="s">
        <v>255</v>
      </c>
      <c r="S33" s="114"/>
      <c r="T33" s="5"/>
      <c r="U33" s="5"/>
      <c r="V33" s="5"/>
      <c r="W33" s="5"/>
      <c r="X33" s="5"/>
      <c r="Y33" s="8" t="s">
        <v>150</v>
      </c>
      <c r="Z33" s="119"/>
      <c r="AA33" s="426" t="s">
        <v>151</v>
      </c>
      <c r="AB33" s="427"/>
      <c r="AC33" s="428"/>
      <c r="AD33" s="126">
        <v>10</v>
      </c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>
      <c r="A34" s="70">
        <f>IF(B34="","",COUNTA($B$8:B34))</f>
        <v>17</v>
      </c>
      <c r="B34" s="8" t="s">
        <v>257</v>
      </c>
      <c r="C34" s="114"/>
      <c r="D34" s="114"/>
      <c r="E34" s="114"/>
      <c r="F34" s="114"/>
      <c r="G34" s="114"/>
      <c r="H34" s="114"/>
      <c r="I34" s="118" t="s">
        <v>258</v>
      </c>
      <c r="J34" s="116"/>
      <c r="K34" s="116"/>
      <c r="L34" s="116"/>
      <c r="M34" s="116"/>
      <c r="N34" s="116"/>
      <c r="O34" s="116"/>
      <c r="P34" s="116"/>
      <c r="Q34" s="116"/>
      <c r="R34" s="8" t="s">
        <v>257</v>
      </c>
      <c r="S34" s="114"/>
      <c r="T34" s="5"/>
      <c r="U34" s="5"/>
      <c r="V34" s="5"/>
      <c r="W34" s="5"/>
      <c r="X34" s="5"/>
      <c r="Y34" s="8" t="s">
        <v>169</v>
      </c>
      <c r="Z34" s="119"/>
      <c r="AA34" s="426" t="s">
        <v>243</v>
      </c>
      <c r="AB34" s="427"/>
      <c r="AC34" s="428"/>
      <c r="AD34" s="117"/>
      <c r="AE34" s="29"/>
      <c r="AF34" s="29"/>
      <c r="AG34" s="29"/>
      <c r="AH34" s="28"/>
      <c r="AI34" s="28"/>
      <c r="AJ34" s="28"/>
      <c r="AK34" s="28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>
      <c r="A35" s="70">
        <f>IF(B35="","",COUNTA($B$8:B35))</f>
        <v>18</v>
      </c>
      <c r="B35" s="8" t="s">
        <v>261</v>
      </c>
      <c r="C35" s="114"/>
      <c r="D35" s="114"/>
      <c r="E35" s="114"/>
      <c r="F35" s="114"/>
      <c r="G35" s="114"/>
      <c r="H35" s="114"/>
      <c r="I35" s="118" t="s">
        <v>262</v>
      </c>
      <c r="J35" s="116"/>
      <c r="K35" s="116"/>
      <c r="L35" s="116"/>
      <c r="M35" s="116"/>
      <c r="N35" s="116"/>
      <c r="O35" s="116"/>
      <c r="P35" s="116"/>
      <c r="Q35" s="116"/>
      <c r="R35" s="8" t="s">
        <v>261</v>
      </c>
      <c r="S35" s="114"/>
      <c r="T35" s="5"/>
      <c r="U35" s="5"/>
      <c r="V35" s="5"/>
      <c r="W35" s="5"/>
      <c r="X35" s="5"/>
      <c r="Y35" s="8" t="s">
        <v>150</v>
      </c>
      <c r="Z35" s="119"/>
      <c r="AA35" s="426" t="s">
        <v>151</v>
      </c>
      <c r="AB35" s="427"/>
      <c r="AC35" s="428"/>
      <c r="AD35" s="126">
        <v>10</v>
      </c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48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70">
        <f>IF(B36="","",COUNTA($B$8:B36))</f>
        <v>19</v>
      </c>
      <c r="B36" s="8" t="s">
        <v>263</v>
      </c>
      <c r="C36" s="114"/>
      <c r="D36" s="114"/>
      <c r="E36" s="114"/>
      <c r="F36" s="114"/>
      <c r="G36" s="114"/>
      <c r="H36" s="114"/>
      <c r="I36" s="118" t="s">
        <v>264</v>
      </c>
      <c r="J36" s="116"/>
      <c r="K36" s="116"/>
      <c r="L36" s="116"/>
      <c r="M36" s="116"/>
      <c r="N36" s="116"/>
      <c r="O36" s="116"/>
      <c r="P36" s="116"/>
      <c r="Q36" s="116"/>
      <c r="R36" s="8" t="s">
        <v>263</v>
      </c>
      <c r="S36" s="116"/>
      <c r="T36" s="5"/>
      <c r="U36" s="5"/>
      <c r="V36" s="5"/>
      <c r="W36" s="5"/>
      <c r="X36" s="5"/>
      <c r="Y36" s="8" t="s">
        <v>169</v>
      </c>
      <c r="Z36" s="119"/>
      <c r="AA36" s="426" t="s">
        <v>243</v>
      </c>
      <c r="AB36" s="427"/>
      <c r="AC36" s="428"/>
      <c r="AD36" s="126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24"/>
      <c r="Y37" s="419"/>
      <c r="Z37" s="420"/>
      <c r="AA37" s="421"/>
      <c r="AB37" s="422"/>
      <c r="AC37" s="423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48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24"/>
      <c r="Y38" s="419"/>
      <c r="Z38" s="420"/>
      <c r="AA38" s="421"/>
      <c r="AB38" s="422"/>
      <c r="AC38" s="423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24"/>
      <c r="Y39" s="419"/>
      <c r="Z39" s="420"/>
      <c r="AA39" s="421"/>
      <c r="AB39" s="422"/>
      <c r="AC39" s="423"/>
      <c r="AD39" s="51"/>
      <c r="AE39" s="29"/>
      <c r="AF39" s="29"/>
      <c r="AG39" s="29"/>
      <c r="AH39" s="40"/>
      <c r="AI39" s="40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24"/>
      <c r="Y40" s="419"/>
      <c r="Z40" s="420"/>
      <c r="AA40" s="421"/>
      <c r="AB40" s="422"/>
      <c r="AC40" s="423"/>
      <c r="AD40" s="51"/>
      <c r="AE40" s="29"/>
      <c r="AF40" s="29"/>
      <c r="AG40" s="29"/>
      <c r="AH40" s="28"/>
      <c r="AI40" s="28"/>
      <c r="AJ40" s="28"/>
      <c r="AK40" s="28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24"/>
      <c r="Y41" s="419"/>
      <c r="Z41" s="420"/>
      <c r="AA41" s="421"/>
      <c r="AB41" s="422"/>
      <c r="AC41" s="423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48"/>
      <c r="AV41" s="48"/>
      <c r="AW41" s="48"/>
      <c r="AX41" s="48"/>
      <c r="AY41" s="48"/>
      <c r="AZ41" s="48"/>
      <c r="BA41" s="48"/>
      <c r="BB41" s="48"/>
      <c r="BC41" s="48"/>
      <c r="BD41" s="66"/>
    </row>
    <row r="42" spans="1:56" ht="14.4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24"/>
      <c r="Y42" s="419"/>
      <c r="Z42" s="420"/>
      <c r="AA42" s="421"/>
      <c r="AB42" s="422"/>
      <c r="AC42" s="423"/>
      <c r="AD42" s="27"/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19"/>
      <c r="Z43" s="420"/>
      <c r="AA43" s="421"/>
      <c r="AB43" s="422"/>
      <c r="AC43" s="423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419"/>
      <c r="Z44" s="420"/>
      <c r="AA44" s="421"/>
      <c r="AB44" s="422"/>
      <c r="AC44" s="423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>
      <c r="A45" s="70" t="str">
        <f>IF(B45="","",COUNTA($B$8:B45))</f>
        <v/>
      </c>
      <c r="B45" s="31"/>
      <c r="C45" s="44"/>
      <c r="D45" s="44"/>
      <c r="E45" s="44"/>
      <c r="F45" s="44"/>
      <c r="G45" s="44"/>
      <c r="H45" s="45"/>
      <c r="I45" s="31"/>
      <c r="J45" s="35"/>
      <c r="K45" s="35"/>
      <c r="L45" s="35"/>
      <c r="M45" s="35"/>
      <c r="N45" s="35"/>
      <c r="O45" s="35"/>
      <c r="P45" s="35"/>
      <c r="Q45" s="36"/>
      <c r="R45" s="34"/>
      <c r="S45" s="35"/>
      <c r="T45" s="35"/>
      <c r="U45" s="35"/>
      <c r="V45" s="35"/>
      <c r="W45" s="35"/>
      <c r="X45" s="36"/>
      <c r="Y45" s="419"/>
      <c r="Z45" s="420"/>
      <c r="AA45" s="421"/>
      <c r="AB45" s="422"/>
      <c r="AC45" s="423"/>
      <c r="AD45" s="51"/>
      <c r="AE45" s="29"/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2"/>
      <c r="AT45" s="49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" customHeight="1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419"/>
      <c r="Z46" s="420"/>
      <c r="AA46" s="421"/>
      <c r="AB46" s="422"/>
      <c r="AC46" s="423"/>
      <c r="AD46" s="51"/>
      <c r="AE46" s="29"/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05">
    <mergeCell ref="Y10:Z10"/>
    <mergeCell ref="AA10:AC10"/>
    <mergeCell ref="Y11:Z11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A11:AC11"/>
    <mergeCell ref="A1:H4"/>
    <mergeCell ref="AU4:AY4"/>
    <mergeCell ref="AG6:AG7"/>
    <mergeCell ref="AH6:AH7"/>
    <mergeCell ref="AI6:AR6"/>
    <mergeCell ref="AS6:BD7"/>
    <mergeCell ref="Y8:Z8"/>
    <mergeCell ref="AA8:AC8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Y46:Z46"/>
    <mergeCell ref="AA46:AC46"/>
    <mergeCell ref="AA37:AC37"/>
    <mergeCell ref="Y38:Z38"/>
    <mergeCell ref="AA38:AC38"/>
    <mergeCell ref="Y39:Z39"/>
    <mergeCell ref="AA39:AC39"/>
    <mergeCell ref="Y42:Z42"/>
    <mergeCell ref="AA42:AC42"/>
    <mergeCell ref="Y43:Z43"/>
    <mergeCell ref="AA43:AC43"/>
    <mergeCell ref="Y44:Z44"/>
    <mergeCell ref="AA44:AC44"/>
    <mergeCell ref="Y40:Z40"/>
    <mergeCell ref="AA40:AC40"/>
    <mergeCell ref="Y41:Z41"/>
    <mergeCell ref="AA41:AC41"/>
    <mergeCell ref="Y12:Z12"/>
    <mergeCell ref="AA12:AC12"/>
    <mergeCell ref="Y14:Z14"/>
    <mergeCell ref="AA14:AC14"/>
    <mergeCell ref="Y16:Z16"/>
    <mergeCell ref="AA16:AC16"/>
    <mergeCell ref="Y20:Z20"/>
    <mergeCell ref="AA20:AC20"/>
    <mergeCell ref="Y45:Z45"/>
    <mergeCell ref="AA45:AC45"/>
    <mergeCell ref="AA32:AC32"/>
    <mergeCell ref="Y13:Z13"/>
    <mergeCell ref="AA13:AC13"/>
    <mergeCell ref="Y15:Z15"/>
    <mergeCell ref="AA15:AC15"/>
    <mergeCell ref="Y19:Z19"/>
    <mergeCell ref="AA19:AC19"/>
    <mergeCell ref="Y17:Z17"/>
    <mergeCell ref="AA17:AC17"/>
    <mergeCell ref="Y18:Z18"/>
    <mergeCell ref="AA18:AC18"/>
    <mergeCell ref="Y26:Z26"/>
    <mergeCell ref="AA26:AC26"/>
    <mergeCell ref="Y27:Z27"/>
    <mergeCell ref="AA35:AC35"/>
    <mergeCell ref="AA33:AC33"/>
    <mergeCell ref="AA36:AC36"/>
    <mergeCell ref="Y37:Z37"/>
    <mergeCell ref="AA25:AC25"/>
    <mergeCell ref="Y21:Z21"/>
    <mergeCell ref="AA21:AC21"/>
    <mergeCell ref="Y22:Z22"/>
    <mergeCell ref="AA22:AC22"/>
    <mergeCell ref="Y23:Z23"/>
    <mergeCell ref="AA23:AC23"/>
    <mergeCell ref="Y24:Z24"/>
    <mergeCell ref="AA24:AC24"/>
    <mergeCell ref="AA29:AC29"/>
    <mergeCell ref="Y25:Z25"/>
    <mergeCell ref="AA34:AC34"/>
    <mergeCell ref="AA27:AC27"/>
    <mergeCell ref="Y30:Z30"/>
    <mergeCell ref="AA30:AC30"/>
    <mergeCell ref="Y31:Z31"/>
    <mergeCell ref="AA31:AC31"/>
    <mergeCell ref="Y28:Z28"/>
    <mergeCell ref="AA28:AC28"/>
    <mergeCell ref="Y29:Z29"/>
  </mergeCells>
  <phoneticPr fontId="5"/>
  <dataValidations count="3">
    <dataValidation imeMode="hiragana" allowBlank="1" showInputMessage="1" showErrorMessage="1" sqref="JI65525:JT65527 TE65525:TP65527 ADA65525:ADL65527 AMW65525:ANH65527 AWS65525:AXD65527 BGO65525:BGZ65527 BQK65525:BQV65527 CAG65525:CAR65527 CKC65525:CKN65527 CTY65525:CUJ65527 DDU65525:DEF65527 DNQ65525:DOB65527 DXM65525:DXX65527 EHI65525:EHT65527 ERE65525:ERP65527 FBA65525:FBL65527 FKW65525:FLH65527 FUS65525:FVD65527 GEO65525:GEZ65527 GOK65525:GOV65527 GYG65525:GYR65527 HIC65525:HIN65527 HRY65525:HSJ65527 IBU65525:ICF65527 ILQ65525:IMB65527 IVM65525:IVX65527 JFI65525:JFT65527 JPE65525:JPP65527 JZA65525:JZL65527 KIW65525:KJH65527 KSS65525:KTD65527 LCO65525:LCZ65527 LMK65525:LMV65527 LWG65525:LWR65527 MGC65525:MGN65527 MPY65525:MQJ65527 MZU65525:NAF65527 NJQ65525:NKB65527 NTM65525:NTX65527 ODI65525:ODT65527 ONE65525:ONP65527 OXA65525:OXL65527 PGW65525:PHH65527 PQS65525:PRD65527 QAO65525:QAZ65527 QKK65525:QKV65527 QUG65525:QUR65527 REC65525:REN65527 RNY65525:ROJ65527 RXU65525:RYF65527 SHQ65525:SIB65527 SRM65525:SRX65527 TBI65525:TBT65527 TLE65525:TLP65527 TVA65525:TVL65527 UEW65525:UFH65527 UOS65525:UPD65527 UYO65525:UYZ65527 VIK65525:VIV65527 VSG65525:VSR65527 WCC65525:WCN65527 WLY65525:WMJ65527 WVU65525:WWF65527 JI131061:JT131063 TE131061:TP131063 ADA131061:ADL131063 AMW131061:ANH131063 AWS131061:AXD131063 BGO131061:BGZ131063 BQK131061:BQV131063 CAG131061:CAR131063 CKC131061:CKN131063 CTY131061:CUJ131063 DDU131061:DEF131063 DNQ131061:DOB131063 DXM131061:DXX131063 EHI131061:EHT131063 ERE131061:ERP131063 FBA131061:FBL131063 FKW131061:FLH131063 FUS131061:FVD131063 GEO131061:GEZ131063 GOK131061:GOV131063 GYG131061:GYR131063 HIC131061:HIN131063 HRY131061:HSJ131063 IBU131061:ICF131063 ILQ131061:IMB131063 IVM131061:IVX131063 JFI131061:JFT131063 JPE131061:JPP131063 JZA131061:JZL131063 KIW131061:KJH131063 KSS131061:KTD131063 LCO131061:LCZ131063 LMK131061:LMV131063 LWG131061:LWR131063 MGC131061:MGN131063 MPY131061:MQJ131063 MZU131061:NAF131063 NJQ131061:NKB131063 NTM131061:NTX131063 ODI131061:ODT131063 ONE131061:ONP131063 OXA131061:OXL131063 PGW131061:PHH131063 PQS131061:PRD131063 QAO131061:QAZ131063 QKK131061:QKV131063 QUG131061:QUR131063 REC131061:REN131063 RNY131061:ROJ131063 RXU131061:RYF131063 SHQ131061:SIB131063 SRM131061:SRX131063 TBI131061:TBT131063 TLE131061:TLP131063 TVA131061:TVL131063 UEW131061:UFH131063 UOS131061:UPD131063 UYO131061:UYZ131063 VIK131061:VIV131063 VSG131061:VSR131063 WCC131061:WCN131063 WLY131061:WMJ131063 WVU131061:WWF131063 JI196597:JT196599 TE196597:TP196599 ADA196597:ADL196599 AMW196597:ANH196599 AWS196597:AXD196599 BGO196597:BGZ196599 BQK196597:BQV196599 CAG196597:CAR196599 CKC196597:CKN196599 CTY196597:CUJ196599 DDU196597:DEF196599 DNQ196597:DOB196599 DXM196597:DXX196599 EHI196597:EHT196599 ERE196597:ERP196599 FBA196597:FBL196599 FKW196597:FLH196599 FUS196597:FVD196599 GEO196597:GEZ196599 GOK196597:GOV196599 GYG196597:GYR196599 HIC196597:HIN196599 HRY196597:HSJ196599 IBU196597:ICF196599 ILQ196597:IMB196599 IVM196597:IVX196599 JFI196597:JFT196599 JPE196597:JPP196599 JZA196597:JZL196599 KIW196597:KJH196599 KSS196597:KTD196599 LCO196597:LCZ196599 LMK196597:LMV196599 LWG196597:LWR196599 MGC196597:MGN196599 MPY196597:MQJ196599 MZU196597:NAF196599 NJQ196597:NKB196599 NTM196597:NTX196599 ODI196597:ODT196599 ONE196597:ONP196599 OXA196597:OXL196599 PGW196597:PHH196599 PQS196597:PRD196599 QAO196597:QAZ196599 QKK196597:QKV196599 QUG196597:QUR196599 REC196597:REN196599 RNY196597:ROJ196599 RXU196597:RYF196599 SHQ196597:SIB196599 SRM196597:SRX196599 TBI196597:TBT196599 TLE196597:TLP196599 TVA196597:TVL196599 UEW196597:UFH196599 UOS196597:UPD196599 UYO196597:UYZ196599 VIK196597:VIV196599 VSG196597:VSR196599 WCC196597:WCN196599 WLY196597:WMJ196599 WVU196597:WWF196599 JI262133:JT262135 TE262133:TP262135 ADA262133:ADL262135 AMW262133:ANH262135 AWS262133:AXD262135 BGO262133:BGZ262135 BQK262133:BQV262135 CAG262133:CAR262135 CKC262133:CKN262135 CTY262133:CUJ262135 DDU262133:DEF262135 DNQ262133:DOB262135 DXM262133:DXX262135 EHI262133:EHT262135 ERE262133:ERP262135 FBA262133:FBL262135 FKW262133:FLH262135 FUS262133:FVD262135 GEO262133:GEZ262135 GOK262133:GOV262135 GYG262133:GYR262135 HIC262133:HIN262135 HRY262133:HSJ262135 IBU262133:ICF262135 ILQ262133:IMB262135 IVM262133:IVX262135 JFI262133:JFT262135 JPE262133:JPP262135 JZA262133:JZL262135 KIW262133:KJH262135 KSS262133:KTD262135 LCO262133:LCZ262135 LMK262133:LMV262135 LWG262133:LWR262135 MGC262133:MGN262135 MPY262133:MQJ262135 MZU262133:NAF262135 NJQ262133:NKB262135 NTM262133:NTX262135 ODI262133:ODT262135 ONE262133:ONP262135 OXA262133:OXL262135 PGW262133:PHH262135 PQS262133:PRD262135 QAO262133:QAZ262135 QKK262133:QKV262135 QUG262133:QUR262135 REC262133:REN262135 RNY262133:ROJ262135 RXU262133:RYF262135 SHQ262133:SIB262135 SRM262133:SRX262135 TBI262133:TBT262135 TLE262133:TLP262135 TVA262133:TVL262135 UEW262133:UFH262135 UOS262133:UPD262135 UYO262133:UYZ262135 VIK262133:VIV262135 VSG262133:VSR262135 WCC262133:WCN262135 WLY262133:WMJ262135 WVU262133:WWF262135 JI327669:JT327671 TE327669:TP327671 ADA327669:ADL327671 AMW327669:ANH327671 AWS327669:AXD327671 BGO327669:BGZ327671 BQK327669:BQV327671 CAG327669:CAR327671 CKC327669:CKN327671 CTY327669:CUJ327671 DDU327669:DEF327671 DNQ327669:DOB327671 DXM327669:DXX327671 EHI327669:EHT327671 ERE327669:ERP327671 FBA327669:FBL327671 FKW327669:FLH327671 FUS327669:FVD327671 GEO327669:GEZ327671 GOK327669:GOV327671 GYG327669:GYR327671 HIC327669:HIN327671 HRY327669:HSJ327671 IBU327669:ICF327671 ILQ327669:IMB327671 IVM327669:IVX327671 JFI327669:JFT327671 JPE327669:JPP327671 JZA327669:JZL327671 KIW327669:KJH327671 KSS327669:KTD327671 LCO327669:LCZ327671 LMK327669:LMV327671 LWG327669:LWR327671 MGC327669:MGN327671 MPY327669:MQJ327671 MZU327669:NAF327671 NJQ327669:NKB327671 NTM327669:NTX327671 ODI327669:ODT327671 ONE327669:ONP327671 OXA327669:OXL327671 PGW327669:PHH327671 PQS327669:PRD327671 QAO327669:QAZ327671 QKK327669:QKV327671 QUG327669:QUR327671 REC327669:REN327671 RNY327669:ROJ327671 RXU327669:RYF327671 SHQ327669:SIB327671 SRM327669:SRX327671 TBI327669:TBT327671 TLE327669:TLP327671 TVA327669:TVL327671 UEW327669:UFH327671 UOS327669:UPD327671 UYO327669:UYZ327671 VIK327669:VIV327671 VSG327669:VSR327671 WCC327669:WCN327671 WLY327669:WMJ327671 WVU327669:WWF327671 JI393205:JT393207 TE393205:TP393207 ADA393205:ADL393207 AMW393205:ANH393207 AWS393205:AXD393207 BGO393205:BGZ393207 BQK393205:BQV393207 CAG393205:CAR393207 CKC393205:CKN393207 CTY393205:CUJ393207 DDU393205:DEF393207 DNQ393205:DOB393207 DXM393205:DXX393207 EHI393205:EHT393207 ERE393205:ERP393207 FBA393205:FBL393207 FKW393205:FLH393207 FUS393205:FVD393207 GEO393205:GEZ393207 GOK393205:GOV393207 GYG393205:GYR393207 HIC393205:HIN393207 HRY393205:HSJ393207 IBU393205:ICF393207 ILQ393205:IMB393207 IVM393205:IVX393207 JFI393205:JFT393207 JPE393205:JPP393207 JZA393205:JZL393207 KIW393205:KJH393207 KSS393205:KTD393207 LCO393205:LCZ393207 LMK393205:LMV393207 LWG393205:LWR393207 MGC393205:MGN393207 MPY393205:MQJ393207 MZU393205:NAF393207 NJQ393205:NKB393207 NTM393205:NTX393207 ODI393205:ODT393207 ONE393205:ONP393207 OXA393205:OXL393207 PGW393205:PHH393207 PQS393205:PRD393207 QAO393205:QAZ393207 QKK393205:QKV393207 QUG393205:QUR393207 REC393205:REN393207 RNY393205:ROJ393207 RXU393205:RYF393207 SHQ393205:SIB393207 SRM393205:SRX393207 TBI393205:TBT393207 TLE393205:TLP393207 TVA393205:TVL393207 UEW393205:UFH393207 UOS393205:UPD393207 UYO393205:UYZ393207 VIK393205:VIV393207 VSG393205:VSR393207 WCC393205:WCN393207 WLY393205:WMJ393207 WVU393205:WWF393207 JI458741:JT458743 TE458741:TP458743 ADA458741:ADL458743 AMW458741:ANH458743 AWS458741:AXD458743 BGO458741:BGZ458743 BQK458741:BQV458743 CAG458741:CAR458743 CKC458741:CKN458743 CTY458741:CUJ458743 DDU458741:DEF458743 DNQ458741:DOB458743 DXM458741:DXX458743 EHI458741:EHT458743 ERE458741:ERP458743 FBA458741:FBL458743 FKW458741:FLH458743 FUS458741:FVD458743 GEO458741:GEZ458743 GOK458741:GOV458743 GYG458741:GYR458743 HIC458741:HIN458743 HRY458741:HSJ458743 IBU458741:ICF458743 ILQ458741:IMB458743 IVM458741:IVX458743 JFI458741:JFT458743 JPE458741:JPP458743 JZA458741:JZL458743 KIW458741:KJH458743 KSS458741:KTD458743 LCO458741:LCZ458743 LMK458741:LMV458743 LWG458741:LWR458743 MGC458741:MGN458743 MPY458741:MQJ458743 MZU458741:NAF458743 NJQ458741:NKB458743 NTM458741:NTX458743 ODI458741:ODT458743 ONE458741:ONP458743 OXA458741:OXL458743 PGW458741:PHH458743 PQS458741:PRD458743 QAO458741:QAZ458743 QKK458741:QKV458743 QUG458741:QUR458743 REC458741:REN458743 RNY458741:ROJ458743 RXU458741:RYF458743 SHQ458741:SIB458743 SRM458741:SRX458743 TBI458741:TBT458743 TLE458741:TLP458743 TVA458741:TVL458743 UEW458741:UFH458743 UOS458741:UPD458743 UYO458741:UYZ458743 VIK458741:VIV458743 VSG458741:VSR458743 WCC458741:WCN458743 WLY458741:WMJ458743 WVU458741:WWF458743 JI524277:JT524279 TE524277:TP524279 ADA524277:ADL524279 AMW524277:ANH524279 AWS524277:AXD524279 BGO524277:BGZ524279 BQK524277:BQV524279 CAG524277:CAR524279 CKC524277:CKN524279 CTY524277:CUJ524279 DDU524277:DEF524279 DNQ524277:DOB524279 DXM524277:DXX524279 EHI524277:EHT524279 ERE524277:ERP524279 FBA524277:FBL524279 FKW524277:FLH524279 FUS524277:FVD524279 GEO524277:GEZ524279 GOK524277:GOV524279 GYG524277:GYR524279 HIC524277:HIN524279 HRY524277:HSJ524279 IBU524277:ICF524279 ILQ524277:IMB524279 IVM524277:IVX524279 JFI524277:JFT524279 JPE524277:JPP524279 JZA524277:JZL524279 KIW524277:KJH524279 KSS524277:KTD524279 LCO524277:LCZ524279 LMK524277:LMV524279 LWG524277:LWR524279 MGC524277:MGN524279 MPY524277:MQJ524279 MZU524277:NAF524279 NJQ524277:NKB524279 NTM524277:NTX524279 ODI524277:ODT524279 ONE524277:ONP524279 OXA524277:OXL524279 PGW524277:PHH524279 PQS524277:PRD524279 QAO524277:QAZ524279 QKK524277:QKV524279 QUG524277:QUR524279 REC524277:REN524279 RNY524277:ROJ524279 RXU524277:RYF524279 SHQ524277:SIB524279 SRM524277:SRX524279 TBI524277:TBT524279 TLE524277:TLP524279 TVA524277:TVL524279 UEW524277:UFH524279 UOS524277:UPD524279 UYO524277:UYZ524279 VIK524277:VIV524279 VSG524277:VSR524279 WCC524277:WCN524279 WLY524277:WMJ524279 WVU524277:WWF524279 JI589813:JT589815 TE589813:TP589815 ADA589813:ADL589815 AMW589813:ANH589815 AWS589813:AXD589815 BGO589813:BGZ589815 BQK589813:BQV589815 CAG589813:CAR589815 CKC589813:CKN589815 CTY589813:CUJ589815 DDU589813:DEF589815 DNQ589813:DOB589815 DXM589813:DXX589815 EHI589813:EHT589815 ERE589813:ERP589815 FBA589813:FBL589815 FKW589813:FLH589815 FUS589813:FVD589815 GEO589813:GEZ589815 GOK589813:GOV589815 GYG589813:GYR589815 HIC589813:HIN589815 HRY589813:HSJ589815 IBU589813:ICF589815 ILQ589813:IMB589815 IVM589813:IVX589815 JFI589813:JFT589815 JPE589813:JPP589815 JZA589813:JZL589815 KIW589813:KJH589815 KSS589813:KTD589815 LCO589813:LCZ589815 LMK589813:LMV589815 LWG589813:LWR589815 MGC589813:MGN589815 MPY589813:MQJ589815 MZU589813:NAF589815 NJQ589813:NKB589815 NTM589813:NTX589815 ODI589813:ODT589815 ONE589813:ONP589815 OXA589813:OXL589815 PGW589813:PHH589815 PQS589813:PRD589815 QAO589813:QAZ589815 QKK589813:QKV589815 QUG589813:QUR589815 REC589813:REN589815 RNY589813:ROJ589815 RXU589813:RYF589815 SHQ589813:SIB589815 SRM589813:SRX589815 TBI589813:TBT589815 TLE589813:TLP589815 TVA589813:TVL589815 UEW589813:UFH589815 UOS589813:UPD589815 UYO589813:UYZ589815 VIK589813:VIV589815 VSG589813:VSR589815 WCC589813:WCN589815 WLY589813:WMJ589815 WVU589813:WWF589815 JI655349:JT655351 TE655349:TP655351 ADA655349:ADL655351 AMW655349:ANH655351 AWS655349:AXD655351 BGO655349:BGZ655351 BQK655349:BQV655351 CAG655349:CAR655351 CKC655349:CKN655351 CTY655349:CUJ655351 DDU655349:DEF655351 DNQ655349:DOB655351 DXM655349:DXX655351 EHI655349:EHT655351 ERE655349:ERP655351 FBA655349:FBL655351 FKW655349:FLH655351 FUS655349:FVD655351 GEO655349:GEZ655351 GOK655349:GOV655351 GYG655349:GYR655351 HIC655349:HIN655351 HRY655349:HSJ655351 IBU655349:ICF655351 ILQ655349:IMB655351 IVM655349:IVX655351 JFI655349:JFT655351 JPE655349:JPP655351 JZA655349:JZL655351 KIW655349:KJH655351 KSS655349:KTD655351 LCO655349:LCZ655351 LMK655349:LMV655351 LWG655349:LWR655351 MGC655349:MGN655351 MPY655349:MQJ655351 MZU655349:NAF655351 NJQ655349:NKB655351 NTM655349:NTX655351 ODI655349:ODT655351 ONE655349:ONP655351 OXA655349:OXL655351 PGW655349:PHH655351 PQS655349:PRD655351 QAO655349:QAZ655351 QKK655349:QKV655351 QUG655349:QUR655351 REC655349:REN655351 RNY655349:ROJ655351 RXU655349:RYF655351 SHQ655349:SIB655351 SRM655349:SRX655351 TBI655349:TBT655351 TLE655349:TLP655351 TVA655349:TVL655351 UEW655349:UFH655351 UOS655349:UPD655351 UYO655349:UYZ655351 VIK655349:VIV655351 VSG655349:VSR655351 WCC655349:WCN655351 WLY655349:WMJ655351 WVU655349:WWF655351 JI720885:JT720887 TE720885:TP720887 ADA720885:ADL720887 AMW720885:ANH720887 AWS720885:AXD720887 BGO720885:BGZ720887 BQK720885:BQV720887 CAG720885:CAR720887 CKC720885:CKN720887 CTY720885:CUJ720887 DDU720885:DEF720887 DNQ720885:DOB720887 DXM720885:DXX720887 EHI720885:EHT720887 ERE720885:ERP720887 FBA720885:FBL720887 FKW720885:FLH720887 FUS720885:FVD720887 GEO720885:GEZ720887 GOK720885:GOV720887 GYG720885:GYR720887 HIC720885:HIN720887 HRY720885:HSJ720887 IBU720885:ICF720887 ILQ720885:IMB720887 IVM720885:IVX720887 JFI720885:JFT720887 JPE720885:JPP720887 JZA720885:JZL720887 KIW720885:KJH720887 KSS720885:KTD720887 LCO720885:LCZ720887 LMK720885:LMV720887 LWG720885:LWR720887 MGC720885:MGN720887 MPY720885:MQJ720887 MZU720885:NAF720887 NJQ720885:NKB720887 NTM720885:NTX720887 ODI720885:ODT720887 ONE720885:ONP720887 OXA720885:OXL720887 PGW720885:PHH720887 PQS720885:PRD720887 QAO720885:QAZ720887 QKK720885:QKV720887 QUG720885:QUR720887 REC720885:REN720887 RNY720885:ROJ720887 RXU720885:RYF720887 SHQ720885:SIB720887 SRM720885:SRX720887 TBI720885:TBT720887 TLE720885:TLP720887 TVA720885:TVL720887 UEW720885:UFH720887 UOS720885:UPD720887 UYO720885:UYZ720887 VIK720885:VIV720887 VSG720885:VSR720887 WCC720885:WCN720887 WLY720885:WMJ720887 WVU720885:WWF720887 JI786421:JT786423 TE786421:TP786423 ADA786421:ADL786423 AMW786421:ANH786423 AWS786421:AXD786423 BGO786421:BGZ786423 BQK786421:BQV786423 CAG786421:CAR786423 CKC786421:CKN786423 CTY786421:CUJ786423 DDU786421:DEF786423 DNQ786421:DOB786423 DXM786421:DXX786423 EHI786421:EHT786423 ERE786421:ERP786423 FBA786421:FBL786423 FKW786421:FLH786423 FUS786421:FVD786423 GEO786421:GEZ786423 GOK786421:GOV786423 GYG786421:GYR786423 HIC786421:HIN786423 HRY786421:HSJ786423 IBU786421:ICF786423 ILQ786421:IMB786423 IVM786421:IVX786423 JFI786421:JFT786423 JPE786421:JPP786423 JZA786421:JZL786423 KIW786421:KJH786423 KSS786421:KTD786423 LCO786421:LCZ786423 LMK786421:LMV786423 LWG786421:LWR786423 MGC786421:MGN786423 MPY786421:MQJ786423 MZU786421:NAF786423 NJQ786421:NKB786423 NTM786421:NTX786423 ODI786421:ODT786423 ONE786421:ONP786423 OXA786421:OXL786423 PGW786421:PHH786423 PQS786421:PRD786423 QAO786421:QAZ786423 QKK786421:QKV786423 QUG786421:QUR786423 REC786421:REN786423 RNY786421:ROJ786423 RXU786421:RYF786423 SHQ786421:SIB786423 SRM786421:SRX786423 TBI786421:TBT786423 TLE786421:TLP786423 TVA786421:TVL786423 UEW786421:UFH786423 UOS786421:UPD786423 UYO786421:UYZ786423 VIK786421:VIV786423 VSG786421:VSR786423 WCC786421:WCN786423 WLY786421:WMJ786423 WVU786421:WWF786423 JI851957:JT851959 TE851957:TP851959 ADA851957:ADL851959 AMW851957:ANH851959 AWS851957:AXD851959 BGO851957:BGZ851959 BQK851957:BQV851959 CAG851957:CAR851959 CKC851957:CKN851959 CTY851957:CUJ851959 DDU851957:DEF851959 DNQ851957:DOB851959 DXM851957:DXX851959 EHI851957:EHT851959 ERE851957:ERP851959 FBA851957:FBL851959 FKW851957:FLH851959 FUS851957:FVD851959 GEO851957:GEZ851959 GOK851957:GOV851959 GYG851957:GYR851959 HIC851957:HIN851959 HRY851957:HSJ851959 IBU851957:ICF851959 ILQ851957:IMB851959 IVM851957:IVX851959 JFI851957:JFT851959 JPE851957:JPP851959 JZA851957:JZL851959 KIW851957:KJH851959 KSS851957:KTD851959 LCO851957:LCZ851959 LMK851957:LMV851959 LWG851957:LWR851959 MGC851957:MGN851959 MPY851957:MQJ851959 MZU851957:NAF851959 NJQ851957:NKB851959 NTM851957:NTX851959 ODI851957:ODT851959 ONE851957:ONP851959 OXA851957:OXL851959 PGW851957:PHH851959 PQS851957:PRD851959 QAO851957:QAZ851959 QKK851957:QKV851959 QUG851957:QUR851959 REC851957:REN851959 RNY851957:ROJ851959 RXU851957:RYF851959 SHQ851957:SIB851959 SRM851957:SRX851959 TBI851957:TBT851959 TLE851957:TLP851959 TVA851957:TVL851959 UEW851957:UFH851959 UOS851957:UPD851959 UYO851957:UYZ851959 VIK851957:VIV851959 VSG851957:VSR851959 WCC851957:WCN851959 WLY851957:WMJ851959 WVU851957:WWF851959 JI917493:JT917495 TE917493:TP917495 ADA917493:ADL917495 AMW917493:ANH917495 AWS917493:AXD917495 BGO917493:BGZ917495 BQK917493:BQV917495 CAG917493:CAR917495 CKC917493:CKN917495 CTY917493:CUJ917495 DDU917493:DEF917495 DNQ917493:DOB917495 DXM917493:DXX917495 EHI917493:EHT917495 ERE917493:ERP917495 FBA917493:FBL917495 FKW917493:FLH917495 FUS917493:FVD917495 GEO917493:GEZ917495 GOK917493:GOV917495 GYG917493:GYR917495 HIC917493:HIN917495 HRY917493:HSJ917495 IBU917493:ICF917495 ILQ917493:IMB917495 IVM917493:IVX917495 JFI917493:JFT917495 JPE917493:JPP917495 JZA917493:JZL917495 KIW917493:KJH917495 KSS917493:KTD917495 LCO917493:LCZ917495 LMK917493:LMV917495 LWG917493:LWR917495 MGC917493:MGN917495 MPY917493:MQJ917495 MZU917493:NAF917495 NJQ917493:NKB917495 NTM917493:NTX917495 ODI917493:ODT917495 ONE917493:ONP917495 OXA917493:OXL917495 PGW917493:PHH917495 PQS917493:PRD917495 QAO917493:QAZ917495 QKK917493:QKV917495 QUG917493:QUR917495 REC917493:REN917495 RNY917493:ROJ917495 RXU917493:RYF917495 SHQ917493:SIB917495 SRM917493:SRX917495 TBI917493:TBT917495 TLE917493:TLP917495 TVA917493:TVL917495 UEW917493:UFH917495 UOS917493:UPD917495 UYO917493:UYZ917495 VIK917493:VIV917495 VSG917493:VSR917495 WCC917493:WCN917495 WLY917493:WMJ917495 WVU917493:WWF917495 JI983029:JT983031 TE983029:TP983031 ADA983029:ADL983031 AMW983029:ANH983031 AWS983029:AXD983031 BGO983029:BGZ983031 BQK983029:BQV983031 CAG983029:CAR983031 CKC983029:CKN983031 CTY983029:CUJ983031 DDU983029:DEF983031 DNQ983029:DOB983031 DXM983029:DXX983031 EHI983029:EHT983031 ERE983029:ERP983031 FBA983029:FBL983031 FKW983029:FLH983031 FUS983029:FVD983031 GEO983029:GEZ983031 GOK983029:GOV983031 GYG983029:GYR983031 HIC983029:HIN983031 HRY983029:HSJ983031 IBU983029:ICF983031 ILQ983029:IMB983031 IVM983029:IVX983031 JFI983029:JFT983031 JPE983029:JPP983031 JZA983029:JZL983031 KIW983029:KJH983031 KSS983029:KTD983031 LCO983029:LCZ983031 LMK983029:LMV983031 LWG983029:LWR983031 MGC983029:MGN983031 MPY983029:MQJ983031 MZU983029:NAF983031 NJQ983029:NKB983031 NTM983029:NTX983031 ODI983029:ODT983031 ONE983029:ONP983031 OXA983029:OXL983031 PGW983029:PHH983031 PQS983029:PRD983031 QAO983029:QAZ983031 QKK983029:QKV983031 QUG983029:QUR983031 REC983029:REN983031 RNY983029:ROJ983031 RXU983029:RYF983031 SHQ983029:SIB983031 SRM983029:SRX983031 TBI983029:TBT983031 TLE983029:TLP983031 TVA983029:TVL983031 UEW983029:UFH983031 UOS983029:UPD983031 UYO983029:UYZ983031 VIK983029:VIV983031 VSG983029:VSR983031 WCC983029:WCN983031 WLY983029:WMJ983031 WVU983029:WWF983031 Z262133:AJ262135 Z196597:AJ196599 Z131061:AJ131063 Z65525:AJ65527 Z983029:AJ983031 Z917493:AJ917495 Z851957:AJ851959 Z786421:AJ786423 Z720885:AJ720887 Z655349:AJ655351 Z589813:AJ589815 Z524277:AJ524279 Z458741:AJ458743 Z393205:AJ393207 Z327669:AJ327671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:Z20 Y25:Z46 Y21:Y24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BD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6" s="17" customFormat="1" ht="14.4" customHeight="1">
      <c r="A1" s="396" t="s">
        <v>78</v>
      </c>
      <c r="B1" s="397"/>
      <c r="C1" s="397"/>
      <c r="D1" s="397"/>
      <c r="E1" s="397"/>
      <c r="F1" s="397"/>
      <c r="G1" s="397"/>
      <c r="H1" s="398"/>
      <c r="I1" s="336" t="s">
        <v>79</v>
      </c>
      <c r="J1" s="337"/>
      <c r="K1" s="337"/>
      <c r="L1" s="337"/>
      <c r="M1" s="337"/>
      <c r="N1" s="337"/>
      <c r="O1" s="337"/>
      <c r="P1" s="337"/>
      <c r="Q1" s="338"/>
      <c r="R1" s="336" t="s">
        <v>80</v>
      </c>
      <c r="S1" s="337"/>
      <c r="T1" s="337"/>
      <c r="U1" s="337"/>
      <c r="V1" s="337"/>
      <c r="W1" s="337"/>
      <c r="X1" s="338"/>
      <c r="Y1" s="336" t="s">
        <v>135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8"/>
      <c r="AP1" s="407" t="s">
        <v>82</v>
      </c>
      <c r="AQ1" s="408"/>
      <c r="AR1" s="408"/>
      <c r="AS1" s="408"/>
      <c r="AT1" s="409"/>
      <c r="AU1" s="407" t="s">
        <v>83</v>
      </c>
      <c r="AV1" s="408"/>
      <c r="AW1" s="408"/>
      <c r="AX1" s="408"/>
      <c r="AY1" s="409"/>
      <c r="AZ1" s="407" t="s">
        <v>84</v>
      </c>
      <c r="BA1" s="408"/>
      <c r="BB1" s="408"/>
      <c r="BC1" s="408"/>
      <c r="BD1" s="409"/>
    </row>
    <row r="2" spans="1:56" s="17" customFormat="1" ht="14.4" customHeight="1">
      <c r="A2" s="399"/>
      <c r="B2" s="400"/>
      <c r="C2" s="400"/>
      <c r="D2" s="400"/>
      <c r="E2" s="400"/>
      <c r="F2" s="400"/>
      <c r="G2" s="400"/>
      <c r="H2" s="401"/>
      <c r="I2" s="366" t="s">
        <v>85</v>
      </c>
      <c r="J2" s="367"/>
      <c r="K2" s="367"/>
      <c r="L2" s="367"/>
      <c r="M2" s="367"/>
      <c r="N2" s="367"/>
      <c r="O2" s="367"/>
      <c r="P2" s="367"/>
      <c r="Q2" s="368"/>
      <c r="R2" s="366" t="str">
        <f ca="1">VLOOKUP(RIGHT(CELL("filename",A2),LEN(CELL("filename",A2))-FIND("]",CELL("filename",A2))),テーブル一覧!B:AD,22,FALSE)</f>
        <v>B.生産計画</v>
      </c>
      <c r="S2" s="367"/>
      <c r="T2" s="367"/>
      <c r="U2" s="367"/>
      <c r="V2" s="367"/>
      <c r="W2" s="367"/>
      <c r="X2" s="368"/>
      <c r="Y2" s="366" t="str">
        <f ca="1">VLOOKUP(RIGHT(CELL("filename",A2),LEN(CELL("filename",A2))-FIND("]",CELL("filename",A2))),テーブル一覧!B:AD,1,FALSE)</f>
        <v>生産計画排他情報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8"/>
      <c r="AP2" s="339"/>
      <c r="AQ2" s="340"/>
      <c r="AR2" s="340"/>
      <c r="AS2" s="340"/>
      <c r="AT2" s="341"/>
      <c r="AU2" s="58" t="s">
        <v>88</v>
      </c>
      <c r="AV2" s="59"/>
      <c r="AW2" s="59"/>
      <c r="AX2" s="59"/>
      <c r="AY2" s="60"/>
      <c r="AZ2" s="413" t="s">
        <v>89</v>
      </c>
      <c r="BA2" s="414"/>
      <c r="BB2" s="414"/>
      <c r="BC2" s="414"/>
      <c r="BD2" s="415"/>
    </row>
    <row r="3" spans="1:56" s="17" customFormat="1" ht="14.4" customHeight="1">
      <c r="A3" s="399"/>
      <c r="B3" s="400"/>
      <c r="C3" s="400"/>
      <c r="D3" s="400"/>
      <c r="E3" s="400"/>
      <c r="F3" s="400"/>
      <c r="G3" s="400"/>
      <c r="H3" s="401"/>
      <c r="I3" s="369"/>
      <c r="J3" s="370"/>
      <c r="K3" s="370"/>
      <c r="L3" s="370"/>
      <c r="M3" s="370"/>
      <c r="N3" s="370"/>
      <c r="O3" s="370"/>
      <c r="P3" s="370"/>
      <c r="Q3" s="371"/>
      <c r="R3" s="369"/>
      <c r="S3" s="370"/>
      <c r="T3" s="370"/>
      <c r="U3" s="370"/>
      <c r="V3" s="370"/>
      <c r="W3" s="370"/>
      <c r="X3" s="371"/>
      <c r="Y3" s="372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4"/>
      <c r="AP3" s="342"/>
      <c r="AQ3" s="343"/>
      <c r="AR3" s="343"/>
      <c r="AS3" s="343"/>
      <c r="AT3" s="344"/>
      <c r="AU3" s="410"/>
      <c r="AV3" s="411"/>
      <c r="AW3" s="411"/>
      <c r="AX3" s="411"/>
      <c r="AY3" s="412"/>
      <c r="AZ3" s="413"/>
      <c r="BA3" s="414"/>
      <c r="BB3" s="414"/>
      <c r="BC3" s="414"/>
      <c r="BD3" s="415"/>
    </row>
    <row r="4" spans="1:56" s="17" customFormat="1" ht="14.4" customHeight="1">
      <c r="A4" s="402"/>
      <c r="B4" s="403"/>
      <c r="C4" s="403"/>
      <c r="D4" s="403"/>
      <c r="E4" s="403"/>
      <c r="F4" s="403"/>
      <c r="G4" s="403"/>
      <c r="H4" s="404"/>
      <c r="I4" s="372"/>
      <c r="J4" s="373"/>
      <c r="K4" s="373"/>
      <c r="L4" s="373"/>
      <c r="M4" s="373"/>
      <c r="N4" s="373"/>
      <c r="O4" s="373"/>
      <c r="P4" s="373"/>
      <c r="Q4" s="374"/>
      <c r="R4" s="372"/>
      <c r="S4" s="373"/>
      <c r="T4" s="373"/>
      <c r="U4" s="373"/>
      <c r="V4" s="373"/>
      <c r="W4" s="373"/>
      <c r="X4" s="374"/>
      <c r="Y4" s="41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t_seisan_haita</v>
      </c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8"/>
      <c r="AP4" s="342"/>
      <c r="AQ4" s="343"/>
      <c r="AR4" s="343"/>
      <c r="AS4" s="343"/>
      <c r="AT4" s="344"/>
      <c r="AU4" s="410"/>
      <c r="AV4" s="411"/>
      <c r="AW4" s="411"/>
      <c r="AX4" s="411"/>
      <c r="AY4" s="412"/>
      <c r="AZ4" s="413"/>
      <c r="BA4" s="414"/>
      <c r="BB4" s="414"/>
      <c r="BC4" s="414"/>
      <c r="BD4" s="415"/>
    </row>
    <row r="6" spans="1:56" ht="14.4" customHeight="1">
      <c r="A6" s="405" t="s">
        <v>90</v>
      </c>
      <c r="B6" s="386" t="s">
        <v>136</v>
      </c>
      <c r="C6" s="394"/>
      <c r="D6" s="394"/>
      <c r="E6" s="394"/>
      <c r="F6" s="394"/>
      <c r="G6" s="394"/>
      <c r="H6" s="387"/>
      <c r="I6" s="386" t="s">
        <v>137</v>
      </c>
      <c r="J6" s="394"/>
      <c r="K6" s="394"/>
      <c r="L6" s="394"/>
      <c r="M6" s="394"/>
      <c r="N6" s="394"/>
      <c r="O6" s="394"/>
      <c r="P6" s="394"/>
      <c r="Q6" s="387"/>
      <c r="R6" s="386" t="s">
        <v>138</v>
      </c>
      <c r="S6" s="394"/>
      <c r="T6" s="394"/>
      <c r="U6" s="394"/>
      <c r="V6" s="394"/>
      <c r="W6" s="394"/>
      <c r="X6" s="387"/>
      <c r="Y6" s="386" t="s">
        <v>139</v>
      </c>
      <c r="Z6" s="387"/>
      <c r="AA6" s="386" t="s">
        <v>140</v>
      </c>
      <c r="AB6" s="394"/>
      <c r="AC6" s="387"/>
      <c r="AD6" s="390" t="s">
        <v>141</v>
      </c>
      <c r="AE6" s="392" t="s">
        <v>142</v>
      </c>
      <c r="AF6" s="390" t="s">
        <v>143</v>
      </c>
      <c r="AG6" s="390" t="s">
        <v>144</v>
      </c>
      <c r="AH6" s="390" t="s">
        <v>145</v>
      </c>
      <c r="AI6" s="383" t="s">
        <v>146</v>
      </c>
      <c r="AJ6" s="384"/>
      <c r="AK6" s="384"/>
      <c r="AL6" s="384"/>
      <c r="AM6" s="384"/>
      <c r="AN6" s="384"/>
      <c r="AO6" s="384"/>
      <c r="AP6" s="384"/>
      <c r="AQ6" s="384"/>
      <c r="AR6" s="385"/>
      <c r="AS6" s="386" t="s">
        <v>147</v>
      </c>
      <c r="AT6" s="394"/>
      <c r="AU6" s="394"/>
      <c r="AV6" s="394"/>
      <c r="AW6" s="394"/>
      <c r="AX6" s="394"/>
      <c r="AY6" s="394"/>
      <c r="AZ6" s="394"/>
      <c r="BA6" s="394"/>
      <c r="BB6" s="394"/>
      <c r="BC6" s="394"/>
      <c r="BD6" s="387"/>
    </row>
    <row r="7" spans="1:56" ht="14.4" customHeight="1">
      <c r="A7" s="406"/>
      <c r="B7" s="388"/>
      <c r="C7" s="395"/>
      <c r="D7" s="395"/>
      <c r="E7" s="395"/>
      <c r="F7" s="395"/>
      <c r="G7" s="395"/>
      <c r="H7" s="389"/>
      <c r="I7" s="388"/>
      <c r="J7" s="395"/>
      <c r="K7" s="395"/>
      <c r="L7" s="395"/>
      <c r="M7" s="395"/>
      <c r="N7" s="395"/>
      <c r="O7" s="395"/>
      <c r="P7" s="395"/>
      <c r="Q7" s="389"/>
      <c r="R7" s="388"/>
      <c r="S7" s="395"/>
      <c r="T7" s="395"/>
      <c r="U7" s="395"/>
      <c r="V7" s="395"/>
      <c r="W7" s="395"/>
      <c r="X7" s="389"/>
      <c r="Y7" s="388"/>
      <c r="Z7" s="389"/>
      <c r="AA7" s="388"/>
      <c r="AB7" s="395"/>
      <c r="AC7" s="389"/>
      <c r="AD7" s="391"/>
      <c r="AE7" s="393"/>
      <c r="AF7" s="391"/>
      <c r="AG7" s="391"/>
      <c r="AH7" s="39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88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89"/>
    </row>
    <row r="8" spans="1:56" ht="14.4" customHeight="1">
      <c r="A8" s="70">
        <f>IF(B8="","",COUNTA($B$8:B8))</f>
        <v>1</v>
      </c>
      <c r="B8" s="19" t="s">
        <v>162</v>
      </c>
      <c r="C8" s="20"/>
      <c r="D8" s="20"/>
      <c r="E8" s="20"/>
      <c r="F8" s="20"/>
      <c r="G8" s="20"/>
      <c r="H8" s="24"/>
      <c r="I8" s="31" t="s">
        <v>163</v>
      </c>
      <c r="J8" s="23"/>
      <c r="K8" s="23"/>
      <c r="L8" s="23"/>
      <c r="M8" s="23"/>
      <c r="N8" s="23"/>
      <c r="O8" s="38"/>
      <c r="P8" s="23"/>
      <c r="Q8" s="24"/>
      <c r="R8" s="19" t="s">
        <v>164</v>
      </c>
      <c r="S8" s="23"/>
      <c r="T8" s="23"/>
      <c r="U8" s="23"/>
      <c r="V8" s="23"/>
      <c r="W8" s="23"/>
      <c r="X8" s="24"/>
      <c r="Y8" s="419" t="s">
        <v>150</v>
      </c>
      <c r="Z8" s="420"/>
      <c r="AA8" s="421" t="s">
        <v>151</v>
      </c>
      <c r="AB8" s="422"/>
      <c r="AC8" s="423"/>
      <c r="AD8" s="27">
        <v>4</v>
      </c>
      <c r="AE8" s="29"/>
      <c r="AF8" s="29">
        <v>1</v>
      </c>
      <c r="AG8" s="29"/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31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8"/>
    </row>
    <row r="9" spans="1:56" ht="14.4" customHeight="1">
      <c r="A9" s="70">
        <f>IF(B9="","",COUNTA($B$8:B9))</f>
        <v>2</v>
      </c>
      <c r="B9" s="8" t="s">
        <v>1473</v>
      </c>
      <c r="C9" s="114"/>
      <c r="D9" s="114"/>
      <c r="E9" s="114"/>
      <c r="F9" s="114"/>
      <c r="G9" s="114"/>
      <c r="H9" s="114"/>
      <c r="I9" s="115" t="s">
        <v>1383</v>
      </c>
      <c r="J9" s="116"/>
      <c r="K9" s="116"/>
      <c r="L9" s="116"/>
      <c r="M9" s="116"/>
      <c r="N9" s="116"/>
      <c r="O9" s="116"/>
      <c r="P9" s="116"/>
      <c r="Q9" s="116"/>
      <c r="R9" s="8" t="s">
        <v>1473</v>
      </c>
      <c r="S9" s="114"/>
      <c r="T9" s="5"/>
      <c r="U9" s="5"/>
      <c r="V9" s="5"/>
      <c r="W9" s="5"/>
      <c r="X9" s="5"/>
      <c r="Y9" s="419" t="s">
        <v>150</v>
      </c>
      <c r="Z9" s="420"/>
      <c r="AA9" s="421" t="s">
        <v>151</v>
      </c>
      <c r="AB9" s="422"/>
      <c r="AC9" s="423"/>
      <c r="AD9" s="27">
        <v>10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48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" customHeight="1">
      <c r="A10" s="70">
        <f>IF(B10="","",COUNTA($B$8:B10))</f>
        <v>3</v>
      </c>
      <c r="B10" s="8" t="s">
        <v>1479</v>
      </c>
      <c r="C10" s="114"/>
      <c r="D10" s="114"/>
      <c r="E10" s="114"/>
      <c r="F10" s="114"/>
      <c r="G10" s="114"/>
      <c r="H10" s="114"/>
      <c r="I10" s="118" t="s">
        <v>1480</v>
      </c>
      <c r="J10" s="5"/>
      <c r="K10" s="114"/>
      <c r="L10" s="114"/>
      <c r="M10" s="116"/>
      <c r="N10" s="116"/>
      <c r="O10" s="116"/>
      <c r="P10" s="116"/>
      <c r="Q10" s="116"/>
      <c r="R10" s="115" t="s">
        <v>1474</v>
      </c>
      <c r="S10" s="116"/>
      <c r="T10" s="114"/>
      <c r="U10" s="5"/>
      <c r="V10" s="5"/>
      <c r="W10" s="5"/>
      <c r="X10" s="5"/>
      <c r="Y10" s="8" t="s">
        <v>150</v>
      </c>
      <c r="Z10" s="153"/>
      <c r="AA10" s="64" t="s">
        <v>1481</v>
      </c>
      <c r="AB10" s="2"/>
      <c r="AC10" s="3"/>
      <c r="AD10" s="117">
        <v>10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" customHeight="1">
      <c r="A11" s="70">
        <f>IF(B11="","",COUNTA($B$8:B11))</f>
        <v>4</v>
      </c>
      <c r="B11" s="8" t="s">
        <v>257</v>
      </c>
      <c r="C11" s="114"/>
      <c r="D11" s="114"/>
      <c r="E11" s="114"/>
      <c r="F11" s="114"/>
      <c r="G11" s="114"/>
      <c r="H11" s="114"/>
      <c r="I11" s="118" t="s">
        <v>258</v>
      </c>
      <c r="J11" s="116"/>
      <c r="K11" s="116"/>
      <c r="L11" s="116"/>
      <c r="M11" s="116"/>
      <c r="N11" s="116"/>
      <c r="O11" s="116"/>
      <c r="P11" s="116"/>
      <c r="Q11" s="116"/>
      <c r="R11" s="8" t="s">
        <v>257</v>
      </c>
      <c r="S11" s="114"/>
      <c r="T11" s="5"/>
      <c r="U11" s="5"/>
      <c r="V11" s="5"/>
      <c r="W11" s="5"/>
      <c r="X11" s="5"/>
      <c r="Y11" s="8" t="s">
        <v>169</v>
      </c>
      <c r="Z11" s="119"/>
      <c r="AA11" s="426" t="s">
        <v>243</v>
      </c>
      <c r="AB11" s="427"/>
      <c r="AC11" s="428"/>
      <c r="AD11" s="117"/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" customHeight="1">
      <c r="A12" s="70" t="str">
        <f>IF(B12="","",COUNTA($B$8:B12))</f>
        <v/>
      </c>
      <c r="B12" s="25"/>
      <c r="C12" s="26"/>
      <c r="D12" s="26"/>
      <c r="E12" s="26"/>
      <c r="F12" s="26"/>
      <c r="G12" s="26"/>
      <c r="H12" s="39"/>
      <c r="I12" s="31"/>
      <c r="J12" s="23"/>
      <c r="K12" s="23"/>
      <c r="L12" s="23"/>
      <c r="M12" s="23"/>
      <c r="N12" s="23"/>
      <c r="O12" s="23"/>
      <c r="P12" s="23"/>
      <c r="Q12" s="37"/>
      <c r="R12" s="25"/>
      <c r="S12" s="23"/>
      <c r="T12" s="23"/>
      <c r="U12" s="23"/>
      <c r="V12" s="23"/>
      <c r="W12" s="23"/>
      <c r="X12" s="24"/>
      <c r="Y12" s="424"/>
      <c r="Z12" s="425"/>
      <c r="AA12" s="421"/>
      <c r="AB12" s="422"/>
      <c r="AC12" s="423"/>
      <c r="AD12" s="27"/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" customHeight="1">
      <c r="A13" s="70" t="str">
        <f>IF(B13="","",COUNTA($B$8:B13))</f>
        <v/>
      </c>
      <c r="B13" s="25"/>
      <c r="C13" s="26"/>
      <c r="D13" s="26"/>
      <c r="E13" s="26"/>
      <c r="F13" s="26"/>
      <c r="G13" s="26"/>
      <c r="H13" s="39"/>
      <c r="I13" s="31"/>
      <c r="J13" s="23"/>
      <c r="K13" s="23"/>
      <c r="L13" s="23"/>
      <c r="M13" s="23"/>
      <c r="N13" s="23"/>
      <c r="O13" s="23"/>
      <c r="P13" s="23"/>
      <c r="Q13" s="37"/>
      <c r="R13" s="25"/>
      <c r="S13" s="23"/>
      <c r="T13" s="23"/>
      <c r="U13" s="23"/>
      <c r="V13" s="23"/>
      <c r="W13" s="23"/>
      <c r="X13" s="24"/>
      <c r="Y13" s="424"/>
      <c r="Z13" s="425"/>
      <c r="AA13" s="421"/>
      <c r="AB13" s="422"/>
      <c r="AC13" s="423"/>
      <c r="AD13" s="27"/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" customHeight="1">
      <c r="A14" s="70" t="str">
        <f>IF(B14="","",COUNTA($B$8:B14))</f>
        <v/>
      </c>
      <c r="B14" s="25"/>
      <c r="C14" s="26"/>
      <c r="D14" s="26"/>
      <c r="E14" s="26"/>
      <c r="F14" s="26"/>
      <c r="G14" s="26"/>
      <c r="H14" s="39"/>
      <c r="I14" s="31"/>
      <c r="J14" s="23"/>
      <c r="K14" s="23"/>
      <c r="L14" s="23"/>
      <c r="M14" s="23"/>
      <c r="N14" s="23"/>
      <c r="O14" s="23"/>
      <c r="P14" s="23"/>
      <c r="Q14" s="37"/>
      <c r="R14" s="25"/>
      <c r="S14" s="23"/>
      <c r="T14" s="23"/>
      <c r="U14" s="23"/>
      <c r="V14" s="23"/>
      <c r="W14" s="23"/>
      <c r="X14" s="24"/>
      <c r="Y14" s="424"/>
      <c r="Z14" s="425"/>
      <c r="AA14" s="421"/>
      <c r="AB14" s="422"/>
      <c r="AC14" s="423"/>
      <c r="AD14" s="27"/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" customHeight="1">
      <c r="A15" s="70" t="str">
        <f>IF(B15="","",COUNTA($B$8:B15))</f>
        <v/>
      </c>
      <c r="B15" s="25"/>
      <c r="C15" s="26"/>
      <c r="D15" s="26"/>
      <c r="E15" s="26"/>
      <c r="F15" s="26"/>
      <c r="G15" s="26"/>
      <c r="H15" s="39"/>
      <c r="I15" s="31"/>
      <c r="J15" s="23"/>
      <c r="K15" s="23"/>
      <c r="L15" s="23"/>
      <c r="M15" s="23"/>
      <c r="N15" s="23"/>
      <c r="O15" s="23"/>
      <c r="P15" s="23"/>
      <c r="Q15" s="37"/>
      <c r="R15" s="25"/>
      <c r="S15" s="23"/>
      <c r="T15" s="23"/>
      <c r="U15" s="23"/>
      <c r="V15" s="23"/>
      <c r="W15" s="23"/>
      <c r="X15" s="24"/>
      <c r="Y15" s="424"/>
      <c r="Z15" s="425"/>
      <c r="AA15" s="421"/>
      <c r="AB15" s="422"/>
      <c r="AC15" s="423"/>
      <c r="AD15" s="27"/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" customHeight="1">
      <c r="A16" s="70" t="str">
        <f>IF(B16="","",COUNTA($B$8:B16))</f>
        <v/>
      </c>
      <c r="B16" s="25"/>
      <c r="C16" s="26"/>
      <c r="D16" s="26"/>
      <c r="E16" s="26"/>
      <c r="F16" s="26"/>
      <c r="G16" s="26"/>
      <c r="H16" s="39"/>
      <c r="I16" s="31"/>
      <c r="J16" s="23"/>
      <c r="K16" s="23"/>
      <c r="L16" s="23"/>
      <c r="M16" s="23"/>
      <c r="N16" s="23"/>
      <c r="O16" s="23"/>
      <c r="P16" s="23"/>
      <c r="Q16" s="37"/>
      <c r="R16" s="25"/>
      <c r="S16" s="23"/>
      <c r="T16" s="23"/>
      <c r="U16" s="23"/>
      <c r="V16" s="23"/>
      <c r="W16" s="23"/>
      <c r="X16" s="24"/>
      <c r="Y16" s="424"/>
      <c r="Z16" s="425"/>
      <c r="AA16" s="421"/>
      <c r="AB16" s="422"/>
      <c r="AC16" s="423"/>
      <c r="AD16" s="27"/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" customHeight="1">
      <c r="A17" s="70" t="str">
        <f>IF(B17="","",COUNTA($B$8:B17))</f>
        <v/>
      </c>
      <c r="B17" s="25"/>
      <c r="C17" s="26"/>
      <c r="D17" s="26"/>
      <c r="E17" s="26"/>
      <c r="F17" s="26"/>
      <c r="G17" s="26"/>
      <c r="H17" s="39"/>
      <c r="I17" s="31"/>
      <c r="J17" s="23"/>
      <c r="K17" s="23"/>
      <c r="L17" s="23"/>
      <c r="M17" s="23"/>
      <c r="N17" s="23"/>
      <c r="O17" s="23"/>
      <c r="P17" s="23"/>
      <c r="Q17" s="37"/>
      <c r="R17" s="25"/>
      <c r="S17" s="23"/>
      <c r="T17" s="23"/>
      <c r="U17" s="23"/>
      <c r="V17" s="23"/>
      <c r="W17" s="23"/>
      <c r="X17" s="24"/>
      <c r="Y17" s="424"/>
      <c r="Z17" s="425"/>
      <c r="AA17" s="421"/>
      <c r="AB17" s="422"/>
      <c r="AC17" s="423"/>
      <c r="AD17" s="27"/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>
      <c r="A18" s="70" t="str">
        <f>IF(B18="","",COUNTA($B$8:B18))</f>
        <v/>
      </c>
      <c r="B18" s="25"/>
      <c r="C18" s="26"/>
      <c r="D18" s="26"/>
      <c r="E18" s="26"/>
      <c r="F18" s="26"/>
      <c r="G18" s="26"/>
      <c r="H18" s="39"/>
      <c r="I18" s="31"/>
      <c r="J18" s="23"/>
      <c r="K18" s="23"/>
      <c r="L18" s="23"/>
      <c r="M18" s="23"/>
      <c r="N18" s="23"/>
      <c r="O18" s="23"/>
      <c r="P18" s="23"/>
      <c r="Q18" s="37"/>
      <c r="R18" s="25"/>
      <c r="S18" s="23"/>
      <c r="T18" s="23"/>
      <c r="U18" s="23"/>
      <c r="V18" s="23"/>
      <c r="W18" s="23"/>
      <c r="X18" s="24"/>
      <c r="Y18" s="424"/>
      <c r="Z18" s="425"/>
      <c r="AA18" s="421"/>
      <c r="AB18" s="422"/>
      <c r="AC18" s="423"/>
      <c r="AD18" s="27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>
      <c r="A19" s="70" t="str">
        <f>IF(B19="","",COUNTA($B$8:B19))</f>
        <v/>
      </c>
      <c r="B19" s="25"/>
      <c r="C19" s="26"/>
      <c r="D19" s="26"/>
      <c r="E19" s="26"/>
      <c r="F19" s="26"/>
      <c r="G19" s="26"/>
      <c r="H19" s="39"/>
      <c r="I19" s="31"/>
      <c r="J19" s="23"/>
      <c r="K19" s="23"/>
      <c r="L19" s="23"/>
      <c r="M19" s="23"/>
      <c r="N19" s="23"/>
      <c r="O19" s="23"/>
      <c r="P19" s="23"/>
      <c r="Q19" s="37"/>
      <c r="R19" s="25"/>
      <c r="S19" s="23"/>
      <c r="T19" s="23"/>
      <c r="U19" s="23"/>
      <c r="V19" s="23"/>
      <c r="W19" s="23"/>
      <c r="X19" s="24"/>
      <c r="Y19" s="424"/>
      <c r="Z19" s="425"/>
      <c r="AA19" s="421"/>
      <c r="AB19" s="422"/>
      <c r="AC19" s="423"/>
      <c r="AD19" s="27"/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s="1" customFormat="1" ht="14.4" customHeight="1">
      <c r="A20" s="70" t="str">
        <f>IF(B20="","",COUNTA($B$8:B20))</f>
        <v/>
      </c>
      <c r="B20" s="118"/>
      <c r="C20" s="114"/>
      <c r="D20" s="114"/>
      <c r="E20" s="114"/>
      <c r="F20" s="114"/>
      <c r="G20" s="114"/>
      <c r="H20" s="114"/>
      <c r="I20" s="118"/>
      <c r="J20" s="116"/>
      <c r="K20" s="116"/>
      <c r="L20" s="116"/>
      <c r="M20" s="116"/>
      <c r="N20" s="116"/>
      <c r="O20" s="116"/>
      <c r="P20" s="116"/>
      <c r="Q20" s="116"/>
      <c r="R20" s="118"/>
      <c r="S20" s="114"/>
      <c r="T20" s="5"/>
      <c r="U20" s="5"/>
      <c r="V20" s="5"/>
      <c r="W20" s="5"/>
      <c r="X20" s="5"/>
      <c r="Y20" s="8"/>
      <c r="Z20" s="119"/>
      <c r="AA20" s="426"/>
      <c r="AB20" s="427"/>
      <c r="AC20" s="428"/>
      <c r="AD20" s="117"/>
      <c r="AE20" s="120"/>
      <c r="AF20" s="121"/>
      <c r="AG20" s="121"/>
      <c r="AH20" s="121"/>
      <c r="AI20" s="121"/>
      <c r="AJ20" s="121"/>
      <c r="AK20" s="121"/>
      <c r="AL20" s="121"/>
      <c r="AM20" s="121"/>
      <c r="AN20" s="121"/>
      <c r="AO20" s="122"/>
      <c r="AP20" s="122"/>
      <c r="AQ20" s="122"/>
      <c r="AR20" s="122"/>
      <c r="AS20" s="123"/>
      <c r="AT20" s="124"/>
      <c r="AU20" s="124"/>
      <c r="AV20" s="124"/>
      <c r="AW20" s="124"/>
      <c r="AX20" s="124"/>
      <c r="AY20" s="124"/>
      <c r="AZ20" s="124"/>
      <c r="BA20" s="124"/>
      <c r="BB20" s="124"/>
      <c r="BC20" s="124"/>
      <c r="BD20" s="125"/>
    </row>
    <row r="21" spans="1:56" ht="14.4" customHeight="1">
      <c r="A21" s="70" t="str">
        <f>IF(B21="","",COUNTA($B$8:B21))</f>
        <v/>
      </c>
      <c r="B21" s="8"/>
      <c r="C21" s="114"/>
      <c r="D21" s="114"/>
      <c r="E21" s="114"/>
      <c r="F21" s="114"/>
      <c r="G21" s="114"/>
      <c r="H21" s="114"/>
      <c r="I21" s="118"/>
      <c r="J21" s="116"/>
      <c r="K21" s="116"/>
      <c r="L21" s="116"/>
      <c r="M21" s="116"/>
      <c r="N21" s="116"/>
      <c r="O21" s="116"/>
      <c r="P21" s="116"/>
      <c r="Q21" s="116"/>
      <c r="R21" s="8"/>
      <c r="S21" s="114"/>
      <c r="T21" s="5"/>
      <c r="U21" s="5"/>
      <c r="V21" s="5"/>
      <c r="W21" s="5"/>
      <c r="X21" s="5"/>
      <c r="Y21" s="8"/>
      <c r="Z21" s="119"/>
      <c r="AA21" s="426"/>
      <c r="AB21" s="427"/>
      <c r="AC21" s="428"/>
      <c r="AD21" s="117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>
      <c r="A22" s="70" t="str">
        <f>IF(B22="","",COUNTA($B$8:B22))</f>
        <v/>
      </c>
      <c r="B22" s="8"/>
      <c r="C22" s="114"/>
      <c r="D22" s="114"/>
      <c r="E22" s="114"/>
      <c r="F22" s="114"/>
      <c r="G22" s="114"/>
      <c r="H22" s="114"/>
      <c r="I22" s="118"/>
      <c r="J22" s="116"/>
      <c r="K22" s="116"/>
      <c r="L22" s="116"/>
      <c r="M22" s="116"/>
      <c r="N22" s="116"/>
      <c r="O22" s="116"/>
      <c r="P22" s="116"/>
      <c r="Q22" s="116"/>
      <c r="R22" s="8"/>
      <c r="S22" s="114"/>
      <c r="T22" s="5"/>
      <c r="U22" s="5"/>
      <c r="V22" s="5"/>
      <c r="W22" s="5"/>
      <c r="X22" s="5"/>
      <c r="Y22" s="8"/>
      <c r="Z22" s="119"/>
      <c r="AA22" s="426"/>
      <c r="AB22" s="427"/>
      <c r="AC22" s="428"/>
      <c r="AD22" s="117"/>
      <c r="AE22" s="29"/>
      <c r="AF22" s="29"/>
      <c r="AG22" s="29"/>
      <c r="AH22" s="28"/>
      <c r="AI22" s="28"/>
      <c r="AJ22" s="28"/>
      <c r="AK22" s="28"/>
      <c r="AL22" s="40"/>
      <c r="AM22" s="40"/>
      <c r="AN22" s="40"/>
      <c r="AO22" s="41"/>
      <c r="AP22" s="41"/>
      <c r="AQ22" s="41"/>
      <c r="AR22" s="41"/>
      <c r="AS22" s="42"/>
      <c r="AT22" s="43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>
      <c r="A23" s="70" t="str">
        <f>IF(B23="","",COUNTA($B$8:B23))</f>
        <v/>
      </c>
      <c r="B23" s="8"/>
      <c r="C23" s="114"/>
      <c r="D23" s="114"/>
      <c r="E23" s="114"/>
      <c r="F23" s="114"/>
      <c r="G23" s="114"/>
      <c r="H23" s="114"/>
      <c r="I23" s="118"/>
      <c r="J23" s="116"/>
      <c r="K23" s="116"/>
      <c r="L23" s="116"/>
      <c r="M23" s="116"/>
      <c r="N23" s="116"/>
      <c r="O23" s="116"/>
      <c r="P23" s="116"/>
      <c r="Q23" s="116"/>
      <c r="R23" s="8"/>
      <c r="S23" s="114"/>
      <c r="T23" s="5"/>
      <c r="U23" s="5"/>
      <c r="V23" s="5"/>
      <c r="W23" s="5"/>
      <c r="X23" s="5"/>
      <c r="Y23" s="8"/>
      <c r="Z23" s="119"/>
      <c r="AA23" s="426"/>
      <c r="AB23" s="427"/>
      <c r="AC23" s="428"/>
      <c r="AD23" s="126"/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>
      <c r="A24" s="70" t="str">
        <f>IF(B24="","",COUNTA($B$8:B24))</f>
        <v/>
      </c>
      <c r="B24" s="8"/>
      <c r="C24" s="114"/>
      <c r="D24" s="114"/>
      <c r="E24" s="114"/>
      <c r="F24" s="114"/>
      <c r="G24" s="114"/>
      <c r="H24" s="114"/>
      <c r="I24" s="118"/>
      <c r="J24" s="116"/>
      <c r="K24" s="116"/>
      <c r="L24" s="116"/>
      <c r="M24" s="116"/>
      <c r="N24" s="116"/>
      <c r="O24" s="116"/>
      <c r="P24" s="116"/>
      <c r="Q24" s="116"/>
      <c r="R24" s="8"/>
      <c r="S24" s="116"/>
      <c r="T24" s="5"/>
      <c r="U24" s="5"/>
      <c r="V24" s="5"/>
      <c r="W24" s="5"/>
      <c r="X24" s="5"/>
      <c r="Y24" s="8"/>
      <c r="Z24" s="119"/>
      <c r="AA24" s="426"/>
      <c r="AB24" s="427"/>
      <c r="AC24" s="428"/>
      <c r="AD24" s="126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" customHeight="1">
      <c r="A25" s="7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419"/>
      <c r="Z25" s="420"/>
      <c r="AA25" s="421"/>
      <c r="AB25" s="422"/>
      <c r="AC25" s="423"/>
      <c r="AD25" s="27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48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" customHeight="1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419"/>
      <c r="Z26" s="420"/>
      <c r="AA26" s="421"/>
      <c r="AB26" s="422"/>
      <c r="AC26" s="423"/>
      <c r="AD26" s="27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" customHeight="1">
      <c r="A27" s="7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419"/>
      <c r="Z27" s="420"/>
      <c r="AA27" s="421"/>
      <c r="AB27" s="422"/>
      <c r="AC27" s="423"/>
      <c r="AD27" s="51"/>
      <c r="AE27" s="29"/>
      <c r="AF27" s="29"/>
      <c r="AG27" s="29"/>
      <c r="AH27" s="40"/>
      <c r="AI27" s="40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" customHeight="1">
      <c r="A28" s="7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419"/>
      <c r="Z28" s="420"/>
      <c r="AA28" s="421"/>
      <c r="AB28" s="422"/>
      <c r="AC28" s="423"/>
      <c r="AD28" s="51"/>
      <c r="AE28" s="29"/>
      <c r="AF28" s="29"/>
      <c r="AG28" s="29"/>
      <c r="AH28" s="28"/>
      <c r="AI28" s="28"/>
      <c r="AJ28" s="28"/>
      <c r="AK28" s="28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>
      <c r="A29" s="7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419"/>
      <c r="Z29" s="420"/>
      <c r="AA29" s="421"/>
      <c r="AB29" s="422"/>
      <c r="AC29" s="423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48"/>
      <c r="AV29" s="48"/>
      <c r="AW29" s="48"/>
      <c r="AX29" s="48"/>
      <c r="AY29" s="48"/>
      <c r="AZ29" s="48"/>
      <c r="BA29" s="48"/>
      <c r="BB29" s="48"/>
      <c r="BC29" s="48"/>
      <c r="BD29" s="66"/>
    </row>
    <row r="30" spans="1:56" ht="14.4" customHeight="1">
      <c r="A30" s="7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419"/>
      <c r="Z30" s="420"/>
      <c r="AA30" s="421"/>
      <c r="AB30" s="422"/>
      <c r="AC30" s="423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419"/>
      <c r="Z31" s="420"/>
      <c r="AA31" s="421"/>
      <c r="AB31" s="422"/>
      <c r="AC31" s="423"/>
      <c r="AD31" s="51"/>
      <c r="AE31" s="29"/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419"/>
      <c r="Z32" s="420"/>
      <c r="AA32" s="421"/>
      <c r="AB32" s="422"/>
      <c r="AC32" s="423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>
      <c r="A33" s="7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419"/>
      <c r="Z33" s="420"/>
      <c r="AA33" s="421"/>
      <c r="AB33" s="422"/>
      <c r="AC33" s="423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" customHeight="1">
      <c r="A34" s="7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419"/>
      <c r="Z34" s="420"/>
      <c r="AA34" s="421"/>
      <c r="AB34" s="422"/>
      <c r="AC34" s="423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419"/>
      <c r="Z35" s="420"/>
      <c r="AA35" s="421"/>
      <c r="AB35" s="422"/>
      <c r="AC35" s="423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419"/>
      <c r="Z36" s="420"/>
      <c r="AA36" s="421"/>
      <c r="AB36" s="422"/>
      <c r="AC36" s="423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419"/>
      <c r="Z37" s="420"/>
      <c r="AA37" s="421"/>
      <c r="AB37" s="422"/>
      <c r="AC37" s="423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419"/>
      <c r="Z38" s="420"/>
      <c r="AA38" s="421"/>
      <c r="AB38" s="422"/>
      <c r="AC38" s="423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419"/>
      <c r="Z39" s="420"/>
      <c r="AA39" s="421"/>
      <c r="AB39" s="422"/>
      <c r="AC39" s="423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419"/>
      <c r="Z40" s="420"/>
      <c r="AA40" s="421"/>
      <c r="AB40" s="422"/>
      <c r="AC40" s="423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419"/>
      <c r="Z41" s="420"/>
      <c r="AA41" s="421"/>
      <c r="AB41" s="422"/>
      <c r="AC41" s="423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419"/>
      <c r="Z42" s="420"/>
      <c r="AA42" s="421"/>
      <c r="AB42" s="422"/>
      <c r="AC42" s="423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19"/>
      <c r="Z43" s="420"/>
      <c r="AA43" s="421"/>
      <c r="AB43" s="422"/>
      <c r="AC43" s="423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419"/>
      <c r="Z44" s="420"/>
      <c r="AA44" s="421"/>
      <c r="AB44" s="422"/>
      <c r="AC44" s="423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419"/>
      <c r="Z45" s="420"/>
      <c r="AA45" s="421"/>
      <c r="AB45" s="422"/>
      <c r="AC45" s="423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419"/>
      <c r="Z46" s="420"/>
      <c r="AA46" s="421"/>
      <c r="AB46" s="422"/>
      <c r="AC46" s="423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2"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  <mergeCell ref="AA36:AC36"/>
    <mergeCell ref="Y37:Z37"/>
    <mergeCell ref="AA37:AC37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Y26:Z26"/>
    <mergeCell ref="AA26:AC26"/>
    <mergeCell ref="Y27:Z27"/>
    <mergeCell ref="AA27:AC27"/>
    <mergeCell ref="Y28:Z28"/>
    <mergeCell ref="AA28:AC28"/>
    <mergeCell ref="AA20:AC20"/>
    <mergeCell ref="AA21:AC21"/>
    <mergeCell ref="AA22:AC22"/>
    <mergeCell ref="AA23:AC23"/>
    <mergeCell ref="AA24:AC24"/>
    <mergeCell ref="Y25:Z25"/>
    <mergeCell ref="AA25:AC25"/>
    <mergeCell ref="Y17:Z17"/>
    <mergeCell ref="AA17:AC17"/>
    <mergeCell ref="Y9:Z9"/>
    <mergeCell ref="AA9:AC9"/>
    <mergeCell ref="AA11:AC11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Y12:Z12"/>
    <mergeCell ref="AA12:AC12"/>
    <mergeCell ref="Y13:Z13"/>
    <mergeCell ref="AA13:AC13"/>
    <mergeCell ref="AG6:AG7"/>
    <mergeCell ref="AH6:AH7"/>
    <mergeCell ref="Y8:Z8"/>
    <mergeCell ref="AA8:AC8"/>
    <mergeCell ref="AU1:AY1"/>
    <mergeCell ref="AP4:AT4"/>
    <mergeCell ref="AU4:AY4"/>
    <mergeCell ref="AI6:AR6"/>
    <mergeCell ref="AS6:BD7"/>
    <mergeCell ref="AZ4:BD4"/>
    <mergeCell ref="A1:H4"/>
    <mergeCell ref="AZ1:BD1"/>
    <mergeCell ref="I2:Q4"/>
    <mergeCell ref="R2:X4"/>
    <mergeCell ref="Y2:AO3"/>
    <mergeCell ref="AP2:AT2"/>
    <mergeCell ref="AZ2:BD2"/>
    <mergeCell ref="AP3:AT3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U3:AY3"/>
    <mergeCell ref="AZ3:BD3"/>
    <mergeCell ref="Y4:AO4"/>
    <mergeCell ref="I1:Q1"/>
    <mergeCell ref="R1:X1"/>
    <mergeCell ref="Y1:AO1"/>
    <mergeCell ref="AP1:AT1"/>
  </mergeCells>
  <phoneticPr fontId="5"/>
  <dataValidations count="3">
    <dataValidation imeMode="hiragana" allowBlank="1" showInputMessage="1" showErrorMessage="1" sqref="JI65528:JT65530 TE65528:TP65530 ADA65528:ADL65530 AMW65528:ANH65530 AWS65528:AXD65530 BGO65528:BGZ65530 BQK65528:BQV65530 CAG65528:CAR65530 CKC65528:CKN65530 CTY65528:CUJ65530 DDU65528:DEF65530 DNQ65528:DOB65530 DXM65528:DXX65530 EHI65528:EHT65530 ERE65528:ERP65530 FBA65528:FBL65530 FKW65528:FLH65530 FUS65528:FVD65530 GEO65528:GEZ65530 GOK65528:GOV65530 GYG65528:GYR65530 HIC65528:HIN65530 HRY65528:HSJ65530 IBU65528:ICF65530 ILQ65528:IMB65530 IVM65528:IVX65530 JFI65528:JFT65530 JPE65528:JPP65530 JZA65528:JZL65530 KIW65528:KJH65530 KSS65528:KTD65530 LCO65528:LCZ65530 LMK65528:LMV65530 LWG65528:LWR65530 MGC65528:MGN65530 MPY65528:MQJ65530 MZU65528:NAF65530 NJQ65528:NKB65530 NTM65528:NTX65530 ODI65528:ODT65530 ONE65528:ONP65530 OXA65528:OXL65530 PGW65528:PHH65530 PQS65528:PRD65530 QAO65528:QAZ65530 QKK65528:QKV65530 QUG65528:QUR65530 REC65528:REN65530 RNY65528:ROJ65530 RXU65528:RYF65530 SHQ65528:SIB65530 SRM65528:SRX65530 TBI65528:TBT65530 TLE65528:TLP65530 TVA65528:TVL65530 UEW65528:UFH65530 UOS65528:UPD65530 UYO65528:UYZ65530 VIK65528:VIV65530 VSG65528:VSR65530 WCC65528:WCN65530 WLY65528:WMJ65530 WVU65528:WWF65530 JI131064:JT131066 TE131064:TP131066 ADA131064:ADL131066 AMW131064:ANH131066 AWS131064:AXD131066 BGO131064:BGZ131066 BQK131064:BQV131066 CAG131064:CAR131066 CKC131064:CKN131066 CTY131064:CUJ131066 DDU131064:DEF131066 DNQ131064:DOB131066 DXM131064:DXX131066 EHI131064:EHT131066 ERE131064:ERP131066 FBA131064:FBL131066 FKW131064:FLH131066 FUS131064:FVD131066 GEO131064:GEZ131066 GOK131064:GOV131066 GYG131064:GYR131066 HIC131064:HIN131066 HRY131064:HSJ131066 IBU131064:ICF131066 ILQ131064:IMB131066 IVM131064:IVX131066 JFI131064:JFT131066 JPE131064:JPP131066 JZA131064:JZL131066 KIW131064:KJH131066 KSS131064:KTD131066 LCO131064:LCZ131066 LMK131064:LMV131066 LWG131064:LWR131066 MGC131064:MGN131066 MPY131064:MQJ131066 MZU131064:NAF131066 NJQ131064:NKB131066 NTM131064:NTX131066 ODI131064:ODT131066 ONE131064:ONP131066 OXA131064:OXL131066 PGW131064:PHH131066 PQS131064:PRD131066 QAO131064:QAZ131066 QKK131064:QKV131066 QUG131064:QUR131066 REC131064:REN131066 RNY131064:ROJ131066 RXU131064:RYF131066 SHQ131064:SIB131066 SRM131064:SRX131066 TBI131064:TBT131066 TLE131064:TLP131066 TVA131064:TVL131066 UEW131064:UFH131066 UOS131064:UPD131066 UYO131064:UYZ131066 VIK131064:VIV131066 VSG131064:VSR131066 WCC131064:WCN131066 WLY131064:WMJ131066 WVU131064:WWF131066 JI196600:JT196602 TE196600:TP196602 ADA196600:ADL196602 AMW196600:ANH196602 AWS196600:AXD196602 BGO196600:BGZ196602 BQK196600:BQV196602 CAG196600:CAR196602 CKC196600:CKN196602 CTY196600:CUJ196602 DDU196600:DEF196602 DNQ196600:DOB196602 DXM196600:DXX196602 EHI196600:EHT196602 ERE196600:ERP196602 FBA196600:FBL196602 FKW196600:FLH196602 FUS196600:FVD196602 GEO196600:GEZ196602 GOK196600:GOV196602 GYG196600:GYR196602 HIC196600:HIN196602 HRY196600:HSJ196602 IBU196600:ICF196602 ILQ196600:IMB196602 IVM196600:IVX196602 JFI196600:JFT196602 JPE196600:JPP196602 JZA196600:JZL196602 KIW196600:KJH196602 KSS196600:KTD196602 LCO196600:LCZ196602 LMK196600:LMV196602 LWG196600:LWR196602 MGC196600:MGN196602 MPY196600:MQJ196602 MZU196600:NAF196602 NJQ196600:NKB196602 NTM196600:NTX196602 ODI196600:ODT196602 ONE196600:ONP196602 OXA196600:OXL196602 PGW196600:PHH196602 PQS196600:PRD196602 QAO196600:QAZ196602 QKK196600:QKV196602 QUG196600:QUR196602 REC196600:REN196602 RNY196600:ROJ196602 RXU196600:RYF196602 SHQ196600:SIB196602 SRM196600:SRX196602 TBI196600:TBT196602 TLE196600:TLP196602 TVA196600:TVL196602 UEW196600:UFH196602 UOS196600:UPD196602 UYO196600:UYZ196602 VIK196600:VIV196602 VSG196600:VSR196602 WCC196600:WCN196602 WLY196600:WMJ196602 WVU196600:WWF196602 JI262136:JT262138 TE262136:TP262138 ADA262136:ADL262138 AMW262136:ANH262138 AWS262136:AXD262138 BGO262136:BGZ262138 BQK262136:BQV262138 CAG262136:CAR262138 CKC262136:CKN262138 CTY262136:CUJ262138 DDU262136:DEF262138 DNQ262136:DOB262138 DXM262136:DXX262138 EHI262136:EHT262138 ERE262136:ERP262138 FBA262136:FBL262138 FKW262136:FLH262138 FUS262136:FVD262138 GEO262136:GEZ262138 GOK262136:GOV262138 GYG262136:GYR262138 HIC262136:HIN262138 HRY262136:HSJ262138 IBU262136:ICF262138 ILQ262136:IMB262138 IVM262136:IVX262138 JFI262136:JFT262138 JPE262136:JPP262138 JZA262136:JZL262138 KIW262136:KJH262138 KSS262136:KTD262138 LCO262136:LCZ262138 LMK262136:LMV262138 LWG262136:LWR262138 MGC262136:MGN262138 MPY262136:MQJ262138 MZU262136:NAF262138 NJQ262136:NKB262138 NTM262136:NTX262138 ODI262136:ODT262138 ONE262136:ONP262138 OXA262136:OXL262138 PGW262136:PHH262138 PQS262136:PRD262138 QAO262136:QAZ262138 QKK262136:QKV262138 QUG262136:QUR262138 REC262136:REN262138 RNY262136:ROJ262138 RXU262136:RYF262138 SHQ262136:SIB262138 SRM262136:SRX262138 TBI262136:TBT262138 TLE262136:TLP262138 TVA262136:TVL262138 UEW262136:UFH262138 UOS262136:UPD262138 UYO262136:UYZ262138 VIK262136:VIV262138 VSG262136:VSR262138 WCC262136:WCN262138 WLY262136:WMJ262138 WVU262136:WWF262138 JI327672:JT327674 TE327672:TP327674 ADA327672:ADL327674 AMW327672:ANH327674 AWS327672:AXD327674 BGO327672:BGZ327674 BQK327672:BQV327674 CAG327672:CAR327674 CKC327672:CKN327674 CTY327672:CUJ327674 DDU327672:DEF327674 DNQ327672:DOB327674 DXM327672:DXX327674 EHI327672:EHT327674 ERE327672:ERP327674 FBA327672:FBL327674 FKW327672:FLH327674 FUS327672:FVD327674 GEO327672:GEZ327674 GOK327672:GOV327674 GYG327672:GYR327674 HIC327672:HIN327674 HRY327672:HSJ327674 IBU327672:ICF327674 ILQ327672:IMB327674 IVM327672:IVX327674 JFI327672:JFT327674 JPE327672:JPP327674 JZA327672:JZL327674 KIW327672:KJH327674 KSS327672:KTD327674 LCO327672:LCZ327674 LMK327672:LMV327674 LWG327672:LWR327674 MGC327672:MGN327674 MPY327672:MQJ327674 MZU327672:NAF327674 NJQ327672:NKB327674 NTM327672:NTX327674 ODI327672:ODT327674 ONE327672:ONP327674 OXA327672:OXL327674 PGW327672:PHH327674 PQS327672:PRD327674 QAO327672:QAZ327674 QKK327672:QKV327674 QUG327672:QUR327674 REC327672:REN327674 RNY327672:ROJ327674 RXU327672:RYF327674 SHQ327672:SIB327674 SRM327672:SRX327674 TBI327672:TBT327674 TLE327672:TLP327674 TVA327672:TVL327674 UEW327672:UFH327674 UOS327672:UPD327674 UYO327672:UYZ327674 VIK327672:VIV327674 VSG327672:VSR327674 WCC327672:WCN327674 WLY327672:WMJ327674 WVU327672:WWF327674 JI393208:JT393210 TE393208:TP393210 ADA393208:ADL393210 AMW393208:ANH393210 AWS393208:AXD393210 BGO393208:BGZ393210 BQK393208:BQV393210 CAG393208:CAR393210 CKC393208:CKN393210 CTY393208:CUJ393210 DDU393208:DEF393210 DNQ393208:DOB393210 DXM393208:DXX393210 EHI393208:EHT393210 ERE393208:ERP393210 FBA393208:FBL393210 FKW393208:FLH393210 FUS393208:FVD393210 GEO393208:GEZ393210 GOK393208:GOV393210 GYG393208:GYR393210 HIC393208:HIN393210 HRY393208:HSJ393210 IBU393208:ICF393210 ILQ393208:IMB393210 IVM393208:IVX393210 JFI393208:JFT393210 JPE393208:JPP393210 JZA393208:JZL393210 KIW393208:KJH393210 KSS393208:KTD393210 LCO393208:LCZ393210 LMK393208:LMV393210 LWG393208:LWR393210 MGC393208:MGN393210 MPY393208:MQJ393210 MZU393208:NAF393210 NJQ393208:NKB393210 NTM393208:NTX393210 ODI393208:ODT393210 ONE393208:ONP393210 OXA393208:OXL393210 PGW393208:PHH393210 PQS393208:PRD393210 QAO393208:QAZ393210 QKK393208:QKV393210 QUG393208:QUR393210 REC393208:REN393210 RNY393208:ROJ393210 RXU393208:RYF393210 SHQ393208:SIB393210 SRM393208:SRX393210 TBI393208:TBT393210 TLE393208:TLP393210 TVA393208:TVL393210 UEW393208:UFH393210 UOS393208:UPD393210 UYO393208:UYZ393210 VIK393208:VIV393210 VSG393208:VSR393210 WCC393208:WCN393210 WLY393208:WMJ393210 WVU393208:WWF393210 JI458744:JT458746 TE458744:TP458746 ADA458744:ADL458746 AMW458744:ANH458746 AWS458744:AXD458746 BGO458744:BGZ458746 BQK458744:BQV458746 CAG458744:CAR458746 CKC458744:CKN458746 CTY458744:CUJ458746 DDU458744:DEF458746 DNQ458744:DOB458746 DXM458744:DXX458746 EHI458744:EHT458746 ERE458744:ERP458746 FBA458744:FBL458746 FKW458744:FLH458746 FUS458744:FVD458746 GEO458744:GEZ458746 GOK458744:GOV458746 GYG458744:GYR458746 HIC458744:HIN458746 HRY458744:HSJ458746 IBU458744:ICF458746 ILQ458744:IMB458746 IVM458744:IVX458746 JFI458744:JFT458746 JPE458744:JPP458746 JZA458744:JZL458746 KIW458744:KJH458746 KSS458744:KTD458746 LCO458744:LCZ458746 LMK458744:LMV458746 LWG458744:LWR458746 MGC458744:MGN458746 MPY458744:MQJ458746 MZU458744:NAF458746 NJQ458744:NKB458746 NTM458744:NTX458746 ODI458744:ODT458746 ONE458744:ONP458746 OXA458744:OXL458746 PGW458744:PHH458746 PQS458744:PRD458746 QAO458744:QAZ458746 QKK458744:QKV458746 QUG458744:QUR458746 REC458744:REN458746 RNY458744:ROJ458746 RXU458744:RYF458746 SHQ458744:SIB458746 SRM458744:SRX458746 TBI458744:TBT458746 TLE458744:TLP458746 TVA458744:TVL458746 UEW458744:UFH458746 UOS458744:UPD458746 UYO458744:UYZ458746 VIK458744:VIV458746 VSG458744:VSR458746 WCC458744:WCN458746 WLY458744:WMJ458746 WVU458744:WWF458746 JI524280:JT524282 TE524280:TP524282 ADA524280:ADL524282 AMW524280:ANH524282 AWS524280:AXD524282 BGO524280:BGZ524282 BQK524280:BQV524282 CAG524280:CAR524282 CKC524280:CKN524282 CTY524280:CUJ524282 DDU524280:DEF524282 DNQ524280:DOB524282 DXM524280:DXX524282 EHI524280:EHT524282 ERE524280:ERP524282 FBA524280:FBL524282 FKW524280:FLH524282 FUS524280:FVD524282 GEO524280:GEZ524282 GOK524280:GOV524282 GYG524280:GYR524282 HIC524280:HIN524282 HRY524280:HSJ524282 IBU524280:ICF524282 ILQ524280:IMB524282 IVM524280:IVX524282 JFI524280:JFT524282 JPE524280:JPP524282 JZA524280:JZL524282 KIW524280:KJH524282 KSS524280:KTD524282 LCO524280:LCZ524282 LMK524280:LMV524282 LWG524280:LWR524282 MGC524280:MGN524282 MPY524280:MQJ524282 MZU524280:NAF524282 NJQ524280:NKB524282 NTM524280:NTX524282 ODI524280:ODT524282 ONE524280:ONP524282 OXA524280:OXL524282 PGW524280:PHH524282 PQS524280:PRD524282 QAO524280:QAZ524282 QKK524280:QKV524282 QUG524280:QUR524282 REC524280:REN524282 RNY524280:ROJ524282 RXU524280:RYF524282 SHQ524280:SIB524282 SRM524280:SRX524282 TBI524280:TBT524282 TLE524280:TLP524282 TVA524280:TVL524282 UEW524280:UFH524282 UOS524280:UPD524282 UYO524280:UYZ524282 VIK524280:VIV524282 VSG524280:VSR524282 WCC524280:WCN524282 WLY524280:WMJ524282 WVU524280:WWF524282 JI589816:JT589818 TE589816:TP589818 ADA589816:ADL589818 AMW589816:ANH589818 AWS589816:AXD589818 BGO589816:BGZ589818 BQK589816:BQV589818 CAG589816:CAR589818 CKC589816:CKN589818 CTY589816:CUJ589818 DDU589816:DEF589818 DNQ589816:DOB589818 DXM589816:DXX589818 EHI589816:EHT589818 ERE589816:ERP589818 FBA589816:FBL589818 FKW589816:FLH589818 FUS589816:FVD589818 GEO589816:GEZ589818 GOK589816:GOV589818 GYG589816:GYR589818 HIC589816:HIN589818 HRY589816:HSJ589818 IBU589816:ICF589818 ILQ589816:IMB589818 IVM589816:IVX589818 JFI589816:JFT589818 JPE589816:JPP589818 JZA589816:JZL589818 KIW589816:KJH589818 KSS589816:KTD589818 LCO589816:LCZ589818 LMK589816:LMV589818 LWG589816:LWR589818 MGC589816:MGN589818 MPY589816:MQJ589818 MZU589816:NAF589818 NJQ589816:NKB589818 NTM589816:NTX589818 ODI589816:ODT589818 ONE589816:ONP589818 OXA589816:OXL589818 PGW589816:PHH589818 PQS589816:PRD589818 QAO589816:QAZ589818 QKK589816:QKV589818 QUG589816:QUR589818 REC589816:REN589818 RNY589816:ROJ589818 RXU589816:RYF589818 SHQ589816:SIB589818 SRM589816:SRX589818 TBI589816:TBT589818 TLE589816:TLP589818 TVA589816:TVL589818 UEW589816:UFH589818 UOS589816:UPD589818 UYO589816:UYZ589818 VIK589816:VIV589818 VSG589816:VSR589818 WCC589816:WCN589818 WLY589816:WMJ589818 WVU589816:WWF589818 JI655352:JT655354 TE655352:TP655354 ADA655352:ADL655354 AMW655352:ANH655354 AWS655352:AXD655354 BGO655352:BGZ655354 BQK655352:BQV655354 CAG655352:CAR655354 CKC655352:CKN655354 CTY655352:CUJ655354 DDU655352:DEF655354 DNQ655352:DOB655354 DXM655352:DXX655354 EHI655352:EHT655354 ERE655352:ERP655354 FBA655352:FBL655354 FKW655352:FLH655354 FUS655352:FVD655354 GEO655352:GEZ655354 GOK655352:GOV655354 GYG655352:GYR655354 HIC655352:HIN655354 HRY655352:HSJ655354 IBU655352:ICF655354 ILQ655352:IMB655354 IVM655352:IVX655354 JFI655352:JFT655354 JPE655352:JPP655354 JZA655352:JZL655354 KIW655352:KJH655354 KSS655352:KTD655354 LCO655352:LCZ655354 LMK655352:LMV655354 LWG655352:LWR655354 MGC655352:MGN655354 MPY655352:MQJ655354 MZU655352:NAF655354 NJQ655352:NKB655354 NTM655352:NTX655354 ODI655352:ODT655354 ONE655352:ONP655354 OXA655352:OXL655354 PGW655352:PHH655354 PQS655352:PRD655354 QAO655352:QAZ655354 QKK655352:QKV655354 QUG655352:QUR655354 REC655352:REN655354 RNY655352:ROJ655354 RXU655352:RYF655354 SHQ655352:SIB655354 SRM655352:SRX655354 TBI655352:TBT655354 TLE655352:TLP655354 TVA655352:TVL655354 UEW655352:UFH655354 UOS655352:UPD655354 UYO655352:UYZ655354 VIK655352:VIV655354 VSG655352:VSR655354 WCC655352:WCN655354 WLY655352:WMJ655354 WVU655352:WWF655354 JI720888:JT720890 TE720888:TP720890 ADA720888:ADL720890 AMW720888:ANH720890 AWS720888:AXD720890 BGO720888:BGZ720890 BQK720888:BQV720890 CAG720888:CAR720890 CKC720888:CKN720890 CTY720888:CUJ720890 DDU720888:DEF720890 DNQ720888:DOB720890 DXM720888:DXX720890 EHI720888:EHT720890 ERE720888:ERP720890 FBA720888:FBL720890 FKW720888:FLH720890 FUS720888:FVD720890 GEO720888:GEZ720890 GOK720888:GOV720890 GYG720888:GYR720890 HIC720888:HIN720890 HRY720888:HSJ720890 IBU720888:ICF720890 ILQ720888:IMB720890 IVM720888:IVX720890 JFI720888:JFT720890 JPE720888:JPP720890 JZA720888:JZL720890 KIW720888:KJH720890 KSS720888:KTD720890 LCO720888:LCZ720890 LMK720888:LMV720890 LWG720888:LWR720890 MGC720888:MGN720890 MPY720888:MQJ720890 MZU720888:NAF720890 NJQ720888:NKB720890 NTM720888:NTX720890 ODI720888:ODT720890 ONE720888:ONP720890 OXA720888:OXL720890 PGW720888:PHH720890 PQS720888:PRD720890 QAO720888:QAZ720890 QKK720888:QKV720890 QUG720888:QUR720890 REC720888:REN720890 RNY720888:ROJ720890 RXU720888:RYF720890 SHQ720888:SIB720890 SRM720888:SRX720890 TBI720888:TBT720890 TLE720888:TLP720890 TVA720888:TVL720890 UEW720888:UFH720890 UOS720888:UPD720890 UYO720888:UYZ720890 VIK720888:VIV720890 VSG720888:VSR720890 WCC720888:WCN720890 WLY720888:WMJ720890 WVU720888:WWF720890 JI786424:JT786426 TE786424:TP786426 ADA786424:ADL786426 AMW786424:ANH786426 AWS786424:AXD786426 BGO786424:BGZ786426 BQK786424:BQV786426 CAG786424:CAR786426 CKC786424:CKN786426 CTY786424:CUJ786426 DDU786424:DEF786426 DNQ786424:DOB786426 DXM786424:DXX786426 EHI786424:EHT786426 ERE786424:ERP786426 FBA786424:FBL786426 FKW786424:FLH786426 FUS786424:FVD786426 GEO786424:GEZ786426 GOK786424:GOV786426 GYG786424:GYR786426 HIC786424:HIN786426 HRY786424:HSJ786426 IBU786424:ICF786426 ILQ786424:IMB786426 IVM786424:IVX786426 JFI786424:JFT786426 JPE786424:JPP786426 JZA786424:JZL786426 KIW786424:KJH786426 KSS786424:KTD786426 LCO786424:LCZ786426 LMK786424:LMV786426 LWG786424:LWR786426 MGC786424:MGN786426 MPY786424:MQJ786426 MZU786424:NAF786426 NJQ786424:NKB786426 NTM786424:NTX786426 ODI786424:ODT786426 ONE786424:ONP786426 OXA786424:OXL786426 PGW786424:PHH786426 PQS786424:PRD786426 QAO786424:QAZ786426 QKK786424:QKV786426 QUG786424:QUR786426 REC786424:REN786426 RNY786424:ROJ786426 RXU786424:RYF786426 SHQ786424:SIB786426 SRM786424:SRX786426 TBI786424:TBT786426 TLE786424:TLP786426 TVA786424:TVL786426 UEW786424:UFH786426 UOS786424:UPD786426 UYO786424:UYZ786426 VIK786424:VIV786426 VSG786424:VSR786426 WCC786424:WCN786426 WLY786424:WMJ786426 WVU786424:WWF786426 JI851960:JT851962 TE851960:TP851962 ADA851960:ADL851962 AMW851960:ANH851962 AWS851960:AXD851962 BGO851960:BGZ851962 BQK851960:BQV851962 CAG851960:CAR851962 CKC851960:CKN851962 CTY851960:CUJ851962 DDU851960:DEF851962 DNQ851960:DOB851962 DXM851960:DXX851962 EHI851960:EHT851962 ERE851960:ERP851962 FBA851960:FBL851962 FKW851960:FLH851962 FUS851960:FVD851962 GEO851960:GEZ851962 GOK851960:GOV851962 GYG851960:GYR851962 HIC851960:HIN851962 HRY851960:HSJ851962 IBU851960:ICF851962 ILQ851960:IMB851962 IVM851960:IVX851962 JFI851960:JFT851962 JPE851960:JPP851962 JZA851960:JZL851962 KIW851960:KJH851962 KSS851960:KTD851962 LCO851960:LCZ851962 LMK851960:LMV851962 LWG851960:LWR851962 MGC851960:MGN851962 MPY851960:MQJ851962 MZU851960:NAF851962 NJQ851960:NKB851962 NTM851960:NTX851962 ODI851960:ODT851962 ONE851960:ONP851962 OXA851960:OXL851962 PGW851960:PHH851962 PQS851960:PRD851962 QAO851960:QAZ851962 QKK851960:QKV851962 QUG851960:QUR851962 REC851960:REN851962 RNY851960:ROJ851962 RXU851960:RYF851962 SHQ851960:SIB851962 SRM851960:SRX851962 TBI851960:TBT851962 TLE851960:TLP851962 TVA851960:TVL851962 UEW851960:UFH851962 UOS851960:UPD851962 UYO851960:UYZ851962 VIK851960:VIV851962 VSG851960:VSR851962 WCC851960:WCN851962 WLY851960:WMJ851962 WVU851960:WWF851962 JI917496:JT917498 TE917496:TP917498 ADA917496:ADL917498 AMW917496:ANH917498 AWS917496:AXD917498 BGO917496:BGZ917498 BQK917496:BQV917498 CAG917496:CAR917498 CKC917496:CKN917498 CTY917496:CUJ917498 DDU917496:DEF917498 DNQ917496:DOB917498 DXM917496:DXX917498 EHI917496:EHT917498 ERE917496:ERP917498 FBA917496:FBL917498 FKW917496:FLH917498 FUS917496:FVD917498 GEO917496:GEZ917498 GOK917496:GOV917498 GYG917496:GYR917498 HIC917496:HIN917498 HRY917496:HSJ917498 IBU917496:ICF917498 ILQ917496:IMB917498 IVM917496:IVX917498 JFI917496:JFT917498 JPE917496:JPP917498 JZA917496:JZL917498 KIW917496:KJH917498 KSS917496:KTD917498 LCO917496:LCZ917498 LMK917496:LMV917498 LWG917496:LWR917498 MGC917496:MGN917498 MPY917496:MQJ917498 MZU917496:NAF917498 NJQ917496:NKB917498 NTM917496:NTX917498 ODI917496:ODT917498 ONE917496:ONP917498 OXA917496:OXL917498 PGW917496:PHH917498 PQS917496:PRD917498 QAO917496:QAZ917498 QKK917496:QKV917498 QUG917496:QUR917498 REC917496:REN917498 RNY917496:ROJ917498 RXU917496:RYF917498 SHQ917496:SIB917498 SRM917496:SRX917498 TBI917496:TBT917498 TLE917496:TLP917498 TVA917496:TVL917498 UEW917496:UFH917498 UOS917496:UPD917498 UYO917496:UYZ917498 VIK917496:VIV917498 VSG917496:VSR917498 WCC917496:WCN917498 WLY917496:WMJ917498 WVU917496:WWF917498 JI983032:JT983034 TE983032:TP983034 ADA983032:ADL983034 AMW983032:ANH983034 AWS983032:AXD983034 BGO983032:BGZ983034 BQK983032:BQV983034 CAG983032:CAR983034 CKC983032:CKN983034 CTY983032:CUJ983034 DDU983032:DEF983034 DNQ983032:DOB983034 DXM983032:DXX983034 EHI983032:EHT983034 ERE983032:ERP983034 FBA983032:FBL983034 FKW983032:FLH983034 FUS983032:FVD983034 GEO983032:GEZ983034 GOK983032:GOV983034 GYG983032:GYR983034 HIC983032:HIN983034 HRY983032:HSJ983034 IBU983032:ICF983034 ILQ983032:IMB983034 IVM983032:IVX983034 JFI983032:JFT983034 JPE983032:JPP983034 JZA983032:JZL983034 KIW983032:KJH983034 KSS983032:KTD983034 LCO983032:LCZ983034 LMK983032:LMV983034 LWG983032:LWR983034 MGC983032:MGN983034 MPY983032:MQJ983034 MZU983032:NAF983034 NJQ983032:NKB983034 NTM983032:NTX983034 ODI983032:ODT983034 ONE983032:ONP983034 OXA983032:OXL983034 PGW983032:PHH983034 PQS983032:PRD983034 QAO983032:QAZ983034 QKK983032:QKV983034 QUG983032:QUR983034 REC983032:REN983034 RNY983032:ROJ983034 RXU983032:RYF983034 SHQ983032:SIB983034 SRM983032:SRX983034 TBI983032:TBT983034 TLE983032:TLP983034 TVA983032:TVL983034 UEW983032:UFH983034 UOS983032:UPD983034 UYO983032:UYZ983034 VIK983032:VIV983034 VSG983032:VSR983034 WCC983032:WCN983034 WLY983032:WMJ983034 WVU983032:WWF983034 Z262136:AJ262138 Z196600:AJ196602 Z131064:AJ131066 Z65528:AJ65530 Z983032:AJ983034 Z917496:AJ917498 Z851960:AJ851962 Z786424:AJ786426 Z720888:AJ720890 Z655352:AJ655354 Z589816:AJ589818 Z524280:AJ524282 Z458744:AJ458746 Z393208:AJ393210 Z327672:AJ327674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BD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6" s="17" customFormat="1" ht="14.4" customHeight="1">
      <c r="A1" s="396" t="s">
        <v>78</v>
      </c>
      <c r="B1" s="397"/>
      <c r="C1" s="397"/>
      <c r="D1" s="397"/>
      <c r="E1" s="397"/>
      <c r="F1" s="397"/>
      <c r="G1" s="397"/>
      <c r="H1" s="398"/>
      <c r="I1" s="336" t="s">
        <v>79</v>
      </c>
      <c r="J1" s="337"/>
      <c r="K1" s="337"/>
      <c r="L1" s="337"/>
      <c r="M1" s="337"/>
      <c r="N1" s="337"/>
      <c r="O1" s="337"/>
      <c r="P1" s="337"/>
      <c r="Q1" s="338"/>
      <c r="R1" s="336" t="s">
        <v>80</v>
      </c>
      <c r="S1" s="337"/>
      <c r="T1" s="337"/>
      <c r="U1" s="337"/>
      <c r="V1" s="337"/>
      <c r="W1" s="337"/>
      <c r="X1" s="338"/>
      <c r="Y1" s="336" t="s">
        <v>135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8"/>
      <c r="AP1" s="407" t="s">
        <v>82</v>
      </c>
      <c r="AQ1" s="408"/>
      <c r="AR1" s="408"/>
      <c r="AS1" s="408"/>
      <c r="AT1" s="409"/>
      <c r="AU1" s="407" t="s">
        <v>83</v>
      </c>
      <c r="AV1" s="408"/>
      <c r="AW1" s="408"/>
      <c r="AX1" s="408"/>
      <c r="AY1" s="409"/>
      <c r="AZ1" s="407" t="s">
        <v>84</v>
      </c>
      <c r="BA1" s="408"/>
      <c r="BB1" s="408"/>
      <c r="BC1" s="408"/>
      <c r="BD1" s="409"/>
    </row>
    <row r="2" spans="1:56" s="17" customFormat="1" ht="14.4" customHeight="1">
      <c r="A2" s="399"/>
      <c r="B2" s="400"/>
      <c r="C2" s="400"/>
      <c r="D2" s="400"/>
      <c r="E2" s="400"/>
      <c r="F2" s="400"/>
      <c r="G2" s="400"/>
      <c r="H2" s="401"/>
      <c r="I2" s="366" t="s">
        <v>85</v>
      </c>
      <c r="J2" s="367"/>
      <c r="K2" s="367"/>
      <c r="L2" s="367"/>
      <c r="M2" s="367"/>
      <c r="N2" s="367"/>
      <c r="O2" s="367"/>
      <c r="P2" s="367"/>
      <c r="Q2" s="368"/>
      <c r="R2" s="366" t="s">
        <v>97</v>
      </c>
      <c r="S2" s="367"/>
      <c r="T2" s="367"/>
      <c r="U2" s="367"/>
      <c r="V2" s="367"/>
      <c r="W2" s="367"/>
      <c r="X2" s="368"/>
      <c r="Y2" s="366" t="str">
        <f ca="1">VLOOKUP(RIGHT(CELL("filename",A2),LEN(CELL("filename",A2))-FIND("]",CELL("filename",A2))),テーブル一覧!B:AD,1,FALSE)</f>
        <v>製造工程抄紙設備</v>
      </c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8"/>
      <c r="AP2" s="339"/>
      <c r="AQ2" s="340"/>
      <c r="AR2" s="340"/>
      <c r="AS2" s="340"/>
      <c r="AT2" s="341"/>
      <c r="AU2" s="58" t="s">
        <v>88</v>
      </c>
      <c r="AV2" s="59"/>
      <c r="AW2" s="59"/>
      <c r="AX2" s="59"/>
      <c r="AY2" s="60"/>
      <c r="AZ2" s="413" t="s">
        <v>89</v>
      </c>
      <c r="BA2" s="414"/>
      <c r="BB2" s="414"/>
      <c r="BC2" s="414"/>
      <c r="BD2" s="415"/>
    </row>
    <row r="3" spans="1:56" s="17" customFormat="1" ht="14.4" customHeight="1">
      <c r="A3" s="399"/>
      <c r="B3" s="400"/>
      <c r="C3" s="400"/>
      <c r="D3" s="400"/>
      <c r="E3" s="400"/>
      <c r="F3" s="400"/>
      <c r="G3" s="400"/>
      <c r="H3" s="401"/>
      <c r="I3" s="369"/>
      <c r="J3" s="370"/>
      <c r="K3" s="370"/>
      <c r="L3" s="370"/>
      <c r="M3" s="370"/>
      <c r="N3" s="370"/>
      <c r="O3" s="370"/>
      <c r="P3" s="370"/>
      <c r="Q3" s="371"/>
      <c r="R3" s="369"/>
      <c r="S3" s="370"/>
      <c r="T3" s="370"/>
      <c r="U3" s="370"/>
      <c r="V3" s="370"/>
      <c r="W3" s="370"/>
      <c r="X3" s="371"/>
      <c r="Y3" s="372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4"/>
      <c r="AP3" s="342"/>
      <c r="AQ3" s="343"/>
      <c r="AR3" s="343"/>
      <c r="AS3" s="343"/>
      <c r="AT3" s="344"/>
      <c r="AU3" s="410"/>
      <c r="AV3" s="411"/>
      <c r="AW3" s="411"/>
      <c r="AX3" s="411"/>
      <c r="AY3" s="412"/>
      <c r="AZ3" s="413"/>
      <c r="BA3" s="414"/>
      <c r="BB3" s="414"/>
      <c r="BC3" s="414"/>
      <c r="BD3" s="415"/>
    </row>
    <row r="4" spans="1:56" s="17" customFormat="1" ht="14.4" customHeight="1">
      <c r="A4" s="402"/>
      <c r="B4" s="403"/>
      <c r="C4" s="403"/>
      <c r="D4" s="403"/>
      <c r="E4" s="403"/>
      <c r="F4" s="403"/>
      <c r="G4" s="403"/>
      <c r="H4" s="404"/>
      <c r="I4" s="372"/>
      <c r="J4" s="373"/>
      <c r="K4" s="373"/>
      <c r="L4" s="373"/>
      <c r="M4" s="373"/>
      <c r="N4" s="373"/>
      <c r="O4" s="373"/>
      <c r="P4" s="373"/>
      <c r="Q4" s="374"/>
      <c r="R4" s="372"/>
      <c r="S4" s="373"/>
      <c r="T4" s="373"/>
      <c r="U4" s="373"/>
      <c r="V4" s="373"/>
      <c r="W4" s="373"/>
      <c r="X4" s="374"/>
      <c r="Y4" s="41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t_seizou_syousi_setubi</v>
      </c>
      <c r="Z4" s="417"/>
      <c r="AA4" s="417"/>
      <c r="AB4" s="417"/>
      <c r="AC4" s="417"/>
      <c r="AD4" s="417"/>
      <c r="AE4" s="417"/>
      <c r="AF4" s="417"/>
      <c r="AG4" s="417"/>
      <c r="AH4" s="417"/>
      <c r="AI4" s="417"/>
      <c r="AJ4" s="417"/>
      <c r="AK4" s="417"/>
      <c r="AL4" s="417"/>
      <c r="AM4" s="417"/>
      <c r="AN4" s="417"/>
      <c r="AO4" s="418"/>
      <c r="AP4" s="342"/>
      <c r="AQ4" s="343"/>
      <c r="AR4" s="343"/>
      <c r="AS4" s="343"/>
      <c r="AT4" s="344"/>
      <c r="AU4" s="410"/>
      <c r="AV4" s="411"/>
      <c r="AW4" s="411"/>
      <c r="AX4" s="411"/>
      <c r="AY4" s="412"/>
      <c r="AZ4" s="413"/>
      <c r="BA4" s="414"/>
      <c r="BB4" s="414"/>
      <c r="BC4" s="414"/>
      <c r="BD4" s="415"/>
    </row>
    <row r="6" spans="1:56" ht="14.4" customHeight="1">
      <c r="A6" s="405" t="s">
        <v>90</v>
      </c>
      <c r="B6" s="386" t="s">
        <v>136</v>
      </c>
      <c r="C6" s="394"/>
      <c r="D6" s="394"/>
      <c r="E6" s="394"/>
      <c r="F6" s="394"/>
      <c r="G6" s="394"/>
      <c r="H6" s="387"/>
      <c r="I6" s="386" t="s">
        <v>137</v>
      </c>
      <c r="J6" s="394"/>
      <c r="K6" s="394"/>
      <c r="L6" s="394"/>
      <c r="M6" s="394"/>
      <c r="N6" s="394"/>
      <c r="O6" s="394"/>
      <c r="P6" s="394"/>
      <c r="Q6" s="387"/>
      <c r="R6" s="386" t="s">
        <v>138</v>
      </c>
      <c r="S6" s="394"/>
      <c r="T6" s="394"/>
      <c r="U6" s="394"/>
      <c r="V6" s="394"/>
      <c r="W6" s="394"/>
      <c r="X6" s="387"/>
      <c r="Y6" s="386" t="s">
        <v>139</v>
      </c>
      <c r="Z6" s="387"/>
      <c r="AA6" s="386" t="s">
        <v>140</v>
      </c>
      <c r="AB6" s="394"/>
      <c r="AC6" s="387"/>
      <c r="AD6" s="390" t="s">
        <v>141</v>
      </c>
      <c r="AE6" s="392" t="s">
        <v>142</v>
      </c>
      <c r="AF6" s="390" t="s">
        <v>143</v>
      </c>
      <c r="AG6" s="390" t="s">
        <v>144</v>
      </c>
      <c r="AH6" s="390" t="s">
        <v>145</v>
      </c>
      <c r="AI6" s="383" t="s">
        <v>146</v>
      </c>
      <c r="AJ6" s="384"/>
      <c r="AK6" s="384"/>
      <c r="AL6" s="384"/>
      <c r="AM6" s="384"/>
      <c r="AN6" s="384"/>
      <c r="AO6" s="384"/>
      <c r="AP6" s="384"/>
      <c r="AQ6" s="384"/>
      <c r="AR6" s="385"/>
      <c r="AS6" s="386" t="s">
        <v>147</v>
      </c>
      <c r="AT6" s="394"/>
      <c r="AU6" s="394"/>
      <c r="AV6" s="394"/>
      <c r="AW6" s="394"/>
      <c r="AX6" s="394"/>
      <c r="AY6" s="394"/>
      <c r="AZ6" s="394"/>
      <c r="BA6" s="394"/>
      <c r="BB6" s="394"/>
      <c r="BC6" s="394"/>
      <c r="BD6" s="387"/>
    </row>
    <row r="7" spans="1:56" ht="14.4" customHeight="1">
      <c r="A7" s="406"/>
      <c r="B7" s="388"/>
      <c r="C7" s="395"/>
      <c r="D7" s="395"/>
      <c r="E7" s="395"/>
      <c r="F7" s="395"/>
      <c r="G7" s="395"/>
      <c r="H7" s="389"/>
      <c r="I7" s="388"/>
      <c r="J7" s="395"/>
      <c r="K7" s="395"/>
      <c r="L7" s="395"/>
      <c r="M7" s="395"/>
      <c r="N7" s="395"/>
      <c r="O7" s="395"/>
      <c r="P7" s="395"/>
      <c r="Q7" s="389"/>
      <c r="R7" s="388"/>
      <c r="S7" s="395"/>
      <c r="T7" s="395"/>
      <c r="U7" s="395"/>
      <c r="V7" s="395"/>
      <c r="W7" s="395"/>
      <c r="X7" s="389"/>
      <c r="Y7" s="388"/>
      <c r="Z7" s="389"/>
      <c r="AA7" s="388"/>
      <c r="AB7" s="395"/>
      <c r="AC7" s="389"/>
      <c r="AD7" s="391"/>
      <c r="AE7" s="393"/>
      <c r="AF7" s="391"/>
      <c r="AG7" s="391"/>
      <c r="AH7" s="39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88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89"/>
    </row>
    <row r="8" spans="1:56" ht="14.4" customHeight="1">
      <c r="A8" s="70">
        <f>IF(B8="","",COUNTA($B$8:B8))</f>
        <v>1</v>
      </c>
      <c r="B8" s="19" t="s">
        <v>1475</v>
      </c>
      <c r="C8" s="20"/>
      <c r="D8" s="20"/>
      <c r="E8" s="20"/>
      <c r="F8" s="20"/>
      <c r="G8" s="20"/>
      <c r="H8" s="24"/>
      <c r="I8" s="31" t="s">
        <v>1490</v>
      </c>
      <c r="J8" s="23"/>
      <c r="K8" s="23"/>
      <c r="L8" s="23"/>
      <c r="M8" s="23"/>
      <c r="N8" s="23"/>
      <c r="O8" s="38"/>
      <c r="P8" s="23"/>
      <c r="Q8" s="24"/>
      <c r="R8" s="19" t="s">
        <v>1475</v>
      </c>
      <c r="S8" s="23"/>
      <c r="T8" s="23"/>
      <c r="U8" s="23"/>
      <c r="V8" s="23"/>
      <c r="W8" s="23"/>
      <c r="X8" s="24"/>
      <c r="Y8" s="424" t="s">
        <v>150</v>
      </c>
      <c r="Z8" s="425"/>
      <c r="AA8" s="426" t="s">
        <v>1481</v>
      </c>
      <c r="AB8" s="427"/>
      <c r="AC8" s="428"/>
      <c r="AD8" s="126">
        <v>4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" customHeight="1">
      <c r="A9" s="70">
        <f>IF(B9="","",COUNTA($B$8:B9))</f>
        <v>2</v>
      </c>
      <c r="B9" s="19" t="s">
        <v>162</v>
      </c>
      <c r="C9" s="20"/>
      <c r="D9" s="20"/>
      <c r="E9" s="20"/>
      <c r="F9" s="20"/>
      <c r="G9" s="20"/>
      <c r="H9" s="24"/>
      <c r="I9" s="31" t="s">
        <v>163</v>
      </c>
      <c r="J9" s="23"/>
      <c r="K9" s="23"/>
      <c r="L9" s="23"/>
      <c r="M9" s="23"/>
      <c r="N9" s="23"/>
      <c r="O9" s="38"/>
      <c r="P9" s="23"/>
      <c r="Q9" s="24"/>
      <c r="R9" s="19" t="s">
        <v>162</v>
      </c>
      <c r="S9" s="23"/>
      <c r="T9" s="23"/>
      <c r="U9" s="23"/>
      <c r="V9" s="23"/>
      <c r="W9" s="23"/>
      <c r="X9" s="24"/>
      <c r="Y9" s="419" t="s">
        <v>150</v>
      </c>
      <c r="Z9" s="420"/>
      <c r="AA9" s="421" t="s">
        <v>151</v>
      </c>
      <c r="AB9" s="422"/>
      <c r="AC9" s="423"/>
      <c r="AD9" s="27">
        <v>4</v>
      </c>
      <c r="AE9" s="29"/>
      <c r="AF9" s="29">
        <v>2</v>
      </c>
      <c r="AG9" s="28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" customHeight="1">
      <c r="A10" s="70">
        <f>IF(B10="","",COUNTA($B$8:B10))</f>
        <v>3</v>
      </c>
      <c r="B10" s="19" t="s">
        <v>730</v>
      </c>
      <c r="C10" s="20"/>
      <c r="D10" s="20"/>
      <c r="E10" s="20"/>
      <c r="F10" s="20"/>
      <c r="G10" s="20"/>
      <c r="H10" s="24"/>
      <c r="I10" s="31" t="s">
        <v>1497</v>
      </c>
      <c r="J10" s="23"/>
      <c r="K10" s="23"/>
      <c r="L10" s="23"/>
      <c r="M10" s="23"/>
      <c r="N10" s="23"/>
      <c r="O10" s="38"/>
      <c r="P10" s="23"/>
      <c r="Q10" s="24"/>
      <c r="R10" s="19" t="s">
        <v>730</v>
      </c>
      <c r="S10" s="23"/>
      <c r="T10" s="23"/>
      <c r="U10" s="23"/>
      <c r="V10" s="23"/>
      <c r="W10" s="23"/>
      <c r="X10" s="24"/>
      <c r="Y10" s="424" t="s">
        <v>1487</v>
      </c>
      <c r="Z10" s="425"/>
      <c r="AA10" s="426" t="s">
        <v>1488</v>
      </c>
      <c r="AB10" s="427"/>
      <c r="AC10" s="428"/>
      <c r="AD10" s="117">
        <v>3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123" t="s">
        <v>385</v>
      </c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" customHeight="1">
      <c r="A11" s="70">
        <f>IF(B11="","",COUNTA($B$8:B11))</f>
        <v>4</v>
      </c>
      <c r="B11" s="19" t="s">
        <v>255</v>
      </c>
      <c r="C11" s="26"/>
      <c r="D11" s="26"/>
      <c r="E11" s="26"/>
      <c r="F11" s="26"/>
      <c r="G11" s="26"/>
      <c r="H11" s="39"/>
      <c r="I11" s="31" t="s">
        <v>256</v>
      </c>
      <c r="J11" s="23"/>
      <c r="K11" s="23"/>
      <c r="L11" s="23"/>
      <c r="M11" s="23"/>
      <c r="N11" s="23"/>
      <c r="O11" s="23"/>
      <c r="P11" s="23"/>
      <c r="Q11" s="37"/>
      <c r="R11" s="19" t="s">
        <v>255</v>
      </c>
      <c r="S11" s="23"/>
      <c r="T11" s="23"/>
      <c r="U11" s="23"/>
      <c r="V11" s="23"/>
      <c r="W11" s="23"/>
      <c r="X11" s="24"/>
      <c r="Y11" s="419" t="s">
        <v>150</v>
      </c>
      <c r="Z11" s="420"/>
      <c r="AA11" s="421" t="s">
        <v>151</v>
      </c>
      <c r="AB11" s="422"/>
      <c r="AC11" s="423"/>
      <c r="AD11" s="27">
        <v>10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" customHeight="1">
      <c r="A12" s="70">
        <f>IF(B12="","",COUNTA($B$8:B12))</f>
        <v>5</v>
      </c>
      <c r="B12" s="19" t="s">
        <v>257</v>
      </c>
      <c r="C12" s="26"/>
      <c r="D12" s="26"/>
      <c r="E12" s="26"/>
      <c r="F12" s="26"/>
      <c r="G12" s="26"/>
      <c r="H12" s="39"/>
      <c r="I12" s="31" t="s">
        <v>258</v>
      </c>
      <c r="J12" s="23"/>
      <c r="K12" s="23"/>
      <c r="L12" s="23"/>
      <c r="M12" s="23"/>
      <c r="N12" s="23"/>
      <c r="O12" s="23"/>
      <c r="P12" s="23"/>
      <c r="Q12" s="37"/>
      <c r="R12" s="19" t="s">
        <v>257</v>
      </c>
      <c r="S12" s="23"/>
      <c r="T12" s="23"/>
      <c r="U12" s="23"/>
      <c r="V12" s="23"/>
      <c r="W12" s="23"/>
      <c r="X12" s="24"/>
      <c r="Y12" s="419" t="s">
        <v>169</v>
      </c>
      <c r="Z12" s="420"/>
      <c r="AA12" s="421" t="s">
        <v>243</v>
      </c>
      <c r="AB12" s="422"/>
      <c r="AC12" s="423"/>
      <c r="AD12" s="51"/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" customHeight="1">
      <c r="A13" s="70">
        <f>IF(B13="","",COUNTA($B$8:B13))</f>
        <v>6</v>
      </c>
      <c r="B13" s="19" t="s">
        <v>261</v>
      </c>
      <c r="C13" s="20"/>
      <c r="D13" s="20"/>
      <c r="E13" s="20"/>
      <c r="F13" s="20"/>
      <c r="G13" s="20"/>
      <c r="H13" s="39"/>
      <c r="I13" s="31" t="s">
        <v>262</v>
      </c>
      <c r="J13" s="23"/>
      <c r="K13" s="23"/>
      <c r="L13" s="23"/>
      <c r="M13" s="23"/>
      <c r="N13" s="23"/>
      <c r="O13" s="23"/>
      <c r="P13" s="23"/>
      <c r="Q13" s="37"/>
      <c r="R13" s="19" t="s">
        <v>261</v>
      </c>
      <c r="S13" s="23"/>
      <c r="T13" s="23"/>
      <c r="U13" s="23"/>
      <c r="V13" s="23"/>
      <c r="W13" s="23"/>
      <c r="X13" s="24"/>
      <c r="Y13" s="419" t="s">
        <v>150</v>
      </c>
      <c r="Z13" s="420"/>
      <c r="AA13" s="421" t="s">
        <v>151</v>
      </c>
      <c r="AB13" s="422"/>
      <c r="AC13" s="423"/>
      <c r="AD13" s="51">
        <v>10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" customHeight="1">
      <c r="A14" s="70">
        <f>IF(B14="","",COUNTA($B$8:B14))</f>
        <v>7</v>
      </c>
      <c r="B14" s="19" t="s">
        <v>263</v>
      </c>
      <c r="C14" s="20"/>
      <c r="D14" s="20"/>
      <c r="E14" s="20"/>
      <c r="F14" s="20"/>
      <c r="G14" s="20"/>
      <c r="H14" s="39"/>
      <c r="I14" s="31" t="s">
        <v>264</v>
      </c>
      <c r="J14" s="23"/>
      <c r="K14" s="23"/>
      <c r="L14" s="23"/>
      <c r="M14" s="23"/>
      <c r="N14" s="23"/>
      <c r="O14" s="23"/>
      <c r="P14" s="23"/>
      <c r="Q14" s="37"/>
      <c r="R14" s="22" t="s">
        <v>263</v>
      </c>
      <c r="S14" s="23"/>
      <c r="T14" s="23"/>
      <c r="U14" s="23"/>
      <c r="V14" s="23"/>
      <c r="W14" s="23"/>
      <c r="X14" s="24"/>
      <c r="Y14" s="419" t="s">
        <v>169</v>
      </c>
      <c r="Z14" s="420"/>
      <c r="AA14" s="421" t="s">
        <v>243</v>
      </c>
      <c r="AB14" s="422"/>
      <c r="AC14" s="423"/>
      <c r="AD14" s="51"/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" customHeight="1">
      <c r="A15" s="70" t="str">
        <f>IF(B15="","",COUNTA($B$8:B15))</f>
        <v/>
      </c>
      <c r="B15" s="19"/>
      <c r="C15" s="20"/>
      <c r="D15" s="20"/>
      <c r="E15" s="20"/>
      <c r="F15" s="20"/>
      <c r="G15" s="20"/>
      <c r="H15" s="39"/>
      <c r="I15" s="31"/>
      <c r="J15" s="23"/>
      <c r="K15" s="23"/>
      <c r="L15" s="23"/>
      <c r="M15" s="23"/>
      <c r="N15" s="23"/>
      <c r="O15" s="23"/>
      <c r="P15" s="23"/>
      <c r="Q15" s="24"/>
      <c r="R15" s="19"/>
      <c r="S15" s="23"/>
      <c r="T15" s="23"/>
      <c r="U15" s="23"/>
      <c r="V15" s="23"/>
      <c r="W15" s="23"/>
      <c r="X15" s="24"/>
      <c r="Y15" s="419"/>
      <c r="Z15" s="420"/>
      <c r="AA15" s="421"/>
      <c r="AB15" s="422"/>
      <c r="AC15" s="423"/>
      <c r="AD15" s="27"/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" customHeight="1">
      <c r="A16" s="70" t="str">
        <f>IF(B16="","",COUNTA($B$8:B16))</f>
        <v/>
      </c>
      <c r="B16" s="19"/>
      <c r="C16" s="20"/>
      <c r="D16" s="20"/>
      <c r="E16" s="20"/>
      <c r="F16" s="20"/>
      <c r="G16" s="20"/>
      <c r="H16" s="39"/>
      <c r="I16" s="31"/>
      <c r="J16" s="23"/>
      <c r="K16" s="23"/>
      <c r="L16" s="23"/>
      <c r="M16" s="23"/>
      <c r="N16" s="23"/>
      <c r="O16" s="38"/>
      <c r="P16" s="23"/>
      <c r="Q16" s="24"/>
      <c r="R16" s="19"/>
      <c r="S16" s="23"/>
      <c r="T16" s="23"/>
      <c r="U16" s="23"/>
      <c r="V16" s="23"/>
      <c r="W16" s="23"/>
      <c r="X16" s="24"/>
      <c r="Y16" s="419"/>
      <c r="Z16" s="420"/>
      <c r="AA16" s="421"/>
      <c r="AB16" s="422"/>
      <c r="AC16" s="423"/>
      <c r="AD16" s="27"/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" customHeight="1">
      <c r="A17" s="70" t="str">
        <f>IF(B17="","",COUNTA($B$8:B17))</f>
        <v/>
      </c>
      <c r="B17" s="25"/>
      <c r="C17" s="26"/>
      <c r="D17" s="26"/>
      <c r="E17" s="26"/>
      <c r="F17" s="26"/>
      <c r="G17" s="26"/>
      <c r="H17" s="39"/>
      <c r="I17" s="31"/>
      <c r="J17" s="23"/>
      <c r="K17" s="23"/>
      <c r="L17" s="23"/>
      <c r="M17" s="23"/>
      <c r="N17" s="23"/>
      <c r="O17" s="26"/>
      <c r="P17" s="23"/>
      <c r="Q17" s="24"/>
      <c r="R17" s="25"/>
      <c r="S17" s="23"/>
      <c r="T17" s="23"/>
      <c r="U17" s="23"/>
      <c r="V17" s="23"/>
      <c r="W17" s="23"/>
      <c r="X17" s="24"/>
      <c r="Y17" s="419"/>
      <c r="Z17" s="420"/>
      <c r="AA17" s="421"/>
      <c r="AB17" s="422"/>
      <c r="AC17" s="423"/>
      <c r="AD17" s="27"/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>
      <c r="A18" s="70" t="str">
        <f>IF(B18="","",COUNTA($B$8:B18))</f>
        <v/>
      </c>
      <c r="B18" s="25"/>
      <c r="C18" s="26"/>
      <c r="D18" s="26"/>
      <c r="E18" s="26"/>
      <c r="F18" s="26"/>
      <c r="G18" s="26"/>
      <c r="H18" s="39"/>
      <c r="I18" s="31"/>
      <c r="J18" s="23"/>
      <c r="K18" s="23"/>
      <c r="L18" s="23"/>
      <c r="M18" s="23"/>
      <c r="N18" s="23"/>
      <c r="O18" s="26"/>
      <c r="P18" s="23"/>
      <c r="Q18" s="24"/>
      <c r="R18" s="25"/>
      <c r="S18" s="23"/>
      <c r="T18" s="23"/>
      <c r="U18" s="23"/>
      <c r="V18" s="23"/>
      <c r="W18" s="23"/>
      <c r="X18" s="24"/>
      <c r="Y18" s="419"/>
      <c r="Z18" s="420"/>
      <c r="AA18" s="421"/>
      <c r="AB18" s="422"/>
      <c r="AC18" s="423"/>
      <c r="AD18" s="27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>
      <c r="A19" s="70" t="str">
        <f>IF(B19="","",COUNTA($B$8:B19))</f>
        <v/>
      </c>
      <c r="B19" s="19"/>
      <c r="C19" s="20"/>
      <c r="D19" s="20"/>
      <c r="E19" s="20"/>
      <c r="F19" s="20"/>
      <c r="G19" s="20"/>
      <c r="H19" s="24"/>
      <c r="I19" s="31"/>
      <c r="J19" s="23"/>
      <c r="K19" s="23"/>
      <c r="L19" s="23"/>
      <c r="M19" s="23"/>
      <c r="N19" s="23"/>
      <c r="O19" s="38"/>
      <c r="P19" s="23"/>
      <c r="Q19" s="24"/>
      <c r="R19" s="19"/>
      <c r="S19" s="23"/>
      <c r="T19" s="23"/>
      <c r="U19" s="23"/>
      <c r="V19" s="23"/>
      <c r="W19" s="23"/>
      <c r="X19" s="24"/>
      <c r="Y19" s="419"/>
      <c r="Z19" s="420"/>
      <c r="AA19" s="421"/>
      <c r="AB19" s="422"/>
      <c r="AC19" s="423"/>
      <c r="AD19" s="27"/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>
      <c r="A20" s="70" t="str">
        <f>IF(B20="","",COUNTA($B$8:B20))</f>
        <v/>
      </c>
      <c r="B20" s="19"/>
      <c r="C20" s="20"/>
      <c r="D20" s="20"/>
      <c r="E20" s="20"/>
      <c r="F20" s="20"/>
      <c r="G20" s="20"/>
      <c r="H20" s="24"/>
      <c r="I20" s="31"/>
      <c r="J20" s="23"/>
      <c r="K20" s="23"/>
      <c r="L20" s="23"/>
      <c r="M20" s="23"/>
      <c r="N20" s="23"/>
      <c r="O20" s="38"/>
      <c r="P20" s="23"/>
      <c r="Q20" s="24"/>
      <c r="R20" s="19"/>
      <c r="S20" s="23"/>
      <c r="T20" s="23"/>
      <c r="U20" s="23"/>
      <c r="V20" s="23"/>
      <c r="W20" s="23"/>
      <c r="X20" s="24"/>
      <c r="Y20" s="419"/>
      <c r="Z20" s="420"/>
      <c r="AA20" s="421"/>
      <c r="AB20" s="422"/>
      <c r="AC20" s="423"/>
      <c r="AD20" s="27"/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>
      <c r="A21" s="70" t="str">
        <f>IF(B21="","",COUNTA($B$8:B21))</f>
        <v/>
      </c>
      <c r="B21" s="19"/>
      <c r="C21" s="20"/>
      <c r="D21" s="20"/>
      <c r="E21" s="20"/>
      <c r="F21" s="20"/>
      <c r="G21" s="20"/>
      <c r="H21" s="24"/>
      <c r="I21" s="31"/>
      <c r="J21" s="23"/>
      <c r="K21" s="23"/>
      <c r="L21" s="23"/>
      <c r="M21" s="23"/>
      <c r="N21" s="23"/>
      <c r="O21" s="38"/>
      <c r="P21" s="23"/>
      <c r="Q21" s="24"/>
      <c r="R21" s="22"/>
      <c r="S21" s="23"/>
      <c r="T21" s="23"/>
      <c r="U21" s="23"/>
      <c r="V21" s="23"/>
      <c r="W21" s="23"/>
      <c r="X21" s="24"/>
      <c r="Y21" s="419"/>
      <c r="Z21" s="420"/>
      <c r="AA21" s="421"/>
      <c r="AB21" s="422"/>
      <c r="AC21" s="423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>
      <c r="A22" s="70" t="str">
        <f>IF(B22="","",COUNTA($B$8:B22))</f>
        <v/>
      </c>
      <c r="B22" s="19"/>
      <c r="C22" s="20"/>
      <c r="D22" s="20"/>
      <c r="E22" s="20"/>
      <c r="F22" s="20"/>
      <c r="G22" s="20"/>
      <c r="H22" s="24"/>
      <c r="I22" s="31"/>
      <c r="J22" s="23"/>
      <c r="K22" s="23"/>
      <c r="L22" s="23"/>
      <c r="M22" s="23"/>
      <c r="N22" s="23"/>
      <c r="O22" s="23"/>
      <c r="P22" s="23"/>
      <c r="Q22" s="37"/>
      <c r="R22" s="19"/>
      <c r="S22" s="23"/>
      <c r="T22" s="23"/>
      <c r="U22" s="23"/>
      <c r="V22" s="23"/>
      <c r="W22" s="23"/>
      <c r="X22" s="24"/>
      <c r="Y22" s="419"/>
      <c r="Z22" s="420"/>
      <c r="AA22" s="421"/>
      <c r="AB22" s="422"/>
      <c r="AC22" s="423"/>
      <c r="AD22" s="27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>
      <c r="A23" s="70" t="str">
        <f>IF(B23="","",COUNTA($B$8:B23))</f>
        <v/>
      </c>
      <c r="B23" s="19"/>
      <c r="C23" s="20"/>
      <c r="D23" s="20"/>
      <c r="E23" s="20"/>
      <c r="F23" s="20"/>
      <c r="G23" s="20"/>
      <c r="H23" s="24"/>
      <c r="I23" s="31"/>
      <c r="J23" s="23"/>
      <c r="K23" s="23"/>
      <c r="L23" s="23"/>
      <c r="M23" s="23"/>
      <c r="N23" s="23"/>
      <c r="O23" s="23"/>
      <c r="P23" s="23"/>
      <c r="Q23" s="37"/>
      <c r="R23" s="19"/>
      <c r="S23" s="23"/>
      <c r="T23" s="23"/>
      <c r="U23" s="23"/>
      <c r="V23" s="23"/>
      <c r="W23" s="23"/>
      <c r="X23" s="24"/>
      <c r="Y23" s="419"/>
      <c r="Z23" s="420"/>
      <c r="AA23" s="421"/>
      <c r="AB23" s="422"/>
      <c r="AC23" s="423"/>
      <c r="AD23" s="27"/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>
      <c r="A24" s="70" t="str">
        <f>IF(B24="","",COUNTA($B$8:B24))</f>
        <v/>
      </c>
      <c r="B24" s="19"/>
      <c r="C24" s="20"/>
      <c r="D24" s="20"/>
      <c r="E24" s="20"/>
      <c r="F24" s="20"/>
      <c r="G24" s="20"/>
      <c r="H24" s="24"/>
      <c r="I24" s="31"/>
      <c r="J24" s="23"/>
      <c r="K24" s="23"/>
      <c r="L24" s="23"/>
      <c r="M24" s="23"/>
      <c r="N24" s="23"/>
      <c r="O24" s="23"/>
      <c r="P24" s="23"/>
      <c r="Q24" s="37"/>
      <c r="R24" s="19"/>
      <c r="S24" s="23"/>
      <c r="T24" s="23"/>
      <c r="U24" s="23"/>
      <c r="V24" s="23"/>
      <c r="W24" s="23"/>
      <c r="X24" s="24"/>
      <c r="Y24" s="419"/>
      <c r="Z24" s="420"/>
      <c r="AA24" s="421"/>
      <c r="AB24" s="422"/>
      <c r="AC24" s="423"/>
      <c r="AD24" s="27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" customHeight="1">
      <c r="A25" s="7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19"/>
      <c r="S25" s="23"/>
      <c r="T25" s="23"/>
      <c r="U25" s="23"/>
      <c r="V25" s="23"/>
      <c r="W25" s="23"/>
      <c r="X25" s="24"/>
      <c r="Y25" s="419"/>
      <c r="Z25" s="420"/>
      <c r="AA25" s="421"/>
      <c r="AB25" s="422"/>
      <c r="AC25" s="423"/>
      <c r="AD25" s="27"/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" customHeight="1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19"/>
      <c r="S26" s="23"/>
      <c r="T26" s="23"/>
      <c r="U26" s="23"/>
      <c r="V26" s="23"/>
      <c r="W26" s="23"/>
      <c r="X26" s="24"/>
      <c r="Y26" s="419"/>
      <c r="Z26" s="420"/>
      <c r="AA26" s="421"/>
      <c r="AB26" s="422"/>
      <c r="AC26" s="423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" customHeight="1">
      <c r="A27" s="7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19"/>
      <c r="S27" s="23"/>
      <c r="T27" s="23"/>
      <c r="U27" s="23"/>
      <c r="V27" s="23"/>
      <c r="W27" s="23"/>
      <c r="X27" s="24"/>
      <c r="Y27" s="419"/>
      <c r="Z27" s="420"/>
      <c r="AA27" s="421"/>
      <c r="AB27" s="422"/>
      <c r="AC27" s="423"/>
      <c r="AD27" s="27"/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" customHeight="1">
      <c r="A28" s="7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19"/>
      <c r="S28" s="23"/>
      <c r="T28" s="23"/>
      <c r="U28" s="23"/>
      <c r="V28" s="23"/>
      <c r="W28" s="23"/>
      <c r="X28" s="24"/>
      <c r="Y28" s="419"/>
      <c r="Z28" s="420"/>
      <c r="AA28" s="421"/>
      <c r="AB28" s="422"/>
      <c r="AC28" s="423"/>
      <c r="AD28" s="51"/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>
      <c r="A29" s="7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419"/>
      <c r="Z29" s="420"/>
      <c r="AA29" s="421"/>
      <c r="AB29" s="422"/>
      <c r="AC29" s="423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" customHeight="1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419"/>
      <c r="Z30" s="420"/>
      <c r="AA30" s="421"/>
      <c r="AB30" s="422"/>
      <c r="AC30" s="423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419"/>
      <c r="Z31" s="420"/>
      <c r="AA31" s="421"/>
      <c r="AB31" s="422"/>
      <c r="AC31" s="423"/>
      <c r="AD31" s="27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419"/>
      <c r="Z32" s="420"/>
      <c r="AA32" s="421"/>
      <c r="AB32" s="422"/>
      <c r="AC32" s="423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419"/>
      <c r="Z33" s="420"/>
      <c r="AA33" s="421"/>
      <c r="AB33" s="422"/>
      <c r="AC33" s="423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419"/>
      <c r="Z34" s="420"/>
      <c r="AA34" s="421"/>
      <c r="AB34" s="422"/>
      <c r="AC34" s="423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419"/>
      <c r="Z35" s="420"/>
      <c r="AA35" s="421"/>
      <c r="AB35" s="422"/>
      <c r="AC35" s="423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419"/>
      <c r="Z36" s="420"/>
      <c r="AA36" s="421"/>
      <c r="AB36" s="422"/>
      <c r="AC36" s="423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419"/>
      <c r="Z37" s="420"/>
      <c r="AA37" s="421"/>
      <c r="AB37" s="422"/>
      <c r="AC37" s="423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419"/>
      <c r="Z38" s="420"/>
      <c r="AA38" s="421"/>
      <c r="AB38" s="422"/>
      <c r="AC38" s="423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419"/>
      <c r="Z39" s="420"/>
      <c r="AA39" s="421"/>
      <c r="AB39" s="422"/>
      <c r="AC39" s="423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419"/>
      <c r="Z40" s="420"/>
      <c r="AA40" s="421"/>
      <c r="AB40" s="422"/>
      <c r="AC40" s="423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419"/>
      <c r="Z41" s="420"/>
      <c r="AA41" s="421"/>
      <c r="AB41" s="422"/>
      <c r="AC41" s="423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419"/>
      <c r="Z42" s="420"/>
      <c r="AA42" s="421"/>
      <c r="AB42" s="422"/>
      <c r="AC42" s="423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19"/>
      <c r="Z43" s="420"/>
      <c r="AA43" s="421"/>
      <c r="AB43" s="422"/>
      <c r="AC43" s="423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419"/>
      <c r="Z44" s="420"/>
      <c r="AA44" s="421"/>
      <c r="AB44" s="422"/>
      <c r="AC44" s="423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419"/>
      <c r="Z45" s="420"/>
      <c r="AA45" s="421"/>
      <c r="AB45" s="422"/>
      <c r="AC45" s="423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419"/>
      <c r="Z46" s="420"/>
      <c r="AA46" s="421"/>
      <c r="AB46" s="422"/>
      <c r="AC46" s="423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33:Z33"/>
    <mergeCell ref="AA33:AC33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12:Z12"/>
    <mergeCell ref="AA12:AC12"/>
    <mergeCell ref="Y13:Z13"/>
    <mergeCell ref="AA13:AC13"/>
    <mergeCell ref="Y14:Z14"/>
    <mergeCell ref="AA14:AC14"/>
    <mergeCell ref="R1:X1"/>
    <mergeCell ref="Y1:AO1"/>
    <mergeCell ref="AP1:AT1"/>
    <mergeCell ref="Y9:Z9"/>
    <mergeCell ref="AA9:AC9"/>
    <mergeCell ref="Y11:Z11"/>
    <mergeCell ref="AA11:AC11"/>
    <mergeCell ref="AG6:AG7"/>
    <mergeCell ref="AH6:AH7"/>
    <mergeCell ref="AE6:AE7"/>
    <mergeCell ref="AF6:AF7"/>
    <mergeCell ref="AI6:AR6"/>
    <mergeCell ref="Y8:Z8"/>
    <mergeCell ref="Y10:Z10"/>
    <mergeCell ref="AA8:AC8"/>
    <mergeCell ref="AA10:AC10"/>
    <mergeCell ref="AU1:AY1"/>
    <mergeCell ref="AP4:AT4"/>
    <mergeCell ref="AU4:AY4"/>
    <mergeCell ref="AS6:BD7"/>
    <mergeCell ref="AZ4:BD4"/>
    <mergeCell ref="A6:A7"/>
    <mergeCell ref="B6:H7"/>
    <mergeCell ref="I6:Q7"/>
    <mergeCell ref="R6:X7"/>
    <mergeCell ref="Y6:Z7"/>
    <mergeCell ref="AA6:AC7"/>
    <mergeCell ref="AD6:AD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  <dataValidation imeMode="hiragana" allowBlank="1" showInputMessage="1" showErrorMessage="1" sqref="JO65537:JZ65539 TK65537:TV65539 ADG65537:ADR65539 ANC65537:ANN65539 AWY65537:AXJ65539 BGU65537:BHF65539 BQQ65537:BRB65539 CAM65537:CAX65539 CKI65537:CKT65539 CUE65537:CUP65539 DEA65537:DEL65539 DNW65537:DOH65539 DXS65537:DYD65539 EHO65537:EHZ65539 ERK65537:ERV65539 FBG65537:FBR65539 FLC65537:FLN65539 FUY65537:FVJ65539 GEU65537:GFF65539 GOQ65537:GPB65539 GYM65537:GYX65539 HII65537:HIT65539 HSE65537:HSP65539 ICA65537:ICL65539 ILW65537:IMH65539 IVS65537:IWD65539 JFO65537:JFZ65539 JPK65537:JPV65539 JZG65537:JZR65539 KJC65537:KJN65539 KSY65537:KTJ65539 LCU65537:LDF65539 LMQ65537:LNB65539 LWM65537:LWX65539 MGI65537:MGT65539 MQE65537:MQP65539 NAA65537:NAL65539 NJW65537:NKH65539 NTS65537:NUD65539 ODO65537:ODZ65539 ONK65537:ONV65539 OXG65537:OXR65539 PHC65537:PHN65539 PQY65537:PRJ65539 QAU65537:QBF65539 QKQ65537:QLB65539 QUM65537:QUX65539 REI65537:RET65539 ROE65537:ROP65539 RYA65537:RYL65539 SHW65537:SIH65539 SRS65537:SSD65539 TBO65537:TBZ65539 TLK65537:TLV65539 TVG65537:TVR65539 UFC65537:UFN65539 UOY65537:UPJ65539 UYU65537:UZF65539 VIQ65537:VJB65539 VSM65537:VSX65539 WCI65537:WCT65539 WME65537:WMP65539 WWA65537:WWL65539 JO131073:JZ131075 TK131073:TV131075 ADG131073:ADR131075 ANC131073:ANN131075 AWY131073:AXJ131075 BGU131073:BHF131075 BQQ131073:BRB131075 CAM131073:CAX131075 CKI131073:CKT131075 CUE131073:CUP131075 DEA131073:DEL131075 DNW131073:DOH131075 DXS131073:DYD131075 EHO131073:EHZ131075 ERK131073:ERV131075 FBG131073:FBR131075 FLC131073:FLN131075 FUY131073:FVJ131075 GEU131073:GFF131075 GOQ131073:GPB131075 GYM131073:GYX131075 HII131073:HIT131075 HSE131073:HSP131075 ICA131073:ICL131075 ILW131073:IMH131075 IVS131073:IWD131075 JFO131073:JFZ131075 JPK131073:JPV131075 JZG131073:JZR131075 KJC131073:KJN131075 KSY131073:KTJ131075 LCU131073:LDF131075 LMQ131073:LNB131075 LWM131073:LWX131075 MGI131073:MGT131075 MQE131073:MQP131075 NAA131073:NAL131075 NJW131073:NKH131075 NTS131073:NUD131075 ODO131073:ODZ131075 ONK131073:ONV131075 OXG131073:OXR131075 PHC131073:PHN131075 PQY131073:PRJ131075 QAU131073:QBF131075 QKQ131073:QLB131075 QUM131073:QUX131075 REI131073:RET131075 ROE131073:ROP131075 RYA131073:RYL131075 SHW131073:SIH131075 SRS131073:SSD131075 TBO131073:TBZ131075 TLK131073:TLV131075 TVG131073:TVR131075 UFC131073:UFN131075 UOY131073:UPJ131075 UYU131073:UZF131075 VIQ131073:VJB131075 VSM131073:VSX131075 WCI131073:WCT131075 WME131073:WMP131075 WWA131073:WWL131075 JO196609:JZ196611 TK196609:TV196611 ADG196609:ADR196611 ANC196609:ANN196611 AWY196609:AXJ196611 BGU196609:BHF196611 BQQ196609:BRB196611 CAM196609:CAX196611 CKI196609:CKT196611 CUE196609:CUP196611 DEA196609:DEL196611 DNW196609:DOH196611 DXS196609:DYD196611 EHO196609:EHZ196611 ERK196609:ERV196611 FBG196609:FBR196611 FLC196609:FLN196611 FUY196609:FVJ196611 GEU196609:GFF196611 GOQ196609:GPB196611 GYM196609:GYX196611 HII196609:HIT196611 HSE196609:HSP196611 ICA196609:ICL196611 ILW196609:IMH196611 IVS196609:IWD196611 JFO196609:JFZ196611 JPK196609:JPV196611 JZG196609:JZR196611 KJC196609:KJN196611 KSY196609:KTJ196611 LCU196609:LDF196611 LMQ196609:LNB196611 LWM196609:LWX196611 MGI196609:MGT196611 MQE196609:MQP196611 NAA196609:NAL196611 NJW196609:NKH196611 NTS196609:NUD196611 ODO196609:ODZ196611 ONK196609:ONV196611 OXG196609:OXR196611 PHC196609:PHN196611 PQY196609:PRJ196611 QAU196609:QBF196611 QKQ196609:QLB196611 QUM196609:QUX196611 REI196609:RET196611 ROE196609:ROP196611 RYA196609:RYL196611 SHW196609:SIH196611 SRS196609:SSD196611 TBO196609:TBZ196611 TLK196609:TLV196611 TVG196609:TVR196611 UFC196609:UFN196611 UOY196609:UPJ196611 UYU196609:UZF196611 VIQ196609:VJB196611 VSM196609:VSX196611 WCI196609:WCT196611 WME196609:WMP196611 WWA196609:WWL196611 JO262145:JZ262147 TK262145:TV262147 ADG262145:ADR262147 ANC262145:ANN262147 AWY262145:AXJ262147 BGU262145:BHF262147 BQQ262145:BRB262147 CAM262145:CAX262147 CKI262145:CKT262147 CUE262145:CUP262147 DEA262145:DEL262147 DNW262145:DOH262147 DXS262145:DYD262147 EHO262145:EHZ262147 ERK262145:ERV262147 FBG262145:FBR262147 FLC262145:FLN262147 FUY262145:FVJ262147 GEU262145:GFF262147 GOQ262145:GPB262147 GYM262145:GYX262147 HII262145:HIT262147 HSE262145:HSP262147 ICA262145:ICL262147 ILW262145:IMH262147 IVS262145:IWD262147 JFO262145:JFZ262147 JPK262145:JPV262147 JZG262145:JZR262147 KJC262145:KJN262147 KSY262145:KTJ262147 LCU262145:LDF262147 LMQ262145:LNB262147 LWM262145:LWX262147 MGI262145:MGT262147 MQE262145:MQP262147 NAA262145:NAL262147 NJW262145:NKH262147 NTS262145:NUD262147 ODO262145:ODZ262147 ONK262145:ONV262147 OXG262145:OXR262147 PHC262145:PHN262147 PQY262145:PRJ262147 QAU262145:QBF262147 QKQ262145:QLB262147 QUM262145:QUX262147 REI262145:RET262147 ROE262145:ROP262147 RYA262145:RYL262147 SHW262145:SIH262147 SRS262145:SSD262147 TBO262145:TBZ262147 TLK262145:TLV262147 TVG262145:TVR262147 UFC262145:UFN262147 UOY262145:UPJ262147 UYU262145:UZF262147 VIQ262145:VJB262147 VSM262145:VSX262147 WCI262145:WCT262147 WME262145:WMP262147 WWA262145:WWL262147 JO327681:JZ327683 TK327681:TV327683 ADG327681:ADR327683 ANC327681:ANN327683 AWY327681:AXJ327683 BGU327681:BHF327683 BQQ327681:BRB327683 CAM327681:CAX327683 CKI327681:CKT327683 CUE327681:CUP327683 DEA327681:DEL327683 DNW327681:DOH327683 DXS327681:DYD327683 EHO327681:EHZ327683 ERK327681:ERV327683 FBG327681:FBR327683 FLC327681:FLN327683 FUY327681:FVJ327683 GEU327681:GFF327683 GOQ327681:GPB327683 GYM327681:GYX327683 HII327681:HIT327683 HSE327681:HSP327683 ICA327681:ICL327683 ILW327681:IMH327683 IVS327681:IWD327683 JFO327681:JFZ327683 JPK327681:JPV327683 JZG327681:JZR327683 KJC327681:KJN327683 KSY327681:KTJ327683 LCU327681:LDF327683 LMQ327681:LNB327683 LWM327681:LWX327683 MGI327681:MGT327683 MQE327681:MQP327683 NAA327681:NAL327683 NJW327681:NKH327683 NTS327681:NUD327683 ODO327681:ODZ327683 ONK327681:ONV327683 OXG327681:OXR327683 PHC327681:PHN327683 PQY327681:PRJ327683 QAU327681:QBF327683 QKQ327681:QLB327683 QUM327681:QUX327683 REI327681:RET327683 ROE327681:ROP327683 RYA327681:RYL327683 SHW327681:SIH327683 SRS327681:SSD327683 TBO327681:TBZ327683 TLK327681:TLV327683 TVG327681:TVR327683 UFC327681:UFN327683 UOY327681:UPJ327683 UYU327681:UZF327683 VIQ327681:VJB327683 VSM327681:VSX327683 WCI327681:WCT327683 WME327681:WMP327683 WWA327681:WWL327683 JO393217:JZ393219 TK393217:TV393219 ADG393217:ADR393219 ANC393217:ANN393219 AWY393217:AXJ393219 BGU393217:BHF393219 BQQ393217:BRB393219 CAM393217:CAX393219 CKI393217:CKT393219 CUE393217:CUP393219 DEA393217:DEL393219 DNW393217:DOH393219 DXS393217:DYD393219 EHO393217:EHZ393219 ERK393217:ERV393219 FBG393217:FBR393219 FLC393217:FLN393219 FUY393217:FVJ393219 GEU393217:GFF393219 GOQ393217:GPB393219 GYM393217:GYX393219 HII393217:HIT393219 HSE393217:HSP393219 ICA393217:ICL393219 ILW393217:IMH393219 IVS393217:IWD393219 JFO393217:JFZ393219 JPK393217:JPV393219 JZG393217:JZR393219 KJC393217:KJN393219 KSY393217:KTJ393219 LCU393217:LDF393219 LMQ393217:LNB393219 LWM393217:LWX393219 MGI393217:MGT393219 MQE393217:MQP393219 NAA393217:NAL393219 NJW393217:NKH393219 NTS393217:NUD393219 ODO393217:ODZ393219 ONK393217:ONV393219 OXG393217:OXR393219 PHC393217:PHN393219 PQY393217:PRJ393219 QAU393217:QBF393219 QKQ393217:QLB393219 QUM393217:QUX393219 REI393217:RET393219 ROE393217:ROP393219 RYA393217:RYL393219 SHW393217:SIH393219 SRS393217:SSD393219 TBO393217:TBZ393219 TLK393217:TLV393219 TVG393217:TVR393219 UFC393217:UFN393219 UOY393217:UPJ393219 UYU393217:UZF393219 VIQ393217:VJB393219 VSM393217:VSX393219 WCI393217:WCT393219 WME393217:WMP393219 WWA393217:WWL393219 JO458753:JZ458755 TK458753:TV458755 ADG458753:ADR458755 ANC458753:ANN458755 AWY458753:AXJ458755 BGU458753:BHF458755 BQQ458753:BRB458755 CAM458753:CAX458755 CKI458753:CKT458755 CUE458753:CUP458755 DEA458753:DEL458755 DNW458753:DOH458755 DXS458753:DYD458755 EHO458753:EHZ458755 ERK458753:ERV458755 FBG458753:FBR458755 FLC458753:FLN458755 FUY458753:FVJ458755 GEU458753:GFF458755 GOQ458753:GPB458755 GYM458753:GYX458755 HII458753:HIT458755 HSE458753:HSP458755 ICA458753:ICL458755 ILW458753:IMH458755 IVS458753:IWD458755 JFO458753:JFZ458755 JPK458753:JPV458755 JZG458753:JZR458755 KJC458753:KJN458755 KSY458753:KTJ458755 LCU458753:LDF458755 LMQ458753:LNB458755 LWM458753:LWX458755 MGI458753:MGT458755 MQE458753:MQP458755 NAA458753:NAL458755 NJW458753:NKH458755 NTS458753:NUD458755 ODO458753:ODZ458755 ONK458753:ONV458755 OXG458753:OXR458755 PHC458753:PHN458755 PQY458753:PRJ458755 QAU458753:QBF458755 QKQ458753:QLB458755 QUM458753:QUX458755 REI458753:RET458755 ROE458753:ROP458755 RYA458753:RYL458755 SHW458753:SIH458755 SRS458753:SSD458755 TBO458753:TBZ458755 TLK458753:TLV458755 TVG458753:TVR458755 UFC458753:UFN458755 UOY458753:UPJ458755 UYU458753:UZF458755 VIQ458753:VJB458755 VSM458753:VSX458755 WCI458753:WCT458755 WME458753:WMP458755 WWA458753:WWL458755 JO524289:JZ524291 TK524289:TV524291 ADG524289:ADR524291 ANC524289:ANN524291 AWY524289:AXJ524291 BGU524289:BHF524291 BQQ524289:BRB524291 CAM524289:CAX524291 CKI524289:CKT524291 CUE524289:CUP524291 DEA524289:DEL524291 DNW524289:DOH524291 DXS524289:DYD524291 EHO524289:EHZ524291 ERK524289:ERV524291 FBG524289:FBR524291 FLC524289:FLN524291 FUY524289:FVJ524291 GEU524289:GFF524291 GOQ524289:GPB524291 GYM524289:GYX524291 HII524289:HIT524291 HSE524289:HSP524291 ICA524289:ICL524291 ILW524289:IMH524291 IVS524289:IWD524291 JFO524289:JFZ524291 JPK524289:JPV524291 JZG524289:JZR524291 KJC524289:KJN524291 KSY524289:KTJ524291 LCU524289:LDF524291 LMQ524289:LNB524291 LWM524289:LWX524291 MGI524289:MGT524291 MQE524289:MQP524291 NAA524289:NAL524291 NJW524289:NKH524291 NTS524289:NUD524291 ODO524289:ODZ524291 ONK524289:ONV524291 OXG524289:OXR524291 PHC524289:PHN524291 PQY524289:PRJ524291 QAU524289:QBF524291 QKQ524289:QLB524291 QUM524289:QUX524291 REI524289:RET524291 ROE524289:ROP524291 RYA524289:RYL524291 SHW524289:SIH524291 SRS524289:SSD524291 TBO524289:TBZ524291 TLK524289:TLV524291 TVG524289:TVR524291 UFC524289:UFN524291 UOY524289:UPJ524291 UYU524289:UZF524291 VIQ524289:VJB524291 VSM524289:VSX524291 WCI524289:WCT524291 WME524289:WMP524291 WWA524289:WWL524291 JO589825:JZ589827 TK589825:TV589827 ADG589825:ADR589827 ANC589825:ANN589827 AWY589825:AXJ589827 BGU589825:BHF589827 BQQ589825:BRB589827 CAM589825:CAX589827 CKI589825:CKT589827 CUE589825:CUP589827 DEA589825:DEL589827 DNW589825:DOH589827 DXS589825:DYD589827 EHO589825:EHZ589827 ERK589825:ERV589827 FBG589825:FBR589827 FLC589825:FLN589827 FUY589825:FVJ589827 GEU589825:GFF589827 GOQ589825:GPB589827 GYM589825:GYX589827 HII589825:HIT589827 HSE589825:HSP589827 ICA589825:ICL589827 ILW589825:IMH589827 IVS589825:IWD589827 JFO589825:JFZ589827 JPK589825:JPV589827 JZG589825:JZR589827 KJC589825:KJN589827 KSY589825:KTJ589827 LCU589825:LDF589827 LMQ589825:LNB589827 LWM589825:LWX589827 MGI589825:MGT589827 MQE589825:MQP589827 NAA589825:NAL589827 NJW589825:NKH589827 NTS589825:NUD589827 ODO589825:ODZ589827 ONK589825:ONV589827 OXG589825:OXR589827 PHC589825:PHN589827 PQY589825:PRJ589827 QAU589825:QBF589827 QKQ589825:QLB589827 QUM589825:QUX589827 REI589825:RET589827 ROE589825:ROP589827 RYA589825:RYL589827 SHW589825:SIH589827 SRS589825:SSD589827 TBO589825:TBZ589827 TLK589825:TLV589827 TVG589825:TVR589827 UFC589825:UFN589827 UOY589825:UPJ589827 UYU589825:UZF589827 VIQ589825:VJB589827 VSM589825:VSX589827 WCI589825:WCT589827 WME589825:WMP589827 WWA589825:WWL589827 JO655361:JZ655363 TK655361:TV655363 ADG655361:ADR655363 ANC655361:ANN655363 AWY655361:AXJ655363 BGU655361:BHF655363 BQQ655361:BRB655363 CAM655361:CAX655363 CKI655361:CKT655363 CUE655361:CUP655363 DEA655361:DEL655363 DNW655361:DOH655363 DXS655361:DYD655363 EHO655361:EHZ655363 ERK655361:ERV655363 FBG655361:FBR655363 FLC655361:FLN655363 FUY655361:FVJ655363 GEU655361:GFF655363 GOQ655361:GPB655363 GYM655361:GYX655363 HII655361:HIT655363 HSE655361:HSP655363 ICA655361:ICL655363 ILW655361:IMH655363 IVS655361:IWD655363 JFO655361:JFZ655363 JPK655361:JPV655363 JZG655361:JZR655363 KJC655361:KJN655363 KSY655361:KTJ655363 LCU655361:LDF655363 LMQ655361:LNB655363 LWM655361:LWX655363 MGI655361:MGT655363 MQE655361:MQP655363 NAA655361:NAL655363 NJW655361:NKH655363 NTS655361:NUD655363 ODO655361:ODZ655363 ONK655361:ONV655363 OXG655361:OXR655363 PHC655361:PHN655363 PQY655361:PRJ655363 QAU655361:QBF655363 QKQ655361:QLB655363 QUM655361:QUX655363 REI655361:RET655363 ROE655361:ROP655363 RYA655361:RYL655363 SHW655361:SIH655363 SRS655361:SSD655363 TBO655361:TBZ655363 TLK655361:TLV655363 TVG655361:TVR655363 UFC655361:UFN655363 UOY655361:UPJ655363 UYU655361:UZF655363 VIQ655361:VJB655363 VSM655361:VSX655363 WCI655361:WCT655363 WME655361:WMP655363 WWA655361:WWL655363 JO720897:JZ720899 TK720897:TV720899 ADG720897:ADR720899 ANC720897:ANN720899 AWY720897:AXJ720899 BGU720897:BHF720899 BQQ720897:BRB720899 CAM720897:CAX720899 CKI720897:CKT720899 CUE720897:CUP720899 DEA720897:DEL720899 DNW720897:DOH720899 DXS720897:DYD720899 EHO720897:EHZ720899 ERK720897:ERV720899 FBG720897:FBR720899 FLC720897:FLN720899 FUY720897:FVJ720899 GEU720897:GFF720899 GOQ720897:GPB720899 GYM720897:GYX720899 HII720897:HIT720899 HSE720897:HSP720899 ICA720897:ICL720899 ILW720897:IMH720899 IVS720897:IWD720899 JFO720897:JFZ720899 JPK720897:JPV720899 JZG720897:JZR720899 KJC720897:KJN720899 KSY720897:KTJ720899 LCU720897:LDF720899 LMQ720897:LNB720899 LWM720897:LWX720899 MGI720897:MGT720899 MQE720897:MQP720899 NAA720897:NAL720899 NJW720897:NKH720899 NTS720897:NUD720899 ODO720897:ODZ720899 ONK720897:ONV720899 OXG720897:OXR720899 PHC720897:PHN720899 PQY720897:PRJ720899 QAU720897:QBF720899 QKQ720897:QLB720899 QUM720897:QUX720899 REI720897:RET720899 ROE720897:ROP720899 RYA720897:RYL720899 SHW720897:SIH720899 SRS720897:SSD720899 TBO720897:TBZ720899 TLK720897:TLV720899 TVG720897:TVR720899 UFC720897:UFN720899 UOY720897:UPJ720899 UYU720897:UZF720899 VIQ720897:VJB720899 VSM720897:VSX720899 WCI720897:WCT720899 WME720897:WMP720899 WWA720897:WWL720899 JO786433:JZ786435 TK786433:TV786435 ADG786433:ADR786435 ANC786433:ANN786435 AWY786433:AXJ786435 BGU786433:BHF786435 BQQ786433:BRB786435 CAM786433:CAX786435 CKI786433:CKT786435 CUE786433:CUP786435 DEA786433:DEL786435 DNW786433:DOH786435 DXS786433:DYD786435 EHO786433:EHZ786435 ERK786433:ERV786435 FBG786433:FBR786435 FLC786433:FLN786435 FUY786433:FVJ786435 GEU786433:GFF786435 GOQ786433:GPB786435 GYM786433:GYX786435 HII786433:HIT786435 HSE786433:HSP786435 ICA786433:ICL786435 ILW786433:IMH786435 IVS786433:IWD786435 JFO786433:JFZ786435 JPK786433:JPV786435 JZG786433:JZR786435 KJC786433:KJN786435 KSY786433:KTJ786435 LCU786433:LDF786435 LMQ786433:LNB786435 LWM786433:LWX786435 MGI786433:MGT786435 MQE786433:MQP786435 NAA786433:NAL786435 NJW786433:NKH786435 NTS786433:NUD786435 ODO786433:ODZ786435 ONK786433:ONV786435 OXG786433:OXR786435 PHC786433:PHN786435 PQY786433:PRJ786435 QAU786433:QBF786435 QKQ786433:QLB786435 QUM786433:QUX786435 REI786433:RET786435 ROE786433:ROP786435 RYA786433:RYL786435 SHW786433:SIH786435 SRS786433:SSD786435 TBO786433:TBZ786435 TLK786433:TLV786435 TVG786433:TVR786435 UFC786433:UFN786435 UOY786433:UPJ786435 UYU786433:UZF786435 VIQ786433:VJB786435 VSM786433:VSX786435 WCI786433:WCT786435 WME786433:WMP786435 WWA786433:WWL786435 JO851969:JZ851971 TK851969:TV851971 ADG851969:ADR851971 ANC851969:ANN851971 AWY851969:AXJ851971 BGU851969:BHF851971 BQQ851969:BRB851971 CAM851969:CAX851971 CKI851969:CKT851971 CUE851969:CUP851971 DEA851969:DEL851971 DNW851969:DOH851971 DXS851969:DYD851971 EHO851969:EHZ851971 ERK851969:ERV851971 FBG851969:FBR851971 FLC851969:FLN851971 FUY851969:FVJ851971 GEU851969:GFF851971 GOQ851969:GPB851971 GYM851969:GYX851971 HII851969:HIT851971 HSE851969:HSP851971 ICA851969:ICL851971 ILW851969:IMH851971 IVS851969:IWD851971 JFO851969:JFZ851971 JPK851969:JPV851971 JZG851969:JZR851971 KJC851969:KJN851971 KSY851969:KTJ851971 LCU851969:LDF851971 LMQ851969:LNB851971 LWM851969:LWX851971 MGI851969:MGT851971 MQE851969:MQP851971 NAA851969:NAL851971 NJW851969:NKH851971 NTS851969:NUD851971 ODO851969:ODZ851971 ONK851969:ONV851971 OXG851969:OXR851971 PHC851969:PHN851971 PQY851969:PRJ851971 QAU851969:QBF851971 QKQ851969:QLB851971 QUM851969:QUX851971 REI851969:RET851971 ROE851969:ROP851971 RYA851969:RYL851971 SHW851969:SIH851971 SRS851969:SSD851971 TBO851969:TBZ851971 TLK851969:TLV851971 TVG851969:TVR851971 UFC851969:UFN851971 UOY851969:UPJ851971 UYU851969:UZF851971 VIQ851969:VJB851971 VSM851969:VSX851971 WCI851969:WCT851971 WME851969:WMP851971 WWA851969:WWL851971 JO917505:JZ917507 TK917505:TV917507 ADG917505:ADR917507 ANC917505:ANN917507 AWY917505:AXJ917507 BGU917505:BHF917507 BQQ917505:BRB917507 CAM917505:CAX917507 CKI917505:CKT917507 CUE917505:CUP917507 DEA917505:DEL917507 DNW917505:DOH917507 DXS917505:DYD917507 EHO917505:EHZ917507 ERK917505:ERV917507 FBG917505:FBR917507 FLC917505:FLN917507 FUY917505:FVJ917507 GEU917505:GFF917507 GOQ917505:GPB917507 GYM917505:GYX917507 HII917505:HIT917507 HSE917505:HSP917507 ICA917505:ICL917507 ILW917505:IMH917507 IVS917505:IWD917507 JFO917505:JFZ917507 JPK917505:JPV917507 JZG917505:JZR917507 KJC917505:KJN917507 KSY917505:KTJ917507 LCU917505:LDF917507 LMQ917505:LNB917507 LWM917505:LWX917507 MGI917505:MGT917507 MQE917505:MQP917507 NAA917505:NAL917507 NJW917505:NKH917507 NTS917505:NUD917507 ODO917505:ODZ917507 ONK917505:ONV917507 OXG917505:OXR917507 PHC917505:PHN917507 PQY917505:PRJ917507 QAU917505:QBF917507 QKQ917505:QLB917507 QUM917505:QUX917507 REI917505:RET917507 ROE917505:ROP917507 RYA917505:RYL917507 SHW917505:SIH917507 SRS917505:SSD917507 TBO917505:TBZ917507 TLK917505:TLV917507 TVG917505:TVR917507 UFC917505:UFN917507 UOY917505:UPJ917507 UYU917505:UZF917507 VIQ917505:VJB917507 VSM917505:VSX917507 WCI917505:WCT917507 WME917505:WMP917507 WWA917505:WWL917507 JO983041:JZ983043 TK983041:TV983043 ADG983041:ADR983043 ANC983041:ANN983043 AWY983041:AXJ983043 BGU983041:BHF983043 BQQ983041:BRB983043 CAM983041:CAX983043 CKI983041:CKT983043 CUE983041:CUP983043 DEA983041:DEL983043 DNW983041:DOH983043 DXS983041:DYD983043 EHO983041:EHZ983043 ERK983041:ERV983043 FBG983041:FBR983043 FLC983041:FLN983043 FUY983041:FVJ983043 GEU983041:GFF983043 GOQ983041:GPB983043 GYM983041:GYX983043 HII983041:HIT983043 HSE983041:HSP983043 ICA983041:ICL983043 ILW983041:IMH983043 IVS983041:IWD983043 JFO983041:JFZ983043 JPK983041:JPV983043 JZG983041:JZR983043 KJC983041:KJN983043 KSY983041:KTJ983043 LCU983041:LDF983043 LMQ983041:LNB983043 LWM983041:LWX983043 MGI983041:MGT983043 MQE983041:MQP983043 NAA983041:NAL983043 NJW983041:NKH983043 NTS983041:NUD983043 ODO983041:ODZ983043 ONK983041:ONV983043 OXG983041:OXR983043 PHC983041:PHN983043 PQY983041:PRJ983043 QAU983041:QBF983043 QKQ983041:QLB983043 QUM983041:QUX983043 REI983041:RET983043 ROE983041:ROP983043 RYA983041:RYL983043 SHW983041:SIH983043 SRS983041:SSD983043 TBO983041:TBZ983043 TLK983041:TLV983043 TVG983041:TVR983043 UFC983041:UFN983043 UOY983041:UPJ983043 UYU983041:UZF983043 VIQ983041:VJB983043 VSM983041:VSX983043 WCI983041:WCT983043 WME983041:WMP983043 WWA983041:WWL983043 Z262145:AJ262147 Z196609:AJ196611 Z131073:AJ131075 Z65537:AJ65539 Z983041:AJ983043 Z917505:AJ917507 Z851969:AJ851971 Z786433:AJ786435 Z720897:AJ720899 Z655361:AJ655363 Z589825:AJ589827 Z524289:AJ524291 Z458753:AJ458755 Z393217:AJ393219 Z327681:AJ32768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/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J813"/>
  <sheetViews>
    <sheetView workbookViewId="0">
      <pane ySplit="3" topLeftCell="A4" activePane="bottomLeft" state="frozen"/>
      <selection sqref="A1:T4"/>
      <selection pane="bottomLeft"/>
    </sheetView>
  </sheetViews>
  <sheetFormatPr defaultRowHeight="14.4"/>
  <cols>
    <col min="1" max="1" width="4.6328125" customWidth="1"/>
    <col min="2" max="2" width="23.6328125" bestFit="1" customWidth="1"/>
    <col min="3" max="5" width="20.6328125" customWidth="1"/>
    <col min="6" max="7" width="10.6328125" customWidth="1"/>
    <col min="8" max="9" width="5.6328125" customWidth="1"/>
    <col min="10" max="10" width="8.7265625" style="16"/>
  </cols>
  <sheetData>
    <row r="1" spans="1:10" ht="18.600000000000001">
      <c r="A1" s="9" t="str">
        <f ca="1">RIGHT(CELL("filename",A1),LEN(CELL("filename",A1))-FIND("]",CELL("filename",A1)))</f>
        <v>項目一覧</v>
      </c>
      <c r="B1" s="10"/>
      <c r="C1" s="10"/>
      <c r="D1" s="10"/>
      <c r="E1" s="10"/>
      <c r="F1" s="10"/>
      <c r="G1" s="10"/>
      <c r="H1" s="10"/>
      <c r="I1" s="10"/>
      <c r="J1" s="11"/>
    </row>
    <row r="3" spans="1:10">
      <c r="A3" s="12" t="s">
        <v>444</v>
      </c>
      <c r="B3" s="12" t="s">
        <v>445</v>
      </c>
      <c r="C3" s="12" t="s">
        <v>446</v>
      </c>
      <c r="D3" s="12" t="s">
        <v>447</v>
      </c>
      <c r="E3" s="12" t="s">
        <v>448</v>
      </c>
      <c r="F3" s="12" t="s">
        <v>449</v>
      </c>
      <c r="G3" s="12" t="s">
        <v>450</v>
      </c>
      <c r="H3" s="12" t="s">
        <v>451</v>
      </c>
      <c r="I3" s="12" t="s">
        <v>452</v>
      </c>
      <c r="J3" s="13" t="s">
        <v>453</v>
      </c>
    </row>
    <row r="4" spans="1:10">
      <c r="A4" s="14">
        <f>IF(B4="","",COUNTA($B$4:B4))</f>
        <v>1</v>
      </c>
      <c r="B4" s="14" t="s">
        <v>1515</v>
      </c>
      <c r="C4" s="14" t="s">
        <v>148</v>
      </c>
      <c r="D4" s="14" t="s">
        <v>149</v>
      </c>
      <c r="E4" s="14" t="s">
        <v>148</v>
      </c>
      <c r="F4" s="14" t="s">
        <v>150</v>
      </c>
      <c r="G4" s="14" t="s">
        <v>151</v>
      </c>
      <c r="H4" s="14">
        <v>15</v>
      </c>
      <c r="I4" s="14"/>
      <c r="J4" s="14"/>
    </row>
    <row r="5" spans="1:10">
      <c r="A5" s="14">
        <f>IF(B5="","",COUNTA($B$4:B5))</f>
        <v>2</v>
      </c>
      <c r="B5" s="14" t="s">
        <v>1515</v>
      </c>
      <c r="C5" s="14" t="s">
        <v>153</v>
      </c>
      <c r="D5" s="14" t="s">
        <v>154</v>
      </c>
      <c r="E5" s="14" t="s">
        <v>153</v>
      </c>
      <c r="F5" s="14" t="s">
        <v>155</v>
      </c>
      <c r="G5" s="14" t="s">
        <v>156</v>
      </c>
      <c r="H5" s="14">
        <v>3</v>
      </c>
      <c r="I5" s="14"/>
      <c r="J5" s="14"/>
    </row>
    <row r="6" spans="1:10">
      <c r="A6" s="14">
        <f>IF(B6="","",COUNTA($B$4:B6))</f>
        <v>3</v>
      </c>
      <c r="B6" s="14" t="s">
        <v>1515</v>
      </c>
      <c r="C6" s="14" t="s">
        <v>157</v>
      </c>
      <c r="D6" s="14" t="s">
        <v>158</v>
      </c>
      <c r="E6" s="14" t="s">
        <v>157</v>
      </c>
      <c r="F6" s="14" t="s">
        <v>150</v>
      </c>
      <c r="G6" s="14" t="s">
        <v>151</v>
      </c>
      <c r="H6" s="14">
        <v>10</v>
      </c>
      <c r="I6" s="14"/>
      <c r="J6" s="14"/>
    </row>
    <row r="7" spans="1:10">
      <c r="A7" s="14">
        <f>IF(B7="","",COUNTA($B$4:B7))</f>
        <v>4</v>
      </c>
      <c r="B7" s="14" t="s">
        <v>1515</v>
      </c>
      <c r="C7" s="14" t="s">
        <v>159</v>
      </c>
      <c r="D7" s="14" t="s">
        <v>160</v>
      </c>
      <c r="E7" s="14" t="s">
        <v>159</v>
      </c>
      <c r="F7" s="14" t="s">
        <v>150</v>
      </c>
      <c r="G7" s="14" t="s">
        <v>151</v>
      </c>
      <c r="H7" s="14">
        <v>4</v>
      </c>
      <c r="I7" s="14"/>
      <c r="J7" s="14"/>
    </row>
    <row r="8" spans="1:10">
      <c r="A8" s="14">
        <f>IF(B8="","",COUNTA($B$4:B8))</f>
        <v>5</v>
      </c>
      <c r="B8" s="14" t="s">
        <v>1515</v>
      </c>
      <c r="C8" s="14" t="s">
        <v>162</v>
      </c>
      <c r="D8" s="14" t="s">
        <v>163</v>
      </c>
      <c r="E8" s="14" t="s">
        <v>164</v>
      </c>
      <c r="F8" s="14" t="s">
        <v>150</v>
      </c>
      <c r="G8" s="14" t="s">
        <v>151</v>
      </c>
      <c r="H8" s="14">
        <v>4</v>
      </c>
      <c r="I8" s="14"/>
      <c r="J8" s="14"/>
    </row>
    <row r="9" spans="1:10">
      <c r="A9" s="14">
        <f>IF(B9="","",COUNTA($B$4:B9))</f>
        <v>6</v>
      </c>
      <c r="B9" s="14" t="s">
        <v>1515</v>
      </c>
      <c r="C9" s="14" t="s">
        <v>166</v>
      </c>
      <c r="D9" s="14" t="s">
        <v>167</v>
      </c>
      <c r="E9" s="14" t="s">
        <v>168</v>
      </c>
      <c r="F9" s="14" t="s">
        <v>169</v>
      </c>
      <c r="G9" s="14" t="s">
        <v>170</v>
      </c>
      <c r="H9" s="14"/>
      <c r="I9" s="14"/>
      <c r="J9" s="14"/>
    </row>
    <row r="10" spans="1:10">
      <c r="A10" s="14">
        <f>IF(B10="","",COUNTA($B$4:B10))</f>
        <v>7</v>
      </c>
      <c r="B10" s="14" t="s">
        <v>1515</v>
      </c>
      <c r="C10" s="14" t="s">
        <v>174</v>
      </c>
      <c r="D10" s="14" t="s">
        <v>175</v>
      </c>
      <c r="E10" s="14" t="s">
        <v>176</v>
      </c>
      <c r="F10" s="14" t="s">
        <v>169</v>
      </c>
      <c r="G10" s="14" t="s">
        <v>170</v>
      </c>
      <c r="H10" s="14"/>
      <c r="I10" s="14"/>
      <c r="J10" s="14"/>
    </row>
    <row r="11" spans="1:10">
      <c r="A11" s="14">
        <f>IF(B11="","",COUNTA($B$4:B11))</f>
        <v>8</v>
      </c>
      <c r="B11" s="14" t="s">
        <v>1515</v>
      </c>
      <c r="C11" s="14" t="s">
        <v>172</v>
      </c>
      <c r="D11" s="14" t="s">
        <v>177</v>
      </c>
      <c r="E11" s="14" t="s">
        <v>172</v>
      </c>
      <c r="F11" s="14" t="s">
        <v>155</v>
      </c>
      <c r="G11" s="14" t="s">
        <v>156</v>
      </c>
      <c r="H11" s="14">
        <v>5</v>
      </c>
      <c r="I11" s="14">
        <v>1</v>
      </c>
      <c r="J11" s="14"/>
    </row>
    <row r="12" spans="1:10">
      <c r="A12" s="14">
        <f>IF(B12="","",COUNTA($B$4:B12))</f>
        <v>9</v>
      </c>
      <c r="B12" s="14" t="s">
        <v>1515</v>
      </c>
      <c r="C12" s="14" t="s">
        <v>178</v>
      </c>
      <c r="D12" s="14" t="s">
        <v>179</v>
      </c>
      <c r="E12" s="14" t="s">
        <v>178</v>
      </c>
      <c r="F12" s="14" t="s">
        <v>150</v>
      </c>
      <c r="G12" s="14" t="s">
        <v>151</v>
      </c>
      <c r="H12" s="14">
        <v>20</v>
      </c>
      <c r="I12" s="14"/>
      <c r="J12" s="14"/>
    </row>
    <row r="13" spans="1:10">
      <c r="A13" s="14">
        <f>IF(B13="","",COUNTA($B$4:B13))</f>
        <v>10</v>
      </c>
      <c r="B13" s="14" t="s">
        <v>1515</v>
      </c>
      <c r="C13" s="14" t="s">
        <v>181</v>
      </c>
      <c r="D13" s="14" t="s">
        <v>182</v>
      </c>
      <c r="E13" s="14" t="s">
        <v>181</v>
      </c>
      <c r="F13" s="14" t="s">
        <v>150</v>
      </c>
      <c r="G13" s="14" t="s">
        <v>151</v>
      </c>
      <c r="H13" s="14">
        <v>30</v>
      </c>
      <c r="I13" s="14"/>
      <c r="J13" s="14"/>
    </row>
    <row r="14" spans="1:10">
      <c r="A14" s="14">
        <f>IF(B14="","",COUNTA($B$4:B14))</f>
        <v>11</v>
      </c>
      <c r="B14" s="14" t="s">
        <v>1515</v>
      </c>
      <c r="C14" s="14" t="s">
        <v>183</v>
      </c>
      <c r="D14" s="14" t="s">
        <v>184</v>
      </c>
      <c r="E14" s="14" t="s">
        <v>183</v>
      </c>
      <c r="F14" s="14" t="s">
        <v>150</v>
      </c>
      <c r="G14" s="14" t="s">
        <v>151</v>
      </c>
      <c r="H14" s="14">
        <v>1000</v>
      </c>
      <c r="I14" s="14"/>
      <c r="J14" s="14"/>
    </row>
    <row r="15" spans="1:10">
      <c r="A15" s="14">
        <f>IF(B15="","",COUNTA($B$4:B15))</f>
        <v>12</v>
      </c>
      <c r="B15" s="14" t="s">
        <v>1515</v>
      </c>
      <c r="C15" s="14" t="s">
        <v>185</v>
      </c>
      <c r="D15" s="14" t="s">
        <v>186</v>
      </c>
      <c r="E15" s="14" t="s">
        <v>185</v>
      </c>
      <c r="F15" s="14" t="s">
        <v>150</v>
      </c>
      <c r="G15" s="14" t="s">
        <v>151</v>
      </c>
      <c r="H15" s="14">
        <v>75</v>
      </c>
      <c r="I15" s="14"/>
      <c r="J15" s="14"/>
    </row>
    <row r="16" spans="1:10">
      <c r="A16" s="14">
        <f>IF(B16="","",COUNTA($B$4:B16))</f>
        <v>13</v>
      </c>
      <c r="B16" s="14" t="s">
        <v>1515</v>
      </c>
      <c r="C16" s="14" t="s">
        <v>187</v>
      </c>
      <c r="D16" s="14" t="s">
        <v>188</v>
      </c>
      <c r="E16" s="14" t="s">
        <v>187</v>
      </c>
      <c r="F16" s="14" t="s">
        <v>155</v>
      </c>
      <c r="G16" s="14" t="s">
        <v>156</v>
      </c>
      <c r="H16" s="14">
        <v>3</v>
      </c>
      <c r="I16" s="14"/>
      <c r="J16" s="14"/>
    </row>
    <row r="17" spans="1:10">
      <c r="A17" s="14">
        <f>IF(B17="","",COUNTA($B$4:B17))</f>
        <v>14</v>
      </c>
      <c r="B17" s="14" t="s">
        <v>1515</v>
      </c>
      <c r="C17" s="14" t="s">
        <v>189</v>
      </c>
      <c r="D17" s="14" t="s">
        <v>190</v>
      </c>
      <c r="E17" s="14" t="s">
        <v>189</v>
      </c>
      <c r="F17" s="14" t="s">
        <v>155</v>
      </c>
      <c r="G17" s="14" t="s">
        <v>156</v>
      </c>
      <c r="H17" s="14">
        <v>3</v>
      </c>
      <c r="I17" s="14"/>
      <c r="J17" s="14"/>
    </row>
    <row r="18" spans="1:10">
      <c r="A18" s="14">
        <f>IF(B18="","",COUNTA($B$4:B18))</f>
        <v>15</v>
      </c>
      <c r="B18" s="14" t="s">
        <v>1515</v>
      </c>
      <c r="C18" s="14" t="s">
        <v>193</v>
      </c>
      <c r="D18" s="14" t="s">
        <v>194</v>
      </c>
      <c r="E18" s="14" t="s">
        <v>193</v>
      </c>
      <c r="F18" s="14" t="s">
        <v>150</v>
      </c>
      <c r="G18" s="14" t="s">
        <v>151</v>
      </c>
      <c r="H18" s="14">
        <v>25</v>
      </c>
      <c r="I18" s="14"/>
      <c r="J18" s="14"/>
    </row>
    <row r="19" spans="1:10">
      <c r="A19" s="14">
        <f>IF(B19="","",COUNTA($B$4:B19))</f>
        <v>16</v>
      </c>
      <c r="B19" s="14" t="s">
        <v>1515</v>
      </c>
      <c r="C19" s="14" t="s">
        <v>195</v>
      </c>
      <c r="D19" s="14" t="s">
        <v>196</v>
      </c>
      <c r="E19" s="14" t="s">
        <v>195</v>
      </c>
      <c r="F19" s="14" t="s">
        <v>150</v>
      </c>
      <c r="G19" s="14" t="s">
        <v>151</v>
      </c>
      <c r="H19" s="14">
        <v>400</v>
      </c>
      <c r="I19" s="14"/>
      <c r="J19" s="14"/>
    </row>
    <row r="20" spans="1:10">
      <c r="A20" s="14">
        <f>IF(B20="","",COUNTA($B$4:B20))</f>
        <v>17</v>
      </c>
      <c r="B20" s="14" t="s">
        <v>1515</v>
      </c>
      <c r="C20" s="14" t="s">
        <v>197</v>
      </c>
      <c r="D20" s="14" t="s">
        <v>198</v>
      </c>
      <c r="E20" s="14" t="s">
        <v>197</v>
      </c>
      <c r="F20" s="14" t="s">
        <v>150</v>
      </c>
      <c r="G20" s="14" t="s">
        <v>151</v>
      </c>
      <c r="H20" s="14">
        <v>5</v>
      </c>
      <c r="I20" s="14"/>
      <c r="J20" s="14"/>
    </row>
    <row r="21" spans="1:10">
      <c r="A21" s="14">
        <f>IF(B21="","",COUNTA($B$4:B21))</f>
        <v>18</v>
      </c>
      <c r="B21" s="14" t="s">
        <v>1515</v>
      </c>
      <c r="C21" s="14" t="s">
        <v>199</v>
      </c>
      <c r="D21" s="14" t="s">
        <v>200</v>
      </c>
      <c r="E21" s="14" t="s">
        <v>199</v>
      </c>
      <c r="F21" s="14" t="s">
        <v>150</v>
      </c>
      <c r="G21" s="14" t="s">
        <v>151</v>
      </c>
      <c r="H21" s="14">
        <v>20</v>
      </c>
      <c r="I21" s="14"/>
      <c r="J21" s="14"/>
    </row>
    <row r="22" spans="1:10">
      <c r="A22" s="14">
        <f>IF(B22="","",COUNTA($B$4:B22))</f>
        <v>19</v>
      </c>
      <c r="B22" s="14" t="s">
        <v>1515</v>
      </c>
      <c r="C22" s="14" t="s">
        <v>201</v>
      </c>
      <c r="D22" s="14" t="s">
        <v>202</v>
      </c>
      <c r="E22" s="14" t="s">
        <v>201</v>
      </c>
      <c r="F22" s="14" t="s">
        <v>150</v>
      </c>
      <c r="G22" s="14" t="s">
        <v>151</v>
      </c>
      <c r="H22" s="14">
        <v>30</v>
      </c>
      <c r="I22" s="14"/>
      <c r="J22" s="14"/>
    </row>
    <row r="23" spans="1:10">
      <c r="A23" s="14">
        <f>IF(B23="","",COUNTA($B$4:B23))</f>
        <v>20</v>
      </c>
      <c r="B23" s="14" t="s">
        <v>1515</v>
      </c>
      <c r="C23" s="14" t="s">
        <v>203</v>
      </c>
      <c r="D23" s="14" t="s">
        <v>204</v>
      </c>
      <c r="E23" s="14" t="s">
        <v>203</v>
      </c>
      <c r="F23" s="14" t="s">
        <v>155</v>
      </c>
      <c r="G23" s="14" t="s">
        <v>156</v>
      </c>
      <c r="H23" s="14">
        <v>5</v>
      </c>
      <c r="I23" s="14">
        <v>2</v>
      </c>
      <c r="J23" s="14"/>
    </row>
    <row r="24" spans="1:10">
      <c r="A24" s="14">
        <f>IF(B24="","",COUNTA($B$4:B24))</f>
        <v>21</v>
      </c>
      <c r="B24" s="14" t="s">
        <v>1515</v>
      </c>
      <c r="C24" s="14" t="s">
        <v>205</v>
      </c>
      <c r="D24" s="14" t="s">
        <v>206</v>
      </c>
      <c r="E24" s="14" t="s">
        <v>205</v>
      </c>
      <c r="F24" s="14" t="s">
        <v>155</v>
      </c>
      <c r="G24" s="14" t="s">
        <v>156</v>
      </c>
      <c r="H24" s="14">
        <v>4</v>
      </c>
      <c r="I24" s="14"/>
      <c r="J24" s="14"/>
    </row>
    <row r="25" spans="1:10">
      <c r="A25" s="14">
        <f>IF(B25="","",COUNTA($B$4:B25))</f>
        <v>22</v>
      </c>
      <c r="B25" s="14" t="s">
        <v>1515</v>
      </c>
      <c r="C25" s="14" t="s">
        <v>208</v>
      </c>
      <c r="D25" s="14" t="s">
        <v>209</v>
      </c>
      <c r="E25" s="14" t="s">
        <v>208</v>
      </c>
      <c r="F25" s="14" t="s">
        <v>155</v>
      </c>
      <c r="G25" s="14" t="s">
        <v>156</v>
      </c>
      <c r="H25" s="14">
        <v>5</v>
      </c>
      <c r="I25" s="14"/>
      <c r="J25" s="14"/>
    </row>
    <row r="26" spans="1:10">
      <c r="A26" s="14">
        <f>IF(B26="","",COUNTA($B$4:B26))</f>
        <v>23</v>
      </c>
      <c r="B26" s="14" t="s">
        <v>1515</v>
      </c>
      <c r="C26" s="14" t="s">
        <v>211</v>
      </c>
      <c r="D26" s="14" t="s">
        <v>212</v>
      </c>
      <c r="E26" s="14" t="s">
        <v>211</v>
      </c>
      <c r="F26" s="14" t="s">
        <v>155</v>
      </c>
      <c r="G26" s="14" t="s">
        <v>156</v>
      </c>
      <c r="H26" s="14">
        <v>5</v>
      </c>
      <c r="I26" s="14"/>
      <c r="J26" s="14"/>
    </row>
    <row r="27" spans="1:10">
      <c r="A27" s="14">
        <f>IF(B27="","",COUNTA($B$4:B27))</f>
        <v>24</v>
      </c>
      <c r="B27" s="14" t="s">
        <v>1515</v>
      </c>
      <c r="C27" s="14" t="s">
        <v>214</v>
      </c>
      <c r="D27" s="14" t="s">
        <v>215</v>
      </c>
      <c r="E27" s="14" t="s">
        <v>1518</v>
      </c>
      <c r="F27" s="14" t="s">
        <v>155</v>
      </c>
      <c r="G27" s="14" t="s">
        <v>156</v>
      </c>
      <c r="H27" s="14">
        <v>5</v>
      </c>
      <c r="I27" s="14"/>
      <c r="J27" s="14"/>
    </row>
    <row r="28" spans="1:10">
      <c r="A28" s="14">
        <f>IF(B28="","",COUNTA($B$4:B28))</f>
        <v>25</v>
      </c>
      <c r="B28" s="14" t="s">
        <v>1515</v>
      </c>
      <c r="C28" s="14" t="s">
        <v>217</v>
      </c>
      <c r="D28" s="14" t="s">
        <v>218</v>
      </c>
      <c r="E28" s="14" t="s">
        <v>219</v>
      </c>
      <c r="F28" s="14" t="s">
        <v>155</v>
      </c>
      <c r="G28" s="14" t="s">
        <v>156</v>
      </c>
      <c r="H28" s="14">
        <v>5</v>
      </c>
      <c r="I28" s="14"/>
      <c r="J28" s="14"/>
    </row>
    <row r="29" spans="1:10">
      <c r="A29" s="14">
        <f>IF(B29="","",COUNTA($B$4:B29))</f>
        <v>26</v>
      </c>
      <c r="B29" s="14" t="s">
        <v>1515</v>
      </c>
      <c r="C29" s="14" t="s">
        <v>220</v>
      </c>
      <c r="D29" s="14" t="s">
        <v>221</v>
      </c>
      <c r="E29" s="14" t="s">
        <v>220</v>
      </c>
      <c r="F29" s="14" t="s">
        <v>155</v>
      </c>
      <c r="G29" s="14" t="s">
        <v>156</v>
      </c>
      <c r="H29" s="14">
        <v>5</v>
      </c>
      <c r="I29" s="14"/>
      <c r="J29" s="14"/>
    </row>
    <row r="30" spans="1:10">
      <c r="A30" s="14">
        <f>IF(B30="","",COUNTA($B$4:B30))</f>
        <v>27</v>
      </c>
      <c r="B30" s="14" t="s">
        <v>1515</v>
      </c>
      <c r="C30" s="14" t="s">
        <v>222</v>
      </c>
      <c r="D30" s="14" t="s">
        <v>223</v>
      </c>
      <c r="E30" s="14" t="s">
        <v>222</v>
      </c>
      <c r="F30" s="14" t="s">
        <v>155</v>
      </c>
      <c r="G30" s="14" t="s">
        <v>156</v>
      </c>
      <c r="H30" s="14">
        <v>5</v>
      </c>
      <c r="I30" s="14"/>
      <c r="J30" s="14"/>
    </row>
    <row r="31" spans="1:10">
      <c r="A31" s="14">
        <f>IF(B31="","",COUNTA($B$4:B31))</f>
        <v>28</v>
      </c>
      <c r="B31" s="14" t="s">
        <v>1515</v>
      </c>
      <c r="C31" s="14" t="s">
        <v>224</v>
      </c>
      <c r="D31" s="14" t="s">
        <v>225</v>
      </c>
      <c r="E31" s="14" t="s">
        <v>224</v>
      </c>
      <c r="F31" s="14" t="s">
        <v>150</v>
      </c>
      <c r="G31" s="14" t="s">
        <v>151</v>
      </c>
      <c r="H31" s="14">
        <v>10</v>
      </c>
      <c r="I31" s="14"/>
      <c r="J31" s="14"/>
    </row>
    <row r="32" spans="1:10">
      <c r="A32" s="14">
        <f>IF(B32="","",COUNTA($B$4:B32))</f>
        <v>29</v>
      </c>
      <c r="B32" s="14" t="s">
        <v>1515</v>
      </c>
      <c r="C32" s="14" t="s">
        <v>226</v>
      </c>
      <c r="D32" s="14" t="s">
        <v>227</v>
      </c>
      <c r="E32" s="14" t="s">
        <v>226</v>
      </c>
      <c r="F32" s="14" t="s">
        <v>150</v>
      </c>
      <c r="G32" s="14" t="s">
        <v>151</v>
      </c>
      <c r="H32" s="14">
        <v>3</v>
      </c>
      <c r="I32" s="14"/>
      <c r="J32" s="14"/>
    </row>
    <row r="33" spans="1:10">
      <c r="A33" s="14">
        <f>IF(B33="","",COUNTA($B$4:B33))</f>
        <v>30</v>
      </c>
      <c r="B33" s="14" t="s">
        <v>1515</v>
      </c>
      <c r="C33" s="14" t="s">
        <v>228</v>
      </c>
      <c r="D33" s="14" t="s">
        <v>229</v>
      </c>
      <c r="E33" s="14" t="s">
        <v>228</v>
      </c>
      <c r="F33" s="14" t="s">
        <v>150</v>
      </c>
      <c r="G33" s="14" t="s">
        <v>151</v>
      </c>
      <c r="H33" s="14">
        <v>1000</v>
      </c>
      <c r="I33" s="14"/>
      <c r="J33" s="14"/>
    </row>
    <row r="34" spans="1:10">
      <c r="A34" s="14">
        <f>IF(B34="","",COUNTA($B$4:B34))</f>
        <v>31</v>
      </c>
      <c r="B34" s="14" t="s">
        <v>1515</v>
      </c>
      <c r="C34" s="14" t="s">
        <v>230</v>
      </c>
      <c r="D34" s="14" t="s">
        <v>231</v>
      </c>
      <c r="E34" s="14" t="s">
        <v>230</v>
      </c>
      <c r="F34" s="14" t="s">
        <v>169</v>
      </c>
      <c r="G34" s="14" t="s">
        <v>170</v>
      </c>
      <c r="H34" s="14"/>
      <c r="I34" s="14"/>
      <c r="J34" s="14"/>
    </row>
    <row r="35" spans="1:10">
      <c r="A35" s="14">
        <f>IF(B35="","",COUNTA($B$4:B35))</f>
        <v>32</v>
      </c>
      <c r="B35" s="14" t="s">
        <v>1515</v>
      </c>
      <c r="C35" s="14" t="s">
        <v>233</v>
      </c>
      <c r="D35" s="14" t="s">
        <v>234</v>
      </c>
      <c r="E35" s="14" t="s">
        <v>233</v>
      </c>
      <c r="F35" s="14" t="s">
        <v>155</v>
      </c>
      <c r="G35" s="14" t="s">
        <v>156</v>
      </c>
      <c r="H35" s="14">
        <v>1</v>
      </c>
      <c r="I35" s="14"/>
      <c r="J35" s="14"/>
    </row>
    <row r="36" spans="1:10">
      <c r="A36" s="14">
        <f>IF(B36="","",COUNTA($B$4:B36))</f>
        <v>33</v>
      </c>
      <c r="B36" s="14" t="s">
        <v>1515</v>
      </c>
      <c r="C36" s="14" t="s">
        <v>236</v>
      </c>
      <c r="D36" s="14" t="s">
        <v>237</v>
      </c>
      <c r="E36" s="14" t="s">
        <v>236</v>
      </c>
      <c r="F36" s="14" t="s">
        <v>155</v>
      </c>
      <c r="G36" s="14" t="s">
        <v>156</v>
      </c>
      <c r="H36" s="14">
        <v>1</v>
      </c>
      <c r="I36" s="14"/>
      <c r="J36" s="14"/>
    </row>
    <row r="37" spans="1:10">
      <c r="A37" s="14">
        <f>IF(B37="","",COUNTA($B$4:B37))</f>
        <v>34</v>
      </c>
      <c r="B37" s="14" t="s">
        <v>1515</v>
      </c>
      <c r="C37" s="14" t="s">
        <v>239</v>
      </c>
      <c r="D37" s="14" t="s">
        <v>240</v>
      </c>
      <c r="E37" s="14" t="s">
        <v>239</v>
      </c>
      <c r="F37" s="14" t="s">
        <v>169</v>
      </c>
      <c r="G37" s="14" t="s">
        <v>170</v>
      </c>
      <c r="H37" s="14"/>
      <c r="I37" s="14"/>
      <c r="J37" s="14"/>
    </row>
    <row r="38" spans="1:10">
      <c r="A38" s="14">
        <f>IF(B38="","",COUNTA($B$4:B38))</f>
        <v>35</v>
      </c>
      <c r="B38" s="14" t="s">
        <v>1515</v>
      </c>
      <c r="C38" s="14" t="s">
        <v>241</v>
      </c>
      <c r="D38" s="14" t="s">
        <v>242</v>
      </c>
      <c r="E38" s="14" t="s">
        <v>241</v>
      </c>
      <c r="F38" s="14" t="s">
        <v>150</v>
      </c>
      <c r="G38" s="14" t="s">
        <v>243</v>
      </c>
      <c r="H38" s="14"/>
      <c r="I38" s="14" t="s">
        <v>244</v>
      </c>
      <c r="J38" s="14"/>
    </row>
    <row r="39" spans="1:10">
      <c r="A39" s="14">
        <f>IF(B39="","",COUNTA($B$4:B39))</f>
        <v>36</v>
      </c>
      <c r="B39" s="14" t="s">
        <v>1515</v>
      </c>
      <c r="C39" s="14" t="s">
        <v>246</v>
      </c>
      <c r="D39" s="14" t="s">
        <v>247</v>
      </c>
      <c r="E39" s="14" t="s">
        <v>246</v>
      </c>
      <c r="F39" s="14" t="s">
        <v>150</v>
      </c>
      <c r="G39" s="14" t="s">
        <v>243</v>
      </c>
      <c r="H39" s="14"/>
      <c r="I39" s="14" t="s">
        <v>244</v>
      </c>
      <c r="J39" s="14"/>
    </row>
    <row r="40" spans="1:10">
      <c r="A40" s="14">
        <f>IF(B40="","",COUNTA($B$4:B40))</f>
        <v>37</v>
      </c>
      <c r="B40" s="14" t="s">
        <v>1515</v>
      </c>
      <c r="C40" s="14" t="s">
        <v>249</v>
      </c>
      <c r="D40" s="14" t="s">
        <v>250</v>
      </c>
      <c r="E40" s="14" t="s">
        <v>249</v>
      </c>
      <c r="F40" s="14" t="s">
        <v>150</v>
      </c>
      <c r="G40" s="14" t="s">
        <v>151</v>
      </c>
      <c r="H40" s="14">
        <v>4</v>
      </c>
      <c r="I40" s="14"/>
      <c r="J40" s="14"/>
    </row>
    <row r="41" spans="1:10">
      <c r="A41" s="14">
        <f>IF(B41="","",COUNTA($B$4:B41))</f>
        <v>38</v>
      </c>
      <c r="B41" s="14" t="s">
        <v>1515</v>
      </c>
      <c r="C41" s="14" t="s">
        <v>251</v>
      </c>
      <c r="D41" s="14" t="s">
        <v>252</v>
      </c>
      <c r="E41" s="14" t="s">
        <v>251</v>
      </c>
      <c r="F41" s="14" t="s">
        <v>150</v>
      </c>
      <c r="G41" s="14" t="s">
        <v>151</v>
      </c>
      <c r="H41" s="14">
        <v>4</v>
      </c>
      <c r="I41" s="14"/>
      <c r="J41" s="14"/>
    </row>
    <row r="42" spans="1:10">
      <c r="A42" s="14">
        <f>IF(B42="","",COUNTA($B$4:B42))</f>
        <v>39</v>
      </c>
      <c r="B42" s="14" t="s">
        <v>1515</v>
      </c>
      <c r="C42" s="14" t="s">
        <v>253</v>
      </c>
      <c r="D42" s="14" t="s">
        <v>254</v>
      </c>
      <c r="E42" s="14" t="s">
        <v>253</v>
      </c>
      <c r="F42" s="14" t="s">
        <v>150</v>
      </c>
      <c r="G42" s="14" t="s">
        <v>151</v>
      </c>
      <c r="H42" s="14">
        <v>10</v>
      </c>
      <c r="I42" s="14"/>
      <c r="J42" s="14"/>
    </row>
    <row r="43" spans="1:10">
      <c r="A43" s="14">
        <f>IF(B43="","",COUNTA($B$4:B43))</f>
        <v>40</v>
      </c>
      <c r="B43" s="14" t="s">
        <v>1515</v>
      </c>
      <c r="C43" s="14" t="s">
        <v>255</v>
      </c>
      <c r="D43" s="14" t="s">
        <v>256</v>
      </c>
      <c r="E43" s="14" t="s">
        <v>255</v>
      </c>
      <c r="F43" s="14" t="s">
        <v>150</v>
      </c>
      <c r="G43" s="14" t="s">
        <v>151</v>
      </c>
      <c r="H43" s="14">
        <v>10</v>
      </c>
      <c r="I43" s="14"/>
      <c r="J43" s="14"/>
    </row>
    <row r="44" spans="1:10">
      <c r="A44" s="14">
        <f>IF(B44="","",COUNTA($B$4:B44))</f>
        <v>41</v>
      </c>
      <c r="B44" s="14" t="s">
        <v>1515</v>
      </c>
      <c r="C44" s="14" t="s">
        <v>257</v>
      </c>
      <c r="D44" s="14" t="s">
        <v>258</v>
      </c>
      <c r="E44" s="14" t="s">
        <v>257</v>
      </c>
      <c r="F44" s="14" t="s">
        <v>169</v>
      </c>
      <c r="G44" s="14" t="s">
        <v>243</v>
      </c>
      <c r="H44" s="14"/>
      <c r="I44" s="14"/>
      <c r="J44" s="14"/>
    </row>
    <row r="45" spans="1:10">
      <c r="A45" s="14">
        <f>IF(B45="","",COUNTA($B$4:B45))</f>
        <v>42</v>
      </c>
      <c r="B45" s="14" t="s">
        <v>1515</v>
      </c>
      <c r="C45" s="14" t="s">
        <v>259</v>
      </c>
      <c r="D45" s="14" t="s">
        <v>260</v>
      </c>
      <c r="E45" s="14" t="s">
        <v>259</v>
      </c>
      <c r="F45" s="14" t="s">
        <v>150</v>
      </c>
      <c r="G45" s="14" t="s">
        <v>151</v>
      </c>
      <c r="H45" s="14">
        <v>10</v>
      </c>
      <c r="I45" s="14"/>
      <c r="J45" s="14"/>
    </row>
    <row r="46" spans="1:10">
      <c r="A46" s="14">
        <f>IF(B46="","",COUNTA($B$4:B46))</f>
        <v>43</v>
      </c>
      <c r="B46" s="14" t="s">
        <v>1515</v>
      </c>
      <c r="C46" s="14" t="s">
        <v>261</v>
      </c>
      <c r="D46" s="14" t="s">
        <v>262</v>
      </c>
      <c r="E46" s="14" t="s">
        <v>261</v>
      </c>
      <c r="F46" s="14" t="s">
        <v>150</v>
      </c>
      <c r="G46" s="14" t="s">
        <v>151</v>
      </c>
      <c r="H46" s="14">
        <v>10</v>
      </c>
      <c r="I46" s="14"/>
      <c r="J46" s="14"/>
    </row>
    <row r="47" spans="1:10">
      <c r="A47" s="14">
        <f>IF(B47="","",COUNTA($B$4:B47))</f>
        <v>44</v>
      </c>
      <c r="B47" s="14" t="s">
        <v>1515</v>
      </c>
      <c r="C47" s="14" t="s">
        <v>263</v>
      </c>
      <c r="D47" s="14" t="s">
        <v>264</v>
      </c>
      <c r="E47" s="14" t="s">
        <v>263</v>
      </c>
      <c r="F47" s="14" t="s">
        <v>169</v>
      </c>
      <c r="G47" s="14" t="s">
        <v>243</v>
      </c>
      <c r="H47" s="14"/>
      <c r="I47" s="14"/>
      <c r="J47" s="14"/>
    </row>
    <row r="48" spans="1:10">
      <c r="A48" s="14">
        <f>IF(B48="","",COUNTA($B$4:B48))</f>
        <v>45</v>
      </c>
      <c r="B48" s="14" t="s">
        <v>1528</v>
      </c>
      <c r="C48" s="14" t="s">
        <v>148</v>
      </c>
      <c r="D48" s="14" t="s">
        <v>149</v>
      </c>
      <c r="E48" s="14" t="s">
        <v>148</v>
      </c>
      <c r="F48" s="14" t="s">
        <v>150</v>
      </c>
      <c r="G48" s="14" t="s">
        <v>151</v>
      </c>
      <c r="H48" s="14">
        <v>15</v>
      </c>
      <c r="I48" s="14"/>
      <c r="J48" s="14"/>
    </row>
    <row r="49" spans="1:10">
      <c r="A49" s="14">
        <f>IF(B49="","",COUNTA($B$4:B49))</f>
        <v>46</v>
      </c>
      <c r="B49" s="14" t="s">
        <v>1528</v>
      </c>
      <c r="C49" s="14" t="s">
        <v>153</v>
      </c>
      <c r="D49" s="14" t="s">
        <v>154</v>
      </c>
      <c r="E49" s="14" t="s">
        <v>153</v>
      </c>
      <c r="F49" s="14" t="s">
        <v>155</v>
      </c>
      <c r="G49" s="14" t="s">
        <v>156</v>
      </c>
      <c r="H49" s="14">
        <v>3</v>
      </c>
      <c r="I49" s="14"/>
      <c r="J49" s="14"/>
    </row>
    <row r="50" spans="1:10">
      <c r="A50" s="14">
        <f>IF(B50="","",COUNTA($B$4:B50))</f>
        <v>47</v>
      </c>
      <c r="B50" s="14" t="s">
        <v>1528</v>
      </c>
      <c r="C50" s="14" t="s">
        <v>157</v>
      </c>
      <c r="D50" s="14" t="s">
        <v>158</v>
      </c>
      <c r="E50" s="14" t="s">
        <v>157</v>
      </c>
      <c r="F50" s="14" t="s">
        <v>150</v>
      </c>
      <c r="G50" s="14" t="s">
        <v>151</v>
      </c>
      <c r="H50" s="14">
        <v>10</v>
      </c>
      <c r="I50" s="14"/>
      <c r="J50" s="14"/>
    </row>
    <row r="51" spans="1:10">
      <c r="A51" s="14">
        <f>IF(B51="","",COUNTA($B$4:B51))</f>
        <v>48</v>
      </c>
      <c r="B51" s="14" t="s">
        <v>1528</v>
      </c>
      <c r="C51" s="14" t="s">
        <v>159</v>
      </c>
      <c r="D51" s="14" t="s">
        <v>160</v>
      </c>
      <c r="E51" s="14" t="s">
        <v>159</v>
      </c>
      <c r="F51" s="14" t="s">
        <v>150</v>
      </c>
      <c r="G51" s="14" t="s">
        <v>151</v>
      </c>
      <c r="H51" s="14">
        <v>4</v>
      </c>
      <c r="I51" s="14"/>
      <c r="J51" s="14"/>
    </row>
    <row r="52" spans="1:10">
      <c r="A52" s="14">
        <f>IF(B52="","",COUNTA($B$4:B52))</f>
        <v>49</v>
      </c>
      <c r="B52" s="14" t="s">
        <v>1528</v>
      </c>
      <c r="C52" s="14" t="s">
        <v>162</v>
      </c>
      <c r="D52" s="14" t="s">
        <v>163</v>
      </c>
      <c r="E52" s="14" t="s">
        <v>164</v>
      </c>
      <c r="F52" s="14" t="s">
        <v>150</v>
      </c>
      <c r="G52" s="14" t="s">
        <v>151</v>
      </c>
      <c r="H52" s="14">
        <v>4</v>
      </c>
      <c r="I52" s="14"/>
      <c r="J52" s="14"/>
    </row>
    <row r="53" spans="1:10">
      <c r="A53" s="14">
        <f>IF(B53="","",COUNTA($B$4:B53))</f>
        <v>50</v>
      </c>
      <c r="B53" s="14" t="s">
        <v>1528</v>
      </c>
      <c r="C53" s="14" t="s">
        <v>166</v>
      </c>
      <c r="D53" s="14" t="s">
        <v>167</v>
      </c>
      <c r="E53" s="14" t="s">
        <v>168</v>
      </c>
      <c r="F53" s="14" t="s">
        <v>169</v>
      </c>
      <c r="G53" s="14" t="s">
        <v>170</v>
      </c>
      <c r="H53" s="14"/>
      <c r="I53" s="14"/>
      <c r="J53" s="14"/>
    </row>
    <row r="54" spans="1:10">
      <c r="A54" s="14">
        <f>IF(B54="","",COUNTA($B$4:B54))</f>
        <v>51</v>
      </c>
      <c r="B54" s="14" t="s">
        <v>1528</v>
      </c>
      <c r="C54" s="14" t="s">
        <v>174</v>
      </c>
      <c r="D54" s="14" t="s">
        <v>175</v>
      </c>
      <c r="E54" s="14" t="s">
        <v>176</v>
      </c>
      <c r="F54" s="14" t="s">
        <v>169</v>
      </c>
      <c r="G54" s="14" t="s">
        <v>170</v>
      </c>
      <c r="H54" s="14"/>
      <c r="I54" s="14"/>
      <c r="J54" s="14"/>
    </row>
    <row r="55" spans="1:10">
      <c r="A55" s="14">
        <f>IF(B55="","",COUNTA($B$4:B55))</f>
        <v>52</v>
      </c>
      <c r="B55" s="14" t="s">
        <v>1528</v>
      </c>
      <c r="C55" s="14" t="s">
        <v>172</v>
      </c>
      <c r="D55" s="14" t="s">
        <v>177</v>
      </c>
      <c r="E55" s="14" t="s">
        <v>172</v>
      </c>
      <c r="F55" s="14" t="s">
        <v>150</v>
      </c>
      <c r="G55" s="14" t="s">
        <v>151</v>
      </c>
      <c r="H55" s="14">
        <v>6</v>
      </c>
      <c r="I55" s="14"/>
      <c r="J55" s="14"/>
    </row>
    <row r="56" spans="1:10">
      <c r="A56" s="14">
        <f>IF(B56="","",COUNTA($B$4:B56))</f>
        <v>53</v>
      </c>
      <c r="B56" s="14" t="s">
        <v>1528</v>
      </c>
      <c r="C56" s="14" t="s">
        <v>178</v>
      </c>
      <c r="D56" s="14" t="s">
        <v>179</v>
      </c>
      <c r="E56" s="14" t="s">
        <v>178</v>
      </c>
      <c r="F56" s="14" t="s">
        <v>150</v>
      </c>
      <c r="G56" s="14" t="s">
        <v>151</v>
      </c>
      <c r="H56" s="14">
        <v>20</v>
      </c>
      <c r="I56" s="14"/>
      <c r="J56" s="14"/>
    </row>
    <row r="57" spans="1:10">
      <c r="A57" s="14">
        <f>IF(B57="","",COUNTA($B$4:B57))</f>
        <v>54</v>
      </c>
      <c r="B57" s="14" t="s">
        <v>1528</v>
      </c>
      <c r="C57" s="14" t="s">
        <v>181</v>
      </c>
      <c r="D57" s="14" t="s">
        <v>182</v>
      </c>
      <c r="E57" s="14" t="s">
        <v>181</v>
      </c>
      <c r="F57" s="14" t="s">
        <v>150</v>
      </c>
      <c r="G57" s="14" t="s">
        <v>151</v>
      </c>
      <c r="H57" s="14">
        <v>30</v>
      </c>
      <c r="I57" s="14"/>
      <c r="J57" s="14"/>
    </row>
    <row r="58" spans="1:10">
      <c r="A58" s="14">
        <f>IF(B58="","",COUNTA($B$4:B58))</f>
        <v>55</v>
      </c>
      <c r="B58" s="14" t="s">
        <v>1528</v>
      </c>
      <c r="C58" s="14" t="s">
        <v>183</v>
      </c>
      <c r="D58" s="14" t="s">
        <v>184</v>
      </c>
      <c r="E58" s="14" t="s">
        <v>183</v>
      </c>
      <c r="F58" s="14" t="s">
        <v>150</v>
      </c>
      <c r="G58" s="14" t="s">
        <v>151</v>
      </c>
      <c r="H58" s="14">
        <v>1000</v>
      </c>
      <c r="I58" s="14"/>
      <c r="J58" s="14"/>
    </row>
    <row r="59" spans="1:10">
      <c r="A59" s="14">
        <f>IF(B59="","",COUNTA($B$4:B59))</f>
        <v>56</v>
      </c>
      <c r="B59" s="14" t="s">
        <v>1528</v>
      </c>
      <c r="C59" s="14" t="s">
        <v>185</v>
      </c>
      <c r="D59" s="14" t="s">
        <v>186</v>
      </c>
      <c r="E59" s="14" t="s">
        <v>185</v>
      </c>
      <c r="F59" s="14" t="s">
        <v>150</v>
      </c>
      <c r="G59" s="14" t="s">
        <v>151</v>
      </c>
      <c r="H59" s="14">
        <v>75</v>
      </c>
      <c r="I59" s="14"/>
      <c r="J59" s="14"/>
    </row>
    <row r="60" spans="1:10">
      <c r="A60" s="14">
        <f>IF(B60="","",COUNTA($B$4:B60))</f>
        <v>57</v>
      </c>
      <c r="B60" s="14" t="s">
        <v>1528</v>
      </c>
      <c r="C60" s="14" t="s">
        <v>187</v>
      </c>
      <c r="D60" s="14" t="s">
        <v>188</v>
      </c>
      <c r="E60" s="14" t="s">
        <v>187</v>
      </c>
      <c r="F60" s="14" t="s">
        <v>155</v>
      </c>
      <c r="G60" s="14" t="s">
        <v>156</v>
      </c>
      <c r="H60" s="14">
        <v>3</v>
      </c>
      <c r="I60" s="14"/>
      <c r="J60" s="14"/>
    </row>
    <row r="61" spans="1:10">
      <c r="A61" s="14">
        <f>IF(B61="","",COUNTA($B$4:B61))</f>
        <v>58</v>
      </c>
      <c r="B61" s="14" t="s">
        <v>1528</v>
      </c>
      <c r="C61" s="14" t="s">
        <v>189</v>
      </c>
      <c r="D61" s="14" t="s">
        <v>190</v>
      </c>
      <c r="E61" s="14" t="s">
        <v>189</v>
      </c>
      <c r="F61" s="14" t="s">
        <v>155</v>
      </c>
      <c r="G61" s="14" t="s">
        <v>156</v>
      </c>
      <c r="H61" s="14">
        <v>3</v>
      </c>
      <c r="I61" s="14"/>
      <c r="J61" s="14"/>
    </row>
    <row r="62" spans="1:10">
      <c r="A62" s="14">
        <f>IF(B62="","",COUNTA($B$4:B62))</f>
        <v>59</v>
      </c>
      <c r="B62" s="14" t="s">
        <v>1528</v>
      </c>
      <c r="C62" s="14" t="s">
        <v>193</v>
      </c>
      <c r="D62" s="14" t="s">
        <v>194</v>
      </c>
      <c r="E62" s="14" t="s">
        <v>193</v>
      </c>
      <c r="F62" s="14" t="s">
        <v>150</v>
      </c>
      <c r="G62" s="14" t="s">
        <v>151</v>
      </c>
      <c r="H62" s="14">
        <v>25</v>
      </c>
      <c r="I62" s="14"/>
      <c r="J62" s="14"/>
    </row>
    <row r="63" spans="1:10">
      <c r="A63" s="14">
        <f>IF(B63="","",COUNTA($B$4:B63))</f>
        <v>60</v>
      </c>
      <c r="B63" s="14" t="s">
        <v>1528</v>
      </c>
      <c r="C63" s="14" t="s">
        <v>195</v>
      </c>
      <c r="D63" s="14" t="s">
        <v>196</v>
      </c>
      <c r="E63" s="14" t="s">
        <v>195</v>
      </c>
      <c r="F63" s="14" t="s">
        <v>150</v>
      </c>
      <c r="G63" s="14" t="s">
        <v>151</v>
      </c>
      <c r="H63" s="14">
        <v>400</v>
      </c>
      <c r="I63" s="14"/>
      <c r="J63" s="14"/>
    </row>
    <row r="64" spans="1:10">
      <c r="A64" s="14">
        <f>IF(B64="","",COUNTA($B$4:B64))</f>
        <v>61</v>
      </c>
      <c r="B64" s="14" t="s">
        <v>1528</v>
      </c>
      <c r="C64" s="14" t="s">
        <v>197</v>
      </c>
      <c r="D64" s="14" t="s">
        <v>198</v>
      </c>
      <c r="E64" s="14" t="s">
        <v>197</v>
      </c>
      <c r="F64" s="14" t="s">
        <v>150</v>
      </c>
      <c r="G64" s="14" t="s">
        <v>151</v>
      </c>
      <c r="H64" s="14">
        <v>5</v>
      </c>
      <c r="I64" s="14"/>
      <c r="J64" s="14"/>
    </row>
    <row r="65" spans="1:10">
      <c r="A65" s="14">
        <f>IF(B65="","",COUNTA($B$4:B65))</f>
        <v>62</v>
      </c>
      <c r="B65" s="14" t="s">
        <v>1528</v>
      </c>
      <c r="C65" s="14" t="s">
        <v>199</v>
      </c>
      <c r="D65" s="14" t="s">
        <v>200</v>
      </c>
      <c r="E65" s="14" t="s">
        <v>199</v>
      </c>
      <c r="F65" s="14" t="s">
        <v>150</v>
      </c>
      <c r="G65" s="14" t="s">
        <v>151</v>
      </c>
      <c r="H65" s="14">
        <v>20</v>
      </c>
      <c r="I65" s="14"/>
      <c r="J65" s="14"/>
    </row>
    <row r="66" spans="1:10">
      <c r="A66" s="14">
        <f>IF(B66="","",COUNTA($B$4:B66))</f>
        <v>63</v>
      </c>
      <c r="B66" s="14" t="s">
        <v>1528</v>
      </c>
      <c r="C66" s="14" t="s">
        <v>201</v>
      </c>
      <c r="D66" s="14" t="s">
        <v>202</v>
      </c>
      <c r="E66" s="14" t="s">
        <v>201</v>
      </c>
      <c r="F66" s="14" t="s">
        <v>150</v>
      </c>
      <c r="G66" s="14" t="s">
        <v>151</v>
      </c>
      <c r="H66" s="14">
        <v>30</v>
      </c>
      <c r="I66" s="14"/>
      <c r="J66" s="14"/>
    </row>
    <row r="67" spans="1:10">
      <c r="A67" s="14">
        <f>IF(B67="","",COUNTA($B$4:B67))</f>
        <v>64</v>
      </c>
      <c r="B67" s="14" t="s">
        <v>1528</v>
      </c>
      <c r="C67" s="14" t="s">
        <v>203</v>
      </c>
      <c r="D67" s="14" t="s">
        <v>204</v>
      </c>
      <c r="E67" s="14" t="s">
        <v>203</v>
      </c>
      <c r="F67" s="14" t="s">
        <v>155</v>
      </c>
      <c r="G67" s="14" t="s">
        <v>156</v>
      </c>
      <c r="H67" s="14">
        <v>5</v>
      </c>
      <c r="I67" s="14">
        <v>2</v>
      </c>
      <c r="J67" s="14"/>
    </row>
    <row r="68" spans="1:10">
      <c r="A68" s="14">
        <f>IF(B68="","",COUNTA($B$4:B68))</f>
        <v>65</v>
      </c>
      <c r="B68" s="14" t="s">
        <v>1528</v>
      </c>
      <c r="C68" s="14" t="s">
        <v>205</v>
      </c>
      <c r="D68" s="14" t="s">
        <v>206</v>
      </c>
      <c r="E68" s="14" t="s">
        <v>205</v>
      </c>
      <c r="F68" s="14" t="s">
        <v>155</v>
      </c>
      <c r="G68" s="14" t="s">
        <v>156</v>
      </c>
      <c r="H68" s="14">
        <v>4</v>
      </c>
      <c r="I68" s="14"/>
      <c r="J68" s="14"/>
    </row>
    <row r="69" spans="1:10">
      <c r="A69" s="14">
        <f>IF(B69="","",COUNTA($B$4:B69))</f>
        <v>66</v>
      </c>
      <c r="B69" s="14" t="s">
        <v>1528</v>
      </c>
      <c r="C69" s="14" t="s">
        <v>208</v>
      </c>
      <c r="D69" s="14" t="s">
        <v>209</v>
      </c>
      <c r="E69" s="14" t="s">
        <v>208</v>
      </c>
      <c r="F69" s="14" t="s">
        <v>155</v>
      </c>
      <c r="G69" s="14" t="s">
        <v>156</v>
      </c>
      <c r="H69" s="14">
        <v>5</v>
      </c>
      <c r="I69" s="14"/>
      <c r="J69" s="14"/>
    </row>
    <row r="70" spans="1:10">
      <c r="A70" s="14">
        <f>IF(B70="","",COUNTA($B$4:B70))</f>
        <v>67</v>
      </c>
      <c r="B70" s="14" t="s">
        <v>1528</v>
      </c>
      <c r="C70" s="14" t="s">
        <v>211</v>
      </c>
      <c r="D70" s="14" t="s">
        <v>212</v>
      </c>
      <c r="E70" s="14" t="s">
        <v>211</v>
      </c>
      <c r="F70" s="14" t="s">
        <v>155</v>
      </c>
      <c r="G70" s="14" t="s">
        <v>156</v>
      </c>
      <c r="H70" s="14">
        <v>5</v>
      </c>
      <c r="I70" s="14"/>
      <c r="J70" s="14"/>
    </row>
    <row r="71" spans="1:10">
      <c r="A71" s="14">
        <f>IF(B71="","",COUNTA($B$4:B71))</f>
        <v>68</v>
      </c>
      <c r="B71" s="14" t="s">
        <v>1528</v>
      </c>
      <c r="C71" s="14" t="s">
        <v>214</v>
      </c>
      <c r="D71" s="14" t="s">
        <v>215</v>
      </c>
      <c r="E71" s="14" t="s">
        <v>1518</v>
      </c>
      <c r="F71" s="14" t="s">
        <v>155</v>
      </c>
      <c r="G71" s="14" t="s">
        <v>156</v>
      </c>
      <c r="H71" s="14">
        <v>5</v>
      </c>
      <c r="I71" s="14"/>
      <c r="J71" s="14"/>
    </row>
    <row r="72" spans="1:10">
      <c r="A72" s="14">
        <f>IF(B72="","",COUNTA($B$4:B72))</f>
        <v>69</v>
      </c>
      <c r="B72" s="14" t="s">
        <v>1528</v>
      </c>
      <c r="C72" s="14" t="s">
        <v>217</v>
      </c>
      <c r="D72" s="14" t="s">
        <v>218</v>
      </c>
      <c r="E72" s="14" t="s">
        <v>219</v>
      </c>
      <c r="F72" s="14" t="s">
        <v>155</v>
      </c>
      <c r="G72" s="14" t="s">
        <v>156</v>
      </c>
      <c r="H72" s="14">
        <v>5</v>
      </c>
      <c r="I72" s="14"/>
      <c r="J72" s="14"/>
    </row>
    <row r="73" spans="1:10">
      <c r="A73" s="14">
        <f>IF(B73="","",COUNTA($B$4:B73))</f>
        <v>70</v>
      </c>
      <c r="B73" s="14" t="s">
        <v>1528</v>
      </c>
      <c r="C73" s="14" t="s">
        <v>266</v>
      </c>
      <c r="D73" s="14" t="s">
        <v>267</v>
      </c>
      <c r="E73" s="14" t="s">
        <v>266</v>
      </c>
      <c r="F73" s="14" t="s">
        <v>155</v>
      </c>
      <c r="G73" s="14" t="s">
        <v>156</v>
      </c>
      <c r="H73" s="14">
        <v>5</v>
      </c>
      <c r="I73" s="14"/>
      <c r="J73" s="14"/>
    </row>
    <row r="74" spans="1:10">
      <c r="A74" s="14">
        <f>IF(B74="","",COUNTA($B$4:B74))</f>
        <v>71</v>
      </c>
      <c r="B74" s="14" t="s">
        <v>1528</v>
      </c>
      <c r="C74" s="14" t="s">
        <v>268</v>
      </c>
      <c r="D74" s="14" t="s">
        <v>269</v>
      </c>
      <c r="E74" s="14" t="s">
        <v>268</v>
      </c>
      <c r="F74" s="14" t="s">
        <v>155</v>
      </c>
      <c r="G74" s="14" t="s">
        <v>156</v>
      </c>
      <c r="H74" s="14">
        <v>7</v>
      </c>
      <c r="I74" s="14"/>
      <c r="J74" s="14"/>
    </row>
    <row r="75" spans="1:10">
      <c r="A75" s="14">
        <f>IF(B75="","",COUNTA($B$4:B75))</f>
        <v>72</v>
      </c>
      <c r="B75" s="14" t="s">
        <v>1528</v>
      </c>
      <c r="C75" s="14" t="s">
        <v>226</v>
      </c>
      <c r="D75" s="14" t="s">
        <v>227</v>
      </c>
      <c r="E75" s="14" t="s">
        <v>226</v>
      </c>
      <c r="F75" s="14" t="s">
        <v>150</v>
      </c>
      <c r="G75" s="14" t="s">
        <v>151</v>
      </c>
      <c r="H75" s="14">
        <v>3</v>
      </c>
      <c r="I75" s="14"/>
      <c r="J75" s="14"/>
    </row>
    <row r="76" spans="1:10">
      <c r="A76" s="14">
        <f>IF(B76="","",COUNTA($B$4:B76))</f>
        <v>73</v>
      </c>
      <c r="B76" s="14" t="s">
        <v>1528</v>
      </c>
      <c r="C76" s="14" t="s">
        <v>228</v>
      </c>
      <c r="D76" s="14" t="s">
        <v>229</v>
      </c>
      <c r="E76" s="14" t="s">
        <v>228</v>
      </c>
      <c r="F76" s="14" t="s">
        <v>150</v>
      </c>
      <c r="G76" s="14" t="s">
        <v>151</v>
      </c>
      <c r="H76" s="14">
        <v>1000</v>
      </c>
      <c r="I76" s="14"/>
      <c r="J76" s="14"/>
    </row>
    <row r="77" spans="1:10">
      <c r="A77" s="14">
        <f>IF(B77="","",COUNTA($B$4:B77))</f>
        <v>74</v>
      </c>
      <c r="B77" s="14" t="s">
        <v>1528</v>
      </c>
      <c r="C77" s="14" t="s">
        <v>270</v>
      </c>
      <c r="D77" s="14" t="s">
        <v>271</v>
      </c>
      <c r="E77" s="14" t="s">
        <v>270</v>
      </c>
      <c r="F77" s="14" t="s">
        <v>150</v>
      </c>
      <c r="G77" s="14" t="s">
        <v>151</v>
      </c>
      <c r="H77" s="14">
        <v>1000</v>
      </c>
      <c r="I77" s="14"/>
      <c r="J77" s="14"/>
    </row>
    <row r="78" spans="1:10">
      <c r="A78" s="14">
        <f>IF(B78="","",COUNTA($B$4:B78))</f>
        <v>75</v>
      </c>
      <c r="B78" s="14" t="s">
        <v>1528</v>
      </c>
      <c r="C78" s="14" t="s">
        <v>272</v>
      </c>
      <c r="D78" s="14" t="s">
        <v>273</v>
      </c>
      <c r="E78" s="14" t="s">
        <v>272</v>
      </c>
      <c r="F78" s="14" t="s">
        <v>150</v>
      </c>
      <c r="G78" s="14" t="s">
        <v>151</v>
      </c>
      <c r="H78" s="14">
        <v>1000</v>
      </c>
      <c r="I78" s="14"/>
      <c r="J78" s="14"/>
    </row>
    <row r="79" spans="1:10">
      <c r="A79" s="14">
        <f>IF(B79="","",COUNTA($B$4:B79))</f>
        <v>76</v>
      </c>
      <c r="B79" s="14" t="s">
        <v>1528</v>
      </c>
      <c r="C79" s="14" t="s">
        <v>274</v>
      </c>
      <c r="D79" s="14" t="s">
        <v>275</v>
      </c>
      <c r="E79" s="14" t="s">
        <v>274</v>
      </c>
      <c r="F79" s="14" t="s">
        <v>150</v>
      </c>
      <c r="G79" s="14" t="s">
        <v>151</v>
      </c>
      <c r="H79" s="14">
        <v>1000</v>
      </c>
      <c r="I79" s="14"/>
      <c r="J79" s="14"/>
    </row>
    <row r="80" spans="1:10">
      <c r="A80" s="14">
        <f>IF(B80="","",COUNTA($B$4:B80))</f>
        <v>77</v>
      </c>
      <c r="B80" s="14" t="s">
        <v>1528</v>
      </c>
      <c r="C80" s="14" t="s">
        <v>230</v>
      </c>
      <c r="D80" s="14" t="s">
        <v>231</v>
      </c>
      <c r="E80" s="14" t="s">
        <v>230</v>
      </c>
      <c r="F80" s="14" t="s">
        <v>169</v>
      </c>
      <c r="G80" s="14" t="s">
        <v>170</v>
      </c>
      <c r="H80" s="14"/>
      <c r="I80" s="14"/>
      <c r="J80" s="14"/>
    </row>
    <row r="81" spans="1:10">
      <c r="A81" s="14">
        <f>IF(B81="","",COUNTA($B$4:B81))</f>
        <v>78</v>
      </c>
      <c r="B81" s="14" t="s">
        <v>1528</v>
      </c>
      <c r="C81" s="14" t="s">
        <v>233</v>
      </c>
      <c r="D81" s="14" t="s">
        <v>234</v>
      </c>
      <c r="E81" s="14" t="s">
        <v>233</v>
      </c>
      <c r="F81" s="14" t="s">
        <v>155</v>
      </c>
      <c r="G81" s="14" t="s">
        <v>156</v>
      </c>
      <c r="H81" s="14">
        <v>1</v>
      </c>
      <c r="I81" s="14"/>
      <c r="J81" s="14"/>
    </row>
    <row r="82" spans="1:10">
      <c r="A82" s="14">
        <f>IF(B82="","",COUNTA($B$4:B82))</f>
        <v>79</v>
      </c>
      <c r="B82" s="14" t="s">
        <v>1528</v>
      </c>
      <c r="C82" s="14" t="s">
        <v>236</v>
      </c>
      <c r="D82" s="14" t="s">
        <v>237</v>
      </c>
      <c r="E82" s="14" t="s">
        <v>236</v>
      </c>
      <c r="F82" s="14" t="s">
        <v>155</v>
      </c>
      <c r="G82" s="14" t="s">
        <v>156</v>
      </c>
      <c r="H82" s="14">
        <v>1</v>
      </c>
      <c r="I82" s="14"/>
      <c r="J82" s="14"/>
    </row>
    <row r="83" spans="1:10">
      <c r="A83" s="14">
        <f>IF(B83="","",COUNTA($B$4:B83))</f>
        <v>80</v>
      </c>
      <c r="B83" s="14" t="s">
        <v>1528</v>
      </c>
      <c r="C83" s="14" t="s">
        <v>239</v>
      </c>
      <c r="D83" s="14" t="s">
        <v>240</v>
      </c>
      <c r="E83" s="14" t="s">
        <v>239</v>
      </c>
      <c r="F83" s="14" t="s">
        <v>169</v>
      </c>
      <c r="G83" s="14" t="s">
        <v>170</v>
      </c>
      <c r="H83" s="14"/>
      <c r="I83" s="14"/>
      <c r="J83" s="14"/>
    </row>
    <row r="84" spans="1:10">
      <c r="A84" s="14">
        <f>IF(B84="","",COUNTA($B$4:B84))</f>
        <v>81</v>
      </c>
      <c r="B84" s="14" t="s">
        <v>1528</v>
      </c>
      <c r="C84" s="14" t="s">
        <v>241</v>
      </c>
      <c r="D84" s="14" t="s">
        <v>242</v>
      </c>
      <c r="E84" s="14" t="s">
        <v>241</v>
      </c>
      <c r="F84" s="14" t="s">
        <v>150</v>
      </c>
      <c r="G84" s="14" t="s">
        <v>243</v>
      </c>
      <c r="H84" s="14"/>
      <c r="I84" s="14" t="s">
        <v>244</v>
      </c>
      <c r="J84" s="14"/>
    </row>
    <row r="85" spans="1:10">
      <c r="A85" s="14">
        <f>IF(B85="","",COUNTA($B$4:B85))</f>
        <v>82</v>
      </c>
      <c r="B85" s="14" t="s">
        <v>1528</v>
      </c>
      <c r="C85" s="14" t="s">
        <v>246</v>
      </c>
      <c r="D85" s="14" t="s">
        <v>247</v>
      </c>
      <c r="E85" s="14" t="s">
        <v>246</v>
      </c>
      <c r="F85" s="14" t="s">
        <v>150</v>
      </c>
      <c r="G85" s="14" t="s">
        <v>243</v>
      </c>
      <c r="H85" s="14"/>
      <c r="I85" s="14" t="s">
        <v>244</v>
      </c>
      <c r="J85" s="14"/>
    </row>
    <row r="86" spans="1:10">
      <c r="A86" s="14">
        <f>IF(B86="","",COUNTA($B$4:B86))</f>
        <v>83</v>
      </c>
      <c r="B86" s="14" t="s">
        <v>1528</v>
      </c>
      <c r="C86" s="14" t="s">
        <v>249</v>
      </c>
      <c r="D86" s="14" t="s">
        <v>250</v>
      </c>
      <c r="E86" s="14" t="s">
        <v>249</v>
      </c>
      <c r="F86" s="14" t="s">
        <v>150</v>
      </c>
      <c r="G86" s="14" t="s">
        <v>151</v>
      </c>
      <c r="H86" s="14">
        <v>4</v>
      </c>
      <c r="I86" s="14"/>
      <c r="J86" s="14"/>
    </row>
    <row r="87" spans="1:10">
      <c r="A87" s="14">
        <f>IF(B87="","",COUNTA($B$4:B87))</f>
        <v>84</v>
      </c>
      <c r="B87" s="14" t="s">
        <v>1528</v>
      </c>
      <c r="C87" s="14" t="s">
        <v>251</v>
      </c>
      <c r="D87" s="14" t="s">
        <v>252</v>
      </c>
      <c r="E87" s="14" t="s">
        <v>251</v>
      </c>
      <c r="F87" s="14" t="s">
        <v>150</v>
      </c>
      <c r="G87" s="14" t="s">
        <v>151</v>
      </c>
      <c r="H87" s="14">
        <v>4</v>
      </c>
      <c r="I87" s="14"/>
      <c r="J87" s="14"/>
    </row>
    <row r="88" spans="1:10">
      <c r="A88" s="14">
        <f>IF(B88="","",COUNTA($B$4:B88))</f>
        <v>85</v>
      </c>
      <c r="B88" s="14" t="s">
        <v>1528</v>
      </c>
      <c r="C88" s="14" t="s">
        <v>253</v>
      </c>
      <c r="D88" s="14" t="s">
        <v>254</v>
      </c>
      <c r="E88" s="14" t="s">
        <v>253</v>
      </c>
      <c r="F88" s="14" t="s">
        <v>150</v>
      </c>
      <c r="G88" s="14" t="s">
        <v>151</v>
      </c>
      <c r="H88" s="14">
        <v>10</v>
      </c>
      <c r="I88" s="14"/>
      <c r="J88" s="14"/>
    </row>
    <row r="89" spans="1:10">
      <c r="A89" s="14">
        <f>IF(B89="","",COUNTA($B$4:B89))</f>
        <v>86</v>
      </c>
      <c r="B89" s="14" t="s">
        <v>1528</v>
      </c>
      <c r="C89" s="14" t="s">
        <v>255</v>
      </c>
      <c r="D89" s="14" t="s">
        <v>256</v>
      </c>
      <c r="E89" s="14" t="s">
        <v>255</v>
      </c>
      <c r="F89" s="14" t="s">
        <v>150</v>
      </c>
      <c r="G89" s="14" t="s">
        <v>151</v>
      </c>
      <c r="H89" s="14">
        <v>10</v>
      </c>
      <c r="I89" s="14"/>
      <c r="J89" s="14"/>
    </row>
    <row r="90" spans="1:10">
      <c r="A90" s="14">
        <f>IF(B90="","",COUNTA($B$4:B90))</f>
        <v>87</v>
      </c>
      <c r="B90" s="14" t="s">
        <v>1528</v>
      </c>
      <c r="C90" s="14" t="s">
        <v>257</v>
      </c>
      <c r="D90" s="14" t="s">
        <v>258</v>
      </c>
      <c r="E90" s="14" t="s">
        <v>257</v>
      </c>
      <c r="F90" s="14" t="s">
        <v>169</v>
      </c>
      <c r="G90" s="14" t="s">
        <v>243</v>
      </c>
      <c r="H90" s="14"/>
      <c r="I90" s="14"/>
      <c r="J90" s="14"/>
    </row>
    <row r="91" spans="1:10">
      <c r="A91" s="14">
        <f>IF(B91="","",COUNTA($B$4:B91))</f>
        <v>88</v>
      </c>
      <c r="B91" s="14" t="s">
        <v>1528</v>
      </c>
      <c r="C91" s="14" t="s">
        <v>259</v>
      </c>
      <c r="D91" s="14" t="s">
        <v>260</v>
      </c>
      <c r="E91" s="14" t="s">
        <v>259</v>
      </c>
      <c r="F91" s="14" t="s">
        <v>150</v>
      </c>
      <c r="G91" s="14" t="s">
        <v>151</v>
      </c>
      <c r="H91" s="14">
        <v>10</v>
      </c>
      <c r="I91" s="14"/>
      <c r="J91" s="14"/>
    </row>
    <row r="92" spans="1:10">
      <c r="A92" s="14">
        <f>IF(B92="","",COUNTA($B$4:B92))</f>
        <v>89</v>
      </c>
      <c r="B92" s="14" t="s">
        <v>1528</v>
      </c>
      <c r="C92" s="14" t="s">
        <v>261</v>
      </c>
      <c r="D92" s="14" t="s">
        <v>262</v>
      </c>
      <c r="E92" s="14" t="s">
        <v>261</v>
      </c>
      <c r="F92" s="14" t="s">
        <v>150</v>
      </c>
      <c r="G92" s="14" t="s">
        <v>151</v>
      </c>
      <c r="H92" s="14">
        <v>10</v>
      </c>
      <c r="I92" s="14"/>
      <c r="J92" s="14"/>
    </row>
    <row r="93" spans="1:10">
      <c r="A93" s="14">
        <f>IF(B93="","",COUNTA($B$4:B93))</f>
        <v>90</v>
      </c>
      <c r="B93" s="14" t="s">
        <v>1528</v>
      </c>
      <c r="C93" s="14" t="s">
        <v>263</v>
      </c>
      <c r="D93" s="14" t="s">
        <v>264</v>
      </c>
      <c r="E93" s="14" t="s">
        <v>263</v>
      </c>
      <c r="F93" s="14" t="s">
        <v>169</v>
      </c>
      <c r="G93" s="14" t="s">
        <v>243</v>
      </c>
      <c r="H93" s="14"/>
      <c r="I93" s="14"/>
      <c r="J93" s="14"/>
    </row>
    <row r="94" spans="1:10">
      <c r="A94" s="14">
        <f>IF(B94="","",COUNTA($B$4:B94))</f>
        <v>91</v>
      </c>
      <c r="B94" s="14" t="s">
        <v>1529</v>
      </c>
      <c r="C94" s="14" t="s">
        <v>148</v>
      </c>
      <c r="D94" s="14" t="s">
        <v>149</v>
      </c>
      <c r="E94" s="14" t="s">
        <v>148</v>
      </c>
      <c r="F94" s="14" t="s">
        <v>150</v>
      </c>
      <c r="G94" s="14" t="s">
        <v>151</v>
      </c>
      <c r="H94" s="14">
        <v>15</v>
      </c>
      <c r="I94" s="14"/>
      <c r="J94" s="14"/>
    </row>
    <row r="95" spans="1:10">
      <c r="A95" s="14">
        <f>IF(B95="","",COUNTA($B$4:B95))</f>
        <v>92</v>
      </c>
      <c r="B95" s="14" t="s">
        <v>1529</v>
      </c>
      <c r="C95" s="14" t="s">
        <v>153</v>
      </c>
      <c r="D95" s="14" t="s">
        <v>154</v>
      </c>
      <c r="E95" s="14" t="s">
        <v>153</v>
      </c>
      <c r="F95" s="14" t="s">
        <v>155</v>
      </c>
      <c r="G95" s="14" t="s">
        <v>156</v>
      </c>
      <c r="H95" s="14">
        <v>3</v>
      </c>
      <c r="I95" s="14"/>
      <c r="J95" s="14"/>
    </row>
    <row r="96" spans="1:10">
      <c r="A96" s="14">
        <f>IF(B96="","",COUNTA($B$4:B96))</f>
        <v>93</v>
      </c>
      <c r="B96" s="14" t="s">
        <v>1529</v>
      </c>
      <c r="C96" s="14" t="s">
        <v>157</v>
      </c>
      <c r="D96" s="14" t="s">
        <v>158</v>
      </c>
      <c r="E96" s="14" t="s">
        <v>157</v>
      </c>
      <c r="F96" s="14" t="s">
        <v>150</v>
      </c>
      <c r="G96" s="14" t="s">
        <v>151</v>
      </c>
      <c r="H96" s="14">
        <v>10</v>
      </c>
      <c r="I96" s="14"/>
      <c r="J96" s="14"/>
    </row>
    <row r="97" spans="1:10">
      <c r="A97" s="14">
        <f>IF(B97="","",COUNTA($B$4:B97))</f>
        <v>94</v>
      </c>
      <c r="B97" s="14" t="s">
        <v>1529</v>
      </c>
      <c r="C97" s="14" t="s">
        <v>159</v>
      </c>
      <c r="D97" s="14" t="s">
        <v>160</v>
      </c>
      <c r="E97" s="14" t="s">
        <v>159</v>
      </c>
      <c r="F97" s="14" t="s">
        <v>150</v>
      </c>
      <c r="G97" s="14" t="s">
        <v>151</v>
      </c>
      <c r="H97" s="14">
        <v>4</v>
      </c>
      <c r="I97" s="14"/>
      <c r="J97" s="14"/>
    </row>
    <row r="98" spans="1:10">
      <c r="A98" s="14">
        <f>IF(B98="","",COUNTA($B$4:B98))</f>
        <v>95</v>
      </c>
      <c r="B98" s="14" t="s">
        <v>1529</v>
      </c>
      <c r="C98" s="14" t="s">
        <v>162</v>
      </c>
      <c r="D98" s="14" t="s">
        <v>163</v>
      </c>
      <c r="E98" s="14" t="s">
        <v>164</v>
      </c>
      <c r="F98" s="14" t="s">
        <v>150</v>
      </c>
      <c r="G98" s="14" t="s">
        <v>151</v>
      </c>
      <c r="H98" s="14">
        <v>4</v>
      </c>
      <c r="I98" s="14"/>
      <c r="J98" s="14"/>
    </row>
    <row r="99" spans="1:10">
      <c r="A99" s="14">
        <f>IF(B99="","",COUNTA($B$4:B99))</f>
        <v>96</v>
      </c>
      <c r="B99" s="14" t="s">
        <v>1529</v>
      </c>
      <c r="C99" s="14" t="s">
        <v>166</v>
      </c>
      <c r="D99" s="14" t="s">
        <v>167</v>
      </c>
      <c r="E99" s="14" t="s">
        <v>168</v>
      </c>
      <c r="F99" s="14" t="s">
        <v>169</v>
      </c>
      <c r="G99" s="14" t="s">
        <v>170</v>
      </c>
      <c r="H99" s="14"/>
      <c r="I99" s="14"/>
      <c r="J99" s="14"/>
    </row>
    <row r="100" spans="1:10">
      <c r="A100" s="14">
        <f>IF(B100="","",COUNTA($B$4:B100))</f>
        <v>97</v>
      </c>
      <c r="B100" s="14" t="s">
        <v>1529</v>
      </c>
      <c r="C100" s="14" t="s">
        <v>174</v>
      </c>
      <c r="D100" s="14" t="s">
        <v>175</v>
      </c>
      <c r="E100" s="14" t="s">
        <v>176</v>
      </c>
      <c r="F100" s="14" t="s">
        <v>169</v>
      </c>
      <c r="G100" s="14" t="s">
        <v>170</v>
      </c>
      <c r="H100" s="14"/>
      <c r="I100" s="14"/>
      <c r="J100" s="14"/>
    </row>
    <row r="101" spans="1:10">
      <c r="A101" s="14">
        <f>IF(B101="","",COUNTA($B$4:B101))</f>
        <v>98</v>
      </c>
      <c r="B101" s="14" t="s">
        <v>1529</v>
      </c>
      <c r="C101" s="14" t="s">
        <v>172</v>
      </c>
      <c r="D101" s="14" t="s">
        <v>177</v>
      </c>
      <c r="E101" s="14" t="s">
        <v>172</v>
      </c>
      <c r="F101" s="14" t="s">
        <v>155</v>
      </c>
      <c r="G101" s="14" t="s">
        <v>156</v>
      </c>
      <c r="H101" s="14">
        <v>5</v>
      </c>
      <c r="I101" s="14">
        <v>1</v>
      </c>
      <c r="J101" s="14"/>
    </row>
    <row r="102" spans="1:10">
      <c r="A102" s="14">
        <f>IF(B102="","",COUNTA($B$4:B102))</f>
        <v>99</v>
      </c>
      <c r="B102" s="14" t="s">
        <v>1529</v>
      </c>
      <c r="C102" s="14" t="s">
        <v>178</v>
      </c>
      <c r="D102" s="14" t="s">
        <v>179</v>
      </c>
      <c r="E102" s="14" t="s">
        <v>178</v>
      </c>
      <c r="F102" s="14" t="s">
        <v>150</v>
      </c>
      <c r="G102" s="14" t="s">
        <v>151</v>
      </c>
      <c r="H102" s="14">
        <v>20</v>
      </c>
      <c r="I102" s="14"/>
      <c r="J102" s="14"/>
    </row>
    <row r="103" spans="1:10">
      <c r="A103" s="14">
        <f>IF(B103="","",COUNTA($B$4:B103))</f>
        <v>100</v>
      </c>
      <c r="B103" s="14" t="s">
        <v>1529</v>
      </c>
      <c r="C103" s="14" t="s">
        <v>181</v>
      </c>
      <c r="D103" s="14" t="s">
        <v>182</v>
      </c>
      <c r="E103" s="14" t="s">
        <v>181</v>
      </c>
      <c r="F103" s="14" t="s">
        <v>150</v>
      </c>
      <c r="G103" s="14" t="s">
        <v>151</v>
      </c>
      <c r="H103" s="14">
        <v>30</v>
      </c>
      <c r="I103" s="14"/>
      <c r="J103" s="14"/>
    </row>
    <row r="104" spans="1:10">
      <c r="A104" s="14">
        <f>IF(B104="","",COUNTA($B$4:B104))</f>
        <v>101</v>
      </c>
      <c r="B104" s="14" t="s">
        <v>1529</v>
      </c>
      <c r="C104" s="14" t="s">
        <v>183</v>
      </c>
      <c r="D104" s="14" t="s">
        <v>184</v>
      </c>
      <c r="E104" s="14" t="s">
        <v>183</v>
      </c>
      <c r="F104" s="14" t="s">
        <v>150</v>
      </c>
      <c r="G104" s="14" t="s">
        <v>151</v>
      </c>
      <c r="H104" s="14">
        <v>1000</v>
      </c>
      <c r="I104" s="14"/>
      <c r="J104" s="14"/>
    </row>
    <row r="105" spans="1:10">
      <c r="A105" s="14">
        <f>IF(B105="","",COUNTA($B$4:B105))</f>
        <v>102</v>
      </c>
      <c r="B105" s="14" t="s">
        <v>1529</v>
      </c>
      <c r="C105" s="14" t="s">
        <v>185</v>
      </c>
      <c r="D105" s="14" t="s">
        <v>186</v>
      </c>
      <c r="E105" s="14" t="s">
        <v>185</v>
      </c>
      <c r="F105" s="14" t="s">
        <v>150</v>
      </c>
      <c r="G105" s="14" t="s">
        <v>151</v>
      </c>
      <c r="H105" s="14">
        <v>75</v>
      </c>
      <c r="I105" s="14"/>
      <c r="J105" s="14"/>
    </row>
    <row r="106" spans="1:10">
      <c r="A106" s="14">
        <f>IF(B106="","",COUNTA($B$4:B106))</f>
        <v>103</v>
      </c>
      <c r="B106" s="14" t="s">
        <v>1529</v>
      </c>
      <c r="C106" s="14" t="s">
        <v>187</v>
      </c>
      <c r="D106" s="14" t="s">
        <v>188</v>
      </c>
      <c r="E106" s="14" t="s">
        <v>187</v>
      </c>
      <c r="F106" s="14" t="s">
        <v>155</v>
      </c>
      <c r="G106" s="14" t="s">
        <v>156</v>
      </c>
      <c r="H106" s="14">
        <v>3</v>
      </c>
      <c r="I106" s="14"/>
      <c r="J106" s="14"/>
    </row>
    <row r="107" spans="1:10">
      <c r="A107" s="14">
        <f>IF(B107="","",COUNTA($B$4:B107))</f>
        <v>104</v>
      </c>
      <c r="B107" s="14" t="s">
        <v>1529</v>
      </c>
      <c r="C107" s="14" t="s">
        <v>189</v>
      </c>
      <c r="D107" s="14" t="s">
        <v>190</v>
      </c>
      <c r="E107" s="14" t="s">
        <v>189</v>
      </c>
      <c r="F107" s="14" t="s">
        <v>155</v>
      </c>
      <c r="G107" s="14" t="s">
        <v>156</v>
      </c>
      <c r="H107" s="14">
        <v>3</v>
      </c>
      <c r="I107" s="14"/>
      <c r="J107" s="14"/>
    </row>
    <row r="108" spans="1:10">
      <c r="A108" s="14">
        <f>IF(B108="","",COUNTA($B$4:B108))</f>
        <v>105</v>
      </c>
      <c r="B108" s="14" t="s">
        <v>1529</v>
      </c>
      <c r="C108" s="14" t="s">
        <v>193</v>
      </c>
      <c r="D108" s="14" t="s">
        <v>194</v>
      </c>
      <c r="E108" s="14" t="s">
        <v>193</v>
      </c>
      <c r="F108" s="14" t="s">
        <v>150</v>
      </c>
      <c r="G108" s="14" t="s">
        <v>151</v>
      </c>
      <c r="H108" s="14">
        <v>25</v>
      </c>
      <c r="I108" s="14"/>
      <c r="J108" s="14"/>
    </row>
    <row r="109" spans="1:10">
      <c r="A109" s="14">
        <f>IF(B109="","",COUNTA($B$4:B109))</f>
        <v>106</v>
      </c>
      <c r="B109" s="14" t="s">
        <v>1529</v>
      </c>
      <c r="C109" s="14" t="s">
        <v>195</v>
      </c>
      <c r="D109" s="14" t="s">
        <v>196</v>
      </c>
      <c r="E109" s="14" t="s">
        <v>195</v>
      </c>
      <c r="F109" s="14" t="s">
        <v>150</v>
      </c>
      <c r="G109" s="14" t="s">
        <v>151</v>
      </c>
      <c r="H109" s="14">
        <v>400</v>
      </c>
      <c r="I109" s="14"/>
      <c r="J109" s="14"/>
    </row>
    <row r="110" spans="1:10">
      <c r="A110" s="14">
        <f>IF(B110="","",COUNTA($B$4:B110))</f>
        <v>107</v>
      </c>
      <c r="B110" s="14" t="s">
        <v>1529</v>
      </c>
      <c r="C110" s="14" t="s">
        <v>197</v>
      </c>
      <c r="D110" s="14" t="s">
        <v>198</v>
      </c>
      <c r="E110" s="14" t="s">
        <v>197</v>
      </c>
      <c r="F110" s="14" t="s">
        <v>150</v>
      </c>
      <c r="G110" s="14" t="s">
        <v>151</v>
      </c>
      <c r="H110" s="14">
        <v>25</v>
      </c>
      <c r="I110" s="14"/>
      <c r="J110" s="14"/>
    </row>
    <row r="111" spans="1:10">
      <c r="A111" s="14">
        <f>IF(B111="","",COUNTA($B$4:B111))</f>
        <v>108</v>
      </c>
      <c r="B111" s="14" t="s">
        <v>1529</v>
      </c>
      <c r="C111" s="14" t="s">
        <v>199</v>
      </c>
      <c r="D111" s="14" t="s">
        <v>200</v>
      </c>
      <c r="E111" s="14" t="s">
        <v>199</v>
      </c>
      <c r="F111" s="14" t="s">
        <v>150</v>
      </c>
      <c r="G111" s="14" t="s">
        <v>151</v>
      </c>
      <c r="H111" s="14">
        <v>100</v>
      </c>
      <c r="I111" s="14"/>
      <c r="J111" s="14"/>
    </row>
    <row r="112" spans="1:10">
      <c r="A112" s="14">
        <f>IF(B112="","",COUNTA($B$4:B112))</f>
        <v>109</v>
      </c>
      <c r="B112" s="14" t="s">
        <v>1529</v>
      </c>
      <c r="C112" s="14" t="s">
        <v>201</v>
      </c>
      <c r="D112" s="14" t="s">
        <v>202</v>
      </c>
      <c r="E112" s="14" t="s">
        <v>201</v>
      </c>
      <c r="F112" s="14" t="s">
        <v>150</v>
      </c>
      <c r="G112" s="14" t="s">
        <v>151</v>
      </c>
      <c r="H112" s="14">
        <v>30</v>
      </c>
      <c r="I112" s="14"/>
      <c r="J112" s="14"/>
    </row>
    <row r="113" spans="1:10">
      <c r="A113" s="14">
        <f>IF(B113="","",COUNTA($B$4:B113))</f>
        <v>110</v>
      </c>
      <c r="B113" s="14" t="s">
        <v>1529</v>
      </c>
      <c r="C113" s="14" t="s">
        <v>203</v>
      </c>
      <c r="D113" s="14" t="s">
        <v>204</v>
      </c>
      <c r="E113" s="14" t="s">
        <v>203</v>
      </c>
      <c r="F113" s="14" t="s">
        <v>155</v>
      </c>
      <c r="G113" s="14" t="s">
        <v>156</v>
      </c>
      <c r="H113" s="14">
        <v>5</v>
      </c>
      <c r="I113" s="14">
        <v>2</v>
      </c>
      <c r="J113" s="14"/>
    </row>
    <row r="114" spans="1:10">
      <c r="A114" s="14">
        <f>IF(B114="","",COUNTA($B$4:B114))</f>
        <v>111</v>
      </c>
      <c r="B114" s="14" t="s">
        <v>1529</v>
      </c>
      <c r="C114" s="14" t="s">
        <v>205</v>
      </c>
      <c r="D114" s="14" t="s">
        <v>206</v>
      </c>
      <c r="E114" s="14" t="s">
        <v>205</v>
      </c>
      <c r="F114" s="14" t="s">
        <v>155</v>
      </c>
      <c r="G114" s="14" t="s">
        <v>156</v>
      </c>
      <c r="H114" s="14">
        <v>4</v>
      </c>
      <c r="I114" s="14"/>
      <c r="J114" s="14"/>
    </row>
    <row r="115" spans="1:10">
      <c r="A115" s="14">
        <f>IF(B115="","",COUNTA($B$4:B115))</f>
        <v>112</v>
      </c>
      <c r="B115" s="14" t="s">
        <v>1529</v>
      </c>
      <c r="C115" s="14" t="s">
        <v>208</v>
      </c>
      <c r="D115" s="14" t="s">
        <v>209</v>
      </c>
      <c r="E115" s="14" t="s">
        <v>208</v>
      </c>
      <c r="F115" s="14" t="s">
        <v>155</v>
      </c>
      <c r="G115" s="14" t="s">
        <v>156</v>
      </c>
      <c r="H115" s="14">
        <v>5</v>
      </c>
      <c r="I115" s="14"/>
      <c r="J115" s="14"/>
    </row>
    <row r="116" spans="1:10">
      <c r="A116" s="14">
        <f>IF(B116="","",COUNTA($B$4:B116))</f>
        <v>113</v>
      </c>
      <c r="B116" s="14" t="s">
        <v>1529</v>
      </c>
      <c r="C116" s="14" t="s">
        <v>211</v>
      </c>
      <c r="D116" s="14" t="s">
        <v>212</v>
      </c>
      <c r="E116" s="14" t="s">
        <v>211</v>
      </c>
      <c r="F116" s="14" t="s">
        <v>155</v>
      </c>
      <c r="G116" s="14" t="s">
        <v>156</v>
      </c>
      <c r="H116" s="14">
        <v>5</v>
      </c>
      <c r="I116" s="14"/>
      <c r="J116" s="14"/>
    </row>
    <row r="117" spans="1:10">
      <c r="A117" s="14">
        <f>IF(B117="","",COUNTA($B$4:B117))</f>
        <v>114</v>
      </c>
      <c r="B117" s="14" t="s">
        <v>1529</v>
      </c>
      <c r="C117" s="14" t="s">
        <v>214</v>
      </c>
      <c r="D117" s="14" t="s">
        <v>215</v>
      </c>
      <c r="E117" s="14" t="s">
        <v>1518</v>
      </c>
      <c r="F117" s="14" t="s">
        <v>155</v>
      </c>
      <c r="G117" s="14" t="s">
        <v>156</v>
      </c>
      <c r="H117" s="14">
        <v>5</v>
      </c>
      <c r="I117" s="14"/>
      <c r="J117" s="14"/>
    </row>
    <row r="118" spans="1:10">
      <c r="A118" s="14">
        <f>IF(B118="","",COUNTA($B$4:B118))</f>
        <v>115</v>
      </c>
      <c r="B118" s="14" t="s">
        <v>1529</v>
      </c>
      <c r="C118" s="14" t="s">
        <v>217</v>
      </c>
      <c r="D118" s="14" t="s">
        <v>218</v>
      </c>
      <c r="E118" s="14" t="s">
        <v>219</v>
      </c>
      <c r="F118" s="14" t="s">
        <v>155</v>
      </c>
      <c r="G118" s="14" t="s">
        <v>156</v>
      </c>
      <c r="H118" s="14">
        <v>5</v>
      </c>
      <c r="I118" s="14"/>
      <c r="J118" s="14"/>
    </row>
    <row r="119" spans="1:10">
      <c r="A119" s="14">
        <f>IF(B119="","",COUNTA($B$4:B119))</f>
        <v>116</v>
      </c>
      <c r="B119" s="14" t="s">
        <v>1529</v>
      </c>
      <c r="C119" s="14" t="s">
        <v>266</v>
      </c>
      <c r="D119" s="14" t="s">
        <v>267</v>
      </c>
      <c r="E119" s="14" t="s">
        <v>266</v>
      </c>
      <c r="F119" s="14" t="s">
        <v>155</v>
      </c>
      <c r="G119" s="14" t="s">
        <v>156</v>
      </c>
      <c r="H119" s="14">
        <v>5</v>
      </c>
      <c r="I119" s="14"/>
      <c r="J119" s="14"/>
    </row>
    <row r="120" spans="1:10">
      <c r="A120" s="14">
        <f>IF(B120="","",COUNTA($B$4:B120))</f>
        <v>117</v>
      </c>
      <c r="B120" s="14" t="s">
        <v>1529</v>
      </c>
      <c r="C120" s="14" t="s">
        <v>276</v>
      </c>
      <c r="D120" s="14" t="s">
        <v>277</v>
      </c>
      <c r="E120" s="14" t="s">
        <v>276</v>
      </c>
      <c r="F120" s="14" t="s">
        <v>150</v>
      </c>
      <c r="G120" s="14" t="s">
        <v>151</v>
      </c>
      <c r="H120" s="14">
        <v>4</v>
      </c>
      <c r="I120" s="14"/>
      <c r="J120" s="14"/>
    </row>
    <row r="121" spans="1:10">
      <c r="A121" s="14">
        <f>IF(B121="","",COUNTA($B$4:B121))</f>
        <v>118</v>
      </c>
      <c r="B121" s="14" t="s">
        <v>1529</v>
      </c>
      <c r="C121" s="14" t="s">
        <v>226</v>
      </c>
      <c r="D121" s="14" t="s">
        <v>227</v>
      </c>
      <c r="E121" s="14" t="s">
        <v>226</v>
      </c>
      <c r="F121" s="14" t="s">
        <v>150</v>
      </c>
      <c r="G121" s="14" t="s">
        <v>151</v>
      </c>
      <c r="H121" s="14">
        <v>3</v>
      </c>
      <c r="I121" s="14"/>
      <c r="J121" s="14"/>
    </row>
    <row r="122" spans="1:10">
      <c r="A122" s="14">
        <f>IF(B122="","",COUNTA($B$4:B122))</f>
        <v>119</v>
      </c>
      <c r="B122" s="14" t="s">
        <v>1529</v>
      </c>
      <c r="C122" s="14" t="s">
        <v>228</v>
      </c>
      <c r="D122" s="14" t="s">
        <v>229</v>
      </c>
      <c r="E122" s="14" t="s">
        <v>228</v>
      </c>
      <c r="F122" s="14" t="s">
        <v>150</v>
      </c>
      <c r="G122" s="14" t="s">
        <v>151</v>
      </c>
      <c r="H122" s="14">
        <v>1000</v>
      </c>
      <c r="I122" s="14"/>
      <c r="J122" s="14"/>
    </row>
    <row r="123" spans="1:10">
      <c r="A123" s="14">
        <f>IF(B123="","",COUNTA($B$4:B123))</f>
        <v>120</v>
      </c>
      <c r="B123" s="14" t="s">
        <v>1529</v>
      </c>
      <c r="C123" s="14" t="s">
        <v>230</v>
      </c>
      <c r="D123" s="14" t="s">
        <v>231</v>
      </c>
      <c r="E123" s="14" t="s">
        <v>230</v>
      </c>
      <c r="F123" s="14" t="s">
        <v>169</v>
      </c>
      <c r="G123" s="14" t="s">
        <v>170</v>
      </c>
      <c r="H123" s="14"/>
      <c r="I123" s="14"/>
      <c r="J123" s="14"/>
    </row>
    <row r="124" spans="1:10">
      <c r="A124" s="14">
        <f>IF(B124="","",COUNTA($B$4:B124))</f>
        <v>121</v>
      </c>
      <c r="B124" s="14" t="s">
        <v>1529</v>
      </c>
      <c r="C124" s="14" t="s">
        <v>233</v>
      </c>
      <c r="D124" s="14" t="s">
        <v>234</v>
      </c>
      <c r="E124" s="14" t="s">
        <v>233</v>
      </c>
      <c r="F124" s="14" t="s">
        <v>155</v>
      </c>
      <c r="G124" s="14" t="s">
        <v>156</v>
      </c>
      <c r="H124" s="14">
        <v>1</v>
      </c>
      <c r="I124" s="14"/>
      <c r="J124" s="14"/>
    </row>
    <row r="125" spans="1:10">
      <c r="A125" s="14">
        <f>IF(B125="","",COUNTA($B$4:B125))</f>
        <v>122</v>
      </c>
      <c r="B125" s="14" t="s">
        <v>1529</v>
      </c>
      <c r="C125" s="14" t="s">
        <v>236</v>
      </c>
      <c r="D125" s="14" t="s">
        <v>237</v>
      </c>
      <c r="E125" s="14" t="s">
        <v>236</v>
      </c>
      <c r="F125" s="14" t="s">
        <v>155</v>
      </c>
      <c r="G125" s="14" t="s">
        <v>156</v>
      </c>
      <c r="H125" s="14">
        <v>1</v>
      </c>
      <c r="I125" s="14"/>
      <c r="J125" s="14"/>
    </row>
    <row r="126" spans="1:10">
      <c r="A126" s="14">
        <f>IF(B126="","",COUNTA($B$4:B126))</f>
        <v>123</v>
      </c>
      <c r="B126" s="14" t="s">
        <v>1529</v>
      </c>
      <c r="C126" s="14" t="s">
        <v>239</v>
      </c>
      <c r="D126" s="14" t="s">
        <v>240</v>
      </c>
      <c r="E126" s="14" t="s">
        <v>239</v>
      </c>
      <c r="F126" s="14" t="s">
        <v>169</v>
      </c>
      <c r="G126" s="14" t="s">
        <v>170</v>
      </c>
      <c r="H126" s="14"/>
      <c r="I126" s="14"/>
      <c r="J126" s="14"/>
    </row>
    <row r="127" spans="1:10">
      <c r="A127" s="14">
        <f>IF(B127="","",COUNTA($B$4:B127))</f>
        <v>124</v>
      </c>
      <c r="B127" s="14" t="s">
        <v>1529</v>
      </c>
      <c r="C127" s="14" t="s">
        <v>241</v>
      </c>
      <c r="D127" s="14" t="s">
        <v>242</v>
      </c>
      <c r="E127" s="14" t="s">
        <v>241</v>
      </c>
      <c r="F127" s="14" t="s">
        <v>150</v>
      </c>
      <c r="G127" s="14" t="s">
        <v>243</v>
      </c>
      <c r="H127" s="14"/>
      <c r="I127" s="14" t="s">
        <v>244</v>
      </c>
      <c r="J127" s="14"/>
    </row>
    <row r="128" spans="1:10">
      <c r="A128" s="14">
        <f>IF(B128="","",COUNTA($B$4:B128))</f>
        <v>125</v>
      </c>
      <c r="B128" s="14" t="s">
        <v>1529</v>
      </c>
      <c r="C128" s="14" t="s">
        <v>246</v>
      </c>
      <c r="D128" s="14" t="s">
        <v>247</v>
      </c>
      <c r="E128" s="14" t="s">
        <v>246</v>
      </c>
      <c r="F128" s="14" t="s">
        <v>150</v>
      </c>
      <c r="G128" s="14" t="s">
        <v>243</v>
      </c>
      <c r="H128" s="14"/>
      <c r="I128" s="14" t="s">
        <v>244</v>
      </c>
      <c r="J128" s="14"/>
    </row>
    <row r="129" spans="1:10">
      <c r="A129" s="14">
        <f>IF(B129="","",COUNTA($B$4:B129))</f>
        <v>126</v>
      </c>
      <c r="B129" s="14" t="s">
        <v>1529</v>
      </c>
      <c r="C129" s="14" t="s">
        <v>249</v>
      </c>
      <c r="D129" s="14" t="s">
        <v>250</v>
      </c>
      <c r="E129" s="14" t="s">
        <v>249</v>
      </c>
      <c r="F129" s="14" t="s">
        <v>150</v>
      </c>
      <c r="G129" s="14" t="s">
        <v>151</v>
      </c>
      <c r="H129" s="14">
        <v>4</v>
      </c>
      <c r="I129" s="14"/>
      <c r="J129" s="14"/>
    </row>
    <row r="130" spans="1:10">
      <c r="A130" s="14">
        <f>IF(B130="","",COUNTA($B$4:B130))</f>
        <v>127</v>
      </c>
      <c r="B130" s="14" t="s">
        <v>1529</v>
      </c>
      <c r="C130" s="14" t="s">
        <v>251</v>
      </c>
      <c r="D130" s="14" t="s">
        <v>252</v>
      </c>
      <c r="E130" s="14" t="s">
        <v>251</v>
      </c>
      <c r="F130" s="14" t="s">
        <v>150</v>
      </c>
      <c r="G130" s="14" t="s">
        <v>151</v>
      </c>
      <c r="H130" s="14">
        <v>4</v>
      </c>
      <c r="I130" s="14"/>
      <c r="J130" s="14"/>
    </row>
    <row r="131" spans="1:10">
      <c r="A131" s="14">
        <f>IF(B131="","",COUNTA($B$4:B131))</f>
        <v>128</v>
      </c>
      <c r="B131" s="14" t="s">
        <v>1529</v>
      </c>
      <c r="C131" s="14" t="s">
        <v>253</v>
      </c>
      <c r="D131" s="14" t="s">
        <v>254</v>
      </c>
      <c r="E131" s="14" t="s">
        <v>253</v>
      </c>
      <c r="F131" s="14" t="s">
        <v>150</v>
      </c>
      <c r="G131" s="14" t="s">
        <v>151</v>
      </c>
      <c r="H131" s="14">
        <v>10</v>
      </c>
      <c r="I131" s="14"/>
      <c r="J131" s="14"/>
    </row>
    <row r="132" spans="1:10">
      <c r="A132" s="14">
        <f>IF(B132="","",COUNTA($B$4:B132))</f>
        <v>129</v>
      </c>
      <c r="B132" s="14" t="s">
        <v>1529</v>
      </c>
      <c r="C132" s="14" t="s">
        <v>255</v>
      </c>
      <c r="D132" s="14" t="s">
        <v>256</v>
      </c>
      <c r="E132" s="14" t="s">
        <v>255</v>
      </c>
      <c r="F132" s="14" t="s">
        <v>150</v>
      </c>
      <c r="G132" s="14" t="s">
        <v>151</v>
      </c>
      <c r="H132" s="14">
        <v>10</v>
      </c>
      <c r="I132" s="14"/>
      <c r="J132" s="14"/>
    </row>
    <row r="133" spans="1:10">
      <c r="A133" s="14">
        <f>IF(B133="","",COUNTA($B$4:B133))</f>
        <v>130</v>
      </c>
      <c r="B133" s="14" t="s">
        <v>1529</v>
      </c>
      <c r="C133" s="14" t="s">
        <v>257</v>
      </c>
      <c r="D133" s="14" t="s">
        <v>258</v>
      </c>
      <c r="E133" s="14" t="s">
        <v>257</v>
      </c>
      <c r="F133" s="14" t="s">
        <v>169</v>
      </c>
      <c r="G133" s="14" t="s">
        <v>243</v>
      </c>
      <c r="H133" s="14"/>
      <c r="I133" s="14"/>
      <c r="J133" s="14"/>
    </row>
    <row r="134" spans="1:10">
      <c r="A134" s="14">
        <f>IF(B134="","",COUNTA($B$4:B134))</f>
        <v>131</v>
      </c>
      <c r="B134" s="14" t="s">
        <v>1529</v>
      </c>
      <c r="C134" s="14" t="s">
        <v>259</v>
      </c>
      <c r="D134" s="14" t="s">
        <v>260</v>
      </c>
      <c r="E134" s="14" t="s">
        <v>259</v>
      </c>
      <c r="F134" s="14" t="s">
        <v>150</v>
      </c>
      <c r="G134" s="14" t="s">
        <v>151</v>
      </c>
      <c r="H134" s="14">
        <v>10</v>
      </c>
      <c r="I134" s="14"/>
      <c r="J134" s="14"/>
    </row>
    <row r="135" spans="1:10">
      <c r="A135" s="14">
        <f>IF(B135="","",COUNTA($B$4:B135))</f>
        <v>132</v>
      </c>
      <c r="B135" s="14" t="s">
        <v>1529</v>
      </c>
      <c r="C135" s="14" t="s">
        <v>261</v>
      </c>
      <c r="D135" s="14" t="s">
        <v>262</v>
      </c>
      <c r="E135" s="14" t="s">
        <v>261</v>
      </c>
      <c r="F135" s="14" t="s">
        <v>150</v>
      </c>
      <c r="G135" s="14" t="s">
        <v>151</v>
      </c>
      <c r="H135" s="14">
        <v>10</v>
      </c>
      <c r="I135" s="14"/>
      <c r="J135" s="14"/>
    </row>
    <row r="136" spans="1:10">
      <c r="A136" s="14">
        <f>IF(B136="","",COUNTA($B$4:B136))</f>
        <v>133</v>
      </c>
      <c r="B136" s="14" t="s">
        <v>1529</v>
      </c>
      <c r="C136" s="14" t="s">
        <v>263</v>
      </c>
      <c r="D136" s="14" t="s">
        <v>264</v>
      </c>
      <c r="E136" s="14" t="s">
        <v>263</v>
      </c>
      <c r="F136" s="14" t="s">
        <v>169</v>
      </c>
      <c r="G136" s="14" t="s">
        <v>243</v>
      </c>
      <c r="H136" s="14"/>
      <c r="I136" s="14"/>
      <c r="J136" s="14"/>
    </row>
    <row r="137" spans="1:10">
      <c r="A137" s="14">
        <f>IF(B137="","",COUNTA($B$4:B137))</f>
        <v>134</v>
      </c>
      <c r="B137" s="14" t="s">
        <v>1530</v>
      </c>
      <c r="C137" s="14" t="s">
        <v>148</v>
      </c>
      <c r="D137" s="14" t="s">
        <v>149</v>
      </c>
      <c r="E137" s="14" t="s">
        <v>148</v>
      </c>
      <c r="F137" s="14" t="s">
        <v>150</v>
      </c>
      <c r="G137" s="14" t="s">
        <v>151</v>
      </c>
      <c r="H137" s="14">
        <v>15</v>
      </c>
      <c r="I137" s="14"/>
      <c r="J137" s="14"/>
    </row>
    <row r="138" spans="1:10">
      <c r="A138" s="14">
        <f>IF(B138="","",COUNTA($B$4:B138))</f>
        <v>135</v>
      </c>
      <c r="B138" s="14" t="s">
        <v>1530</v>
      </c>
      <c r="C138" s="14" t="s">
        <v>153</v>
      </c>
      <c r="D138" s="14" t="s">
        <v>154</v>
      </c>
      <c r="E138" s="14" t="s">
        <v>153</v>
      </c>
      <c r="F138" s="14" t="s">
        <v>155</v>
      </c>
      <c r="G138" s="14" t="s">
        <v>156</v>
      </c>
      <c r="H138" s="14">
        <v>3</v>
      </c>
      <c r="I138" s="14"/>
      <c r="J138" s="14"/>
    </row>
    <row r="139" spans="1:10">
      <c r="A139" s="14">
        <f>IF(B139="","",COUNTA($B$4:B139))</f>
        <v>136</v>
      </c>
      <c r="B139" s="14" t="s">
        <v>1530</v>
      </c>
      <c r="C139" s="14" t="s">
        <v>157</v>
      </c>
      <c r="D139" s="14" t="s">
        <v>158</v>
      </c>
      <c r="E139" s="14" t="s">
        <v>157</v>
      </c>
      <c r="F139" s="14" t="s">
        <v>150</v>
      </c>
      <c r="G139" s="14" t="s">
        <v>151</v>
      </c>
      <c r="H139" s="14">
        <v>10</v>
      </c>
      <c r="I139" s="14"/>
      <c r="J139" s="14"/>
    </row>
    <row r="140" spans="1:10">
      <c r="A140" s="14">
        <f>IF(B140="","",COUNTA($B$4:B140))</f>
        <v>137</v>
      </c>
      <c r="B140" s="14" t="s">
        <v>1530</v>
      </c>
      <c r="C140" s="14" t="s">
        <v>159</v>
      </c>
      <c r="D140" s="14" t="s">
        <v>160</v>
      </c>
      <c r="E140" s="14" t="s">
        <v>159</v>
      </c>
      <c r="F140" s="14" t="s">
        <v>150</v>
      </c>
      <c r="G140" s="14" t="s">
        <v>151</v>
      </c>
      <c r="H140" s="14">
        <v>4</v>
      </c>
      <c r="I140" s="14"/>
      <c r="J140" s="14"/>
    </row>
    <row r="141" spans="1:10">
      <c r="A141" s="14">
        <f>IF(B141="","",COUNTA($B$4:B141))</f>
        <v>138</v>
      </c>
      <c r="B141" s="14" t="s">
        <v>1530</v>
      </c>
      <c r="C141" s="14" t="s">
        <v>162</v>
      </c>
      <c r="D141" s="14" t="s">
        <v>163</v>
      </c>
      <c r="E141" s="14" t="s">
        <v>164</v>
      </c>
      <c r="F141" s="14" t="s">
        <v>150</v>
      </c>
      <c r="G141" s="14" t="s">
        <v>151</v>
      </c>
      <c r="H141" s="14">
        <v>4</v>
      </c>
      <c r="I141" s="14"/>
      <c r="J141" s="14"/>
    </row>
    <row r="142" spans="1:10">
      <c r="A142" s="14">
        <f>IF(B142="","",COUNTA($B$4:B142))</f>
        <v>139</v>
      </c>
      <c r="B142" s="14" t="s">
        <v>1530</v>
      </c>
      <c r="C142" s="14" t="s">
        <v>166</v>
      </c>
      <c r="D142" s="14" t="s">
        <v>167</v>
      </c>
      <c r="E142" s="14" t="s">
        <v>168</v>
      </c>
      <c r="F142" s="14" t="s">
        <v>169</v>
      </c>
      <c r="G142" s="14" t="s">
        <v>170</v>
      </c>
      <c r="H142" s="14"/>
      <c r="I142" s="14"/>
      <c r="J142" s="14"/>
    </row>
    <row r="143" spans="1:10">
      <c r="A143" s="14">
        <f>IF(B143="","",COUNTA($B$4:B143))</f>
        <v>140</v>
      </c>
      <c r="B143" s="14" t="s">
        <v>1530</v>
      </c>
      <c r="C143" s="14" t="s">
        <v>174</v>
      </c>
      <c r="D143" s="14" t="s">
        <v>175</v>
      </c>
      <c r="E143" s="14" t="s">
        <v>176</v>
      </c>
      <c r="F143" s="14" t="s">
        <v>169</v>
      </c>
      <c r="G143" s="14" t="s">
        <v>170</v>
      </c>
      <c r="H143" s="14"/>
      <c r="I143" s="14"/>
      <c r="J143" s="14"/>
    </row>
    <row r="144" spans="1:10">
      <c r="A144" s="14">
        <f>IF(B144="","",COUNTA($B$4:B144))</f>
        <v>141</v>
      </c>
      <c r="B144" s="14" t="s">
        <v>1530</v>
      </c>
      <c r="C144" s="14" t="s">
        <v>172</v>
      </c>
      <c r="D144" s="14" t="s">
        <v>177</v>
      </c>
      <c r="E144" s="14" t="s">
        <v>172</v>
      </c>
      <c r="F144" s="14" t="s">
        <v>155</v>
      </c>
      <c r="G144" s="14" t="s">
        <v>156</v>
      </c>
      <c r="H144" s="14">
        <v>5</v>
      </c>
      <c r="I144" s="14">
        <v>1</v>
      </c>
      <c r="J144" s="14"/>
    </row>
    <row r="145" spans="1:10">
      <c r="A145" s="14">
        <f>IF(B145="","",COUNTA($B$4:B145))</f>
        <v>142</v>
      </c>
      <c r="B145" s="14" t="s">
        <v>1530</v>
      </c>
      <c r="C145" s="14" t="s">
        <v>178</v>
      </c>
      <c r="D145" s="14" t="s">
        <v>179</v>
      </c>
      <c r="E145" s="14" t="s">
        <v>178</v>
      </c>
      <c r="F145" s="14" t="s">
        <v>150</v>
      </c>
      <c r="G145" s="14" t="s">
        <v>151</v>
      </c>
      <c r="H145" s="14">
        <v>20</v>
      </c>
      <c r="I145" s="14"/>
      <c r="J145" s="14"/>
    </row>
    <row r="146" spans="1:10">
      <c r="A146" s="14">
        <f>IF(B146="","",COUNTA($B$4:B146))</f>
        <v>143</v>
      </c>
      <c r="B146" s="14" t="s">
        <v>1530</v>
      </c>
      <c r="C146" s="14" t="s">
        <v>181</v>
      </c>
      <c r="D146" s="14" t="s">
        <v>182</v>
      </c>
      <c r="E146" s="14" t="s">
        <v>181</v>
      </c>
      <c r="F146" s="14" t="s">
        <v>150</v>
      </c>
      <c r="G146" s="14" t="s">
        <v>151</v>
      </c>
      <c r="H146" s="14">
        <v>30</v>
      </c>
      <c r="I146" s="14"/>
      <c r="J146" s="14"/>
    </row>
    <row r="147" spans="1:10">
      <c r="A147" s="14">
        <f>IF(B147="","",COUNTA($B$4:B147))</f>
        <v>144</v>
      </c>
      <c r="B147" s="14" t="s">
        <v>1530</v>
      </c>
      <c r="C147" s="14" t="s">
        <v>183</v>
      </c>
      <c r="D147" s="14" t="s">
        <v>184</v>
      </c>
      <c r="E147" s="14" t="s">
        <v>183</v>
      </c>
      <c r="F147" s="14" t="s">
        <v>150</v>
      </c>
      <c r="G147" s="14" t="s">
        <v>151</v>
      </c>
      <c r="H147" s="14">
        <v>1000</v>
      </c>
      <c r="I147" s="14"/>
      <c r="J147" s="14"/>
    </row>
    <row r="148" spans="1:10">
      <c r="A148" s="14">
        <f>IF(B148="","",COUNTA($B$4:B148))</f>
        <v>145</v>
      </c>
      <c r="B148" s="14" t="s">
        <v>1530</v>
      </c>
      <c r="C148" s="14" t="s">
        <v>185</v>
      </c>
      <c r="D148" s="14" t="s">
        <v>186</v>
      </c>
      <c r="E148" s="14" t="s">
        <v>185</v>
      </c>
      <c r="F148" s="14" t="s">
        <v>150</v>
      </c>
      <c r="G148" s="14" t="s">
        <v>151</v>
      </c>
      <c r="H148" s="14">
        <v>75</v>
      </c>
      <c r="I148" s="14"/>
      <c r="J148" s="14"/>
    </row>
    <row r="149" spans="1:10">
      <c r="A149" s="14">
        <f>IF(B149="","",COUNTA($B$4:B149))</f>
        <v>146</v>
      </c>
      <c r="B149" s="14" t="s">
        <v>1530</v>
      </c>
      <c r="C149" s="14" t="s">
        <v>187</v>
      </c>
      <c r="D149" s="14" t="s">
        <v>188</v>
      </c>
      <c r="E149" s="14" t="s">
        <v>187</v>
      </c>
      <c r="F149" s="14" t="s">
        <v>155</v>
      </c>
      <c r="G149" s="14" t="s">
        <v>156</v>
      </c>
      <c r="H149" s="14">
        <v>3</v>
      </c>
      <c r="I149" s="14"/>
      <c r="J149" s="14"/>
    </row>
    <row r="150" spans="1:10">
      <c r="A150" s="14">
        <f>IF(B150="","",COUNTA($B$4:B150))</f>
        <v>147</v>
      </c>
      <c r="B150" s="14" t="s">
        <v>1530</v>
      </c>
      <c r="C150" s="14" t="s">
        <v>189</v>
      </c>
      <c r="D150" s="14" t="s">
        <v>190</v>
      </c>
      <c r="E150" s="14" t="s">
        <v>189</v>
      </c>
      <c r="F150" s="14" t="s">
        <v>155</v>
      </c>
      <c r="G150" s="14" t="s">
        <v>156</v>
      </c>
      <c r="H150" s="14">
        <v>3</v>
      </c>
      <c r="I150" s="14"/>
      <c r="J150" s="14"/>
    </row>
    <row r="151" spans="1:10">
      <c r="A151" s="14">
        <f>IF(B151="","",COUNTA($B$4:B151))</f>
        <v>148</v>
      </c>
      <c r="B151" s="14" t="s">
        <v>1530</v>
      </c>
      <c r="C151" s="14" t="s">
        <v>193</v>
      </c>
      <c r="D151" s="14" t="s">
        <v>194</v>
      </c>
      <c r="E151" s="14" t="s">
        <v>193</v>
      </c>
      <c r="F151" s="14" t="s">
        <v>150</v>
      </c>
      <c r="G151" s="14" t="s">
        <v>151</v>
      </c>
      <c r="H151" s="14">
        <v>25</v>
      </c>
      <c r="I151" s="14"/>
      <c r="J151" s="14"/>
    </row>
    <row r="152" spans="1:10">
      <c r="A152" s="14">
        <f>IF(B152="","",COUNTA($B$4:B152))</f>
        <v>149</v>
      </c>
      <c r="B152" s="14" t="s">
        <v>1530</v>
      </c>
      <c r="C152" s="14" t="s">
        <v>195</v>
      </c>
      <c r="D152" s="14" t="s">
        <v>196</v>
      </c>
      <c r="E152" s="14" t="s">
        <v>195</v>
      </c>
      <c r="F152" s="14" t="s">
        <v>150</v>
      </c>
      <c r="G152" s="14" t="s">
        <v>151</v>
      </c>
      <c r="H152" s="14">
        <v>400</v>
      </c>
      <c r="I152" s="14"/>
      <c r="J152" s="14"/>
    </row>
    <row r="153" spans="1:10">
      <c r="A153" s="14">
        <f>IF(B153="","",COUNTA($B$4:B153))</f>
        <v>150</v>
      </c>
      <c r="B153" s="14" t="s">
        <v>1530</v>
      </c>
      <c r="C153" s="14" t="s">
        <v>197</v>
      </c>
      <c r="D153" s="14" t="s">
        <v>198</v>
      </c>
      <c r="E153" s="14" t="s">
        <v>197</v>
      </c>
      <c r="F153" s="14" t="s">
        <v>150</v>
      </c>
      <c r="G153" s="14" t="s">
        <v>151</v>
      </c>
      <c r="H153" s="14">
        <v>5</v>
      </c>
      <c r="I153" s="14"/>
      <c r="J153" s="14"/>
    </row>
    <row r="154" spans="1:10">
      <c r="A154" s="14">
        <f>IF(B154="","",COUNTA($B$4:B154))</f>
        <v>151</v>
      </c>
      <c r="B154" s="14" t="s">
        <v>1530</v>
      </c>
      <c r="C154" s="14" t="s">
        <v>199</v>
      </c>
      <c r="D154" s="14" t="s">
        <v>200</v>
      </c>
      <c r="E154" s="14" t="s">
        <v>199</v>
      </c>
      <c r="F154" s="14" t="s">
        <v>150</v>
      </c>
      <c r="G154" s="14" t="s">
        <v>151</v>
      </c>
      <c r="H154" s="14">
        <v>20</v>
      </c>
      <c r="I154" s="14"/>
      <c r="J154" s="14"/>
    </row>
    <row r="155" spans="1:10">
      <c r="A155" s="14">
        <f>IF(B155="","",COUNTA($B$4:B155))</f>
        <v>152</v>
      </c>
      <c r="B155" s="14" t="s">
        <v>1530</v>
      </c>
      <c r="C155" s="14" t="s">
        <v>201</v>
      </c>
      <c r="D155" s="14" t="s">
        <v>202</v>
      </c>
      <c r="E155" s="14" t="s">
        <v>201</v>
      </c>
      <c r="F155" s="14" t="s">
        <v>150</v>
      </c>
      <c r="G155" s="14" t="s">
        <v>151</v>
      </c>
      <c r="H155" s="14">
        <v>30</v>
      </c>
      <c r="I155" s="14"/>
      <c r="J155" s="14"/>
    </row>
    <row r="156" spans="1:10">
      <c r="A156" s="14">
        <f>IF(B156="","",COUNTA($B$4:B156))</f>
        <v>153</v>
      </c>
      <c r="B156" s="14" t="s">
        <v>1530</v>
      </c>
      <c r="C156" s="14" t="s">
        <v>203</v>
      </c>
      <c r="D156" s="14" t="s">
        <v>204</v>
      </c>
      <c r="E156" s="14" t="s">
        <v>203</v>
      </c>
      <c r="F156" s="14" t="s">
        <v>155</v>
      </c>
      <c r="G156" s="14" t="s">
        <v>156</v>
      </c>
      <c r="H156" s="14">
        <v>5</v>
      </c>
      <c r="I156" s="14">
        <v>2</v>
      </c>
      <c r="J156" s="14"/>
    </row>
    <row r="157" spans="1:10">
      <c r="A157" s="14">
        <f>IF(B157="","",COUNTA($B$4:B157))</f>
        <v>154</v>
      </c>
      <c r="B157" s="14" t="s">
        <v>1530</v>
      </c>
      <c r="C157" s="14" t="s">
        <v>205</v>
      </c>
      <c r="D157" s="14" t="s">
        <v>206</v>
      </c>
      <c r="E157" s="14" t="s">
        <v>205</v>
      </c>
      <c r="F157" s="14" t="s">
        <v>155</v>
      </c>
      <c r="G157" s="14" t="s">
        <v>156</v>
      </c>
      <c r="H157" s="14">
        <v>4</v>
      </c>
      <c r="I157" s="14"/>
      <c r="J157" s="14"/>
    </row>
    <row r="158" spans="1:10">
      <c r="A158" s="14">
        <f>IF(B158="","",COUNTA($B$4:B158))</f>
        <v>155</v>
      </c>
      <c r="B158" s="14" t="s">
        <v>1530</v>
      </c>
      <c r="C158" s="14" t="s">
        <v>208</v>
      </c>
      <c r="D158" s="14" t="s">
        <v>209</v>
      </c>
      <c r="E158" s="14" t="s">
        <v>208</v>
      </c>
      <c r="F158" s="14" t="s">
        <v>155</v>
      </c>
      <c r="G158" s="14" t="s">
        <v>156</v>
      </c>
      <c r="H158" s="14">
        <v>5</v>
      </c>
      <c r="I158" s="14"/>
      <c r="J158" s="14"/>
    </row>
    <row r="159" spans="1:10">
      <c r="A159" s="14">
        <f>IF(B159="","",COUNTA($B$4:B159))</f>
        <v>156</v>
      </c>
      <c r="B159" s="14" t="s">
        <v>1530</v>
      </c>
      <c r="C159" s="14" t="s">
        <v>211</v>
      </c>
      <c r="D159" s="14" t="s">
        <v>212</v>
      </c>
      <c r="E159" s="14" t="s">
        <v>211</v>
      </c>
      <c r="F159" s="14" t="s">
        <v>155</v>
      </c>
      <c r="G159" s="14" t="s">
        <v>156</v>
      </c>
      <c r="H159" s="14">
        <v>5</v>
      </c>
      <c r="I159" s="14"/>
      <c r="J159" s="14"/>
    </row>
    <row r="160" spans="1:10">
      <c r="A160" s="14">
        <f>IF(B160="","",COUNTA($B$4:B160))</f>
        <v>157</v>
      </c>
      <c r="B160" s="14" t="s">
        <v>1530</v>
      </c>
      <c r="C160" s="14" t="s">
        <v>214</v>
      </c>
      <c r="D160" s="14" t="s">
        <v>215</v>
      </c>
      <c r="E160" s="14" t="s">
        <v>1518</v>
      </c>
      <c r="F160" s="14" t="s">
        <v>155</v>
      </c>
      <c r="G160" s="14" t="s">
        <v>156</v>
      </c>
      <c r="H160" s="14">
        <v>5</v>
      </c>
      <c r="I160" s="14"/>
      <c r="J160" s="14"/>
    </row>
    <row r="161" spans="1:10">
      <c r="A161" s="14">
        <f>IF(B161="","",COUNTA($B$4:B161))</f>
        <v>158</v>
      </c>
      <c r="B161" s="14" t="s">
        <v>1530</v>
      </c>
      <c r="C161" s="14" t="s">
        <v>217</v>
      </c>
      <c r="D161" s="14" t="s">
        <v>218</v>
      </c>
      <c r="E161" s="14" t="s">
        <v>219</v>
      </c>
      <c r="F161" s="14" t="s">
        <v>155</v>
      </c>
      <c r="G161" s="14" t="s">
        <v>156</v>
      </c>
      <c r="H161" s="14">
        <v>5</v>
      </c>
      <c r="I161" s="14"/>
      <c r="J161" s="14"/>
    </row>
    <row r="162" spans="1:10">
      <c r="A162" s="14">
        <f>IF(B162="","",COUNTA($B$4:B162))</f>
        <v>159</v>
      </c>
      <c r="B162" s="14" t="s">
        <v>1530</v>
      </c>
      <c r="C162" s="14" t="s">
        <v>266</v>
      </c>
      <c r="D162" s="14" t="s">
        <v>267</v>
      </c>
      <c r="E162" s="14" t="s">
        <v>266</v>
      </c>
      <c r="F162" s="14" t="s">
        <v>155</v>
      </c>
      <c r="G162" s="14" t="s">
        <v>156</v>
      </c>
      <c r="H162" s="14">
        <v>5</v>
      </c>
      <c r="I162" s="14"/>
      <c r="J162" s="14"/>
    </row>
    <row r="163" spans="1:10">
      <c r="A163" s="14">
        <f>IF(B163="","",COUNTA($B$4:B163))</f>
        <v>160</v>
      </c>
      <c r="B163" s="14" t="s">
        <v>1530</v>
      </c>
      <c r="C163" s="14" t="s">
        <v>226</v>
      </c>
      <c r="D163" s="14" t="s">
        <v>227</v>
      </c>
      <c r="E163" s="14" t="s">
        <v>226</v>
      </c>
      <c r="F163" s="14" t="s">
        <v>150</v>
      </c>
      <c r="G163" s="14" t="s">
        <v>151</v>
      </c>
      <c r="H163" s="14">
        <v>3</v>
      </c>
      <c r="I163" s="14"/>
      <c r="J163" s="14"/>
    </row>
    <row r="164" spans="1:10">
      <c r="A164" s="14">
        <f>IF(B164="","",COUNTA($B$4:B164))</f>
        <v>161</v>
      </c>
      <c r="B164" s="14" t="s">
        <v>1530</v>
      </c>
      <c r="C164" s="14" t="s">
        <v>228</v>
      </c>
      <c r="D164" s="14" t="s">
        <v>229</v>
      </c>
      <c r="E164" s="14" t="s">
        <v>228</v>
      </c>
      <c r="F164" s="14" t="s">
        <v>150</v>
      </c>
      <c r="G164" s="14" t="s">
        <v>151</v>
      </c>
      <c r="H164" s="14">
        <v>1000</v>
      </c>
      <c r="I164" s="14"/>
      <c r="J164" s="14"/>
    </row>
    <row r="165" spans="1:10">
      <c r="A165" s="14">
        <f>IF(B165="","",COUNTA($B$4:B165))</f>
        <v>162</v>
      </c>
      <c r="B165" s="14" t="s">
        <v>1530</v>
      </c>
      <c r="C165" s="14" t="s">
        <v>230</v>
      </c>
      <c r="D165" s="14" t="s">
        <v>231</v>
      </c>
      <c r="E165" s="14" t="s">
        <v>230</v>
      </c>
      <c r="F165" s="14" t="s">
        <v>169</v>
      </c>
      <c r="G165" s="14" t="s">
        <v>170</v>
      </c>
      <c r="H165" s="14"/>
      <c r="I165" s="14"/>
      <c r="J165" s="14"/>
    </row>
    <row r="166" spans="1:10">
      <c r="A166" s="14">
        <f>IF(B166="","",COUNTA($B$4:B166))</f>
        <v>163</v>
      </c>
      <c r="B166" s="14" t="s">
        <v>1530</v>
      </c>
      <c r="C166" s="14" t="s">
        <v>233</v>
      </c>
      <c r="D166" s="14" t="s">
        <v>234</v>
      </c>
      <c r="E166" s="14" t="s">
        <v>233</v>
      </c>
      <c r="F166" s="14" t="s">
        <v>155</v>
      </c>
      <c r="G166" s="14" t="s">
        <v>156</v>
      </c>
      <c r="H166" s="14">
        <v>1</v>
      </c>
      <c r="I166" s="14"/>
      <c r="J166" s="14"/>
    </row>
    <row r="167" spans="1:10">
      <c r="A167" s="14">
        <f>IF(B167="","",COUNTA($B$4:B167))</f>
        <v>164</v>
      </c>
      <c r="B167" s="14" t="s">
        <v>1530</v>
      </c>
      <c r="C167" s="14" t="s">
        <v>236</v>
      </c>
      <c r="D167" s="14" t="s">
        <v>237</v>
      </c>
      <c r="E167" s="14" t="s">
        <v>236</v>
      </c>
      <c r="F167" s="14" t="s">
        <v>155</v>
      </c>
      <c r="G167" s="14" t="s">
        <v>156</v>
      </c>
      <c r="H167" s="14">
        <v>1</v>
      </c>
      <c r="I167" s="14"/>
      <c r="J167" s="14"/>
    </row>
    <row r="168" spans="1:10">
      <c r="A168" s="14">
        <f>IF(B168="","",COUNTA($B$4:B168))</f>
        <v>165</v>
      </c>
      <c r="B168" s="14" t="s">
        <v>1530</v>
      </c>
      <c r="C168" s="14" t="s">
        <v>239</v>
      </c>
      <c r="D168" s="14" t="s">
        <v>240</v>
      </c>
      <c r="E168" s="14" t="s">
        <v>239</v>
      </c>
      <c r="F168" s="14" t="s">
        <v>169</v>
      </c>
      <c r="G168" s="14" t="s">
        <v>170</v>
      </c>
      <c r="H168" s="14"/>
      <c r="I168" s="14"/>
      <c r="J168" s="14"/>
    </row>
    <row r="169" spans="1:10">
      <c r="A169" s="14">
        <f>IF(B169="","",COUNTA($B$4:B169))</f>
        <v>166</v>
      </c>
      <c r="B169" s="14" t="s">
        <v>1530</v>
      </c>
      <c r="C169" s="14" t="s">
        <v>278</v>
      </c>
      <c r="D169" s="14" t="s">
        <v>279</v>
      </c>
      <c r="E169" s="14" t="s">
        <v>278</v>
      </c>
      <c r="F169" s="14" t="s">
        <v>155</v>
      </c>
      <c r="G169" s="14" t="s">
        <v>156</v>
      </c>
      <c r="H169" s="14">
        <v>1</v>
      </c>
      <c r="I169" s="14"/>
      <c r="J169" s="14"/>
    </row>
    <row r="170" spans="1:10">
      <c r="A170" s="14">
        <f>IF(B170="","",COUNTA($B$4:B170))</f>
        <v>167</v>
      </c>
      <c r="B170" s="14" t="s">
        <v>1530</v>
      </c>
      <c r="C170" s="14" t="s">
        <v>281</v>
      </c>
      <c r="D170" s="14" t="s">
        <v>282</v>
      </c>
      <c r="E170" s="14" t="s">
        <v>281</v>
      </c>
      <c r="F170" s="14" t="s">
        <v>155</v>
      </c>
      <c r="G170" s="14" t="s">
        <v>156</v>
      </c>
      <c r="H170" s="14">
        <v>1</v>
      </c>
      <c r="I170" s="14"/>
      <c r="J170" s="14"/>
    </row>
    <row r="171" spans="1:10">
      <c r="A171" s="14">
        <f>IF(B171="","",COUNTA($B$4:B171))</f>
        <v>168</v>
      </c>
      <c r="B171" s="14" t="s">
        <v>1530</v>
      </c>
      <c r="C171" s="14" t="s">
        <v>284</v>
      </c>
      <c r="D171" s="14" t="s">
        <v>285</v>
      </c>
      <c r="E171" s="14" t="s">
        <v>284</v>
      </c>
      <c r="F171" s="14" t="s">
        <v>155</v>
      </c>
      <c r="G171" s="14" t="s">
        <v>156</v>
      </c>
      <c r="H171" s="14">
        <v>1</v>
      </c>
      <c r="I171" s="14"/>
      <c r="J171" s="14"/>
    </row>
    <row r="172" spans="1:10">
      <c r="A172" s="14">
        <f>IF(B172="","",COUNTA($B$4:B172))</f>
        <v>169</v>
      </c>
      <c r="B172" s="14" t="s">
        <v>1530</v>
      </c>
      <c r="C172" s="14" t="s">
        <v>249</v>
      </c>
      <c r="D172" s="14" t="s">
        <v>250</v>
      </c>
      <c r="E172" s="14" t="s">
        <v>249</v>
      </c>
      <c r="F172" s="14" t="s">
        <v>150</v>
      </c>
      <c r="G172" s="14" t="s">
        <v>151</v>
      </c>
      <c r="H172" s="14">
        <v>4</v>
      </c>
      <c r="I172" s="14"/>
      <c r="J172" s="14"/>
    </row>
    <row r="173" spans="1:10">
      <c r="A173" s="14">
        <f>IF(B173="","",COUNTA($B$4:B173))</f>
        <v>170</v>
      </c>
      <c r="B173" s="14" t="s">
        <v>1530</v>
      </c>
      <c r="C173" s="14" t="s">
        <v>251</v>
      </c>
      <c r="D173" s="14" t="s">
        <v>252</v>
      </c>
      <c r="E173" s="14" t="s">
        <v>251</v>
      </c>
      <c r="F173" s="14" t="s">
        <v>150</v>
      </c>
      <c r="G173" s="14" t="s">
        <v>151</v>
      </c>
      <c r="H173" s="14">
        <v>4</v>
      </c>
      <c r="I173" s="14"/>
      <c r="J173" s="14"/>
    </row>
    <row r="174" spans="1:10">
      <c r="A174" s="14">
        <f>IF(B174="","",COUNTA($B$4:B174))</f>
        <v>171</v>
      </c>
      <c r="B174" s="14" t="s">
        <v>1530</v>
      </c>
      <c r="C174" s="14" t="s">
        <v>253</v>
      </c>
      <c r="D174" s="14" t="s">
        <v>254</v>
      </c>
      <c r="E174" s="14" t="s">
        <v>253</v>
      </c>
      <c r="F174" s="14" t="s">
        <v>150</v>
      </c>
      <c r="G174" s="14" t="s">
        <v>151</v>
      </c>
      <c r="H174" s="14">
        <v>10</v>
      </c>
      <c r="I174" s="14"/>
      <c r="J174" s="14"/>
    </row>
    <row r="175" spans="1:10">
      <c r="A175" s="14">
        <f>IF(B175="","",COUNTA($B$4:B175))</f>
        <v>172</v>
      </c>
      <c r="B175" s="14" t="s">
        <v>1530</v>
      </c>
      <c r="C175" s="14" t="s">
        <v>255</v>
      </c>
      <c r="D175" s="14" t="s">
        <v>256</v>
      </c>
      <c r="E175" s="14" t="s">
        <v>255</v>
      </c>
      <c r="F175" s="14" t="s">
        <v>150</v>
      </c>
      <c r="G175" s="14" t="s">
        <v>151</v>
      </c>
      <c r="H175" s="14">
        <v>10</v>
      </c>
      <c r="I175" s="14"/>
      <c r="J175" s="14"/>
    </row>
    <row r="176" spans="1:10">
      <c r="A176" s="14">
        <f>IF(B176="","",COUNTA($B$4:B176))</f>
        <v>173</v>
      </c>
      <c r="B176" s="14" t="s">
        <v>1530</v>
      </c>
      <c r="C176" s="14" t="s">
        <v>257</v>
      </c>
      <c r="D176" s="14" t="s">
        <v>258</v>
      </c>
      <c r="E176" s="14" t="s">
        <v>257</v>
      </c>
      <c r="F176" s="14" t="s">
        <v>169</v>
      </c>
      <c r="G176" s="14" t="s">
        <v>243</v>
      </c>
      <c r="H176" s="14"/>
      <c r="I176" s="14"/>
      <c r="J176" s="14"/>
    </row>
    <row r="177" spans="1:10">
      <c r="A177" s="14">
        <f>IF(B177="","",COUNTA($B$4:B177))</f>
        <v>174</v>
      </c>
      <c r="B177" s="14" t="s">
        <v>1530</v>
      </c>
      <c r="C177" s="14" t="s">
        <v>259</v>
      </c>
      <c r="D177" s="14" t="s">
        <v>260</v>
      </c>
      <c r="E177" s="14" t="s">
        <v>259</v>
      </c>
      <c r="F177" s="14" t="s">
        <v>150</v>
      </c>
      <c r="G177" s="14" t="s">
        <v>151</v>
      </c>
      <c r="H177" s="14">
        <v>10</v>
      </c>
      <c r="I177" s="14"/>
      <c r="J177" s="14"/>
    </row>
    <row r="178" spans="1:10">
      <c r="A178" s="14">
        <f>IF(B178="","",COUNTA($B$4:B178))</f>
        <v>175</v>
      </c>
      <c r="B178" s="14" t="s">
        <v>1530</v>
      </c>
      <c r="C178" s="14" t="s">
        <v>261</v>
      </c>
      <c r="D178" s="14" t="s">
        <v>262</v>
      </c>
      <c r="E178" s="14" t="s">
        <v>261</v>
      </c>
      <c r="F178" s="14" t="s">
        <v>150</v>
      </c>
      <c r="G178" s="14" t="s">
        <v>151</v>
      </c>
      <c r="H178" s="14">
        <v>10</v>
      </c>
      <c r="I178" s="14"/>
      <c r="J178" s="14"/>
    </row>
    <row r="179" spans="1:10">
      <c r="A179" s="14">
        <f>IF(B179="","",COUNTA($B$4:B179))</f>
        <v>176</v>
      </c>
      <c r="B179" s="14" t="s">
        <v>1530</v>
      </c>
      <c r="C179" s="14" t="s">
        <v>263</v>
      </c>
      <c r="D179" s="14" t="s">
        <v>264</v>
      </c>
      <c r="E179" s="14" t="s">
        <v>263</v>
      </c>
      <c r="F179" s="14" t="s">
        <v>169</v>
      </c>
      <c r="G179" s="14" t="s">
        <v>243</v>
      </c>
      <c r="H179" s="14"/>
      <c r="I179" s="14"/>
      <c r="J179" s="14"/>
    </row>
    <row r="180" spans="1:10">
      <c r="A180" s="14">
        <f>IF(B180="","",COUNTA($B$4:B180))</f>
        <v>177</v>
      </c>
      <c r="B180" s="14" t="s">
        <v>1531</v>
      </c>
      <c r="C180" s="14" t="s">
        <v>148</v>
      </c>
      <c r="D180" s="14" t="s">
        <v>149</v>
      </c>
      <c r="E180" s="14" t="s">
        <v>148</v>
      </c>
      <c r="F180" s="14" t="s">
        <v>150</v>
      </c>
      <c r="G180" s="14" t="s">
        <v>151</v>
      </c>
      <c r="H180" s="14">
        <v>15</v>
      </c>
      <c r="I180" s="14"/>
      <c r="J180" s="14"/>
    </row>
    <row r="181" spans="1:10">
      <c r="A181" s="14">
        <f>IF(B181="","",COUNTA($B$4:B181))</f>
        <v>178</v>
      </c>
      <c r="B181" s="14" t="s">
        <v>1531</v>
      </c>
      <c r="C181" s="14" t="s">
        <v>157</v>
      </c>
      <c r="D181" s="14" t="s">
        <v>158</v>
      </c>
      <c r="E181" s="14" t="s">
        <v>157</v>
      </c>
      <c r="F181" s="14" t="s">
        <v>150</v>
      </c>
      <c r="G181" s="14" t="s">
        <v>151</v>
      </c>
      <c r="H181" s="14">
        <v>10</v>
      </c>
      <c r="I181" s="14"/>
      <c r="J181" s="14"/>
    </row>
    <row r="182" spans="1:10">
      <c r="A182" s="14">
        <f>IF(B182="","",COUNTA($B$4:B182))</f>
        <v>179</v>
      </c>
      <c r="B182" s="14" t="s">
        <v>1531</v>
      </c>
      <c r="C182" s="14" t="s">
        <v>159</v>
      </c>
      <c r="D182" s="14" t="s">
        <v>160</v>
      </c>
      <c r="E182" s="14" t="s">
        <v>159</v>
      </c>
      <c r="F182" s="14" t="s">
        <v>150</v>
      </c>
      <c r="G182" s="14" t="s">
        <v>151</v>
      </c>
      <c r="H182" s="14">
        <v>4</v>
      </c>
      <c r="I182" s="14"/>
      <c r="J182" s="14"/>
    </row>
    <row r="183" spans="1:10">
      <c r="A183" s="14">
        <f>IF(B183="","",COUNTA($B$4:B183))</f>
        <v>180</v>
      </c>
      <c r="B183" s="14" t="s">
        <v>1531</v>
      </c>
      <c r="C183" s="14" t="s">
        <v>162</v>
      </c>
      <c r="D183" s="14" t="s">
        <v>163</v>
      </c>
      <c r="E183" s="14" t="s">
        <v>164</v>
      </c>
      <c r="F183" s="14" t="s">
        <v>150</v>
      </c>
      <c r="G183" s="14" t="s">
        <v>151</v>
      </c>
      <c r="H183" s="14">
        <v>4</v>
      </c>
      <c r="I183" s="14"/>
      <c r="J183" s="14"/>
    </row>
    <row r="184" spans="1:10">
      <c r="A184" s="14">
        <f>IF(B184="","",COUNTA($B$4:B184))</f>
        <v>181</v>
      </c>
      <c r="B184" s="14" t="s">
        <v>1531</v>
      </c>
      <c r="C184" s="14" t="s">
        <v>166</v>
      </c>
      <c r="D184" s="14" t="s">
        <v>167</v>
      </c>
      <c r="E184" s="14" t="s">
        <v>168</v>
      </c>
      <c r="F184" s="14" t="s">
        <v>169</v>
      </c>
      <c r="G184" s="14" t="s">
        <v>170</v>
      </c>
      <c r="H184" s="14"/>
      <c r="I184" s="14"/>
      <c r="J184" s="14"/>
    </row>
    <row r="185" spans="1:10">
      <c r="A185" s="14">
        <f>IF(B185="","",COUNTA($B$4:B185))</f>
        <v>182</v>
      </c>
      <c r="B185" s="14" t="s">
        <v>1531</v>
      </c>
      <c r="C185" s="14" t="s">
        <v>174</v>
      </c>
      <c r="D185" s="14" t="s">
        <v>175</v>
      </c>
      <c r="E185" s="14" t="s">
        <v>176</v>
      </c>
      <c r="F185" s="14" t="s">
        <v>169</v>
      </c>
      <c r="G185" s="14" t="s">
        <v>170</v>
      </c>
      <c r="H185" s="14"/>
      <c r="I185" s="14"/>
      <c r="J185" s="14"/>
    </row>
    <row r="186" spans="1:10">
      <c r="A186" s="14">
        <f>IF(B186="","",COUNTA($B$4:B186))</f>
        <v>183</v>
      </c>
      <c r="B186" s="14" t="s">
        <v>1531</v>
      </c>
      <c r="C186" s="14" t="s">
        <v>172</v>
      </c>
      <c r="D186" s="14" t="s">
        <v>177</v>
      </c>
      <c r="E186" s="14" t="s">
        <v>172</v>
      </c>
      <c r="F186" s="14" t="s">
        <v>155</v>
      </c>
      <c r="G186" s="14" t="s">
        <v>156</v>
      </c>
      <c r="H186" s="14">
        <v>5</v>
      </c>
      <c r="I186" s="14">
        <v>1</v>
      </c>
      <c r="J186" s="14"/>
    </row>
    <row r="187" spans="1:10">
      <c r="A187" s="14">
        <f>IF(B187="","",COUNTA($B$4:B187))</f>
        <v>184</v>
      </c>
      <c r="B187" s="14" t="s">
        <v>1531</v>
      </c>
      <c r="C187" s="14" t="s">
        <v>178</v>
      </c>
      <c r="D187" s="14" t="s">
        <v>179</v>
      </c>
      <c r="E187" s="14" t="s">
        <v>178</v>
      </c>
      <c r="F187" s="14" t="s">
        <v>150</v>
      </c>
      <c r="G187" s="14" t="s">
        <v>151</v>
      </c>
      <c r="H187" s="14">
        <v>20</v>
      </c>
      <c r="I187" s="14"/>
      <c r="J187" s="14"/>
    </row>
    <row r="188" spans="1:10">
      <c r="A188" s="14">
        <f>IF(B188="","",COUNTA($B$4:B188))</f>
        <v>185</v>
      </c>
      <c r="B188" s="14" t="s">
        <v>1531</v>
      </c>
      <c r="C188" s="14" t="s">
        <v>181</v>
      </c>
      <c r="D188" s="14" t="s">
        <v>182</v>
      </c>
      <c r="E188" s="14" t="s">
        <v>181</v>
      </c>
      <c r="F188" s="14" t="s">
        <v>150</v>
      </c>
      <c r="G188" s="14" t="s">
        <v>151</v>
      </c>
      <c r="H188" s="14">
        <v>30</v>
      </c>
      <c r="I188" s="14"/>
      <c r="J188" s="14"/>
    </row>
    <row r="189" spans="1:10">
      <c r="A189" s="14">
        <f>IF(B189="","",COUNTA($B$4:B189))</f>
        <v>186</v>
      </c>
      <c r="B189" s="14" t="s">
        <v>1531</v>
      </c>
      <c r="C189" s="14" t="s">
        <v>183</v>
      </c>
      <c r="D189" s="14" t="s">
        <v>184</v>
      </c>
      <c r="E189" s="14" t="s">
        <v>183</v>
      </c>
      <c r="F189" s="14" t="s">
        <v>150</v>
      </c>
      <c r="G189" s="14" t="s">
        <v>151</v>
      </c>
      <c r="H189" s="14">
        <v>1000</v>
      </c>
      <c r="I189" s="14"/>
      <c r="J189" s="14"/>
    </row>
    <row r="190" spans="1:10">
      <c r="A190" s="14">
        <f>IF(B190="","",COUNTA($B$4:B190))</f>
        <v>187</v>
      </c>
      <c r="B190" s="14" t="s">
        <v>1531</v>
      </c>
      <c r="C190" s="14" t="s">
        <v>185</v>
      </c>
      <c r="D190" s="14" t="s">
        <v>186</v>
      </c>
      <c r="E190" s="14" t="s">
        <v>185</v>
      </c>
      <c r="F190" s="14" t="s">
        <v>150</v>
      </c>
      <c r="G190" s="14" t="s">
        <v>151</v>
      </c>
      <c r="H190" s="14">
        <v>75</v>
      </c>
      <c r="I190" s="14"/>
      <c r="J190" s="14"/>
    </row>
    <row r="191" spans="1:10">
      <c r="A191" s="14">
        <f>IF(B191="","",COUNTA($B$4:B191))</f>
        <v>188</v>
      </c>
      <c r="B191" s="14" t="s">
        <v>1531</v>
      </c>
      <c r="C191" s="14" t="s">
        <v>193</v>
      </c>
      <c r="D191" s="14" t="s">
        <v>194</v>
      </c>
      <c r="E191" s="14" t="s">
        <v>193</v>
      </c>
      <c r="F191" s="14" t="s">
        <v>150</v>
      </c>
      <c r="G191" s="14" t="s">
        <v>151</v>
      </c>
      <c r="H191" s="14">
        <v>25</v>
      </c>
      <c r="I191" s="14"/>
      <c r="J191" s="14"/>
    </row>
    <row r="192" spans="1:10">
      <c r="A192" s="14">
        <f>IF(B192="","",COUNTA($B$4:B192))</f>
        <v>189</v>
      </c>
      <c r="B192" s="14" t="s">
        <v>1531</v>
      </c>
      <c r="C192" s="14" t="s">
        <v>195</v>
      </c>
      <c r="D192" s="14" t="s">
        <v>196</v>
      </c>
      <c r="E192" s="14" t="s">
        <v>195</v>
      </c>
      <c r="F192" s="14" t="s">
        <v>150</v>
      </c>
      <c r="G192" s="14" t="s">
        <v>151</v>
      </c>
      <c r="H192" s="14">
        <v>400</v>
      </c>
      <c r="I192" s="14"/>
      <c r="J192" s="14"/>
    </row>
    <row r="193" spans="1:10">
      <c r="A193" s="14">
        <f>IF(B193="","",COUNTA($B$4:B193))</f>
        <v>190</v>
      </c>
      <c r="B193" s="14" t="s">
        <v>1531</v>
      </c>
      <c r="C193" s="14" t="s">
        <v>197</v>
      </c>
      <c r="D193" s="14" t="s">
        <v>198</v>
      </c>
      <c r="E193" s="14" t="s">
        <v>197</v>
      </c>
      <c r="F193" s="14" t="s">
        <v>150</v>
      </c>
      <c r="G193" s="14" t="s">
        <v>151</v>
      </c>
      <c r="H193" s="14">
        <v>5</v>
      </c>
      <c r="I193" s="14"/>
      <c r="J193" s="14"/>
    </row>
    <row r="194" spans="1:10">
      <c r="A194" s="14">
        <f>IF(B194="","",COUNTA($B$4:B194))</f>
        <v>191</v>
      </c>
      <c r="B194" s="14" t="s">
        <v>1531</v>
      </c>
      <c r="C194" s="14" t="s">
        <v>199</v>
      </c>
      <c r="D194" s="14" t="s">
        <v>200</v>
      </c>
      <c r="E194" s="14" t="s">
        <v>199</v>
      </c>
      <c r="F194" s="14" t="s">
        <v>150</v>
      </c>
      <c r="G194" s="14" t="s">
        <v>151</v>
      </c>
      <c r="H194" s="14">
        <v>20</v>
      </c>
      <c r="I194" s="14"/>
      <c r="J194" s="14"/>
    </row>
    <row r="195" spans="1:10">
      <c r="A195" s="14">
        <f>IF(B195="","",COUNTA($B$4:B195))</f>
        <v>192</v>
      </c>
      <c r="B195" s="14" t="s">
        <v>1531</v>
      </c>
      <c r="C195" s="14" t="s">
        <v>201</v>
      </c>
      <c r="D195" s="14" t="s">
        <v>202</v>
      </c>
      <c r="E195" s="14" t="s">
        <v>201</v>
      </c>
      <c r="F195" s="14" t="s">
        <v>150</v>
      </c>
      <c r="G195" s="14" t="s">
        <v>151</v>
      </c>
      <c r="H195" s="14">
        <v>30</v>
      </c>
      <c r="I195" s="14"/>
      <c r="J195" s="14"/>
    </row>
    <row r="196" spans="1:10">
      <c r="A196" s="14">
        <f>IF(B196="","",COUNTA($B$4:B196))</f>
        <v>193</v>
      </c>
      <c r="B196" s="14" t="s">
        <v>1531</v>
      </c>
      <c r="C196" s="14" t="s">
        <v>621</v>
      </c>
      <c r="D196" s="14" t="s">
        <v>1399</v>
      </c>
      <c r="E196" s="14" t="s">
        <v>621</v>
      </c>
      <c r="F196" s="14" t="s">
        <v>150</v>
      </c>
      <c r="G196" s="14" t="s">
        <v>151</v>
      </c>
      <c r="H196" s="14">
        <v>30</v>
      </c>
      <c r="I196" s="14"/>
      <c r="J196" s="14"/>
    </row>
    <row r="197" spans="1:10">
      <c r="A197" s="14">
        <f>IF(B197="","",COUNTA($B$4:B197))</f>
        <v>194</v>
      </c>
      <c r="B197" s="14" t="s">
        <v>1531</v>
      </c>
      <c r="C197" s="14" t="s">
        <v>287</v>
      </c>
      <c r="D197" s="14" t="s">
        <v>288</v>
      </c>
      <c r="E197" s="14" t="s">
        <v>287</v>
      </c>
      <c r="F197" s="14" t="s">
        <v>155</v>
      </c>
      <c r="G197" s="14" t="s">
        <v>156</v>
      </c>
      <c r="H197" s="14">
        <v>5</v>
      </c>
      <c r="I197" s="14"/>
      <c r="J197" s="14"/>
    </row>
    <row r="198" spans="1:10">
      <c r="A198" s="14">
        <f>IF(B198="","",COUNTA($B$4:B198))</f>
        <v>195</v>
      </c>
      <c r="B198" s="14" t="s">
        <v>1531</v>
      </c>
      <c r="C198" s="14" t="s">
        <v>290</v>
      </c>
      <c r="D198" s="14" t="s">
        <v>291</v>
      </c>
      <c r="E198" s="14" t="s">
        <v>290</v>
      </c>
      <c r="F198" s="14" t="s">
        <v>155</v>
      </c>
      <c r="G198" s="14" t="s">
        <v>156</v>
      </c>
      <c r="H198" s="14">
        <v>5</v>
      </c>
      <c r="I198" s="14"/>
      <c r="J198" s="14"/>
    </row>
    <row r="199" spans="1:10">
      <c r="A199" s="14">
        <f>IF(B199="","",COUNTA($B$4:B199))</f>
        <v>196</v>
      </c>
      <c r="B199" s="14" t="s">
        <v>1531</v>
      </c>
      <c r="C199" s="14" t="s">
        <v>292</v>
      </c>
      <c r="D199" s="14" t="s">
        <v>293</v>
      </c>
      <c r="E199" s="14" t="s">
        <v>292</v>
      </c>
      <c r="F199" s="14" t="s">
        <v>155</v>
      </c>
      <c r="G199" s="14" t="s">
        <v>156</v>
      </c>
      <c r="H199" s="14">
        <v>5</v>
      </c>
      <c r="I199" s="14"/>
      <c r="J199" s="14"/>
    </row>
    <row r="200" spans="1:10">
      <c r="A200" s="14">
        <f>IF(B200="","",COUNTA($B$4:B200))</f>
        <v>197</v>
      </c>
      <c r="B200" s="14" t="s">
        <v>1531</v>
      </c>
      <c r="C200" s="14" t="s">
        <v>294</v>
      </c>
      <c r="D200" s="14" t="s">
        <v>295</v>
      </c>
      <c r="E200" s="14" t="s">
        <v>294</v>
      </c>
      <c r="F200" s="14" t="s">
        <v>155</v>
      </c>
      <c r="G200" s="14" t="s">
        <v>156</v>
      </c>
      <c r="H200" s="14">
        <v>5</v>
      </c>
      <c r="I200" s="14"/>
      <c r="J200" s="14"/>
    </row>
    <row r="201" spans="1:10">
      <c r="A201" s="14">
        <f>IF(B201="","",COUNTA($B$4:B201))</f>
        <v>198</v>
      </c>
      <c r="B201" s="14" t="s">
        <v>1531</v>
      </c>
      <c r="C201" s="14" t="s">
        <v>296</v>
      </c>
      <c r="D201" s="14" t="s">
        <v>297</v>
      </c>
      <c r="E201" s="14" t="s">
        <v>296</v>
      </c>
      <c r="F201" s="14" t="s">
        <v>155</v>
      </c>
      <c r="G201" s="14" t="s">
        <v>156</v>
      </c>
      <c r="H201" s="14">
        <v>5</v>
      </c>
      <c r="I201" s="14"/>
      <c r="J201" s="14"/>
    </row>
    <row r="202" spans="1:10">
      <c r="A202" s="14">
        <f>IF(B202="","",COUNTA($B$4:B202))</f>
        <v>199</v>
      </c>
      <c r="B202" s="14" t="s">
        <v>1531</v>
      </c>
      <c r="C202" s="14" t="s">
        <v>298</v>
      </c>
      <c r="D202" s="14" t="s">
        <v>299</v>
      </c>
      <c r="E202" s="14" t="s">
        <v>298</v>
      </c>
      <c r="F202" s="14" t="s">
        <v>155</v>
      </c>
      <c r="G202" s="14" t="s">
        <v>156</v>
      </c>
      <c r="H202" s="14">
        <v>5</v>
      </c>
      <c r="I202" s="14"/>
      <c r="J202" s="14"/>
    </row>
    <row r="203" spans="1:10">
      <c r="A203" s="14">
        <f>IF(B203="","",COUNTA($B$4:B203))</f>
        <v>200</v>
      </c>
      <c r="B203" s="14" t="s">
        <v>1531</v>
      </c>
      <c r="C203" s="14" t="s">
        <v>226</v>
      </c>
      <c r="D203" s="14" t="s">
        <v>227</v>
      </c>
      <c r="E203" s="14" t="s">
        <v>226</v>
      </c>
      <c r="F203" s="14" t="s">
        <v>150</v>
      </c>
      <c r="G203" s="14" t="s">
        <v>151</v>
      </c>
      <c r="H203" s="14">
        <v>3</v>
      </c>
      <c r="I203" s="14"/>
      <c r="J203" s="14"/>
    </row>
    <row r="204" spans="1:10">
      <c r="A204" s="14">
        <f>IF(B204="","",COUNTA($B$4:B204))</f>
        <v>201</v>
      </c>
      <c r="B204" s="14" t="s">
        <v>1531</v>
      </c>
      <c r="C204" s="14" t="s">
        <v>228</v>
      </c>
      <c r="D204" s="14" t="s">
        <v>229</v>
      </c>
      <c r="E204" s="14" t="s">
        <v>228</v>
      </c>
      <c r="F204" s="14" t="s">
        <v>150</v>
      </c>
      <c r="G204" s="14" t="s">
        <v>151</v>
      </c>
      <c r="H204" s="14">
        <v>1000</v>
      </c>
      <c r="I204" s="14"/>
      <c r="J204" s="14"/>
    </row>
    <row r="205" spans="1:10">
      <c r="A205" s="14">
        <f>IF(B205="","",COUNTA($B$4:B205))</f>
        <v>202</v>
      </c>
      <c r="B205" s="14" t="s">
        <v>1531</v>
      </c>
      <c r="C205" s="14" t="s">
        <v>230</v>
      </c>
      <c r="D205" s="14" t="s">
        <v>231</v>
      </c>
      <c r="E205" s="14" t="s">
        <v>230</v>
      </c>
      <c r="F205" s="14" t="s">
        <v>169</v>
      </c>
      <c r="G205" s="14" t="s">
        <v>170</v>
      </c>
      <c r="H205" s="14"/>
      <c r="I205" s="14"/>
      <c r="J205" s="14"/>
    </row>
    <row r="206" spans="1:10">
      <c r="A206" s="14">
        <f>IF(B206="","",COUNTA($B$4:B206))</f>
        <v>203</v>
      </c>
      <c r="B206" s="14" t="s">
        <v>1531</v>
      </c>
      <c r="C206" s="14" t="s">
        <v>233</v>
      </c>
      <c r="D206" s="14" t="s">
        <v>234</v>
      </c>
      <c r="E206" s="14" t="s">
        <v>233</v>
      </c>
      <c r="F206" s="14" t="s">
        <v>155</v>
      </c>
      <c r="G206" s="14" t="s">
        <v>156</v>
      </c>
      <c r="H206" s="14">
        <v>1</v>
      </c>
      <c r="I206" s="14"/>
      <c r="J206" s="14"/>
    </row>
    <row r="207" spans="1:10">
      <c r="A207" s="14">
        <f>IF(B207="","",COUNTA($B$4:B207))</f>
        <v>204</v>
      </c>
      <c r="B207" s="14" t="s">
        <v>1531</v>
      </c>
      <c r="C207" s="14" t="s">
        <v>236</v>
      </c>
      <c r="D207" s="14" t="s">
        <v>237</v>
      </c>
      <c r="E207" s="14" t="s">
        <v>236</v>
      </c>
      <c r="F207" s="14" t="s">
        <v>155</v>
      </c>
      <c r="G207" s="14" t="s">
        <v>156</v>
      </c>
      <c r="H207" s="14">
        <v>1</v>
      </c>
      <c r="I207" s="14"/>
      <c r="J207" s="14"/>
    </row>
    <row r="208" spans="1:10">
      <c r="A208" s="14">
        <f>IF(B208="","",COUNTA($B$4:B208))</f>
        <v>205</v>
      </c>
      <c r="B208" s="14" t="s">
        <v>1531</v>
      </c>
      <c r="C208" s="14" t="s">
        <v>239</v>
      </c>
      <c r="D208" s="14" t="s">
        <v>240</v>
      </c>
      <c r="E208" s="14" t="s">
        <v>239</v>
      </c>
      <c r="F208" s="14" t="s">
        <v>169</v>
      </c>
      <c r="G208" s="14" t="s">
        <v>170</v>
      </c>
      <c r="H208" s="14"/>
      <c r="I208" s="14"/>
      <c r="J208" s="14"/>
    </row>
    <row r="209" spans="1:10">
      <c r="A209" s="14">
        <f>IF(B209="","",COUNTA($B$4:B209))</f>
        <v>206</v>
      </c>
      <c r="B209" s="14" t="s">
        <v>1531</v>
      </c>
      <c r="C209" s="14" t="s">
        <v>241</v>
      </c>
      <c r="D209" s="14" t="s">
        <v>242</v>
      </c>
      <c r="E209" s="14" t="s">
        <v>241</v>
      </c>
      <c r="F209" s="14" t="s">
        <v>150</v>
      </c>
      <c r="G209" s="14" t="s">
        <v>243</v>
      </c>
      <c r="H209" s="14"/>
      <c r="I209" s="14" t="s">
        <v>244</v>
      </c>
      <c r="J209" s="14"/>
    </row>
    <row r="210" spans="1:10">
      <c r="A210" s="14">
        <f>IF(B210="","",COUNTA($B$4:B210))</f>
        <v>207</v>
      </c>
      <c r="B210" s="14" t="s">
        <v>1531</v>
      </c>
      <c r="C210" s="14" t="s">
        <v>246</v>
      </c>
      <c r="D210" s="14" t="s">
        <v>247</v>
      </c>
      <c r="E210" s="14" t="s">
        <v>246</v>
      </c>
      <c r="F210" s="14" t="s">
        <v>150</v>
      </c>
      <c r="G210" s="14" t="s">
        <v>243</v>
      </c>
      <c r="H210" s="14"/>
      <c r="I210" s="14" t="s">
        <v>244</v>
      </c>
      <c r="J210" s="14"/>
    </row>
    <row r="211" spans="1:10">
      <c r="A211" s="14">
        <f>IF(B211="","",COUNTA($B$4:B211))</f>
        <v>208</v>
      </c>
      <c r="B211" s="14" t="s">
        <v>1531</v>
      </c>
      <c r="C211" s="14" t="s">
        <v>249</v>
      </c>
      <c r="D211" s="14" t="s">
        <v>250</v>
      </c>
      <c r="E211" s="14" t="s">
        <v>249</v>
      </c>
      <c r="F211" s="14" t="s">
        <v>150</v>
      </c>
      <c r="G211" s="14" t="s">
        <v>151</v>
      </c>
      <c r="H211" s="14">
        <v>4</v>
      </c>
      <c r="I211" s="14"/>
      <c r="J211" s="14"/>
    </row>
    <row r="212" spans="1:10">
      <c r="A212" s="14">
        <f>IF(B212="","",COUNTA($B$4:B212))</f>
        <v>209</v>
      </c>
      <c r="B212" s="14" t="s">
        <v>1531</v>
      </c>
      <c r="C212" s="14" t="s">
        <v>251</v>
      </c>
      <c r="D212" s="14" t="s">
        <v>252</v>
      </c>
      <c r="E212" s="14" t="s">
        <v>251</v>
      </c>
      <c r="F212" s="14" t="s">
        <v>150</v>
      </c>
      <c r="G212" s="14" t="s">
        <v>151</v>
      </c>
      <c r="H212" s="14">
        <v>4</v>
      </c>
      <c r="I212" s="14"/>
      <c r="J212" s="14"/>
    </row>
    <row r="213" spans="1:10">
      <c r="A213" s="14">
        <f>IF(B213="","",COUNTA($B$4:B213))</f>
        <v>210</v>
      </c>
      <c r="B213" s="14" t="s">
        <v>1531</v>
      </c>
      <c r="C213" s="14" t="s">
        <v>253</v>
      </c>
      <c r="D213" s="14" t="s">
        <v>254</v>
      </c>
      <c r="E213" s="14" t="s">
        <v>253</v>
      </c>
      <c r="F213" s="14" t="s">
        <v>150</v>
      </c>
      <c r="G213" s="14" t="s">
        <v>151</v>
      </c>
      <c r="H213" s="14">
        <v>10</v>
      </c>
      <c r="I213" s="14"/>
      <c r="J213" s="14"/>
    </row>
    <row r="214" spans="1:10">
      <c r="A214" s="14">
        <f>IF(B214="","",COUNTA($B$4:B214))</f>
        <v>211</v>
      </c>
      <c r="B214" s="14" t="s">
        <v>1531</v>
      </c>
      <c r="C214" s="14" t="s">
        <v>255</v>
      </c>
      <c r="D214" s="14" t="s">
        <v>256</v>
      </c>
      <c r="E214" s="14" t="s">
        <v>255</v>
      </c>
      <c r="F214" s="14" t="s">
        <v>150</v>
      </c>
      <c r="G214" s="14" t="s">
        <v>151</v>
      </c>
      <c r="H214" s="14">
        <v>10</v>
      </c>
      <c r="I214" s="14"/>
      <c r="J214" s="14"/>
    </row>
    <row r="215" spans="1:10">
      <c r="A215" s="14">
        <f>IF(B215="","",COUNTA($B$4:B215))</f>
        <v>212</v>
      </c>
      <c r="B215" s="14" t="s">
        <v>1531</v>
      </c>
      <c r="C215" s="14" t="s">
        <v>257</v>
      </c>
      <c r="D215" s="14" t="s">
        <v>258</v>
      </c>
      <c r="E215" s="14" t="s">
        <v>257</v>
      </c>
      <c r="F215" s="14" t="s">
        <v>169</v>
      </c>
      <c r="G215" s="14" t="s">
        <v>243</v>
      </c>
      <c r="H215" s="14"/>
      <c r="I215" s="14"/>
      <c r="J215" s="14"/>
    </row>
    <row r="216" spans="1:10">
      <c r="A216" s="14">
        <f>IF(B216="","",COUNTA($B$4:B216))</f>
        <v>213</v>
      </c>
      <c r="B216" s="14" t="s">
        <v>1531</v>
      </c>
      <c r="C216" s="14" t="s">
        <v>259</v>
      </c>
      <c r="D216" s="14" t="s">
        <v>260</v>
      </c>
      <c r="E216" s="14" t="s">
        <v>259</v>
      </c>
      <c r="F216" s="14" t="s">
        <v>150</v>
      </c>
      <c r="G216" s="14" t="s">
        <v>151</v>
      </c>
      <c r="H216" s="14">
        <v>10</v>
      </c>
      <c r="I216" s="14"/>
      <c r="J216" s="14"/>
    </row>
    <row r="217" spans="1:10">
      <c r="A217" s="14">
        <f>IF(B217="","",COUNTA($B$4:B217))</f>
        <v>214</v>
      </c>
      <c r="B217" s="14" t="s">
        <v>1531</v>
      </c>
      <c r="C217" s="14" t="s">
        <v>261</v>
      </c>
      <c r="D217" s="14" t="s">
        <v>262</v>
      </c>
      <c r="E217" s="14" t="s">
        <v>261</v>
      </c>
      <c r="F217" s="14" t="s">
        <v>150</v>
      </c>
      <c r="G217" s="14" t="s">
        <v>151</v>
      </c>
      <c r="H217" s="14">
        <v>10</v>
      </c>
      <c r="I217" s="14"/>
      <c r="J217" s="14"/>
    </row>
    <row r="218" spans="1:10">
      <c r="A218" s="14">
        <f>IF(B218="","",COUNTA($B$4:B218))</f>
        <v>215</v>
      </c>
      <c r="B218" s="14" t="s">
        <v>1531</v>
      </c>
      <c r="C218" s="14" t="s">
        <v>263</v>
      </c>
      <c r="D218" s="14" t="s">
        <v>264</v>
      </c>
      <c r="E218" s="14" t="s">
        <v>263</v>
      </c>
      <c r="F218" s="14" t="s">
        <v>169</v>
      </c>
      <c r="G218" s="14" t="s">
        <v>243</v>
      </c>
      <c r="H218" s="14"/>
      <c r="I218" s="14"/>
      <c r="J218" s="14"/>
    </row>
    <row r="219" spans="1:10">
      <c r="A219" s="14">
        <f>IF(B219="","",COUNTA($B$4:B219))</f>
        <v>216</v>
      </c>
      <c r="B219" s="14" t="s">
        <v>1532</v>
      </c>
      <c r="C219" s="14" t="s">
        <v>148</v>
      </c>
      <c r="D219" s="14" t="s">
        <v>149</v>
      </c>
      <c r="E219" s="14" t="s">
        <v>148</v>
      </c>
      <c r="F219" s="14" t="s">
        <v>150</v>
      </c>
      <c r="G219" s="14" t="s">
        <v>151</v>
      </c>
      <c r="H219" s="14">
        <v>15</v>
      </c>
      <c r="I219" s="14"/>
      <c r="J219" s="14"/>
    </row>
    <row r="220" spans="1:10">
      <c r="A220" s="14">
        <f>IF(B220="","",COUNTA($B$4:B220))</f>
        <v>217</v>
      </c>
      <c r="B220" s="14" t="s">
        <v>1532</v>
      </c>
      <c r="C220" s="14" t="s">
        <v>157</v>
      </c>
      <c r="D220" s="14" t="s">
        <v>158</v>
      </c>
      <c r="E220" s="14" t="s">
        <v>157</v>
      </c>
      <c r="F220" s="14" t="s">
        <v>150</v>
      </c>
      <c r="G220" s="14" t="s">
        <v>151</v>
      </c>
      <c r="H220" s="14">
        <v>10</v>
      </c>
      <c r="I220" s="14"/>
      <c r="J220" s="14"/>
    </row>
    <row r="221" spans="1:10">
      <c r="A221" s="14">
        <f>IF(B221="","",COUNTA($B$4:B221))</f>
        <v>218</v>
      </c>
      <c r="B221" s="14" t="s">
        <v>1532</v>
      </c>
      <c r="C221" s="14" t="s">
        <v>159</v>
      </c>
      <c r="D221" s="14" t="s">
        <v>160</v>
      </c>
      <c r="E221" s="14" t="s">
        <v>159</v>
      </c>
      <c r="F221" s="14" t="s">
        <v>150</v>
      </c>
      <c r="G221" s="14" t="s">
        <v>151</v>
      </c>
      <c r="H221" s="14">
        <v>4</v>
      </c>
      <c r="I221" s="14"/>
      <c r="J221" s="14"/>
    </row>
    <row r="222" spans="1:10">
      <c r="A222" s="14">
        <f>IF(B222="","",COUNTA($B$4:B222))</f>
        <v>219</v>
      </c>
      <c r="B222" s="14" t="s">
        <v>1532</v>
      </c>
      <c r="C222" s="14" t="s">
        <v>162</v>
      </c>
      <c r="D222" s="14" t="s">
        <v>163</v>
      </c>
      <c r="E222" s="14" t="s">
        <v>164</v>
      </c>
      <c r="F222" s="14" t="s">
        <v>150</v>
      </c>
      <c r="G222" s="14" t="s">
        <v>151</v>
      </c>
      <c r="H222" s="14">
        <v>4</v>
      </c>
      <c r="I222" s="14"/>
      <c r="J222" s="14"/>
    </row>
    <row r="223" spans="1:10">
      <c r="A223" s="14">
        <f>IF(B223="","",COUNTA($B$4:B223))</f>
        <v>220</v>
      </c>
      <c r="B223" s="14" t="s">
        <v>1532</v>
      </c>
      <c r="C223" s="14" t="s">
        <v>166</v>
      </c>
      <c r="D223" s="14" t="s">
        <v>167</v>
      </c>
      <c r="E223" s="14" t="s">
        <v>168</v>
      </c>
      <c r="F223" s="14" t="s">
        <v>169</v>
      </c>
      <c r="G223" s="14" t="s">
        <v>170</v>
      </c>
      <c r="H223" s="14"/>
      <c r="I223" s="14"/>
      <c r="J223" s="14"/>
    </row>
    <row r="224" spans="1:10">
      <c r="A224" s="14">
        <f>IF(B224="","",COUNTA($B$4:B224))</f>
        <v>221</v>
      </c>
      <c r="B224" s="14" t="s">
        <v>1532</v>
      </c>
      <c r="C224" s="14" t="s">
        <v>174</v>
      </c>
      <c r="D224" s="14" t="s">
        <v>175</v>
      </c>
      <c r="E224" s="14" t="s">
        <v>176</v>
      </c>
      <c r="F224" s="14" t="s">
        <v>169</v>
      </c>
      <c r="G224" s="14" t="s">
        <v>170</v>
      </c>
      <c r="H224" s="14"/>
      <c r="I224" s="14"/>
      <c r="J224" s="14"/>
    </row>
    <row r="225" spans="1:10">
      <c r="A225" s="14">
        <f>IF(B225="","",COUNTA($B$4:B225))</f>
        <v>222</v>
      </c>
      <c r="B225" s="14" t="s">
        <v>1532</v>
      </c>
      <c r="C225" s="14" t="s">
        <v>172</v>
      </c>
      <c r="D225" s="14" t="s">
        <v>177</v>
      </c>
      <c r="E225" s="14" t="s">
        <v>172</v>
      </c>
      <c r="F225" s="14" t="s">
        <v>155</v>
      </c>
      <c r="G225" s="14" t="s">
        <v>156</v>
      </c>
      <c r="H225" s="14">
        <v>5</v>
      </c>
      <c r="I225" s="14">
        <v>1</v>
      </c>
      <c r="J225" s="14"/>
    </row>
    <row r="226" spans="1:10">
      <c r="A226" s="14">
        <f>IF(B226="","",COUNTA($B$4:B226))</f>
        <v>223</v>
      </c>
      <c r="B226" s="14" t="s">
        <v>1532</v>
      </c>
      <c r="C226" s="14" t="s">
        <v>178</v>
      </c>
      <c r="D226" s="14" t="s">
        <v>179</v>
      </c>
      <c r="E226" s="14" t="s">
        <v>178</v>
      </c>
      <c r="F226" s="14" t="s">
        <v>150</v>
      </c>
      <c r="G226" s="14" t="s">
        <v>151</v>
      </c>
      <c r="H226" s="14">
        <v>20</v>
      </c>
      <c r="I226" s="14"/>
      <c r="J226" s="14"/>
    </row>
    <row r="227" spans="1:10">
      <c r="A227" s="14">
        <f>IF(B227="","",COUNTA($B$4:B227))</f>
        <v>224</v>
      </c>
      <c r="B227" s="14" t="s">
        <v>1532</v>
      </c>
      <c r="C227" s="14" t="s">
        <v>1489</v>
      </c>
      <c r="D227" s="14" t="s">
        <v>1422</v>
      </c>
      <c r="E227" s="14" t="s">
        <v>1489</v>
      </c>
      <c r="F227" s="14" t="s">
        <v>150</v>
      </c>
      <c r="G227" s="14" t="s">
        <v>151</v>
      </c>
      <c r="H227" s="14">
        <v>30</v>
      </c>
      <c r="I227" s="14"/>
      <c r="J227" s="14"/>
    </row>
    <row r="228" spans="1:10">
      <c r="A228" s="14">
        <f>IF(B228="","",COUNTA($B$4:B228))</f>
        <v>225</v>
      </c>
      <c r="B228" s="14" t="s">
        <v>1532</v>
      </c>
      <c r="C228" s="14" t="s">
        <v>1394</v>
      </c>
      <c r="D228" s="14" t="s">
        <v>1395</v>
      </c>
      <c r="E228" s="14" t="s">
        <v>1394</v>
      </c>
      <c r="F228" s="14" t="s">
        <v>150</v>
      </c>
      <c r="G228" s="14" t="s">
        <v>151</v>
      </c>
      <c r="H228" s="14">
        <v>30</v>
      </c>
      <c r="I228" s="14"/>
      <c r="J228" s="14"/>
    </row>
    <row r="229" spans="1:10">
      <c r="A229" s="14">
        <f>IF(B229="","",COUNTA($B$4:B229))</f>
        <v>226</v>
      </c>
      <c r="B229" s="14" t="s">
        <v>1532</v>
      </c>
      <c r="C229" s="14" t="s">
        <v>197</v>
      </c>
      <c r="D229" s="14" t="s">
        <v>198</v>
      </c>
      <c r="E229" s="14" t="s">
        <v>197</v>
      </c>
      <c r="F229" s="14" t="s">
        <v>150</v>
      </c>
      <c r="G229" s="14" t="s">
        <v>151</v>
      </c>
      <c r="H229" s="14">
        <v>5</v>
      </c>
      <c r="I229" s="14"/>
      <c r="J229" s="14"/>
    </row>
    <row r="230" spans="1:10">
      <c r="A230" s="14">
        <f>IF(B230="","",COUNTA($B$4:B230))</f>
        <v>227</v>
      </c>
      <c r="B230" s="14" t="s">
        <v>1532</v>
      </c>
      <c r="C230" s="14" t="s">
        <v>199</v>
      </c>
      <c r="D230" s="14" t="s">
        <v>200</v>
      </c>
      <c r="E230" s="14" t="s">
        <v>199</v>
      </c>
      <c r="F230" s="14" t="s">
        <v>150</v>
      </c>
      <c r="G230" s="14" t="s">
        <v>151</v>
      </c>
      <c r="H230" s="14">
        <v>20</v>
      </c>
      <c r="I230" s="14"/>
      <c r="J230" s="14"/>
    </row>
    <row r="231" spans="1:10">
      <c r="A231" s="14">
        <f>IF(B231="","",COUNTA($B$4:B231))</f>
        <v>228</v>
      </c>
      <c r="B231" s="14" t="s">
        <v>1532</v>
      </c>
      <c r="C231" s="14" t="s">
        <v>201</v>
      </c>
      <c r="D231" s="14" t="s">
        <v>202</v>
      </c>
      <c r="E231" s="14" t="s">
        <v>201</v>
      </c>
      <c r="F231" s="14" t="s">
        <v>150</v>
      </c>
      <c r="G231" s="14" t="s">
        <v>151</v>
      </c>
      <c r="H231" s="14">
        <v>30</v>
      </c>
      <c r="I231" s="14"/>
      <c r="J231" s="14"/>
    </row>
    <row r="232" spans="1:10">
      <c r="A232" s="14">
        <f>IF(B232="","",COUNTA($B$4:B232))</f>
        <v>229</v>
      </c>
      <c r="B232" s="14" t="s">
        <v>1532</v>
      </c>
      <c r="C232" s="14" t="s">
        <v>1472</v>
      </c>
      <c r="D232" s="14" t="s">
        <v>1470</v>
      </c>
      <c r="E232" s="14" t="s">
        <v>1472</v>
      </c>
      <c r="F232" s="14" t="s">
        <v>150</v>
      </c>
      <c r="G232" s="14" t="s">
        <v>151</v>
      </c>
      <c r="H232" s="14">
        <v>30</v>
      </c>
      <c r="I232" s="14"/>
      <c r="J232" s="14"/>
    </row>
    <row r="233" spans="1:10">
      <c r="A233" s="14">
        <f>IF(B233="","",COUNTA($B$4:B233))</f>
        <v>230</v>
      </c>
      <c r="B233" s="14" t="s">
        <v>1532</v>
      </c>
      <c r="C233" s="14" t="s">
        <v>298</v>
      </c>
      <c r="D233" s="14" t="s">
        <v>299</v>
      </c>
      <c r="E233" s="14" t="s">
        <v>298</v>
      </c>
      <c r="F233" s="14" t="s">
        <v>155</v>
      </c>
      <c r="G233" s="14" t="s">
        <v>156</v>
      </c>
      <c r="H233" s="14">
        <v>5</v>
      </c>
      <c r="I233" s="14"/>
      <c r="J233" s="14"/>
    </row>
    <row r="234" spans="1:10">
      <c r="A234" s="14">
        <f>IF(B234="","",COUNTA($B$4:B234))</f>
        <v>231</v>
      </c>
      <c r="B234" s="14" t="s">
        <v>1532</v>
      </c>
      <c r="C234" s="14" t="s">
        <v>226</v>
      </c>
      <c r="D234" s="14" t="s">
        <v>227</v>
      </c>
      <c r="E234" s="14" t="s">
        <v>226</v>
      </c>
      <c r="F234" s="14" t="s">
        <v>150</v>
      </c>
      <c r="G234" s="14" t="s">
        <v>151</v>
      </c>
      <c r="H234" s="14">
        <v>3</v>
      </c>
      <c r="I234" s="14"/>
      <c r="J234" s="14"/>
    </row>
    <row r="235" spans="1:10">
      <c r="A235" s="14">
        <f>IF(B235="","",COUNTA($B$4:B235))</f>
        <v>232</v>
      </c>
      <c r="B235" s="14" t="s">
        <v>1532</v>
      </c>
      <c r="C235" s="14" t="s">
        <v>228</v>
      </c>
      <c r="D235" s="14" t="s">
        <v>229</v>
      </c>
      <c r="E235" s="14" t="s">
        <v>228</v>
      </c>
      <c r="F235" s="14" t="s">
        <v>150</v>
      </c>
      <c r="G235" s="14" t="s">
        <v>151</v>
      </c>
      <c r="H235" s="14">
        <v>1000</v>
      </c>
      <c r="I235" s="14"/>
      <c r="J235" s="14"/>
    </row>
    <row r="236" spans="1:10">
      <c r="A236" s="14">
        <f>IF(B236="","",COUNTA($B$4:B236))</f>
        <v>233</v>
      </c>
      <c r="B236" s="14" t="s">
        <v>1532</v>
      </c>
      <c r="C236" s="14" t="s">
        <v>230</v>
      </c>
      <c r="D236" s="14" t="s">
        <v>231</v>
      </c>
      <c r="E236" s="14" t="s">
        <v>230</v>
      </c>
      <c r="F236" s="14" t="s">
        <v>169</v>
      </c>
      <c r="G236" s="14" t="s">
        <v>170</v>
      </c>
      <c r="H236" s="14"/>
      <c r="I236" s="14"/>
      <c r="J236" s="14"/>
    </row>
    <row r="237" spans="1:10">
      <c r="A237" s="14">
        <f>IF(B237="","",COUNTA($B$4:B237))</f>
        <v>234</v>
      </c>
      <c r="B237" s="14" t="s">
        <v>1532</v>
      </c>
      <c r="C237" s="14" t="s">
        <v>233</v>
      </c>
      <c r="D237" s="14" t="s">
        <v>234</v>
      </c>
      <c r="E237" s="14" t="s">
        <v>233</v>
      </c>
      <c r="F237" s="14" t="s">
        <v>155</v>
      </c>
      <c r="G237" s="14" t="s">
        <v>156</v>
      </c>
      <c r="H237" s="14">
        <v>1</v>
      </c>
      <c r="I237" s="14"/>
      <c r="J237" s="14"/>
    </row>
    <row r="238" spans="1:10">
      <c r="A238" s="14">
        <f>IF(B238="","",COUNTA($B$4:B238))</f>
        <v>235</v>
      </c>
      <c r="B238" s="14" t="s">
        <v>1532</v>
      </c>
      <c r="C238" s="14" t="s">
        <v>239</v>
      </c>
      <c r="D238" s="14" t="s">
        <v>240</v>
      </c>
      <c r="E238" s="14" t="s">
        <v>239</v>
      </c>
      <c r="F238" s="14" t="s">
        <v>169</v>
      </c>
      <c r="G238" s="14" t="s">
        <v>170</v>
      </c>
      <c r="H238" s="14"/>
      <c r="I238" s="14"/>
      <c r="J238" s="14"/>
    </row>
    <row r="239" spans="1:10">
      <c r="A239" s="14">
        <f>IF(B239="","",COUNTA($B$4:B239))</f>
        <v>236</v>
      </c>
      <c r="B239" s="14" t="s">
        <v>1532</v>
      </c>
      <c r="C239" s="14" t="s">
        <v>241</v>
      </c>
      <c r="D239" s="14" t="s">
        <v>242</v>
      </c>
      <c r="E239" s="14" t="s">
        <v>241</v>
      </c>
      <c r="F239" s="14" t="s">
        <v>150</v>
      </c>
      <c r="G239" s="14" t="s">
        <v>243</v>
      </c>
      <c r="H239" s="14"/>
      <c r="I239" s="14" t="s">
        <v>244</v>
      </c>
      <c r="J239" s="14"/>
    </row>
    <row r="240" spans="1:10">
      <c r="A240" s="14">
        <f>IF(B240="","",COUNTA($B$4:B240))</f>
        <v>237</v>
      </c>
      <c r="B240" s="14" t="s">
        <v>1532</v>
      </c>
      <c r="C240" s="14" t="s">
        <v>246</v>
      </c>
      <c r="D240" s="14" t="s">
        <v>247</v>
      </c>
      <c r="E240" s="14" t="s">
        <v>246</v>
      </c>
      <c r="F240" s="14" t="s">
        <v>150</v>
      </c>
      <c r="G240" s="14" t="s">
        <v>243</v>
      </c>
      <c r="H240" s="14"/>
      <c r="I240" s="14" t="s">
        <v>244</v>
      </c>
      <c r="J240" s="14"/>
    </row>
    <row r="241" spans="1:10">
      <c r="A241" s="14">
        <f>IF(B241="","",COUNTA($B$4:B241))</f>
        <v>238</v>
      </c>
      <c r="B241" s="14" t="s">
        <v>1532</v>
      </c>
      <c r="C241" s="14" t="s">
        <v>249</v>
      </c>
      <c r="D241" s="14" t="s">
        <v>250</v>
      </c>
      <c r="E241" s="14" t="s">
        <v>249</v>
      </c>
      <c r="F241" s="14" t="s">
        <v>150</v>
      </c>
      <c r="G241" s="14" t="s">
        <v>151</v>
      </c>
      <c r="H241" s="14">
        <v>4</v>
      </c>
      <c r="I241" s="14"/>
      <c r="J241" s="14"/>
    </row>
    <row r="242" spans="1:10">
      <c r="A242" s="14">
        <f>IF(B242="","",COUNTA($B$4:B242))</f>
        <v>239</v>
      </c>
      <c r="B242" s="14" t="s">
        <v>1532</v>
      </c>
      <c r="C242" s="14" t="s">
        <v>251</v>
      </c>
      <c r="D242" s="14" t="s">
        <v>252</v>
      </c>
      <c r="E242" s="14" t="s">
        <v>251</v>
      </c>
      <c r="F242" s="14" t="s">
        <v>150</v>
      </c>
      <c r="G242" s="14" t="s">
        <v>151</v>
      </c>
      <c r="H242" s="14">
        <v>4</v>
      </c>
      <c r="I242" s="14"/>
      <c r="J242" s="14"/>
    </row>
    <row r="243" spans="1:10">
      <c r="A243" s="14">
        <f>IF(B243="","",COUNTA($B$4:B243))</f>
        <v>240</v>
      </c>
      <c r="B243" s="14" t="s">
        <v>1532</v>
      </c>
      <c r="C243" s="14" t="s">
        <v>253</v>
      </c>
      <c r="D243" s="14" t="s">
        <v>254</v>
      </c>
      <c r="E243" s="14" t="s">
        <v>253</v>
      </c>
      <c r="F243" s="14" t="s">
        <v>150</v>
      </c>
      <c r="G243" s="14" t="s">
        <v>151</v>
      </c>
      <c r="H243" s="14">
        <v>10</v>
      </c>
      <c r="I243" s="14"/>
      <c r="J243" s="14"/>
    </row>
    <row r="244" spans="1:10">
      <c r="A244" s="14">
        <f>IF(B244="","",COUNTA($B$4:B244))</f>
        <v>241</v>
      </c>
      <c r="B244" s="14" t="s">
        <v>1532</v>
      </c>
      <c r="C244" s="14" t="s">
        <v>255</v>
      </c>
      <c r="D244" s="14" t="s">
        <v>256</v>
      </c>
      <c r="E244" s="14" t="s">
        <v>255</v>
      </c>
      <c r="F244" s="14" t="s">
        <v>150</v>
      </c>
      <c r="G244" s="14" t="s">
        <v>151</v>
      </c>
      <c r="H244" s="14">
        <v>10</v>
      </c>
      <c r="I244" s="14"/>
      <c r="J244" s="14"/>
    </row>
    <row r="245" spans="1:10">
      <c r="A245" s="14">
        <f>IF(B245="","",COUNTA($B$4:B245))</f>
        <v>242</v>
      </c>
      <c r="B245" s="14" t="s">
        <v>1532</v>
      </c>
      <c r="C245" s="14" t="s">
        <v>257</v>
      </c>
      <c r="D245" s="14" t="s">
        <v>258</v>
      </c>
      <c r="E245" s="14" t="s">
        <v>257</v>
      </c>
      <c r="F245" s="14" t="s">
        <v>169</v>
      </c>
      <c r="G245" s="14" t="s">
        <v>243</v>
      </c>
      <c r="H245" s="14"/>
      <c r="I245" s="14"/>
      <c r="J245" s="14"/>
    </row>
    <row r="246" spans="1:10">
      <c r="A246" s="14">
        <f>IF(B246="","",COUNTA($B$4:B246))</f>
        <v>243</v>
      </c>
      <c r="B246" s="14" t="s">
        <v>1532</v>
      </c>
      <c r="C246" s="14" t="s">
        <v>259</v>
      </c>
      <c r="D246" s="14" t="s">
        <v>260</v>
      </c>
      <c r="E246" s="14" t="s">
        <v>259</v>
      </c>
      <c r="F246" s="14" t="s">
        <v>150</v>
      </c>
      <c r="G246" s="14" t="s">
        <v>151</v>
      </c>
      <c r="H246" s="14">
        <v>10</v>
      </c>
      <c r="I246" s="14"/>
      <c r="J246" s="14"/>
    </row>
    <row r="247" spans="1:10">
      <c r="A247" s="14">
        <f>IF(B247="","",COUNTA($B$4:B247))</f>
        <v>244</v>
      </c>
      <c r="B247" s="14" t="s">
        <v>1532</v>
      </c>
      <c r="C247" s="14" t="s">
        <v>261</v>
      </c>
      <c r="D247" s="14" t="s">
        <v>262</v>
      </c>
      <c r="E247" s="14" t="s">
        <v>261</v>
      </c>
      <c r="F247" s="14" t="s">
        <v>150</v>
      </c>
      <c r="G247" s="14" t="s">
        <v>151</v>
      </c>
      <c r="H247" s="14">
        <v>10</v>
      </c>
      <c r="I247" s="14"/>
      <c r="J247" s="14"/>
    </row>
    <row r="248" spans="1:10">
      <c r="A248" s="14">
        <f>IF(B248="","",COUNTA($B$4:B248))</f>
        <v>245</v>
      </c>
      <c r="B248" s="14" t="s">
        <v>1532</v>
      </c>
      <c r="C248" s="14" t="s">
        <v>263</v>
      </c>
      <c r="D248" s="14" t="s">
        <v>264</v>
      </c>
      <c r="E248" s="14" t="s">
        <v>263</v>
      </c>
      <c r="F248" s="14" t="s">
        <v>169</v>
      </c>
      <c r="G248" s="14" t="s">
        <v>243</v>
      </c>
      <c r="H248" s="14"/>
      <c r="I248" s="14"/>
      <c r="J248" s="14"/>
    </row>
    <row r="249" spans="1:10">
      <c r="A249" s="14">
        <f>IF(B249="","",COUNTA($B$4:B249))</f>
        <v>246</v>
      </c>
      <c r="B249" s="14" t="s">
        <v>1533</v>
      </c>
      <c r="C249" s="14" t="s">
        <v>148</v>
      </c>
      <c r="D249" s="14" t="s">
        <v>149</v>
      </c>
      <c r="E249" s="14" t="s">
        <v>148</v>
      </c>
      <c r="F249" s="14" t="s">
        <v>150</v>
      </c>
      <c r="G249" s="14" t="s">
        <v>151</v>
      </c>
      <c r="H249" s="14">
        <v>15</v>
      </c>
      <c r="I249" s="14"/>
      <c r="J249" s="14"/>
    </row>
    <row r="250" spans="1:10">
      <c r="A250" s="14">
        <f>IF(B250="","",COUNTA($B$4:B250))</f>
        <v>247</v>
      </c>
      <c r="B250" s="14" t="s">
        <v>1533</v>
      </c>
      <c r="C250" s="14" t="s">
        <v>1460</v>
      </c>
      <c r="D250" s="14" t="s">
        <v>1397</v>
      </c>
      <c r="E250" s="14" t="s">
        <v>1460</v>
      </c>
      <c r="F250" s="14" t="s">
        <v>155</v>
      </c>
      <c r="G250" s="14" t="s">
        <v>156</v>
      </c>
      <c r="H250" s="14">
        <v>5</v>
      </c>
      <c r="I250" s="14"/>
      <c r="J250" s="14"/>
    </row>
    <row r="251" spans="1:10">
      <c r="A251" s="14">
        <f>IF(B251="","",COUNTA($B$4:B251))</f>
        <v>248</v>
      </c>
      <c r="B251" s="14" t="s">
        <v>1533</v>
      </c>
      <c r="C251" s="14" t="s">
        <v>153</v>
      </c>
      <c r="D251" s="14" t="s">
        <v>154</v>
      </c>
      <c r="E251" s="14" t="s">
        <v>153</v>
      </c>
      <c r="F251" s="14" t="s">
        <v>155</v>
      </c>
      <c r="G251" s="14" t="s">
        <v>156</v>
      </c>
      <c r="H251" s="14">
        <v>3</v>
      </c>
      <c r="I251" s="14"/>
      <c r="J251" s="14"/>
    </row>
    <row r="252" spans="1:10">
      <c r="A252" s="14">
        <f>IF(B252="","",COUNTA($B$4:B252))</f>
        <v>249</v>
      </c>
      <c r="B252" s="14" t="s">
        <v>1533</v>
      </c>
      <c r="C252" s="14" t="s">
        <v>157</v>
      </c>
      <c r="D252" s="14" t="s">
        <v>158</v>
      </c>
      <c r="E252" s="14" t="s">
        <v>157</v>
      </c>
      <c r="F252" s="14" t="s">
        <v>150</v>
      </c>
      <c r="G252" s="14" t="s">
        <v>151</v>
      </c>
      <c r="H252" s="14">
        <v>10</v>
      </c>
      <c r="I252" s="14"/>
      <c r="J252" s="14"/>
    </row>
    <row r="253" spans="1:10">
      <c r="A253" s="14">
        <f>IF(B253="","",COUNTA($B$4:B253))</f>
        <v>250</v>
      </c>
      <c r="B253" s="14" t="s">
        <v>1533</v>
      </c>
      <c r="C253" s="14" t="s">
        <v>159</v>
      </c>
      <c r="D253" s="14" t="s">
        <v>160</v>
      </c>
      <c r="E253" s="14" t="s">
        <v>159</v>
      </c>
      <c r="F253" s="14" t="s">
        <v>150</v>
      </c>
      <c r="G253" s="14" t="s">
        <v>151</v>
      </c>
      <c r="H253" s="14">
        <v>4</v>
      </c>
      <c r="I253" s="14"/>
      <c r="J253" s="14"/>
    </row>
    <row r="254" spans="1:10">
      <c r="A254" s="14">
        <f>IF(B254="","",COUNTA($B$4:B254))</f>
        <v>251</v>
      </c>
      <c r="B254" s="14" t="s">
        <v>1533</v>
      </c>
      <c r="C254" s="14" t="s">
        <v>162</v>
      </c>
      <c r="D254" s="14" t="s">
        <v>163</v>
      </c>
      <c r="E254" s="14" t="s">
        <v>164</v>
      </c>
      <c r="F254" s="14" t="s">
        <v>150</v>
      </c>
      <c r="G254" s="14" t="s">
        <v>151</v>
      </c>
      <c r="H254" s="14">
        <v>4</v>
      </c>
      <c r="I254" s="14"/>
      <c r="J254" s="14"/>
    </row>
    <row r="255" spans="1:10">
      <c r="A255" s="14">
        <f>IF(B255="","",COUNTA($B$4:B255))</f>
        <v>252</v>
      </c>
      <c r="B255" s="14" t="s">
        <v>1533</v>
      </c>
      <c r="C255" s="14" t="s">
        <v>166</v>
      </c>
      <c r="D255" s="14" t="s">
        <v>167</v>
      </c>
      <c r="E255" s="14" t="s">
        <v>1561</v>
      </c>
      <c r="F255" s="14" t="s">
        <v>169</v>
      </c>
      <c r="G255" s="14" t="s">
        <v>170</v>
      </c>
      <c r="H255" s="14"/>
      <c r="I255" s="14"/>
      <c r="J255" s="14"/>
    </row>
    <row r="256" spans="1:10">
      <c r="A256" s="14">
        <f>IF(B256="","",COUNTA($B$4:B256))</f>
        <v>253</v>
      </c>
      <c r="B256" s="14" t="s">
        <v>1533</v>
      </c>
      <c r="C256" s="14" t="s">
        <v>174</v>
      </c>
      <c r="D256" s="14" t="s">
        <v>175</v>
      </c>
      <c r="E256" s="14" t="s">
        <v>176</v>
      </c>
      <c r="F256" s="14" t="s">
        <v>169</v>
      </c>
      <c r="G256" s="14" t="s">
        <v>170</v>
      </c>
      <c r="H256" s="14"/>
      <c r="I256" s="14"/>
      <c r="J256" s="14"/>
    </row>
    <row r="257" spans="1:10">
      <c r="A257" s="14">
        <f>IF(B257="","",COUNTA($B$4:B257))</f>
        <v>254</v>
      </c>
      <c r="B257" s="14" t="s">
        <v>1533</v>
      </c>
      <c r="C257" s="14" t="s">
        <v>172</v>
      </c>
      <c r="D257" s="14" t="s">
        <v>177</v>
      </c>
      <c r="E257" s="14" t="s">
        <v>172</v>
      </c>
      <c r="F257" s="14" t="s">
        <v>155</v>
      </c>
      <c r="G257" s="14" t="s">
        <v>156</v>
      </c>
      <c r="H257" s="14">
        <v>5</v>
      </c>
      <c r="I257" s="14">
        <v>1</v>
      </c>
      <c r="J257" s="14"/>
    </row>
    <row r="258" spans="1:10">
      <c r="A258" s="14">
        <f>IF(B258="","",COUNTA($B$4:B258))</f>
        <v>255</v>
      </c>
      <c r="B258" s="14" t="s">
        <v>1533</v>
      </c>
      <c r="C258" s="14" t="s">
        <v>303</v>
      </c>
      <c r="D258" s="14" t="s">
        <v>304</v>
      </c>
      <c r="E258" s="14" t="s">
        <v>303</v>
      </c>
      <c r="F258" s="14" t="s">
        <v>169</v>
      </c>
      <c r="G258" s="14" t="s">
        <v>170</v>
      </c>
      <c r="H258" s="14"/>
      <c r="I258" s="14"/>
      <c r="J258" s="14"/>
    </row>
    <row r="259" spans="1:10">
      <c r="A259" s="14">
        <f>IF(B259="","",COUNTA($B$4:B259))</f>
        <v>256</v>
      </c>
      <c r="B259" s="14" t="s">
        <v>1533</v>
      </c>
      <c r="C259" s="14" t="s">
        <v>305</v>
      </c>
      <c r="D259" s="14" t="s">
        <v>306</v>
      </c>
      <c r="E259" s="14" t="s">
        <v>305</v>
      </c>
      <c r="F259" s="14" t="s">
        <v>150</v>
      </c>
      <c r="G259" s="14" t="s">
        <v>151</v>
      </c>
      <c r="H259" s="14">
        <v>10</v>
      </c>
      <c r="I259" s="14" t="s">
        <v>244</v>
      </c>
      <c r="J259" s="14"/>
    </row>
    <row r="260" spans="1:10">
      <c r="A260" s="14">
        <f>IF(B260="","",COUNTA($B$4:B260))</f>
        <v>257</v>
      </c>
      <c r="B260" s="14" t="s">
        <v>1533</v>
      </c>
      <c r="C260" s="14" t="s">
        <v>307</v>
      </c>
      <c r="D260" s="14" t="s">
        <v>308</v>
      </c>
      <c r="E260" s="14" t="s">
        <v>307</v>
      </c>
      <c r="F260" s="14" t="s">
        <v>169</v>
      </c>
      <c r="G260" s="14" t="s">
        <v>170</v>
      </c>
      <c r="H260" s="14"/>
      <c r="I260" s="14"/>
      <c r="J260" s="14"/>
    </row>
    <row r="261" spans="1:10">
      <c r="A261" s="14">
        <f>IF(B261="","",COUNTA($B$4:B261))</f>
        <v>258</v>
      </c>
      <c r="B261" s="14" t="s">
        <v>1533</v>
      </c>
      <c r="C261" s="14" t="s">
        <v>178</v>
      </c>
      <c r="D261" s="14" t="s">
        <v>179</v>
      </c>
      <c r="E261" s="14" t="s">
        <v>178</v>
      </c>
      <c r="F261" s="14" t="s">
        <v>150</v>
      </c>
      <c r="G261" s="14" t="s">
        <v>151</v>
      </c>
      <c r="H261" s="14">
        <v>20</v>
      </c>
      <c r="I261" s="14"/>
      <c r="J261" s="14"/>
    </row>
    <row r="262" spans="1:10">
      <c r="A262" s="14">
        <f>IF(B262="","",COUNTA($B$4:B262))</f>
        <v>259</v>
      </c>
      <c r="B262" s="14" t="s">
        <v>1533</v>
      </c>
      <c r="C262" s="14" t="s">
        <v>181</v>
      </c>
      <c r="D262" s="14" t="s">
        <v>182</v>
      </c>
      <c r="E262" s="14" t="s">
        <v>181</v>
      </c>
      <c r="F262" s="14" t="s">
        <v>150</v>
      </c>
      <c r="G262" s="14" t="s">
        <v>151</v>
      </c>
      <c r="H262" s="14">
        <v>30</v>
      </c>
      <c r="I262" s="14"/>
      <c r="J262" s="14"/>
    </row>
    <row r="263" spans="1:10">
      <c r="A263" s="14">
        <f>IF(B263="","",COUNTA($B$4:B263))</f>
        <v>260</v>
      </c>
      <c r="B263" s="14" t="s">
        <v>1533</v>
      </c>
      <c r="C263" s="14" t="s">
        <v>183</v>
      </c>
      <c r="D263" s="14" t="s">
        <v>184</v>
      </c>
      <c r="E263" s="14" t="s">
        <v>183</v>
      </c>
      <c r="F263" s="14" t="s">
        <v>150</v>
      </c>
      <c r="G263" s="14" t="s">
        <v>151</v>
      </c>
      <c r="H263" s="14">
        <v>1000</v>
      </c>
      <c r="I263" s="14"/>
      <c r="J263" s="14"/>
    </row>
    <row r="264" spans="1:10">
      <c r="A264" s="14">
        <f>IF(B264="","",COUNTA($B$4:B264))</f>
        <v>261</v>
      </c>
      <c r="B264" s="14" t="s">
        <v>1533</v>
      </c>
      <c r="C264" s="14" t="s">
        <v>187</v>
      </c>
      <c r="D264" s="14" t="s">
        <v>188</v>
      </c>
      <c r="E264" s="14" t="s">
        <v>187</v>
      </c>
      <c r="F264" s="14" t="s">
        <v>155</v>
      </c>
      <c r="G264" s="14" t="s">
        <v>156</v>
      </c>
      <c r="H264" s="14">
        <v>3</v>
      </c>
      <c r="I264" s="14"/>
      <c r="J264" s="14"/>
    </row>
    <row r="265" spans="1:10">
      <c r="A265" s="14">
        <f>IF(B265="","",COUNTA($B$4:B265))</f>
        <v>262</v>
      </c>
      <c r="B265" s="14" t="s">
        <v>1533</v>
      </c>
      <c r="C265" s="14" t="s">
        <v>189</v>
      </c>
      <c r="D265" s="14" t="s">
        <v>190</v>
      </c>
      <c r="E265" s="14" t="s">
        <v>189</v>
      </c>
      <c r="F265" s="14" t="s">
        <v>155</v>
      </c>
      <c r="G265" s="14" t="s">
        <v>156</v>
      </c>
      <c r="H265" s="14">
        <v>3</v>
      </c>
      <c r="I265" s="14"/>
      <c r="J265" s="14"/>
    </row>
    <row r="266" spans="1:10">
      <c r="A266" s="14">
        <f>IF(B266="","",COUNTA($B$4:B266))</f>
        <v>263</v>
      </c>
      <c r="B266" s="14" t="s">
        <v>1533</v>
      </c>
      <c r="C266" s="14" t="s">
        <v>193</v>
      </c>
      <c r="D266" s="14" t="s">
        <v>194</v>
      </c>
      <c r="E266" s="14" t="s">
        <v>193</v>
      </c>
      <c r="F266" s="14" t="s">
        <v>150</v>
      </c>
      <c r="G266" s="14" t="s">
        <v>151</v>
      </c>
      <c r="H266" s="14">
        <v>25</v>
      </c>
      <c r="I266" s="14"/>
      <c r="J266" s="14"/>
    </row>
    <row r="267" spans="1:10">
      <c r="A267" s="14">
        <f>IF(B267="","",COUNTA($B$4:B267))</f>
        <v>264</v>
      </c>
      <c r="B267" s="14" t="s">
        <v>1533</v>
      </c>
      <c r="C267" s="14" t="s">
        <v>195</v>
      </c>
      <c r="D267" s="14" t="s">
        <v>196</v>
      </c>
      <c r="E267" s="14" t="s">
        <v>195</v>
      </c>
      <c r="F267" s="14" t="s">
        <v>150</v>
      </c>
      <c r="G267" s="14" t="s">
        <v>151</v>
      </c>
      <c r="H267" s="14">
        <v>400</v>
      </c>
      <c r="I267" s="14"/>
      <c r="J267" s="14"/>
    </row>
    <row r="268" spans="1:10">
      <c r="A268" s="14">
        <f>IF(B268="","",COUNTA($B$4:B268))</f>
        <v>265</v>
      </c>
      <c r="B268" s="14" t="s">
        <v>1533</v>
      </c>
      <c r="C268" s="14" t="s">
        <v>197</v>
      </c>
      <c r="D268" s="14" t="s">
        <v>198</v>
      </c>
      <c r="E268" s="14" t="s">
        <v>197</v>
      </c>
      <c r="F268" s="14" t="s">
        <v>150</v>
      </c>
      <c r="G268" s="14" t="s">
        <v>151</v>
      </c>
      <c r="H268" s="14">
        <v>5</v>
      </c>
      <c r="I268" s="14"/>
      <c r="J268" s="14"/>
    </row>
    <row r="269" spans="1:10">
      <c r="A269" s="14">
        <f>IF(B269="","",COUNTA($B$4:B269))</f>
        <v>266</v>
      </c>
      <c r="B269" s="14" t="s">
        <v>1533</v>
      </c>
      <c r="C269" s="14" t="s">
        <v>199</v>
      </c>
      <c r="D269" s="14" t="s">
        <v>200</v>
      </c>
      <c r="E269" s="14" t="s">
        <v>199</v>
      </c>
      <c r="F269" s="14" t="s">
        <v>150</v>
      </c>
      <c r="G269" s="14" t="s">
        <v>151</v>
      </c>
      <c r="H269" s="14">
        <v>20</v>
      </c>
      <c r="I269" s="14"/>
      <c r="J269" s="14"/>
    </row>
    <row r="270" spans="1:10">
      <c r="A270" s="14">
        <f>IF(B270="","",COUNTA($B$4:B270))</f>
        <v>267</v>
      </c>
      <c r="B270" s="14" t="s">
        <v>1533</v>
      </c>
      <c r="C270" s="14" t="s">
        <v>201</v>
      </c>
      <c r="D270" s="14" t="s">
        <v>202</v>
      </c>
      <c r="E270" s="14" t="s">
        <v>201</v>
      </c>
      <c r="F270" s="14" t="s">
        <v>150</v>
      </c>
      <c r="G270" s="14" t="s">
        <v>151</v>
      </c>
      <c r="H270" s="14">
        <v>30</v>
      </c>
      <c r="I270" s="14"/>
      <c r="J270" s="14"/>
    </row>
    <row r="271" spans="1:10">
      <c r="A271" s="14">
        <f>IF(B271="","",COUNTA($B$4:B271))</f>
        <v>268</v>
      </c>
      <c r="B271" s="14" t="s">
        <v>1533</v>
      </c>
      <c r="C271" s="14" t="s">
        <v>203</v>
      </c>
      <c r="D271" s="14" t="s">
        <v>204</v>
      </c>
      <c r="E271" s="14" t="s">
        <v>203</v>
      </c>
      <c r="F271" s="14" t="s">
        <v>155</v>
      </c>
      <c r="G271" s="14" t="s">
        <v>156</v>
      </c>
      <c r="H271" s="14">
        <v>5</v>
      </c>
      <c r="I271" s="14">
        <v>2</v>
      </c>
      <c r="J271" s="14"/>
    </row>
    <row r="272" spans="1:10">
      <c r="A272" s="14">
        <f>IF(B272="","",COUNTA($B$4:B272))</f>
        <v>269</v>
      </c>
      <c r="B272" s="14" t="s">
        <v>1533</v>
      </c>
      <c r="C272" s="14" t="s">
        <v>205</v>
      </c>
      <c r="D272" s="14" t="s">
        <v>206</v>
      </c>
      <c r="E272" s="14" t="s">
        <v>205</v>
      </c>
      <c r="F272" s="14" t="s">
        <v>155</v>
      </c>
      <c r="G272" s="14" t="s">
        <v>156</v>
      </c>
      <c r="H272" s="14">
        <v>4</v>
      </c>
      <c r="I272" s="14"/>
      <c r="J272" s="14"/>
    </row>
    <row r="273" spans="1:10">
      <c r="A273" s="14">
        <f>IF(B273="","",COUNTA($B$4:B273))</f>
        <v>270</v>
      </c>
      <c r="B273" s="14" t="s">
        <v>1533</v>
      </c>
      <c r="C273" s="14" t="s">
        <v>208</v>
      </c>
      <c r="D273" s="14" t="s">
        <v>209</v>
      </c>
      <c r="E273" s="14" t="s">
        <v>208</v>
      </c>
      <c r="F273" s="14" t="s">
        <v>155</v>
      </c>
      <c r="G273" s="14" t="s">
        <v>156</v>
      </c>
      <c r="H273" s="14">
        <v>5</v>
      </c>
      <c r="I273" s="14"/>
      <c r="J273" s="14"/>
    </row>
    <row r="274" spans="1:10">
      <c r="A274" s="14">
        <f>IF(B274="","",COUNTA($B$4:B274))</f>
        <v>271</v>
      </c>
      <c r="B274" s="14" t="s">
        <v>1533</v>
      </c>
      <c r="C274" s="14" t="s">
        <v>673</v>
      </c>
      <c r="D274" s="14" t="s">
        <v>1402</v>
      </c>
      <c r="E274" s="14" t="s">
        <v>673</v>
      </c>
      <c r="F274" s="14" t="s">
        <v>150</v>
      </c>
      <c r="G274" s="14" t="s">
        <v>151</v>
      </c>
      <c r="H274" s="14">
        <v>4</v>
      </c>
      <c r="I274" s="14"/>
      <c r="J274" s="14"/>
    </row>
    <row r="275" spans="1:10">
      <c r="A275" s="14">
        <f>IF(B275="","",COUNTA($B$4:B275))</f>
        <v>272</v>
      </c>
      <c r="B275" s="14" t="s">
        <v>1533</v>
      </c>
      <c r="C275" s="14" t="s">
        <v>309</v>
      </c>
      <c r="D275" s="14" t="s">
        <v>310</v>
      </c>
      <c r="E275" s="14" t="s">
        <v>309</v>
      </c>
      <c r="F275" s="14" t="s">
        <v>155</v>
      </c>
      <c r="G275" s="14" t="s">
        <v>156</v>
      </c>
      <c r="H275" s="14">
        <v>5</v>
      </c>
      <c r="I275" s="14"/>
      <c r="J275" s="14"/>
    </row>
    <row r="276" spans="1:10">
      <c r="A276" s="14">
        <f>IF(B276="","",COUNTA($B$4:B276))</f>
        <v>273</v>
      </c>
      <c r="B276" s="14" t="s">
        <v>1533</v>
      </c>
      <c r="C276" s="14" t="s">
        <v>211</v>
      </c>
      <c r="D276" s="14" t="s">
        <v>212</v>
      </c>
      <c r="E276" s="14" t="s">
        <v>211</v>
      </c>
      <c r="F276" s="14" t="s">
        <v>155</v>
      </c>
      <c r="G276" s="14" t="s">
        <v>156</v>
      </c>
      <c r="H276" s="14">
        <v>5</v>
      </c>
      <c r="I276" s="14"/>
      <c r="J276" s="14"/>
    </row>
    <row r="277" spans="1:10">
      <c r="A277" s="14">
        <f>IF(B277="","",COUNTA($B$4:B277))</f>
        <v>274</v>
      </c>
      <c r="B277" s="14" t="s">
        <v>1533</v>
      </c>
      <c r="C277" s="14" t="s">
        <v>311</v>
      </c>
      <c r="D277" s="14" t="s">
        <v>312</v>
      </c>
      <c r="E277" s="14" t="s">
        <v>311</v>
      </c>
      <c r="F277" s="14" t="s">
        <v>155</v>
      </c>
      <c r="G277" s="14" t="s">
        <v>156</v>
      </c>
      <c r="H277" s="14">
        <v>5</v>
      </c>
      <c r="I277" s="14"/>
      <c r="J277" s="14"/>
    </row>
    <row r="278" spans="1:10">
      <c r="A278" s="14">
        <f>IF(B278="","",COUNTA($B$4:B278))</f>
        <v>275</v>
      </c>
      <c r="B278" s="14" t="s">
        <v>1533</v>
      </c>
      <c r="C278" s="14" t="s">
        <v>228</v>
      </c>
      <c r="D278" s="14" t="s">
        <v>229</v>
      </c>
      <c r="E278" s="14" t="s">
        <v>228</v>
      </c>
      <c r="F278" s="14" t="s">
        <v>150</v>
      </c>
      <c r="G278" s="14" t="s">
        <v>151</v>
      </c>
      <c r="H278" s="14">
        <v>1000</v>
      </c>
      <c r="I278" s="14"/>
      <c r="J278" s="14"/>
    </row>
    <row r="279" spans="1:10">
      <c r="A279" s="14">
        <f>IF(B279="","",COUNTA($B$4:B279))</f>
        <v>276</v>
      </c>
      <c r="B279" s="14" t="s">
        <v>1533</v>
      </c>
      <c r="C279" s="14" t="s">
        <v>314</v>
      </c>
      <c r="D279" s="14" t="s">
        <v>315</v>
      </c>
      <c r="E279" s="14" t="s">
        <v>314</v>
      </c>
      <c r="F279" s="14" t="s">
        <v>150</v>
      </c>
      <c r="G279" s="14" t="s">
        <v>151</v>
      </c>
      <c r="H279" s="14">
        <v>5</v>
      </c>
      <c r="I279" s="14"/>
      <c r="J279" s="14"/>
    </row>
    <row r="280" spans="1:10">
      <c r="A280" s="14">
        <f>IF(B280="","",COUNTA($B$4:B280))</f>
        <v>277</v>
      </c>
      <c r="B280" s="14" t="s">
        <v>1533</v>
      </c>
      <c r="C280" s="14" t="s">
        <v>316</v>
      </c>
      <c r="D280" s="14" t="s">
        <v>317</v>
      </c>
      <c r="E280" s="14" t="s">
        <v>316</v>
      </c>
      <c r="F280" s="14" t="s">
        <v>150</v>
      </c>
      <c r="G280" s="14" t="s">
        <v>151</v>
      </c>
      <c r="H280" s="14">
        <v>20</v>
      </c>
      <c r="I280" s="14"/>
      <c r="J280" s="14"/>
    </row>
    <row r="281" spans="1:10">
      <c r="A281" s="14">
        <f>IF(B281="","",COUNTA($B$4:B281))</f>
        <v>278</v>
      </c>
      <c r="B281" s="14" t="s">
        <v>1533</v>
      </c>
      <c r="C281" s="14" t="s">
        <v>318</v>
      </c>
      <c r="D281" s="14" t="s">
        <v>319</v>
      </c>
      <c r="E281" s="14" t="s">
        <v>318</v>
      </c>
      <c r="F281" s="14" t="s">
        <v>150</v>
      </c>
      <c r="G281" s="14" t="s">
        <v>151</v>
      </c>
      <c r="H281" s="14">
        <v>30</v>
      </c>
      <c r="I281" s="14"/>
      <c r="J281" s="14"/>
    </row>
    <row r="282" spans="1:10">
      <c r="A282" s="14">
        <f>IF(B282="","",COUNTA($B$4:B282))</f>
        <v>279</v>
      </c>
      <c r="B282" s="14" t="s">
        <v>1533</v>
      </c>
      <c r="C282" s="14" t="s">
        <v>320</v>
      </c>
      <c r="D282" s="14" t="s">
        <v>321</v>
      </c>
      <c r="E282" s="14" t="s">
        <v>320</v>
      </c>
      <c r="F282" s="14" t="s">
        <v>155</v>
      </c>
      <c r="G282" s="14" t="s">
        <v>156</v>
      </c>
      <c r="H282" s="14">
        <v>5</v>
      </c>
      <c r="I282" s="14">
        <v>2</v>
      </c>
      <c r="J282" s="14"/>
    </row>
    <row r="283" spans="1:10">
      <c r="A283" s="14">
        <f>IF(B283="","",COUNTA($B$4:B283))</f>
        <v>280</v>
      </c>
      <c r="B283" s="14" t="s">
        <v>1533</v>
      </c>
      <c r="C283" s="14" t="s">
        <v>322</v>
      </c>
      <c r="D283" s="14" t="s">
        <v>323</v>
      </c>
      <c r="E283" s="14" t="s">
        <v>322</v>
      </c>
      <c r="F283" s="14" t="s">
        <v>155</v>
      </c>
      <c r="G283" s="14" t="s">
        <v>156</v>
      </c>
      <c r="H283" s="14">
        <v>4</v>
      </c>
      <c r="I283" s="14"/>
      <c r="J283" s="14"/>
    </row>
    <row r="284" spans="1:10">
      <c r="A284" s="14">
        <f>IF(B284="","",COUNTA($B$4:B284))</f>
        <v>281</v>
      </c>
      <c r="B284" s="14" t="s">
        <v>1533</v>
      </c>
      <c r="C284" s="14" t="s">
        <v>324</v>
      </c>
      <c r="D284" s="14" t="s">
        <v>325</v>
      </c>
      <c r="E284" s="14" t="s">
        <v>324</v>
      </c>
      <c r="F284" s="14" t="s">
        <v>155</v>
      </c>
      <c r="G284" s="14" t="s">
        <v>156</v>
      </c>
      <c r="H284" s="14">
        <v>5</v>
      </c>
      <c r="I284" s="14"/>
      <c r="J284" s="14"/>
    </row>
    <row r="285" spans="1:10">
      <c r="A285" s="14">
        <f>IF(B285="","",COUNTA($B$4:B285))</f>
        <v>282</v>
      </c>
      <c r="B285" s="14" t="s">
        <v>1533</v>
      </c>
      <c r="C285" s="14" t="s">
        <v>326</v>
      </c>
      <c r="D285" s="14" t="s">
        <v>327</v>
      </c>
      <c r="E285" s="14" t="s">
        <v>326</v>
      </c>
      <c r="F285" s="14" t="s">
        <v>155</v>
      </c>
      <c r="G285" s="14" t="s">
        <v>156</v>
      </c>
      <c r="H285" s="14">
        <v>5</v>
      </c>
      <c r="I285" s="14"/>
      <c r="J285" s="14"/>
    </row>
    <row r="286" spans="1:10">
      <c r="A286" s="14">
        <f>IF(B286="","",COUNTA($B$4:B286))</f>
        <v>283</v>
      </c>
      <c r="B286" s="14" t="s">
        <v>1533</v>
      </c>
      <c r="C286" s="14" t="s">
        <v>328</v>
      </c>
      <c r="D286" s="14" t="s">
        <v>329</v>
      </c>
      <c r="E286" s="14" t="s">
        <v>328</v>
      </c>
      <c r="F286" s="14" t="s">
        <v>150</v>
      </c>
      <c r="G286" s="14" t="s">
        <v>151</v>
      </c>
      <c r="H286" s="14">
        <v>1000</v>
      </c>
      <c r="I286" s="14"/>
      <c r="J286" s="14"/>
    </row>
    <row r="287" spans="1:10">
      <c r="A287" s="14">
        <f>IF(B287="","",COUNTA($B$4:B287))</f>
        <v>284</v>
      </c>
      <c r="B287" s="14" t="s">
        <v>1533</v>
      </c>
      <c r="C287" s="14" t="s">
        <v>330</v>
      </c>
      <c r="D287" s="14" t="s">
        <v>331</v>
      </c>
      <c r="E287" s="14" t="s">
        <v>330</v>
      </c>
      <c r="F287" s="14" t="s">
        <v>150</v>
      </c>
      <c r="G287" s="14" t="s">
        <v>151</v>
      </c>
      <c r="H287" s="14">
        <v>100</v>
      </c>
      <c r="I287" s="14"/>
      <c r="J287" s="14"/>
    </row>
    <row r="288" spans="1:10">
      <c r="A288" s="14">
        <f>IF(B288="","",COUNTA($B$4:B288))</f>
        <v>285</v>
      </c>
      <c r="B288" s="14" t="s">
        <v>1533</v>
      </c>
      <c r="C288" s="14" t="s">
        <v>294</v>
      </c>
      <c r="D288" s="14" t="s">
        <v>295</v>
      </c>
      <c r="E288" s="14" t="s">
        <v>294</v>
      </c>
      <c r="F288" s="14" t="s">
        <v>155</v>
      </c>
      <c r="G288" s="14" t="s">
        <v>156</v>
      </c>
      <c r="H288" s="14">
        <v>5</v>
      </c>
      <c r="I288" s="14"/>
      <c r="J288" s="14"/>
    </row>
    <row r="289" spans="1:10">
      <c r="A289" s="14">
        <f>IF(B289="","",COUNTA($B$4:B289))</f>
        <v>286</v>
      </c>
      <c r="B289" s="14" t="s">
        <v>1533</v>
      </c>
      <c r="C289" s="14" t="s">
        <v>226</v>
      </c>
      <c r="D289" s="14" t="s">
        <v>227</v>
      </c>
      <c r="E289" s="14" t="s">
        <v>226</v>
      </c>
      <c r="F289" s="14" t="s">
        <v>150</v>
      </c>
      <c r="G289" s="14" t="s">
        <v>151</v>
      </c>
      <c r="H289" s="14">
        <v>3</v>
      </c>
      <c r="I289" s="14"/>
      <c r="J289" s="14"/>
    </row>
    <row r="290" spans="1:10">
      <c r="A290" s="14">
        <f>IF(B290="","",COUNTA($B$4:B290))</f>
        <v>287</v>
      </c>
      <c r="B290" s="14" t="s">
        <v>1533</v>
      </c>
      <c r="C290" s="14" t="s">
        <v>332</v>
      </c>
      <c r="D290" s="14" t="s">
        <v>333</v>
      </c>
      <c r="E290" s="14" t="s">
        <v>332</v>
      </c>
      <c r="F290" s="14" t="s">
        <v>155</v>
      </c>
      <c r="G290" s="14" t="s">
        <v>156</v>
      </c>
      <c r="H290" s="14">
        <v>1</v>
      </c>
      <c r="I290" s="14"/>
      <c r="J290" s="14"/>
    </row>
    <row r="291" spans="1:10">
      <c r="A291" s="14">
        <f>IF(B291="","",COUNTA($B$4:B291))</f>
        <v>288</v>
      </c>
      <c r="B291" s="14" t="s">
        <v>1533</v>
      </c>
      <c r="C291" s="14" t="s">
        <v>335</v>
      </c>
      <c r="D291" s="14" t="s">
        <v>336</v>
      </c>
      <c r="E291" s="14" t="s">
        <v>335</v>
      </c>
      <c r="F291" s="14" t="s">
        <v>155</v>
      </c>
      <c r="G291" s="14" t="s">
        <v>156</v>
      </c>
      <c r="H291" s="14">
        <v>1</v>
      </c>
      <c r="I291" s="14"/>
      <c r="J291" s="14"/>
    </row>
    <row r="292" spans="1:10">
      <c r="A292" s="14">
        <f>IF(B292="","",COUNTA($B$4:B292))</f>
        <v>289</v>
      </c>
      <c r="B292" s="14" t="s">
        <v>1533</v>
      </c>
      <c r="C292" s="14" t="s">
        <v>230</v>
      </c>
      <c r="D292" s="14" t="s">
        <v>231</v>
      </c>
      <c r="E292" s="14" t="s">
        <v>230</v>
      </c>
      <c r="F292" s="14" t="s">
        <v>169</v>
      </c>
      <c r="G292" s="14" t="s">
        <v>170</v>
      </c>
      <c r="H292" s="14"/>
      <c r="I292" s="14"/>
      <c r="J292" s="14"/>
    </row>
    <row r="293" spans="1:10">
      <c r="A293" s="14">
        <f>IF(B293="","",COUNTA($B$4:B293))</f>
        <v>290</v>
      </c>
      <c r="B293" s="14" t="s">
        <v>1533</v>
      </c>
      <c r="C293" s="14" t="s">
        <v>233</v>
      </c>
      <c r="D293" s="14" t="s">
        <v>234</v>
      </c>
      <c r="E293" s="14" t="s">
        <v>233</v>
      </c>
      <c r="F293" s="14" t="s">
        <v>155</v>
      </c>
      <c r="G293" s="14" t="s">
        <v>156</v>
      </c>
      <c r="H293" s="14">
        <v>1</v>
      </c>
      <c r="I293" s="14"/>
      <c r="J293" s="14"/>
    </row>
    <row r="294" spans="1:10">
      <c r="A294" s="14">
        <f>IF(B294="","",COUNTA($B$4:B294))</f>
        <v>291</v>
      </c>
      <c r="B294" s="14" t="s">
        <v>1533</v>
      </c>
      <c r="C294" s="14" t="s">
        <v>236</v>
      </c>
      <c r="D294" s="14" t="s">
        <v>237</v>
      </c>
      <c r="E294" s="14" t="s">
        <v>236</v>
      </c>
      <c r="F294" s="14" t="s">
        <v>155</v>
      </c>
      <c r="G294" s="14" t="s">
        <v>156</v>
      </c>
      <c r="H294" s="14">
        <v>1</v>
      </c>
      <c r="I294" s="14"/>
      <c r="J294" s="14"/>
    </row>
    <row r="295" spans="1:10">
      <c r="A295" s="14">
        <f>IF(B295="","",COUNTA($B$4:B295))</f>
        <v>292</v>
      </c>
      <c r="B295" s="14" t="s">
        <v>1533</v>
      </c>
      <c r="C295" s="14" t="s">
        <v>239</v>
      </c>
      <c r="D295" s="14" t="s">
        <v>240</v>
      </c>
      <c r="E295" s="14" t="s">
        <v>239</v>
      </c>
      <c r="F295" s="14" t="s">
        <v>169</v>
      </c>
      <c r="G295" s="14" t="s">
        <v>170</v>
      </c>
      <c r="H295" s="14"/>
      <c r="I295" s="14"/>
      <c r="J295" s="14"/>
    </row>
    <row r="296" spans="1:10">
      <c r="A296" s="14">
        <f>IF(B296="","",COUNTA($B$4:B296))</f>
        <v>293</v>
      </c>
      <c r="B296" s="14" t="s">
        <v>1533</v>
      </c>
      <c r="C296" s="14" t="s">
        <v>241</v>
      </c>
      <c r="D296" s="14" t="s">
        <v>242</v>
      </c>
      <c r="E296" s="14" t="s">
        <v>241</v>
      </c>
      <c r="F296" s="14" t="s">
        <v>150</v>
      </c>
      <c r="G296" s="14" t="s">
        <v>243</v>
      </c>
      <c r="H296" s="14"/>
      <c r="I296" s="14" t="s">
        <v>244</v>
      </c>
      <c r="J296" s="14"/>
    </row>
    <row r="297" spans="1:10">
      <c r="A297" s="14">
        <f>IF(B297="","",COUNTA($B$4:B297))</f>
        <v>294</v>
      </c>
      <c r="B297" s="14" t="s">
        <v>1533</v>
      </c>
      <c r="C297" s="14" t="s">
        <v>246</v>
      </c>
      <c r="D297" s="14" t="s">
        <v>247</v>
      </c>
      <c r="E297" s="14" t="s">
        <v>246</v>
      </c>
      <c r="F297" s="14" t="s">
        <v>150</v>
      </c>
      <c r="G297" s="14" t="s">
        <v>243</v>
      </c>
      <c r="H297" s="14"/>
      <c r="I297" s="14" t="s">
        <v>244</v>
      </c>
      <c r="J297" s="14"/>
    </row>
    <row r="298" spans="1:10">
      <c r="A298" s="14">
        <f>IF(B298="","",COUNTA($B$4:B298))</f>
        <v>295</v>
      </c>
      <c r="B298" s="14" t="s">
        <v>1533</v>
      </c>
      <c r="C298" s="14" t="s">
        <v>249</v>
      </c>
      <c r="D298" s="14" t="s">
        <v>250</v>
      </c>
      <c r="E298" s="14" t="s">
        <v>249</v>
      </c>
      <c r="F298" s="14" t="s">
        <v>150</v>
      </c>
      <c r="G298" s="14" t="s">
        <v>151</v>
      </c>
      <c r="H298" s="14">
        <v>4</v>
      </c>
      <c r="I298" s="14"/>
      <c r="J298" s="14"/>
    </row>
    <row r="299" spans="1:10">
      <c r="A299" s="14">
        <f>IF(B299="","",COUNTA($B$4:B299))</f>
        <v>296</v>
      </c>
      <c r="B299" s="14" t="s">
        <v>1533</v>
      </c>
      <c r="C299" s="14" t="s">
        <v>251</v>
      </c>
      <c r="D299" s="14" t="s">
        <v>252</v>
      </c>
      <c r="E299" s="14" t="s">
        <v>251</v>
      </c>
      <c r="F299" s="14" t="s">
        <v>150</v>
      </c>
      <c r="G299" s="14" t="s">
        <v>151</v>
      </c>
      <c r="H299" s="14">
        <v>4</v>
      </c>
      <c r="I299" s="14"/>
      <c r="J299" s="14"/>
    </row>
    <row r="300" spans="1:10">
      <c r="A300" s="14">
        <f>IF(B300="","",COUNTA($B$4:B300))</f>
        <v>297</v>
      </c>
      <c r="B300" s="14" t="s">
        <v>1533</v>
      </c>
      <c r="C300" s="14" t="s">
        <v>253</v>
      </c>
      <c r="D300" s="14" t="s">
        <v>254</v>
      </c>
      <c r="E300" s="14" t="s">
        <v>253</v>
      </c>
      <c r="F300" s="14" t="s">
        <v>150</v>
      </c>
      <c r="G300" s="14" t="s">
        <v>151</v>
      </c>
      <c r="H300" s="14">
        <v>10</v>
      </c>
      <c r="I300" s="14"/>
      <c r="J300" s="14"/>
    </row>
    <row r="301" spans="1:10">
      <c r="A301" s="14">
        <f>IF(B301="","",COUNTA($B$4:B301))</f>
        <v>298</v>
      </c>
      <c r="B301" s="14" t="s">
        <v>1533</v>
      </c>
      <c r="C301" s="14" t="s">
        <v>255</v>
      </c>
      <c r="D301" s="14" t="s">
        <v>256</v>
      </c>
      <c r="E301" s="14" t="s">
        <v>255</v>
      </c>
      <c r="F301" s="14" t="s">
        <v>150</v>
      </c>
      <c r="G301" s="14" t="s">
        <v>151</v>
      </c>
      <c r="H301" s="14">
        <v>10</v>
      </c>
      <c r="I301" s="14"/>
      <c r="J301" s="14"/>
    </row>
    <row r="302" spans="1:10">
      <c r="A302" s="14">
        <f>IF(B302="","",COUNTA($B$4:B302))</f>
        <v>299</v>
      </c>
      <c r="B302" s="14" t="s">
        <v>1533</v>
      </c>
      <c r="C302" s="14" t="s">
        <v>257</v>
      </c>
      <c r="D302" s="14" t="s">
        <v>258</v>
      </c>
      <c r="E302" s="14" t="s">
        <v>257</v>
      </c>
      <c r="F302" s="14" t="s">
        <v>169</v>
      </c>
      <c r="G302" s="14" t="s">
        <v>243</v>
      </c>
      <c r="H302" s="14"/>
      <c r="I302" s="14"/>
      <c r="J302" s="14"/>
    </row>
    <row r="303" spans="1:10">
      <c r="A303" s="14">
        <f>IF(B303="","",COUNTA($B$4:B303))</f>
        <v>300</v>
      </c>
      <c r="B303" s="14" t="s">
        <v>1533</v>
      </c>
      <c r="C303" s="14" t="s">
        <v>259</v>
      </c>
      <c r="D303" s="14" t="s">
        <v>260</v>
      </c>
      <c r="E303" s="14" t="s">
        <v>259</v>
      </c>
      <c r="F303" s="14" t="s">
        <v>150</v>
      </c>
      <c r="G303" s="14" t="s">
        <v>151</v>
      </c>
      <c r="H303" s="14">
        <v>10</v>
      </c>
      <c r="I303" s="14"/>
      <c r="J303" s="14"/>
    </row>
    <row r="304" spans="1:10">
      <c r="A304" s="14">
        <f>IF(B304="","",COUNTA($B$4:B304))</f>
        <v>301</v>
      </c>
      <c r="B304" s="14" t="s">
        <v>1533</v>
      </c>
      <c r="C304" s="14" t="s">
        <v>261</v>
      </c>
      <c r="D304" s="14" t="s">
        <v>262</v>
      </c>
      <c r="E304" s="14" t="s">
        <v>261</v>
      </c>
      <c r="F304" s="14" t="s">
        <v>150</v>
      </c>
      <c r="G304" s="14" t="s">
        <v>151</v>
      </c>
      <c r="H304" s="14">
        <v>10</v>
      </c>
      <c r="I304" s="14"/>
      <c r="J304" s="14"/>
    </row>
    <row r="305" spans="1:10">
      <c r="A305" s="14">
        <f>IF(B305="","",COUNTA($B$4:B305))</f>
        <v>302</v>
      </c>
      <c r="B305" s="14" t="s">
        <v>1533</v>
      </c>
      <c r="C305" s="14" t="s">
        <v>263</v>
      </c>
      <c r="D305" s="14" t="s">
        <v>264</v>
      </c>
      <c r="E305" s="14" t="s">
        <v>263</v>
      </c>
      <c r="F305" s="14" t="s">
        <v>169</v>
      </c>
      <c r="G305" s="14" t="s">
        <v>243</v>
      </c>
      <c r="H305" s="14"/>
      <c r="I305" s="14"/>
      <c r="J305" s="14"/>
    </row>
    <row r="306" spans="1:10">
      <c r="A306" s="14">
        <f>IF(B306="","",COUNTA($B$4:B306))</f>
        <v>303</v>
      </c>
      <c r="B306" s="14" t="s">
        <v>1534</v>
      </c>
      <c r="C306" s="14" t="s">
        <v>148</v>
      </c>
      <c r="D306" s="14" t="s">
        <v>149</v>
      </c>
      <c r="E306" s="14" t="s">
        <v>148</v>
      </c>
      <c r="F306" s="14" t="s">
        <v>150</v>
      </c>
      <c r="G306" s="14" t="s">
        <v>151</v>
      </c>
      <c r="H306" s="14">
        <v>15</v>
      </c>
      <c r="I306" s="14"/>
      <c r="J306" s="14"/>
    </row>
    <row r="307" spans="1:10">
      <c r="A307" s="14">
        <f>IF(B307="","",COUNTA($B$4:B307))</f>
        <v>304</v>
      </c>
      <c r="B307" s="14" t="s">
        <v>1534</v>
      </c>
      <c r="C307" s="14" t="s">
        <v>338</v>
      </c>
      <c r="D307" s="14" t="s">
        <v>339</v>
      </c>
      <c r="E307" s="14" t="s">
        <v>338</v>
      </c>
      <c r="F307" s="14" t="s">
        <v>155</v>
      </c>
      <c r="G307" s="14" t="s">
        <v>156</v>
      </c>
      <c r="H307" s="14">
        <v>3</v>
      </c>
      <c r="I307" s="14"/>
      <c r="J307" s="14"/>
    </row>
    <row r="308" spans="1:10">
      <c r="A308" s="14">
        <f>IF(B308="","",COUNTA($B$4:B308))</f>
        <v>305</v>
      </c>
      <c r="B308" s="14" t="s">
        <v>1534</v>
      </c>
      <c r="C308" s="14" t="s">
        <v>157</v>
      </c>
      <c r="D308" s="14" t="s">
        <v>158</v>
      </c>
      <c r="E308" s="14" t="s">
        <v>157</v>
      </c>
      <c r="F308" s="14" t="s">
        <v>150</v>
      </c>
      <c r="G308" s="14" t="s">
        <v>151</v>
      </c>
      <c r="H308" s="14">
        <v>10</v>
      </c>
      <c r="I308" s="14"/>
      <c r="J308" s="14"/>
    </row>
    <row r="309" spans="1:10">
      <c r="A309" s="14">
        <f>IF(B309="","",COUNTA($B$4:B309))</f>
        <v>306</v>
      </c>
      <c r="B309" s="14" t="s">
        <v>1534</v>
      </c>
      <c r="C309" s="14" t="s">
        <v>159</v>
      </c>
      <c r="D309" s="14" t="s">
        <v>160</v>
      </c>
      <c r="E309" s="14" t="s">
        <v>159</v>
      </c>
      <c r="F309" s="14" t="s">
        <v>150</v>
      </c>
      <c r="G309" s="14" t="s">
        <v>151</v>
      </c>
      <c r="H309" s="14">
        <v>4</v>
      </c>
      <c r="I309" s="14"/>
      <c r="J309" s="14"/>
    </row>
    <row r="310" spans="1:10">
      <c r="A310" s="14">
        <f>IF(B310="","",COUNTA($B$4:B310))</f>
        <v>307</v>
      </c>
      <c r="B310" s="14" t="s">
        <v>1534</v>
      </c>
      <c r="C310" s="14" t="s">
        <v>342</v>
      </c>
      <c r="D310" s="14" t="s">
        <v>343</v>
      </c>
      <c r="E310" s="14" t="s">
        <v>342</v>
      </c>
      <c r="F310" s="14" t="s">
        <v>150</v>
      </c>
      <c r="G310" s="14" t="s">
        <v>151</v>
      </c>
      <c r="H310" s="14">
        <v>5</v>
      </c>
      <c r="I310" s="14"/>
      <c r="J310" s="14"/>
    </row>
    <row r="311" spans="1:10">
      <c r="A311" s="14">
        <f>IF(B311="","",COUNTA($B$4:B311))</f>
        <v>308</v>
      </c>
      <c r="B311" s="14" t="s">
        <v>1534</v>
      </c>
      <c r="C311" s="14" t="s">
        <v>300</v>
      </c>
      <c r="D311" s="14" t="s">
        <v>301</v>
      </c>
      <c r="E311" s="14" t="s">
        <v>300</v>
      </c>
      <c r="F311" s="14" t="s">
        <v>169</v>
      </c>
      <c r="G311" s="14" t="s">
        <v>170</v>
      </c>
      <c r="H311" s="14"/>
      <c r="I311" s="14"/>
      <c r="J311" s="14"/>
    </row>
    <row r="312" spans="1:10">
      <c r="A312" s="14">
        <f>IF(B312="","",COUNTA($B$4:B312))</f>
        <v>309</v>
      </c>
      <c r="B312" s="14" t="s">
        <v>1534</v>
      </c>
      <c r="C312" s="14" t="s">
        <v>345</v>
      </c>
      <c r="D312" s="14" t="s">
        <v>346</v>
      </c>
      <c r="E312" s="14" t="s">
        <v>345</v>
      </c>
      <c r="F312" s="14" t="s">
        <v>169</v>
      </c>
      <c r="G312" s="14" t="s">
        <v>170</v>
      </c>
      <c r="H312" s="14"/>
      <c r="I312" s="14"/>
      <c r="J312" s="14"/>
    </row>
    <row r="313" spans="1:10">
      <c r="A313" s="14">
        <f>IF(B313="","",COUNTA($B$4:B313))</f>
        <v>310</v>
      </c>
      <c r="B313" s="14" t="s">
        <v>1534</v>
      </c>
      <c r="C313" s="14" t="s">
        <v>307</v>
      </c>
      <c r="D313" s="14" t="s">
        <v>308</v>
      </c>
      <c r="E313" s="14" t="s">
        <v>307</v>
      </c>
      <c r="F313" s="14" t="s">
        <v>169</v>
      </c>
      <c r="G313" s="14" t="s">
        <v>170</v>
      </c>
      <c r="H313" s="14"/>
      <c r="I313" s="14"/>
      <c r="J313" s="14"/>
    </row>
    <row r="314" spans="1:10">
      <c r="A314" s="14">
        <f>IF(B314="","",COUNTA($B$4:B314))</f>
        <v>311</v>
      </c>
      <c r="B314" s="14" t="s">
        <v>1534</v>
      </c>
      <c r="C314" s="14" t="s">
        <v>305</v>
      </c>
      <c r="D314" s="14" t="s">
        <v>306</v>
      </c>
      <c r="E314" s="14" t="s">
        <v>305</v>
      </c>
      <c r="F314" s="14" t="s">
        <v>150</v>
      </c>
      <c r="G314" s="14" t="s">
        <v>151</v>
      </c>
      <c r="H314" s="14">
        <v>10</v>
      </c>
      <c r="I314" s="14" t="s">
        <v>244</v>
      </c>
      <c r="J314" s="14"/>
    </row>
    <row r="315" spans="1:10">
      <c r="A315" s="14">
        <f>IF(B315="","",COUNTA($B$4:B315))</f>
        <v>312</v>
      </c>
      <c r="B315" s="14" t="s">
        <v>1534</v>
      </c>
      <c r="C315" s="14" t="s">
        <v>178</v>
      </c>
      <c r="D315" s="14" t="s">
        <v>179</v>
      </c>
      <c r="E315" s="14" t="s">
        <v>178</v>
      </c>
      <c r="F315" s="14" t="s">
        <v>150</v>
      </c>
      <c r="G315" s="14" t="s">
        <v>151</v>
      </c>
      <c r="H315" s="14">
        <v>20</v>
      </c>
      <c r="I315" s="14"/>
      <c r="J315" s="14"/>
    </row>
    <row r="316" spans="1:10">
      <c r="A316" s="14">
        <f>IF(B316="","",COUNTA($B$4:B316))</f>
        <v>313</v>
      </c>
      <c r="B316" s="14" t="s">
        <v>1534</v>
      </c>
      <c r="C316" s="14" t="s">
        <v>347</v>
      </c>
      <c r="D316" s="14" t="s">
        <v>348</v>
      </c>
      <c r="E316" s="14" t="s">
        <v>347</v>
      </c>
      <c r="F316" s="14" t="s">
        <v>150</v>
      </c>
      <c r="G316" s="14" t="s">
        <v>151</v>
      </c>
      <c r="H316" s="14">
        <v>30</v>
      </c>
      <c r="I316" s="14"/>
      <c r="J316" s="14"/>
    </row>
    <row r="317" spans="1:10">
      <c r="A317" s="14">
        <f>IF(B317="","",COUNTA($B$4:B317))</f>
        <v>314</v>
      </c>
      <c r="B317" s="14" t="s">
        <v>1534</v>
      </c>
      <c r="C317" s="14" t="s">
        <v>350</v>
      </c>
      <c r="D317" s="14" t="s">
        <v>351</v>
      </c>
      <c r="E317" s="14" t="s">
        <v>350</v>
      </c>
      <c r="F317" s="14" t="s">
        <v>155</v>
      </c>
      <c r="G317" s="14" t="s">
        <v>156</v>
      </c>
      <c r="H317" s="14">
        <v>3</v>
      </c>
      <c r="I317" s="14"/>
      <c r="J317" s="14"/>
    </row>
    <row r="318" spans="1:10">
      <c r="A318" s="14">
        <f>IF(B318="","",COUNTA($B$4:B318))</f>
        <v>315</v>
      </c>
      <c r="B318" s="14" t="s">
        <v>1534</v>
      </c>
      <c r="C318" s="14" t="s">
        <v>353</v>
      </c>
      <c r="D318" s="14" t="s">
        <v>354</v>
      </c>
      <c r="E318" s="14" t="s">
        <v>353</v>
      </c>
      <c r="F318" s="14" t="s">
        <v>155</v>
      </c>
      <c r="G318" s="14" t="s">
        <v>156</v>
      </c>
      <c r="H318" s="14">
        <v>3</v>
      </c>
      <c r="I318" s="14"/>
      <c r="J318" s="14"/>
    </row>
    <row r="319" spans="1:10">
      <c r="A319" s="14">
        <f>IF(B319="","",COUNTA($B$4:B319))</f>
        <v>316</v>
      </c>
      <c r="B319" s="14" t="s">
        <v>1534</v>
      </c>
      <c r="C319" s="14" t="s">
        <v>153</v>
      </c>
      <c r="D319" s="14" t="s">
        <v>154</v>
      </c>
      <c r="E319" s="14" t="s">
        <v>153</v>
      </c>
      <c r="F319" s="14" t="s">
        <v>155</v>
      </c>
      <c r="G319" s="14" t="s">
        <v>156</v>
      </c>
      <c r="H319" s="14">
        <v>3</v>
      </c>
      <c r="I319" s="14"/>
      <c r="J319" s="14"/>
    </row>
    <row r="320" spans="1:10">
      <c r="A320" s="14">
        <f>IF(B320="","",COUNTA($B$4:B320))</f>
        <v>317</v>
      </c>
      <c r="B320" s="14" t="s">
        <v>1534</v>
      </c>
      <c r="C320" s="14" t="s">
        <v>187</v>
      </c>
      <c r="D320" s="14" t="s">
        <v>188</v>
      </c>
      <c r="E320" s="14" t="s">
        <v>187</v>
      </c>
      <c r="F320" s="14" t="s">
        <v>155</v>
      </c>
      <c r="G320" s="14" t="s">
        <v>156</v>
      </c>
      <c r="H320" s="14">
        <v>3</v>
      </c>
      <c r="I320" s="14"/>
      <c r="J320" s="14"/>
    </row>
    <row r="321" spans="1:10">
      <c r="A321" s="14">
        <f>IF(B321="","",COUNTA($B$4:B321))</f>
        <v>318</v>
      </c>
      <c r="B321" s="14" t="s">
        <v>1534</v>
      </c>
      <c r="C321" s="14" t="s">
        <v>193</v>
      </c>
      <c r="D321" s="14" t="s">
        <v>194</v>
      </c>
      <c r="E321" s="14" t="s">
        <v>193</v>
      </c>
      <c r="F321" s="14" t="s">
        <v>150</v>
      </c>
      <c r="G321" s="14" t="s">
        <v>151</v>
      </c>
      <c r="H321" s="14">
        <v>25</v>
      </c>
      <c r="I321" s="14"/>
      <c r="J321" s="14"/>
    </row>
    <row r="322" spans="1:10">
      <c r="A322" s="14">
        <f>IF(B322="","",COUNTA($B$4:B322))</f>
        <v>319</v>
      </c>
      <c r="B322" s="14" t="s">
        <v>1534</v>
      </c>
      <c r="C322" s="14" t="s">
        <v>195</v>
      </c>
      <c r="D322" s="14" t="s">
        <v>196</v>
      </c>
      <c r="E322" s="14" t="s">
        <v>195</v>
      </c>
      <c r="F322" s="14" t="s">
        <v>150</v>
      </c>
      <c r="G322" s="14" t="s">
        <v>151</v>
      </c>
      <c r="H322" s="14">
        <v>400</v>
      </c>
      <c r="I322" s="14"/>
      <c r="J322" s="14"/>
    </row>
    <row r="323" spans="1:10">
      <c r="A323" s="14">
        <f>IF(B323="","",COUNTA($B$4:B323))</f>
        <v>320</v>
      </c>
      <c r="B323" s="14" t="s">
        <v>1534</v>
      </c>
      <c r="C323" s="14" t="s">
        <v>197</v>
      </c>
      <c r="D323" s="14" t="s">
        <v>198</v>
      </c>
      <c r="E323" s="14" t="s">
        <v>197</v>
      </c>
      <c r="F323" s="14" t="s">
        <v>150</v>
      </c>
      <c r="G323" s="14" t="s">
        <v>151</v>
      </c>
      <c r="H323" s="14">
        <v>5</v>
      </c>
      <c r="I323" s="14"/>
      <c r="J323" s="14"/>
    </row>
    <row r="324" spans="1:10">
      <c r="A324" s="14">
        <f>IF(B324="","",COUNTA($B$4:B324))</f>
        <v>321</v>
      </c>
      <c r="B324" s="14" t="s">
        <v>1534</v>
      </c>
      <c r="C324" s="14" t="s">
        <v>199</v>
      </c>
      <c r="D324" s="14" t="s">
        <v>200</v>
      </c>
      <c r="E324" s="14" t="s">
        <v>199</v>
      </c>
      <c r="F324" s="14" t="s">
        <v>150</v>
      </c>
      <c r="G324" s="14" t="s">
        <v>151</v>
      </c>
      <c r="H324" s="14">
        <v>20</v>
      </c>
      <c r="I324" s="14"/>
      <c r="J324" s="14"/>
    </row>
    <row r="325" spans="1:10">
      <c r="A325" s="14">
        <f>IF(B325="","",COUNTA($B$4:B325))</f>
        <v>322</v>
      </c>
      <c r="B325" s="14" t="s">
        <v>1534</v>
      </c>
      <c r="C325" s="14" t="s">
        <v>201</v>
      </c>
      <c r="D325" s="14" t="s">
        <v>202</v>
      </c>
      <c r="E325" s="14" t="s">
        <v>201</v>
      </c>
      <c r="F325" s="14" t="s">
        <v>150</v>
      </c>
      <c r="G325" s="14" t="s">
        <v>151</v>
      </c>
      <c r="H325" s="14">
        <v>30</v>
      </c>
      <c r="I325" s="14"/>
      <c r="J325" s="14"/>
    </row>
    <row r="326" spans="1:10">
      <c r="A326" s="14">
        <f>IF(B326="","",COUNTA($B$4:B326))</f>
        <v>323</v>
      </c>
      <c r="B326" s="14" t="s">
        <v>1534</v>
      </c>
      <c r="C326" s="14" t="s">
        <v>203</v>
      </c>
      <c r="D326" s="14" t="s">
        <v>204</v>
      </c>
      <c r="E326" s="14" t="s">
        <v>203</v>
      </c>
      <c r="F326" s="14" t="s">
        <v>155</v>
      </c>
      <c r="G326" s="14" t="s">
        <v>156</v>
      </c>
      <c r="H326" s="14">
        <v>5</v>
      </c>
      <c r="I326" s="14">
        <v>2</v>
      </c>
      <c r="J326" s="14"/>
    </row>
    <row r="327" spans="1:10">
      <c r="A327" s="14">
        <f>IF(B327="","",COUNTA($B$4:B327))</f>
        <v>324</v>
      </c>
      <c r="B327" s="14" t="s">
        <v>1534</v>
      </c>
      <c r="C327" s="14" t="s">
        <v>205</v>
      </c>
      <c r="D327" s="14" t="s">
        <v>206</v>
      </c>
      <c r="E327" s="14" t="s">
        <v>205</v>
      </c>
      <c r="F327" s="14" t="s">
        <v>155</v>
      </c>
      <c r="G327" s="14" t="s">
        <v>156</v>
      </c>
      <c r="H327" s="14">
        <v>4</v>
      </c>
      <c r="I327" s="14"/>
      <c r="J327" s="14"/>
    </row>
    <row r="328" spans="1:10">
      <c r="A328" s="14">
        <f>IF(B328="","",COUNTA($B$4:B328))</f>
        <v>325</v>
      </c>
      <c r="B328" s="14" t="s">
        <v>1534</v>
      </c>
      <c r="C328" s="14" t="s">
        <v>208</v>
      </c>
      <c r="D328" s="14" t="s">
        <v>209</v>
      </c>
      <c r="E328" s="14" t="s">
        <v>208</v>
      </c>
      <c r="F328" s="14" t="s">
        <v>155</v>
      </c>
      <c r="G328" s="14" t="s">
        <v>156</v>
      </c>
      <c r="H328" s="14">
        <v>5</v>
      </c>
      <c r="I328" s="14"/>
      <c r="J328" s="14"/>
    </row>
    <row r="329" spans="1:10">
      <c r="A329" s="14">
        <f>IF(B329="","",COUNTA($B$4:B329))</f>
        <v>326</v>
      </c>
      <c r="B329" s="14" t="s">
        <v>1534</v>
      </c>
      <c r="C329" s="14" t="s">
        <v>621</v>
      </c>
      <c r="D329" s="14" t="s">
        <v>1399</v>
      </c>
      <c r="E329" s="14" t="s">
        <v>621</v>
      </c>
      <c r="F329" s="14" t="s">
        <v>150</v>
      </c>
      <c r="G329" s="14" t="s">
        <v>151</v>
      </c>
      <c r="H329" s="14">
        <v>30</v>
      </c>
      <c r="I329" s="14"/>
      <c r="J329" s="14"/>
    </row>
    <row r="330" spans="1:10">
      <c r="A330" s="14">
        <f>IF(B330="","",COUNTA($B$4:B330))</f>
        <v>327</v>
      </c>
      <c r="B330" s="14" t="s">
        <v>1534</v>
      </c>
      <c r="C330" s="14" t="s">
        <v>673</v>
      </c>
      <c r="D330" s="14" t="s">
        <v>1402</v>
      </c>
      <c r="E330" s="14" t="s">
        <v>673</v>
      </c>
      <c r="F330" s="14" t="s">
        <v>150</v>
      </c>
      <c r="G330" s="14" t="s">
        <v>151</v>
      </c>
      <c r="H330" s="14">
        <v>4</v>
      </c>
      <c r="I330" s="14"/>
      <c r="J330" s="14"/>
    </row>
    <row r="331" spans="1:10">
      <c r="A331" s="14">
        <f>IF(B331="","",COUNTA($B$4:B331))</f>
        <v>328</v>
      </c>
      <c r="B331" s="14" t="s">
        <v>1534</v>
      </c>
      <c r="C331" s="14" t="s">
        <v>309</v>
      </c>
      <c r="D331" s="14" t="s">
        <v>310</v>
      </c>
      <c r="E331" s="14" t="s">
        <v>309</v>
      </c>
      <c r="F331" s="14" t="s">
        <v>155</v>
      </c>
      <c r="G331" s="14" t="s">
        <v>156</v>
      </c>
      <c r="H331" s="14">
        <v>5</v>
      </c>
      <c r="I331" s="14"/>
      <c r="J331" s="14"/>
    </row>
    <row r="332" spans="1:10">
      <c r="A332" s="14">
        <f>IF(B332="","",COUNTA($B$4:B332))</f>
        <v>329</v>
      </c>
      <c r="B332" s="14" t="s">
        <v>1534</v>
      </c>
      <c r="C332" s="14" t="s">
        <v>211</v>
      </c>
      <c r="D332" s="14" t="s">
        <v>212</v>
      </c>
      <c r="E332" s="14" t="s">
        <v>211</v>
      </c>
      <c r="F332" s="14" t="s">
        <v>155</v>
      </c>
      <c r="G332" s="14" t="s">
        <v>156</v>
      </c>
      <c r="H332" s="14">
        <v>5</v>
      </c>
      <c r="I332" s="14"/>
      <c r="J332" s="14"/>
    </row>
    <row r="333" spans="1:10">
      <c r="A333" s="14">
        <f>IF(B333="","",COUNTA($B$4:B333))</f>
        <v>330</v>
      </c>
      <c r="B333" s="14" t="s">
        <v>1534</v>
      </c>
      <c r="C333" s="14" t="s">
        <v>356</v>
      </c>
      <c r="D333" s="14" t="s">
        <v>357</v>
      </c>
      <c r="E333" s="14" t="s">
        <v>356</v>
      </c>
      <c r="F333" s="14" t="s">
        <v>150</v>
      </c>
      <c r="G333" s="14" t="s">
        <v>151</v>
      </c>
      <c r="H333" s="14">
        <v>30</v>
      </c>
      <c r="I333" s="14"/>
      <c r="J333" s="14"/>
    </row>
    <row r="334" spans="1:10">
      <c r="A334" s="14">
        <f>IF(B334="","",COUNTA($B$4:B334))</f>
        <v>331</v>
      </c>
      <c r="B334" s="14" t="s">
        <v>1534</v>
      </c>
      <c r="C334" s="14" t="s">
        <v>311</v>
      </c>
      <c r="D334" s="14" t="s">
        <v>312</v>
      </c>
      <c r="E334" s="14" t="s">
        <v>311</v>
      </c>
      <c r="F334" s="14" t="s">
        <v>155</v>
      </c>
      <c r="G334" s="14" t="s">
        <v>156</v>
      </c>
      <c r="H334" s="14">
        <v>5</v>
      </c>
      <c r="I334" s="14"/>
      <c r="J334" s="14"/>
    </row>
    <row r="335" spans="1:10">
      <c r="A335" s="14">
        <f>IF(B335="","",COUNTA($B$4:B335))</f>
        <v>332</v>
      </c>
      <c r="B335" s="14" t="s">
        <v>1534</v>
      </c>
      <c r="C335" s="14" t="s">
        <v>1535</v>
      </c>
      <c r="D335" s="14" t="s">
        <v>359</v>
      </c>
      <c r="E335" s="14" t="s">
        <v>1535</v>
      </c>
      <c r="F335" s="14" t="s">
        <v>150</v>
      </c>
      <c r="G335" s="14" t="s">
        <v>151</v>
      </c>
      <c r="H335" s="14">
        <v>30</v>
      </c>
      <c r="I335" s="14"/>
      <c r="J335" s="14"/>
    </row>
    <row r="336" spans="1:10">
      <c r="A336" s="14">
        <f>IF(B336="","",COUNTA($B$4:B336))</f>
        <v>333</v>
      </c>
      <c r="B336" s="14" t="s">
        <v>1534</v>
      </c>
      <c r="C336" s="14" t="s">
        <v>1536</v>
      </c>
      <c r="D336" s="14" t="s">
        <v>361</v>
      </c>
      <c r="E336" s="14" t="s">
        <v>1536</v>
      </c>
      <c r="F336" s="14" t="s">
        <v>155</v>
      </c>
      <c r="G336" s="14" t="s">
        <v>156</v>
      </c>
      <c r="H336" s="14">
        <v>5</v>
      </c>
      <c r="I336" s="14"/>
      <c r="J336" s="14"/>
    </row>
    <row r="337" spans="1:10">
      <c r="A337" s="14">
        <f>IF(B337="","",COUNTA($B$4:B337))</f>
        <v>334</v>
      </c>
      <c r="B337" s="14" t="s">
        <v>1534</v>
      </c>
      <c r="C337" s="14" t="s">
        <v>1537</v>
      </c>
      <c r="D337" s="14" t="s">
        <v>363</v>
      </c>
      <c r="E337" s="14" t="s">
        <v>1537</v>
      </c>
      <c r="F337" s="14" t="s">
        <v>150</v>
      </c>
      <c r="G337" s="14" t="s">
        <v>151</v>
      </c>
      <c r="H337" s="14">
        <v>30</v>
      </c>
      <c r="I337" s="14"/>
      <c r="J337" s="14"/>
    </row>
    <row r="338" spans="1:10">
      <c r="A338" s="14">
        <f>IF(B338="","",COUNTA($B$4:B338))</f>
        <v>335</v>
      </c>
      <c r="B338" s="14" t="s">
        <v>1534</v>
      </c>
      <c r="C338" s="14" t="s">
        <v>228</v>
      </c>
      <c r="D338" s="14" t="s">
        <v>229</v>
      </c>
      <c r="E338" s="14" t="s">
        <v>228</v>
      </c>
      <c r="F338" s="14" t="s">
        <v>150</v>
      </c>
      <c r="G338" s="14" t="s">
        <v>151</v>
      </c>
      <c r="H338" s="14">
        <v>1000</v>
      </c>
      <c r="I338" s="14"/>
      <c r="J338" s="14"/>
    </row>
    <row r="339" spans="1:10">
      <c r="A339" s="14">
        <f>IF(B339="","",COUNTA($B$4:B339))</f>
        <v>336</v>
      </c>
      <c r="B339" s="14" t="s">
        <v>1534</v>
      </c>
      <c r="C339" s="14" t="s">
        <v>364</v>
      </c>
      <c r="D339" s="14" t="s">
        <v>365</v>
      </c>
      <c r="E339" s="14" t="s">
        <v>364</v>
      </c>
      <c r="F339" s="14" t="s">
        <v>155</v>
      </c>
      <c r="G339" s="14" t="s">
        <v>156</v>
      </c>
      <c r="H339" s="14">
        <v>3</v>
      </c>
      <c r="I339" s="14"/>
      <c r="J339" s="14"/>
    </row>
    <row r="340" spans="1:10">
      <c r="A340" s="14">
        <f>IF(B340="","",COUNTA($B$4:B340))</f>
        <v>337</v>
      </c>
      <c r="B340" s="14" t="s">
        <v>1534</v>
      </c>
      <c r="C340" s="14" t="s">
        <v>314</v>
      </c>
      <c r="D340" s="14" t="s">
        <v>315</v>
      </c>
      <c r="E340" s="14" t="s">
        <v>314</v>
      </c>
      <c r="F340" s="14" t="s">
        <v>150</v>
      </c>
      <c r="G340" s="14" t="s">
        <v>151</v>
      </c>
      <c r="H340" s="14">
        <v>5</v>
      </c>
      <c r="I340" s="14"/>
      <c r="J340" s="14"/>
    </row>
    <row r="341" spans="1:10">
      <c r="A341" s="14">
        <f>IF(B341="","",COUNTA($B$4:B341))</f>
        <v>338</v>
      </c>
      <c r="B341" s="14" t="s">
        <v>1534</v>
      </c>
      <c r="C341" s="14" t="s">
        <v>316</v>
      </c>
      <c r="D341" s="14" t="s">
        <v>317</v>
      </c>
      <c r="E341" s="14" t="s">
        <v>316</v>
      </c>
      <c r="F341" s="14" t="s">
        <v>150</v>
      </c>
      <c r="G341" s="14" t="s">
        <v>151</v>
      </c>
      <c r="H341" s="14">
        <v>20</v>
      </c>
      <c r="I341" s="14"/>
      <c r="J341" s="14"/>
    </row>
    <row r="342" spans="1:10">
      <c r="A342" s="14">
        <f>IF(B342="","",COUNTA($B$4:B342))</f>
        <v>339</v>
      </c>
      <c r="B342" s="14" t="s">
        <v>1534</v>
      </c>
      <c r="C342" s="14" t="s">
        <v>318</v>
      </c>
      <c r="D342" s="14" t="s">
        <v>319</v>
      </c>
      <c r="E342" s="14" t="s">
        <v>318</v>
      </c>
      <c r="F342" s="14" t="s">
        <v>150</v>
      </c>
      <c r="G342" s="14" t="s">
        <v>151</v>
      </c>
      <c r="H342" s="14">
        <v>30</v>
      </c>
      <c r="I342" s="14"/>
      <c r="J342" s="14"/>
    </row>
    <row r="343" spans="1:10">
      <c r="A343" s="14">
        <f>IF(B343="","",COUNTA($B$4:B343))</f>
        <v>340</v>
      </c>
      <c r="B343" s="14" t="s">
        <v>1534</v>
      </c>
      <c r="C343" s="14" t="s">
        <v>320</v>
      </c>
      <c r="D343" s="14" t="s">
        <v>321</v>
      </c>
      <c r="E343" s="14" t="s">
        <v>320</v>
      </c>
      <c r="F343" s="14" t="s">
        <v>155</v>
      </c>
      <c r="G343" s="14" t="s">
        <v>156</v>
      </c>
      <c r="H343" s="14">
        <v>5</v>
      </c>
      <c r="I343" s="14">
        <v>2</v>
      </c>
      <c r="J343" s="14"/>
    </row>
    <row r="344" spans="1:10">
      <c r="A344" s="14">
        <f>IF(B344="","",COUNTA($B$4:B344))</f>
        <v>341</v>
      </c>
      <c r="B344" s="14" t="s">
        <v>1534</v>
      </c>
      <c r="C344" s="14" t="s">
        <v>322</v>
      </c>
      <c r="D344" s="14" t="s">
        <v>323</v>
      </c>
      <c r="E344" s="14" t="s">
        <v>322</v>
      </c>
      <c r="F344" s="14" t="s">
        <v>155</v>
      </c>
      <c r="G344" s="14" t="s">
        <v>156</v>
      </c>
      <c r="H344" s="14">
        <v>4</v>
      </c>
      <c r="I344" s="14"/>
      <c r="J344" s="14"/>
    </row>
    <row r="345" spans="1:10">
      <c r="A345" s="14">
        <f>IF(B345="","",COUNTA($B$4:B345))</f>
        <v>342</v>
      </c>
      <c r="B345" s="14" t="s">
        <v>1534</v>
      </c>
      <c r="C345" s="14" t="s">
        <v>324</v>
      </c>
      <c r="D345" s="14" t="s">
        <v>325</v>
      </c>
      <c r="E345" s="14" t="s">
        <v>324</v>
      </c>
      <c r="F345" s="14" t="s">
        <v>155</v>
      </c>
      <c r="G345" s="14" t="s">
        <v>156</v>
      </c>
      <c r="H345" s="14">
        <v>5</v>
      </c>
      <c r="I345" s="14"/>
      <c r="J345" s="14"/>
    </row>
    <row r="346" spans="1:10">
      <c r="A346" s="14">
        <f>IF(B346="","",COUNTA($B$4:B346))</f>
        <v>343</v>
      </c>
      <c r="B346" s="14" t="s">
        <v>1534</v>
      </c>
      <c r="C346" s="14" t="s">
        <v>326</v>
      </c>
      <c r="D346" s="14" t="s">
        <v>327</v>
      </c>
      <c r="E346" s="14" t="s">
        <v>326</v>
      </c>
      <c r="F346" s="14" t="s">
        <v>155</v>
      </c>
      <c r="G346" s="14" t="s">
        <v>156</v>
      </c>
      <c r="H346" s="14">
        <v>5</v>
      </c>
      <c r="I346" s="14"/>
      <c r="J346" s="14"/>
    </row>
    <row r="347" spans="1:10">
      <c r="A347" s="14">
        <f>IF(B347="","",COUNTA($B$4:B347))</f>
        <v>344</v>
      </c>
      <c r="B347" s="14" t="s">
        <v>1534</v>
      </c>
      <c r="C347" s="14" t="s">
        <v>328</v>
      </c>
      <c r="D347" s="14" t="s">
        <v>329</v>
      </c>
      <c r="E347" s="14" t="s">
        <v>328</v>
      </c>
      <c r="F347" s="14" t="s">
        <v>150</v>
      </c>
      <c r="G347" s="14" t="s">
        <v>151</v>
      </c>
      <c r="H347" s="14">
        <v>1000</v>
      </c>
      <c r="I347" s="14"/>
      <c r="J347" s="14"/>
    </row>
    <row r="348" spans="1:10">
      <c r="A348" s="14">
        <f>IF(B348="","",COUNTA($B$4:B348))</f>
        <v>345</v>
      </c>
      <c r="B348" s="14" t="s">
        <v>1534</v>
      </c>
      <c r="C348" s="14" t="s">
        <v>294</v>
      </c>
      <c r="D348" s="14" t="s">
        <v>295</v>
      </c>
      <c r="E348" s="14" t="s">
        <v>294</v>
      </c>
      <c r="F348" s="14" t="s">
        <v>155</v>
      </c>
      <c r="G348" s="14" t="s">
        <v>156</v>
      </c>
      <c r="H348" s="14">
        <v>5</v>
      </c>
      <c r="I348" s="14"/>
      <c r="J348" s="14"/>
    </row>
    <row r="349" spans="1:10">
      <c r="A349" s="14">
        <f>IF(B349="","",COUNTA($B$4:B349))</f>
        <v>346</v>
      </c>
      <c r="B349" s="14" t="s">
        <v>1534</v>
      </c>
      <c r="C349" s="14" t="s">
        <v>332</v>
      </c>
      <c r="D349" s="14" t="s">
        <v>333</v>
      </c>
      <c r="E349" s="14" t="s">
        <v>332</v>
      </c>
      <c r="F349" s="14" t="s">
        <v>155</v>
      </c>
      <c r="G349" s="14" t="s">
        <v>156</v>
      </c>
      <c r="H349" s="14">
        <v>1</v>
      </c>
      <c r="I349" s="14"/>
      <c r="J349" s="14"/>
    </row>
    <row r="350" spans="1:10">
      <c r="A350" s="14">
        <f>IF(B350="","",COUNTA($B$4:B350))</f>
        <v>347</v>
      </c>
      <c r="B350" s="14" t="s">
        <v>1534</v>
      </c>
      <c r="C350" s="14" t="s">
        <v>335</v>
      </c>
      <c r="D350" s="14" t="s">
        <v>336</v>
      </c>
      <c r="E350" s="14" t="s">
        <v>335</v>
      </c>
      <c r="F350" s="14" t="s">
        <v>155</v>
      </c>
      <c r="G350" s="14" t="s">
        <v>156</v>
      </c>
      <c r="H350" s="14">
        <v>1</v>
      </c>
      <c r="I350" s="14"/>
      <c r="J350" s="14"/>
    </row>
    <row r="351" spans="1:10">
      <c r="A351" s="14">
        <f>IF(B351="","",COUNTA($B$4:B351))</f>
        <v>348</v>
      </c>
      <c r="B351" s="14" t="s">
        <v>1534</v>
      </c>
      <c r="C351" s="14" t="s">
        <v>366</v>
      </c>
      <c r="D351" s="14" t="s">
        <v>367</v>
      </c>
      <c r="E351" s="14" t="s">
        <v>366</v>
      </c>
      <c r="F351" s="14" t="s">
        <v>169</v>
      </c>
      <c r="G351" s="14" t="s">
        <v>170</v>
      </c>
      <c r="H351" s="14"/>
      <c r="I351" s="14"/>
      <c r="J351" s="14"/>
    </row>
    <row r="352" spans="1:10">
      <c r="A352" s="14">
        <f>IF(B352="","",COUNTA($B$4:B352))</f>
        <v>349</v>
      </c>
      <c r="B352" s="14" t="s">
        <v>1534</v>
      </c>
      <c r="C352" s="14" t="s">
        <v>368</v>
      </c>
      <c r="D352" s="14" t="s">
        <v>369</v>
      </c>
      <c r="E352" s="14" t="s">
        <v>368</v>
      </c>
      <c r="F352" s="14" t="s">
        <v>155</v>
      </c>
      <c r="G352" s="14" t="s">
        <v>156</v>
      </c>
      <c r="H352" s="14">
        <v>1</v>
      </c>
      <c r="I352" s="14"/>
      <c r="J352" s="14"/>
    </row>
    <row r="353" spans="1:10">
      <c r="A353" s="14">
        <f>IF(B353="","",COUNTA($B$4:B353))</f>
        <v>350</v>
      </c>
      <c r="B353" s="14" t="s">
        <v>1534</v>
      </c>
      <c r="C353" s="14" t="s">
        <v>370</v>
      </c>
      <c r="D353" s="14" t="s">
        <v>371</v>
      </c>
      <c r="E353" s="14" t="s">
        <v>370</v>
      </c>
      <c r="F353" s="14" t="s">
        <v>169</v>
      </c>
      <c r="G353" s="14" t="s">
        <v>170</v>
      </c>
      <c r="H353" s="14"/>
      <c r="I353" s="14"/>
      <c r="J353" s="14"/>
    </row>
    <row r="354" spans="1:10">
      <c r="A354" s="14">
        <f>IF(B354="","",COUNTA($B$4:B354))</f>
        <v>351</v>
      </c>
      <c r="B354" s="14" t="s">
        <v>1534</v>
      </c>
      <c r="C354" s="14" t="s">
        <v>372</v>
      </c>
      <c r="D354" s="14" t="s">
        <v>373</v>
      </c>
      <c r="E354" s="14" t="s">
        <v>372</v>
      </c>
      <c r="F354" s="14" t="s">
        <v>169</v>
      </c>
      <c r="G354" s="14" t="s">
        <v>170</v>
      </c>
      <c r="H354" s="14"/>
      <c r="I354" s="14"/>
      <c r="J354" s="14"/>
    </row>
    <row r="355" spans="1:10">
      <c r="A355" s="14">
        <f>IF(B355="","",COUNTA($B$4:B355))</f>
        <v>352</v>
      </c>
      <c r="B355" s="14" t="s">
        <v>1534</v>
      </c>
      <c r="C355" s="14" t="s">
        <v>239</v>
      </c>
      <c r="D355" s="14" t="s">
        <v>240</v>
      </c>
      <c r="E355" s="14" t="s">
        <v>239</v>
      </c>
      <c r="F355" s="14" t="s">
        <v>169</v>
      </c>
      <c r="G355" s="14" t="s">
        <v>170</v>
      </c>
      <c r="H355" s="14"/>
      <c r="I355" s="14"/>
      <c r="J355" s="14"/>
    </row>
    <row r="356" spans="1:10">
      <c r="A356" s="14">
        <f>IF(B356="","",COUNTA($B$4:B356))</f>
        <v>353</v>
      </c>
      <c r="B356" s="14" t="s">
        <v>1534</v>
      </c>
      <c r="C356" s="14" t="s">
        <v>253</v>
      </c>
      <c r="D356" s="14" t="s">
        <v>254</v>
      </c>
      <c r="E356" s="14" t="s">
        <v>253</v>
      </c>
      <c r="F356" s="14" t="s">
        <v>150</v>
      </c>
      <c r="G356" s="14" t="s">
        <v>151</v>
      </c>
      <c r="H356" s="14">
        <v>10</v>
      </c>
      <c r="I356" s="14"/>
      <c r="J356" s="14"/>
    </row>
    <row r="357" spans="1:10">
      <c r="A357" s="14">
        <f>IF(B357="","",COUNTA($B$4:B357))</f>
        <v>354</v>
      </c>
      <c r="B357" s="14" t="s">
        <v>1534</v>
      </c>
      <c r="C357" s="14" t="s">
        <v>255</v>
      </c>
      <c r="D357" s="14" t="s">
        <v>256</v>
      </c>
      <c r="E357" s="14" t="s">
        <v>255</v>
      </c>
      <c r="F357" s="14" t="s">
        <v>150</v>
      </c>
      <c r="G357" s="14" t="s">
        <v>151</v>
      </c>
      <c r="H357" s="14">
        <v>10</v>
      </c>
      <c r="I357" s="14"/>
      <c r="J357" s="14"/>
    </row>
    <row r="358" spans="1:10">
      <c r="A358" s="14">
        <f>IF(B358="","",COUNTA($B$4:B358))</f>
        <v>355</v>
      </c>
      <c r="B358" s="14" t="s">
        <v>1534</v>
      </c>
      <c r="C358" s="14" t="s">
        <v>257</v>
      </c>
      <c r="D358" s="14" t="s">
        <v>258</v>
      </c>
      <c r="E358" s="14" t="s">
        <v>257</v>
      </c>
      <c r="F358" s="14" t="s">
        <v>169</v>
      </c>
      <c r="G358" s="14" t="s">
        <v>243</v>
      </c>
      <c r="H358" s="14"/>
      <c r="I358" s="14"/>
      <c r="J358" s="14"/>
    </row>
    <row r="359" spans="1:10">
      <c r="A359" s="14">
        <f>IF(B359="","",COUNTA($B$4:B359))</f>
        <v>356</v>
      </c>
      <c r="B359" s="14" t="s">
        <v>1534</v>
      </c>
      <c r="C359" s="14" t="s">
        <v>259</v>
      </c>
      <c r="D359" s="14" t="s">
        <v>260</v>
      </c>
      <c r="E359" s="14" t="s">
        <v>259</v>
      </c>
      <c r="F359" s="14" t="s">
        <v>150</v>
      </c>
      <c r="G359" s="14" t="s">
        <v>151</v>
      </c>
      <c r="H359" s="14">
        <v>10</v>
      </c>
      <c r="I359" s="14"/>
      <c r="J359" s="14"/>
    </row>
    <row r="360" spans="1:10">
      <c r="A360" s="14">
        <f>IF(B360="","",COUNTA($B$4:B360))</f>
        <v>357</v>
      </c>
      <c r="B360" s="14" t="s">
        <v>1534</v>
      </c>
      <c r="C360" s="14" t="s">
        <v>261</v>
      </c>
      <c r="D360" s="14" t="s">
        <v>262</v>
      </c>
      <c r="E360" s="14" t="s">
        <v>261</v>
      </c>
      <c r="F360" s="14" t="s">
        <v>150</v>
      </c>
      <c r="G360" s="14" t="s">
        <v>151</v>
      </c>
      <c r="H360" s="14">
        <v>10</v>
      </c>
      <c r="I360" s="14"/>
      <c r="J360" s="14"/>
    </row>
    <row r="361" spans="1:10">
      <c r="A361" s="14">
        <f>IF(B361="","",COUNTA($B$4:B361))</f>
        <v>358</v>
      </c>
      <c r="B361" s="14" t="s">
        <v>1534</v>
      </c>
      <c r="C361" s="14" t="s">
        <v>263</v>
      </c>
      <c r="D361" s="14" t="s">
        <v>264</v>
      </c>
      <c r="E361" s="14" t="s">
        <v>263</v>
      </c>
      <c r="F361" s="14" t="s">
        <v>169</v>
      </c>
      <c r="G361" s="14" t="s">
        <v>243</v>
      </c>
      <c r="H361" s="14"/>
      <c r="I361" s="14"/>
      <c r="J361" s="14"/>
    </row>
    <row r="362" spans="1:10">
      <c r="A362" s="14">
        <f>IF(B362="","",COUNTA($B$4:B362))</f>
        <v>359</v>
      </c>
      <c r="B362" s="14" t="s">
        <v>1538</v>
      </c>
      <c r="C362" s="14" t="s">
        <v>148</v>
      </c>
      <c r="D362" s="14" t="s">
        <v>149</v>
      </c>
      <c r="E362" s="14" t="s">
        <v>148</v>
      </c>
      <c r="F362" s="14" t="s">
        <v>150</v>
      </c>
      <c r="G362" s="14" t="s">
        <v>151</v>
      </c>
      <c r="H362" s="14">
        <v>15</v>
      </c>
      <c r="I362" s="14"/>
      <c r="J362" s="14"/>
    </row>
    <row r="363" spans="1:10">
      <c r="A363" s="14">
        <f>IF(B363="","",COUNTA($B$4:B363))</f>
        <v>360</v>
      </c>
      <c r="B363" s="14" t="s">
        <v>1538</v>
      </c>
      <c r="C363" s="14" t="s">
        <v>159</v>
      </c>
      <c r="D363" s="14" t="s">
        <v>160</v>
      </c>
      <c r="E363" s="14" t="s">
        <v>159</v>
      </c>
      <c r="F363" s="14" t="s">
        <v>150</v>
      </c>
      <c r="G363" s="14" t="s">
        <v>151</v>
      </c>
      <c r="H363" s="14">
        <v>4</v>
      </c>
      <c r="I363" s="14"/>
      <c r="J363" s="14"/>
    </row>
    <row r="364" spans="1:10">
      <c r="A364" s="14">
        <f>IF(B364="","",COUNTA($B$4:B364))</f>
        <v>361</v>
      </c>
      <c r="B364" s="14" t="s">
        <v>1538</v>
      </c>
      <c r="C364" s="14" t="s">
        <v>162</v>
      </c>
      <c r="D364" s="14" t="s">
        <v>163</v>
      </c>
      <c r="E364" s="14" t="s">
        <v>164</v>
      </c>
      <c r="F364" s="14" t="s">
        <v>150</v>
      </c>
      <c r="G364" s="14" t="s">
        <v>151</v>
      </c>
      <c r="H364" s="14">
        <v>4</v>
      </c>
      <c r="I364" s="14"/>
      <c r="J364" s="14"/>
    </row>
    <row r="365" spans="1:10">
      <c r="A365" s="14">
        <f>IF(B365="","",COUNTA($B$4:B365))</f>
        <v>362</v>
      </c>
      <c r="B365" s="14" t="s">
        <v>1538</v>
      </c>
      <c r="C365" s="14" t="s">
        <v>193</v>
      </c>
      <c r="D365" s="14" t="s">
        <v>194</v>
      </c>
      <c r="E365" s="14" t="s">
        <v>193</v>
      </c>
      <c r="F365" s="14" t="s">
        <v>150</v>
      </c>
      <c r="G365" s="14" t="s">
        <v>151</v>
      </c>
      <c r="H365" s="14">
        <v>5</v>
      </c>
      <c r="I365" s="14"/>
      <c r="J365" s="14"/>
    </row>
    <row r="366" spans="1:10">
      <c r="A366" s="14">
        <f>IF(B366="","",COUNTA($B$4:B366))</f>
        <v>363</v>
      </c>
      <c r="B366" s="14" t="s">
        <v>1538</v>
      </c>
      <c r="C366" s="14" t="s">
        <v>195</v>
      </c>
      <c r="D366" s="14" t="s">
        <v>196</v>
      </c>
      <c r="E366" s="14" t="s">
        <v>195</v>
      </c>
      <c r="F366" s="14" t="s">
        <v>150</v>
      </c>
      <c r="G366" s="14" t="s">
        <v>151</v>
      </c>
      <c r="H366" s="14">
        <v>80</v>
      </c>
      <c r="I366" s="14"/>
      <c r="J366" s="14"/>
    </row>
    <row r="367" spans="1:10">
      <c r="A367" s="14">
        <f>IF(B367="","",COUNTA($B$4:B367))</f>
        <v>364</v>
      </c>
      <c r="B367" s="14" t="s">
        <v>1538</v>
      </c>
      <c r="C367" s="14" t="s">
        <v>197</v>
      </c>
      <c r="D367" s="14" t="s">
        <v>198</v>
      </c>
      <c r="E367" s="14" t="s">
        <v>197</v>
      </c>
      <c r="F367" s="14" t="s">
        <v>150</v>
      </c>
      <c r="G367" s="14" t="s">
        <v>151</v>
      </c>
      <c r="H367" s="14">
        <v>5</v>
      </c>
      <c r="I367" s="14"/>
      <c r="J367" s="14"/>
    </row>
    <row r="368" spans="1:10">
      <c r="A368" s="14">
        <f>IF(B368="","",COUNTA($B$4:B368))</f>
        <v>365</v>
      </c>
      <c r="B368" s="14" t="s">
        <v>1538</v>
      </c>
      <c r="C368" s="14" t="s">
        <v>199</v>
      </c>
      <c r="D368" s="14" t="s">
        <v>200</v>
      </c>
      <c r="E368" s="14" t="s">
        <v>199</v>
      </c>
      <c r="F368" s="14" t="s">
        <v>150</v>
      </c>
      <c r="G368" s="14" t="s">
        <v>151</v>
      </c>
      <c r="H368" s="14">
        <v>20</v>
      </c>
      <c r="I368" s="14"/>
      <c r="J368" s="14"/>
    </row>
    <row r="369" spans="1:10">
      <c r="A369" s="14">
        <f>IF(B369="","",COUNTA($B$4:B369))</f>
        <v>366</v>
      </c>
      <c r="B369" s="14" t="s">
        <v>1538</v>
      </c>
      <c r="C369" s="14" t="s">
        <v>201</v>
      </c>
      <c r="D369" s="14" t="s">
        <v>202</v>
      </c>
      <c r="E369" s="14" t="s">
        <v>201</v>
      </c>
      <c r="F369" s="14" t="s">
        <v>150</v>
      </c>
      <c r="G369" s="14" t="s">
        <v>151</v>
      </c>
      <c r="H369" s="14">
        <v>30</v>
      </c>
      <c r="I369" s="14"/>
      <c r="J369" s="14"/>
    </row>
    <row r="370" spans="1:10">
      <c r="A370" s="14">
        <f>IF(B370="","",COUNTA($B$4:B370))</f>
        <v>367</v>
      </c>
      <c r="B370" s="14" t="s">
        <v>1538</v>
      </c>
      <c r="C370" s="14" t="s">
        <v>203</v>
      </c>
      <c r="D370" s="14" t="s">
        <v>204</v>
      </c>
      <c r="E370" s="14" t="s">
        <v>203</v>
      </c>
      <c r="F370" s="14" t="s">
        <v>155</v>
      </c>
      <c r="G370" s="14" t="s">
        <v>156</v>
      </c>
      <c r="H370" s="14">
        <v>5</v>
      </c>
      <c r="I370" s="14">
        <v>2</v>
      </c>
      <c r="J370" s="14"/>
    </row>
    <row r="371" spans="1:10">
      <c r="A371" s="14">
        <f>IF(B371="","",COUNTA($B$4:B371))</f>
        <v>368</v>
      </c>
      <c r="B371" s="14" t="s">
        <v>1538</v>
      </c>
      <c r="C371" s="14" t="s">
        <v>205</v>
      </c>
      <c r="D371" s="14" t="s">
        <v>206</v>
      </c>
      <c r="E371" s="14" t="s">
        <v>205</v>
      </c>
      <c r="F371" s="14" t="s">
        <v>155</v>
      </c>
      <c r="G371" s="14" t="s">
        <v>156</v>
      </c>
      <c r="H371" s="14">
        <v>4</v>
      </c>
      <c r="I371" s="14"/>
      <c r="J371" s="14"/>
    </row>
    <row r="372" spans="1:10">
      <c r="A372" s="14">
        <f>IF(B372="","",COUNTA($B$4:B372))</f>
        <v>369</v>
      </c>
      <c r="B372" s="14" t="s">
        <v>1538</v>
      </c>
      <c r="C372" s="14" t="s">
        <v>208</v>
      </c>
      <c r="D372" s="14" t="s">
        <v>209</v>
      </c>
      <c r="E372" s="14" t="s">
        <v>208</v>
      </c>
      <c r="F372" s="14" t="s">
        <v>155</v>
      </c>
      <c r="G372" s="14" t="s">
        <v>156</v>
      </c>
      <c r="H372" s="14">
        <v>5</v>
      </c>
      <c r="I372" s="14"/>
      <c r="J372" s="14"/>
    </row>
    <row r="373" spans="1:10">
      <c r="A373" s="14">
        <f>IF(B373="","",COUNTA($B$4:B373))</f>
        <v>370</v>
      </c>
      <c r="B373" s="14" t="s">
        <v>1538</v>
      </c>
      <c r="C373" s="14" t="s">
        <v>228</v>
      </c>
      <c r="D373" s="14" t="s">
        <v>229</v>
      </c>
      <c r="E373" s="14" t="s">
        <v>228</v>
      </c>
      <c r="F373" s="14" t="s">
        <v>150</v>
      </c>
      <c r="G373" s="14" t="s">
        <v>151</v>
      </c>
      <c r="H373" s="14">
        <v>1000</v>
      </c>
      <c r="I373" s="14"/>
      <c r="J373" s="14"/>
    </row>
    <row r="374" spans="1:10">
      <c r="A374" s="14">
        <f>IF(B374="","",COUNTA($B$4:B374))</f>
        <v>371</v>
      </c>
      <c r="B374" s="14" t="s">
        <v>1538</v>
      </c>
      <c r="C374" s="14" t="s">
        <v>1423</v>
      </c>
      <c r="D374" s="14" t="s">
        <v>1378</v>
      </c>
      <c r="E374" s="14" t="s">
        <v>1423</v>
      </c>
      <c r="F374" s="14" t="s">
        <v>150</v>
      </c>
      <c r="G374" s="14" t="s">
        <v>151</v>
      </c>
      <c r="H374" s="14">
        <v>15</v>
      </c>
      <c r="I374" s="14"/>
      <c r="J374" s="14"/>
    </row>
    <row r="375" spans="1:10">
      <c r="A375" s="14">
        <f>IF(B375="","",COUNTA($B$4:B375))</f>
        <v>372</v>
      </c>
      <c r="B375" s="14" t="s">
        <v>1538</v>
      </c>
      <c r="C375" s="14" t="s">
        <v>1539</v>
      </c>
      <c r="D375" s="14" t="s">
        <v>1478</v>
      </c>
      <c r="E375" s="14" t="s">
        <v>1539</v>
      </c>
      <c r="F375" s="14" t="s">
        <v>155</v>
      </c>
      <c r="G375" s="14" t="s">
        <v>156</v>
      </c>
      <c r="H375" s="14">
        <v>3</v>
      </c>
      <c r="I375" s="14" t="s">
        <v>244</v>
      </c>
      <c r="J375" s="14"/>
    </row>
    <row r="376" spans="1:10">
      <c r="A376" s="14">
        <f>IF(B376="","",COUNTA($B$4:B376))</f>
        <v>373</v>
      </c>
      <c r="B376" s="14" t="s">
        <v>1538</v>
      </c>
      <c r="C376" s="14" t="s">
        <v>1424</v>
      </c>
      <c r="D376" s="14" t="s">
        <v>1540</v>
      </c>
      <c r="E376" s="14" t="s">
        <v>1424</v>
      </c>
      <c r="F376" s="14" t="s">
        <v>155</v>
      </c>
      <c r="G376" s="14" t="s">
        <v>156</v>
      </c>
      <c r="H376" s="14">
        <v>5</v>
      </c>
      <c r="I376" s="14" t="s">
        <v>244</v>
      </c>
      <c r="J376" s="14"/>
    </row>
    <row r="377" spans="1:10">
      <c r="A377" s="14">
        <f>IF(B377="","",COUNTA($B$4:B377))</f>
        <v>374</v>
      </c>
      <c r="B377" s="14" t="s">
        <v>1538</v>
      </c>
      <c r="C377" s="14" t="s">
        <v>1385</v>
      </c>
      <c r="D377" s="14" t="s">
        <v>1541</v>
      </c>
      <c r="E377" s="14" t="s">
        <v>1385</v>
      </c>
      <c r="F377" s="14" t="s">
        <v>155</v>
      </c>
      <c r="G377" s="14" t="s">
        <v>156</v>
      </c>
      <c r="H377" s="14">
        <v>5</v>
      </c>
      <c r="I377" s="14" t="s">
        <v>244</v>
      </c>
      <c r="J377" s="14"/>
    </row>
    <row r="378" spans="1:10">
      <c r="A378" s="14">
        <f>IF(B378="","",COUNTA($B$4:B378))</f>
        <v>375</v>
      </c>
      <c r="B378" s="14" t="s">
        <v>1538</v>
      </c>
      <c r="C378" s="14" t="s">
        <v>1386</v>
      </c>
      <c r="D378" s="14" t="s">
        <v>1542</v>
      </c>
      <c r="E378" s="14" t="s">
        <v>1386</v>
      </c>
      <c r="F378" s="14" t="s">
        <v>155</v>
      </c>
      <c r="G378" s="14" t="s">
        <v>156</v>
      </c>
      <c r="H378" s="14">
        <v>5</v>
      </c>
      <c r="I378" s="14" t="s">
        <v>244</v>
      </c>
      <c r="J378" s="14"/>
    </row>
    <row r="379" spans="1:10">
      <c r="A379" s="14">
        <f>IF(B379="","",COUNTA($B$4:B379))</f>
        <v>376</v>
      </c>
      <c r="B379" s="14" t="s">
        <v>1538</v>
      </c>
      <c r="C379" s="14" t="s">
        <v>1543</v>
      </c>
      <c r="D379" s="14" t="s">
        <v>1544</v>
      </c>
      <c r="E379" s="14" t="s">
        <v>1543</v>
      </c>
      <c r="F379" s="14" t="s">
        <v>155</v>
      </c>
      <c r="G379" s="14" t="s">
        <v>156</v>
      </c>
      <c r="H379" s="14">
        <v>3</v>
      </c>
      <c r="I379" s="14" t="s">
        <v>244</v>
      </c>
      <c r="J379" s="14"/>
    </row>
    <row r="380" spans="1:10">
      <c r="A380" s="14">
        <f>IF(B380="","",COUNTA($B$4:B380))</f>
        <v>377</v>
      </c>
      <c r="B380" s="14" t="s">
        <v>1538</v>
      </c>
      <c r="C380" s="14" t="s">
        <v>375</v>
      </c>
      <c r="D380" s="14" t="s">
        <v>376</v>
      </c>
      <c r="E380" s="14" t="s">
        <v>375</v>
      </c>
      <c r="F380" s="14" t="s">
        <v>169</v>
      </c>
      <c r="G380" s="14" t="s">
        <v>170</v>
      </c>
      <c r="H380" s="14"/>
      <c r="I380" s="14"/>
      <c r="J380" s="14"/>
    </row>
    <row r="381" spans="1:10">
      <c r="A381" s="14">
        <f>IF(B381="","",COUNTA($B$4:B381))</f>
        <v>378</v>
      </c>
      <c r="B381" s="14" t="s">
        <v>1538</v>
      </c>
      <c r="C381" s="14" t="s">
        <v>249</v>
      </c>
      <c r="D381" s="14" t="s">
        <v>250</v>
      </c>
      <c r="E381" s="14" t="s">
        <v>249</v>
      </c>
      <c r="F381" s="14" t="s">
        <v>150</v>
      </c>
      <c r="G381" s="14" t="s">
        <v>151</v>
      </c>
      <c r="H381" s="14">
        <v>4</v>
      </c>
      <c r="I381" s="14"/>
      <c r="J381" s="14"/>
    </row>
    <row r="382" spans="1:10">
      <c r="A382" s="14">
        <f>IF(B382="","",COUNTA($B$4:B382))</f>
        <v>379</v>
      </c>
      <c r="B382" s="14" t="s">
        <v>1538</v>
      </c>
      <c r="C382" s="14" t="s">
        <v>251</v>
      </c>
      <c r="D382" s="14" t="s">
        <v>252</v>
      </c>
      <c r="E382" s="14" t="s">
        <v>251</v>
      </c>
      <c r="F382" s="14" t="s">
        <v>150</v>
      </c>
      <c r="G382" s="14" t="s">
        <v>151</v>
      </c>
      <c r="H382" s="14">
        <v>4</v>
      </c>
      <c r="I382" s="14"/>
      <c r="J382" s="14"/>
    </row>
    <row r="383" spans="1:10">
      <c r="A383" s="14">
        <f>IF(B383="","",COUNTA($B$4:B383))</f>
        <v>380</v>
      </c>
      <c r="B383" s="14" t="s">
        <v>1538</v>
      </c>
      <c r="C383" s="14" t="s">
        <v>253</v>
      </c>
      <c r="D383" s="14" t="s">
        <v>254</v>
      </c>
      <c r="E383" s="14" t="s">
        <v>253</v>
      </c>
      <c r="F383" s="14" t="s">
        <v>150</v>
      </c>
      <c r="G383" s="14" t="s">
        <v>151</v>
      </c>
      <c r="H383" s="14">
        <v>10</v>
      </c>
      <c r="I383" s="14"/>
      <c r="J383" s="14"/>
    </row>
    <row r="384" spans="1:10">
      <c r="A384" s="14">
        <f>IF(B384="","",COUNTA($B$4:B384))</f>
        <v>381</v>
      </c>
      <c r="B384" s="14" t="s">
        <v>1538</v>
      </c>
      <c r="C384" s="14" t="s">
        <v>255</v>
      </c>
      <c r="D384" s="14" t="s">
        <v>256</v>
      </c>
      <c r="E384" s="14" t="s">
        <v>255</v>
      </c>
      <c r="F384" s="14" t="s">
        <v>150</v>
      </c>
      <c r="G384" s="14" t="s">
        <v>151</v>
      </c>
      <c r="H384" s="14">
        <v>10</v>
      </c>
      <c r="I384" s="14"/>
      <c r="J384" s="14"/>
    </row>
    <row r="385" spans="1:10">
      <c r="A385" s="14">
        <f>IF(B385="","",COUNTA($B$4:B385))</f>
        <v>382</v>
      </c>
      <c r="B385" s="14" t="s">
        <v>1538</v>
      </c>
      <c r="C385" s="14" t="s">
        <v>257</v>
      </c>
      <c r="D385" s="14" t="s">
        <v>258</v>
      </c>
      <c r="E385" s="14" t="s">
        <v>257</v>
      </c>
      <c r="F385" s="14" t="s">
        <v>169</v>
      </c>
      <c r="G385" s="14" t="s">
        <v>243</v>
      </c>
      <c r="H385" s="14"/>
      <c r="I385" s="14"/>
      <c r="J385" s="14"/>
    </row>
    <row r="386" spans="1:10">
      <c r="A386" s="14">
        <f>IF(B386="","",COUNTA($B$4:B386))</f>
        <v>383</v>
      </c>
      <c r="B386" s="14" t="s">
        <v>1538</v>
      </c>
      <c r="C386" s="14" t="s">
        <v>259</v>
      </c>
      <c r="D386" s="14" t="s">
        <v>260</v>
      </c>
      <c r="E386" s="14" t="s">
        <v>259</v>
      </c>
      <c r="F386" s="14" t="s">
        <v>150</v>
      </c>
      <c r="G386" s="14" t="s">
        <v>151</v>
      </c>
      <c r="H386" s="14">
        <v>10</v>
      </c>
      <c r="I386" s="14"/>
      <c r="J386" s="14"/>
    </row>
    <row r="387" spans="1:10">
      <c r="A387" s="14">
        <f>IF(B387="","",COUNTA($B$4:B387))</f>
        <v>384</v>
      </c>
      <c r="B387" s="14" t="s">
        <v>1538</v>
      </c>
      <c r="C387" s="14" t="s">
        <v>261</v>
      </c>
      <c r="D387" s="14" t="s">
        <v>262</v>
      </c>
      <c r="E387" s="14" t="s">
        <v>261</v>
      </c>
      <c r="F387" s="14" t="s">
        <v>150</v>
      </c>
      <c r="G387" s="14" t="s">
        <v>151</v>
      </c>
      <c r="H387" s="14">
        <v>10</v>
      </c>
      <c r="I387" s="14"/>
      <c r="J387" s="14"/>
    </row>
    <row r="388" spans="1:10">
      <c r="A388" s="14">
        <f>IF(B388="","",COUNTA($B$4:B388))</f>
        <v>385</v>
      </c>
      <c r="B388" s="14" t="s">
        <v>1538</v>
      </c>
      <c r="C388" s="14" t="s">
        <v>263</v>
      </c>
      <c r="D388" s="14" t="s">
        <v>264</v>
      </c>
      <c r="E388" s="14" t="s">
        <v>263</v>
      </c>
      <c r="F388" s="14" t="s">
        <v>169</v>
      </c>
      <c r="G388" s="14" t="s">
        <v>243</v>
      </c>
      <c r="H388" s="14"/>
      <c r="I388" s="14"/>
      <c r="J388" s="14"/>
    </row>
    <row r="389" spans="1:10">
      <c r="A389" s="14">
        <f>IF(B389="","",COUNTA($B$4:B389))</f>
        <v>386</v>
      </c>
      <c r="B389" s="14" t="s">
        <v>1545</v>
      </c>
      <c r="C389" s="14" t="s">
        <v>148</v>
      </c>
      <c r="D389" s="14" t="s">
        <v>149</v>
      </c>
      <c r="E389" s="14" t="s">
        <v>148</v>
      </c>
      <c r="F389" s="14" t="s">
        <v>150</v>
      </c>
      <c r="G389" s="14" t="s">
        <v>151</v>
      </c>
      <c r="H389" s="14">
        <v>15</v>
      </c>
      <c r="I389" s="14"/>
      <c r="J389" s="14"/>
    </row>
    <row r="390" spans="1:10">
      <c r="A390" s="14">
        <f>IF(B390="","",COUNTA($B$4:B390))</f>
        <v>387</v>
      </c>
      <c r="B390" s="14" t="s">
        <v>1545</v>
      </c>
      <c r="C390" s="14" t="s">
        <v>381</v>
      </c>
      <c r="D390" s="14" t="s">
        <v>382</v>
      </c>
      <c r="E390" s="14" t="s">
        <v>381</v>
      </c>
      <c r="F390" s="14" t="s">
        <v>150</v>
      </c>
      <c r="G390" s="14" t="s">
        <v>151</v>
      </c>
      <c r="H390" s="14">
        <v>30</v>
      </c>
      <c r="I390" s="14"/>
      <c r="J390" s="14"/>
    </row>
    <row r="391" spans="1:10">
      <c r="A391" s="14">
        <f>IF(B391="","",COUNTA($B$4:B391))</f>
        <v>388</v>
      </c>
      <c r="B391" s="14" t="s">
        <v>1545</v>
      </c>
      <c r="C391" s="14" t="s">
        <v>338</v>
      </c>
      <c r="D391" s="14" t="s">
        <v>339</v>
      </c>
      <c r="E391" s="14" t="s">
        <v>338</v>
      </c>
      <c r="F391" s="14" t="s">
        <v>155</v>
      </c>
      <c r="G391" s="14" t="s">
        <v>156</v>
      </c>
      <c r="H391" s="14">
        <v>3</v>
      </c>
      <c r="I391" s="14"/>
      <c r="J391" s="14"/>
    </row>
    <row r="392" spans="1:10">
      <c r="A392" s="14">
        <f>IF(B392="","",COUNTA($B$4:B392))</f>
        <v>389</v>
      </c>
      <c r="B392" s="14" t="s">
        <v>1545</v>
      </c>
      <c r="C392" s="14" t="s">
        <v>197</v>
      </c>
      <c r="D392" s="14" t="s">
        <v>198</v>
      </c>
      <c r="E392" s="14" t="s">
        <v>197</v>
      </c>
      <c r="F392" s="14" t="s">
        <v>150</v>
      </c>
      <c r="G392" s="14" t="s">
        <v>151</v>
      </c>
      <c r="H392" s="14">
        <v>5</v>
      </c>
      <c r="I392" s="14"/>
      <c r="J392" s="14"/>
    </row>
    <row r="393" spans="1:10">
      <c r="A393" s="14">
        <f>IF(B393="","",COUNTA($B$4:B393))</f>
        <v>390</v>
      </c>
      <c r="B393" s="14" t="s">
        <v>1545</v>
      </c>
      <c r="C393" s="14" t="s">
        <v>199</v>
      </c>
      <c r="D393" s="14" t="s">
        <v>200</v>
      </c>
      <c r="E393" s="14" t="s">
        <v>199</v>
      </c>
      <c r="F393" s="14" t="s">
        <v>150</v>
      </c>
      <c r="G393" s="14" t="s">
        <v>151</v>
      </c>
      <c r="H393" s="14">
        <v>20</v>
      </c>
      <c r="I393" s="14"/>
      <c r="J393" s="14"/>
    </row>
    <row r="394" spans="1:10">
      <c r="A394" s="14">
        <f>IF(B394="","",COUNTA($B$4:B394))</f>
        <v>391</v>
      </c>
      <c r="B394" s="14" t="s">
        <v>1545</v>
      </c>
      <c r="C394" s="14" t="s">
        <v>201</v>
      </c>
      <c r="D394" s="14" t="s">
        <v>202</v>
      </c>
      <c r="E394" s="14" t="s">
        <v>201</v>
      </c>
      <c r="F394" s="14" t="s">
        <v>150</v>
      </c>
      <c r="G394" s="14" t="s">
        <v>151</v>
      </c>
      <c r="H394" s="14">
        <v>30</v>
      </c>
      <c r="I394" s="14"/>
      <c r="J394" s="14"/>
    </row>
    <row r="395" spans="1:10">
      <c r="A395" s="14">
        <f>IF(B395="","",COUNTA($B$4:B395))</f>
        <v>392</v>
      </c>
      <c r="B395" s="14" t="s">
        <v>1545</v>
      </c>
      <c r="C395" s="14" t="s">
        <v>386</v>
      </c>
      <c r="D395" s="14" t="s">
        <v>387</v>
      </c>
      <c r="E395" s="14" t="s">
        <v>386</v>
      </c>
      <c r="F395" s="14" t="s">
        <v>155</v>
      </c>
      <c r="G395" s="14" t="s">
        <v>156</v>
      </c>
      <c r="H395" s="14">
        <v>5</v>
      </c>
      <c r="I395" s="14">
        <v>1</v>
      </c>
      <c r="J395" s="14"/>
    </row>
    <row r="396" spans="1:10">
      <c r="A396" s="14">
        <f>IF(B396="","",COUNTA($B$4:B396))</f>
        <v>393</v>
      </c>
      <c r="B396" s="14" t="s">
        <v>1545</v>
      </c>
      <c r="C396" s="14" t="s">
        <v>388</v>
      </c>
      <c r="D396" s="14" t="s">
        <v>389</v>
      </c>
      <c r="E396" s="14" t="s">
        <v>388</v>
      </c>
      <c r="F396" s="14" t="s">
        <v>155</v>
      </c>
      <c r="G396" s="14" t="s">
        <v>156</v>
      </c>
      <c r="H396" s="14">
        <v>1</v>
      </c>
      <c r="I396" s="14" t="s">
        <v>244</v>
      </c>
      <c r="J396" s="14"/>
    </row>
    <row r="397" spans="1:10">
      <c r="A397" s="14">
        <f>IF(B397="","",COUNTA($B$4:B397))</f>
        <v>394</v>
      </c>
      <c r="B397" s="14" t="s">
        <v>1545</v>
      </c>
      <c r="C397" s="14" t="s">
        <v>390</v>
      </c>
      <c r="D397" s="14" t="s">
        <v>391</v>
      </c>
      <c r="E397" s="14" t="s">
        <v>390</v>
      </c>
      <c r="F397" s="14" t="s">
        <v>155</v>
      </c>
      <c r="G397" s="14" t="s">
        <v>156</v>
      </c>
      <c r="H397" s="14">
        <v>1</v>
      </c>
      <c r="I397" s="14" t="s">
        <v>244</v>
      </c>
      <c r="J397" s="14"/>
    </row>
    <row r="398" spans="1:10">
      <c r="A398" s="14">
        <f>IF(B398="","",COUNTA($B$4:B398))</f>
        <v>395</v>
      </c>
      <c r="B398" s="14" t="s">
        <v>1545</v>
      </c>
      <c r="C398" s="14" t="s">
        <v>673</v>
      </c>
      <c r="D398" s="14" t="s">
        <v>1402</v>
      </c>
      <c r="E398" s="14" t="s">
        <v>673</v>
      </c>
      <c r="F398" s="14" t="s">
        <v>150</v>
      </c>
      <c r="G398" s="14" t="s">
        <v>151</v>
      </c>
      <c r="H398" s="14">
        <v>4</v>
      </c>
      <c r="I398" s="14" t="s">
        <v>244</v>
      </c>
      <c r="J398" s="14"/>
    </row>
    <row r="399" spans="1:10">
      <c r="A399" s="14">
        <f>IF(B399="","",COUNTA($B$4:B399))</f>
        <v>396</v>
      </c>
      <c r="B399" s="14" t="s">
        <v>1545</v>
      </c>
      <c r="C399" s="14" t="s">
        <v>392</v>
      </c>
      <c r="D399" s="14" t="s">
        <v>393</v>
      </c>
      <c r="E399" s="14" t="s">
        <v>392</v>
      </c>
      <c r="F399" s="14" t="s">
        <v>155</v>
      </c>
      <c r="G399" s="14" t="s">
        <v>156</v>
      </c>
      <c r="H399" s="14">
        <v>6</v>
      </c>
      <c r="I399" s="14" t="s">
        <v>1562</v>
      </c>
      <c r="J399" s="14"/>
    </row>
    <row r="400" spans="1:10">
      <c r="A400" s="14">
        <f>IF(B400="","",COUNTA($B$4:B400))</f>
        <v>397</v>
      </c>
      <c r="B400" s="14" t="s">
        <v>1545</v>
      </c>
      <c r="C400" s="14" t="s">
        <v>228</v>
      </c>
      <c r="D400" s="14" t="s">
        <v>229</v>
      </c>
      <c r="E400" s="14" t="s">
        <v>228</v>
      </c>
      <c r="F400" s="14" t="s">
        <v>150</v>
      </c>
      <c r="G400" s="14" t="s">
        <v>151</v>
      </c>
      <c r="H400" s="14">
        <v>1000</v>
      </c>
      <c r="I400" s="14" t="s">
        <v>244</v>
      </c>
      <c r="J400" s="14"/>
    </row>
    <row r="401" spans="1:10">
      <c r="A401" s="14">
        <f>IF(B401="","",COUNTA($B$4:B401))</f>
        <v>398</v>
      </c>
      <c r="B401" s="14" t="s">
        <v>1545</v>
      </c>
      <c r="C401" s="14" t="s">
        <v>249</v>
      </c>
      <c r="D401" s="14" t="s">
        <v>250</v>
      </c>
      <c r="E401" s="14" t="s">
        <v>249</v>
      </c>
      <c r="F401" s="14" t="s">
        <v>150</v>
      </c>
      <c r="G401" s="14" t="s">
        <v>151</v>
      </c>
      <c r="H401" s="14">
        <v>4</v>
      </c>
      <c r="I401" s="14" t="s">
        <v>244</v>
      </c>
      <c r="J401" s="14"/>
    </row>
    <row r="402" spans="1:10">
      <c r="A402" s="14">
        <f>IF(B402="","",COUNTA($B$4:B402))</f>
        <v>399</v>
      </c>
      <c r="B402" s="14" t="s">
        <v>1545</v>
      </c>
      <c r="C402" s="14" t="s">
        <v>251</v>
      </c>
      <c r="D402" s="14" t="s">
        <v>252</v>
      </c>
      <c r="E402" s="14" t="s">
        <v>251</v>
      </c>
      <c r="F402" s="14" t="s">
        <v>150</v>
      </c>
      <c r="G402" s="14" t="s">
        <v>151</v>
      </c>
      <c r="H402" s="14">
        <v>4</v>
      </c>
      <c r="I402" s="14" t="s">
        <v>244</v>
      </c>
      <c r="J402" s="14"/>
    </row>
    <row r="403" spans="1:10">
      <c r="A403" s="14">
        <f>IF(B403="","",COUNTA($B$4:B403))</f>
        <v>400</v>
      </c>
      <c r="B403" s="14" t="s">
        <v>1545</v>
      </c>
      <c r="C403" s="14" t="s">
        <v>253</v>
      </c>
      <c r="D403" s="14" t="s">
        <v>254</v>
      </c>
      <c r="E403" s="14" t="s">
        <v>253</v>
      </c>
      <c r="F403" s="14" t="s">
        <v>150</v>
      </c>
      <c r="G403" s="14" t="s">
        <v>151</v>
      </c>
      <c r="H403" s="14">
        <v>10</v>
      </c>
      <c r="I403" s="14" t="s">
        <v>244</v>
      </c>
      <c r="J403" s="14"/>
    </row>
    <row r="404" spans="1:10">
      <c r="A404" s="14">
        <f>IF(B404="","",COUNTA($B$4:B404))</f>
        <v>401</v>
      </c>
      <c r="B404" s="14" t="s">
        <v>1545</v>
      </c>
      <c r="C404" s="14" t="s">
        <v>255</v>
      </c>
      <c r="D404" s="14" t="s">
        <v>256</v>
      </c>
      <c r="E404" s="14" t="s">
        <v>255</v>
      </c>
      <c r="F404" s="14" t="s">
        <v>150</v>
      </c>
      <c r="G404" s="14" t="s">
        <v>151</v>
      </c>
      <c r="H404" s="14">
        <v>10</v>
      </c>
      <c r="I404" s="14" t="s">
        <v>244</v>
      </c>
      <c r="J404" s="14"/>
    </row>
    <row r="405" spans="1:10">
      <c r="A405" s="14">
        <f>IF(B405="","",COUNTA($B$4:B405))</f>
        <v>402</v>
      </c>
      <c r="B405" s="14" t="s">
        <v>1545</v>
      </c>
      <c r="C405" s="14" t="s">
        <v>257</v>
      </c>
      <c r="D405" s="14" t="s">
        <v>258</v>
      </c>
      <c r="E405" s="14" t="s">
        <v>257</v>
      </c>
      <c r="F405" s="14" t="s">
        <v>169</v>
      </c>
      <c r="G405" s="14" t="s">
        <v>243</v>
      </c>
      <c r="H405" s="14"/>
      <c r="I405" s="14" t="s">
        <v>244</v>
      </c>
      <c r="J405" s="14"/>
    </row>
    <row r="406" spans="1:10">
      <c r="A406" s="14">
        <f>IF(B406="","",COUNTA($B$4:B406))</f>
        <v>403</v>
      </c>
      <c r="B406" s="14" t="s">
        <v>1545</v>
      </c>
      <c r="C406" s="14" t="s">
        <v>259</v>
      </c>
      <c r="D406" s="14" t="s">
        <v>260</v>
      </c>
      <c r="E406" s="14" t="s">
        <v>259</v>
      </c>
      <c r="F406" s="14" t="s">
        <v>150</v>
      </c>
      <c r="G406" s="14" t="s">
        <v>151</v>
      </c>
      <c r="H406" s="14">
        <v>10</v>
      </c>
      <c r="I406" s="14" t="s">
        <v>244</v>
      </c>
      <c r="J406" s="14"/>
    </row>
    <row r="407" spans="1:10">
      <c r="A407" s="14">
        <f>IF(B407="","",COUNTA($B$4:B407))</f>
        <v>404</v>
      </c>
      <c r="B407" s="14" t="s">
        <v>1545</v>
      </c>
      <c r="C407" s="14" t="s">
        <v>261</v>
      </c>
      <c r="D407" s="14" t="s">
        <v>262</v>
      </c>
      <c r="E407" s="14" t="s">
        <v>261</v>
      </c>
      <c r="F407" s="14" t="s">
        <v>150</v>
      </c>
      <c r="G407" s="14" t="s">
        <v>151</v>
      </c>
      <c r="H407" s="14">
        <v>10</v>
      </c>
      <c r="I407" s="14" t="s">
        <v>244</v>
      </c>
      <c r="J407" s="14"/>
    </row>
    <row r="408" spans="1:10">
      <c r="A408" s="14">
        <f>IF(B408="","",COUNTA($B$4:B408))</f>
        <v>405</v>
      </c>
      <c r="B408" s="14" t="s">
        <v>1545</v>
      </c>
      <c r="C408" s="14" t="s">
        <v>263</v>
      </c>
      <c r="D408" s="14" t="s">
        <v>264</v>
      </c>
      <c r="E408" s="14" t="s">
        <v>263</v>
      </c>
      <c r="F408" s="14" t="s">
        <v>169</v>
      </c>
      <c r="G408" s="14" t="s">
        <v>243</v>
      </c>
      <c r="H408" s="14"/>
      <c r="I408" s="14" t="s">
        <v>244</v>
      </c>
      <c r="J408" s="14"/>
    </row>
    <row r="409" spans="1:10">
      <c r="A409" s="14">
        <f>IF(B409="","",COUNTA($B$4:B409))</f>
        <v>406</v>
      </c>
      <c r="B409" s="14" t="s">
        <v>1546</v>
      </c>
      <c r="C409" s="14" t="s">
        <v>148</v>
      </c>
      <c r="D409" s="14" t="s">
        <v>149</v>
      </c>
      <c r="E409" s="14" t="s">
        <v>148</v>
      </c>
      <c r="F409" s="14" t="s">
        <v>150</v>
      </c>
      <c r="G409" s="14" t="s">
        <v>151</v>
      </c>
      <c r="H409" s="14">
        <v>15</v>
      </c>
      <c r="I409" s="14"/>
      <c r="J409" s="14"/>
    </row>
    <row r="410" spans="1:10">
      <c r="A410" s="14">
        <f>IF(B410="","",COUNTA($B$4:B410))</f>
        <v>407</v>
      </c>
      <c r="B410" s="14" t="s">
        <v>1546</v>
      </c>
      <c r="C410" s="14" t="s">
        <v>159</v>
      </c>
      <c r="D410" s="14" t="s">
        <v>160</v>
      </c>
      <c r="E410" s="14" t="s">
        <v>159</v>
      </c>
      <c r="F410" s="14" t="s">
        <v>150</v>
      </c>
      <c r="G410" s="14" t="s">
        <v>151</v>
      </c>
      <c r="H410" s="14">
        <v>4</v>
      </c>
      <c r="I410" s="14"/>
      <c r="J410" s="14"/>
    </row>
    <row r="411" spans="1:10">
      <c r="A411" s="14">
        <f>IF(B411="","",COUNTA($B$4:B411))</f>
        <v>408</v>
      </c>
      <c r="B411" s="14" t="s">
        <v>1546</v>
      </c>
      <c r="C411" s="14" t="s">
        <v>162</v>
      </c>
      <c r="D411" s="14" t="s">
        <v>163</v>
      </c>
      <c r="E411" s="14" t="s">
        <v>164</v>
      </c>
      <c r="F411" s="14" t="s">
        <v>150</v>
      </c>
      <c r="G411" s="14" t="s">
        <v>151</v>
      </c>
      <c r="H411" s="14">
        <v>4</v>
      </c>
      <c r="I411" s="14"/>
      <c r="J411" s="14"/>
    </row>
    <row r="412" spans="1:10">
      <c r="A412" s="14">
        <f>IF(B412="","",COUNTA($B$4:B412))</f>
        <v>409</v>
      </c>
      <c r="B412" s="14" t="s">
        <v>1546</v>
      </c>
      <c r="C412" s="14" t="s">
        <v>193</v>
      </c>
      <c r="D412" s="14" t="s">
        <v>194</v>
      </c>
      <c r="E412" s="14" t="s">
        <v>193</v>
      </c>
      <c r="F412" s="14" t="s">
        <v>150</v>
      </c>
      <c r="G412" s="14" t="s">
        <v>151</v>
      </c>
      <c r="H412" s="14">
        <v>5</v>
      </c>
      <c r="I412" s="14"/>
      <c r="J412" s="14"/>
    </row>
    <row r="413" spans="1:10">
      <c r="A413" s="14">
        <f>IF(B413="","",COUNTA($B$4:B413))</f>
        <v>410</v>
      </c>
      <c r="B413" s="14" t="s">
        <v>1546</v>
      </c>
      <c r="C413" s="14" t="s">
        <v>195</v>
      </c>
      <c r="D413" s="14" t="s">
        <v>196</v>
      </c>
      <c r="E413" s="14" t="s">
        <v>195</v>
      </c>
      <c r="F413" s="14" t="s">
        <v>150</v>
      </c>
      <c r="G413" s="14" t="s">
        <v>151</v>
      </c>
      <c r="H413" s="14">
        <v>80</v>
      </c>
      <c r="I413" s="14"/>
      <c r="J413" s="14"/>
    </row>
    <row r="414" spans="1:10">
      <c r="A414" s="14">
        <f>IF(B414="","",COUNTA($B$4:B414))</f>
        <v>411</v>
      </c>
      <c r="B414" s="14" t="s">
        <v>1546</v>
      </c>
      <c r="C414" s="14" t="s">
        <v>197</v>
      </c>
      <c r="D414" s="14" t="s">
        <v>198</v>
      </c>
      <c r="E414" s="14" t="s">
        <v>197</v>
      </c>
      <c r="F414" s="14" t="s">
        <v>150</v>
      </c>
      <c r="G414" s="14" t="s">
        <v>151</v>
      </c>
      <c r="H414" s="14">
        <v>5</v>
      </c>
      <c r="I414" s="14"/>
      <c r="J414" s="14"/>
    </row>
    <row r="415" spans="1:10">
      <c r="A415" s="14">
        <f>IF(B415="","",COUNTA($B$4:B415))</f>
        <v>412</v>
      </c>
      <c r="B415" s="14" t="s">
        <v>1546</v>
      </c>
      <c r="C415" s="14" t="s">
        <v>199</v>
      </c>
      <c r="D415" s="14" t="s">
        <v>200</v>
      </c>
      <c r="E415" s="14" t="s">
        <v>199</v>
      </c>
      <c r="F415" s="14" t="s">
        <v>150</v>
      </c>
      <c r="G415" s="14" t="s">
        <v>151</v>
      </c>
      <c r="H415" s="14">
        <v>20</v>
      </c>
      <c r="I415" s="14"/>
      <c r="J415" s="14"/>
    </row>
    <row r="416" spans="1:10">
      <c r="A416" s="14">
        <f>IF(B416="","",COUNTA($B$4:B416))</f>
        <v>413</v>
      </c>
      <c r="B416" s="14" t="s">
        <v>1546</v>
      </c>
      <c r="C416" s="14" t="s">
        <v>201</v>
      </c>
      <c r="D416" s="14" t="s">
        <v>202</v>
      </c>
      <c r="E416" s="14" t="s">
        <v>201</v>
      </c>
      <c r="F416" s="14" t="s">
        <v>150</v>
      </c>
      <c r="G416" s="14" t="s">
        <v>151</v>
      </c>
      <c r="H416" s="14">
        <v>30</v>
      </c>
      <c r="I416" s="14"/>
      <c r="J416" s="14"/>
    </row>
    <row r="417" spans="1:10">
      <c r="A417" s="14">
        <f>IF(B417="","",COUNTA($B$4:B417))</f>
        <v>414</v>
      </c>
      <c r="B417" s="14" t="s">
        <v>1546</v>
      </c>
      <c r="C417" s="14" t="s">
        <v>203</v>
      </c>
      <c r="D417" s="14" t="s">
        <v>204</v>
      </c>
      <c r="E417" s="14" t="s">
        <v>203</v>
      </c>
      <c r="F417" s="14" t="s">
        <v>155</v>
      </c>
      <c r="G417" s="14" t="s">
        <v>156</v>
      </c>
      <c r="H417" s="14">
        <v>5</v>
      </c>
      <c r="I417" s="14">
        <v>2</v>
      </c>
      <c r="J417" s="14"/>
    </row>
    <row r="418" spans="1:10">
      <c r="A418" s="14">
        <f>IF(B418="","",COUNTA($B$4:B418))</f>
        <v>415</v>
      </c>
      <c r="B418" s="14" t="s">
        <v>1546</v>
      </c>
      <c r="C418" s="14" t="s">
        <v>205</v>
      </c>
      <c r="D418" s="14" t="s">
        <v>206</v>
      </c>
      <c r="E418" s="14" t="s">
        <v>205</v>
      </c>
      <c r="F418" s="14" t="s">
        <v>155</v>
      </c>
      <c r="G418" s="14" t="s">
        <v>156</v>
      </c>
      <c r="H418" s="14">
        <v>4</v>
      </c>
      <c r="I418" s="14"/>
      <c r="J418" s="14"/>
    </row>
    <row r="419" spans="1:10">
      <c r="A419" s="14">
        <f>IF(B419="","",COUNTA($B$4:B419))</f>
        <v>416</v>
      </c>
      <c r="B419" s="14" t="s">
        <v>1546</v>
      </c>
      <c r="C419" s="14" t="s">
        <v>208</v>
      </c>
      <c r="D419" s="14" t="s">
        <v>209</v>
      </c>
      <c r="E419" s="14" t="s">
        <v>208</v>
      </c>
      <c r="F419" s="14" t="s">
        <v>155</v>
      </c>
      <c r="G419" s="14" t="s">
        <v>156</v>
      </c>
      <c r="H419" s="14">
        <v>5</v>
      </c>
      <c r="I419" s="14"/>
      <c r="J419" s="14"/>
    </row>
    <row r="420" spans="1:10">
      <c r="A420" s="14">
        <f>IF(B420="","",COUNTA($B$4:B420))</f>
        <v>417</v>
      </c>
      <c r="B420" s="14" t="s">
        <v>1546</v>
      </c>
      <c r="C420" s="14" t="s">
        <v>228</v>
      </c>
      <c r="D420" s="14" t="s">
        <v>229</v>
      </c>
      <c r="E420" s="14" t="s">
        <v>228</v>
      </c>
      <c r="F420" s="14" t="s">
        <v>150</v>
      </c>
      <c r="G420" s="14" t="s">
        <v>151</v>
      </c>
      <c r="H420" s="14">
        <v>1000</v>
      </c>
      <c r="I420" s="14"/>
      <c r="J420" s="14"/>
    </row>
    <row r="421" spans="1:10">
      <c r="A421" s="14">
        <f>IF(B421="","",COUNTA($B$4:B421))</f>
        <v>418</v>
      </c>
      <c r="B421" s="14" t="s">
        <v>1546</v>
      </c>
      <c r="C421" s="14" t="s">
        <v>1423</v>
      </c>
      <c r="D421" s="14" t="s">
        <v>1378</v>
      </c>
      <c r="E421" s="14" t="s">
        <v>1423</v>
      </c>
      <c r="F421" s="14" t="s">
        <v>150</v>
      </c>
      <c r="G421" s="14" t="s">
        <v>151</v>
      </c>
      <c r="H421" s="14">
        <v>15</v>
      </c>
      <c r="I421" s="14"/>
      <c r="J421" s="14"/>
    </row>
    <row r="422" spans="1:10">
      <c r="A422" s="14">
        <f>IF(B422="","",COUNTA($B$4:B422))</f>
        <v>419</v>
      </c>
      <c r="B422" s="14" t="s">
        <v>1546</v>
      </c>
      <c r="C422" s="14" t="s">
        <v>397</v>
      </c>
      <c r="D422" s="14" t="s">
        <v>398</v>
      </c>
      <c r="E422" s="14" t="s">
        <v>397</v>
      </c>
      <c r="F422" s="14" t="s">
        <v>150</v>
      </c>
      <c r="G422" s="14" t="s">
        <v>151</v>
      </c>
      <c r="H422" s="14">
        <v>100</v>
      </c>
      <c r="I422" s="14"/>
      <c r="J422" s="14"/>
    </row>
    <row r="423" spans="1:10">
      <c r="A423" s="14">
        <f>IF(B423="","",COUNTA($B$4:B423))</f>
        <v>420</v>
      </c>
      <c r="B423" s="14" t="s">
        <v>1546</v>
      </c>
      <c r="C423" s="14" t="s">
        <v>375</v>
      </c>
      <c r="D423" s="14" t="s">
        <v>376</v>
      </c>
      <c r="E423" s="14" t="s">
        <v>375</v>
      </c>
      <c r="F423" s="14" t="s">
        <v>169</v>
      </c>
      <c r="G423" s="14" t="s">
        <v>170</v>
      </c>
      <c r="H423" s="14"/>
      <c r="I423" s="14"/>
      <c r="J423" s="14"/>
    </row>
    <row r="424" spans="1:10">
      <c r="A424" s="14">
        <f>IF(B424="","",COUNTA($B$4:B424))</f>
        <v>421</v>
      </c>
      <c r="B424" s="14" t="s">
        <v>1546</v>
      </c>
      <c r="C424" s="14" t="s">
        <v>249</v>
      </c>
      <c r="D424" s="14" t="s">
        <v>250</v>
      </c>
      <c r="E424" s="14" t="s">
        <v>249</v>
      </c>
      <c r="F424" s="14" t="s">
        <v>150</v>
      </c>
      <c r="G424" s="14" t="s">
        <v>151</v>
      </c>
      <c r="H424" s="14">
        <v>4</v>
      </c>
      <c r="I424" s="14"/>
      <c r="J424" s="14"/>
    </row>
    <row r="425" spans="1:10">
      <c r="A425" s="14">
        <f>IF(B425="","",COUNTA($B$4:B425))</f>
        <v>422</v>
      </c>
      <c r="B425" s="14" t="s">
        <v>1546</v>
      </c>
      <c r="C425" s="14" t="s">
        <v>251</v>
      </c>
      <c r="D425" s="14" t="s">
        <v>252</v>
      </c>
      <c r="E425" s="14" t="s">
        <v>251</v>
      </c>
      <c r="F425" s="14" t="s">
        <v>150</v>
      </c>
      <c r="G425" s="14" t="s">
        <v>151</v>
      </c>
      <c r="H425" s="14">
        <v>4</v>
      </c>
      <c r="I425" s="14"/>
      <c r="J425" s="14"/>
    </row>
    <row r="426" spans="1:10">
      <c r="A426" s="14">
        <f>IF(B426="","",COUNTA($B$4:B426))</f>
        <v>423</v>
      </c>
      <c r="B426" s="14" t="s">
        <v>1546</v>
      </c>
      <c r="C426" s="14" t="s">
        <v>253</v>
      </c>
      <c r="D426" s="14" t="s">
        <v>254</v>
      </c>
      <c r="E426" s="14" t="s">
        <v>253</v>
      </c>
      <c r="F426" s="14" t="s">
        <v>150</v>
      </c>
      <c r="G426" s="14" t="s">
        <v>151</v>
      </c>
      <c r="H426" s="14">
        <v>10</v>
      </c>
      <c r="I426" s="14"/>
      <c r="J426" s="14"/>
    </row>
    <row r="427" spans="1:10">
      <c r="A427" s="14">
        <f>IF(B427="","",COUNTA($B$4:B427))</f>
        <v>424</v>
      </c>
      <c r="B427" s="14" t="s">
        <v>1546</v>
      </c>
      <c r="C427" s="14" t="s">
        <v>255</v>
      </c>
      <c r="D427" s="14" t="s">
        <v>256</v>
      </c>
      <c r="E427" s="14" t="s">
        <v>255</v>
      </c>
      <c r="F427" s="14" t="s">
        <v>150</v>
      </c>
      <c r="G427" s="14" t="s">
        <v>151</v>
      </c>
      <c r="H427" s="14">
        <v>10</v>
      </c>
      <c r="I427" s="14"/>
      <c r="J427" s="14"/>
    </row>
    <row r="428" spans="1:10">
      <c r="A428" s="14">
        <f>IF(B428="","",COUNTA($B$4:B428))</f>
        <v>425</v>
      </c>
      <c r="B428" s="14" t="s">
        <v>1546</v>
      </c>
      <c r="C428" s="14" t="s">
        <v>257</v>
      </c>
      <c r="D428" s="14" t="s">
        <v>258</v>
      </c>
      <c r="E428" s="14" t="s">
        <v>257</v>
      </c>
      <c r="F428" s="14" t="s">
        <v>169</v>
      </c>
      <c r="G428" s="14" t="s">
        <v>243</v>
      </c>
      <c r="H428" s="14"/>
      <c r="I428" s="14"/>
      <c r="J428" s="14"/>
    </row>
    <row r="429" spans="1:10">
      <c r="A429" s="14">
        <f>IF(B429="","",COUNTA($B$4:B429))</f>
        <v>426</v>
      </c>
      <c r="B429" s="14" t="s">
        <v>1546</v>
      </c>
      <c r="C429" s="14" t="s">
        <v>259</v>
      </c>
      <c r="D429" s="14" t="s">
        <v>260</v>
      </c>
      <c r="E429" s="14" t="s">
        <v>259</v>
      </c>
      <c r="F429" s="14" t="s">
        <v>150</v>
      </c>
      <c r="G429" s="14" t="s">
        <v>151</v>
      </c>
      <c r="H429" s="14">
        <v>10</v>
      </c>
      <c r="I429" s="14"/>
      <c r="J429" s="14"/>
    </row>
    <row r="430" spans="1:10">
      <c r="A430" s="14">
        <f>IF(B430="","",COUNTA($B$4:B430))</f>
        <v>427</v>
      </c>
      <c r="B430" s="14" t="s">
        <v>1546</v>
      </c>
      <c r="C430" s="14" t="s">
        <v>261</v>
      </c>
      <c r="D430" s="14" t="s">
        <v>262</v>
      </c>
      <c r="E430" s="14" t="s">
        <v>261</v>
      </c>
      <c r="F430" s="14" t="s">
        <v>150</v>
      </c>
      <c r="G430" s="14" t="s">
        <v>151</v>
      </c>
      <c r="H430" s="14">
        <v>10</v>
      </c>
      <c r="I430" s="14"/>
      <c r="J430" s="14"/>
    </row>
    <row r="431" spans="1:10">
      <c r="A431" s="14">
        <f>IF(B431="","",COUNTA($B$4:B431))</f>
        <v>428</v>
      </c>
      <c r="B431" s="14" t="s">
        <v>1546</v>
      </c>
      <c r="C431" s="14" t="s">
        <v>263</v>
      </c>
      <c r="D431" s="14" t="s">
        <v>264</v>
      </c>
      <c r="E431" s="14" t="s">
        <v>263</v>
      </c>
      <c r="F431" s="14" t="s">
        <v>169</v>
      </c>
      <c r="G431" s="14" t="s">
        <v>243</v>
      </c>
      <c r="H431" s="14"/>
      <c r="I431" s="14"/>
      <c r="J431" s="14"/>
    </row>
    <row r="432" spans="1:10">
      <c r="A432" s="14">
        <f>IF(B432="","",COUNTA($B$4:B432))</f>
        <v>429</v>
      </c>
      <c r="B432" s="14" t="s">
        <v>1547</v>
      </c>
      <c r="C432" s="14" t="s">
        <v>148</v>
      </c>
      <c r="D432" s="14" t="s">
        <v>149</v>
      </c>
      <c r="E432" s="14" t="s">
        <v>148</v>
      </c>
      <c r="F432" s="14" t="s">
        <v>150</v>
      </c>
      <c r="G432" s="14" t="s">
        <v>151</v>
      </c>
      <c r="H432" s="14">
        <v>15</v>
      </c>
      <c r="I432" s="14"/>
      <c r="J432" s="14"/>
    </row>
    <row r="433" spans="1:10">
      <c r="A433" s="14">
        <f>IF(B433="","",COUNTA($B$4:B433))</f>
        <v>430</v>
      </c>
      <c r="B433" s="14" t="s">
        <v>1547</v>
      </c>
      <c r="C433" s="14" t="s">
        <v>381</v>
      </c>
      <c r="D433" s="14" t="s">
        <v>382</v>
      </c>
      <c r="E433" s="14" t="s">
        <v>381</v>
      </c>
      <c r="F433" s="14" t="s">
        <v>150</v>
      </c>
      <c r="G433" s="14" t="s">
        <v>151</v>
      </c>
      <c r="H433" s="14">
        <v>30</v>
      </c>
      <c r="I433" s="14"/>
      <c r="J433" s="14"/>
    </row>
    <row r="434" spans="1:10">
      <c r="A434" s="14">
        <f>IF(B434="","",COUNTA($B$4:B434))</f>
        <v>431</v>
      </c>
      <c r="B434" s="14" t="s">
        <v>1547</v>
      </c>
      <c r="C434" s="14" t="s">
        <v>338</v>
      </c>
      <c r="D434" s="14" t="s">
        <v>339</v>
      </c>
      <c r="E434" s="14" t="s">
        <v>338</v>
      </c>
      <c r="F434" s="14" t="s">
        <v>155</v>
      </c>
      <c r="G434" s="14" t="s">
        <v>156</v>
      </c>
      <c r="H434" s="14">
        <v>3</v>
      </c>
      <c r="I434" s="14"/>
      <c r="J434" s="14"/>
    </row>
    <row r="435" spans="1:10">
      <c r="A435" s="14">
        <f>IF(B435="","",COUNTA($B$4:B435))</f>
        <v>432</v>
      </c>
      <c r="B435" s="14" t="s">
        <v>1547</v>
      </c>
      <c r="C435" s="14" t="s">
        <v>197</v>
      </c>
      <c r="D435" s="14" t="s">
        <v>198</v>
      </c>
      <c r="E435" s="14" t="s">
        <v>197</v>
      </c>
      <c r="F435" s="14" t="s">
        <v>150</v>
      </c>
      <c r="G435" s="14" t="s">
        <v>151</v>
      </c>
      <c r="H435" s="14">
        <v>5</v>
      </c>
      <c r="I435" s="14"/>
      <c r="J435" s="14"/>
    </row>
    <row r="436" spans="1:10">
      <c r="A436" s="14">
        <f>IF(B436="","",COUNTA($B$4:B436))</f>
        <v>433</v>
      </c>
      <c r="B436" s="14" t="s">
        <v>1547</v>
      </c>
      <c r="C436" s="14" t="s">
        <v>199</v>
      </c>
      <c r="D436" s="14" t="s">
        <v>200</v>
      </c>
      <c r="E436" s="14" t="s">
        <v>199</v>
      </c>
      <c r="F436" s="14" t="s">
        <v>150</v>
      </c>
      <c r="G436" s="14" t="s">
        <v>151</v>
      </c>
      <c r="H436" s="14">
        <v>20</v>
      </c>
      <c r="I436" s="14"/>
      <c r="J436" s="14"/>
    </row>
    <row r="437" spans="1:10">
      <c r="A437" s="14">
        <f>IF(B437="","",COUNTA($B$4:B437))</f>
        <v>434</v>
      </c>
      <c r="B437" s="14" t="s">
        <v>1547</v>
      </c>
      <c r="C437" s="14" t="s">
        <v>201</v>
      </c>
      <c r="D437" s="14" t="s">
        <v>202</v>
      </c>
      <c r="E437" s="14" t="s">
        <v>201</v>
      </c>
      <c r="F437" s="14" t="s">
        <v>150</v>
      </c>
      <c r="G437" s="14" t="s">
        <v>151</v>
      </c>
      <c r="H437" s="14">
        <v>30</v>
      </c>
      <c r="I437" s="14"/>
      <c r="J437" s="14"/>
    </row>
    <row r="438" spans="1:10">
      <c r="A438" s="14">
        <f>IF(B438="","",COUNTA($B$4:B438))</f>
        <v>435</v>
      </c>
      <c r="B438" s="14" t="s">
        <v>1547</v>
      </c>
      <c r="C438" s="14" t="s">
        <v>399</v>
      </c>
      <c r="D438" s="14" t="s">
        <v>400</v>
      </c>
      <c r="E438" s="14" t="s">
        <v>399</v>
      </c>
      <c r="F438" s="14" t="s">
        <v>150</v>
      </c>
      <c r="G438" s="14" t="s">
        <v>151</v>
      </c>
      <c r="H438" s="14">
        <v>30</v>
      </c>
      <c r="I438" s="14"/>
      <c r="J438" s="14"/>
    </row>
    <row r="439" spans="1:10">
      <c r="A439" s="14">
        <f>IF(B439="","",COUNTA($B$4:B439))</f>
        <v>436</v>
      </c>
      <c r="B439" s="14" t="s">
        <v>1547</v>
      </c>
      <c r="C439" s="14" t="s">
        <v>228</v>
      </c>
      <c r="D439" s="14" t="s">
        <v>229</v>
      </c>
      <c r="E439" s="14" t="s">
        <v>228</v>
      </c>
      <c r="F439" s="14" t="s">
        <v>150</v>
      </c>
      <c r="G439" s="14" t="s">
        <v>151</v>
      </c>
      <c r="H439" s="14">
        <v>1000</v>
      </c>
      <c r="I439" s="14"/>
      <c r="J439" s="14"/>
    </row>
    <row r="440" spans="1:10">
      <c r="A440" s="14">
        <f>IF(B440="","",COUNTA($B$4:B440))</f>
        <v>437</v>
      </c>
      <c r="B440" s="14" t="s">
        <v>1547</v>
      </c>
      <c r="C440" s="14" t="s">
        <v>249</v>
      </c>
      <c r="D440" s="14" t="s">
        <v>250</v>
      </c>
      <c r="E440" s="14" t="s">
        <v>249</v>
      </c>
      <c r="F440" s="14" t="s">
        <v>150</v>
      </c>
      <c r="G440" s="14" t="s">
        <v>151</v>
      </c>
      <c r="H440" s="14">
        <v>4</v>
      </c>
      <c r="I440" s="14"/>
      <c r="J440" s="14"/>
    </row>
    <row r="441" spans="1:10">
      <c r="A441" s="14">
        <f>IF(B441="","",COUNTA($B$4:B441))</f>
        <v>438</v>
      </c>
      <c r="B441" s="14" t="s">
        <v>1547</v>
      </c>
      <c r="C441" s="14" t="s">
        <v>251</v>
      </c>
      <c r="D441" s="14" t="s">
        <v>252</v>
      </c>
      <c r="E441" s="14" t="s">
        <v>251</v>
      </c>
      <c r="F441" s="14" t="s">
        <v>150</v>
      </c>
      <c r="G441" s="14" t="s">
        <v>151</v>
      </c>
      <c r="H441" s="14">
        <v>4</v>
      </c>
      <c r="I441" s="14"/>
      <c r="J441" s="14"/>
    </row>
    <row r="442" spans="1:10">
      <c r="A442" s="14">
        <f>IF(B442="","",COUNTA($B$4:B442))</f>
        <v>439</v>
      </c>
      <c r="B442" s="14" t="s">
        <v>1547</v>
      </c>
      <c r="C442" s="14" t="s">
        <v>253</v>
      </c>
      <c r="D442" s="14" t="s">
        <v>254</v>
      </c>
      <c r="E442" s="14" t="s">
        <v>253</v>
      </c>
      <c r="F442" s="14" t="s">
        <v>150</v>
      </c>
      <c r="G442" s="14" t="s">
        <v>151</v>
      </c>
      <c r="H442" s="14">
        <v>10</v>
      </c>
      <c r="I442" s="14"/>
      <c r="J442" s="14"/>
    </row>
    <row r="443" spans="1:10">
      <c r="A443" s="14">
        <f>IF(B443="","",COUNTA($B$4:B443))</f>
        <v>440</v>
      </c>
      <c r="B443" s="14" t="s">
        <v>1547</v>
      </c>
      <c r="C443" s="14" t="s">
        <v>255</v>
      </c>
      <c r="D443" s="14" t="s">
        <v>256</v>
      </c>
      <c r="E443" s="14" t="s">
        <v>255</v>
      </c>
      <c r="F443" s="14" t="s">
        <v>150</v>
      </c>
      <c r="G443" s="14" t="s">
        <v>151</v>
      </c>
      <c r="H443" s="14">
        <v>10</v>
      </c>
      <c r="I443" s="14"/>
      <c r="J443" s="14"/>
    </row>
    <row r="444" spans="1:10">
      <c r="A444" s="14">
        <f>IF(B444="","",COUNTA($B$4:B444))</f>
        <v>441</v>
      </c>
      <c r="B444" s="14" t="s">
        <v>1547</v>
      </c>
      <c r="C444" s="14" t="s">
        <v>257</v>
      </c>
      <c r="D444" s="14" t="s">
        <v>258</v>
      </c>
      <c r="E444" s="14" t="s">
        <v>257</v>
      </c>
      <c r="F444" s="14" t="s">
        <v>169</v>
      </c>
      <c r="G444" s="14" t="s">
        <v>243</v>
      </c>
      <c r="H444" s="14"/>
      <c r="I444" s="14"/>
      <c r="J444" s="14"/>
    </row>
    <row r="445" spans="1:10">
      <c r="A445" s="14">
        <f>IF(B445="","",COUNTA($B$4:B445))</f>
        <v>442</v>
      </c>
      <c r="B445" s="14" t="s">
        <v>1547</v>
      </c>
      <c r="C445" s="14" t="s">
        <v>259</v>
      </c>
      <c r="D445" s="14" t="s">
        <v>260</v>
      </c>
      <c r="E445" s="14" t="s">
        <v>259</v>
      </c>
      <c r="F445" s="14" t="s">
        <v>150</v>
      </c>
      <c r="G445" s="14" t="s">
        <v>151</v>
      </c>
      <c r="H445" s="14">
        <v>10</v>
      </c>
      <c r="I445" s="14"/>
      <c r="J445" s="14"/>
    </row>
    <row r="446" spans="1:10">
      <c r="A446" s="14">
        <f>IF(B446="","",COUNTA($B$4:B446))</f>
        <v>443</v>
      </c>
      <c r="B446" s="14" t="s">
        <v>1547</v>
      </c>
      <c r="C446" s="14" t="s">
        <v>261</v>
      </c>
      <c r="D446" s="14" t="s">
        <v>262</v>
      </c>
      <c r="E446" s="14" t="s">
        <v>261</v>
      </c>
      <c r="F446" s="14" t="s">
        <v>150</v>
      </c>
      <c r="G446" s="14" t="s">
        <v>151</v>
      </c>
      <c r="H446" s="14">
        <v>10</v>
      </c>
      <c r="I446" s="14"/>
      <c r="J446" s="14"/>
    </row>
    <row r="447" spans="1:10">
      <c r="A447" s="14">
        <f>IF(B447="","",COUNTA($B$4:B447))</f>
        <v>444</v>
      </c>
      <c r="B447" s="14" t="s">
        <v>1547</v>
      </c>
      <c r="C447" s="14" t="s">
        <v>263</v>
      </c>
      <c r="D447" s="14" t="s">
        <v>264</v>
      </c>
      <c r="E447" s="14" t="s">
        <v>263</v>
      </c>
      <c r="F447" s="14" t="s">
        <v>169</v>
      </c>
      <c r="G447" s="14" t="s">
        <v>243</v>
      </c>
      <c r="H447" s="14"/>
      <c r="I447" s="14"/>
      <c r="J447" s="14"/>
    </row>
    <row r="448" spans="1:10">
      <c r="A448" s="14">
        <f>IF(B448="","",COUNTA($B$4:B448))</f>
        <v>445</v>
      </c>
      <c r="B448" s="14" t="s">
        <v>1548</v>
      </c>
      <c r="C448" s="14" t="s">
        <v>148</v>
      </c>
      <c r="D448" s="14" t="s">
        <v>149</v>
      </c>
      <c r="E448" s="14" t="s">
        <v>148</v>
      </c>
      <c r="F448" s="14" t="s">
        <v>150</v>
      </c>
      <c r="G448" s="14" t="s">
        <v>151</v>
      </c>
      <c r="H448" s="14">
        <v>15</v>
      </c>
      <c r="I448" s="14"/>
      <c r="J448" s="14"/>
    </row>
    <row r="449" spans="1:10">
      <c r="A449" s="14">
        <f>IF(B449="","",COUNTA($B$4:B449))</f>
        <v>446</v>
      </c>
      <c r="B449" s="14" t="s">
        <v>1548</v>
      </c>
      <c r="C449" s="14" t="s">
        <v>159</v>
      </c>
      <c r="D449" s="14" t="s">
        <v>160</v>
      </c>
      <c r="E449" s="14" t="s">
        <v>159</v>
      </c>
      <c r="F449" s="14" t="s">
        <v>150</v>
      </c>
      <c r="G449" s="14" t="s">
        <v>151</v>
      </c>
      <c r="H449" s="14">
        <v>4</v>
      </c>
      <c r="I449" s="14"/>
      <c r="J449" s="14"/>
    </row>
    <row r="450" spans="1:10">
      <c r="A450" s="14">
        <f>IF(B450="","",COUNTA($B$4:B450))</f>
        <v>447</v>
      </c>
      <c r="B450" s="14" t="s">
        <v>1548</v>
      </c>
      <c r="C450" s="14" t="s">
        <v>162</v>
      </c>
      <c r="D450" s="14" t="s">
        <v>163</v>
      </c>
      <c r="E450" s="14" t="s">
        <v>164</v>
      </c>
      <c r="F450" s="14" t="s">
        <v>150</v>
      </c>
      <c r="G450" s="14" t="s">
        <v>151</v>
      </c>
      <c r="H450" s="14">
        <v>4</v>
      </c>
      <c r="I450" s="14"/>
      <c r="J450" s="14"/>
    </row>
    <row r="451" spans="1:10">
      <c r="A451" s="14">
        <f>IF(B451="","",COUNTA($B$4:B451))</f>
        <v>448</v>
      </c>
      <c r="B451" s="14" t="s">
        <v>1548</v>
      </c>
      <c r="C451" s="14" t="s">
        <v>193</v>
      </c>
      <c r="D451" s="14" t="s">
        <v>194</v>
      </c>
      <c r="E451" s="14" t="s">
        <v>193</v>
      </c>
      <c r="F451" s="14" t="s">
        <v>150</v>
      </c>
      <c r="G451" s="14" t="s">
        <v>151</v>
      </c>
      <c r="H451" s="14">
        <v>5</v>
      </c>
      <c r="I451" s="14"/>
      <c r="J451" s="14"/>
    </row>
    <row r="452" spans="1:10">
      <c r="A452" s="14">
        <f>IF(B452="","",COUNTA($B$4:B452))</f>
        <v>449</v>
      </c>
      <c r="B452" s="14" t="s">
        <v>1548</v>
      </c>
      <c r="C452" s="14" t="s">
        <v>195</v>
      </c>
      <c r="D452" s="14" t="s">
        <v>196</v>
      </c>
      <c r="E452" s="14" t="s">
        <v>195</v>
      </c>
      <c r="F452" s="14" t="s">
        <v>150</v>
      </c>
      <c r="G452" s="14" t="s">
        <v>151</v>
      </c>
      <c r="H452" s="14">
        <v>80</v>
      </c>
      <c r="I452" s="14"/>
      <c r="J452" s="14"/>
    </row>
    <row r="453" spans="1:10">
      <c r="A453" s="14">
        <f>IF(B453="","",COUNTA($B$4:B453))</f>
        <v>450</v>
      </c>
      <c r="B453" s="14" t="s">
        <v>1548</v>
      </c>
      <c r="C453" s="14" t="s">
        <v>197</v>
      </c>
      <c r="D453" s="14" t="s">
        <v>198</v>
      </c>
      <c r="E453" s="14" t="s">
        <v>197</v>
      </c>
      <c r="F453" s="14" t="s">
        <v>150</v>
      </c>
      <c r="G453" s="14" t="s">
        <v>151</v>
      </c>
      <c r="H453" s="14">
        <v>5</v>
      </c>
      <c r="I453" s="14"/>
      <c r="J453" s="14"/>
    </row>
    <row r="454" spans="1:10">
      <c r="A454" s="14">
        <f>IF(B454="","",COUNTA($B$4:B454))</f>
        <v>451</v>
      </c>
      <c r="B454" s="14" t="s">
        <v>1548</v>
      </c>
      <c r="C454" s="14" t="s">
        <v>199</v>
      </c>
      <c r="D454" s="14" t="s">
        <v>200</v>
      </c>
      <c r="E454" s="14" t="s">
        <v>199</v>
      </c>
      <c r="F454" s="14" t="s">
        <v>150</v>
      </c>
      <c r="G454" s="14" t="s">
        <v>151</v>
      </c>
      <c r="H454" s="14">
        <v>20</v>
      </c>
      <c r="I454" s="14"/>
      <c r="J454" s="14"/>
    </row>
    <row r="455" spans="1:10">
      <c r="A455" s="14">
        <f>IF(B455="","",COUNTA($B$4:B455))</f>
        <v>452</v>
      </c>
      <c r="B455" s="14" t="s">
        <v>1548</v>
      </c>
      <c r="C455" s="14" t="s">
        <v>201</v>
      </c>
      <c r="D455" s="14" t="s">
        <v>202</v>
      </c>
      <c r="E455" s="14" t="s">
        <v>201</v>
      </c>
      <c r="F455" s="14" t="s">
        <v>150</v>
      </c>
      <c r="G455" s="14" t="s">
        <v>151</v>
      </c>
      <c r="H455" s="14">
        <v>30</v>
      </c>
      <c r="I455" s="14"/>
      <c r="J455" s="14"/>
    </row>
    <row r="456" spans="1:10">
      <c r="A456" s="14">
        <f>IF(B456="","",COUNTA($B$4:B456))</f>
        <v>453</v>
      </c>
      <c r="B456" s="14" t="s">
        <v>1548</v>
      </c>
      <c r="C456" s="14" t="s">
        <v>203</v>
      </c>
      <c r="D456" s="14" t="s">
        <v>204</v>
      </c>
      <c r="E456" s="14" t="s">
        <v>203</v>
      </c>
      <c r="F456" s="14" t="s">
        <v>155</v>
      </c>
      <c r="G456" s="14" t="s">
        <v>156</v>
      </c>
      <c r="H456" s="14">
        <v>5</v>
      </c>
      <c r="I456" s="14">
        <v>2</v>
      </c>
      <c r="J456" s="14"/>
    </row>
    <row r="457" spans="1:10">
      <c r="A457" s="14">
        <f>IF(B457="","",COUNTA($B$4:B457))</f>
        <v>454</v>
      </c>
      <c r="B457" s="14" t="s">
        <v>1548</v>
      </c>
      <c r="C457" s="14" t="s">
        <v>205</v>
      </c>
      <c r="D457" s="14" t="s">
        <v>206</v>
      </c>
      <c r="E457" s="14" t="s">
        <v>205</v>
      </c>
      <c r="F457" s="14" t="s">
        <v>155</v>
      </c>
      <c r="G457" s="14" t="s">
        <v>156</v>
      </c>
      <c r="H457" s="14">
        <v>4</v>
      </c>
      <c r="I457" s="14"/>
      <c r="J457" s="14"/>
    </row>
    <row r="458" spans="1:10">
      <c r="A458" s="14">
        <f>IF(B458="","",COUNTA($B$4:B458))</f>
        <v>455</v>
      </c>
      <c r="B458" s="14" t="s">
        <v>1548</v>
      </c>
      <c r="C458" s="14" t="s">
        <v>208</v>
      </c>
      <c r="D458" s="14" t="s">
        <v>209</v>
      </c>
      <c r="E458" s="14" t="s">
        <v>208</v>
      </c>
      <c r="F458" s="14" t="s">
        <v>155</v>
      </c>
      <c r="G458" s="14" t="s">
        <v>156</v>
      </c>
      <c r="H458" s="14">
        <v>5</v>
      </c>
      <c r="I458" s="14"/>
      <c r="J458" s="14"/>
    </row>
    <row r="459" spans="1:10">
      <c r="A459" s="14">
        <f>IF(B459="","",COUNTA($B$4:B459))</f>
        <v>456</v>
      </c>
      <c r="B459" s="14" t="s">
        <v>1548</v>
      </c>
      <c r="C459" s="14" t="s">
        <v>228</v>
      </c>
      <c r="D459" s="14" t="s">
        <v>229</v>
      </c>
      <c r="E459" s="14" t="s">
        <v>228</v>
      </c>
      <c r="F459" s="14" t="s">
        <v>150</v>
      </c>
      <c r="G459" s="14" t="s">
        <v>151</v>
      </c>
      <c r="H459" s="14">
        <v>1000</v>
      </c>
      <c r="I459" s="14"/>
      <c r="J459" s="14"/>
    </row>
    <row r="460" spans="1:10">
      <c r="A460" s="14">
        <f>IF(B460="","",COUNTA($B$4:B460))</f>
        <v>457</v>
      </c>
      <c r="B460" s="14" t="s">
        <v>1548</v>
      </c>
      <c r="C460" s="14" t="s">
        <v>1423</v>
      </c>
      <c r="D460" s="14" t="s">
        <v>1378</v>
      </c>
      <c r="E460" s="14" t="s">
        <v>1423</v>
      </c>
      <c r="F460" s="14" t="s">
        <v>150</v>
      </c>
      <c r="G460" s="14" t="s">
        <v>151</v>
      </c>
      <c r="H460" s="14">
        <v>15</v>
      </c>
      <c r="I460" s="14"/>
      <c r="J460" s="14"/>
    </row>
    <row r="461" spans="1:10">
      <c r="A461" s="14">
        <f>IF(B461="","",COUNTA($B$4:B461))</f>
        <v>458</v>
      </c>
      <c r="B461" s="14" t="s">
        <v>1548</v>
      </c>
      <c r="C461" s="14" t="s">
        <v>375</v>
      </c>
      <c r="D461" s="14" t="s">
        <v>376</v>
      </c>
      <c r="E461" s="14" t="s">
        <v>375</v>
      </c>
      <c r="F461" s="14" t="s">
        <v>169</v>
      </c>
      <c r="G461" s="14" t="s">
        <v>170</v>
      </c>
      <c r="H461" s="14"/>
      <c r="I461" s="14"/>
      <c r="J461" s="14"/>
    </row>
    <row r="462" spans="1:10">
      <c r="A462" s="14">
        <f>IF(B462="","",COUNTA($B$4:B462))</f>
        <v>459</v>
      </c>
      <c r="B462" s="14" t="s">
        <v>1548</v>
      </c>
      <c r="C462" s="14" t="s">
        <v>249</v>
      </c>
      <c r="D462" s="14" t="s">
        <v>250</v>
      </c>
      <c r="E462" s="14" t="s">
        <v>249</v>
      </c>
      <c r="F462" s="14" t="s">
        <v>150</v>
      </c>
      <c r="G462" s="14" t="s">
        <v>151</v>
      </c>
      <c r="H462" s="14">
        <v>4</v>
      </c>
      <c r="I462" s="14"/>
      <c r="J462" s="14"/>
    </row>
    <row r="463" spans="1:10">
      <c r="A463" s="14">
        <f>IF(B463="","",COUNTA($B$4:B463))</f>
        <v>460</v>
      </c>
      <c r="B463" s="14" t="s">
        <v>1548</v>
      </c>
      <c r="C463" s="14" t="s">
        <v>251</v>
      </c>
      <c r="D463" s="14" t="s">
        <v>252</v>
      </c>
      <c r="E463" s="14" t="s">
        <v>251</v>
      </c>
      <c r="F463" s="14" t="s">
        <v>150</v>
      </c>
      <c r="G463" s="14" t="s">
        <v>151</v>
      </c>
      <c r="H463" s="14">
        <v>4</v>
      </c>
      <c r="I463" s="14"/>
      <c r="J463" s="14"/>
    </row>
    <row r="464" spans="1:10">
      <c r="A464" s="14">
        <f>IF(B464="","",COUNTA($B$4:B464))</f>
        <v>461</v>
      </c>
      <c r="B464" s="14" t="s">
        <v>1548</v>
      </c>
      <c r="C464" s="14" t="s">
        <v>253</v>
      </c>
      <c r="D464" s="14" t="s">
        <v>254</v>
      </c>
      <c r="E464" s="14" t="s">
        <v>253</v>
      </c>
      <c r="F464" s="14" t="s">
        <v>150</v>
      </c>
      <c r="G464" s="14" t="s">
        <v>151</v>
      </c>
      <c r="H464" s="14">
        <v>10</v>
      </c>
      <c r="I464" s="14"/>
      <c r="J464" s="14"/>
    </row>
    <row r="465" spans="1:10">
      <c r="A465" s="14">
        <f>IF(B465="","",COUNTA($B$4:B465))</f>
        <v>462</v>
      </c>
      <c r="B465" s="14" t="s">
        <v>1548</v>
      </c>
      <c r="C465" s="14" t="s">
        <v>255</v>
      </c>
      <c r="D465" s="14" t="s">
        <v>256</v>
      </c>
      <c r="E465" s="14" t="s">
        <v>255</v>
      </c>
      <c r="F465" s="14" t="s">
        <v>150</v>
      </c>
      <c r="G465" s="14" t="s">
        <v>151</v>
      </c>
      <c r="H465" s="14">
        <v>10</v>
      </c>
      <c r="I465" s="14"/>
      <c r="J465" s="14"/>
    </row>
    <row r="466" spans="1:10">
      <c r="A466" s="14">
        <f>IF(B466="","",COUNTA($B$4:B466))</f>
        <v>463</v>
      </c>
      <c r="B466" s="14" t="s">
        <v>1548</v>
      </c>
      <c r="C466" s="14" t="s">
        <v>257</v>
      </c>
      <c r="D466" s="14" t="s">
        <v>258</v>
      </c>
      <c r="E466" s="14" t="s">
        <v>257</v>
      </c>
      <c r="F466" s="14" t="s">
        <v>169</v>
      </c>
      <c r="G466" s="14" t="s">
        <v>243</v>
      </c>
      <c r="H466" s="14"/>
      <c r="I466" s="14"/>
      <c r="J466" s="14"/>
    </row>
    <row r="467" spans="1:10">
      <c r="A467" s="14">
        <f>IF(B467="","",COUNTA($B$4:B467))</f>
        <v>464</v>
      </c>
      <c r="B467" s="14" t="s">
        <v>1548</v>
      </c>
      <c r="C467" s="14" t="s">
        <v>259</v>
      </c>
      <c r="D467" s="14" t="s">
        <v>260</v>
      </c>
      <c r="E467" s="14" t="s">
        <v>259</v>
      </c>
      <c r="F467" s="14" t="s">
        <v>150</v>
      </c>
      <c r="G467" s="14" t="s">
        <v>151</v>
      </c>
      <c r="H467" s="14">
        <v>10</v>
      </c>
      <c r="I467" s="14"/>
      <c r="J467" s="14"/>
    </row>
    <row r="468" spans="1:10">
      <c r="A468" s="14">
        <f>IF(B468="","",COUNTA($B$4:B468))</f>
        <v>465</v>
      </c>
      <c r="B468" s="14" t="s">
        <v>1548</v>
      </c>
      <c r="C468" s="14" t="s">
        <v>261</v>
      </c>
      <c r="D468" s="14" t="s">
        <v>262</v>
      </c>
      <c r="E468" s="14" t="s">
        <v>261</v>
      </c>
      <c r="F468" s="14" t="s">
        <v>150</v>
      </c>
      <c r="G468" s="14" t="s">
        <v>151</v>
      </c>
      <c r="H468" s="14">
        <v>10</v>
      </c>
      <c r="I468" s="14"/>
      <c r="J468" s="14"/>
    </row>
    <row r="469" spans="1:10">
      <c r="A469" s="14">
        <f>IF(B469="","",COUNTA($B$4:B469))</f>
        <v>466</v>
      </c>
      <c r="B469" s="14" t="s">
        <v>1548</v>
      </c>
      <c r="C469" s="14" t="s">
        <v>263</v>
      </c>
      <c r="D469" s="14" t="s">
        <v>264</v>
      </c>
      <c r="E469" s="14" t="s">
        <v>263</v>
      </c>
      <c r="F469" s="14" t="s">
        <v>169</v>
      </c>
      <c r="G469" s="14" t="s">
        <v>243</v>
      </c>
      <c r="H469" s="14"/>
      <c r="I469" s="14"/>
      <c r="J469" s="14"/>
    </row>
    <row r="470" spans="1:10">
      <c r="A470" s="14">
        <f>IF(B470="","",COUNTA($B$4:B470))</f>
        <v>467</v>
      </c>
      <c r="B470" s="14" t="s">
        <v>1549</v>
      </c>
      <c r="C470" s="14" t="s">
        <v>148</v>
      </c>
      <c r="D470" s="14" t="s">
        <v>149</v>
      </c>
      <c r="E470" s="14" t="s">
        <v>148</v>
      </c>
      <c r="F470" s="14" t="s">
        <v>150</v>
      </c>
      <c r="G470" s="14" t="s">
        <v>151</v>
      </c>
      <c r="H470" s="14">
        <v>15</v>
      </c>
      <c r="I470" s="14"/>
      <c r="J470" s="14"/>
    </row>
    <row r="471" spans="1:10">
      <c r="A471" s="14">
        <f>IF(B471="","",COUNTA($B$4:B471))</f>
        <v>468</v>
      </c>
      <c r="B471" s="14" t="s">
        <v>1549</v>
      </c>
      <c r="C471" s="14" t="s">
        <v>381</v>
      </c>
      <c r="D471" s="14" t="s">
        <v>382</v>
      </c>
      <c r="E471" s="14" t="s">
        <v>381</v>
      </c>
      <c r="F471" s="14" t="s">
        <v>150</v>
      </c>
      <c r="G471" s="14" t="s">
        <v>151</v>
      </c>
      <c r="H471" s="14">
        <v>30</v>
      </c>
      <c r="I471" s="14"/>
      <c r="J471" s="14"/>
    </row>
    <row r="472" spans="1:10">
      <c r="A472" s="14">
        <f>IF(B472="","",COUNTA($B$4:B472))</f>
        <v>469</v>
      </c>
      <c r="B472" s="14" t="s">
        <v>1549</v>
      </c>
      <c r="C472" s="14" t="s">
        <v>338</v>
      </c>
      <c r="D472" s="14" t="s">
        <v>339</v>
      </c>
      <c r="E472" s="14" t="s">
        <v>338</v>
      </c>
      <c r="F472" s="14" t="s">
        <v>155</v>
      </c>
      <c r="G472" s="14" t="s">
        <v>156</v>
      </c>
      <c r="H472" s="14">
        <v>3</v>
      </c>
      <c r="I472" s="14"/>
      <c r="J472" s="14"/>
    </row>
    <row r="473" spans="1:10">
      <c r="A473" s="14">
        <f>IF(B473="","",COUNTA($B$4:B473))</f>
        <v>470</v>
      </c>
      <c r="B473" s="14" t="s">
        <v>1549</v>
      </c>
      <c r="C473" s="14" t="s">
        <v>197</v>
      </c>
      <c r="D473" s="14" t="s">
        <v>198</v>
      </c>
      <c r="E473" s="14" t="s">
        <v>197</v>
      </c>
      <c r="F473" s="14" t="s">
        <v>150</v>
      </c>
      <c r="G473" s="14" t="s">
        <v>151</v>
      </c>
      <c r="H473" s="14">
        <v>5</v>
      </c>
      <c r="I473" s="14"/>
      <c r="J473" s="14"/>
    </row>
    <row r="474" spans="1:10">
      <c r="A474" s="14">
        <f>IF(B474="","",COUNTA($B$4:B474))</f>
        <v>471</v>
      </c>
      <c r="B474" s="14" t="s">
        <v>1549</v>
      </c>
      <c r="C474" s="14" t="s">
        <v>199</v>
      </c>
      <c r="D474" s="14" t="s">
        <v>200</v>
      </c>
      <c r="E474" s="14" t="s">
        <v>1425</v>
      </c>
      <c r="F474" s="14" t="s">
        <v>150</v>
      </c>
      <c r="G474" s="14" t="s">
        <v>151</v>
      </c>
      <c r="H474" s="14">
        <v>20</v>
      </c>
      <c r="I474" s="14"/>
      <c r="J474" s="14"/>
    </row>
    <row r="475" spans="1:10">
      <c r="A475" s="14">
        <f>IF(B475="","",COUNTA($B$4:B475))</f>
        <v>472</v>
      </c>
      <c r="B475" s="14" t="s">
        <v>1549</v>
      </c>
      <c r="C475" s="14" t="s">
        <v>201</v>
      </c>
      <c r="D475" s="14" t="s">
        <v>202</v>
      </c>
      <c r="E475" s="14" t="s">
        <v>1426</v>
      </c>
      <c r="F475" s="14" t="s">
        <v>150</v>
      </c>
      <c r="G475" s="14" t="s">
        <v>1498</v>
      </c>
      <c r="H475" s="14">
        <v>30</v>
      </c>
      <c r="I475" s="14"/>
      <c r="J475" s="14"/>
    </row>
    <row r="476" spans="1:10">
      <c r="A476" s="14">
        <f>IF(B476="","",COUNTA($B$4:B476))</f>
        <v>473</v>
      </c>
      <c r="B476" s="14" t="s">
        <v>1549</v>
      </c>
      <c r="C476" s="14" t="s">
        <v>1427</v>
      </c>
      <c r="D476" s="14" t="s">
        <v>1380</v>
      </c>
      <c r="E476" s="14" t="s">
        <v>1427</v>
      </c>
      <c r="F476" s="14" t="s">
        <v>150</v>
      </c>
      <c r="G476" s="14" t="s">
        <v>151</v>
      </c>
      <c r="H476" s="14">
        <v>3</v>
      </c>
      <c r="I476" s="14"/>
      <c r="J476" s="14"/>
    </row>
    <row r="477" spans="1:10">
      <c r="A477" s="14">
        <f>IF(B477="","",COUNTA($B$4:B477))</f>
        <v>474</v>
      </c>
      <c r="B477" s="14" t="s">
        <v>1549</v>
      </c>
      <c r="C477" s="14" t="s">
        <v>1428</v>
      </c>
      <c r="D477" s="14" t="s">
        <v>1505</v>
      </c>
      <c r="E477" s="14" t="s">
        <v>1428</v>
      </c>
      <c r="F477" s="14" t="s">
        <v>155</v>
      </c>
      <c r="G477" s="14" t="s">
        <v>156</v>
      </c>
      <c r="H477" s="14">
        <v>5</v>
      </c>
      <c r="I477" s="14">
        <v>2</v>
      </c>
      <c r="J477" s="14"/>
    </row>
    <row r="478" spans="1:10">
      <c r="A478" s="14">
        <f>IF(B478="","",COUNTA($B$4:B478))</f>
        <v>475</v>
      </c>
      <c r="B478" s="14" t="s">
        <v>1549</v>
      </c>
      <c r="C478" s="14" t="s">
        <v>228</v>
      </c>
      <c r="D478" s="14" t="s">
        <v>229</v>
      </c>
      <c r="E478" s="14" t="s">
        <v>228</v>
      </c>
      <c r="F478" s="14" t="s">
        <v>150</v>
      </c>
      <c r="G478" s="14" t="s">
        <v>151</v>
      </c>
      <c r="H478" s="14">
        <v>1000</v>
      </c>
      <c r="I478" s="14"/>
      <c r="J478" s="14"/>
    </row>
    <row r="479" spans="1:10">
      <c r="A479" s="14">
        <f>IF(B479="","",COUNTA($B$4:B479))</f>
        <v>476</v>
      </c>
      <c r="B479" s="14" t="s">
        <v>1549</v>
      </c>
      <c r="C479" s="14" t="s">
        <v>249</v>
      </c>
      <c r="D479" s="14" t="s">
        <v>250</v>
      </c>
      <c r="E479" s="14" t="s">
        <v>249</v>
      </c>
      <c r="F479" s="14" t="s">
        <v>150</v>
      </c>
      <c r="G479" s="14" t="s">
        <v>151</v>
      </c>
      <c r="H479" s="14">
        <v>4</v>
      </c>
      <c r="I479" s="14"/>
      <c r="J479" s="14"/>
    </row>
    <row r="480" spans="1:10">
      <c r="A480" s="14">
        <f>IF(B480="","",COUNTA($B$4:B480))</f>
        <v>477</v>
      </c>
      <c r="B480" s="14" t="s">
        <v>1549</v>
      </c>
      <c r="C480" s="14" t="s">
        <v>251</v>
      </c>
      <c r="D480" s="14" t="s">
        <v>252</v>
      </c>
      <c r="E480" s="14" t="s">
        <v>251</v>
      </c>
      <c r="F480" s="14" t="s">
        <v>150</v>
      </c>
      <c r="G480" s="14" t="s">
        <v>151</v>
      </c>
      <c r="H480" s="14">
        <v>4</v>
      </c>
      <c r="I480" s="14"/>
      <c r="J480" s="14"/>
    </row>
    <row r="481" spans="1:10">
      <c r="A481" s="14">
        <f>IF(B481="","",COUNTA($B$4:B481))</f>
        <v>478</v>
      </c>
      <c r="B481" s="14" t="s">
        <v>1549</v>
      </c>
      <c r="C481" s="14" t="s">
        <v>253</v>
      </c>
      <c r="D481" s="14" t="s">
        <v>254</v>
      </c>
      <c r="E481" s="14" t="s">
        <v>253</v>
      </c>
      <c r="F481" s="14" t="s">
        <v>150</v>
      </c>
      <c r="G481" s="14" t="s">
        <v>151</v>
      </c>
      <c r="H481" s="14">
        <v>10</v>
      </c>
      <c r="I481" s="14"/>
      <c r="J481" s="14"/>
    </row>
    <row r="482" spans="1:10">
      <c r="A482" s="14">
        <f>IF(B482="","",COUNTA($B$4:B482))</f>
        <v>479</v>
      </c>
      <c r="B482" s="14" t="s">
        <v>1549</v>
      </c>
      <c r="C482" s="14" t="s">
        <v>255</v>
      </c>
      <c r="D482" s="14" t="s">
        <v>256</v>
      </c>
      <c r="E482" s="14" t="s">
        <v>255</v>
      </c>
      <c r="F482" s="14" t="s">
        <v>150</v>
      </c>
      <c r="G482" s="14" t="s">
        <v>151</v>
      </c>
      <c r="H482" s="14">
        <v>10</v>
      </c>
      <c r="I482" s="14"/>
      <c r="J482" s="14"/>
    </row>
    <row r="483" spans="1:10">
      <c r="A483" s="14">
        <f>IF(B483="","",COUNTA($B$4:B483))</f>
        <v>480</v>
      </c>
      <c r="B483" s="14" t="s">
        <v>1549</v>
      </c>
      <c r="C483" s="14" t="s">
        <v>257</v>
      </c>
      <c r="D483" s="14" t="s">
        <v>258</v>
      </c>
      <c r="E483" s="14" t="s">
        <v>257</v>
      </c>
      <c r="F483" s="14" t="s">
        <v>169</v>
      </c>
      <c r="G483" s="14" t="s">
        <v>243</v>
      </c>
      <c r="H483" s="14"/>
      <c r="I483" s="14"/>
      <c r="J483" s="14"/>
    </row>
    <row r="484" spans="1:10">
      <c r="A484" s="14">
        <f>IF(B484="","",COUNTA($B$4:B484))</f>
        <v>481</v>
      </c>
      <c r="B484" s="14" t="s">
        <v>1549</v>
      </c>
      <c r="C484" s="14" t="s">
        <v>259</v>
      </c>
      <c r="D484" s="14" t="s">
        <v>260</v>
      </c>
      <c r="E484" s="14" t="s">
        <v>259</v>
      </c>
      <c r="F484" s="14" t="s">
        <v>150</v>
      </c>
      <c r="G484" s="14" t="s">
        <v>151</v>
      </c>
      <c r="H484" s="14">
        <v>10</v>
      </c>
      <c r="I484" s="14"/>
      <c r="J484" s="14"/>
    </row>
    <row r="485" spans="1:10">
      <c r="A485" s="14">
        <f>IF(B485="","",COUNTA($B$4:B485))</f>
        <v>482</v>
      </c>
      <c r="B485" s="14" t="s">
        <v>1549</v>
      </c>
      <c r="C485" s="14" t="s">
        <v>261</v>
      </c>
      <c r="D485" s="14" t="s">
        <v>262</v>
      </c>
      <c r="E485" s="14" t="s">
        <v>261</v>
      </c>
      <c r="F485" s="14" t="s">
        <v>150</v>
      </c>
      <c r="G485" s="14" t="s">
        <v>151</v>
      </c>
      <c r="H485" s="14">
        <v>10</v>
      </c>
      <c r="I485" s="14"/>
      <c r="J485" s="14"/>
    </row>
    <row r="486" spans="1:10">
      <c r="A486" s="14">
        <f>IF(B486="","",COUNTA($B$4:B486))</f>
        <v>483</v>
      </c>
      <c r="B486" s="14" t="s">
        <v>1549</v>
      </c>
      <c r="C486" s="14" t="s">
        <v>263</v>
      </c>
      <c r="D486" s="14" t="s">
        <v>264</v>
      </c>
      <c r="E486" s="14" t="s">
        <v>263</v>
      </c>
      <c r="F486" s="14" t="s">
        <v>169</v>
      </c>
      <c r="G486" s="14" t="s">
        <v>243</v>
      </c>
      <c r="H486" s="14"/>
      <c r="I486" s="14"/>
      <c r="J486" s="14"/>
    </row>
    <row r="487" spans="1:10">
      <c r="A487" s="14">
        <f>IF(B487="","",COUNTA($B$4:B487))</f>
        <v>484</v>
      </c>
      <c r="B487" s="14" t="s">
        <v>1550</v>
      </c>
      <c r="C487" s="14" t="s">
        <v>148</v>
      </c>
      <c r="D487" s="14" t="s">
        <v>149</v>
      </c>
      <c r="E487" s="14" t="s">
        <v>148</v>
      </c>
      <c r="F487" s="14" t="s">
        <v>150</v>
      </c>
      <c r="G487" s="14" t="s">
        <v>151</v>
      </c>
      <c r="H487" s="14">
        <v>15</v>
      </c>
      <c r="I487" s="14"/>
      <c r="J487" s="14"/>
    </row>
    <row r="488" spans="1:10">
      <c r="A488" s="14">
        <f>IF(B488="","",COUNTA($B$4:B488))</f>
        <v>485</v>
      </c>
      <c r="B488" s="14" t="s">
        <v>1550</v>
      </c>
      <c r="C488" s="14" t="s">
        <v>159</v>
      </c>
      <c r="D488" s="14" t="s">
        <v>160</v>
      </c>
      <c r="E488" s="14" t="s">
        <v>159</v>
      </c>
      <c r="F488" s="14" t="s">
        <v>150</v>
      </c>
      <c r="G488" s="14" t="s">
        <v>151</v>
      </c>
      <c r="H488" s="14">
        <v>4</v>
      </c>
      <c r="I488" s="14"/>
      <c r="J488" s="14"/>
    </row>
    <row r="489" spans="1:10">
      <c r="A489" s="14">
        <f>IF(B489="","",COUNTA($B$4:B489))</f>
        <v>486</v>
      </c>
      <c r="B489" s="14" t="s">
        <v>1550</v>
      </c>
      <c r="C489" s="14" t="s">
        <v>162</v>
      </c>
      <c r="D489" s="14" t="s">
        <v>163</v>
      </c>
      <c r="E489" s="14" t="s">
        <v>164</v>
      </c>
      <c r="F489" s="14" t="s">
        <v>150</v>
      </c>
      <c r="G489" s="14" t="s">
        <v>151</v>
      </c>
      <c r="H489" s="14">
        <v>4</v>
      </c>
      <c r="I489" s="14"/>
      <c r="J489" s="14"/>
    </row>
    <row r="490" spans="1:10">
      <c r="A490" s="14">
        <f>IF(B490="","",COUNTA($B$4:B490))</f>
        <v>487</v>
      </c>
      <c r="B490" s="14" t="s">
        <v>1550</v>
      </c>
      <c r="C490" s="14" t="s">
        <v>193</v>
      </c>
      <c r="D490" s="14" t="s">
        <v>194</v>
      </c>
      <c r="E490" s="14" t="s">
        <v>193</v>
      </c>
      <c r="F490" s="14" t="s">
        <v>150</v>
      </c>
      <c r="G490" s="14" t="s">
        <v>151</v>
      </c>
      <c r="H490" s="14">
        <v>5</v>
      </c>
      <c r="I490" s="14"/>
      <c r="J490" s="15"/>
    </row>
    <row r="491" spans="1:10">
      <c r="A491" s="14">
        <f>IF(B491="","",COUNTA($B$4:B491))</f>
        <v>488</v>
      </c>
      <c r="B491" s="14" t="s">
        <v>1550</v>
      </c>
      <c r="C491" s="14" t="s">
        <v>195</v>
      </c>
      <c r="D491" s="14" t="s">
        <v>196</v>
      </c>
      <c r="E491" s="14" t="s">
        <v>195</v>
      </c>
      <c r="F491" s="14" t="s">
        <v>150</v>
      </c>
      <c r="G491" s="14" t="s">
        <v>151</v>
      </c>
      <c r="H491" s="14">
        <v>80</v>
      </c>
      <c r="I491" s="14"/>
      <c r="J491" s="15"/>
    </row>
    <row r="492" spans="1:10">
      <c r="A492" s="14">
        <f>IF(B492="","",COUNTA($B$4:B492))</f>
        <v>489</v>
      </c>
      <c r="B492" s="14" t="s">
        <v>1550</v>
      </c>
      <c r="C492" s="14" t="s">
        <v>197</v>
      </c>
      <c r="D492" s="14" t="s">
        <v>198</v>
      </c>
      <c r="E492" s="14" t="s">
        <v>197</v>
      </c>
      <c r="F492" s="14" t="s">
        <v>150</v>
      </c>
      <c r="G492" s="14" t="s">
        <v>151</v>
      </c>
      <c r="H492" s="14">
        <v>5</v>
      </c>
      <c r="I492" s="14"/>
      <c r="J492" s="15"/>
    </row>
    <row r="493" spans="1:10">
      <c r="A493" s="14">
        <f>IF(B493="","",COUNTA($B$4:B493))</f>
        <v>490</v>
      </c>
      <c r="B493" s="14" t="s">
        <v>1550</v>
      </c>
      <c r="C493" s="14" t="s">
        <v>199</v>
      </c>
      <c r="D493" s="14" t="s">
        <v>200</v>
      </c>
      <c r="E493" s="14" t="s">
        <v>199</v>
      </c>
      <c r="F493" s="14" t="s">
        <v>150</v>
      </c>
      <c r="G493" s="14" t="s">
        <v>151</v>
      </c>
      <c r="H493" s="14">
        <v>20</v>
      </c>
      <c r="I493" s="14"/>
      <c r="J493" s="15"/>
    </row>
    <row r="494" spans="1:10">
      <c r="A494" s="14">
        <f>IF(B494="","",COUNTA($B$4:B494))</f>
        <v>491</v>
      </c>
      <c r="B494" s="14" t="s">
        <v>1550</v>
      </c>
      <c r="C494" s="14" t="s">
        <v>201</v>
      </c>
      <c r="D494" s="14" t="s">
        <v>202</v>
      </c>
      <c r="E494" s="14" t="s">
        <v>201</v>
      </c>
      <c r="F494" s="14" t="s">
        <v>150</v>
      </c>
      <c r="G494" s="14" t="s">
        <v>151</v>
      </c>
      <c r="H494" s="14">
        <v>30</v>
      </c>
      <c r="I494" s="14"/>
      <c r="J494" s="15"/>
    </row>
    <row r="495" spans="1:10">
      <c r="A495" s="14">
        <f>IF(B495="","",COUNTA($B$4:B495))</f>
        <v>492</v>
      </c>
      <c r="B495" s="14" t="s">
        <v>1550</v>
      </c>
      <c r="C495" s="14" t="s">
        <v>203</v>
      </c>
      <c r="D495" s="14" t="s">
        <v>204</v>
      </c>
      <c r="E495" s="14" t="s">
        <v>203</v>
      </c>
      <c r="F495" s="14" t="s">
        <v>155</v>
      </c>
      <c r="G495" s="14" t="s">
        <v>156</v>
      </c>
      <c r="H495" s="14">
        <v>5</v>
      </c>
      <c r="I495" s="14">
        <v>2</v>
      </c>
      <c r="J495" s="15"/>
    </row>
    <row r="496" spans="1:10">
      <c r="A496" s="14">
        <f>IF(B496="","",COUNTA($B$4:B496))</f>
        <v>493</v>
      </c>
      <c r="B496" s="14" t="s">
        <v>1550</v>
      </c>
      <c r="C496" s="14" t="s">
        <v>205</v>
      </c>
      <c r="D496" s="14" t="s">
        <v>206</v>
      </c>
      <c r="E496" s="14" t="s">
        <v>205</v>
      </c>
      <c r="F496" s="14" t="s">
        <v>155</v>
      </c>
      <c r="G496" s="14" t="s">
        <v>156</v>
      </c>
      <c r="H496" s="14">
        <v>4</v>
      </c>
      <c r="I496" s="14"/>
      <c r="J496" s="15"/>
    </row>
    <row r="497" spans="1:10">
      <c r="A497" s="14">
        <f>IF(B497="","",COUNTA($B$4:B497))</f>
        <v>494</v>
      </c>
      <c r="B497" s="14" t="s">
        <v>1550</v>
      </c>
      <c r="C497" s="14" t="s">
        <v>208</v>
      </c>
      <c r="D497" s="14" t="s">
        <v>209</v>
      </c>
      <c r="E497" s="14" t="s">
        <v>208</v>
      </c>
      <c r="F497" s="14" t="s">
        <v>155</v>
      </c>
      <c r="G497" s="14" t="s">
        <v>156</v>
      </c>
      <c r="H497" s="14">
        <v>5</v>
      </c>
      <c r="I497" s="14"/>
      <c r="J497" s="15"/>
    </row>
    <row r="498" spans="1:10">
      <c r="A498" s="14">
        <f>IF(B498="","",COUNTA($B$4:B498))</f>
        <v>495</v>
      </c>
      <c r="B498" s="14" t="s">
        <v>1550</v>
      </c>
      <c r="C498" s="14" t="s">
        <v>228</v>
      </c>
      <c r="D498" s="14" t="s">
        <v>229</v>
      </c>
      <c r="E498" s="14" t="s">
        <v>228</v>
      </c>
      <c r="F498" s="14" t="s">
        <v>150</v>
      </c>
      <c r="G498" s="14" t="s">
        <v>151</v>
      </c>
      <c r="H498" s="14">
        <v>1000</v>
      </c>
      <c r="I498" s="14"/>
      <c r="J498" s="15"/>
    </row>
    <row r="499" spans="1:10">
      <c r="A499" s="14">
        <f>IF(B499="","",COUNTA($B$4:B499))</f>
        <v>496</v>
      </c>
      <c r="B499" s="14" t="s">
        <v>1550</v>
      </c>
      <c r="C499" s="14" t="s">
        <v>1423</v>
      </c>
      <c r="D499" s="14" t="s">
        <v>1378</v>
      </c>
      <c r="E499" s="14" t="s">
        <v>1423</v>
      </c>
      <c r="F499" s="14" t="s">
        <v>150</v>
      </c>
      <c r="G499" s="14" t="s">
        <v>151</v>
      </c>
      <c r="H499" s="14">
        <v>15</v>
      </c>
      <c r="I499" s="14"/>
      <c r="J499" s="15"/>
    </row>
    <row r="500" spans="1:10">
      <c r="A500" s="14">
        <f>IF(B500="","",COUNTA($B$4:B500))</f>
        <v>497</v>
      </c>
      <c r="B500" s="14" t="s">
        <v>1550</v>
      </c>
      <c r="C500" s="14" t="s">
        <v>375</v>
      </c>
      <c r="D500" s="14" t="s">
        <v>376</v>
      </c>
      <c r="E500" s="14" t="s">
        <v>375</v>
      </c>
      <c r="F500" s="14" t="s">
        <v>169</v>
      </c>
      <c r="G500" s="14" t="s">
        <v>170</v>
      </c>
      <c r="H500" s="14"/>
      <c r="I500" s="14"/>
      <c r="J500" s="15"/>
    </row>
    <row r="501" spans="1:10">
      <c r="A501" s="14">
        <f>IF(B501="","",COUNTA($B$4:B501))</f>
        <v>498</v>
      </c>
      <c r="B501" s="14" t="s">
        <v>1550</v>
      </c>
      <c r="C501" s="14" t="s">
        <v>249</v>
      </c>
      <c r="D501" s="14" t="s">
        <v>250</v>
      </c>
      <c r="E501" s="14" t="s">
        <v>249</v>
      </c>
      <c r="F501" s="14" t="s">
        <v>150</v>
      </c>
      <c r="G501" s="14" t="s">
        <v>151</v>
      </c>
      <c r="H501" s="14">
        <v>4</v>
      </c>
      <c r="I501" s="14"/>
      <c r="J501" s="15"/>
    </row>
    <row r="502" spans="1:10">
      <c r="A502" s="14">
        <f>IF(B502="","",COUNTA($B$4:B502))</f>
        <v>499</v>
      </c>
      <c r="B502" s="14" t="s">
        <v>1550</v>
      </c>
      <c r="C502" s="14" t="s">
        <v>251</v>
      </c>
      <c r="D502" s="14" t="s">
        <v>252</v>
      </c>
      <c r="E502" s="14" t="s">
        <v>251</v>
      </c>
      <c r="F502" s="14" t="s">
        <v>150</v>
      </c>
      <c r="G502" s="14" t="s">
        <v>151</v>
      </c>
      <c r="H502" s="14">
        <v>4</v>
      </c>
      <c r="I502" s="14"/>
      <c r="J502" s="15"/>
    </row>
    <row r="503" spans="1:10">
      <c r="A503" s="14">
        <f>IF(B503="","",COUNTA($B$4:B503))</f>
        <v>500</v>
      </c>
      <c r="B503" s="14" t="s">
        <v>1550</v>
      </c>
      <c r="C503" s="14" t="s">
        <v>253</v>
      </c>
      <c r="D503" s="14" t="s">
        <v>254</v>
      </c>
      <c r="E503" s="14" t="s">
        <v>253</v>
      </c>
      <c r="F503" s="14" t="s">
        <v>150</v>
      </c>
      <c r="G503" s="14" t="s">
        <v>151</v>
      </c>
      <c r="H503" s="14">
        <v>10</v>
      </c>
      <c r="I503" s="14"/>
      <c r="J503" s="15"/>
    </row>
    <row r="504" spans="1:10">
      <c r="A504" s="14">
        <f>IF(B504="","",COUNTA($B$4:B504))</f>
        <v>501</v>
      </c>
      <c r="B504" s="14" t="s">
        <v>1550</v>
      </c>
      <c r="C504" s="14" t="s">
        <v>255</v>
      </c>
      <c r="D504" s="14" t="s">
        <v>256</v>
      </c>
      <c r="E504" s="14" t="s">
        <v>255</v>
      </c>
      <c r="F504" s="14" t="s">
        <v>150</v>
      </c>
      <c r="G504" s="14" t="s">
        <v>151</v>
      </c>
      <c r="H504" s="14">
        <v>10</v>
      </c>
      <c r="I504" s="14"/>
      <c r="J504" s="15"/>
    </row>
    <row r="505" spans="1:10">
      <c r="A505" s="14">
        <f>IF(B505="","",COUNTA($B$4:B505))</f>
        <v>502</v>
      </c>
      <c r="B505" s="14" t="s">
        <v>1550</v>
      </c>
      <c r="C505" s="14" t="s">
        <v>257</v>
      </c>
      <c r="D505" s="14" t="s">
        <v>258</v>
      </c>
      <c r="E505" s="14" t="s">
        <v>257</v>
      </c>
      <c r="F505" s="14" t="s">
        <v>169</v>
      </c>
      <c r="G505" s="14" t="s">
        <v>243</v>
      </c>
      <c r="H505" s="14"/>
      <c r="I505" s="14"/>
      <c r="J505" s="15"/>
    </row>
    <row r="506" spans="1:10">
      <c r="A506" s="14">
        <f>IF(B506="","",COUNTA($B$4:B506))</f>
        <v>503</v>
      </c>
      <c r="B506" s="14" t="s">
        <v>1550</v>
      </c>
      <c r="C506" s="14" t="s">
        <v>259</v>
      </c>
      <c r="D506" s="14" t="s">
        <v>260</v>
      </c>
      <c r="E506" s="14" t="s">
        <v>259</v>
      </c>
      <c r="F506" s="14" t="s">
        <v>150</v>
      </c>
      <c r="G506" s="14" t="s">
        <v>151</v>
      </c>
      <c r="H506" s="14">
        <v>10</v>
      </c>
      <c r="I506" s="14"/>
      <c r="J506" s="15"/>
    </row>
    <row r="507" spans="1:10">
      <c r="A507" s="14">
        <f>IF(B507="","",COUNTA($B$4:B507))</f>
        <v>504</v>
      </c>
      <c r="B507" s="14" t="s">
        <v>1550</v>
      </c>
      <c r="C507" s="14" t="s">
        <v>261</v>
      </c>
      <c r="D507" s="14" t="s">
        <v>262</v>
      </c>
      <c r="E507" s="14" t="s">
        <v>261</v>
      </c>
      <c r="F507" s="14" t="s">
        <v>150</v>
      </c>
      <c r="G507" s="14" t="s">
        <v>151</v>
      </c>
      <c r="H507" s="14">
        <v>10</v>
      </c>
      <c r="I507" s="14"/>
      <c r="J507" s="15"/>
    </row>
    <row r="508" spans="1:10">
      <c r="A508" s="14">
        <f>IF(B508="","",COUNTA($B$4:B508))</f>
        <v>505</v>
      </c>
      <c r="B508" s="14" t="s">
        <v>1550</v>
      </c>
      <c r="C508" s="14" t="s">
        <v>263</v>
      </c>
      <c r="D508" s="14" t="s">
        <v>264</v>
      </c>
      <c r="E508" s="14" t="s">
        <v>263</v>
      </c>
      <c r="F508" s="14" t="s">
        <v>169</v>
      </c>
      <c r="G508" s="14" t="s">
        <v>243</v>
      </c>
      <c r="H508" s="14"/>
      <c r="I508" s="14"/>
      <c r="J508" s="15"/>
    </row>
    <row r="509" spans="1:10">
      <c r="A509" s="14">
        <f>IF(B509="","",COUNTA($B$4:B509))</f>
        <v>506</v>
      </c>
      <c r="B509" s="14" t="s">
        <v>1551</v>
      </c>
      <c r="C509" s="14" t="s">
        <v>148</v>
      </c>
      <c r="D509" s="14" t="s">
        <v>149</v>
      </c>
      <c r="E509" s="14" t="s">
        <v>148</v>
      </c>
      <c r="F509" s="14" t="s">
        <v>150</v>
      </c>
      <c r="G509" s="14" t="s">
        <v>151</v>
      </c>
      <c r="H509" s="14">
        <v>15</v>
      </c>
      <c r="I509" s="14"/>
      <c r="J509" s="15"/>
    </row>
    <row r="510" spans="1:10">
      <c r="A510" s="14">
        <f>IF(B510="","",COUNTA($B$4:B510))</f>
        <v>507</v>
      </c>
      <c r="B510" s="14" t="s">
        <v>1551</v>
      </c>
      <c r="C510" s="14" t="s">
        <v>338</v>
      </c>
      <c r="D510" s="14" t="s">
        <v>339</v>
      </c>
      <c r="E510" s="14" t="s">
        <v>338</v>
      </c>
      <c r="F510" s="14" t="s">
        <v>155</v>
      </c>
      <c r="G510" s="14" t="s">
        <v>156</v>
      </c>
      <c r="H510" s="14">
        <v>3</v>
      </c>
      <c r="I510" s="14"/>
      <c r="J510" s="15"/>
    </row>
    <row r="511" spans="1:10">
      <c r="A511" s="14">
        <f>IF(B511="","",COUNTA($B$4:B511))</f>
        <v>508</v>
      </c>
      <c r="B511" s="14" t="s">
        <v>1551</v>
      </c>
      <c r="C511" s="14" t="s">
        <v>197</v>
      </c>
      <c r="D511" s="14" t="s">
        <v>198</v>
      </c>
      <c r="E511" s="14" t="s">
        <v>197</v>
      </c>
      <c r="F511" s="14" t="s">
        <v>150</v>
      </c>
      <c r="G511" s="14" t="s">
        <v>151</v>
      </c>
      <c r="H511" s="14">
        <v>5</v>
      </c>
      <c r="I511" s="14"/>
      <c r="J511" s="15"/>
    </row>
    <row r="512" spans="1:10">
      <c r="A512" s="14">
        <f>IF(B512="","",COUNTA($B$4:B512))</f>
        <v>509</v>
      </c>
      <c r="B512" s="14" t="s">
        <v>1551</v>
      </c>
      <c r="C512" s="14" t="s">
        <v>199</v>
      </c>
      <c r="D512" s="14" t="s">
        <v>200</v>
      </c>
      <c r="E512" s="14" t="s">
        <v>199</v>
      </c>
      <c r="F512" s="14" t="s">
        <v>150</v>
      </c>
      <c r="G512" s="14" t="s">
        <v>151</v>
      </c>
      <c r="H512" s="14">
        <v>20</v>
      </c>
      <c r="I512" s="14"/>
      <c r="J512" s="15"/>
    </row>
    <row r="513" spans="1:10">
      <c r="A513" s="14">
        <f>IF(B513="","",COUNTA($B$4:B513))</f>
        <v>510</v>
      </c>
      <c r="B513" s="14" t="s">
        <v>1551</v>
      </c>
      <c r="C513" s="14" t="s">
        <v>201</v>
      </c>
      <c r="D513" s="14" t="s">
        <v>202</v>
      </c>
      <c r="E513" s="14" t="s">
        <v>201</v>
      </c>
      <c r="F513" s="14" t="s">
        <v>150</v>
      </c>
      <c r="G513" s="14" t="s">
        <v>151</v>
      </c>
      <c r="H513" s="14">
        <v>30</v>
      </c>
      <c r="I513" s="14"/>
      <c r="J513" s="15"/>
    </row>
    <row r="514" spans="1:10">
      <c r="A514" s="14">
        <f>IF(B514="","",COUNTA($B$4:B514))</f>
        <v>511</v>
      </c>
      <c r="B514" s="14" t="s">
        <v>1551</v>
      </c>
      <c r="C514" s="14" t="s">
        <v>203</v>
      </c>
      <c r="D514" s="14" t="s">
        <v>204</v>
      </c>
      <c r="E514" s="14" t="s">
        <v>203</v>
      </c>
      <c r="F514" s="14" t="s">
        <v>155</v>
      </c>
      <c r="G514" s="14" t="s">
        <v>156</v>
      </c>
      <c r="H514" s="14">
        <v>5</v>
      </c>
      <c r="I514" s="14">
        <v>2</v>
      </c>
      <c r="J514" s="15"/>
    </row>
    <row r="515" spans="1:10">
      <c r="A515" s="14">
        <f>IF(B515="","",COUNTA($B$4:B515))</f>
        <v>512</v>
      </c>
      <c r="B515" s="14" t="s">
        <v>1551</v>
      </c>
      <c r="C515" s="14" t="s">
        <v>205</v>
      </c>
      <c r="D515" s="14" t="s">
        <v>206</v>
      </c>
      <c r="E515" s="14" t="s">
        <v>205</v>
      </c>
      <c r="F515" s="14" t="s">
        <v>155</v>
      </c>
      <c r="G515" s="14" t="s">
        <v>156</v>
      </c>
      <c r="H515" s="14">
        <v>4</v>
      </c>
      <c r="I515" s="14"/>
      <c r="J515" s="15"/>
    </row>
    <row r="516" spans="1:10">
      <c r="A516" s="14">
        <f>IF(B516="","",COUNTA($B$4:B516))</f>
        <v>513</v>
      </c>
      <c r="B516" s="14" t="s">
        <v>1551</v>
      </c>
      <c r="C516" s="14" t="s">
        <v>208</v>
      </c>
      <c r="D516" s="14" t="s">
        <v>209</v>
      </c>
      <c r="E516" s="14" t="s">
        <v>208</v>
      </c>
      <c r="F516" s="14" t="s">
        <v>155</v>
      </c>
      <c r="G516" s="14" t="s">
        <v>156</v>
      </c>
      <c r="H516" s="14">
        <v>5</v>
      </c>
      <c r="I516" s="14"/>
      <c r="J516" s="15"/>
    </row>
    <row r="517" spans="1:10">
      <c r="A517" s="14">
        <f>IF(B517="","",COUNTA($B$4:B517))</f>
        <v>514</v>
      </c>
      <c r="B517" s="14" t="s">
        <v>1551</v>
      </c>
      <c r="C517" s="14" t="s">
        <v>1429</v>
      </c>
      <c r="D517" s="14" t="s">
        <v>327</v>
      </c>
      <c r="E517" s="14" t="s">
        <v>1429</v>
      </c>
      <c r="F517" s="14" t="s">
        <v>155</v>
      </c>
      <c r="G517" s="14" t="s">
        <v>156</v>
      </c>
      <c r="H517" s="14">
        <v>5</v>
      </c>
      <c r="I517" s="14"/>
      <c r="J517" s="15"/>
    </row>
    <row r="518" spans="1:10">
      <c r="A518" s="14">
        <f>IF(B518="","",COUNTA($B$4:B518))</f>
        <v>515</v>
      </c>
      <c r="B518" s="14" t="s">
        <v>1551</v>
      </c>
      <c r="C518" s="14" t="s">
        <v>162</v>
      </c>
      <c r="D518" s="14" t="s">
        <v>163</v>
      </c>
      <c r="E518" s="14" t="s">
        <v>164</v>
      </c>
      <c r="F518" s="14" t="s">
        <v>150</v>
      </c>
      <c r="G518" s="14" t="s">
        <v>151</v>
      </c>
      <c r="H518" s="14">
        <v>4</v>
      </c>
      <c r="I518" s="14"/>
      <c r="J518" s="15"/>
    </row>
    <row r="519" spans="1:10">
      <c r="A519" s="14">
        <f>IF(B519="","",COUNTA($B$4:B519))</f>
        <v>516</v>
      </c>
      <c r="B519" s="14" t="s">
        <v>1551</v>
      </c>
      <c r="C519" s="14" t="s">
        <v>249</v>
      </c>
      <c r="D519" s="14" t="s">
        <v>250</v>
      </c>
      <c r="E519" s="14" t="s">
        <v>249</v>
      </c>
      <c r="F519" s="14" t="s">
        <v>150</v>
      </c>
      <c r="G519" s="14" t="s">
        <v>151</v>
      </c>
      <c r="H519" s="14">
        <v>4</v>
      </c>
      <c r="I519" s="14"/>
      <c r="J519" s="15"/>
    </row>
    <row r="520" spans="1:10">
      <c r="A520" s="14">
        <f>IF(B520="","",COUNTA($B$4:B520))</f>
        <v>517</v>
      </c>
      <c r="B520" s="14" t="s">
        <v>1551</v>
      </c>
      <c r="C520" s="14" t="s">
        <v>251</v>
      </c>
      <c r="D520" s="14" t="s">
        <v>252</v>
      </c>
      <c r="E520" s="14" t="s">
        <v>251</v>
      </c>
      <c r="F520" s="14" t="s">
        <v>150</v>
      </c>
      <c r="G520" s="14" t="s">
        <v>151</v>
      </c>
      <c r="H520" s="14">
        <v>4</v>
      </c>
      <c r="I520" s="14"/>
      <c r="J520" s="15"/>
    </row>
    <row r="521" spans="1:10">
      <c r="A521" s="14">
        <f>IF(B521="","",COUNTA($B$4:B521))</f>
        <v>518</v>
      </c>
      <c r="B521" s="14" t="s">
        <v>1551</v>
      </c>
      <c r="C521" s="14" t="s">
        <v>253</v>
      </c>
      <c r="D521" s="14" t="s">
        <v>254</v>
      </c>
      <c r="E521" s="14" t="s">
        <v>253</v>
      </c>
      <c r="F521" s="14" t="s">
        <v>150</v>
      </c>
      <c r="G521" s="14" t="s">
        <v>151</v>
      </c>
      <c r="H521" s="14">
        <v>10</v>
      </c>
      <c r="I521" s="14"/>
      <c r="J521" s="15"/>
    </row>
    <row r="522" spans="1:10">
      <c r="A522" s="14">
        <f>IF(B522="","",COUNTA($B$4:B522))</f>
        <v>519</v>
      </c>
      <c r="B522" s="14" t="s">
        <v>1551</v>
      </c>
      <c r="C522" s="14" t="s">
        <v>255</v>
      </c>
      <c r="D522" s="14" t="s">
        <v>256</v>
      </c>
      <c r="E522" s="14" t="s">
        <v>255</v>
      </c>
      <c r="F522" s="14" t="s">
        <v>150</v>
      </c>
      <c r="G522" s="14" t="s">
        <v>151</v>
      </c>
      <c r="H522" s="14">
        <v>10</v>
      </c>
      <c r="I522" s="14"/>
      <c r="J522" s="15"/>
    </row>
    <row r="523" spans="1:10">
      <c r="A523" s="14">
        <f>IF(B523="","",COUNTA($B$4:B523))</f>
        <v>520</v>
      </c>
      <c r="B523" s="14" t="s">
        <v>1551</v>
      </c>
      <c r="C523" s="14" t="s">
        <v>257</v>
      </c>
      <c r="D523" s="14" t="s">
        <v>258</v>
      </c>
      <c r="E523" s="14" t="s">
        <v>257</v>
      </c>
      <c r="F523" s="14" t="s">
        <v>169</v>
      </c>
      <c r="G523" s="14" t="s">
        <v>243</v>
      </c>
      <c r="H523" s="14"/>
      <c r="I523" s="14"/>
      <c r="J523" s="15"/>
    </row>
    <row r="524" spans="1:10">
      <c r="A524" s="14">
        <f>IF(B524="","",COUNTA($B$4:B524))</f>
        <v>521</v>
      </c>
      <c r="B524" s="14" t="s">
        <v>1551</v>
      </c>
      <c r="C524" s="14" t="s">
        <v>259</v>
      </c>
      <c r="D524" s="14" t="s">
        <v>260</v>
      </c>
      <c r="E524" s="14" t="s">
        <v>259</v>
      </c>
      <c r="F524" s="14" t="s">
        <v>150</v>
      </c>
      <c r="G524" s="14" t="s">
        <v>151</v>
      </c>
      <c r="H524" s="14">
        <v>10</v>
      </c>
      <c r="I524" s="14"/>
      <c r="J524" s="15"/>
    </row>
    <row r="525" spans="1:10">
      <c r="A525" s="14">
        <f>IF(B525="","",COUNTA($B$4:B525))</f>
        <v>522</v>
      </c>
      <c r="B525" s="14" t="s">
        <v>1551</v>
      </c>
      <c r="C525" s="14" t="s">
        <v>261</v>
      </c>
      <c r="D525" s="14" t="s">
        <v>262</v>
      </c>
      <c r="E525" s="14" t="s">
        <v>261</v>
      </c>
      <c r="F525" s="14" t="s">
        <v>150</v>
      </c>
      <c r="G525" s="14" t="s">
        <v>151</v>
      </c>
      <c r="H525" s="14">
        <v>10</v>
      </c>
      <c r="I525" s="14"/>
      <c r="J525" s="15"/>
    </row>
    <row r="526" spans="1:10">
      <c r="A526" s="14">
        <f>IF(B526="","",COUNTA($B$4:B526))</f>
        <v>523</v>
      </c>
      <c r="B526" s="14" t="s">
        <v>1551</v>
      </c>
      <c r="C526" s="14" t="s">
        <v>263</v>
      </c>
      <c r="D526" s="14" t="s">
        <v>264</v>
      </c>
      <c r="E526" s="14" t="s">
        <v>263</v>
      </c>
      <c r="F526" s="14" t="s">
        <v>169</v>
      </c>
      <c r="G526" s="14" t="s">
        <v>243</v>
      </c>
      <c r="H526" s="14"/>
      <c r="I526" s="14"/>
      <c r="J526" s="15"/>
    </row>
    <row r="527" spans="1:10">
      <c r="A527" s="14">
        <f>IF(B527="","",COUNTA($B$4:B527))</f>
        <v>524</v>
      </c>
      <c r="B527" s="14" t="s">
        <v>1552</v>
      </c>
      <c r="C527" s="14" t="s">
        <v>148</v>
      </c>
      <c r="D527" s="14" t="s">
        <v>149</v>
      </c>
      <c r="E527" s="14" t="s">
        <v>148</v>
      </c>
      <c r="F527" s="14" t="s">
        <v>150</v>
      </c>
      <c r="G527" s="14" t="s">
        <v>151</v>
      </c>
      <c r="H527" s="14">
        <v>15</v>
      </c>
      <c r="I527" s="14"/>
      <c r="J527" s="15"/>
    </row>
    <row r="528" spans="1:10">
      <c r="A528" s="14">
        <f>IF(B528="","",COUNTA($B$4:B528))</f>
        <v>525</v>
      </c>
      <c r="B528" s="14" t="s">
        <v>1552</v>
      </c>
      <c r="C528" s="14" t="s">
        <v>1460</v>
      </c>
      <c r="D528" s="14" t="s">
        <v>1397</v>
      </c>
      <c r="E528" s="14" t="s">
        <v>1460</v>
      </c>
      <c r="F528" s="14" t="s">
        <v>155</v>
      </c>
      <c r="G528" s="14" t="s">
        <v>156</v>
      </c>
      <c r="H528" s="14">
        <v>5</v>
      </c>
      <c r="I528" s="14"/>
      <c r="J528" s="15"/>
    </row>
    <row r="529" spans="1:10">
      <c r="A529" s="14">
        <f>IF(B529="","",COUNTA($B$4:B529))</f>
        <v>526</v>
      </c>
      <c r="B529" s="14" t="s">
        <v>1552</v>
      </c>
      <c r="C529" s="14" t="s">
        <v>159</v>
      </c>
      <c r="D529" s="14" t="s">
        <v>160</v>
      </c>
      <c r="E529" s="14" t="s">
        <v>159</v>
      </c>
      <c r="F529" s="14" t="s">
        <v>150</v>
      </c>
      <c r="G529" s="14" t="s">
        <v>151</v>
      </c>
      <c r="H529" s="14">
        <v>4</v>
      </c>
      <c r="I529" s="14"/>
      <c r="J529" s="15"/>
    </row>
    <row r="530" spans="1:10">
      <c r="A530" s="14">
        <f>IF(B530="","",COUNTA($B$4:B530))</f>
        <v>527</v>
      </c>
      <c r="B530" s="14" t="s">
        <v>1552</v>
      </c>
      <c r="C530" s="14" t="s">
        <v>162</v>
      </c>
      <c r="D530" s="14" t="s">
        <v>163</v>
      </c>
      <c r="E530" s="14" t="s">
        <v>164</v>
      </c>
      <c r="F530" s="14" t="s">
        <v>150</v>
      </c>
      <c r="G530" s="14" t="s">
        <v>151</v>
      </c>
      <c r="H530" s="14">
        <v>4</v>
      </c>
      <c r="I530" s="14"/>
      <c r="J530" s="15"/>
    </row>
    <row r="531" spans="1:10">
      <c r="A531" s="14">
        <f>IF(B531="","",COUNTA($B$4:B531))</f>
        <v>528</v>
      </c>
      <c r="B531" s="14" t="s">
        <v>1552</v>
      </c>
      <c r="C531" s="14" t="s">
        <v>193</v>
      </c>
      <c r="D531" s="14" t="s">
        <v>194</v>
      </c>
      <c r="E531" s="14" t="s">
        <v>193</v>
      </c>
      <c r="F531" s="14" t="s">
        <v>150</v>
      </c>
      <c r="G531" s="14" t="s">
        <v>151</v>
      </c>
      <c r="H531" s="14">
        <v>5</v>
      </c>
      <c r="I531" s="14"/>
      <c r="J531" s="15"/>
    </row>
    <row r="532" spans="1:10">
      <c r="A532" s="14">
        <f>IF(B532="","",COUNTA($B$4:B532))</f>
        <v>529</v>
      </c>
      <c r="B532" s="14" t="s">
        <v>1552</v>
      </c>
      <c r="C532" s="14" t="s">
        <v>195</v>
      </c>
      <c r="D532" s="14" t="s">
        <v>196</v>
      </c>
      <c r="E532" s="14" t="s">
        <v>195</v>
      </c>
      <c r="F532" s="14" t="s">
        <v>150</v>
      </c>
      <c r="G532" s="14" t="s">
        <v>151</v>
      </c>
      <c r="H532" s="14">
        <v>80</v>
      </c>
      <c r="I532" s="14"/>
      <c r="J532" s="15"/>
    </row>
    <row r="533" spans="1:10">
      <c r="A533" s="14">
        <f>IF(B533="","",COUNTA($B$4:B533))</f>
        <v>530</v>
      </c>
      <c r="B533" s="14" t="s">
        <v>1552</v>
      </c>
      <c r="C533" s="14" t="s">
        <v>197</v>
      </c>
      <c r="D533" s="14" t="s">
        <v>198</v>
      </c>
      <c r="E533" s="14" t="s">
        <v>197</v>
      </c>
      <c r="F533" s="14" t="s">
        <v>150</v>
      </c>
      <c r="G533" s="14" t="s">
        <v>151</v>
      </c>
      <c r="H533" s="14">
        <v>5</v>
      </c>
      <c r="I533" s="14"/>
      <c r="J533" s="15"/>
    </row>
    <row r="534" spans="1:10">
      <c r="A534" s="14">
        <f>IF(B534="","",COUNTA($B$4:B534))</f>
        <v>531</v>
      </c>
      <c r="B534" s="14" t="s">
        <v>1552</v>
      </c>
      <c r="C534" s="14" t="s">
        <v>199</v>
      </c>
      <c r="D534" s="14" t="s">
        <v>200</v>
      </c>
      <c r="E534" s="14" t="s">
        <v>199</v>
      </c>
      <c r="F534" s="14" t="s">
        <v>150</v>
      </c>
      <c r="G534" s="14" t="s">
        <v>151</v>
      </c>
      <c r="H534" s="14">
        <v>20</v>
      </c>
      <c r="I534" s="14"/>
      <c r="J534" s="15"/>
    </row>
    <row r="535" spans="1:10">
      <c r="A535" s="14">
        <f>IF(B535="","",COUNTA($B$4:B535))</f>
        <v>532</v>
      </c>
      <c r="B535" s="14" t="s">
        <v>1552</v>
      </c>
      <c r="C535" s="14" t="s">
        <v>201</v>
      </c>
      <c r="D535" s="14" t="s">
        <v>202</v>
      </c>
      <c r="E535" s="14" t="s">
        <v>201</v>
      </c>
      <c r="F535" s="14" t="s">
        <v>150</v>
      </c>
      <c r="G535" s="14" t="s">
        <v>151</v>
      </c>
      <c r="H535" s="14">
        <v>30</v>
      </c>
      <c r="I535" s="14"/>
      <c r="J535" s="15"/>
    </row>
    <row r="536" spans="1:10">
      <c r="A536" s="14">
        <f>IF(B536="","",COUNTA($B$4:B536))</f>
        <v>533</v>
      </c>
      <c r="B536" s="14" t="s">
        <v>1552</v>
      </c>
      <c r="C536" s="14" t="s">
        <v>203</v>
      </c>
      <c r="D536" s="14" t="s">
        <v>204</v>
      </c>
      <c r="E536" s="14" t="s">
        <v>203</v>
      </c>
      <c r="F536" s="14" t="s">
        <v>155</v>
      </c>
      <c r="G536" s="14" t="s">
        <v>156</v>
      </c>
      <c r="H536" s="14">
        <v>5</v>
      </c>
      <c r="I536" s="14">
        <v>2</v>
      </c>
      <c r="J536" s="15"/>
    </row>
    <row r="537" spans="1:10">
      <c r="A537" s="14">
        <f>IF(B537="","",COUNTA($B$4:B537))</f>
        <v>534</v>
      </c>
      <c r="B537" s="14" t="s">
        <v>1552</v>
      </c>
      <c r="C537" s="14" t="s">
        <v>205</v>
      </c>
      <c r="D537" s="14" t="s">
        <v>206</v>
      </c>
      <c r="E537" s="14" t="s">
        <v>205</v>
      </c>
      <c r="F537" s="14" t="s">
        <v>155</v>
      </c>
      <c r="G537" s="14" t="s">
        <v>156</v>
      </c>
      <c r="H537" s="14">
        <v>4</v>
      </c>
      <c r="I537" s="14"/>
      <c r="J537" s="15"/>
    </row>
    <row r="538" spans="1:10">
      <c r="A538" s="14">
        <f>IF(B538="","",COUNTA($B$4:B538))</f>
        <v>535</v>
      </c>
      <c r="B538" s="14" t="s">
        <v>1552</v>
      </c>
      <c r="C538" s="14" t="s">
        <v>208</v>
      </c>
      <c r="D538" s="14" t="s">
        <v>209</v>
      </c>
      <c r="E538" s="14" t="s">
        <v>208</v>
      </c>
      <c r="F538" s="14" t="s">
        <v>155</v>
      </c>
      <c r="G538" s="14" t="s">
        <v>156</v>
      </c>
      <c r="H538" s="14">
        <v>5</v>
      </c>
      <c r="I538" s="14"/>
      <c r="J538" s="15"/>
    </row>
    <row r="539" spans="1:10">
      <c r="A539" s="14">
        <f>IF(B539="","",COUNTA($B$4:B539))</f>
        <v>536</v>
      </c>
      <c r="B539" s="14" t="s">
        <v>1552</v>
      </c>
      <c r="C539" s="14" t="s">
        <v>375</v>
      </c>
      <c r="D539" s="14" t="s">
        <v>376</v>
      </c>
      <c r="E539" s="14" t="s">
        <v>375</v>
      </c>
      <c r="F539" s="14" t="s">
        <v>169</v>
      </c>
      <c r="G539" s="14" t="s">
        <v>170</v>
      </c>
      <c r="H539" s="14"/>
      <c r="I539" s="14"/>
      <c r="J539" s="15"/>
    </row>
    <row r="540" spans="1:10">
      <c r="A540" s="14">
        <f>IF(B540="","",COUNTA($B$4:B540))</f>
        <v>537</v>
      </c>
      <c r="B540" s="14" t="s">
        <v>1552</v>
      </c>
      <c r="C540" s="14" t="s">
        <v>249</v>
      </c>
      <c r="D540" s="14" t="s">
        <v>250</v>
      </c>
      <c r="E540" s="14" t="s">
        <v>249</v>
      </c>
      <c r="F540" s="14" t="s">
        <v>150</v>
      </c>
      <c r="G540" s="14" t="s">
        <v>151</v>
      </c>
      <c r="H540" s="14">
        <v>4</v>
      </c>
      <c r="I540" s="14"/>
      <c r="J540" s="15"/>
    </row>
    <row r="541" spans="1:10">
      <c r="A541" s="14">
        <f>IF(B541="","",COUNTA($B$4:B541))</f>
        <v>538</v>
      </c>
      <c r="B541" s="14" t="s">
        <v>1552</v>
      </c>
      <c r="C541" s="14" t="s">
        <v>251</v>
      </c>
      <c r="D541" s="14" t="s">
        <v>252</v>
      </c>
      <c r="E541" s="14" t="s">
        <v>251</v>
      </c>
      <c r="F541" s="14" t="s">
        <v>150</v>
      </c>
      <c r="G541" s="14" t="s">
        <v>151</v>
      </c>
      <c r="H541" s="14">
        <v>4</v>
      </c>
      <c r="I541" s="14"/>
      <c r="J541" s="15"/>
    </row>
    <row r="542" spans="1:10">
      <c r="A542" s="14">
        <f>IF(B542="","",COUNTA($B$4:B542))</f>
        <v>539</v>
      </c>
      <c r="B542" s="14" t="s">
        <v>1552</v>
      </c>
      <c r="C542" s="14" t="s">
        <v>253</v>
      </c>
      <c r="D542" s="14" t="s">
        <v>254</v>
      </c>
      <c r="E542" s="14" t="s">
        <v>253</v>
      </c>
      <c r="F542" s="14" t="s">
        <v>150</v>
      </c>
      <c r="G542" s="14" t="s">
        <v>151</v>
      </c>
      <c r="H542" s="14">
        <v>10</v>
      </c>
      <c r="I542" s="14"/>
      <c r="J542" s="15"/>
    </row>
    <row r="543" spans="1:10">
      <c r="A543" s="14">
        <f>IF(B543="","",COUNTA($B$4:B543))</f>
        <v>540</v>
      </c>
      <c r="B543" s="14" t="s">
        <v>1552</v>
      </c>
      <c r="C543" s="14" t="s">
        <v>255</v>
      </c>
      <c r="D543" s="14" t="s">
        <v>256</v>
      </c>
      <c r="E543" s="14" t="s">
        <v>255</v>
      </c>
      <c r="F543" s="14" t="s">
        <v>150</v>
      </c>
      <c r="G543" s="14" t="s">
        <v>151</v>
      </c>
      <c r="H543" s="14">
        <v>10</v>
      </c>
      <c r="I543" s="14"/>
      <c r="J543" s="15"/>
    </row>
    <row r="544" spans="1:10">
      <c r="A544" s="14">
        <f>IF(B544="","",COUNTA($B$4:B544))</f>
        <v>541</v>
      </c>
      <c r="B544" s="14" t="s">
        <v>1552</v>
      </c>
      <c r="C544" s="14" t="s">
        <v>257</v>
      </c>
      <c r="D544" s="14" t="s">
        <v>258</v>
      </c>
      <c r="E544" s="14" t="s">
        <v>257</v>
      </c>
      <c r="F544" s="14" t="s">
        <v>169</v>
      </c>
      <c r="G544" s="14" t="s">
        <v>243</v>
      </c>
      <c r="H544" s="14"/>
      <c r="I544" s="14"/>
      <c r="J544" s="15"/>
    </row>
    <row r="545" spans="1:10">
      <c r="A545" s="14">
        <f>IF(B545="","",COUNTA($B$4:B545))</f>
        <v>542</v>
      </c>
      <c r="B545" s="14" t="s">
        <v>1552</v>
      </c>
      <c r="C545" s="14" t="s">
        <v>259</v>
      </c>
      <c r="D545" s="14" t="s">
        <v>260</v>
      </c>
      <c r="E545" s="14" t="s">
        <v>259</v>
      </c>
      <c r="F545" s="14" t="s">
        <v>150</v>
      </c>
      <c r="G545" s="14" t="s">
        <v>151</v>
      </c>
      <c r="H545" s="14">
        <v>10</v>
      </c>
      <c r="I545" s="14"/>
      <c r="J545" s="15"/>
    </row>
    <row r="546" spans="1:10">
      <c r="A546" s="14">
        <f>IF(B546="","",COUNTA($B$4:B546))</f>
        <v>543</v>
      </c>
      <c r="B546" s="14" t="s">
        <v>1552</v>
      </c>
      <c r="C546" s="14" t="s">
        <v>261</v>
      </c>
      <c r="D546" s="14" t="s">
        <v>262</v>
      </c>
      <c r="E546" s="14" t="s">
        <v>261</v>
      </c>
      <c r="F546" s="14" t="s">
        <v>150</v>
      </c>
      <c r="G546" s="14" t="s">
        <v>151</v>
      </c>
      <c r="H546" s="14">
        <v>10</v>
      </c>
      <c r="I546" s="14"/>
      <c r="J546" s="15"/>
    </row>
    <row r="547" spans="1:10">
      <c r="A547" s="14">
        <f>IF(B547="","",COUNTA($B$4:B547))</f>
        <v>544</v>
      </c>
      <c r="B547" s="14" t="s">
        <v>1552</v>
      </c>
      <c r="C547" s="14" t="s">
        <v>263</v>
      </c>
      <c r="D547" s="14" t="s">
        <v>264</v>
      </c>
      <c r="E547" s="14" t="s">
        <v>263</v>
      </c>
      <c r="F547" s="14" t="s">
        <v>169</v>
      </c>
      <c r="G547" s="14" t="s">
        <v>243</v>
      </c>
      <c r="H547" s="14"/>
      <c r="I547" s="14"/>
      <c r="J547" s="15"/>
    </row>
    <row r="548" spans="1:10">
      <c r="A548" s="14">
        <f>IF(B548="","",COUNTA($B$4:B548))</f>
        <v>545</v>
      </c>
      <c r="B548" s="14" t="s">
        <v>1553</v>
      </c>
      <c r="C548" s="14" t="s">
        <v>148</v>
      </c>
      <c r="D548" s="14" t="s">
        <v>149</v>
      </c>
      <c r="E548" s="14" t="s">
        <v>148</v>
      </c>
      <c r="F548" s="14" t="s">
        <v>150</v>
      </c>
      <c r="G548" s="14" t="s">
        <v>151</v>
      </c>
      <c r="H548" s="14">
        <v>15</v>
      </c>
      <c r="I548" s="14"/>
      <c r="J548" s="15"/>
    </row>
    <row r="549" spans="1:10">
      <c r="A549" s="14">
        <f>IF(B549="","",COUNTA($B$4:B549))</f>
        <v>546</v>
      </c>
      <c r="B549" s="14" t="s">
        <v>1553</v>
      </c>
      <c r="C549" s="14" t="s">
        <v>1460</v>
      </c>
      <c r="D549" s="14" t="s">
        <v>1397</v>
      </c>
      <c r="E549" s="14" t="s">
        <v>1460</v>
      </c>
      <c r="F549" s="14" t="s">
        <v>155</v>
      </c>
      <c r="G549" s="14" t="s">
        <v>156</v>
      </c>
      <c r="H549" s="14">
        <v>5</v>
      </c>
      <c r="I549" s="14"/>
      <c r="J549" s="15"/>
    </row>
    <row r="550" spans="1:10">
      <c r="A550" s="14">
        <f>IF(B550="","",COUNTA($B$4:B550))</f>
        <v>547</v>
      </c>
      <c r="B550" s="14" t="s">
        <v>1553</v>
      </c>
      <c r="C550" s="14" t="s">
        <v>338</v>
      </c>
      <c r="D550" s="14" t="s">
        <v>339</v>
      </c>
      <c r="E550" s="14" t="s">
        <v>338</v>
      </c>
      <c r="F550" s="14" t="s">
        <v>155</v>
      </c>
      <c r="G550" s="14" t="s">
        <v>156</v>
      </c>
      <c r="H550" s="14">
        <v>3</v>
      </c>
      <c r="I550" s="14"/>
      <c r="J550" s="15"/>
    </row>
    <row r="551" spans="1:10">
      <c r="A551" s="14">
        <f>IF(B551="","",COUNTA($B$4:B551))</f>
        <v>548</v>
      </c>
      <c r="B551" s="14" t="s">
        <v>1553</v>
      </c>
      <c r="C551" s="14" t="s">
        <v>1430</v>
      </c>
      <c r="D551" s="14" t="s">
        <v>413</v>
      </c>
      <c r="E551" s="14" t="s">
        <v>1430</v>
      </c>
      <c r="F551" s="14" t="s">
        <v>155</v>
      </c>
      <c r="G551" s="14" t="s">
        <v>156</v>
      </c>
      <c r="H551" s="14">
        <v>1</v>
      </c>
      <c r="I551" s="14"/>
      <c r="J551" s="15"/>
    </row>
    <row r="552" spans="1:10">
      <c r="A552" s="14">
        <f>IF(B552="","",COUNTA($B$4:B552))</f>
        <v>549</v>
      </c>
      <c r="B552" s="14" t="s">
        <v>1553</v>
      </c>
      <c r="C552" s="14" t="s">
        <v>1432</v>
      </c>
      <c r="D552" s="14" t="s">
        <v>1559</v>
      </c>
      <c r="E552" s="14" t="s">
        <v>1432</v>
      </c>
      <c r="F552" s="14" t="s">
        <v>150</v>
      </c>
      <c r="G552" s="14" t="s">
        <v>151</v>
      </c>
      <c r="H552" s="14">
        <v>2</v>
      </c>
      <c r="I552" s="14"/>
      <c r="J552" s="15"/>
    </row>
    <row r="553" spans="1:10">
      <c r="A553" s="14">
        <f>IF(B553="","",COUNTA($B$4:B553))</f>
        <v>550</v>
      </c>
      <c r="B553" s="14" t="s">
        <v>1553</v>
      </c>
      <c r="C553" s="14" t="s">
        <v>1279</v>
      </c>
      <c r="D553" s="14" t="s">
        <v>1280</v>
      </c>
      <c r="E553" s="14" t="s">
        <v>1279</v>
      </c>
      <c r="F553" s="14" t="s">
        <v>155</v>
      </c>
      <c r="G553" s="14" t="s">
        <v>156</v>
      </c>
      <c r="H553" s="14">
        <v>1</v>
      </c>
      <c r="I553" s="14"/>
      <c r="J553" s="15"/>
    </row>
    <row r="554" spans="1:10">
      <c r="A554" s="14">
        <f>IF(B554="","",COUNTA($B$4:B554))</f>
        <v>551</v>
      </c>
      <c r="B554" s="14" t="s">
        <v>1553</v>
      </c>
      <c r="C554" s="14" t="s">
        <v>1469</v>
      </c>
      <c r="D554" s="14" t="s">
        <v>1466</v>
      </c>
      <c r="E554" s="14" t="s">
        <v>1469</v>
      </c>
      <c r="F554" s="14" t="s">
        <v>150</v>
      </c>
      <c r="G554" s="14" t="s">
        <v>151</v>
      </c>
      <c r="H554" s="14">
        <v>15</v>
      </c>
      <c r="I554" s="14"/>
      <c r="J554" s="15"/>
    </row>
    <row r="555" spans="1:10">
      <c r="A555" s="14">
        <f>IF(B555="","",COUNTA($B$4:B555))</f>
        <v>552</v>
      </c>
      <c r="B555" s="14" t="s">
        <v>1553</v>
      </c>
      <c r="C555" s="14" t="s">
        <v>1431</v>
      </c>
      <c r="D555" s="14" t="s">
        <v>337</v>
      </c>
      <c r="E555" s="14" t="s">
        <v>1431</v>
      </c>
      <c r="F555" s="14" t="s">
        <v>150</v>
      </c>
      <c r="G555" s="14" t="s">
        <v>151</v>
      </c>
      <c r="H555" s="14">
        <v>15</v>
      </c>
      <c r="I555" s="14"/>
      <c r="J555" s="15"/>
    </row>
    <row r="556" spans="1:10">
      <c r="A556" s="14">
        <f>IF(B556="","",COUNTA($B$4:B556))</f>
        <v>553</v>
      </c>
      <c r="B556" s="14" t="s">
        <v>1553</v>
      </c>
      <c r="C556" s="14" t="s">
        <v>159</v>
      </c>
      <c r="D556" s="14" t="s">
        <v>160</v>
      </c>
      <c r="E556" s="14" t="s">
        <v>159</v>
      </c>
      <c r="F556" s="14" t="s">
        <v>150</v>
      </c>
      <c r="G556" s="14" t="s">
        <v>151</v>
      </c>
      <c r="H556" s="14">
        <v>4</v>
      </c>
      <c r="I556" s="14"/>
      <c r="J556" s="15"/>
    </row>
    <row r="557" spans="1:10">
      <c r="A557" s="14">
        <f>IF(B557="","",COUNTA($B$4:B557))</f>
        <v>554</v>
      </c>
      <c r="B557" s="14" t="s">
        <v>1553</v>
      </c>
      <c r="C557" s="14" t="s">
        <v>162</v>
      </c>
      <c r="D557" s="14" t="s">
        <v>163</v>
      </c>
      <c r="E557" s="14" t="s">
        <v>164</v>
      </c>
      <c r="F557" s="14" t="s">
        <v>150</v>
      </c>
      <c r="G557" s="14" t="s">
        <v>151</v>
      </c>
      <c r="H557" s="14">
        <v>4</v>
      </c>
      <c r="I557" s="14"/>
      <c r="J557" s="15"/>
    </row>
    <row r="558" spans="1:10">
      <c r="A558" s="14">
        <f>IF(B558="","",COUNTA($B$4:B558))</f>
        <v>555</v>
      </c>
      <c r="B558" s="14" t="s">
        <v>1553</v>
      </c>
      <c r="C558" s="14" t="s">
        <v>197</v>
      </c>
      <c r="D558" s="14" t="s">
        <v>198</v>
      </c>
      <c r="E558" s="14" t="s">
        <v>197</v>
      </c>
      <c r="F558" s="14" t="s">
        <v>150</v>
      </c>
      <c r="G558" s="14" t="s">
        <v>151</v>
      </c>
      <c r="H558" s="14">
        <v>5</v>
      </c>
      <c r="I558" s="14"/>
      <c r="J558" s="15"/>
    </row>
    <row r="559" spans="1:10">
      <c r="A559" s="14">
        <f>IF(B559="","",COUNTA($B$4:B559))</f>
        <v>556</v>
      </c>
      <c r="B559" s="14" t="s">
        <v>1553</v>
      </c>
      <c r="C559" s="14" t="s">
        <v>199</v>
      </c>
      <c r="D559" s="14" t="s">
        <v>200</v>
      </c>
      <c r="E559" s="14" t="s">
        <v>199</v>
      </c>
      <c r="F559" s="14" t="s">
        <v>150</v>
      </c>
      <c r="G559" s="14" t="s">
        <v>151</v>
      </c>
      <c r="H559" s="14">
        <v>20</v>
      </c>
      <c r="I559" s="14"/>
      <c r="J559" s="15"/>
    </row>
    <row r="560" spans="1:10">
      <c r="A560" s="14">
        <f>IF(B560="","",COUNTA($B$4:B560))</f>
        <v>557</v>
      </c>
      <c r="B560" s="14" t="s">
        <v>1553</v>
      </c>
      <c r="C560" s="14" t="s">
        <v>201</v>
      </c>
      <c r="D560" s="14" t="s">
        <v>202</v>
      </c>
      <c r="E560" s="14" t="s">
        <v>201</v>
      </c>
      <c r="F560" s="14" t="s">
        <v>150</v>
      </c>
      <c r="G560" s="14" t="s">
        <v>151</v>
      </c>
      <c r="H560" s="14">
        <v>30</v>
      </c>
      <c r="I560" s="14"/>
      <c r="J560" s="15"/>
    </row>
    <row r="561" spans="1:10">
      <c r="A561" s="14">
        <f>IF(B561="","",COUNTA($B$4:B561))</f>
        <v>558</v>
      </c>
      <c r="B561" s="14" t="s">
        <v>1553</v>
      </c>
      <c r="C561" s="14" t="s">
        <v>203</v>
      </c>
      <c r="D561" s="14" t="s">
        <v>204</v>
      </c>
      <c r="E561" s="14" t="s">
        <v>203</v>
      </c>
      <c r="F561" s="14" t="s">
        <v>155</v>
      </c>
      <c r="G561" s="14" t="s">
        <v>156</v>
      </c>
      <c r="H561" s="14">
        <v>5</v>
      </c>
      <c r="I561" s="14">
        <v>2</v>
      </c>
      <c r="J561" s="15"/>
    </row>
    <row r="562" spans="1:10">
      <c r="A562" s="14">
        <f>IF(B562="","",COUNTA($B$4:B562))</f>
        <v>559</v>
      </c>
      <c r="B562" s="14" t="s">
        <v>1553</v>
      </c>
      <c r="C562" s="14" t="s">
        <v>205</v>
      </c>
      <c r="D562" s="14" t="s">
        <v>206</v>
      </c>
      <c r="E562" s="14" t="s">
        <v>205</v>
      </c>
      <c r="F562" s="14" t="s">
        <v>155</v>
      </c>
      <c r="G562" s="14" t="s">
        <v>156</v>
      </c>
      <c r="H562" s="14">
        <v>4</v>
      </c>
      <c r="I562" s="14"/>
      <c r="J562" s="15"/>
    </row>
    <row r="563" spans="1:10">
      <c r="A563" s="14">
        <f>IF(B563="","",COUNTA($B$4:B563))</f>
        <v>560</v>
      </c>
      <c r="B563" s="14" t="s">
        <v>1553</v>
      </c>
      <c r="C563" s="14" t="s">
        <v>208</v>
      </c>
      <c r="D563" s="14" t="s">
        <v>209</v>
      </c>
      <c r="E563" s="14" t="s">
        <v>208</v>
      </c>
      <c r="F563" s="14" t="s">
        <v>155</v>
      </c>
      <c r="G563" s="14" t="s">
        <v>156</v>
      </c>
      <c r="H563" s="14">
        <v>5</v>
      </c>
      <c r="I563" s="14"/>
      <c r="J563" s="15"/>
    </row>
    <row r="564" spans="1:10">
      <c r="A564" s="14">
        <f>IF(B564="","",COUNTA($B$4:B564))</f>
        <v>561</v>
      </c>
      <c r="B564" s="14" t="s">
        <v>1553</v>
      </c>
      <c r="C564" s="14" t="s">
        <v>311</v>
      </c>
      <c r="D564" s="14" t="s">
        <v>312</v>
      </c>
      <c r="E564" s="14" t="s">
        <v>311</v>
      </c>
      <c r="F564" s="14" t="s">
        <v>155</v>
      </c>
      <c r="G564" s="14" t="s">
        <v>156</v>
      </c>
      <c r="H564" s="14">
        <v>5</v>
      </c>
      <c r="I564" s="14"/>
      <c r="J564" s="15"/>
    </row>
    <row r="565" spans="1:10">
      <c r="A565" s="14">
        <f>IF(B565="","",COUNTA($B$4:B565))</f>
        <v>562</v>
      </c>
      <c r="B565" s="14" t="s">
        <v>1553</v>
      </c>
      <c r="C565" s="14" t="s">
        <v>249</v>
      </c>
      <c r="D565" s="14" t="s">
        <v>250</v>
      </c>
      <c r="E565" s="14" t="s">
        <v>249</v>
      </c>
      <c r="F565" s="14" t="s">
        <v>150</v>
      </c>
      <c r="G565" s="14" t="s">
        <v>151</v>
      </c>
      <c r="H565" s="14">
        <v>4</v>
      </c>
      <c r="I565" s="14"/>
      <c r="J565" s="15"/>
    </row>
    <row r="566" spans="1:10">
      <c r="A566" s="14">
        <f>IF(B566="","",COUNTA($B$4:B566))</f>
        <v>563</v>
      </c>
      <c r="B566" s="14" t="s">
        <v>1553</v>
      </c>
      <c r="C566" s="14" t="s">
        <v>251</v>
      </c>
      <c r="D566" s="14" t="s">
        <v>252</v>
      </c>
      <c r="E566" s="14" t="s">
        <v>251</v>
      </c>
      <c r="F566" s="14" t="s">
        <v>150</v>
      </c>
      <c r="G566" s="14" t="s">
        <v>151</v>
      </c>
      <c r="H566" s="14">
        <v>4</v>
      </c>
      <c r="I566" s="14"/>
      <c r="J566" s="15"/>
    </row>
    <row r="567" spans="1:10">
      <c r="A567" s="14">
        <f>IF(B567="","",COUNTA($B$4:B567))</f>
        <v>564</v>
      </c>
      <c r="B567" s="14" t="s">
        <v>1553</v>
      </c>
      <c r="C567" s="14" t="s">
        <v>253</v>
      </c>
      <c r="D567" s="14" t="s">
        <v>254</v>
      </c>
      <c r="E567" s="14" t="s">
        <v>253</v>
      </c>
      <c r="F567" s="14" t="s">
        <v>150</v>
      </c>
      <c r="G567" s="14" t="s">
        <v>151</v>
      </c>
      <c r="H567" s="14">
        <v>10</v>
      </c>
      <c r="I567" s="14"/>
      <c r="J567" s="15"/>
    </row>
    <row r="568" spans="1:10">
      <c r="A568" s="14">
        <f>IF(B568="","",COUNTA($B$4:B568))</f>
        <v>565</v>
      </c>
      <c r="B568" s="14" t="s">
        <v>1553</v>
      </c>
      <c r="C568" s="14" t="s">
        <v>255</v>
      </c>
      <c r="D568" s="14" t="s">
        <v>256</v>
      </c>
      <c r="E568" s="14" t="s">
        <v>255</v>
      </c>
      <c r="F568" s="14" t="s">
        <v>150</v>
      </c>
      <c r="G568" s="14" t="s">
        <v>151</v>
      </c>
      <c r="H568" s="14">
        <v>10</v>
      </c>
      <c r="I568" s="14"/>
      <c r="J568" s="15"/>
    </row>
    <row r="569" spans="1:10">
      <c r="A569" s="14">
        <f>IF(B569="","",COUNTA($B$4:B569))</f>
        <v>566</v>
      </c>
      <c r="B569" s="14" t="s">
        <v>1553</v>
      </c>
      <c r="C569" s="14" t="s">
        <v>257</v>
      </c>
      <c r="D569" s="14" t="s">
        <v>258</v>
      </c>
      <c r="E569" s="14" t="s">
        <v>257</v>
      </c>
      <c r="F569" s="14" t="s">
        <v>169</v>
      </c>
      <c r="G569" s="14" t="s">
        <v>243</v>
      </c>
      <c r="H569" s="14"/>
      <c r="I569" s="14"/>
      <c r="J569" s="15"/>
    </row>
    <row r="570" spans="1:10">
      <c r="A570" s="14">
        <f>IF(B570="","",COUNTA($B$4:B570))</f>
        <v>567</v>
      </c>
      <c r="B570" s="14" t="s">
        <v>1553</v>
      </c>
      <c r="C570" s="14" t="s">
        <v>259</v>
      </c>
      <c r="D570" s="14" t="s">
        <v>260</v>
      </c>
      <c r="E570" s="14" t="s">
        <v>259</v>
      </c>
      <c r="F570" s="14" t="s">
        <v>150</v>
      </c>
      <c r="G570" s="14" t="s">
        <v>151</v>
      </c>
      <c r="H570" s="14">
        <v>10</v>
      </c>
      <c r="I570" s="14"/>
      <c r="J570" s="15"/>
    </row>
    <row r="571" spans="1:10">
      <c r="A571" s="14">
        <f>IF(B571="","",COUNTA($B$4:B571))</f>
        <v>568</v>
      </c>
      <c r="B571" s="14" t="s">
        <v>1553</v>
      </c>
      <c r="C571" s="14" t="s">
        <v>261</v>
      </c>
      <c r="D571" s="14" t="s">
        <v>262</v>
      </c>
      <c r="E571" s="14" t="s">
        <v>261</v>
      </c>
      <c r="F571" s="14" t="s">
        <v>150</v>
      </c>
      <c r="G571" s="14" t="s">
        <v>151</v>
      </c>
      <c r="H571" s="14">
        <v>10</v>
      </c>
      <c r="I571" s="14"/>
      <c r="J571" s="15"/>
    </row>
    <row r="572" spans="1:10">
      <c r="A572" s="14">
        <f>IF(B572="","",COUNTA($B$4:B572))</f>
        <v>569</v>
      </c>
      <c r="B572" s="14" t="s">
        <v>1553</v>
      </c>
      <c r="C572" s="14" t="s">
        <v>263</v>
      </c>
      <c r="D572" s="14" t="s">
        <v>264</v>
      </c>
      <c r="E572" s="14" t="s">
        <v>263</v>
      </c>
      <c r="F572" s="14" t="s">
        <v>169</v>
      </c>
      <c r="G572" s="14" t="s">
        <v>243</v>
      </c>
      <c r="H572" s="14"/>
      <c r="I572" s="14"/>
      <c r="J572" s="15"/>
    </row>
    <row r="573" spans="1:10">
      <c r="A573" s="14">
        <f>IF(B573="","",COUNTA($B$4:B573))</f>
        <v>570</v>
      </c>
      <c r="B573" s="14" t="s">
        <v>1554</v>
      </c>
      <c r="C573" s="14" t="s">
        <v>148</v>
      </c>
      <c r="D573" s="14" t="s">
        <v>149</v>
      </c>
      <c r="E573" s="14" t="s">
        <v>148</v>
      </c>
      <c r="F573" s="14" t="s">
        <v>150</v>
      </c>
      <c r="G573" s="14" t="s">
        <v>151</v>
      </c>
      <c r="H573" s="14">
        <v>15</v>
      </c>
      <c r="I573" s="14"/>
      <c r="J573" s="15"/>
    </row>
    <row r="574" spans="1:10">
      <c r="A574" s="14">
        <f>IF(B574="","",COUNTA($B$4:B574))</f>
        <v>571</v>
      </c>
      <c r="B574" s="14" t="s">
        <v>1554</v>
      </c>
      <c r="C574" s="14" t="s">
        <v>1430</v>
      </c>
      <c r="D574" s="14" t="s">
        <v>413</v>
      </c>
      <c r="E574" s="14" t="s">
        <v>1430</v>
      </c>
      <c r="F574" s="14" t="s">
        <v>155</v>
      </c>
      <c r="G574" s="14" t="s">
        <v>156</v>
      </c>
      <c r="H574" s="14">
        <v>1</v>
      </c>
      <c r="I574" s="14"/>
      <c r="J574" s="15"/>
    </row>
    <row r="575" spans="1:10">
      <c r="A575" s="14">
        <f>IF(B575="","",COUNTA($B$4:B575))</f>
        <v>572</v>
      </c>
      <c r="B575" s="14" t="s">
        <v>1554</v>
      </c>
      <c r="C575" s="14" t="s">
        <v>1431</v>
      </c>
      <c r="D575" s="14" t="s">
        <v>337</v>
      </c>
      <c r="E575" s="14" t="s">
        <v>1431</v>
      </c>
      <c r="F575" s="14" t="s">
        <v>150</v>
      </c>
      <c r="G575" s="14" t="s">
        <v>151</v>
      </c>
      <c r="H575" s="14">
        <v>15</v>
      </c>
      <c r="I575" s="14"/>
      <c r="J575" s="15"/>
    </row>
    <row r="576" spans="1:10">
      <c r="A576" s="14">
        <f>IF(B576="","",COUNTA($B$4:B576))</f>
        <v>573</v>
      </c>
      <c r="B576" s="14" t="s">
        <v>1554</v>
      </c>
      <c r="C576" s="14" t="s">
        <v>1433</v>
      </c>
      <c r="D576" s="14" t="s">
        <v>417</v>
      </c>
      <c r="E576" s="14" t="s">
        <v>1434</v>
      </c>
      <c r="F576" s="14" t="s">
        <v>150</v>
      </c>
      <c r="G576" s="14" t="s">
        <v>151</v>
      </c>
      <c r="H576" s="14">
        <v>15</v>
      </c>
      <c r="I576" s="14"/>
      <c r="J576" s="15"/>
    </row>
    <row r="577" spans="1:10">
      <c r="A577" s="14">
        <f>IF(B577="","",COUNTA($B$4:B577))</f>
        <v>574</v>
      </c>
      <c r="B577" s="14" t="s">
        <v>1554</v>
      </c>
      <c r="C577" s="14" t="s">
        <v>159</v>
      </c>
      <c r="D577" s="14" t="s">
        <v>160</v>
      </c>
      <c r="E577" s="14" t="s">
        <v>159</v>
      </c>
      <c r="F577" s="14" t="s">
        <v>150</v>
      </c>
      <c r="G577" s="14" t="s">
        <v>151</v>
      </c>
      <c r="H577" s="14">
        <v>4</v>
      </c>
      <c r="I577" s="14"/>
      <c r="J577" s="15"/>
    </row>
    <row r="578" spans="1:10">
      <c r="A578" s="14">
        <f>IF(B578="","",COUNTA($B$4:B578))</f>
        <v>575</v>
      </c>
      <c r="B578" s="14" t="s">
        <v>1554</v>
      </c>
      <c r="C578" s="14" t="s">
        <v>162</v>
      </c>
      <c r="D578" s="14" t="s">
        <v>163</v>
      </c>
      <c r="E578" s="14" t="s">
        <v>164</v>
      </c>
      <c r="F578" s="14" t="s">
        <v>150</v>
      </c>
      <c r="G578" s="14" t="s">
        <v>151</v>
      </c>
      <c r="H578" s="14">
        <v>4</v>
      </c>
      <c r="I578" s="14"/>
      <c r="J578" s="15"/>
    </row>
    <row r="579" spans="1:10">
      <c r="A579" s="14">
        <f>IF(B579="","",COUNTA($B$4:B579))</f>
        <v>576</v>
      </c>
      <c r="B579" s="14" t="s">
        <v>1554</v>
      </c>
      <c r="C579" s="14" t="s">
        <v>249</v>
      </c>
      <c r="D579" s="14" t="s">
        <v>250</v>
      </c>
      <c r="E579" s="14" t="s">
        <v>249</v>
      </c>
      <c r="F579" s="14" t="s">
        <v>150</v>
      </c>
      <c r="G579" s="14" t="s">
        <v>151</v>
      </c>
      <c r="H579" s="14">
        <v>4</v>
      </c>
      <c r="I579" s="14"/>
      <c r="J579" s="15"/>
    </row>
    <row r="580" spans="1:10">
      <c r="A580" s="14">
        <f>IF(B580="","",COUNTA($B$4:B580))</f>
        <v>577</v>
      </c>
      <c r="B580" s="14" t="s">
        <v>1554</v>
      </c>
      <c r="C580" s="14" t="s">
        <v>251</v>
      </c>
      <c r="D580" s="14" t="s">
        <v>252</v>
      </c>
      <c r="E580" s="14" t="s">
        <v>251</v>
      </c>
      <c r="F580" s="14" t="s">
        <v>150</v>
      </c>
      <c r="G580" s="14" t="s">
        <v>151</v>
      </c>
      <c r="H580" s="14">
        <v>4</v>
      </c>
      <c r="I580" s="14"/>
      <c r="J580" s="15"/>
    </row>
    <row r="581" spans="1:10">
      <c r="A581" s="14">
        <f>IF(B581="","",COUNTA($B$4:B581))</f>
        <v>578</v>
      </c>
      <c r="B581" s="14" t="s">
        <v>1554</v>
      </c>
      <c r="C581" s="14" t="s">
        <v>253</v>
      </c>
      <c r="D581" s="14" t="s">
        <v>254</v>
      </c>
      <c r="E581" s="14" t="s">
        <v>253</v>
      </c>
      <c r="F581" s="14" t="s">
        <v>150</v>
      </c>
      <c r="G581" s="14" t="s">
        <v>151</v>
      </c>
      <c r="H581" s="14">
        <v>10</v>
      </c>
      <c r="I581" s="14"/>
      <c r="J581" s="15"/>
    </row>
    <row r="582" spans="1:10">
      <c r="A582" s="14">
        <f>IF(B582="","",COUNTA($B$4:B582))</f>
        <v>579</v>
      </c>
      <c r="B582" s="14" t="s">
        <v>1554</v>
      </c>
      <c r="C582" s="14" t="s">
        <v>255</v>
      </c>
      <c r="D582" s="14" t="s">
        <v>256</v>
      </c>
      <c r="E582" s="14" t="s">
        <v>255</v>
      </c>
      <c r="F582" s="14" t="s">
        <v>150</v>
      </c>
      <c r="G582" s="14" t="s">
        <v>151</v>
      </c>
      <c r="H582" s="14">
        <v>10</v>
      </c>
      <c r="I582" s="14"/>
      <c r="J582" s="15"/>
    </row>
    <row r="583" spans="1:10">
      <c r="A583" s="14">
        <f>IF(B583="","",COUNTA($B$4:B583))</f>
        <v>580</v>
      </c>
      <c r="B583" s="14" t="s">
        <v>1554</v>
      </c>
      <c r="C583" s="14" t="s">
        <v>257</v>
      </c>
      <c r="D583" s="14" t="s">
        <v>258</v>
      </c>
      <c r="E583" s="14" t="s">
        <v>257</v>
      </c>
      <c r="F583" s="14" t="s">
        <v>169</v>
      </c>
      <c r="G583" s="14" t="s">
        <v>243</v>
      </c>
      <c r="H583" s="14"/>
      <c r="I583" s="14"/>
      <c r="J583" s="15"/>
    </row>
    <row r="584" spans="1:10">
      <c r="A584" s="14">
        <f>IF(B584="","",COUNTA($B$4:B584))</f>
        <v>581</v>
      </c>
      <c r="B584" s="14" t="s">
        <v>1554</v>
      </c>
      <c r="C584" s="14" t="s">
        <v>259</v>
      </c>
      <c r="D584" s="14" t="s">
        <v>260</v>
      </c>
      <c r="E584" s="14" t="s">
        <v>259</v>
      </c>
      <c r="F584" s="14" t="s">
        <v>150</v>
      </c>
      <c r="G584" s="14" t="s">
        <v>151</v>
      </c>
      <c r="H584" s="14">
        <v>10</v>
      </c>
      <c r="I584" s="14"/>
      <c r="J584" s="15"/>
    </row>
    <row r="585" spans="1:10">
      <c r="A585" s="14">
        <f>IF(B585="","",COUNTA($B$4:B585))</f>
        <v>582</v>
      </c>
      <c r="B585" s="14" t="s">
        <v>1554</v>
      </c>
      <c r="C585" s="14" t="s">
        <v>261</v>
      </c>
      <c r="D585" s="14" t="s">
        <v>262</v>
      </c>
      <c r="E585" s="14" t="s">
        <v>261</v>
      </c>
      <c r="F585" s="14" t="s">
        <v>150</v>
      </c>
      <c r="G585" s="14" t="s">
        <v>151</v>
      </c>
      <c r="H585" s="14">
        <v>10</v>
      </c>
      <c r="I585" s="14"/>
      <c r="J585" s="15"/>
    </row>
    <row r="586" spans="1:10">
      <c r="A586" s="14">
        <f>IF(B586="","",COUNTA($B$4:B586))</f>
        <v>583</v>
      </c>
      <c r="B586" s="14" t="s">
        <v>1554</v>
      </c>
      <c r="C586" s="14" t="s">
        <v>263</v>
      </c>
      <c r="D586" s="14" t="s">
        <v>264</v>
      </c>
      <c r="E586" s="14" t="s">
        <v>263</v>
      </c>
      <c r="F586" s="14" t="s">
        <v>169</v>
      </c>
      <c r="G586" s="14" t="s">
        <v>243</v>
      </c>
      <c r="H586" s="14"/>
      <c r="I586" s="14"/>
      <c r="J586" s="15"/>
    </row>
    <row r="587" spans="1:10">
      <c r="A587" s="14">
        <f>IF(B587="","",COUNTA($B$4:B587))</f>
        <v>584</v>
      </c>
      <c r="B587" s="14" t="s">
        <v>1555</v>
      </c>
      <c r="C587" s="14" t="s">
        <v>159</v>
      </c>
      <c r="D587" s="14" t="s">
        <v>160</v>
      </c>
      <c r="E587" s="14" t="s">
        <v>159</v>
      </c>
      <c r="F587" s="14" t="s">
        <v>150</v>
      </c>
      <c r="G587" s="14" t="s">
        <v>151</v>
      </c>
      <c r="H587" s="14">
        <v>4</v>
      </c>
      <c r="I587" s="14"/>
      <c r="J587" s="15"/>
    </row>
    <row r="588" spans="1:10">
      <c r="A588" s="14">
        <f>IF(B588="","",COUNTA($B$4:B588))</f>
        <v>585</v>
      </c>
      <c r="B588" s="14" t="s">
        <v>1555</v>
      </c>
      <c r="C588" s="14" t="s">
        <v>418</v>
      </c>
      <c r="D588" s="14" t="s">
        <v>419</v>
      </c>
      <c r="E588" s="14" t="s">
        <v>418</v>
      </c>
      <c r="F588" s="14" t="s">
        <v>150</v>
      </c>
      <c r="G588" s="14" t="s">
        <v>151</v>
      </c>
      <c r="H588" s="14">
        <v>8</v>
      </c>
      <c r="I588" s="14"/>
      <c r="J588" s="15"/>
    </row>
    <row r="589" spans="1:10">
      <c r="A589" s="14">
        <f>IF(B589="","",COUNTA($B$4:B589))</f>
        <v>586</v>
      </c>
      <c r="B589" s="14" t="s">
        <v>1555</v>
      </c>
      <c r="C589" s="14" t="s">
        <v>420</v>
      </c>
      <c r="D589" s="14" t="s">
        <v>421</v>
      </c>
      <c r="E589" s="14" t="s">
        <v>420</v>
      </c>
      <c r="F589" s="14" t="s">
        <v>150</v>
      </c>
      <c r="G589" s="14" t="s">
        <v>151</v>
      </c>
      <c r="H589" s="14">
        <v>30</v>
      </c>
      <c r="I589" s="14"/>
      <c r="J589" s="15"/>
    </row>
    <row r="590" spans="1:10">
      <c r="A590" s="14">
        <f>IF(B590="","",COUNTA($B$4:B590))</f>
        <v>587</v>
      </c>
      <c r="B590" s="14" t="s">
        <v>1555</v>
      </c>
      <c r="C590" s="14" t="s">
        <v>422</v>
      </c>
      <c r="D590" s="14" t="s">
        <v>423</v>
      </c>
      <c r="E590" s="14" t="s">
        <v>422</v>
      </c>
      <c r="F590" s="14" t="s">
        <v>150</v>
      </c>
      <c r="G590" s="14" t="s">
        <v>151</v>
      </c>
      <c r="H590" s="14">
        <v>1</v>
      </c>
      <c r="I590" s="14"/>
      <c r="J590" s="15"/>
    </row>
    <row r="591" spans="1:10">
      <c r="A591" s="14">
        <f>IF(B591="","",COUNTA($B$4:B591))</f>
        <v>588</v>
      </c>
      <c r="B591" s="14" t="s">
        <v>1555</v>
      </c>
      <c r="C591" s="14" t="s">
        <v>426</v>
      </c>
      <c r="D591" s="14" t="s">
        <v>427</v>
      </c>
      <c r="E591" s="14" t="s">
        <v>426</v>
      </c>
      <c r="F591" s="14" t="s">
        <v>150</v>
      </c>
      <c r="G591" s="14" t="s">
        <v>151</v>
      </c>
      <c r="H591" s="14">
        <v>1</v>
      </c>
      <c r="I591" s="14"/>
      <c r="J591" s="15"/>
    </row>
    <row r="592" spans="1:10">
      <c r="A592" s="14">
        <f>IF(B592="","",COUNTA($B$4:B592))</f>
        <v>589</v>
      </c>
      <c r="B592" s="14" t="s">
        <v>1555</v>
      </c>
      <c r="C592" s="14" t="s">
        <v>430</v>
      </c>
      <c r="D592" s="14" t="s">
        <v>431</v>
      </c>
      <c r="E592" s="14" t="s">
        <v>430</v>
      </c>
      <c r="F592" s="14" t="s">
        <v>150</v>
      </c>
      <c r="G592" s="14" t="s">
        <v>151</v>
      </c>
      <c r="H592" s="14">
        <v>1</v>
      </c>
      <c r="I592" s="14"/>
      <c r="J592" s="15"/>
    </row>
    <row r="593" spans="1:10">
      <c r="A593" s="14">
        <f>IF(B593="","",COUNTA($B$4:B593))</f>
        <v>590</v>
      </c>
      <c r="B593" s="14" t="s">
        <v>1555</v>
      </c>
      <c r="C593" s="14" t="s">
        <v>1495</v>
      </c>
      <c r="D593" s="14" t="s">
        <v>1496</v>
      </c>
      <c r="E593" s="14" t="s">
        <v>1495</v>
      </c>
      <c r="F593" s="14" t="s">
        <v>150</v>
      </c>
      <c r="G593" s="14" t="s">
        <v>151</v>
      </c>
      <c r="H593" s="14">
        <v>1</v>
      </c>
      <c r="I593" s="14"/>
      <c r="J593" s="15"/>
    </row>
    <row r="594" spans="1:10">
      <c r="A594" s="14">
        <f>IF(B594="","",COUNTA($B$4:B594))</f>
        <v>591</v>
      </c>
      <c r="B594" s="14" t="s">
        <v>1555</v>
      </c>
      <c r="C594" s="14" t="s">
        <v>434</v>
      </c>
      <c r="D594" s="14" t="s">
        <v>433</v>
      </c>
      <c r="E594" s="14" t="s">
        <v>434</v>
      </c>
      <c r="F594" s="14" t="s">
        <v>150</v>
      </c>
      <c r="G594" s="14" t="s">
        <v>151</v>
      </c>
      <c r="H594" s="14">
        <v>1</v>
      </c>
      <c r="I594" s="14"/>
      <c r="J594" s="15"/>
    </row>
    <row r="595" spans="1:10">
      <c r="A595" s="14">
        <f>IF(B595="","",COUNTA($B$4:B595))</f>
        <v>592</v>
      </c>
      <c r="B595" s="14" t="s">
        <v>1555</v>
      </c>
      <c r="C595" s="14" t="s">
        <v>1450</v>
      </c>
      <c r="D595" s="14" t="s">
        <v>1485</v>
      </c>
      <c r="E595" s="14" t="s">
        <v>1450</v>
      </c>
      <c r="F595" s="14" t="s">
        <v>150</v>
      </c>
      <c r="G595" s="14" t="s">
        <v>151</v>
      </c>
      <c r="H595" s="14">
        <v>1</v>
      </c>
      <c r="I595" s="14"/>
      <c r="J595" s="15"/>
    </row>
    <row r="596" spans="1:10">
      <c r="A596" s="14">
        <f>IF(B596="","",COUNTA($B$4:B596))</f>
        <v>593</v>
      </c>
      <c r="B596" s="14" t="s">
        <v>1555</v>
      </c>
      <c r="C596" s="14" t="s">
        <v>1453</v>
      </c>
      <c r="D596" s="14" t="s">
        <v>1483</v>
      </c>
      <c r="E596" s="14" t="s">
        <v>1453</v>
      </c>
      <c r="F596" s="14" t="s">
        <v>150</v>
      </c>
      <c r="G596" s="14" t="s">
        <v>151</v>
      </c>
      <c r="H596" s="14">
        <v>1</v>
      </c>
      <c r="I596" s="14"/>
      <c r="J596" s="15"/>
    </row>
    <row r="597" spans="1:10">
      <c r="A597" s="14">
        <f>IF(B597="","",COUNTA($B$4:B597))</f>
        <v>594</v>
      </c>
      <c r="B597" s="14" t="s">
        <v>1555</v>
      </c>
      <c r="C597" s="14" t="s">
        <v>438</v>
      </c>
      <c r="D597" s="14" t="s">
        <v>439</v>
      </c>
      <c r="E597" s="14" t="s">
        <v>438</v>
      </c>
      <c r="F597" s="14" t="s">
        <v>150</v>
      </c>
      <c r="G597" s="14" t="s">
        <v>151</v>
      </c>
      <c r="H597" s="14">
        <v>1</v>
      </c>
      <c r="I597" s="14"/>
      <c r="J597" s="15"/>
    </row>
    <row r="598" spans="1:10">
      <c r="A598" s="14">
        <f>IF(B598="","",COUNTA($B$4:B598))</f>
        <v>595</v>
      </c>
      <c r="B598" s="14" t="s">
        <v>1555</v>
      </c>
      <c r="C598" s="14" t="s">
        <v>1447</v>
      </c>
      <c r="D598" s="14" t="s">
        <v>1439</v>
      </c>
      <c r="E598" s="14" t="s">
        <v>1447</v>
      </c>
      <c r="F598" s="14" t="s">
        <v>150</v>
      </c>
      <c r="G598" s="14" t="s">
        <v>151</v>
      </c>
      <c r="H598" s="14">
        <v>4</v>
      </c>
      <c r="I598" s="14"/>
      <c r="J598" s="15"/>
    </row>
    <row r="599" spans="1:10">
      <c r="A599" s="14">
        <f>IF(B599="","",COUNTA($B$4:B599))</f>
        <v>596</v>
      </c>
      <c r="B599" s="14" t="s">
        <v>1555</v>
      </c>
      <c r="C599" s="14" t="s">
        <v>1448</v>
      </c>
      <c r="D599" s="14" t="s">
        <v>1444</v>
      </c>
      <c r="E599" s="14" t="s">
        <v>1448</v>
      </c>
      <c r="F599" s="14" t="s">
        <v>150</v>
      </c>
      <c r="G599" s="14" t="s">
        <v>151</v>
      </c>
      <c r="H599" s="14">
        <v>4</v>
      </c>
      <c r="I599" s="14"/>
      <c r="J599" s="15"/>
    </row>
    <row r="600" spans="1:10">
      <c r="A600" s="14">
        <f>IF(B600="","",COUNTA($B$4:B600))</f>
        <v>597</v>
      </c>
      <c r="B600" s="14" t="s">
        <v>1555</v>
      </c>
      <c r="C600" s="14" t="s">
        <v>1449</v>
      </c>
      <c r="D600" s="14" t="s">
        <v>1435</v>
      </c>
      <c r="E600" s="14" t="s">
        <v>1449</v>
      </c>
      <c r="F600" s="14" t="s">
        <v>150</v>
      </c>
      <c r="G600" s="14" t="s">
        <v>151</v>
      </c>
      <c r="H600" s="14">
        <v>1</v>
      </c>
      <c r="I600" s="14"/>
      <c r="J600" s="15"/>
    </row>
    <row r="601" spans="1:10">
      <c r="A601" s="14">
        <f>IF(B601="","",COUNTA($B$4:B601))</f>
        <v>598</v>
      </c>
      <c r="B601" s="14" t="s">
        <v>1555</v>
      </c>
      <c r="C601" s="14" t="s">
        <v>441</v>
      </c>
      <c r="D601" s="14" t="s">
        <v>442</v>
      </c>
      <c r="E601" s="14" t="s">
        <v>441</v>
      </c>
      <c r="F601" s="14" t="s">
        <v>150</v>
      </c>
      <c r="G601" s="14" t="s">
        <v>151</v>
      </c>
      <c r="H601" s="14">
        <v>1</v>
      </c>
      <c r="I601" s="14" t="s">
        <v>244</v>
      </c>
      <c r="J601" s="15"/>
    </row>
    <row r="602" spans="1:10">
      <c r="A602" s="14">
        <f>IF(B602="","",COUNTA($B$4:B602))</f>
        <v>599</v>
      </c>
      <c r="B602" s="14" t="s">
        <v>1555</v>
      </c>
      <c r="C602" s="14" t="s">
        <v>255</v>
      </c>
      <c r="D602" s="14" t="s">
        <v>256</v>
      </c>
      <c r="E602" s="14" t="s">
        <v>255</v>
      </c>
      <c r="F602" s="14" t="s">
        <v>150</v>
      </c>
      <c r="G602" s="14" t="s">
        <v>151</v>
      </c>
      <c r="H602" s="14">
        <v>10</v>
      </c>
      <c r="I602" s="14"/>
      <c r="J602" s="15"/>
    </row>
    <row r="603" spans="1:10">
      <c r="A603" s="14">
        <f>IF(B603="","",COUNTA($B$4:B603))</f>
        <v>600</v>
      </c>
      <c r="B603" s="14" t="s">
        <v>1555</v>
      </c>
      <c r="C603" s="14" t="s">
        <v>257</v>
      </c>
      <c r="D603" s="14" t="s">
        <v>258</v>
      </c>
      <c r="E603" s="14" t="s">
        <v>257</v>
      </c>
      <c r="F603" s="14" t="s">
        <v>169</v>
      </c>
      <c r="G603" s="14" t="s">
        <v>243</v>
      </c>
      <c r="H603" s="14"/>
      <c r="I603" s="14"/>
      <c r="J603" s="15"/>
    </row>
    <row r="604" spans="1:10">
      <c r="A604" s="14">
        <f>IF(B604="","",COUNTA($B$4:B604))</f>
        <v>601</v>
      </c>
      <c r="B604" s="14" t="s">
        <v>1555</v>
      </c>
      <c r="C604" s="14" t="s">
        <v>261</v>
      </c>
      <c r="D604" s="14" t="s">
        <v>262</v>
      </c>
      <c r="E604" s="14" t="s">
        <v>261</v>
      </c>
      <c r="F604" s="14" t="s">
        <v>150</v>
      </c>
      <c r="G604" s="14" t="s">
        <v>151</v>
      </c>
      <c r="H604" s="14">
        <v>10</v>
      </c>
      <c r="I604" s="14"/>
      <c r="J604" s="15"/>
    </row>
    <row r="605" spans="1:10">
      <c r="A605" s="14">
        <f>IF(B605="","",COUNTA($B$4:B605))</f>
        <v>602</v>
      </c>
      <c r="B605" s="14" t="s">
        <v>1555</v>
      </c>
      <c r="C605" s="14" t="s">
        <v>263</v>
      </c>
      <c r="D605" s="14" t="s">
        <v>264</v>
      </c>
      <c r="E605" s="14" t="s">
        <v>263</v>
      </c>
      <c r="F605" s="14" t="s">
        <v>169</v>
      </c>
      <c r="G605" s="14" t="s">
        <v>243</v>
      </c>
      <c r="H605" s="14"/>
      <c r="I605" s="14"/>
      <c r="J605" s="15"/>
    </row>
    <row r="606" spans="1:10">
      <c r="A606" s="14">
        <f>IF(B606="","",COUNTA($B$4:B606))</f>
        <v>603</v>
      </c>
      <c r="B606" s="14" t="s">
        <v>1556</v>
      </c>
      <c r="C606" s="14" t="s">
        <v>162</v>
      </c>
      <c r="D606" s="14" t="s">
        <v>163</v>
      </c>
      <c r="E606" s="14" t="s">
        <v>164</v>
      </c>
      <c r="F606" s="14" t="s">
        <v>150</v>
      </c>
      <c r="G606" s="14" t="s">
        <v>151</v>
      </c>
      <c r="H606" s="14">
        <v>4</v>
      </c>
      <c r="I606" s="14"/>
      <c r="J606" s="15"/>
    </row>
    <row r="607" spans="1:10">
      <c r="A607" s="14">
        <f>IF(B607="","",COUNTA($B$4:B607))</f>
        <v>604</v>
      </c>
      <c r="B607" s="14" t="s">
        <v>1556</v>
      </c>
      <c r="C607" s="14" t="s">
        <v>1473</v>
      </c>
      <c r="D607" s="14" t="s">
        <v>1383</v>
      </c>
      <c r="E607" s="14" t="s">
        <v>1473</v>
      </c>
      <c r="F607" s="14" t="s">
        <v>150</v>
      </c>
      <c r="G607" s="14" t="s">
        <v>151</v>
      </c>
      <c r="H607" s="14">
        <v>10</v>
      </c>
      <c r="I607" s="14"/>
      <c r="J607" s="15"/>
    </row>
    <row r="608" spans="1:10">
      <c r="A608" s="14">
        <f>IF(B608="","",COUNTA($B$4:B608))</f>
        <v>605</v>
      </c>
      <c r="B608" s="14" t="s">
        <v>1556</v>
      </c>
      <c r="C608" s="14" t="s">
        <v>523</v>
      </c>
      <c r="D608" s="14" t="s">
        <v>1480</v>
      </c>
      <c r="E608" s="14" t="s">
        <v>1474</v>
      </c>
      <c r="F608" s="14" t="s">
        <v>150</v>
      </c>
      <c r="G608" s="14" t="s">
        <v>151</v>
      </c>
      <c r="H608" s="14">
        <v>10</v>
      </c>
      <c r="I608" s="14"/>
      <c r="J608" s="15"/>
    </row>
    <row r="609" spans="1:10">
      <c r="A609" s="14">
        <f>IF(B609="","",COUNTA($B$4:B609))</f>
        <v>606</v>
      </c>
      <c r="B609" s="14" t="s">
        <v>1556</v>
      </c>
      <c r="C609" s="14" t="s">
        <v>257</v>
      </c>
      <c r="D609" s="14" t="s">
        <v>258</v>
      </c>
      <c r="E609" s="14" t="s">
        <v>257</v>
      </c>
      <c r="F609" s="14" t="s">
        <v>169</v>
      </c>
      <c r="G609" s="14" t="s">
        <v>243</v>
      </c>
      <c r="H609" s="14"/>
      <c r="I609" s="14"/>
      <c r="J609" s="15"/>
    </row>
    <row r="610" spans="1:10">
      <c r="A610" s="14">
        <f>IF(B610="","",COUNTA($B$4:B610))</f>
        <v>607</v>
      </c>
      <c r="B610" s="14" t="s">
        <v>1557</v>
      </c>
      <c r="C610" s="14" t="s">
        <v>1475</v>
      </c>
      <c r="D610" s="14" t="s">
        <v>1490</v>
      </c>
      <c r="E610" s="14" t="s">
        <v>1475</v>
      </c>
      <c r="F610" s="14" t="s">
        <v>150</v>
      </c>
      <c r="G610" s="14" t="s">
        <v>151</v>
      </c>
      <c r="H610" s="14">
        <v>4</v>
      </c>
      <c r="I610" s="14"/>
      <c r="J610" s="15"/>
    </row>
    <row r="611" spans="1:10">
      <c r="A611" s="14">
        <f>IF(B611="","",COUNTA($B$4:B611))</f>
        <v>608</v>
      </c>
      <c r="B611" s="14" t="s">
        <v>1557</v>
      </c>
      <c r="C611" s="14" t="s">
        <v>162</v>
      </c>
      <c r="D611" s="14" t="s">
        <v>163</v>
      </c>
      <c r="E611" s="14" t="s">
        <v>162</v>
      </c>
      <c r="F611" s="14" t="s">
        <v>150</v>
      </c>
      <c r="G611" s="14" t="s">
        <v>151</v>
      </c>
      <c r="H611" s="14">
        <v>4</v>
      </c>
      <c r="I611" s="14"/>
      <c r="J611" s="15"/>
    </row>
    <row r="612" spans="1:10">
      <c r="A612" s="14">
        <f>IF(B612="","",COUNTA($B$4:B612))</f>
        <v>609</v>
      </c>
      <c r="B612" s="14" t="s">
        <v>1557</v>
      </c>
      <c r="C612" s="14" t="s">
        <v>730</v>
      </c>
      <c r="D612" s="14" t="s">
        <v>1497</v>
      </c>
      <c r="E612" s="14" t="s">
        <v>730</v>
      </c>
      <c r="F612" s="14" t="s">
        <v>155</v>
      </c>
      <c r="G612" s="14" t="s">
        <v>156</v>
      </c>
      <c r="H612" s="14">
        <v>3</v>
      </c>
      <c r="I612" s="14"/>
      <c r="J612" s="15"/>
    </row>
    <row r="613" spans="1:10">
      <c r="A613" s="14">
        <f>IF(B613="","",COUNTA($B$4:B613))</f>
        <v>610</v>
      </c>
      <c r="B613" s="14" t="s">
        <v>1557</v>
      </c>
      <c r="C613" s="14" t="s">
        <v>255</v>
      </c>
      <c r="D613" s="14" t="s">
        <v>256</v>
      </c>
      <c r="E613" s="14" t="s">
        <v>255</v>
      </c>
      <c r="F613" s="14" t="s">
        <v>150</v>
      </c>
      <c r="G613" s="14" t="s">
        <v>151</v>
      </c>
      <c r="H613" s="14">
        <v>10</v>
      </c>
      <c r="I613" s="14"/>
      <c r="J613" s="15"/>
    </row>
    <row r="614" spans="1:10">
      <c r="A614" s="14">
        <f>IF(B614="","",COUNTA($B$4:B614))</f>
        <v>611</v>
      </c>
      <c r="B614" s="14" t="s">
        <v>1557</v>
      </c>
      <c r="C614" s="14" t="s">
        <v>257</v>
      </c>
      <c r="D614" s="14" t="s">
        <v>258</v>
      </c>
      <c r="E614" s="14" t="s">
        <v>257</v>
      </c>
      <c r="F614" s="14" t="s">
        <v>169</v>
      </c>
      <c r="G614" s="14" t="s">
        <v>243</v>
      </c>
      <c r="H614" s="14"/>
      <c r="I614" s="14"/>
      <c r="J614" s="15"/>
    </row>
    <row r="615" spans="1:10">
      <c r="A615" s="14">
        <f>IF(B615="","",COUNTA($B$4:B615))</f>
        <v>612</v>
      </c>
      <c r="B615" s="14" t="s">
        <v>1557</v>
      </c>
      <c r="C615" s="14" t="s">
        <v>261</v>
      </c>
      <c r="D615" s="14" t="s">
        <v>262</v>
      </c>
      <c r="E615" s="14" t="s">
        <v>261</v>
      </c>
      <c r="F615" s="14" t="s">
        <v>150</v>
      </c>
      <c r="G615" s="14" t="s">
        <v>151</v>
      </c>
      <c r="H615" s="14">
        <v>10</v>
      </c>
      <c r="I615" s="14"/>
      <c r="J615" s="15"/>
    </row>
    <row r="616" spans="1:10">
      <c r="A616" s="14">
        <f>IF(B616="","",COUNTA($B$4:B616))</f>
        <v>613</v>
      </c>
      <c r="B616" s="14" t="s">
        <v>1557</v>
      </c>
      <c r="C616" s="14" t="s">
        <v>263</v>
      </c>
      <c r="D616" s="14" t="s">
        <v>264</v>
      </c>
      <c r="E616" s="14" t="s">
        <v>263</v>
      </c>
      <c r="F616" s="14" t="s">
        <v>169</v>
      </c>
      <c r="G616" s="14" t="s">
        <v>243</v>
      </c>
      <c r="H616" s="14"/>
      <c r="I616" s="14"/>
      <c r="J616" s="15"/>
    </row>
    <row r="617" spans="1:10">
      <c r="A617" s="14">
        <f>IF(B617="","",COUNTA($B$4:B617))</f>
        <v>614</v>
      </c>
      <c r="B617" s="14" t="s">
        <v>1557</v>
      </c>
      <c r="C617" s="14" t="s">
        <v>1520</v>
      </c>
      <c r="D617" s="14" t="s">
        <v>1521</v>
      </c>
      <c r="E617" s="14" t="s">
        <v>1520</v>
      </c>
      <c r="F617" s="14" t="s">
        <v>1516</v>
      </c>
      <c r="G617" s="14" t="s">
        <v>1481</v>
      </c>
      <c r="H617" s="14">
        <v>10</v>
      </c>
      <c r="I617" s="14"/>
      <c r="J617" s="15"/>
    </row>
    <row r="618" spans="1:10">
      <c r="A618" s="14">
        <f>IF(B618="","",COUNTA($B$4:B618))</f>
        <v>615</v>
      </c>
      <c r="B618" s="14" t="s">
        <v>1557</v>
      </c>
      <c r="C618" s="14" t="s">
        <v>1522</v>
      </c>
      <c r="D618" s="14" t="s">
        <v>1523</v>
      </c>
      <c r="E618" s="14" t="s">
        <v>1522</v>
      </c>
      <c r="F618" s="14" t="s">
        <v>1517</v>
      </c>
      <c r="G618" s="14" t="s">
        <v>1519</v>
      </c>
      <c r="H618" s="14"/>
      <c r="I618" s="14"/>
      <c r="J618" s="15"/>
    </row>
    <row r="619" spans="1:10">
      <c r="A619" s="14">
        <f>IF(B619="","",COUNTA($B$4:B619))</f>
        <v>616</v>
      </c>
      <c r="B619" s="14" t="s">
        <v>1557</v>
      </c>
      <c r="C619" s="14" t="s">
        <v>1524</v>
      </c>
      <c r="D619" s="14" t="s">
        <v>1525</v>
      </c>
      <c r="E619" s="14" t="s">
        <v>1524</v>
      </c>
      <c r="F619" s="14" t="s">
        <v>1516</v>
      </c>
      <c r="G619" s="14" t="s">
        <v>1481</v>
      </c>
      <c r="H619" s="14">
        <v>10</v>
      </c>
      <c r="I619" s="14"/>
      <c r="J619" s="15"/>
    </row>
    <row r="620" spans="1:10">
      <c r="A620" s="14">
        <f>IF(B620="","",COUNTA($B$4:B620))</f>
        <v>617</v>
      </c>
      <c r="B620" s="14" t="s">
        <v>1557</v>
      </c>
      <c r="C620" s="14" t="s">
        <v>1526</v>
      </c>
      <c r="D620" s="14" t="s">
        <v>1527</v>
      </c>
      <c r="E620" s="14" t="s">
        <v>1526</v>
      </c>
      <c r="F620" s="14" t="s">
        <v>1517</v>
      </c>
      <c r="G620" s="14" t="s">
        <v>1519</v>
      </c>
      <c r="H620" s="14"/>
      <c r="I620" s="14"/>
      <c r="J620" s="15"/>
    </row>
    <row r="621" spans="1:10">
      <c r="A621" s="14" t="str">
        <f>IF(B621="","",COUNTA($B$4:B621))</f>
        <v/>
      </c>
      <c r="B621" s="14"/>
      <c r="C621" s="14"/>
      <c r="D621" s="14"/>
      <c r="E621" s="14"/>
      <c r="F621" s="14"/>
      <c r="G621" s="14"/>
      <c r="H621" s="14"/>
      <c r="I621" s="14"/>
      <c r="J621" s="15"/>
    </row>
    <row r="622" spans="1:10">
      <c r="A622" s="14" t="str">
        <f>IF(B622="","",COUNTA($B$4:B622))</f>
        <v/>
      </c>
      <c r="B622" s="14"/>
      <c r="C622" s="14"/>
      <c r="D622" s="14"/>
      <c r="E622" s="14"/>
      <c r="F622" s="14"/>
      <c r="G622" s="14"/>
      <c r="H622" s="14"/>
      <c r="I622" s="14"/>
      <c r="J622" s="15"/>
    </row>
    <row r="623" spans="1:10">
      <c r="A623" s="14" t="str">
        <f>IF(B623="","",COUNTA($B$4:B623))</f>
        <v/>
      </c>
      <c r="B623" s="14"/>
      <c r="C623" s="14"/>
      <c r="D623" s="14"/>
      <c r="E623" s="14"/>
      <c r="F623" s="14"/>
      <c r="G623" s="14"/>
      <c r="H623" s="14"/>
      <c r="I623" s="14"/>
      <c r="J623" s="15"/>
    </row>
    <row r="624" spans="1:10">
      <c r="A624" s="14" t="str">
        <f>IF(B624="","",COUNTA($B$4:B624))</f>
        <v/>
      </c>
      <c r="B624" s="14"/>
      <c r="C624" s="14"/>
      <c r="D624" s="14"/>
      <c r="E624" s="14"/>
      <c r="F624" s="14"/>
      <c r="G624" s="14"/>
      <c r="H624" s="14"/>
      <c r="I624" s="14"/>
      <c r="J624" s="15"/>
    </row>
    <row r="625" spans="1:10">
      <c r="A625" s="14" t="str">
        <f>IF(B625="","",COUNTA($B$4:B625))</f>
        <v/>
      </c>
      <c r="B625" s="14"/>
      <c r="C625" s="14"/>
      <c r="D625" s="14"/>
      <c r="E625" s="14"/>
      <c r="F625" s="14"/>
      <c r="G625" s="14"/>
      <c r="H625" s="14"/>
      <c r="I625" s="14"/>
      <c r="J625" s="15"/>
    </row>
    <row r="626" spans="1:10">
      <c r="A626" s="14" t="str">
        <f>IF(B626="","",COUNTA($B$4:B626))</f>
        <v/>
      </c>
      <c r="B626" s="14"/>
      <c r="C626" s="14"/>
      <c r="D626" s="14"/>
      <c r="E626" s="14"/>
      <c r="F626" s="14"/>
      <c r="G626" s="14"/>
      <c r="H626" s="14"/>
      <c r="I626" s="14"/>
      <c r="J626" s="15"/>
    </row>
    <row r="627" spans="1:10">
      <c r="A627" s="14" t="str">
        <f>IF(B627="","",COUNTA($B$4:B627))</f>
        <v/>
      </c>
      <c r="B627" s="14"/>
      <c r="C627" s="14"/>
      <c r="D627" s="14"/>
      <c r="E627" s="14"/>
      <c r="F627" s="14"/>
      <c r="G627" s="14"/>
      <c r="H627" s="14"/>
      <c r="I627" s="14"/>
      <c r="J627" s="15"/>
    </row>
    <row r="628" spans="1:10">
      <c r="A628" s="14" t="str">
        <f>IF(B628="","",COUNTA($B$4:B628))</f>
        <v/>
      </c>
      <c r="B628" s="14"/>
      <c r="C628" s="14"/>
      <c r="D628" s="14"/>
      <c r="E628" s="14"/>
      <c r="F628" s="14"/>
      <c r="G628" s="14"/>
      <c r="H628" s="14"/>
      <c r="I628" s="14"/>
      <c r="J628" s="15"/>
    </row>
    <row r="629" spans="1:10">
      <c r="A629" s="14" t="str">
        <f>IF(B629="","",COUNTA($B$4:B629))</f>
        <v/>
      </c>
      <c r="B629" s="14"/>
      <c r="C629" s="14"/>
      <c r="D629" s="14"/>
      <c r="E629" s="14"/>
      <c r="F629" s="14"/>
      <c r="G629" s="14"/>
      <c r="H629" s="14"/>
      <c r="I629" s="14"/>
      <c r="J629" s="15"/>
    </row>
    <row r="630" spans="1:10">
      <c r="A630" s="14" t="str">
        <f>IF(B630="","",COUNTA($B$4:B630))</f>
        <v/>
      </c>
      <c r="B630" s="14"/>
      <c r="C630" s="14"/>
      <c r="D630" s="14"/>
      <c r="E630" s="14"/>
      <c r="F630" s="14"/>
      <c r="G630" s="14"/>
      <c r="H630" s="14"/>
      <c r="I630" s="14"/>
      <c r="J630" s="15"/>
    </row>
    <row r="631" spans="1:10">
      <c r="A631" s="14" t="str">
        <f>IF(B631="","",COUNTA($B$4:B631))</f>
        <v/>
      </c>
      <c r="B631" s="14"/>
      <c r="C631" s="14"/>
      <c r="D631" s="14"/>
      <c r="E631" s="14"/>
      <c r="F631" s="14"/>
      <c r="G631" s="14"/>
      <c r="H631" s="14"/>
      <c r="I631" s="14"/>
      <c r="J631" s="15"/>
    </row>
    <row r="632" spans="1:10">
      <c r="A632" s="14" t="str">
        <f>IF(B632="","",COUNTA($B$4:B632))</f>
        <v/>
      </c>
      <c r="B632" s="14"/>
      <c r="C632" s="14"/>
      <c r="D632" s="14"/>
      <c r="E632" s="14"/>
      <c r="F632" s="14"/>
      <c r="G632" s="14"/>
      <c r="H632" s="14"/>
      <c r="I632" s="14"/>
      <c r="J632" s="15"/>
    </row>
    <row r="633" spans="1:10">
      <c r="A633" s="14" t="str">
        <f>IF(B633="","",COUNTA($B$4:B633))</f>
        <v/>
      </c>
      <c r="B633" s="14"/>
      <c r="C633" s="14"/>
      <c r="D633" s="14"/>
      <c r="E633" s="14"/>
      <c r="F633" s="14"/>
      <c r="G633" s="14"/>
      <c r="H633" s="14"/>
      <c r="I633" s="14"/>
      <c r="J633" s="15"/>
    </row>
    <row r="634" spans="1:10">
      <c r="A634" s="14" t="str">
        <f>IF(B634="","",COUNTA($B$4:B634))</f>
        <v/>
      </c>
      <c r="B634" s="14"/>
      <c r="C634" s="14"/>
      <c r="D634" s="14"/>
      <c r="E634" s="14"/>
      <c r="F634" s="14"/>
      <c r="G634" s="14"/>
      <c r="H634" s="14"/>
      <c r="I634" s="14"/>
      <c r="J634" s="15"/>
    </row>
    <row r="635" spans="1:10">
      <c r="A635" s="14" t="str">
        <f>IF(B635="","",COUNTA($B$4:B635))</f>
        <v/>
      </c>
      <c r="B635" s="14"/>
      <c r="C635" s="14"/>
      <c r="D635" s="14"/>
      <c r="E635" s="14"/>
      <c r="F635" s="14"/>
      <c r="G635" s="14"/>
      <c r="H635" s="14"/>
      <c r="I635" s="14"/>
      <c r="J635" s="15"/>
    </row>
    <row r="636" spans="1:10">
      <c r="A636" s="14" t="str">
        <f>IF(B636="","",COUNTA($B$4:B636))</f>
        <v/>
      </c>
      <c r="B636" s="14"/>
      <c r="C636" s="14"/>
      <c r="D636" s="14"/>
      <c r="E636" s="14"/>
      <c r="F636" s="14"/>
      <c r="G636" s="14"/>
      <c r="H636" s="14"/>
      <c r="I636" s="14"/>
      <c r="J636" s="15"/>
    </row>
    <row r="637" spans="1:10">
      <c r="A637" s="14" t="str">
        <f>IF(B637="","",COUNTA($B$4:B637))</f>
        <v/>
      </c>
      <c r="B637" s="14"/>
      <c r="C637" s="14"/>
      <c r="D637" s="14"/>
      <c r="E637" s="14"/>
      <c r="F637" s="14"/>
      <c r="G637" s="14"/>
      <c r="H637" s="14"/>
      <c r="I637" s="14"/>
      <c r="J637" s="15"/>
    </row>
    <row r="638" spans="1:10">
      <c r="A638" s="14" t="str">
        <f>IF(B638="","",COUNTA($B$4:B638))</f>
        <v/>
      </c>
      <c r="B638" s="14"/>
      <c r="C638" s="14"/>
      <c r="D638" s="14"/>
      <c r="E638" s="14"/>
      <c r="F638" s="14"/>
      <c r="G638" s="14"/>
      <c r="H638" s="14"/>
      <c r="I638" s="14"/>
      <c r="J638" s="15"/>
    </row>
    <row r="639" spans="1:10">
      <c r="A639" s="14" t="str">
        <f>IF(B639="","",COUNTA($B$4:B639))</f>
        <v/>
      </c>
      <c r="B639" s="14"/>
      <c r="C639" s="14"/>
      <c r="D639" s="14"/>
      <c r="E639" s="14"/>
      <c r="F639" s="14"/>
      <c r="G639" s="14"/>
      <c r="H639" s="14"/>
      <c r="I639" s="14"/>
      <c r="J639" s="15"/>
    </row>
    <row r="640" spans="1:10">
      <c r="A640" s="14" t="str">
        <f>IF(B640="","",COUNTA($B$4:B640))</f>
        <v/>
      </c>
      <c r="B640" s="14"/>
      <c r="C640" s="14"/>
      <c r="D640" s="14"/>
      <c r="E640" s="14"/>
      <c r="F640" s="14"/>
      <c r="G640" s="14"/>
      <c r="H640" s="14"/>
      <c r="I640" s="14"/>
      <c r="J640" s="15"/>
    </row>
    <row r="641" spans="1:10">
      <c r="A641" s="14" t="str">
        <f>IF(B641="","",COUNTA($B$4:B641))</f>
        <v/>
      </c>
      <c r="B641" s="14"/>
      <c r="C641" s="14"/>
      <c r="D641" s="14"/>
      <c r="E641" s="14"/>
      <c r="F641" s="14"/>
      <c r="G641" s="14"/>
      <c r="H641" s="14"/>
      <c r="I641" s="14"/>
      <c r="J641" s="15"/>
    </row>
    <row r="642" spans="1:10">
      <c r="A642" s="14" t="str">
        <f>IF(B642="","",COUNTA($B$4:B642))</f>
        <v/>
      </c>
      <c r="B642" s="14"/>
      <c r="C642" s="14"/>
      <c r="D642" s="14"/>
      <c r="E642" s="14"/>
      <c r="F642" s="14"/>
      <c r="G642" s="14"/>
      <c r="H642" s="14"/>
      <c r="I642" s="14"/>
      <c r="J642" s="15"/>
    </row>
    <row r="643" spans="1:10">
      <c r="A643" s="14" t="str">
        <f>IF(B643="","",COUNTA($B$4:B643))</f>
        <v/>
      </c>
      <c r="B643" s="14"/>
      <c r="C643" s="14"/>
      <c r="D643" s="14"/>
      <c r="E643" s="14"/>
      <c r="F643" s="14"/>
      <c r="G643" s="14"/>
      <c r="H643" s="14"/>
      <c r="I643" s="14"/>
      <c r="J643" s="15"/>
    </row>
    <row r="644" spans="1:10">
      <c r="A644" s="14" t="str">
        <f>IF(B644="","",COUNTA($B$4:B644))</f>
        <v/>
      </c>
      <c r="B644" s="14"/>
      <c r="C644" s="14"/>
      <c r="D644" s="14"/>
      <c r="E644" s="14"/>
      <c r="F644" s="14"/>
      <c r="G644" s="14"/>
      <c r="H644" s="14"/>
      <c r="I644" s="14"/>
      <c r="J644" s="15"/>
    </row>
    <row r="645" spans="1:10">
      <c r="A645" s="14" t="str">
        <f>IF(B645="","",COUNTA($B$4:B645))</f>
        <v/>
      </c>
      <c r="B645" s="14"/>
      <c r="C645" s="14"/>
      <c r="D645" s="14"/>
      <c r="E645" s="14"/>
      <c r="F645" s="14"/>
      <c r="G645" s="14"/>
      <c r="H645" s="14"/>
      <c r="I645" s="14"/>
      <c r="J645" s="15"/>
    </row>
    <row r="646" spans="1:10">
      <c r="A646" s="14" t="str">
        <f>IF(B646="","",COUNTA($B$4:B646))</f>
        <v/>
      </c>
      <c r="B646" s="14"/>
      <c r="C646" s="14"/>
      <c r="D646" s="14"/>
      <c r="E646" s="14"/>
      <c r="F646" s="14"/>
      <c r="G646" s="14"/>
      <c r="H646" s="14"/>
      <c r="I646" s="14"/>
      <c r="J646" s="15"/>
    </row>
    <row r="647" spans="1:10">
      <c r="A647" s="14" t="str">
        <f>IF(B647="","",COUNTA($B$4:B647))</f>
        <v/>
      </c>
      <c r="B647" s="14"/>
      <c r="C647" s="14"/>
      <c r="D647" s="14"/>
      <c r="E647" s="14"/>
      <c r="F647" s="14"/>
      <c r="G647" s="14"/>
      <c r="H647" s="14"/>
      <c r="I647" s="14"/>
      <c r="J647" s="15"/>
    </row>
    <row r="648" spans="1:10">
      <c r="A648" s="14" t="str">
        <f>IF(B648="","",COUNTA($B$4:B648))</f>
        <v/>
      </c>
      <c r="B648" s="14"/>
      <c r="C648" s="14"/>
      <c r="D648" s="14"/>
      <c r="E648" s="14"/>
      <c r="F648" s="14"/>
      <c r="G648" s="14"/>
      <c r="H648" s="14"/>
      <c r="I648" s="14"/>
      <c r="J648" s="15"/>
    </row>
    <row r="649" spans="1:10">
      <c r="A649" s="14" t="str">
        <f>IF(B649="","",COUNTA($B$4:B649))</f>
        <v/>
      </c>
      <c r="B649" s="14"/>
      <c r="C649" s="14"/>
      <c r="D649" s="14"/>
      <c r="E649" s="14"/>
      <c r="F649" s="14"/>
      <c r="G649" s="14"/>
      <c r="H649" s="14"/>
      <c r="I649" s="14"/>
      <c r="J649" s="15"/>
    </row>
    <row r="650" spans="1:10">
      <c r="A650" s="14" t="str">
        <f>IF(B650="","",COUNTA($B$4:B650))</f>
        <v/>
      </c>
      <c r="B650" s="14"/>
      <c r="C650" s="14"/>
      <c r="D650" s="14"/>
      <c r="E650" s="14"/>
      <c r="F650" s="14"/>
      <c r="G650" s="14"/>
      <c r="H650" s="14"/>
      <c r="I650" s="14"/>
      <c r="J650" s="15"/>
    </row>
    <row r="651" spans="1:10">
      <c r="A651" s="14" t="str">
        <f>IF(B651="","",COUNTA($B$4:B651))</f>
        <v/>
      </c>
      <c r="B651" s="14"/>
      <c r="C651" s="14"/>
      <c r="D651" s="14"/>
      <c r="E651" s="14"/>
      <c r="F651" s="14"/>
      <c r="G651" s="14"/>
      <c r="H651" s="14"/>
      <c r="I651" s="14"/>
      <c r="J651" s="15"/>
    </row>
    <row r="652" spans="1:10">
      <c r="A652" s="14" t="str">
        <f>IF(B652="","",COUNTA($B$4:B652))</f>
        <v/>
      </c>
      <c r="B652" s="14"/>
      <c r="C652" s="14"/>
      <c r="D652" s="14"/>
      <c r="E652" s="14"/>
      <c r="F652" s="14"/>
      <c r="G652" s="14"/>
      <c r="H652" s="14"/>
      <c r="I652" s="14"/>
      <c r="J652" s="15"/>
    </row>
    <row r="653" spans="1:10">
      <c r="A653" s="14" t="str">
        <f>IF(B653="","",COUNTA($B$4:B653))</f>
        <v/>
      </c>
      <c r="B653" s="14"/>
      <c r="C653" s="14"/>
      <c r="D653" s="14"/>
      <c r="E653" s="14"/>
      <c r="F653" s="14"/>
      <c r="G653" s="14"/>
      <c r="H653" s="14"/>
      <c r="I653" s="14"/>
      <c r="J653" s="15"/>
    </row>
    <row r="654" spans="1:10">
      <c r="A654" s="14" t="str">
        <f>IF(B654="","",COUNTA($B$4:B654))</f>
        <v/>
      </c>
      <c r="B654" s="14"/>
      <c r="C654" s="14"/>
      <c r="D654" s="14"/>
      <c r="E654" s="14"/>
      <c r="F654" s="14"/>
      <c r="G654" s="14"/>
      <c r="H654" s="14"/>
      <c r="I654" s="14"/>
      <c r="J654" s="15"/>
    </row>
    <row r="655" spans="1:10">
      <c r="A655" s="14" t="str">
        <f>IF(B655="","",COUNTA($B$4:B655))</f>
        <v/>
      </c>
      <c r="B655" s="14"/>
      <c r="C655" s="14"/>
      <c r="D655" s="14"/>
      <c r="E655" s="14"/>
      <c r="F655" s="14"/>
      <c r="G655" s="14"/>
      <c r="H655" s="14"/>
      <c r="I655" s="14"/>
      <c r="J655" s="15"/>
    </row>
    <row r="656" spans="1:10">
      <c r="A656" s="14" t="str">
        <f>IF(B656="","",COUNTA($B$4:B656))</f>
        <v/>
      </c>
      <c r="B656" s="14"/>
      <c r="C656" s="14"/>
      <c r="D656" s="14"/>
      <c r="E656" s="14"/>
      <c r="F656" s="14"/>
      <c r="G656" s="14"/>
      <c r="H656" s="14"/>
      <c r="I656" s="14"/>
      <c r="J656" s="15"/>
    </row>
    <row r="657" spans="1:10">
      <c r="A657" s="14" t="str">
        <f>IF(B657="","",COUNTA($B$4:B657))</f>
        <v/>
      </c>
      <c r="B657" s="14"/>
      <c r="C657" s="14"/>
      <c r="D657" s="14"/>
      <c r="E657" s="14"/>
      <c r="F657" s="14"/>
      <c r="G657" s="14"/>
      <c r="H657" s="14"/>
      <c r="I657" s="14"/>
      <c r="J657" s="15"/>
    </row>
    <row r="658" spans="1:10">
      <c r="A658" s="14" t="str">
        <f>IF(B658="","",COUNTA($B$4:B658))</f>
        <v/>
      </c>
      <c r="B658" s="14"/>
      <c r="C658" s="14"/>
      <c r="D658" s="14"/>
      <c r="E658" s="14"/>
      <c r="F658" s="14"/>
      <c r="G658" s="14"/>
      <c r="H658" s="14"/>
      <c r="I658" s="14"/>
      <c r="J658" s="15"/>
    </row>
    <row r="659" spans="1:10">
      <c r="A659" s="14" t="str">
        <f>IF(B659="","",COUNTA($B$4:B659))</f>
        <v/>
      </c>
      <c r="B659" s="14"/>
      <c r="C659" s="14"/>
      <c r="D659" s="14"/>
      <c r="E659" s="14"/>
      <c r="F659" s="14"/>
      <c r="G659" s="14"/>
      <c r="H659" s="14"/>
      <c r="I659" s="14"/>
      <c r="J659" s="15"/>
    </row>
    <row r="660" spans="1:10">
      <c r="A660" s="14" t="str">
        <f>IF(B660="","",COUNTA($B$4:B660))</f>
        <v/>
      </c>
      <c r="B660" s="14"/>
      <c r="C660" s="14"/>
      <c r="D660" s="14"/>
      <c r="E660" s="14"/>
      <c r="F660" s="14"/>
      <c r="G660" s="14"/>
      <c r="H660" s="14"/>
      <c r="I660" s="14"/>
      <c r="J660" s="15"/>
    </row>
    <row r="661" spans="1:10">
      <c r="A661" s="14" t="str">
        <f>IF(B661="","",COUNTA($B$4:B661))</f>
        <v/>
      </c>
      <c r="B661" s="14"/>
      <c r="C661" s="14"/>
      <c r="D661" s="14"/>
      <c r="E661" s="14"/>
      <c r="F661" s="14"/>
      <c r="G661" s="14"/>
      <c r="H661" s="14"/>
      <c r="I661" s="14"/>
      <c r="J661" s="15"/>
    </row>
    <row r="662" spans="1:10">
      <c r="A662" s="14" t="str">
        <f>IF(B662="","",COUNTA($B$4:B662))</f>
        <v/>
      </c>
      <c r="B662" s="14"/>
      <c r="C662" s="14"/>
      <c r="D662" s="14"/>
      <c r="E662" s="14"/>
      <c r="F662" s="14"/>
      <c r="G662" s="14"/>
      <c r="H662" s="14"/>
      <c r="I662" s="14"/>
      <c r="J662" s="15"/>
    </row>
    <row r="663" spans="1:10">
      <c r="A663" s="14" t="str">
        <f>IF(B663="","",COUNTA($B$4:B663))</f>
        <v/>
      </c>
      <c r="B663" s="14"/>
      <c r="C663" s="14"/>
      <c r="D663" s="14"/>
      <c r="E663" s="14"/>
      <c r="F663" s="14"/>
      <c r="G663" s="14"/>
      <c r="H663" s="14"/>
      <c r="I663" s="14"/>
      <c r="J663" s="15"/>
    </row>
    <row r="664" spans="1:10">
      <c r="A664" s="14" t="str">
        <f>IF(B664="","",COUNTA($B$4:B664))</f>
        <v/>
      </c>
      <c r="B664" s="14"/>
      <c r="C664" s="14"/>
      <c r="D664" s="14"/>
      <c r="E664" s="14"/>
      <c r="F664" s="14"/>
      <c r="G664" s="14"/>
      <c r="H664" s="14"/>
      <c r="I664" s="14"/>
      <c r="J664" s="15"/>
    </row>
    <row r="665" spans="1:10">
      <c r="A665" s="14" t="str">
        <f>IF(B665="","",COUNTA($B$4:B665))</f>
        <v/>
      </c>
      <c r="B665" s="14"/>
      <c r="C665" s="14"/>
      <c r="D665" s="14"/>
      <c r="E665" s="14"/>
      <c r="F665" s="14"/>
      <c r="G665" s="14"/>
      <c r="H665" s="14"/>
      <c r="I665" s="14"/>
      <c r="J665" s="15"/>
    </row>
    <row r="666" spans="1:10">
      <c r="A666" s="14" t="str">
        <f>IF(B666="","",COUNTA($B$4:B666))</f>
        <v/>
      </c>
      <c r="B666" s="14"/>
      <c r="C666" s="14"/>
      <c r="D666" s="14"/>
      <c r="E666" s="14"/>
      <c r="F666" s="14"/>
      <c r="G666" s="14"/>
      <c r="H666" s="14"/>
      <c r="I666" s="14"/>
      <c r="J666" s="15"/>
    </row>
    <row r="667" spans="1:10">
      <c r="A667" s="14" t="str">
        <f>IF(B667="","",COUNTA($B$4:B667))</f>
        <v/>
      </c>
      <c r="B667" s="14"/>
      <c r="C667" s="14"/>
      <c r="D667" s="14"/>
      <c r="E667" s="14"/>
      <c r="F667" s="14"/>
      <c r="G667" s="14"/>
      <c r="H667" s="14"/>
      <c r="I667" s="14"/>
      <c r="J667" s="15"/>
    </row>
    <row r="668" spans="1:10">
      <c r="A668" s="14" t="str">
        <f>IF(B668="","",COUNTA($B$4:B668))</f>
        <v/>
      </c>
      <c r="B668" s="14"/>
      <c r="C668" s="14"/>
      <c r="D668" s="14"/>
      <c r="E668" s="14"/>
      <c r="F668" s="14"/>
      <c r="G668" s="14"/>
      <c r="H668" s="14"/>
      <c r="I668" s="14"/>
      <c r="J668" s="15"/>
    </row>
    <row r="669" spans="1:10">
      <c r="A669" s="14" t="str">
        <f>IF(B669="","",COUNTA($B$4:B669))</f>
        <v/>
      </c>
      <c r="B669" s="14"/>
      <c r="C669" s="14"/>
      <c r="D669" s="14"/>
      <c r="E669" s="14"/>
      <c r="F669" s="14"/>
      <c r="G669" s="14"/>
      <c r="H669" s="14"/>
      <c r="I669" s="14"/>
      <c r="J669" s="15"/>
    </row>
    <row r="670" spans="1:10">
      <c r="A670" s="14" t="str">
        <f>IF(B670="","",COUNTA($B$4:B670))</f>
        <v/>
      </c>
      <c r="B670" s="14"/>
      <c r="C670" s="14"/>
      <c r="D670" s="14"/>
      <c r="E670" s="14"/>
      <c r="F670" s="14"/>
      <c r="G670" s="14"/>
      <c r="H670" s="14"/>
      <c r="I670" s="14"/>
      <c r="J670" s="15"/>
    </row>
    <row r="671" spans="1:10">
      <c r="A671" s="14" t="str">
        <f>IF(B671="","",COUNTA($B$4:B671))</f>
        <v/>
      </c>
      <c r="B671" s="14"/>
      <c r="C671" s="14"/>
      <c r="D671" s="14"/>
      <c r="E671" s="14"/>
      <c r="F671" s="14"/>
      <c r="G671" s="14"/>
      <c r="H671" s="14"/>
      <c r="I671" s="14"/>
      <c r="J671" s="15"/>
    </row>
    <row r="672" spans="1:10">
      <c r="A672" s="14" t="str">
        <f>IF(B672="","",COUNTA($B$4:B672))</f>
        <v/>
      </c>
      <c r="B672" s="14"/>
      <c r="C672" s="14"/>
      <c r="D672" s="14"/>
      <c r="E672" s="14"/>
      <c r="F672" s="14"/>
      <c r="G672" s="14"/>
      <c r="H672" s="14"/>
      <c r="I672" s="14"/>
      <c r="J672" s="15"/>
    </row>
    <row r="673" spans="1:10">
      <c r="A673" s="14" t="str">
        <f>IF(B673="","",COUNTA($B$4:B673))</f>
        <v/>
      </c>
      <c r="B673" s="14"/>
      <c r="C673" s="14"/>
      <c r="D673" s="14"/>
      <c r="E673" s="14"/>
      <c r="F673" s="14"/>
      <c r="G673" s="14"/>
      <c r="H673" s="14"/>
      <c r="I673" s="14"/>
      <c r="J673" s="15"/>
    </row>
    <row r="674" spans="1:10">
      <c r="A674" s="14" t="str">
        <f>IF(B674="","",COUNTA($B$4:B674))</f>
        <v/>
      </c>
      <c r="B674" s="14"/>
      <c r="C674" s="14"/>
      <c r="D674" s="14"/>
      <c r="E674" s="14"/>
      <c r="F674" s="14"/>
      <c r="G674" s="14"/>
      <c r="H674" s="14"/>
      <c r="I674" s="14"/>
      <c r="J674" s="15"/>
    </row>
    <row r="675" spans="1:10">
      <c r="A675" s="14" t="str">
        <f>IF(B675="","",COUNTA($B$4:B675))</f>
        <v/>
      </c>
      <c r="B675" s="14"/>
      <c r="C675" s="14"/>
      <c r="D675" s="14"/>
      <c r="E675" s="14"/>
      <c r="F675" s="14"/>
      <c r="G675" s="14"/>
      <c r="H675" s="14"/>
      <c r="I675" s="14"/>
      <c r="J675" s="15"/>
    </row>
    <row r="676" spans="1:10">
      <c r="A676" s="14" t="str">
        <f>IF(B676="","",COUNTA($B$4:B676))</f>
        <v/>
      </c>
      <c r="B676" s="14"/>
      <c r="C676" s="14"/>
      <c r="D676" s="14"/>
      <c r="E676" s="14"/>
      <c r="F676" s="14"/>
      <c r="G676" s="14"/>
      <c r="H676" s="14"/>
      <c r="I676" s="14"/>
      <c r="J676" s="15"/>
    </row>
    <row r="677" spans="1:10">
      <c r="A677" s="14" t="str">
        <f>IF(B677="","",COUNTA($B$4:B677))</f>
        <v/>
      </c>
      <c r="B677" s="14"/>
      <c r="C677" s="14"/>
      <c r="D677" s="14"/>
      <c r="E677" s="14"/>
      <c r="F677" s="14"/>
      <c r="G677" s="14"/>
      <c r="H677" s="14"/>
      <c r="I677" s="14"/>
      <c r="J677" s="15"/>
    </row>
    <row r="678" spans="1:10">
      <c r="A678" s="14" t="str">
        <f>IF(B678="","",COUNTA($B$4:B678))</f>
        <v/>
      </c>
      <c r="B678" s="14"/>
      <c r="C678" s="14"/>
      <c r="D678" s="14"/>
      <c r="E678" s="14"/>
      <c r="F678" s="14"/>
      <c r="G678" s="14"/>
      <c r="H678" s="14"/>
      <c r="I678" s="14"/>
      <c r="J678" s="15"/>
    </row>
    <row r="679" spans="1:10">
      <c r="A679" s="14" t="str">
        <f>IF(B679="","",COUNTA($B$4:B679))</f>
        <v/>
      </c>
      <c r="B679" s="14"/>
      <c r="C679" s="14"/>
      <c r="D679" s="14"/>
      <c r="E679" s="14"/>
      <c r="F679" s="14"/>
      <c r="G679" s="14"/>
      <c r="H679" s="14"/>
      <c r="I679" s="14"/>
      <c r="J679" s="15"/>
    </row>
    <row r="680" spans="1:10">
      <c r="A680" s="14" t="str">
        <f>IF(B680="","",COUNTA($B$4:B680))</f>
        <v/>
      </c>
      <c r="B680" s="14"/>
      <c r="C680" s="14"/>
      <c r="D680" s="14"/>
      <c r="E680" s="14"/>
      <c r="F680" s="14"/>
      <c r="G680" s="14"/>
      <c r="H680" s="14"/>
      <c r="I680" s="14"/>
      <c r="J680" s="15"/>
    </row>
    <row r="681" spans="1:10">
      <c r="A681" s="14" t="str">
        <f>IF(B681="","",COUNTA($B$4:B681))</f>
        <v/>
      </c>
      <c r="B681" s="14"/>
      <c r="C681" s="14"/>
      <c r="D681" s="14"/>
      <c r="E681" s="14"/>
      <c r="F681" s="14"/>
      <c r="G681" s="14"/>
      <c r="H681" s="14"/>
      <c r="I681" s="14"/>
      <c r="J681" s="15"/>
    </row>
    <row r="682" spans="1:10">
      <c r="A682" s="14" t="str">
        <f>IF(B682="","",COUNTA($B$4:B682))</f>
        <v/>
      </c>
      <c r="B682" s="14"/>
      <c r="C682" s="14"/>
      <c r="D682" s="14"/>
      <c r="E682" s="14"/>
      <c r="F682" s="14"/>
      <c r="G682" s="14"/>
      <c r="H682" s="14"/>
      <c r="I682" s="14"/>
      <c r="J682" s="15"/>
    </row>
    <row r="683" spans="1:10">
      <c r="A683" s="14" t="str">
        <f>IF(B683="","",COUNTA($B$4:B683))</f>
        <v/>
      </c>
      <c r="B683" s="14"/>
      <c r="C683" s="14"/>
      <c r="D683" s="14"/>
      <c r="E683" s="14"/>
      <c r="F683" s="14"/>
      <c r="G683" s="14"/>
      <c r="H683" s="14"/>
      <c r="I683" s="14"/>
      <c r="J683" s="15"/>
    </row>
    <row r="684" spans="1:10">
      <c r="A684" s="14" t="str">
        <f>IF(B684="","",COUNTA($B$4:B684))</f>
        <v/>
      </c>
      <c r="B684" s="14"/>
      <c r="C684" s="14"/>
      <c r="D684" s="14"/>
      <c r="E684" s="14"/>
      <c r="F684" s="14"/>
      <c r="G684" s="14"/>
      <c r="H684" s="14"/>
      <c r="I684" s="14"/>
      <c r="J684" s="15"/>
    </row>
    <row r="685" spans="1:10">
      <c r="A685" s="14" t="str">
        <f>IF(B685="","",COUNTA($B$4:B685))</f>
        <v/>
      </c>
      <c r="B685" s="14"/>
      <c r="C685" s="14"/>
      <c r="D685" s="14"/>
      <c r="E685" s="14"/>
      <c r="F685" s="14"/>
      <c r="G685" s="14"/>
      <c r="H685" s="14"/>
      <c r="I685" s="14"/>
      <c r="J685" s="15"/>
    </row>
    <row r="686" spans="1:10">
      <c r="A686" s="14" t="str">
        <f>IF(B686="","",COUNTA($B$4:B686))</f>
        <v/>
      </c>
      <c r="B686" s="14"/>
      <c r="C686" s="14"/>
      <c r="D686" s="14"/>
      <c r="E686" s="14"/>
      <c r="F686" s="14"/>
      <c r="G686" s="14"/>
      <c r="H686" s="14"/>
      <c r="I686" s="14"/>
      <c r="J686" s="15"/>
    </row>
    <row r="687" spans="1:10">
      <c r="A687" s="14" t="str">
        <f>IF(B687="","",COUNTA($B$4:B687))</f>
        <v/>
      </c>
      <c r="B687" s="14"/>
      <c r="C687" s="14"/>
      <c r="D687" s="14"/>
      <c r="E687" s="14"/>
      <c r="F687" s="14"/>
      <c r="G687" s="14"/>
      <c r="H687" s="14"/>
      <c r="I687" s="14"/>
      <c r="J687" s="15"/>
    </row>
    <row r="688" spans="1:10">
      <c r="A688" s="14" t="str">
        <f>IF(B688="","",COUNTA($B$4:B688))</f>
        <v/>
      </c>
      <c r="B688" s="14"/>
      <c r="C688" s="14"/>
      <c r="D688" s="14"/>
      <c r="E688" s="14"/>
      <c r="F688" s="14"/>
      <c r="G688" s="14"/>
      <c r="H688" s="14"/>
      <c r="I688" s="14"/>
      <c r="J688" s="15"/>
    </row>
    <row r="689" spans="1:10">
      <c r="A689" s="14" t="str">
        <f>IF(B689="","",COUNTA($B$4:B689))</f>
        <v/>
      </c>
      <c r="B689" s="14"/>
      <c r="C689" s="14"/>
      <c r="D689" s="14"/>
      <c r="E689" s="14"/>
      <c r="F689" s="14"/>
      <c r="G689" s="14"/>
      <c r="H689" s="14"/>
      <c r="I689" s="14"/>
      <c r="J689" s="15"/>
    </row>
    <row r="690" spans="1:10">
      <c r="A690" s="14" t="str">
        <f>IF(B690="","",COUNTA($B$4:B690))</f>
        <v/>
      </c>
      <c r="B690" s="14"/>
      <c r="C690" s="14"/>
      <c r="D690" s="14"/>
      <c r="E690" s="14"/>
      <c r="F690" s="14"/>
      <c r="G690" s="14"/>
      <c r="H690" s="14"/>
      <c r="I690" s="14"/>
      <c r="J690" s="15"/>
    </row>
    <row r="691" spans="1:10">
      <c r="A691" s="14" t="str">
        <f>IF(B691="","",COUNTA($B$4:B691))</f>
        <v/>
      </c>
      <c r="B691" s="14"/>
      <c r="C691" s="14"/>
      <c r="D691" s="14"/>
      <c r="E691" s="14"/>
      <c r="F691" s="14"/>
      <c r="G691" s="14"/>
      <c r="H691" s="14"/>
      <c r="I691" s="14"/>
      <c r="J691" s="15"/>
    </row>
    <row r="692" spans="1:10">
      <c r="A692" s="14" t="str">
        <f>IF(B692="","",COUNTA($B$4:B692))</f>
        <v/>
      </c>
      <c r="B692" s="14"/>
      <c r="C692" s="14"/>
      <c r="D692" s="14"/>
      <c r="E692" s="14"/>
      <c r="F692" s="14"/>
      <c r="G692" s="14"/>
      <c r="H692" s="14"/>
      <c r="I692" s="14"/>
      <c r="J692" s="15"/>
    </row>
    <row r="693" spans="1:10">
      <c r="A693" s="14" t="str">
        <f>IF(B693="","",COUNTA($B$4:B693))</f>
        <v/>
      </c>
      <c r="B693" s="14"/>
      <c r="C693" s="14"/>
      <c r="D693" s="14"/>
      <c r="E693" s="14"/>
      <c r="F693" s="14"/>
      <c r="G693" s="14"/>
      <c r="H693" s="14"/>
      <c r="I693" s="14"/>
      <c r="J693" s="15"/>
    </row>
    <row r="694" spans="1:10">
      <c r="A694" s="14" t="str">
        <f>IF(B694="","",COUNTA($B$4:B694))</f>
        <v/>
      </c>
      <c r="B694" s="14"/>
      <c r="C694" s="14"/>
      <c r="D694" s="14"/>
      <c r="E694" s="14"/>
      <c r="F694" s="14"/>
      <c r="G694" s="14"/>
      <c r="H694" s="14"/>
      <c r="I694" s="14"/>
      <c r="J694" s="15"/>
    </row>
    <row r="695" spans="1:10">
      <c r="A695" s="14" t="str">
        <f>IF(B695="","",COUNTA($B$4:B695))</f>
        <v/>
      </c>
      <c r="B695" s="14"/>
      <c r="C695" s="14"/>
      <c r="D695" s="14"/>
      <c r="E695" s="14"/>
      <c r="F695" s="14"/>
      <c r="G695" s="14"/>
      <c r="H695" s="14"/>
      <c r="I695" s="14"/>
      <c r="J695" s="15"/>
    </row>
    <row r="696" spans="1:10">
      <c r="A696" s="14" t="str">
        <f>IF(B696="","",COUNTA($B$4:B696))</f>
        <v/>
      </c>
      <c r="B696" s="14"/>
      <c r="C696" s="14"/>
      <c r="D696" s="14"/>
      <c r="E696" s="14"/>
      <c r="F696" s="14"/>
      <c r="G696" s="14"/>
      <c r="H696" s="14"/>
      <c r="I696" s="14"/>
      <c r="J696" s="15"/>
    </row>
    <row r="697" spans="1:10">
      <c r="A697" s="14" t="str">
        <f>IF(B697="","",COUNTA($B$4:B697))</f>
        <v/>
      </c>
      <c r="B697" s="14"/>
      <c r="C697" s="14"/>
      <c r="D697" s="14"/>
      <c r="E697" s="14"/>
      <c r="F697" s="14"/>
      <c r="G697" s="14"/>
      <c r="H697" s="14"/>
      <c r="I697" s="14"/>
      <c r="J697" s="15"/>
    </row>
    <row r="698" spans="1:10">
      <c r="A698" s="14" t="str">
        <f>IF(B698="","",COUNTA($B$4:B698))</f>
        <v/>
      </c>
      <c r="B698" s="14"/>
      <c r="C698" s="14"/>
      <c r="D698" s="14"/>
      <c r="E698" s="14"/>
      <c r="F698" s="14"/>
      <c r="G698" s="14"/>
      <c r="H698" s="14"/>
      <c r="I698" s="14"/>
      <c r="J698" s="15"/>
    </row>
    <row r="699" spans="1:10">
      <c r="A699" s="14" t="str">
        <f>IF(B699="","",COUNTA($B$4:B699))</f>
        <v/>
      </c>
      <c r="B699" s="14"/>
      <c r="C699" s="14"/>
      <c r="D699" s="14"/>
      <c r="E699" s="14"/>
      <c r="F699" s="14"/>
      <c r="G699" s="14"/>
      <c r="H699" s="14"/>
      <c r="I699" s="14"/>
      <c r="J699" s="15"/>
    </row>
    <row r="700" spans="1:10">
      <c r="A700" s="14" t="str">
        <f>IF(B700="","",COUNTA($B$4:B700))</f>
        <v/>
      </c>
      <c r="B700" s="14"/>
      <c r="C700" s="14"/>
      <c r="D700" s="14"/>
      <c r="E700" s="14"/>
      <c r="F700" s="14"/>
      <c r="G700" s="14"/>
      <c r="H700" s="14"/>
      <c r="I700" s="14"/>
      <c r="J700" s="15"/>
    </row>
    <row r="701" spans="1:10">
      <c r="A701" s="14" t="str">
        <f>IF(B701="","",COUNTA($B$4:B701))</f>
        <v/>
      </c>
      <c r="B701" s="14"/>
      <c r="C701" s="14"/>
      <c r="D701" s="14"/>
      <c r="E701" s="14"/>
      <c r="F701" s="14"/>
      <c r="G701" s="14"/>
      <c r="H701" s="14"/>
      <c r="I701" s="14"/>
      <c r="J701" s="15"/>
    </row>
    <row r="702" spans="1:10">
      <c r="A702" s="14" t="str">
        <f>IF(B702="","",COUNTA($B$4:B702))</f>
        <v/>
      </c>
      <c r="B702" s="14"/>
      <c r="C702" s="14"/>
      <c r="D702" s="14"/>
      <c r="E702" s="14"/>
      <c r="F702" s="14"/>
      <c r="G702" s="14"/>
      <c r="H702" s="14"/>
      <c r="I702" s="14"/>
      <c r="J702" s="15"/>
    </row>
    <row r="703" spans="1:10">
      <c r="A703" s="14" t="str">
        <f>IF(B703="","",COUNTA($B$4:B703))</f>
        <v/>
      </c>
      <c r="B703" s="14"/>
      <c r="C703" s="14"/>
      <c r="D703" s="14"/>
      <c r="E703" s="14"/>
      <c r="F703" s="14"/>
      <c r="G703" s="14"/>
      <c r="H703" s="14"/>
      <c r="I703" s="14"/>
      <c r="J703" s="15"/>
    </row>
    <row r="704" spans="1:10">
      <c r="A704" s="14" t="str">
        <f>IF(B704="","",COUNTA($B$4:B704))</f>
        <v/>
      </c>
      <c r="B704" s="14"/>
      <c r="C704" s="14"/>
      <c r="D704" s="14"/>
      <c r="E704" s="14"/>
      <c r="F704" s="14"/>
      <c r="G704" s="14"/>
      <c r="H704" s="14"/>
      <c r="I704" s="14"/>
      <c r="J704" s="15"/>
    </row>
    <row r="705" spans="1:10">
      <c r="A705" s="14" t="str">
        <f>IF(B705="","",COUNTA($B$4:B705))</f>
        <v/>
      </c>
      <c r="B705" s="14"/>
      <c r="C705" s="14"/>
      <c r="D705" s="14"/>
      <c r="E705" s="14"/>
      <c r="F705" s="14"/>
      <c r="G705" s="14"/>
      <c r="H705" s="14"/>
      <c r="I705" s="14"/>
      <c r="J705" s="15"/>
    </row>
    <row r="706" spans="1:10">
      <c r="A706" s="14" t="str">
        <f>IF(B706="","",COUNTA($B$4:B706))</f>
        <v/>
      </c>
      <c r="B706" s="14"/>
      <c r="C706" s="14"/>
      <c r="D706" s="14"/>
      <c r="E706" s="14"/>
      <c r="F706" s="14"/>
      <c r="G706" s="14"/>
      <c r="H706" s="14"/>
      <c r="I706" s="14"/>
      <c r="J706" s="15"/>
    </row>
    <row r="707" spans="1:10">
      <c r="A707" s="14" t="str">
        <f>IF(B707="","",COUNTA($B$4:B707))</f>
        <v/>
      </c>
      <c r="B707" s="14"/>
      <c r="C707" s="14"/>
      <c r="D707" s="14"/>
      <c r="E707" s="14"/>
      <c r="F707" s="14"/>
      <c r="G707" s="14"/>
      <c r="H707" s="14"/>
      <c r="I707" s="14"/>
      <c r="J707" s="15"/>
    </row>
    <row r="708" spans="1:10">
      <c r="A708" s="14" t="str">
        <f>IF(B708="","",COUNTA($B$4:B708))</f>
        <v/>
      </c>
      <c r="B708" s="14"/>
      <c r="C708" s="14"/>
      <c r="D708" s="14"/>
      <c r="E708" s="14"/>
      <c r="F708" s="14"/>
      <c r="G708" s="14"/>
      <c r="H708" s="14"/>
      <c r="I708" s="14"/>
      <c r="J708" s="15"/>
    </row>
    <row r="709" spans="1:10">
      <c r="A709" s="14" t="str">
        <f>IF(B709="","",COUNTA($B$4:B709))</f>
        <v/>
      </c>
      <c r="B709" s="14"/>
      <c r="C709" s="14"/>
      <c r="D709" s="14"/>
      <c r="E709" s="14"/>
      <c r="F709" s="14"/>
      <c r="G709" s="14"/>
      <c r="H709" s="14"/>
      <c r="I709" s="14"/>
      <c r="J709" s="15"/>
    </row>
    <row r="710" spans="1:10">
      <c r="A710" s="14" t="str">
        <f>IF(B710="","",COUNTA($B$4:B710))</f>
        <v/>
      </c>
      <c r="B710" s="14"/>
      <c r="C710" s="14"/>
      <c r="D710" s="14"/>
      <c r="E710" s="14"/>
      <c r="F710" s="14"/>
      <c r="G710" s="14"/>
      <c r="H710" s="14"/>
      <c r="I710" s="14"/>
      <c r="J710" s="15"/>
    </row>
    <row r="711" spans="1:10">
      <c r="A711" s="14" t="str">
        <f>IF(B711="","",COUNTA($B$4:B711))</f>
        <v/>
      </c>
      <c r="B711" s="14"/>
      <c r="C711" s="14"/>
      <c r="D711" s="14"/>
      <c r="E711" s="14"/>
      <c r="F711" s="14"/>
      <c r="G711" s="14"/>
      <c r="H711" s="14"/>
      <c r="I711" s="14"/>
      <c r="J711" s="15"/>
    </row>
    <row r="712" spans="1:10">
      <c r="A712" s="14" t="str">
        <f>IF(B712="","",COUNTA($B$4:B712))</f>
        <v/>
      </c>
      <c r="B712" s="14"/>
      <c r="C712" s="14"/>
      <c r="D712" s="14"/>
      <c r="E712" s="14"/>
      <c r="F712" s="14"/>
      <c r="G712" s="14"/>
      <c r="H712" s="14"/>
      <c r="I712" s="14"/>
      <c r="J712" s="15"/>
    </row>
    <row r="713" spans="1:10">
      <c r="A713" s="14" t="str">
        <f>IF(B713="","",COUNTA($B$4:B713))</f>
        <v/>
      </c>
      <c r="B713" s="14"/>
      <c r="C713" s="14"/>
      <c r="D713" s="14"/>
      <c r="E713" s="14"/>
      <c r="F713" s="14"/>
      <c r="G713" s="14"/>
      <c r="H713" s="14"/>
      <c r="I713" s="14"/>
      <c r="J713" s="15"/>
    </row>
    <row r="714" spans="1:10">
      <c r="A714" s="14" t="str">
        <f>IF(B714="","",COUNTA($B$4:B714))</f>
        <v/>
      </c>
      <c r="B714" s="14"/>
      <c r="C714" s="14"/>
      <c r="D714" s="14"/>
      <c r="E714" s="14"/>
      <c r="F714" s="14"/>
      <c r="G714" s="14"/>
      <c r="H714" s="14"/>
      <c r="I714" s="14"/>
      <c r="J714" s="15"/>
    </row>
    <row r="715" spans="1:10">
      <c r="A715" s="14" t="str">
        <f>IF(B715="","",COUNTA($B$4:B715))</f>
        <v/>
      </c>
      <c r="B715" s="14"/>
      <c r="C715" s="14"/>
      <c r="D715" s="14"/>
      <c r="E715" s="14"/>
      <c r="F715" s="14"/>
      <c r="G715" s="14"/>
      <c r="H715" s="14"/>
      <c r="I715" s="14"/>
      <c r="J715" s="15"/>
    </row>
    <row r="716" spans="1:10">
      <c r="A716" s="14" t="str">
        <f>IF(B716="","",COUNTA($B$4:B716))</f>
        <v/>
      </c>
      <c r="B716" s="14"/>
      <c r="C716" s="14"/>
      <c r="D716" s="14"/>
      <c r="E716" s="14"/>
      <c r="F716" s="14"/>
      <c r="G716" s="14"/>
      <c r="H716" s="14"/>
      <c r="I716" s="14"/>
      <c r="J716" s="15"/>
    </row>
    <row r="717" spans="1:10">
      <c r="A717" s="14" t="str">
        <f>IF(B717="","",COUNTA($B$4:B717))</f>
        <v/>
      </c>
      <c r="B717" s="14"/>
      <c r="C717" s="14"/>
      <c r="D717" s="14"/>
      <c r="E717" s="14"/>
      <c r="F717" s="14"/>
      <c r="G717" s="14"/>
      <c r="H717" s="14"/>
      <c r="I717" s="14"/>
      <c r="J717" s="15"/>
    </row>
    <row r="718" spans="1:10">
      <c r="A718" s="14" t="str">
        <f>IF(B718="","",COUNTA($B$4:B718))</f>
        <v/>
      </c>
      <c r="B718" s="14"/>
      <c r="C718" s="14"/>
      <c r="D718" s="14"/>
      <c r="E718" s="14"/>
      <c r="F718" s="14"/>
      <c r="G718" s="14"/>
      <c r="H718" s="14"/>
      <c r="I718" s="14"/>
      <c r="J718" s="15"/>
    </row>
    <row r="719" spans="1:10">
      <c r="A719" s="14" t="str">
        <f>IF(B719="","",COUNTA($B$4:B719))</f>
        <v/>
      </c>
      <c r="B719" s="14"/>
      <c r="C719" s="14"/>
      <c r="D719" s="14"/>
      <c r="E719" s="14"/>
      <c r="F719" s="14"/>
      <c r="G719" s="14"/>
      <c r="H719" s="14"/>
      <c r="I719" s="14"/>
      <c r="J719" s="15"/>
    </row>
    <row r="720" spans="1:10">
      <c r="A720" s="14" t="str">
        <f>IF(B720="","",COUNTA($B$4:B720))</f>
        <v/>
      </c>
      <c r="B720" s="14"/>
      <c r="C720" s="14"/>
      <c r="D720" s="14"/>
      <c r="E720" s="14"/>
      <c r="F720" s="14"/>
      <c r="G720" s="14"/>
      <c r="H720" s="14"/>
      <c r="I720" s="14"/>
      <c r="J720" s="15"/>
    </row>
    <row r="721" spans="1:10">
      <c r="A721" s="14" t="str">
        <f>IF(B721="","",COUNTA($B$4:B721))</f>
        <v/>
      </c>
      <c r="B721" s="14"/>
      <c r="C721" s="14"/>
      <c r="D721" s="14"/>
      <c r="E721" s="14"/>
      <c r="F721" s="14"/>
      <c r="G721" s="14"/>
      <c r="H721" s="14"/>
      <c r="I721" s="14"/>
      <c r="J721" s="15"/>
    </row>
    <row r="722" spans="1:10">
      <c r="A722" s="14" t="str">
        <f>IF(B722="","",COUNTA($B$4:B722))</f>
        <v/>
      </c>
      <c r="B722" s="14"/>
      <c r="C722" s="14"/>
      <c r="D722" s="14"/>
      <c r="E722" s="14"/>
      <c r="F722" s="14"/>
      <c r="G722" s="14"/>
      <c r="H722" s="14"/>
      <c r="I722" s="14"/>
      <c r="J722" s="15"/>
    </row>
    <row r="723" spans="1:10">
      <c r="A723" s="14" t="str">
        <f>IF(B723="","",COUNTA($B$4:B723))</f>
        <v/>
      </c>
      <c r="B723" s="14"/>
      <c r="C723" s="14"/>
      <c r="D723" s="14"/>
      <c r="E723" s="14"/>
      <c r="F723" s="14"/>
      <c r="G723" s="14"/>
      <c r="H723" s="14"/>
      <c r="I723" s="14"/>
      <c r="J723" s="15"/>
    </row>
    <row r="724" spans="1:10">
      <c r="A724" s="14" t="str">
        <f>IF(B724="","",COUNTA($B$4:B724))</f>
        <v/>
      </c>
      <c r="B724" s="14"/>
      <c r="C724" s="14"/>
      <c r="D724" s="14"/>
      <c r="E724" s="14"/>
      <c r="F724" s="14"/>
      <c r="G724" s="14"/>
      <c r="H724" s="14"/>
      <c r="I724" s="14"/>
      <c r="J724" s="15"/>
    </row>
    <row r="725" spans="1:10">
      <c r="A725" s="14" t="str">
        <f>IF(B725="","",COUNTA($B$4:B725))</f>
        <v/>
      </c>
      <c r="B725" s="14"/>
      <c r="C725" s="14"/>
      <c r="D725" s="14"/>
      <c r="E725" s="14"/>
      <c r="F725" s="14"/>
      <c r="G725" s="14"/>
      <c r="H725" s="14"/>
      <c r="I725" s="14"/>
      <c r="J725" s="15"/>
    </row>
    <row r="726" spans="1:10">
      <c r="A726" s="14" t="str">
        <f>IF(B726="","",COUNTA($B$4:B726))</f>
        <v/>
      </c>
      <c r="B726" s="14"/>
      <c r="C726" s="14"/>
      <c r="D726" s="14"/>
      <c r="E726" s="14"/>
      <c r="F726" s="14"/>
      <c r="G726" s="14"/>
      <c r="H726" s="14"/>
      <c r="I726" s="14"/>
      <c r="J726" s="15"/>
    </row>
    <row r="727" spans="1:10">
      <c r="A727" s="14" t="str">
        <f>IF(B727="","",COUNTA($B$4:B727))</f>
        <v/>
      </c>
      <c r="B727" s="14"/>
      <c r="C727" s="14"/>
      <c r="D727" s="14"/>
      <c r="E727" s="14"/>
      <c r="F727" s="14"/>
      <c r="G727" s="14"/>
      <c r="H727" s="14"/>
      <c r="I727" s="14"/>
      <c r="J727" s="15"/>
    </row>
    <row r="728" spans="1:10">
      <c r="A728" s="14" t="str">
        <f>IF(B728="","",COUNTA($B$4:B728))</f>
        <v/>
      </c>
      <c r="B728" s="14"/>
      <c r="C728" s="14"/>
      <c r="D728" s="14"/>
      <c r="E728" s="14"/>
      <c r="F728" s="14"/>
      <c r="G728" s="14"/>
      <c r="H728" s="14"/>
      <c r="I728" s="14"/>
      <c r="J728" s="15"/>
    </row>
    <row r="729" spans="1:10">
      <c r="A729" s="14" t="str">
        <f>IF(B729="","",COUNTA($B$4:B729))</f>
        <v/>
      </c>
      <c r="B729" s="14"/>
      <c r="C729" s="14"/>
      <c r="D729" s="14"/>
      <c r="E729" s="14"/>
      <c r="F729" s="14"/>
      <c r="G729" s="14"/>
      <c r="H729" s="14"/>
      <c r="I729" s="14"/>
      <c r="J729" s="15"/>
    </row>
    <row r="730" spans="1:10">
      <c r="A730" s="14" t="str">
        <f>IF(B730="","",COUNTA($B$4:B730))</f>
        <v/>
      </c>
      <c r="B730" s="14"/>
      <c r="C730" s="14"/>
      <c r="D730" s="14"/>
      <c r="E730" s="14"/>
      <c r="F730" s="14"/>
      <c r="G730" s="14"/>
      <c r="H730" s="14"/>
      <c r="I730" s="14"/>
      <c r="J730" s="15"/>
    </row>
    <row r="731" spans="1:10">
      <c r="A731" s="14" t="str">
        <f>IF(B731="","",COUNTA($B$4:B731))</f>
        <v/>
      </c>
      <c r="B731" s="14"/>
      <c r="C731" s="14"/>
      <c r="D731" s="14"/>
      <c r="E731" s="14"/>
      <c r="F731" s="14"/>
      <c r="G731" s="14"/>
      <c r="H731" s="14"/>
      <c r="I731" s="14"/>
      <c r="J731" s="15"/>
    </row>
    <row r="732" spans="1:10">
      <c r="A732" s="14" t="str">
        <f>IF(B732="","",COUNTA($B$4:B732))</f>
        <v/>
      </c>
      <c r="B732" s="14"/>
      <c r="C732" s="14"/>
      <c r="D732" s="14"/>
      <c r="E732" s="14"/>
      <c r="F732" s="14"/>
      <c r="G732" s="14"/>
      <c r="H732" s="14"/>
      <c r="I732" s="14"/>
      <c r="J732" s="15"/>
    </row>
    <row r="733" spans="1:10">
      <c r="A733" s="14" t="str">
        <f>IF(B733="","",COUNTA($B$4:B733))</f>
        <v/>
      </c>
      <c r="B733" s="14"/>
      <c r="C733" s="14"/>
      <c r="D733" s="14"/>
      <c r="E733" s="14"/>
      <c r="F733" s="14"/>
      <c r="G733" s="14"/>
      <c r="H733" s="14"/>
      <c r="I733" s="14"/>
      <c r="J733" s="15"/>
    </row>
    <row r="734" spans="1:10">
      <c r="A734" s="14" t="str">
        <f>IF(B734="","",COUNTA($B$4:B734))</f>
        <v/>
      </c>
      <c r="B734" s="14"/>
      <c r="C734" s="14"/>
      <c r="D734" s="14"/>
      <c r="E734" s="14"/>
      <c r="F734" s="14"/>
      <c r="G734" s="14"/>
      <c r="H734" s="14"/>
      <c r="I734" s="14"/>
      <c r="J734" s="15"/>
    </row>
    <row r="735" spans="1:10">
      <c r="A735" s="14" t="str">
        <f>IF(B735="","",COUNTA($B$4:B735))</f>
        <v/>
      </c>
      <c r="B735" s="14"/>
      <c r="C735" s="14"/>
      <c r="D735" s="14"/>
      <c r="E735" s="14"/>
      <c r="F735" s="14"/>
      <c r="G735" s="14"/>
      <c r="H735" s="14"/>
      <c r="I735" s="14"/>
      <c r="J735" s="15"/>
    </row>
    <row r="736" spans="1:10">
      <c r="A736" s="14" t="str">
        <f>IF(B736="","",COUNTA($B$4:B736))</f>
        <v/>
      </c>
      <c r="B736" s="14"/>
      <c r="C736" s="14"/>
      <c r="D736" s="14"/>
      <c r="E736" s="14"/>
      <c r="F736" s="14"/>
      <c r="G736" s="14"/>
      <c r="H736" s="14"/>
      <c r="I736" s="14"/>
      <c r="J736" s="15"/>
    </row>
    <row r="737" spans="1:10">
      <c r="A737" s="14" t="str">
        <f>IF(B737="","",COUNTA($B$4:B737))</f>
        <v/>
      </c>
      <c r="B737" s="14"/>
      <c r="C737" s="14"/>
      <c r="D737" s="14"/>
      <c r="E737" s="14"/>
      <c r="F737" s="14"/>
      <c r="G737" s="14"/>
      <c r="H737" s="14"/>
      <c r="I737" s="14"/>
      <c r="J737" s="15"/>
    </row>
    <row r="738" spans="1:10">
      <c r="A738" s="14" t="str">
        <f>IF(B738="","",COUNTA($B$4:B738))</f>
        <v/>
      </c>
      <c r="B738" s="14"/>
      <c r="C738" s="14"/>
      <c r="D738" s="14"/>
      <c r="E738" s="14"/>
      <c r="F738" s="14"/>
      <c r="G738" s="14"/>
      <c r="H738" s="14"/>
      <c r="I738" s="14"/>
      <c r="J738" s="15"/>
    </row>
    <row r="739" spans="1:10">
      <c r="A739" s="14" t="str">
        <f>IF(B739="","",COUNTA($B$4:B739))</f>
        <v/>
      </c>
      <c r="B739" s="14"/>
      <c r="C739" s="14"/>
      <c r="D739" s="14"/>
      <c r="E739" s="14"/>
      <c r="F739" s="14"/>
      <c r="G739" s="14"/>
      <c r="H739" s="14"/>
      <c r="I739" s="14"/>
      <c r="J739" s="15"/>
    </row>
    <row r="740" spans="1:10">
      <c r="A740" s="14" t="str">
        <f>IF(B740="","",COUNTA($B$4:B740))</f>
        <v/>
      </c>
      <c r="B740" s="14"/>
      <c r="C740" s="14"/>
      <c r="D740" s="14"/>
      <c r="E740" s="14"/>
      <c r="F740" s="14"/>
      <c r="G740" s="14"/>
      <c r="H740" s="14"/>
      <c r="I740" s="14"/>
      <c r="J740" s="15"/>
    </row>
    <row r="741" spans="1:10">
      <c r="A741" s="14" t="str">
        <f>IF(B741="","",COUNTA($B$4:B741))</f>
        <v/>
      </c>
      <c r="B741" s="14"/>
      <c r="C741" s="14"/>
      <c r="D741" s="14"/>
      <c r="E741" s="14"/>
      <c r="F741" s="14"/>
      <c r="G741" s="14"/>
      <c r="H741" s="14"/>
      <c r="I741" s="14"/>
      <c r="J741" s="15"/>
    </row>
    <row r="742" spans="1:10">
      <c r="A742" s="14" t="str">
        <f>IF(B742="","",COUNTA($B$4:B742))</f>
        <v/>
      </c>
      <c r="B742" s="14"/>
      <c r="C742" s="14"/>
      <c r="D742" s="14"/>
      <c r="E742" s="14"/>
      <c r="F742" s="14"/>
      <c r="G742" s="14"/>
      <c r="H742" s="14"/>
      <c r="I742" s="14"/>
      <c r="J742" s="15"/>
    </row>
    <row r="743" spans="1:10">
      <c r="A743" s="14" t="str">
        <f>IF(B743="","",COUNTA($B$4:B743))</f>
        <v/>
      </c>
      <c r="B743" s="14"/>
      <c r="C743" s="14"/>
      <c r="D743" s="14"/>
      <c r="E743" s="14"/>
      <c r="F743" s="14"/>
      <c r="G743" s="14"/>
      <c r="H743" s="14"/>
      <c r="I743" s="14"/>
      <c r="J743" s="15"/>
    </row>
    <row r="744" spans="1:10">
      <c r="A744" s="14" t="str">
        <f>IF(B744="","",COUNTA($B$4:B744))</f>
        <v/>
      </c>
      <c r="B744" s="14"/>
      <c r="C744" s="14"/>
      <c r="D744" s="14"/>
      <c r="E744" s="14"/>
      <c r="F744" s="14"/>
      <c r="G744" s="14"/>
      <c r="H744" s="14"/>
      <c r="I744" s="14"/>
      <c r="J744" s="15"/>
    </row>
    <row r="745" spans="1:10">
      <c r="A745" s="14" t="str">
        <f>IF(B745="","",COUNTA($B$4:B745))</f>
        <v/>
      </c>
      <c r="B745" s="14"/>
      <c r="C745" s="14"/>
      <c r="D745" s="14"/>
      <c r="E745" s="14"/>
      <c r="F745" s="14"/>
      <c r="G745" s="14"/>
      <c r="H745" s="14"/>
      <c r="I745" s="14"/>
      <c r="J745" s="15"/>
    </row>
    <row r="746" spans="1:10">
      <c r="A746" s="14" t="str">
        <f>IF(B746="","",COUNTA($B$4:B746))</f>
        <v/>
      </c>
      <c r="B746" s="14"/>
      <c r="C746" s="14"/>
      <c r="D746" s="14"/>
      <c r="E746" s="14"/>
      <c r="F746" s="14"/>
      <c r="G746" s="14"/>
      <c r="H746" s="14"/>
      <c r="I746" s="14"/>
      <c r="J746" s="15"/>
    </row>
    <row r="747" spans="1:10">
      <c r="A747" s="14" t="str">
        <f>IF(B747="","",COUNTA($B$4:B747))</f>
        <v/>
      </c>
      <c r="B747" s="14"/>
      <c r="C747" s="14"/>
      <c r="D747" s="14"/>
      <c r="E747" s="14"/>
      <c r="F747" s="14"/>
      <c r="G747" s="14"/>
      <c r="H747" s="14"/>
      <c r="I747" s="14"/>
      <c r="J747" s="15"/>
    </row>
    <row r="748" spans="1:10">
      <c r="A748" s="14" t="str">
        <f>IF(B748="","",COUNTA($B$4:B748))</f>
        <v/>
      </c>
      <c r="B748" s="14"/>
      <c r="C748" s="14"/>
      <c r="D748" s="14"/>
      <c r="E748" s="14"/>
      <c r="F748" s="14"/>
      <c r="G748" s="14"/>
      <c r="H748" s="14"/>
      <c r="I748" s="14"/>
      <c r="J748" s="15"/>
    </row>
    <row r="749" spans="1:10">
      <c r="A749" s="14" t="str">
        <f>IF(B749="","",COUNTA($B$4:B749))</f>
        <v/>
      </c>
      <c r="B749" s="14"/>
      <c r="C749" s="14"/>
      <c r="D749" s="14"/>
      <c r="E749" s="14"/>
      <c r="F749" s="14"/>
      <c r="G749" s="14"/>
      <c r="H749" s="14"/>
      <c r="I749" s="14"/>
      <c r="J749" s="15"/>
    </row>
    <row r="750" spans="1:10">
      <c r="A750" s="14" t="str">
        <f>IF(B750="","",COUNTA($B$4:B750))</f>
        <v/>
      </c>
      <c r="B750" s="14"/>
      <c r="C750" s="14"/>
      <c r="D750" s="14"/>
      <c r="E750" s="14"/>
      <c r="F750" s="14"/>
      <c r="G750" s="14"/>
      <c r="H750" s="14"/>
      <c r="I750" s="14"/>
      <c r="J750" s="15"/>
    </row>
    <row r="751" spans="1:10">
      <c r="A751" s="14" t="str">
        <f>IF(B751="","",COUNTA($B$4:B751))</f>
        <v/>
      </c>
      <c r="B751" s="14"/>
      <c r="C751" s="14"/>
      <c r="D751" s="14"/>
      <c r="E751" s="14"/>
      <c r="F751" s="14"/>
      <c r="G751" s="14"/>
      <c r="H751" s="14"/>
      <c r="I751" s="14"/>
      <c r="J751" s="15"/>
    </row>
    <row r="752" spans="1:10">
      <c r="A752" s="14" t="str">
        <f>IF(B752="","",COUNTA($B$4:B752))</f>
        <v/>
      </c>
      <c r="B752" s="14"/>
      <c r="C752" s="14"/>
      <c r="D752" s="14"/>
      <c r="E752" s="14"/>
      <c r="F752" s="14"/>
      <c r="G752" s="14"/>
      <c r="H752" s="14"/>
      <c r="I752" s="14"/>
      <c r="J752" s="15"/>
    </row>
    <row r="753" spans="1:10">
      <c r="A753" s="14" t="str">
        <f>IF(B753="","",COUNTA($B$4:B753))</f>
        <v/>
      </c>
      <c r="B753" s="14"/>
      <c r="C753" s="14"/>
      <c r="D753" s="14"/>
      <c r="E753" s="14"/>
      <c r="F753" s="14"/>
      <c r="G753" s="14"/>
      <c r="H753" s="14"/>
      <c r="I753" s="14"/>
      <c r="J753" s="15"/>
    </row>
    <row r="754" spans="1:10">
      <c r="A754" s="14" t="str">
        <f>IF(B754="","",COUNTA($B$4:B754))</f>
        <v/>
      </c>
      <c r="B754" s="14"/>
      <c r="C754" s="14"/>
      <c r="D754" s="14"/>
      <c r="E754" s="14"/>
      <c r="F754" s="14"/>
      <c r="G754" s="14"/>
      <c r="H754" s="14"/>
      <c r="I754" s="14"/>
      <c r="J754" s="15"/>
    </row>
    <row r="755" spans="1:10">
      <c r="A755" s="14" t="str">
        <f>IF(B755="","",COUNTA($B$4:B755))</f>
        <v/>
      </c>
      <c r="B755" s="14"/>
      <c r="C755" s="14"/>
      <c r="D755" s="14"/>
      <c r="E755" s="14"/>
      <c r="F755" s="14"/>
      <c r="G755" s="14"/>
      <c r="H755" s="14"/>
      <c r="I755" s="14"/>
      <c r="J755" s="15"/>
    </row>
    <row r="756" spans="1:10">
      <c r="A756" s="14" t="str">
        <f>IF(B756="","",COUNTA($B$4:B756))</f>
        <v/>
      </c>
      <c r="B756" s="14"/>
      <c r="C756" s="14"/>
      <c r="D756" s="14"/>
      <c r="E756" s="14"/>
      <c r="F756" s="14"/>
      <c r="G756" s="14"/>
      <c r="H756" s="14"/>
      <c r="I756" s="14"/>
      <c r="J756" s="15"/>
    </row>
    <row r="757" spans="1:10">
      <c r="A757" s="14" t="str">
        <f>IF(B757="","",COUNTA($B$4:B757))</f>
        <v/>
      </c>
      <c r="B757" s="14"/>
      <c r="C757" s="14"/>
      <c r="D757" s="14"/>
      <c r="E757" s="14"/>
      <c r="F757" s="14"/>
      <c r="G757" s="14"/>
      <c r="H757" s="14"/>
      <c r="I757" s="14"/>
      <c r="J757" s="15"/>
    </row>
    <row r="758" spans="1:10">
      <c r="A758" s="14" t="str">
        <f>IF(B758="","",COUNTA($B$4:B758))</f>
        <v/>
      </c>
      <c r="B758" s="14"/>
      <c r="C758" s="14"/>
      <c r="D758" s="14"/>
      <c r="E758" s="14"/>
      <c r="F758" s="14"/>
      <c r="G758" s="14"/>
      <c r="H758" s="14"/>
      <c r="I758" s="14"/>
      <c r="J758" s="15"/>
    </row>
    <row r="759" spans="1:10">
      <c r="A759" s="14" t="str">
        <f>IF(B759="","",COUNTA($B$4:B759))</f>
        <v/>
      </c>
      <c r="B759" s="14"/>
      <c r="C759" s="14"/>
      <c r="D759" s="14"/>
      <c r="E759" s="14"/>
      <c r="F759" s="14"/>
      <c r="G759" s="14"/>
      <c r="H759" s="14"/>
      <c r="I759" s="14"/>
      <c r="J759" s="15"/>
    </row>
    <row r="760" spans="1:10">
      <c r="A760" s="14" t="str">
        <f>IF(B760="","",COUNTA($B$4:B760))</f>
        <v/>
      </c>
      <c r="B760" s="14"/>
      <c r="C760" s="14"/>
      <c r="D760" s="14"/>
      <c r="E760" s="14"/>
      <c r="F760" s="14"/>
      <c r="G760" s="14"/>
      <c r="H760" s="14"/>
      <c r="I760" s="14"/>
      <c r="J760" s="15"/>
    </row>
    <row r="761" spans="1:10">
      <c r="A761" s="14" t="str">
        <f>IF(B761="","",COUNTA($B$4:B761))</f>
        <v/>
      </c>
      <c r="B761" s="14"/>
      <c r="C761" s="14"/>
      <c r="D761" s="14"/>
      <c r="E761" s="14"/>
      <c r="F761" s="14"/>
      <c r="G761" s="14"/>
      <c r="H761" s="14"/>
      <c r="I761" s="14"/>
      <c r="J761" s="15"/>
    </row>
    <row r="762" spans="1:10">
      <c r="A762" s="14" t="str">
        <f>IF(B762="","",COUNTA($B$4:B762))</f>
        <v/>
      </c>
      <c r="B762" s="14"/>
      <c r="C762" s="14"/>
      <c r="D762" s="14"/>
      <c r="E762" s="14"/>
      <c r="F762" s="14"/>
      <c r="G762" s="14"/>
      <c r="H762" s="14"/>
      <c r="I762" s="14"/>
      <c r="J762" s="15"/>
    </row>
    <row r="763" spans="1:10">
      <c r="A763" s="14" t="str">
        <f>IF(B763="","",COUNTA($B$4:B763))</f>
        <v/>
      </c>
      <c r="B763" s="14"/>
      <c r="C763" s="14"/>
      <c r="D763" s="14"/>
      <c r="E763" s="14"/>
      <c r="F763" s="14"/>
      <c r="G763" s="14"/>
      <c r="H763" s="14"/>
      <c r="I763" s="14"/>
      <c r="J763" s="15"/>
    </row>
    <row r="764" spans="1:10">
      <c r="A764" s="14" t="str">
        <f>IF(B764="","",COUNTA($B$4:B764))</f>
        <v/>
      </c>
      <c r="B764" s="14"/>
      <c r="C764" s="14"/>
      <c r="D764" s="14"/>
      <c r="E764" s="14"/>
      <c r="F764" s="14"/>
      <c r="G764" s="14"/>
      <c r="H764" s="14"/>
      <c r="I764" s="14"/>
      <c r="J764" s="15"/>
    </row>
    <row r="765" spans="1:10">
      <c r="A765" s="14" t="str">
        <f>IF(B765="","",COUNTA($B$4:B765))</f>
        <v/>
      </c>
      <c r="B765" s="14"/>
      <c r="C765" s="14"/>
      <c r="D765" s="14"/>
      <c r="E765" s="14"/>
      <c r="F765" s="14"/>
      <c r="G765" s="14"/>
      <c r="H765" s="14"/>
      <c r="I765" s="14"/>
      <c r="J765" s="15"/>
    </row>
    <row r="766" spans="1:10">
      <c r="A766" s="14" t="str">
        <f>IF(B766="","",COUNTA($B$4:B766))</f>
        <v/>
      </c>
      <c r="B766" s="14"/>
      <c r="C766" s="14"/>
      <c r="D766" s="14"/>
      <c r="E766" s="14"/>
      <c r="F766" s="14"/>
      <c r="G766" s="14"/>
      <c r="H766" s="14"/>
      <c r="I766" s="14"/>
      <c r="J766" s="15"/>
    </row>
    <row r="767" spans="1:10">
      <c r="A767" s="14" t="str">
        <f>IF(B767="","",COUNTA($B$4:B767))</f>
        <v/>
      </c>
      <c r="B767" s="14"/>
      <c r="C767" s="14"/>
      <c r="D767" s="14"/>
      <c r="E767" s="14"/>
      <c r="F767" s="14"/>
      <c r="G767" s="14"/>
      <c r="H767" s="14"/>
      <c r="I767" s="14"/>
      <c r="J767" s="15"/>
    </row>
    <row r="768" spans="1:10">
      <c r="A768" s="14" t="str">
        <f>IF(B768="","",COUNTA($B$4:B768))</f>
        <v/>
      </c>
      <c r="B768" s="14"/>
      <c r="C768" s="14"/>
      <c r="D768" s="14"/>
      <c r="E768" s="14"/>
      <c r="F768" s="14"/>
      <c r="G768" s="14"/>
      <c r="H768" s="14"/>
      <c r="I768" s="14"/>
      <c r="J768" s="15"/>
    </row>
    <row r="769" spans="1:10">
      <c r="A769" s="14" t="str">
        <f>IF(B769="","",COUNTA($B$4:B769))</f>
        <v/>
      </c>
      <c r="B769" s="14"/>
      <c r="C769" s="14"/>
      <c r="D769" s="14"/>
      <c r="E769" s="14"/>
      <c r="F769" s="14"/>
      <c r="G769" s="14"/>
      <c r="H769" s="14"/>
      <c r="I769" s="14"/>
      <c r="J769" s="15"/>
    </row>
    <row r="770" spans="1:10">
      <c r="A770" s="14" t="str">
        <f>IF(B770="","",COUNTA($B$4:B770))</f>
        <v/>
      </c>
      <c r="B770" s="14"/>
      <c r="C770" s="14"/>
      <c r="D770" s="14"/>
      <c r="E770" s="14"/>
      <c r="F770" s="14"/>
      <c r="G770" s="14"/>
      <c r="H770" s="14"/>
      <c r="I770" s="14"/>
      <c r="J770" s="15"/>
    </row>
    <row r="771" spans="1:10">
      <c r="A771" s="14" t="str">
        <f>IF(B771="","",COUNTA($B$4:B771))</f>
        <v/>
      </c>
      <c r="B771" s="14"/>
      <c r="C771" s="14"/>
      <c r="D771" s="14"/>
      <c r="E771" s="14"/>
      <c r="F771" s="14"/>
      <c r="G771" s="14"/>
      <c r="H771" s="14"/>
      <c r="I771" s="14"/>
      <c r="J771" s="15"/>
    </row>
    <row r="772" spans="1:10">
      <c r="A772" s="14" t="str">
        <f>IF(B772="","",COUNTA($B$4:B772))</f>
        <v/>
      </c>
      <c r="B772" s="14"/>
      <c r="C772" s="14"/>
      <c r="D772" s="14"/>
      <c r="E772" s="14"/>
      <c r="F772" s="14"/>
      <c r="G772" s="14"/>
      <c r="H772" s="14"/>
      <c r="I772" s="14"/>
      <c r="J772" s="15"/>
    </row>
    <row r="773" spans="1:10">
      <c r="A773" s="14" t="str">
        <f>IF(B773="","",COUNTA($B$4:B773))</f>
        <v/>
      </c>
      <c r="B773" s="14"/>
      <c r="C773" s="14"/>
      <c r="D773" s="14"/>
      <c r="E773" s="14"/>
      <c r="F773" s="14"/>
      <c r="G773" s="14"/>
      <c r="H773" s="14"/>
      <c r="I773" s="14"/>
      <c r="J773" s="15"/>
    </row>
    <row r="774" spans="1:10">
      <c r="A774" s="14" t="str">
        <f>IF(B774="","",COUNTA($B$4:B774))</f>
        <v/>
      </c>
      <c r="B774" s="14"/>
      <c r="C774" s="14"/>
      <c r="D774" s="14"/>
      <c r="E774" s="14"/>
      <c r="F774" s="14"/>
      <c r="G774" s="14"/>
      <c r="H774" s="14"/>
      <c r="I774" s="14"/>
      <c r="J774" s="15"/>
    </row>
    <row r="775" spans="1:10">
      <c r="A775" s="14" t="str">
        <f>IF(B775="","",COUNTA($B$4:B775))</f>
        <v/>
      </c>
      <c r="B775" s="14"/>
      <c r="C775" s="14"/>
      <c r="D775" s="14"/>
      <c r="E775" s="14"/>
      <c r="F775" s="14"/>
      <c r="G775" s="14"/>
      <c r="H775" s="14"/>
      <c r="I775" s="14"/>
      <c r="J775" s="15"/>
    </row>
    <row r="776" spans="1:10">
      <c r="A776" s="14" t="str">
        <f>IF(B776="","",COUNTA($B$4:B776))</f>
        <v/>
      </c>
      <c r="B776" s="14"/>
      <c r="C776" s="14"/>
      <c r="D776" s="14"/>
      <c r="E776" s="14"/>
      <c r="F776" s="14"/>
      <c r="G776" s="14"/>
      <c r="H776" s="14"/>
      <c r="I776" s="14"/>
      <c r="J776" s="15"/>
    </row>
    <row r="777" spans="1:10">
      <c r="A777" s="14" t="str">
        <f>IF(B777="","",COUNTA($B$4:B777))</f>
        <v/>
      </c>
      <c r="B777" s="14"/>
      <c r="C777" s="14"/>
      <c r="D777" s="14"/>
      <c r="E777" s="14"/>
      <c r="F777" s="14"/>
      <c r="G777" s="14"/>
      <c r="H777" s="14"/>
      <c r="I777" s="14"/>
      <c r="J777" s="15"/>
    </row>
    <row r="778" spans="1:10">
      <c r="A778" s="14" t="str">
        <f>IF(B778="","",COUNTA($B$4:B778))</f>
        <v/>
      </c>
      <c r="B778" s="14"/>
      <c r="C778" s="14"/>
      <c r="D778" s="14"/>
      <c r="E778" s="14"/>
      <c r="F778" s="14"/>
      <c r="G778" s="14"/>
      <c r="H778" s="14"/>
      <c r="I778" s="14"/>
      <c r="J778" s="15"/>
    </row>
    <row r="779" spans="1:10">
      <c r="A779" s="14" t="str">
        <f>IF(B779="","",COUNTA($B$4:B779))</f>
        <v/>
      </c>
      <c r="B779" s="14"/>
      <c r="C779" s="14"/>
      <c r="D779" s="14"/>
      <c r="E779" s="14"/>
      <c r="F779" s="14"/>
      <c r="G779" s="14"/>
      <c r="H779" s="14"/>
      <c r="I779" s="14"/>
      <c r="J779" s="15"/>
    </row>
    <row r="780" spans="1:10">
      <c r="A780" s="14" t="str">
        <f>IF(B780="","",COUNTA($B$4:B780))</f>
        <v/>
      </c>
      <c r="B780" s="14"/>
      <c r="C780" s="14"/>
      <c r="D780" s="14"/>
      <c r="E780" s="14"/>
      <c r="F780" s="14"/>
      <c r="G780" s="14"/>
      <c r="H780" s="14"/>
      <c r="I780" s="14"/>
      <c r="J780" s="15"/>
    </row>
    <row r="781" spans="1:10">
      <c r="A781" s="14" t="str">
        <f>IF(B781="","",COUNTA($B$4:B781))</f>
        <v/>
      </c>
      <c r="B781" s="14"/>
      <c r="C781" s="14"/>
      <c r="D781" s="14"/>
      <c r="E781" s="14"/>
      <c r="F781" s="14"/>
      <c r="G781" s="14"/>
      <c r="H781" s="14"/>
      <c r="I781" s="14"/>
      <c r="J781" s="15"/>
    </row>
    <row r="782" spans="1:10">
      <c r="A782" s="14" t="str">
        <f>IF(B782="","",COUNTA($B$4:B782))</f>
        <v/>
      </c>
      <c r="B782" s="14"/>
      <c r="C782" s="14"/>
      <c r="D782" s="14"/>
      <c r="E782" s="14"/>
      <c r="F782" s="14"/>
      <c r="G782" s="14"/>
      <c r="H782" s="14"/>
      <c r="I782" s="14"/>
      <c r="J782" s="15"/>
    </row>
    <row r="783" spans="1:10">
      <c r="A783" s="14" t="str">
        <f>IF(B783="","",COUNTA($B$4:B783))</f>
        <v/>
      </c>
      <c r="B783" s="14"/>
      <c r="C783" s="14"/>
      <c r="D783" s="14"/>
      <c r="E783" s="14"/>
      <c r="F783" s="14"/>
      <c r="G783" s="14"/>
      <c r="H783" s="14"/>
      <c r="I783" s="14"/>
      <c r="J783" s="15"/>
    </row>
    <row r="784" spans="1:10">
      <c r="A784" s="14" t="str">
        <f>IF(B784="","",COUNTA($B$4:B784))</f>
        <v/>
      </c>
      <c r="B784" s="14"/>
      <c r="C784" s="14"/>
      <c r="D784" s="14"/>
      <c r="E784" s="14"/>
      <c r="F784" s="14"/>
      <c r="G784" s="14"/>
      <c r="H784" s="14"/>
      <c r="I784" s="14"/>
      <c r="J784" s="15"/>
    </row>
    <row r="785" spans="1:10">
      <c r="A785" s="14" t="str">
        <f>IF(B785="","",COUNTA($B$4:B785))</f>
        <v/>
      </c>
      <c r="B785" s="14"/>
      <c r="C785" s="14"/>
      <c r="D785" s="14"/>
      <c r="E785" s="14"/>
      <c r="F785" s="14"/>
      <c r="G785" s="14"/>
      <c r="H785" s="14"/>
      <c r="I785" s="14"/>
      <c r="J785" s="15"/>
    </row>
    <row r="786" spans="1:10">
      <c r="A786" s="14" t="str">
        <f>IF(B786="","",COUNTA($B$4:B786))</f>
        <v/>
      </c>
      <c r="B786" s="14"/>
      <c r="C786" s="14"/>
      <c r="D786" s="14"/>
      <c r="E786" s="14"/>
      <c r="F786" s="14"/>
      <c r="G786" s="14"/>
      <c r="H786" s="14"/>
      <c r="I786" s="14"/>
      <c r="J786" s="15"/>
    </row>
    <row r="787" spans="1:10">
      <c r="A787" s="14" t="str">
        <f>IF(B787="","",COUNTA($B$4:B787))</f>
        <v/>
      </c>
      <c r="B787" s="14"/>
      <c r="C787" s="14"/>
      <c r="D787" s="14"/>
      <c r="E787" s="14"/>
      <c r="F787" s="14"/>
      <c r="G787" s="14"/>
      <c r="H787" s="14"/>
      <c r="I787" s="14"/>
      <c r="J787" s="15"/>
    </row>
    <row r="788" spans="1:10">
      <c r="A788" s="14" t="str">
        <f>IF(B788="","",COUNTA($B$4:B788))</f>
        <v/>
      </c>
      <c r="B788" s="14"/>
      <c r="C788" s="14"/>
      <c r="D788" s="14"/>
      <c r="E788" s="14"/>
      <c r="F788" s="14"/>
      <c r="G788" s="14"/>
      <c r="H788" s="14"/>
      <c r="I788" s="14"/>
      <c r="J788" s="15"/>
    </row>
    <row r="789" spans="1:10">
      <c r="A789" s="14" t="str">
        <f>IF(B789="","",COUNTA($B$4:B789))</f>
        <v/>
      </c>
      <c r="B789" s="14"/>
      <c r="C789" s="14"/>
      <c r="D789" s="14"/>
      <c r="E789" s="14"/>
      <c r="F789" s="14"/>
      <c r="G789" s="14"/>
      <c r="H789" s="14"/>
      <c r="I789" s="14"/>
      <c r="J789" s="15"/>
    </row>
    <row r="790" spans="1:10">
      <c r="A790" s="14" t="str">
        <f>IF(B790="","",COUNTA($B$4:B790))</f>
        <v/>
      </c>
      <c r="B790" s="14"/>
      <c r="C790" s="14"/>
      <c r="D790" s="14"/>
      <c r="E790" s="14"/>
      <c r="F790" s="14"/>
      <c r="G790" s="14"/>
      <c r="H790" s="14"/>
      <c r="I790" s="14"/>
      <c r="J790" s="15"/>
    </row>
    <row r="791" spans="1:10">
      <c r="A791" s="14" t="str">
        <f>IF(B791="","",COUNTA($B$4:B791))</f>
        <v/>
      </c>
      <c r="B791" s="14"/>
      <c r="C791" s="14"/>
      <c r="D791" s="14"/>
      <c r="E791" s="14"/>
      <c r="F791" s="14"/>
      <c r="G791" s="14"/>
      <c r="H791" s="14"/>
      <c r="I791" s="14"/>
      <c r="J791" s="15"/>
    </row>
    <row r="792" spans="1:10">
      <c r="A792" s="14" t="str">
        <f>IF(B792="","",COUNTA($B$4:B792))</f>
        <v/>
      </c>
      <c r="B792" s="14"/>
      <c r="C792" s="14"/>
      <c r="D792" s="14"/>
      <c r="E792" s="14"/>
      <c r="F792" s="14"/>
      <c r="G792" s="14"/>
      <c r="H792" s="14"/>
      <c r="I792" s="14"/>
      <c r="J792" s="15"/>
    </row>
    <row r="793" spans="1:10">
      <c r="A793" s="14" t="str">
        <f>IF(B793="","",COUNTA($B$4:B793))</f>
        <v/>
      </c>
      <c r="B793" s="14"/>
      <c r="C793" s="14"/>
      <c r="D793" s="14"/>
      <c r="E793" s="14"/>
      <c r="F793" s="14"/>
      <c r="G793" s="14"/>
      <c r="H793" s="14"/>
      <c r="I793" s="14"/>
      <c r="J793" s="15"/>
    </row>
    <row r="794" spans="1:10">
      <c r="A794" s="14" t="str">
        <f>IF(B794="","",COUNTA($B$4:B794))</f>
        <v/>
      </c>
      <c r="B794" s="14"/>
      <c r="C794" s="14"/>
      <c r="D794" s="14"/>
      <c r="E794" s="14"/>
      <c r="F794" s="14"/>
      <c r="G794" s="14"/>
      <c r="H794" s="14"/>
      <c r="I794" s="14"/>
      <c r="J794" s="15"/>
    </row>
    <row r="795" spans="1:10">
      <c r="A795" s="14" t="str">
        <f>IF(B795="","",COUNTA($B$4:B795))</f>
        <v/>
      </c>
      <c r="B795" s="14"/>
      <c r="C795" s="14"/>
      <c r="D795" s="14"/>
      <c r="E795" s="14"/>
      <c r="F795" s="14"/>
      <c r="G795" s="14"/>
      <c r="H795" s="14"/>
      <c r="I795" s="14"/>
      <c r="J795" s="15"/>
    </row>
    <row r="796" spans="1:10">
      <c r="A796" s="14" t="str">
        <f>IF(B796="","",COUNTA($B$4:B796))</f>
        <v/>
      </c>
      <c r="B796" s="14"/>
      <c r="C796" s="14"/>
      <c r="D796" s="14"/>
      <c r="E796" s="14"/>
      <c r="F796" s="14"/>
      <c r="G796" s="14"/>
      <c r="H796" s="14"/>
      <c r="I796" s="14"/>
      <c r="J796" s="15"/>
    </row>
    <row r="797" spans="1:10">
      <c r="A797" s="14" t="str">
        <f>IF(B797="","",COUNTA($B$4:B797))</f>
        <v/>
      </c>
      <c r="B797" s="14"/>
      <c r="C797" s="14"/>
      <c r="D797" s="14"/>
      <c r="E797" s="14"/>
      <c r="F797" s="14"/>
      <c r="G797" s="14"/>
      <c r="H797" s="14"/>
      <c r="I797" s="14"/>
      <c r="J797" s="15"/>
    </row>
    <row r="798" spans="1:10">
      <c r="A798" s="14" t="str">
        <f>IF(B798="","",COUNTA($B$4:B798))</f>
        <v/>
      </c>
      <c r="B798" s="14"/>
      <c r="C798" s="14"/>
      <c r="D798" s="14"/>
      <c r="E798" s="14"/>
      <c r="F798" s="14"/>
      <c r="G798" s="14"/>
      <c r="H798" s="14"/>
      <c r="I798" s="14"/>
      <c r="J798" s="15"/>
    </row>
    <row r="799" spans="1:10">
      <c r="A799" s="14" t="str">
        <f>IF(B799="","",COUNTA($B$4:B799))</f>
        <v/>
      </c>
      <c r="B799" s="14"/>
      <c r="C799" s="14"/>
      <c r="D799" s="14"/>
      <c r="E799" s="14"/>
      <c r="F799" s="14"/>
      <c r="G799" s="14"/>
      <c r="H799" s="14"/>
      <c r="I799" s="14"/>
      <c r="J799" s="15"/>
    </row>
    <row r="800" spans="1:10">
      <c r="A800" s="14" t="str">
        <f>IF(B800="","",COUNTA($B$4:B800))</f>
        <v/>
      </c>
      <c r="B800" s="14"/>
      <c r="C800" s="14"/>
      <c r="D800" s="14"/>
      <c r="E800" s="14"/>
      <c r="F800" s="14"/>
      <c r="G800" s="14"/>
      <c r="H800" s="14"/>
      <c r="I800" s="14"/>
      <c r="J800" s="15"/>
    </row>
    <row r="801" spans="1:10">
      <c r="A801" s="14" t="str">
        <f>IF(B801="","",COUNTA($B$4:B801))</f>
        <v/>
      </c>
      <c r="B801" s="14"/>
      <c r="C801" s="14"/>
      <c r="D801" s="14"/>
      <c r="E801" s="14"/>
      <c r="F801" s="14"/>
      <c r="G801" s="14"/>
      <c r="H801" s="14"/>
      <c r="I801" s="14"/>
      <c r="J801" s="15"/>
    </row>
    <row r="802" spans="1:10">
      <c r="A802" s="14" t="str">
        <f>IF(B802="","",COUNTA($B$4:B802))</f>
        <v/>
      </c>
      <c r="B802" s="14"/>
      <c r="C802" s="14"/>
      <c r="D802" s="14"/>
      <c r="E802" s="14"/>
      <c r="F802" s="14"/>
      <c r="G802" s="14"/>
      <c r="H802" s="14"/>
      <c r="I802" s="14"/>
      <c r="J802" s="15"/>
    </row>
    <row r="803" spans="1:10">
      <c r="A803" s="14" t="str">
        <f>IF(B803="","",COUNTA($B$4:B803))</f>
        <v/>
      </c>
      <c r="B803" s="14"/>
      <c r="C803" s="14"/>
      <c r="D803" s="14"/>
      <c r="E803" s="14"/>
      <c r="F803" s="14"/>
      <c r="G803" s="14"/>
      <c r="H803" s="14"/>
      <c r="I803" s="14"/>
      <c r="J803" s="15"/>
    </row>
    <row r="804" spans="1:10">
      <c r="A804" s="14" t="str">
        <f>IF(B804="","",COUNTA($B$4:B804))</f>
        <v/>
      </c>
      <c r="B804" s="14"/>
      <c r="C804" s="14"/>
      <c r="D804" s="14"/>
      <c r="E804" s="14"/>
      <c r="F804" s="14"/>
      <c r="G804" s="14"/>
      <c r="H804" s="14"/>
      <c r="I804" s="14"/>
      <c r="J804" s="15"/>
    </row>
    <row r="805" spans="1:10">
      <c r="A805" s="14" t="str">
        <f>IF(B805="","",COUNTA($B$4:B805))</f>
        <v/>
      </c>
      <c r="B805" s="14"/>
      <c r="C805" s="14"/>
      <c r="D805" s="14"/>
      <c r="E805" s="14"/>
      <c r="F805" s="14"/>
      <c r="G805" s="14"/>
      <c r="H805" s="14"/>
      <c r="I805" s="14"/>
      <c r="J805" s="15"/>
    </row>
    <row r="806" spans="1:10">
      <c r="A806" s="14" t="str">
        <f>IF(B806="","",COUNTA($B$4:B806))</f>
        <v/>
      </c>
      <c r="B806" s="14"/>
      <c r="C806" s="14"/>
      <c r="D806" s="14"/>
      <c r="E806" s="14"/>
      <c r="F806" s="14"/>
      <c r="G806" s="14"/>
      <c r="H806" s="14"/>
      <c r="I806" s="14"/>
      <c r="J806" s="15"/>
    </row>
    <row r="807" spans="1:10">
      <c r="A807" s="14" t="str">
        <f>IF(B807="","",COUNTA($B$4:B807))</f>
        <v/>
      </c>
      <c r="B807" s="14"/>
      <c r="C807" s="14"/>
      <c r="D807" s="14"/>
      <c r="E807" s="14"/>
      <c r="F807" s="14"/>
      <c r="G807" s="14"/>
      <c r="H807" s="14"/>
      <c r="I807" s="14"/>
      <c r="J807" s="15"/>
    </row>
    <row r="808" spans="1:10">
      <c r="A808" s="14" t="str">
        <f>IF(B808="","",COUNTA($B$4:B808))</f>
        <v/>
      </c>
      <c r="B808" s="14"/>
      <c r="C808" s="14"/>
      <c r="D808" s="14"/>
      <c r="E808" s="14"/>
      <c r="F808" s="14"/>
      <c r="G808" s="14"/>
      <c r="H808" s="14"/>
      <c r="I808" s="14"/>
      <c r="J808" s="15"/>
    </row>
    <row r="809" spans="1:10">
      <c r="A809" s="14" t="str">
        <f>IF(B809="","",COUNTA($B$4:B809))</f>
        <v/>
      </c>
      <c r="B809" s="14"/>
      <c r="C809" s="14"/>
      <c r="D809" s="14"/>
      <c r="E809" s="14"/>
      <c r="F809" s="14"/>
      <c r="G809" s="14"/>
      <c r="H809" s="14"/>
      <c r="I809" s="14"/>
      <c r="J809" s="15"/>
    </row>
    <row r="810" spans="1:10">
      <c r="A810" s="14" t="str">
        <f>IF(B810="","",COUNTA($B$4:B810))</f>
        <v/>
      </c>
      <c r="B810" s="14"/>
      <c r="C810" s="14"/>
      <c r="D810" s="14"/>
      <c r="E810" s="14"/>
      <c r="F810" s="14"/>
      <c r="G810" s="14"/>
      <c r="H810" s="14"/>
      <c r="I810" s="14"/>
      <c r="J810" s="15"/>
    </row>
    <row r="811" spans="1:10">
      <c r="A811" s="14" t="str">
        <f>IF(B811="","",COUNTA($B$4:B811))</f>
        <v/>
      </c>
      <c r="B811" s="14"/>
      <c r="C811" s="14"/>
      <c r="D811" s="14"/>
      <c r="E811" s="14"/>
      <c r="F811" s="14"/>
      <c r="G811" s="14"/>
      <c r="H811" s="14"/>
      <c r="I811" s="14"/>
      <c r="J811" s="15"/>
    </row>
    <row r="812" spans="1:10">
      <c r="A812" s="14" t="str">
        <f>IF(B812="","",COUNTA($B$4:B812))</f>
        <v/>
      </c>
      <c r="B812" s="14"/>
      <c r="C812" s="14"/>
      <c r="D812" s="14"/>
      <c r="E812" s="14"/>
      <c r="F812" s="14"/>
      <c r="G812" s="14"/>
      <c r="H812" s="14"/>
      <c r="I812" s="14"/>
      <c r="J812" s="15"/>
    </row>
    <row r="813" spans="1:10">
      <c r="A813" s="14" t="str">
        <f>IF(B813="","",COUNTA($B$4:B813))</f>
        <v/>
      </c>
      <c r="B813" s="14"/>
      <c r="C813" s="14"/>
      <c r="D813" s="14"/>
      <c r="E813" s="14"/>
      <c r="F813" s="14"/>
      <c r="G813" s="14"/>
      <c r="H813" s="14"/>
      <c r="I813" s="14"/>
      <c r="J813" s="15"/>
    </row>
  </sheetData>
  <autoFilter ref="A3:J813"/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K813"/>
  <sheetViews>
    <sheetView workbookViewId="0">
      <pane ySplit="3" topLeftCell="A4" activePane="bottomLeft" state="frozen"/>
      <selection sqref="A1:T4"/>
      <selection pane="bottomLeft"/>
    </sheetView>
  </sheetViews>
  <sheetFormatPr defaultRowHeight="14.4"/>
  <cols>
    <col min="1" max="1" width="4.6328125" customWidth="1"/>
    <col min="2" max="2" width="23.6328125" bestFit="1" customWidth="1"/>
    <col min="3" max="5" width="20.6328125" customWidth="1"/>
    <col min="6" max="7" width="10.6328125" customWidth="1"/>
    <col min="8" max="9" width="5.6328125" customWidth="1"/>
    <col min="10" max="10" width="8.7265625" style="16"/>
    <col min="11" max="11" width="9.7265625" style="16" hidden="1" customWidth="1"/>
  </cols>
  <sheetData>
    <row r="1" spans="1:11" ht="18.600000000000001">
      <c r="A1" s="9" t="str">
        <f ca="1">RIGHT(CELL("filename",A1),LEN(CELL("filename",A1))-FIND("]",CELL("filename",A1)))</f>
        <v>項目一覧 (項目別)</v>
      </c>
      <c r="B1" s="10"/>
      <c r="C1" s="10"/>
      <c r="D1" s="10"/>
      <c r="E1" s="10"/>
      <c r="F1" s="10"/>
      <c r="G1" s="10"/>
      <c r="H1" s="10"/>
      <c r="I1" s="10"/>
      <c r="J1" s="11"/>
      <c r="K1" s="11"/>
    </row>
    <row r="3" spans="1:11">
      <c r="A3" s="12" t="s">
        <v>444</v>
      </c>
      <c r="B3" s="12" t="s">
        <v>445</v>
      </c>
      <c r="C3" s="12" t="s">
        <v>446</v>
      </c>
      <c r="D3" s="12" t="s">
        <v>447</v>
      </c>
      <c r="E3" s="12" t="s">
        <v>448</v>
      </c>
      <c r="F3" s="12" t="s">
        <v>449</v>
      </c>
      <c r="G3" s="12" t="s">
        <v>450</v>
      </c>
      <c r="H3" s="12" t="s">
        <v>451</v>
      </c>
      <c r="I3" s="12" t="s">
        <v>452</v>
      </c>
      <c r="J3" s="13" t="s">
        <v>453</v>
      </c>
      <c r="K3" s="13" t="s">
        <v>455</v>
      </c>
    </row>
    <row r="4" spans="1:11">
      <c r="A4" s="14">
        <f>IF(B4="","",COUNTA($B$4:B4))</f>
        <v>1</v>
      </c>
      <c r="B4" s="14" t="s">
        <v>1538</v>
      </c>
      <c r="C4" s="14" t="s">
        <v>1539</v>
      </c>
      <c r="D4" s="14" t="s">
        <v>1478</v>
      </c>
      <c r="E4" s="14" t="s">
        <v>1539</v>
      </c>
      <c r="F4" s="14" t="s">
        <v>155</v>
      </c>
      <c r="G4" s="14" t="s">
        <v>156</v>
      </c>
      <c r="H4" s="14">
        <v>3</v>
      </c>
      <c r="I4" s="14" t="s">
        <v>244</v>
      </c>
      <c r="J4" s="14"/>
      <c r="K4" s="15"/>
    </row>
    <row r="5" spans="1:11">
      <c r="A5" s="14">
        <f>IF(B5="","",COUNTA($B$4:B5))</f>
        <v>2</v>
      </c>
      <c r="B5" s="14" t="s">
        <v>1538</v>
      </c>
      <c r="C5" s="14" t="s">
        <v>1385</v>
      </c>
      <c r="D5" s="14" t="s">
        <v>1541</v>
      </c>
      <c r="E5" s="14" t="s">
        <v>1385</v>
      </c>
      <c r="F5" s="14" t="s">
        <v>155</v>
      </c>
      <c r="G5" s="14" t="s">
        <v>156</v>
      </c>
      <c r="H5" s="14">
        <v>5</v>
      </c>
      <c r="I5" s="14" t="s">
        <v>244</v>
      </c>
      <c r="J5" s="14"/>
      <c r="K5" s="127"/>
    </row>
    <row r="6" spans="1:11">
      <c r="A6" s="14">
        <f>IF(B6="","",COUNTA($B$4:B6))</f>
        <v>3</v>
      </c>
      <c r="B6" s="14" t="s">
        <v>1538</v>
      </c>
      <c r="C6" s="14" t="s">
        <v>1386</v>
      </c>
      <c r="D6" s="14" t="s">
        <v>1542</v>
      </c>
      <c r="E6" s="14" t="s">
        <v>1386</v>
      </c>
      <c r="F6" s="14" t="s">
        <v>155</v>
      </c>
      <c r="G6" s="14" t="s">
        <v>156</v>
      </c>
      <c r="H6" s="14">
        <v>5</v>
      </c>
      <c r="I6" s="14" t="s">
        <v>244</v>
      </c>
      <c r="J6" s="14"/>
      <c r="K6" s="15"/>
    </row>
    <row r="7" spans="1:11">
      <c r="A7" s="14">
        <f>IF(B7="","",COUNTA($B$4:B7))</f>
        <v>4</v>
      </c>
      <c r="B7" s="14" t="s">
        <v>1538</v>
      </c>
      <c r="C7" s="14" t="s">
        <v>1424</v>
      </c>
      <c r="D7" s="14" t="s">
        <v>1540</v>
      </c>
      <c r="E7" s="14" t="s">
        <v>1424</v>
      </c>
      <c r="F7" s="14" t="s">
        <v>155</v>
      </c>
      <c r="G7" s="14" t="s">
        <v>156</v>
      </c>
      <c r="H7" s="14">
        <v>5</v>
      </c>
      <c r="I7" s="14" t="s">
        <v>244</v>
      </c>
      <c r="J7" s="14"/>
      <c r="K7" s="127"/>
    </row>
    <row r="8" spans="1:11">
      <c r="A8" s="14">
        <f>IF(B8="","",COUNTA($B$4:B8))</f>
        <v>5</v>
      </c>
      <c r="B8" s="14" t="s">
        <v>1538</v>
      </c>
      <c r="C8" s="14" t="s">
        <v>1543</v>
      </c>
      <c r="D8" s="14" t="s">
        <v>1544</v>
      </c>
      <c r="E8" s="14" t="s">
        <v>1543</v>
      </c>
      <c r="F8" s="14" t="s">
        <v>155</v>
      </c>
      <c r="G8" s="14" t="s">
        <v>156</v>
      </c>
      <c r="H8" s="14">
        <v>3</v>
      </c>
      <c r="I8" s="14" t="s">
        <v>244</v>
      </c>
      <c r="J8" s="14"/>
      <c r="K8" s="15"/>
    </row>
    <row r="9" spans="1:11">
      <c r="A9" s="14">
        <f>IF(B9="","",COUNTA($B$4:B9))</f>
        <v>6</v>
      </c>
      <c r="B9" s="14" t="s">
        <v>1534</v>
      </c>
      <c r="C9" s="14" t="s">
        <v>364</v>
      </c>
      <c r="D9" s="14" t="s">
        <v>365</v>
      </c>
      <c r="E9" s="14" t="s">
        <v>364</v>
      </c>
      <c r="F9" s="14" t="s">
        <v>155</v>
      </c>
      <c r="G9" s="14" t="s">
        <v>156</v>
      </c>
      <c r="H9" s="14">
        <v>3</v>
      </c>
      <c r="I9" s="14"/>
      <c r="J9" s="14"/>
      <c r="K9" s="15"/>
    </row>
    <row r="10" spans="1:11">
      <c r="A10" s="14">
        <f>IF(B10="","",COUNTA($B$4:B10))</f>
        <v>7</v>
      </c>
      <c r="B10" s="14" t="s">
        <v>1533</v>
      </c>
      <c r="C10" s="14" t="s">
        <v>314</v>
      </c>
      <c r="D10" s="14" t="s">
        <v>315</v>
      </c>
      <c r="E10" s="14" t="s">
        <v>314</v>
      </c>
      <c r="F10" s="14" t="s">
        <v>150</v>
      </c>
      <c r="G10" s="14" t="s">
        <v>151</v>
      </c>
      <c r="H10" s="14">
        <v>5</v>
      </c>
      <c r="I10" s="14"/>
      <c r="J10" s="14"/>
      <c r="K10" s="127"/>
    </row>
    <row r="11" spans="1:11">
      <c r="A11" s="14">
        <f>IF(B11="","",COUNTA($B$4:B11))</f>
        <v>8</v>
      </c>
      <c r="B11" s="14" t="s">
        <v>1534</v>
      </c>
      <c r="C11" s="14" t="s">
        <v>314</v>
      </c>
      <c r="D11" s="14" t="s">
        <v>315</v>
      </c>
      <c r="E11" s="14" t="s">
        <v>314</v>
      </c>
      <c r="F11" s="14" t="s">
        <v>150</v>
      </c>
      <c r="G11" s="14" t="s">
        <v>151</v>
      </c>
      <c r="H11" s="14">
        <v>5</v>
      </c>
      <c r="I11" s="14"/>
      <c r="J11" s="14"/>
      <c r="K11" s="127"/>
    </row>
    <row r="12" spans="1:11">
      <c r="A12" s="14">
        <f>IF(B12="","",COUNTA($B$4:B12))</f>
        <v>9</v>
      </c>
      <c r="B12" s="14" t="s">
        <v>1533</v>
      </c>
      <c r="C12" s="14" t="s">
        <v>324</v>
      </c>
      <c r="D12" s="14" t="s">
        <v>325</v>
      </c>
      <c r="E12" s="14" t="s">
        <v>324</v>
      </c>
      <c r="F12" s="14" t="s">
        <v>155</v>
      </c>
      <c r="G12" s="14" t="s">
        <v>156</v>
      </c>
      <c r="H12" s="14">
        <v>5</v>
      </c>
      <c r="I12" s="14"/>
      <c r="J12" s="14"/>
      <c r="K12" s="15"/>
    </row>
    <row r="13" spans="1:11">
      <c r="A13" s="14">
        <f>IF(B13="","",COUNTA($B$4:B13))</f>
        <v>10</v>
      </c>
      <c r="B13" s="14" t="s">
        <v>1534</v>
      </c>
      <c r="C13" s="14" t="s">
        <v>324</v>
      </c>
      <c r="D13" s="14" t="s">
        <v>325</v>
      </c>
      <c r="E13" s="14" t="s">
        <v>324</v>
      </c>
      <c r="F13" s="14" t="s">
        <v>155</v>
      </c>
      <c r="G13" s="14" t="s">
        <v>156</v>
      </c>
      <c r="H13" s="14">
        <v>5</v>
      </c>
      <c r="I13" s="14"/>
      <c r="J13" s="14"/>
      <c r="K13" s="15"/>
    </row>
    <row r="14" spans="1:11">
      <c r="A14" s="14">
        <f>IF(B14="","",COUNTA($B$4:B14))</f>
        <v>11</v>
      </c>
      <c r="B14" s="14" t="s">
        <v>1533</v>
      </c>
      <c r="C14" s="14" t="s">
        <v>320</v>
      </c>
      <c r="D14" s="14" t="s">
        <v>321</v>
      </c>
      <c r="E14" s="14" t="s">
        <v>320</v>
      </c>
      <c r="F14" s="14" t="s">
        <v>155</v>
      </c>
      <c r="G14" s="14" t="s">
        <v>156</v>
      </c>
      <c r="H14" s="14">
        <v>5</v>
      </c>
      <c r="I14" s="14">
        <v>2</v>
      </c>
      <c r="J14" s="14"/>
      <c r="K14" s="15"/>
    </row>
    <row r="15" spans="1:11">
      <c r="A15" s="14">
        <f>IF(B15="","",COUNTA($B$4:B15))</f>
        <v>12</v>
      </c>
      <c r="B15" s="14" t="s">
        <v>1534</v>
      </c>
      <c r="C15" s="14" t="s">
        <v>320</v>
      </c>
      <c r="D15" s="14" t="s">
        <v>321</v>
      </c>
      <c r="E15" s="14" t="s">
        <v>320</v>
      </c>
      <c r="F15" s="14" t="s">
        <v>155</v>
      </c>
      <c r="G15" s="14" t="s">
        <v>156</v>
      </c>
      <c r="H15" s="14">
        <v>5</v>
      </c>
      <c r="I15" s="14">
        <v>2</v>
      </c>
      <c r="J15" s="14"/>
      <c r="K15" s="127"/>
    </row>
    <row r="16" spans="1:11">
      <c r="A16" s="14">
        <f>IF(B16="","",COUNTA($B$4:B16))</f>
        <v>13</v>
      </c>
      <c r="B16" s="14" t="s">
        <v>1533</v>
      </c>
      <c r="C16" s="14" t="s">
        <v>328</v>
      </c>
      <c r="D16" s="14" t="s">
        <v>329</v>
      </c>
      <c r="E16" s="14" t="s">
        <v>328</v>
      </c>
      <c r="F16" s="14" t="s">
        <v>150</v>
      </c>
      <c r="G16" s="14" t="s">
        <v>151</v>
      </c>
      <c r="H16" s="14">
        <v>1000</v>
      </c>
      <c r="I16" s="14"/>
      <c r="J16" s="14"/>
      <c r="K16" s="15"/>
    </row>
    <row r="17" spans="1:11">
      <c r="A17" s="14">
        <f>IF(B17="","",COUNTA($B$4:B17))</f>
        <v>14</v>
      </c>
      <c r="B17" s="14" t="s">
        <v>1534</v>
      </c>
      <c r="C17" s="14" t="s">
        <v>328</v>
      </c>
      <c r="D17" s="14" t="s">
        <v>329</v>
      </c>
      <c r="E17" s="14" t="s">
        <v>328</v>
      </c>
      <c r="F17" s="14" t="s">
        <v>150</v>
      </c>
      <c r="G17" s="14" t="s">
        <v>151</v>
      </c>
      <c r="H17" s="14">
        <v>1000</v>
      </c>
      <c r="I17" s="14"/>
      <c r="J17" s="14"/>
      <c r="K17" s="127"/>
    </row>
    <row r="18" spans="1:11">
      <c r="A18" s="14">
        <f>IF(B18="","",COUNTA($B$4:B18))</f>
        <v>15</v>
      </c>
      <c r="B18" s="14" t="s">
        <v>1533</v>
      </c>
      <c r="C18" s="14" t="s">
        <v>316</v>
      </c>
      <c r="D18" s="14" t="s">
        <v>317</v>
      </c>
      <c r="E18" s="14" t="s">
        <v>316</v>
      </c>
      <c r="F18" s="14" t="s">
        <v>150</v>
      </c>
      <c r="G18" s="14" t="s">
        <v>151</v>
      </c>
      <c r="H18" s="14">
        <v>20</v>
      </c>
      <c r="I18" s="14"/>
      <c r="J18" s="14"/>
      <c r="K18" s="15"/>
    </row>
    <row r="19" spans="1:11">
      <c r="A19" s="14">
        <f>IF(B19="","",COUNTA($B$4:B19))</f>
        <v>16</v>
      </c>
      <c r="B19" s="14" t="s">
        <v>1534</v>
      </c>
      <c r="C19" s="14" t="s">
        <v>316</v>
      </c>
      <c r="D19" s="14" t="s">
        <v>317</v>
      </c>
      <c r="E19" s="14" t="s">
        <v>316</v>
      </c>
      <c r="F19" s="14" t="s">
        <v>150</v>
      </c>
      <c r="G19" s="14" t="s">
        <v>151</v>
      </c>
      <c r="H19" s="14">
        <v>20</v>
      </c>
      <c r="I19" s="14"/>
      <c r="J19" s="14"/>
      <c r="K19" s="15"/>
    </row>
    <row r="20" spans="1:11">
      <c r="A20" s="14">
        <f>IF(B20="","",COUNTA($B$4:B20))</f>
        <v>17</v>
      </c>
      <c r="B20" s="14" t="s">
        <v>1533</v>
      </c>
      <c r="C20" s="14" t="s">
        <v>318</v>
      </c>
      <c r="D20" s="14" t="s">
        <v>319</v>
      </c>
      <c r="E20" s="14" t="s">
        <v>318</v>
      </c>
      <c r="F20" s="14" t="s">
        <v>150</v>
      </c>
      <c r="G20" s="14" t="s">
        <v>151</v>
      </c>
      <c r="H20" s="14">
        <v>30</v>
      </c>
      <c r="I20" s="14"/>
      <c r="J20" s="14"/>
      <c r="K20" s="15"/>
    </row>
    <row r="21" spans="1:11">
      <c r="A21" s="14">
        <f>IF(B21="","",COUNTA($B$4:B21))</f>
        <v>18</v>
      </c>
      <c r="B21" s="14" t="s">
        <v>1534</v>
      </c>
      <c r="C21" s="14" t="s">
        <v>318</v>
      </c>
      <c r="D21" s="14" t="s">
        <v>319</v>
      </c>
      <c r="E21" s="14" t="s">
        <v>318</v>
      </c>
      <c r="F21" s="14" t="s">
        <v>150</v>
      </c>
      <c r="G21" s="14" t="s">
        <v>151</v>
      </c>
      <c r="H21" s="14">
        <v>30</v>
      </c>
      <c r="I21" s="14"/>
      <c r="J21" s="14"/>
      <c r="K21" s="127"/>
    </row>
    <row r="22" spans="1:11">
      <c r="A22" s="14">
        <f>IF(B22="","",COUNTA($B$4:B22))</f>
        <v>19</v>
      </c>
      <c r="B22" s="14" t="s">
        <v>1533</v>
      </c>
      <c r="C22" s="14" t="s">
        <v>322</v>
      </c>
      <c r="D22" s="14" t="s">
        <v>323</v>
      </c>
      <c r="E22" s="14" t="s">
        <v>322</v>
      </c>
      <c r="F22" s="14" t="s">
        <v>155</v>
      </c>
      <c r="G22" s="14" t="s">
        <v>156</v>
      </c>
      <c r="H22" s="14">
        <v>4</v>
      </c>
      <c r="I22" s="14"/>
      <c r="J22" s="14"/>
      <c r="K22" s="127"/>
    </row>
    <row r="23" spans="1:11">
      <c r="A23" s="14">
        <f>IF(B23="","",COUNTA($B$4:B23))</f>
        <v>20</v>
      </c>
      <c r="B23" s="14" t="s">
        <v>1534</v>
      </c>
      <c r="C23" s="14" t="s">
        <v>322</v>
      </c>
      <c r="D23" s="14" t="s">
        <v>323</v>
      </c>
      <c r="E23" s="14" t="s">
        <v>322</v>
      </c>
      <c r="F23" s="14" t="s">
        <v>155</v>
      </c>
      <c r="G23" s="14" t="s">
        <v>156</v>
      </c>
      <c r="H23" s="14">
        <v>4</v>
      </c>
      <c r="I23" s="14"/>
      <c r="J23" s="14"/>
      <c r="K23" s="127"/>
    </row>
    <row r="24" spans="1:11">
      <c r="A24" s="14">
        <f>IF(B24="","",COUNTA($B$4:B24))</f>
        <v>21</v>
      </c>
      <c r="B24" s="14" t="s">
        <v>1533</v>
      </c>
      <c r="C24" s="14" t="s">
        <v>326</v>
      </c>
      <c r="D24" s="14" t="s">
        <v>327</v>
      </c>
      <c r="E24" s="14" t="s">
        <v>326</v>
      </c>
      <c r="F24" s="14" t="s">
        <v>155</v>
      </c>
      <c r="G24" s="14" t="s">
        <v>156</v>
      </c>
      <c r="H24" s="14">
        <v>5</v>
      </c>
      <c r="I24" s="14"/>
      <c r="J24" s="14"/>
      <c r="K24" s="127"/>
    </row>
    <row r="25" spans="1:11">
      <c r="A25" s="14">
        <f>IF(B25="","",COUNTA($B$4:B25))</f>
        <v>22</v>
      </c>
      <c r="B25" s="14" t="s">
        <v>1534</v>
      </c>
      <c r="C25" s="14" t="s">
        <v>326</v>
      </c>
      <c r="D25" s="14" t="s">
        <v>327</v>
      </c>
      <c r="E25" s="14" t="s">
        <v>326</v>
      </c>
      <c r="F25" s="14" t="s">
        <v>155</v>
      </c>
      <c r="G25" s="14" t="s">
        <v>156</v>
      </c>
      <c r="H25" s="14">
        <v>5</v>
      </c>
      <c r="I25" s="14"/>
      <c r="J25" s="14"/>
      <c r="K25" s="127"/>
    </row>
    <row r="26" spans="1:11">
      <c r="A26" s="14">
        <f>IF(B26="","",COUNTA($B$4:B26))</f>
        <v>23</v>
      </c>
      <c r="B26" s="14" t="s">
        <v>1533</v>
      </c>
      <c r="C26" s="14" t="s">
        <v>309</v>
      </c>
      <c r="D26" s="14" t="s">
        <v>310</v>
      </c>
      <c r="E26" s="14" t="s">
        <v>309</v>
      </c>
      <c r="F26" s="14" t="s">
        <v>155</v>
      </c>
      <c r="G26" s="14" t="s">
        <v>156</v>
      </c>
      <c r="H26" s="14">
        <v>5</v>
      </c>
      <c r="I26" s="14"/>
      <c r="J26" s="14"/>
      <c r="K26" s="127"/>
    </row>
    <row r="27" spans="1:11">
      <c r="A27" s="14">
        <f>IF(B27="","",COUNTA($B$4:B27))</f>
        <v>24</v>
      </c>
      <c r="B27" s="14" t="s">
        <v>1534</v>
      </c>
      <c r="C27" s="14" t="s">
        <v>309</v>
      </c>
      <c r="D27" s="14" t="s">
        <v>310</v>
      </c>
      <c r="E27" s="14" t="s">
        <v>309</v>
      </c>
      <c r="F27" s="14" t="s">
        <v>155</v>
      </c>
      <c r="G27" s="14" t="s">
        <v>156</v>
      </c>
      <c r="H27" s="14">
        <v>5</v>
      </c>
      <c r="I27" s="14"/>
      <c r="J27" s="14"/>
      <c r="K27" s="15"/>
    </row>
    <row r="28" spans="1:11">
      <c r="A28" s="14">
        <f>IF(B28="","",COUNTA($B$4:B28))</f>
        <v>25</v>
      </c>
      <c r="B28" s="14" t="s">
        <v>1530</v>
      </c>
      <c r="C28" s="14" t="s">
        <v>278</v>
      </c>
      <c r="D28" s="14" t="s">
        <v>279</v>
      </c>
      <c r="E28" s="14" t="s">
        <v>278</v>
      </c>
      <c r="F28" s="14" t="s">
        <v>155</v>
      </c>
      <c r="G28" s="14" t="s">
        <v>156</v>
      </c>
      <c r="H28" s="14">
        <v>1</v>
      </c>
      <c r="I28" s="14"/>
      <c r="J28" s="14"/>
      <c r="K28" s="127"/>
    </row>
    <row r="29" spans="1:11">
      <c r="A29" s="14">
        <f>IF(B29="","",COUNTA($B$4:B29))</f>
        <v>26</v>
      </c>
      <c r="B29" s="14" t="s">
        <v>1530</v>
      </c>
      <c r="C29" s="14" t="s">
        <v>281</v>
      </c>
      <c r="D29" s="14" t="s">
        <v>282</v>
      </c>
      <c r="E29" s="14" t="s">
        <v>281</v>
      </c>
      <c r="F29" s="14" t="s">
        <v>155</v>
      </c>
      <c r="G29" s="14" t="s">
        <v>156</v>
      </c>
      <c r="H29" s="14">
        <v>1</v>
      </c>
      <c r="I29" s="14"/>
      <c r="J29" s="14"/>
      <c r="K29" s="127"/>
    </row>
    <row r="30" spans="1:11">
      <c r="A30" s="14">
        <f>IF(B30="","",COUNTA($B$4:B30))</f>
        <v>27</v>
      </c>
      <c r="B30" s="14" t="s">
        <v>1530</v>
      </c>
      <c r="C30" s="14" t="s">
        <v>284</v>
      </c>
      <c r="D30" s="14" t="s">
        <v>285</v>
      </c>
      <c r="E30" s="14" t="s">
        <v>284</v>
      </c>
      <c r="F30" s="14" t="s">
        <v>155</v>
      </c>
      <c r="G30" s="14" t="s">
        <v>156</v>
      </c>
      <c r="H30" s="14">
        <v>1</v>
      </c>
      <c r="I30" s="14"/>
      <c r="J30" s="14"/>
      <c r="K30" s="15"/>
    </row>
    <row r="31" spans="1:11">
      <c r="A31" s="14">
        <f>IF(B31="","",COUNTA($B$4:B31))</f>
        <v>28</v>
      </c>
      <c r="B31" s="14" t="s">
        <v>1531</v>
      </c>
      <c r="C31" s="14" t="s">
        <v>290</v>
      </c>
      <c r="D31" s="14" t="s">
        <v>291</v>
      </c>
      <c r="E31" s="14" t="s">
        <v>290</v>
      </c>
      <c r="F31" s="14" t="s">
        <v>155</v>
      </c>
      <c r="G31" s="14" t="s">
        <v>156</v>
      </c>
      <c r="H31" s="14">
        <v>5</v>
      </c>
      <c r="I31" s="14"/>
      <c r="J31" s="14"/>
      <c r="K31" s="127"/>
    </row>
    <row r="32" spans="1:11">
      <c r="A32" s="14">
        <f>IF(B32="","",COUNTA($B$4:B32))</f>
        <v>29</v>
      </c>
      <c r="B32" s="14" t="s">
        <v>1531</v>
      </c>
      <c r="C32" s="14" t="s">
        <v>298</v>
      </c>
      <c r="D32" s="14" t="s">
        <v>299</v>
      </c>
      <c r="E32" s="14" t="s">
        <v>298</v>
      </c>
      <c r="F32" s="14" t="s">
        <v>155</v>
      </c>
      <c r="G32" s="14" t="s">
        <v>156</v>
      </c>
      <c r="H32" s="14">
        <v>5</v>
      </c>
      <c r="I32" s="14"/>
      <c r="J32" s="14"/>
      <c r="K32" s="15"/>
    </row>
    <row r="33" spans="1:11">
      <c r="A33" s="14">
        <f>IF(B33="","",COUNTA($B$4:B33))</f>
        <v>30</v>
      </c>
      <c r="B33" s="14" t="s">
        <v>1532</v>
      </c>
      <c r="C33" s="14" t="s">
        <v>298</v>
      </c>
      <c r="D33" s="14" t="s">
        <v>299</v>
      </c>
      <c r="E33" s="14" t="s">
        <v>298</v>
      </c>
      <c r="F33" s="14" t="s">
        <v>155</v>
      </c>
      <c r="G33" s="14" t="s">
        <v>156</v>
      </c>
      <c r="H33" s="14">
        <v>5</v>
      </c>
      <c r="I33" s="14"/>
      <c r="J33" s="14"/>
      <c r="K33" s="15"/>
    </row>
    <row r="34" spans="1:11">
      <c r="A34" s="14">
        <f>IF(B34="","",COUNTA($B$4:B34))</f>
        <v>31</v>
      </c>
      <c r="B34" s="14" t="s">
        <v>1555</v>
      </c>
      <c r="C34" s="14" t="s">
        <v>420</v>
      </c>
      <c r="D34" s="14" t="s">
        <v>421</v>
      </c>
      <c r="E34" s="14" t="s">
        <v>420</v>
      </c>
      <c r="F34" s="14" t="s">
        <v>150</v>
      </c>
      <c r="G34" s="14" t="s">
        <v>151</v>
      </c>
      <c r="H34" s="14">
        <v>30</v>
      </c>
      <c r="I34" s="14"/>
      <c r="J34" s="15"/>
      <c r="K34" s="15"/>
    </row>
    <row r="35" spans="1:11">
      <c r="A35" s="14">
        <f>IF(B35="","",COUNTA($B$4:B35))</f>
        <v>32</v>
      </c>
      <c r="B35" s="14" t="s">
        <v>1529</v>
      </c>
      <c r="C35" s="14" t="s">
        <v>276</v>
      </c>
      <c r="D35" s="14" t="s">
        <v>277</v>
      </c>
      <c r="E35" s="14" t="s">
        <v>276</v>
      </c>
      <c r="F35" s="14" t="s">
        <v>150</v>
      </c>
      <c r="G35" s="14" t="s">
        <v>151</v>
      </c>
      <c r="H35" s="14">
        <v>4</v>
      </c>
      <c r="I35" s="14"/>
      <c r="J35" s="14"/>
      <c r="K35" s="127"/>
    </row>
    <row r="36" spans="1:11">
      <c r="A36" s="14">
        <f>IF(B36="","",COUNTA($B$4:B36))</f>
        <v>33</v>
      </c>
      <c r="B36" s="14" t="s">
        <v>1531</v>
      </c>
      <c r="C36" s="14" t="s">
        <v>296</v>
      </c>
      <c r="D36" s="14" t="s">
        <v>297</v>
      </c>
      <c r="E36" s="14" t="s">
        <v>296</v>
      </c>
      <c r="F36" s="14" t="s">
        <v>155</v>
      </c>
      <c r="G36" s="14" t="s">
        <v>156</v>
      </c>
      <c r="H36" s="14">
        <v>5</v>
      </c>
      <c r="I36" s="14"/>
      <c r="J36" s="14"/>
      <c r="K36" s="15"/>
    </row>
    <row r="37" spans="1:11">
      <c r="A37" s="14">
        <f>IF(B37="","",COUNTA($B$4:B37))</f>
        <v>34</v>
      </c>
      <c r="B37" s="14" t="s">
        <v>1533</v>
      </c>
      <c r="C37" s="14" t="s">
        <v>335</v>
      </c>
      <c r="D37" s="14" t="s">
        <v>336</v>
      </c>
      <c r="E37" s="14" t="s">
        <v>335</v>
      </c>
      <c r="F37" s="14" t="s">
        <v>155</v>
      </c>
      <c r="G37" s="14" t="s">
        <v>156</v>
      </c>
      <c r="H37" s="14">
        <v>1</v>
      </c>
      <c r="I37" s="14"/>
      <c r="J37" s="14"/>
      <c r="K37" s="15"/>
    </row>
    <row r="38" spans="1:11">
      <c r="A38" s="14">
        <f>IF(B38="","",COUNTA($B$4:B38))</f>
        <v>35</v>
      </c>
      <c r="B38" s="14" t="s">
        <v>1534</v>
      </c>
      <c r="C38" s="14" t="s">
        <v>335</v>
      </c>
      <c r="D38" s="14" t="s">
        <v>336</v>
      </c>
      <c r="E38" s="14" t="s">
        <v>335</v>
      </c>
      <c r="F38" s="14" t="s">
        <v>155</v>
      </c>
      <c r="G38" s="14" t="s">
        <v>156</v>
      </c>
      <c r="H38" s="14">
        <v>1</v>
      </c>
      <c r="I38" s="14"/>
      <c r="J38" s="14"/>
      <c r="K38" s="15"/>
    </row>
    <row r="39" spans="1:11">
      <c r="A39" s="14">
        <f>IF(B39="","",COUNTA($B$4:B39))</f>
        <v>36</v>
      </c>
      <c r="B39" s="14" t="s">
        <v>1531</v>
      </c>
      <c r="C39" s="14" t="s">
        <v>294</v>
      </c>
      <c r="D39" s="14" t="s">
        <v>295</v>
      </c>
      <c r="E39" s="14" t="s">
        <v>294</v>
      </c>
      <c r="F39" s="14" t="s">
        <v>155</v>
      </c>
      <c r="G39" s="14" t="s">
        <v>156</v>
      </c>
      <c r="H39" s="14">
        <v>5</v>
      </c>
      <c r="I39" s="14"/>
      <c r="J39" s="14"/>
      <c r="K39" s="127"/>
    </row>
    <row r="40" spans="1:11">
      <c r="A40" s="14">
        <f>IF(B40="","",COUNTA($B$4:B40))</f>
        <v>37</v>
      </c>
      <c r="B40" s="14" t="s">
        <v>1533</v>
      </c>
      <c r="C40" s="14" t="s">
        <v>294</v>
      </c>
      <c r="D40" s="14" t="s">
        <v>295</v>
      </c>
      <c r="E40" s="14" t="s">
        <v>294</v>
      </c>
      <c r="F40" s="14" t="s">
        <v>155</v>
      </c>
      <c r="G40" s="14" t="s">
        <v>156</v>
      </c>
      <c r="H40" s="14">
        <v>5</v>
      </c>
      <c r="I40" s="14"/>
      <c r="J40" s="14"/>
      <c r="K40" s="15"/>
    </row>
    <row r="41" spans="1:11">
      <c r="A41" s="14">
        <f>IF(B41="","",COUNTA($B$4:B41))</f>
        <v>38</v>
      </c>
      <c r="B41" s="14" t="s">
        <v>1534</v>
      </c>
      <c r="C41" s="14" t="s">
        <v>294</v>
      </c>
      <c r="D41" s="14" t="s">
        <v>295</v>
      </c>
      <c r="E41" s="14" t="s">
        <v>294</v>
      </c>
      <c r="F41" s="14" t="s">
        <v>155</v>
      </c>
      <c r="G41" s="14" t="s">
        <v>156</v>
      </c>
      <c r="H41" s="14">
        <v>5</v>
      </c>
      <c r="I41" s="14"/>
      <c r="J41" s="14"/>
      <c r="K41" s="15"/>
    </row>
    <row r="42" spans="1:11">
      <c r="A42" s="14">
        <f>IF(B42="","",COUNTA($B$4:B42))</f>
        <v>39</v>
      </c>
      <c r="B42" s="14" t="s">
        <v>1555</v>
      </c>
      <c r="C42" s="14" t="s">
        <v>434</v>
      </c>
      <c r="D42" s="14" t="s">
        <v>433</v>
      </c>
      <c r="E42" s="14" t="s">
        <v>434</v>
      </c>
      <c r="F42" s="14" t="s">
        <v>150</v>
      </c>
      <c r="G42" s="14" t="s">
        <v>151</v>
      </c>
      <c r="H42" s="14">
        <v>1</v>
      </c>
      <c r="I42" s="14"/>
      <c r="J42" s="15"/>
      <c r="K42" s="127"/>
    </row>
    <row r="43" spans="1:11">
      <c r="A43" s="14">
        <f>IF(B43="","",COUNTA($B$4:B43))</f>
        <v>40</v>
      </c>
      <c r="B43" s="14" t="s">
        <v>1533</v>
      </c>
      <c r="C43" s="14" t="s">
        <v>332</v>
      </c>
      <c r="D43" s="14" t="s">
        <v>333</v>
      </c>
      <c r="E43" s="14" t="s">
        <v>332</v>
      </c>
      <c r="F43" s="14" t="s">
        <v>155</v>
      </c>
      <c r="G43" s="14" t="s">
        <v>156</v>
      </c>
      <c r="H43" s="14">
        <v>1</v>
      </c>
      <c r="I43" s="14"/>
      <c r="J43" s="14"/>
      <c r="K43" s="15"/>
    </row>
    <row r="44" spans="1:11">
      <c r="A44" s="14">
        <f>IF(B44="","",COUNTA($B$4:B44))</f>
        <v>41</v>
      </c>
      <c r="B44" s="14" t="s">
        <v>1534</v>
      </c>
      <c r="C44" s="14" t="s">
        <v>332</v>
      </c>
      <c r="D44" s="14" t="s">
        <v>333</v>
      </c>
      <c r="E44" s="14" t="s">
        <v>332</v>
      </c>
      <c r="F44" s="14" t="s">
        <v>155</v>
      </c>
      <c r="G44" s="14" t="s">
        <v>156</v>
      </c>
      <c r="H44" s="14">
        <v>1</v>
      </c>
      <c r="I44" s="14"/>
      <c r="J44" s="14"/>
      <c r="K44" s="127"/>
    </row>
    <row r="45" spans="1:11">
      <c r="A45" s="14">
        <f>IF(B45="","",COUNTA($B$4:B45))</f>
        <v>42</v>
      </c>
      <c r="B45" s="14" t="s">
        <v>1553</v>
      </c>
      <c r="C45" s="14" t="s">
        <v>1432</v>
      </c>
      <c r="D45" s="14" t="s">
        <v>1559</v>
      </c>
      <c r="E45" s="14" t="s">
        <v>1432</v>
      </c>
      <c r="F45" s="14" t="s">
        <v>150</v>
      </c>
      <c r="G45" s="14" t="s">
        <v>151</v>
      </c>
      <c r="H45" s="14">
        <v>2</v>
      </c>
      <c r="I45" s="14"/>
      <c r="J45" s="15"/>
      <c r="K45" s="15"/>
    </row>
    <row r="46" spans="1:11">
      <c r="A46" s="14">
        <f>IF(B46="","",COUNTA($B$4:B46))</f>
        <v>43</v>
      </c>
      <c r="B46" s="14" t="s">
        <v>1533</v>
      </c>
      <c r="C46" s="14" t="s">
        <v>305</v>
      </c>
      <c r="D46" s="14" t="s">
        <v>306</v>
      </c>
      <c r="E46" s="14" t="s">
        <v>305</v>
      </c>
      <c r="F46" s="14" t="s">
        <v>150</v>
      </c>
      <c r="G46" s="14" t="s">
        <v>151</v>
      </c>
      <c r="H46" s="14">
        <v>10</v>
      </c>
      <c r="I46" s="14" t="s">
        <v>244</v>
      </c>
      <c r="J46" s="14"/>
      <c r="K46" s="127"/>
    </row>
    <row r="47" spans="1:11">
      <c r="A47" s="14">
        <f>IF(B47="","",COUNTA($B$4:B47))</f>
        <v>44</v>
      </c>
      <c r="B47" s="14" t="s">
        <v>1534</v>
      </c>
      <c r="C47" s="14" t="s">
        <v>305</v>
      </c>
      <c r="D47" s="14" t="s">
        <v>306</v>
      </c>
      <c r="E47" s="14" t="s">
        <v>305</v>
      </c>
      <c r="F47" s="14" t="s">
        <v>150</v>
      </c>
      <c r="G47" s="14" t="s">
        <v>151</v>
      </c>
      <c r="H47" s="14">
        <v>10</v>
      </c>
      <c r="I47" s="14" t="s">
        <v>244</v>
      </c>
      <c r="J47" s="14"/>
      <c r="K47" s="127"/>
    </row>
    <row r="48" spans="1:11">
      <c r="A48" s="14">
        <f>IF(B48="","",COUNTA($B$4:B48))</f>
        <v>45</v>
      </c>
      <c r="B48" s="14" t="s">
        <v>1534</v>
      </c>
      <c r="C48" s="14" t="s">
        <v>300</v>
      </c>
      <c r="D48" s="14" t="s">
        <v>301</v>
      </c>
      <c r="E48" s="14" t="s">
        <v>300</v>
      </c>
      <c r="F48" s="14" t="s">
        <v>169</v>
      </c>
      <c r="G48" s="14" t="s">
        <v>170</v>
      </c>
      <c r="H48" s="14"/>
      <c r="I48" s="14"/>
      <c r="J48" s="14"/>
      <c r="K48" s="127"/>
    </row>
    <row r="49" spans="1:11">
      <c r="A49" s="14">
        <f>IF(B49="","",COUNTA($B$4:B49))</f>
        <v>46</v>
      </c>
      <c r="B49" s="14" t="s">
        <v>1515</v>
      </c>
      <c r="C49" s="14" t="s">
        <v>226</v>
      </c>
      <c r="D49" s="14" t="s">
        <v>227</v>
      </c>
      <c r="E49" s="14" t="s">
        <v>226</v>
      </c>
      <c r="F49" s="14" t="s">
        <v>150</v>
      </c>
      <c r="G49" s="14" t="s">
        <v>151</v>
      </c>
      <c r="H49" s="14">
        <v>3</v>
      </c>
      <c r="I49" s="14"/>
      <c r="J49" s="14"/>
      <c r="K49" s="127"/>
    </row>
    <row r="50" spans="1:11">
      <c r="A50" s="14">
        <f>IF(B50="","",COUNTA($B$4:B50))</f>
        <v>47</v>
      </c>
      <c r="B50" s="14" t="s">
        <v>1528</v>
      </c>
      <c r="C50" s="14" t="s">
        <v>226</v>
      </c>
      <c r="D50" s="14" t="s">
        <v>227</v>
      </c>
      <c r="E50" s="14" t="s">
        <v>226</v>
      </c>
      <c r="F50" s="14" t="s">
        <v>150</v>
      </c>
      <c r="G50" s="14" t="s">
        <v>151</v>
      </c>
      <c r="H50" s="14">
        <v>3</v>
      </c>
      <c r="I50" s="14"/>
      <c r="J50" s="14"/>
      <c r="K50" s="15"/>
    </row>
    <row r="51" spans="1:11">
      <c r="A51" s="14">
        <f>IF(B51="","",COUNTA($B$4:B51))</f>
        <v>48</v>
      </c>
      <c r="B51" s="14" t="s">
        <v>1529</v>
      </c>
      <c r="C51" s="14" t="s">
        <v>226</v>
      </c>
      <c r="D51" s="14" t="s">
        <v>227</v>
      </c>
      <c r="E51" s="14" t="s">
        <v>226</v>
      </c>
      <c r="F51" s="14" t="s">
        <v>150</v>
      </c>
      <c r="G51" s="14" t="s">
        <v>151</v>
      </c>
      <c r="H51" s="14">
        <v>3</v>
      </c>
      <c r="I51" s="14"/>
      <c r="J51" s="14"/>
      <c r="K51" s="15"/>
    </row>
    <row r="52" spans="1:11">
      <c r="A52" s="14">
        <f>IF(B52="","",COUNTA($B$4:B52))</f>
        <v>49</v>
      </c>
      <c r="B52" s="14" t="s">
        <v>1530</v>
      </c>
      <c r="C52" s="14" t="s">
        <v>226</v>
      </c>
      <c r="D52" s="14" t="s">
        <v>227</v>
      </c>
      <c r="E52" s="14" t="s">
        <v>226</v>
      </c>
      <c r="F52" s="14" t="s">
        <v>150</v>
      </c>
      <c r="G52" s="14" t="s">
        <v>151</v>
      </c>
      <c r="H52" s="14">
        <v>3</v>
      </c>
      <c r="I52" s="14"/>
      <c r="J52" s="14"/>
      <c r="K52" s="127"/>
    </row>
    <row r="53" spans="1:11">
      <c r="A53" s="14">
        <f>IF(B53="","",COUNTA($B$4:B53))</f>
        <v>50</v>
      </c>
      <c r="B53" s="14" t="s">
        <v>1531</v>
      </c>
      <c r="C53" s="14" t="s">
        <v>226</v>
      </c>
      <c r="D53" s="14" t="s">
        <v>227</v>
      </c>
      <c r="E53" s="14" t="s">
        <v>226</v>
      </c>
      <c r="F53" s="14" t="s">
        <v>150</v>
      </c>
      <c r="G53" s="14" t="s">
        <v>151</v>
      </c>
      <c r="H53" s="14">
        <v>3</v>
      </c>
      <c r="I53" s="14"/>
      <c r="J53" s="14"/>
      <c r="K53" s="15"/>
    </row>
    <row r="54" spans="1:11">
      <c r="A54" s="14">
        <f>IF(B54="","",COUNTA($B$4:B54))</f>
        <v>51</v>
      </c>
      <c r="B54" s="14" t="s">
        <v>1532</v>
      </c>
      <c r="C54" s="14" t="s">
        <v>226</v>
      </c>
      <c r="D54" s="14" t="s">
        <v>227</v>
      </c>
      <c r="E54" s="14" t="s">
        <v>226</v>
      </c>
      <c r="F54" s="14" t="s">
        <v>150</v>
      </c>
      <c r="G54" s="14" t="s">
        <v>151</v>
      </c>
      <c r="H54" s="14">
        <v>3</v>
      </c>
      <c r="I54" s="14"/>
      <c r="J54" s="14"/>
      <c r="K54" s="15"/>
    </row>
    <row r="55" spans="1:11">
      <c r="A55" s="14">
        <f>IF(B55="","",COUNTA($B$4:B55))</f>
        <v>52</v>
      </c>
      <c r="B55" s="14" t="s">
        <v>1533</v>
      </c>
      <c r="C55" s="14" t="s">
        <v>226</v>
      </c>
      <c r="D55" s="14" t="s">
        <v>227</v>
      </c>
      <c r="E55" s="14" t="s">
        <v>226</v>
      </c>
      <c r="F55" s="14" t="s">
        <v>150</v>
      </c>
      <c r="G55" s="14" t="s">
        <v>151</v>
      </c>
      <c r="H55" s="14">
        <v>3</v>
      </c>
      <c r="I55" s="14"/>
      <c r="J55" s="14"/>
      <c r="K55" s="127"/>
    </row>
    <row r="56" spans="1:11">
      <c r="A56" s="14">
        <f>IF(B56="","",COUNTA($B$4:B56))</f>
        <v>53</v>
      </c>
      <c r="B56" s="14" t="s">
        <v>1515</v>
      </c>
      <c r="C56" s="14" t="s">
        <v>211</v>
      </c>
      <c r="D56" s="14" t="s">
        <v>212</v>
      </c>
      <c r="E56" s="14" t="s">
        <v>211</v>
      </c>
      <c r="F56" s="14" t="s">
        <v>155</v>
      </c>
      <c r="G56" s="14" t="s">
        <v>156</v>
      </c>
      <c r="H56" s="14">
        <v>5</v>
      </c>
      <c r="I56" s="14"/>
      <c r="J56" s="14"/>
      <c r="K56" s="127"/>
    </row>
    <row r="57" spans="1:11">
      <c r="A57" s="14">
        <f>IF(B57="","",COUNTA($B$4:B57))</f>
        <v>54</v>
      </c>
      <c r="B57" s="14" t="s">
        <v>1528</v>
      </c>
      <c r="C57" s="14" t="s">
        <v>211</v>
      </c>
      <c r="D57" s="14" t="s">
        <v>212</v>
      </c>
      <c r="E57" s="14" t="s">
        <v>211</v>
      </c>
      <c r="F57" s="14" t="s">
        <v>155</v>
      </c>
      <c r="G57" s="14" t="s">
        <v>156</v>
      </c>
      <c r="H57" s="14">
        <v>5</v>
      </c>
      <c r="I57" s="14"/>
      <c r="J57" s="14"/>
      <c r="K57" s="15"/>
    </row>
    <row r="58" spans="1:11">
      <c r="A58" s="14">
        <f>IF(B58="","",COUNTA($B$4:B58))</f>
        <v>55</v>
      </c>
      <c r="B58" s="14" t="s">
        <v>1529</v>
      </c>
      <c r="C58" s="14" t="s">
        <v>211</v>
      </c>
      <c r="D58" s="14" t="s">
        <v>212</v>
      </c>
      <c r="E58" s="14" t="s">
        <v>211</v>
      </c>
      <c r="F58" s="14" t="s">
        <v>155</v>
      </c>
      <c r="G58" s="14" t="s">
        <v>156</v>
      </c>
      <c r="H58" s="14">
        <v>5</v>
      </c>
      <c r="I58" s="14"/>
      <c r="J58" s="14"/>
      <c r="K58" s="127"/>
    </row>
    <row r="59" spans="1:11">
      <c r="A59" s="14">
        <f>IF(B59="","",COUNTA($B$4:B59))</f>
        <v>56</v>
      </c>
      <c r="B59" s="14" t="s">
        <v>1530</v>
      </c>
      <c r="C59" s="14" t="s">
        <v>211</v>
      </c>
      <c r="D59" s="14" t="s">
        <v>212</v>
      </c>
      <c r="E59" s="14" t="s">
        <v>211</v>
      </c>
      <c r="F59" s="14" t="s">
        <v>155</v>
      </c>
      <c r="G59" s="14" t="s">
        <v>156</v>
      </c>
      <c r="H59" s="14">
        <v>5</v>
      </c>
      <c r="I59" s="14"/>
      <c r="J59" s="14"/>
      <c r="K59" s="127"/>
    </row>
    <row r="60" spans="1:11">
      <c r="A60" s="14">
        <f>IF(B60="","",COUNTA($B$4:B60))</f>
        <v>57</v>
      </c>
      <c r="B60" s="14" t="s">
        <v>1533</v>
      </c>
      <c r="C60" s="14" t="s">
        <v>211</v>
      </c>
      <c r="D60" s="14" t="s">
        <v>212</v>
      </c>
      <c r="E60" s="14" t="s">
        <v>211</v>
      </c>
      <c r="F60" s="14" t="s">
        <v>155</v>
      </c>
      <c r="G60" s="14" t="s">
        <v>156</v>
      </c>
      <c r="H60" s="14">
        <v>5</v>
      </c>
      <c r="I60" s="14"/>
      <c r="J60" s="14"/>
      <c r="K60" s="127"/>
    </row>
    <row r="61" spans="1:11">
      <c r="A61" s="14">
        <f>IF(B61="","",COUNTA($B$4:B61))</f>
        <v>58</v>
      </c>
      <c r="B61" s="14" t="s">
        <v>1534</v>
      </c>
      <c r="C61" s="14" t="s">
        <v>211</v>
      </c>
      <c r="D61" s="14" t="s">
        <v>212</v>
      </c>
      <c r="E61" s="14" t="s">
        <v>211</v>
      </c>
      <c r="F61" s="14" t="s">
        <v>155</v>
      </c>
      <c r="G61" s="14" t="s">
        <v>156</v>
      </c>
      <c r="H61" s="14">
        <v>5</v>
      </c>
      <c r="I61" s="14"/>
      <c r="J61" s="14"/>
      <c r="K61" s="127"/>
    </row>
    <row r="62" spans="1:11">
      <c r="A62" s="14">
        <f>IF(B62="","",COUNTA($B$4:B62))</f>
        <v>59</v>
      </c>
      <c r="B62" s="14" t="s">
        <v>1534</v>
      </c>
      <c r="C62" s="14" t="s">
        <v>370</v>
      </c>
      <c r="D62" s="14" t="s">
        <v>371</v>
      </c>
      <c r="E62" s="14" t="s">
        <v>370</v>
      </c>
      <c r="F62" s="14" t="s">
        <v>169</v>
      </c>
      <c r="G62" s="14" t="s">
        <v>170</v>
      </c>
      <c r="H62" s="14"/>
      <c r="I62" s="14"/>
      <c r="J62" s="14"/>
      <c r="K62" s="127"/>
    </row>
    <row r="63" spans="1:11">
      <c r="A63" s="14">
        <f>IF(B63="","",COUNTA($B$4:B63))</f>
        <v>60</v>
      </c>
      <c r="B63" s="14" t="s">
        <v>1534</v>
      </c>
      <c r="C63" s="14" t="s">
        <v>368</v>
      </c>
      <c r="D63" s="14" t="s">
        <v>369</v>
      </c>
      <c r="E63" s="14" t="s">
        <v>368</v>
      </c>
      <c r="F63" s="14" t="s">
        <v>155</v>
      </c>
      <c r="G63" s="14" t="s">
        <v>156</v>
      </c>
      <c r="H63" s="14">
        <v>1</v>
      </c>
      <c r="I63" s="14"/>
      <c r="J63" s="14"/>
      <c r="K63" s="15"/>
    </row>
    <row r="64" spans="1:11">
      <c r="A64" s="14">
        <f>IF(B64="","",COUNTA($B$4:B64))</f>
        <v>61</v>
      </c>
      <c r="B64" s="14" t="s">
        <v>1534</v>
      </c>
      <c r="C64" s="14" t="s">
        <v>366</v>
      </c>
      <c r="D64" s="14" t="s">
        <v>367</v>
      </c>
      <c r="E64" s="14" t="s">
        <v>366</v>
      </c>
      <c r="F64" s="14" t="s">
        <v>169</v>
      </c>
      <c r="G64" s="14" t="s">
        <v>170</v>
      </c>
      <c r="H64" s="14"/>
      <c r="I64" s="14"/>
      <c r="J64" s="14"/>
      <c r="K64" s="127"/>
    </row>
    <row r="65" spans="1:11">
      <c r="A65" s="14">
        <f>IF(B65="","",COUNTA($B$4:B65))</f>
        <v>62</v>
      </c>
      <c r="B65" s="14" t="s">
        <v>1515</v>
      </c>
      <c r="C65" s="14" t="s">
        <v>166</v>
      </c>
      <c r="D65" s="14" t="s">
        <v>167</v>
      </c>
      <c r="E65" s="14" t="s">
        <v>168</v>
      </c>
      <c r="F65" s="14" t="s">
        <v>169</v>
      </c>
      <c r="G65" s="14" t="s">
        <v>170</v>
      </c>
      <c r="H65" s="14"/>
      <c r="I65" s="14"/>
      <c r="J65" s="14"/>
      <c r="K65" s="15"/>
    </row>
    <row r="66" spans="1:11">
      <c r="A66" s="14">
        <f>IF(B66="","",COUNTA($B$4:B66))</f>
        <v>63</v>
      </c>
      <c r="B66" s="14" t="s">
        <v>1528</v>
      </c>
      <c r="C66" s="14" t="s">
        <v>166</v>
      </c>
      <c r="D66" s="14" t="s">
        <v>167</v>
      </c>
      <c r="E66" s="14" t="s">
        <v>168</v>
      </c>
      <c r="F66" s="14" t="s">
        <v>169</v>
      </c>
      <c r="G66" s="14" t="s">
        <v>170</v>
      </c>
      <c r="H66" s="14"/>
      <c r="I66" s="14"/>
      <c r="J66" s="14"/>
      <c r="K66" s="127"/>
    </row>
    <row r="67" spans="1:11">
      <c r="A67" s="14">
        <f>IF(B67="","",COUNTA($B$4:B67))</f>
        <v>64</v>
      </c>
      <c r="B67" s="14" t="s">
        <v>1529</v>
      </c>
      <c r="C67" s="14" t="s">
        <v>166</v>
      </c>
      <c r="D67" s="14" t="s">
        <v>167</v>
      </c>
      <c r="E67" s="14" t="s">
        <v>168</v>
      </c>
      <c r="F67" s="14" t="s">
        <v>169</v>
      </c>
      <c r="G67" s="14" t="s">
        <v>170</v>
      </c>
      <c r="H67" s="14"/>
      <c r="I67" s="14"/>
      <c r="J67" s="14"/>
      <c r="K67" s="127"/>
    </row>
    <row r="68" spans="1:11">
      <c r="A68" s="14">
        <f>IF(B68="","",COUNTA($B$4:B68))</f>
        <v>65</v>
      </c>
      <c r="B68" s="14" t="s">
        <v>1530</v>
      </c>
      <c r="C68" s="14" t="s">
        <v>166</v>
      </c>
      <c r="D68" s="14" t="s">
        <v>167</v>
      </c>
      <c r="E68" s="14" t="s">
        <v>168</v>
      </c>
      <c r="F68" s="14" t="s">
        <v>169</v>
      </c>
      <c r="G68" s="14" t="s">
        <v>170</v>
      </c>
      <c r="H68" s="14"/>
      <c r="I68" s="14"/>
      <c r="J68" s="14"/>
      <c r="K68" s="127"/>
    </row>
    <row r="69" spans="1:11">
      <c r="A69" s="14">
        <f>IF(B69="","",COUNTA($B$4:B69))</f>
        <v>66</v>
      </c>
      <c r="B69" s="14" t="s">
        <v>1531</v>
      </c>
      <c r="C69" s="14" t="s">
        <v>166</v>
      </c>
      <c r="D69" s="14" t="s">
        <v>167</v>
      </c>
      <c r="E69" s="14" t="s">
        <v>168</v>
      </c>
      <c r="F69" s="14" t="s">
        <v>169</v>
      </c>
      <c r="G69" s="14" t="s">
        <v>170</v>
      </c>
      <c r="H69" s="14"/>
      <c r="I69" s="14"/>
      <c r="J69" s="14"/>
      <c r="K69" s="15"/>
    </row>
    <row r="70" spans="1:11">
      <c r="A70" s="14">
        <f>IF(B70="","",COUNTA($B$4:B70))</f>
        <v>67</v>
      </c>
      <c r="B70" s="14" t="s">
        <v>1532</v>
      </c>
      <c r="C70" s="14" t="s">
        <v>166</v>
      </c>
      <c r="D70" s="14" t="s">
        <v>167</v>
      </c>
      <c r="E70" s="14" t="s">
        <v>168</v>
      </c>
      <c r="F70" s="14" t="s">
        <v>169</v>
      </c>
      <c r="G70" s="14" t="s">
        <v>170</v>
      </c>
      <c r="H70" s="14"/>
      <c r="I70" s="14"/>
      <c r="J70" s="14"/>
      <c r="K70" s="15"/>
    </row>
    <row r="71" spans="1:11">
      <c r="A71" s="14">
        <f>IF(B71="","",COUNTA($B$4:B71))</f>
        <v>68</v>
      </c>
      <c r="B71" s="14" t="s">
        <v>1533</v>
      </c>
      <c r="C71" s="14" t="s">
        <v>166</v>
      </c>
      <c r="D71" s="14" t="s">
        <v>167</v>
      </c>
      <c r="E71" s="14" t="s">
        <v>1561</v>
      </c>
      <c r="F71" s="14" t="s">
        <v>169</v>
      </c>
      <c r="G71" s="14" t="s">
        <v>170</v>
      </c>
      <c r="H71" s="14"/>
      <c r="I71" s="14"/>
      <c r="J71" s="14"/>
      <c r="K71" s="15"/>
    </row>
    <row r="72" spans="1:11">
      <c r="A72" s="14">
        <f>IF(B72="","",COUNTA($B$4:B72))</f>
        <v>69</v>
      </c>
      <c r="B72" s="14" t="s">
        <v>1534</v>
      </c>
      <c r="C72" s="14" t="s">
        <v>356</v>
      </c>
      <c r="D72" s="14" t="s">
        <v>357</v>
      </c>
      <c r="E72" s="14" t="s">
        <v>356</v>
      </c>
      <c r="F72" s="14" t="s">
        <v>150</v>
      </c>
      <c r="G72" s="14" t="s">
        <v>151</v>
      </c>
      <c r="H72" s="14">
        <v>30</v>
      </c>
      <c r="I72" s="14"/>
      <c r="J72" s="14"/>
      <c r="K72" s="15"/>
    </row>
    <row r="73" spans="1:11">
      <c r="A73" s="14">
        <f>IF(B73="","",COUNTA($B$4:B73))</f>
        <v>70</v>
      </c>
      <c r="B73" s="14" t="s">
        <v>1556</v>
      </c>
      <c r="C73" s="14" t="s">
        <v>523</v>
      </c>
      <c r="D73" s="14" t="s">
        <v>1480</v>
      </c>
      <c r="E73" s="14" t="s">
        <v>1474</v>
      </c>
      <c r="F73" s="14" t="s">
        <v>150</v>
      </c>
      <c r="G73" s="14" t="s">
        <v>151</v>
      </c>
      <c r="H73" s="14">
        <v>10</v>
      </c>
      <c r="I73" s="14"/>
      <c r="J73" s="15"/>
      <c r="K73" s="127"/>
    </row>
    <row r="74" spans="1:11">
      <c r="A74" s="14">
        <f>IF(B74="","",COUNTA($B$4:B74))</f>
        <v>71</v>
      </c>
      <c r="B74" s="14" t="s">
        <v>1534</v>
      </c>
      <c r="C74" s="14" t="s">
        <v>342</v>
      </c>
      <c r="D74" s="14" t="s">
        <v>343</v>
      </c>
      <c r="E74" s="14" t="s">
        <v>342</v>
      </c>
      <c r="F74" s="14" t="s">
        <v>150</v>
      </c>
      <c r="G74" s="14" t="s">
        <v>151</v>
      </c>
      <c r="H74" s="14">
        <v>5</v>
      </c>
      <c r="I74" s="14"/>
      <c r="J74" s="14"/>
      <c r="K74" s="15"/>
    </row>
    <row r="75" spans="1:11">
      <c r="A75" s="14">
        <f>IF(B75="","",COUNTA($B$4:B75))</f>
        <v>72</v>
      </c>
      <c r="B75" s="14" t="s">
        <v>1515</v>
      </c>
      <c r="C75" s="14" t="s">
        <v>241</v>
      </c>
      <c r="D75" s="14" t="s">
        <v>242</v>
      </c>
      <c r="E75" s="14" t="s">
        <v>241</v>
      </c>
      <c r="F75" s="14" t="s">
        <v>150</v>
      </c>
      <c r="G75" s="14" t="s">
        <v>243</v>
      </c>
      <c r="H75" s="14"/>
      <c r="I75" s="14" t="s">
        <v>244</v>
      </c>
      <c r="J75" s="14"/>
      <c r="K75" s="15"/>
    </row>
    <row r="76" spans="1:11">
      <c r="A76" s="14">
        <f>IF(B76="","",COUNTA($B$4:B76))</f>
        <v>73</v>
      </c>
      <c r="B76" s="14" t="s">
        <v>1528</v>
      </c>
      <c r="C76" s="14" t="s">
        <v>241</v>
      </c>
      <c r="D76" s="14" t="s">
        <v>242</v>
      </c>
      <c r="E76" s="14" t="s">
        <v>241</v>
      </c>
      <c r="F76" s="14" t="s">
        <v>150</v>
      </c>
      <c r="G76" s="14" t="s">
        <v>243</v>
      </c>
      <c r="H76" s="14"/>
      <c r="I76" s="14" t="s">
        <v>244</v>
      </c>
      <c r="J76" s="14"/>
      <c r="K76" s="15"/>
    </row>
    <row r="77" spans="1:11">
      <c r="A77" s="14">
        <f>IF(B77="","",COUNTA($B$4:B77))</f>
        <v>74</v>
      </c>
      <c r="B77" s="14" t="s">
        <v>1529</v>
      </c>
      <c r="C77" s="14" t="s">
        <v>241</v>
      </c>
      <c r="D77" s="14" t="s">
        <v>242</v>
      </c>
      <c r="E77" s="14" t="s">
        <v>241</v>
      </c>
      <c r="F77" s="14" t="s">
        <v>150</v>
      </c>
      <c r="G77" s="14" t="s">
        <v>243</v>
      </c>
      <c r="H77" s="14"/>
      <c r="I77" s="14" t="s">
        <v>244</v>
      </c>
      <c r="J77" s="14"/>
      <c r="K77" s="127"/>
    </row>
    <row r="78" spans="1:11">
      <c r="A78" s="14">
        <f>IF(B78="","",COUNTA($B$4:B78))</f>
        <v>75</v>
      </c>
      <c r="B78" s="14" t="s">
        <v>1531</v>
      </c>
      <c r="C78" s="14" t="s">
        <v>241</v>
      </c>
      <c r="D78" s="14" t="s">
        <v>242</v>
      </c>
      <c r="E78" s="14" t="s">
        <v>241</v>
      </c>
      <c r="F78" s="14" t="s">
        <v>150</v>
      </c>
      <c r="G78" s="14" t="s">
        <v>243</v>
      </c>
      <c r="H78" s="14"/>
      <c r="I78" s="14" t="s">
        <v>244</v>
      </c>
      <c r="J78" s="14"/>
      <c r="K78" s="15"/>
    </row>
    <row r="79" spans="1:11">
      <c r="A79" s="14">
        <f>IF(B79="","",COUNTA($B$4:B79))</f>
        <v>76</v>
      </c>
      <c r="B79" s="14" t="s">
        <v>1532</v>
      </c>
      <c r="C79" s="14" t="s">
        <v>241</v>
      </c>
      <c r="D79" s="14" t="s">
        <v>242</v>
      </c>
      <c r="E79" s="14" t="s">
        <v>241</v>
      </c>
      <c r="F79" s="14" t="s">
        <v>150</v>
      </c>
      <c r="G79" s="14" t="s">
        <v>243</v>
      </c>
      <c r="H79" s="14"/>
      <c r="I79" s="14" t="s">
        <v>244</v>
      </c>
      <c r="J79" s="14"/>
      <c r="K79" s="15"/>
    </row>
    <row r="80" spans="1:11">
      <c r="A80" s="14">
        <f>IF(B80="","",COUNTA($B$4:B80))</f>
        <v>77</v>
      </c>
      <c r="B80" s="14" t="s">
        <v>1533</v>
      </c>
      <c r="C80" s="14" t="s">
        <v>241</v>
      </c>
      <c r="D80" s="14" t="s">
        <v>242</v>
      </c>
      <c r="E80" s="14" t="s">
        <v>241</v>
      </c>
      <c r="F80" s="14" t="s">
        <v>150</v>
      </c>
      <c r="G80" s="14" t="s">
        <v>243</v>
      </c>
      <c r="H80" s="14"/>
      <c r="I80" s="14" t="s">
        <v>244</v>
      </c>
      <c r="J80" s="14"/>
      <c r="K80" s="127"/>
    </row>
    <row r="81" spans="1:11">
      <c r="A81" s="14">
        <f>IF(B81="","",COUNTA($B$4:B81))</f>
        <v>78</v>
      </c>
      <c r="B81" s="14" t="s">
        <v>1515</v>
      </c>
      <c r="C81" s="14" t="s">
        <v>246</v>
      </c>
      <c r="D81" s="14" t="s">
        <v>247</v>
      </c>
      <c r="E81" s="14" t="s">
        <v>246</v>
      </c>
      <c r="F81" s="14" t="s">
        <v>150</v>
      </c>
      <c r="G81" s="14" t="s">
        <v>243</v>
      </c>
      <c r="H81" s="14"/>
      <c r="I81" s="14" t="s">
        <v>244</v>
      </c>
      <c r="J81" s="14"/>
      <c r="K81" s="15"/>
    </row>
    <row r="82" spans="1:11">
      <c r="A82" s="14">
        <f>IF(B82="","",COUNTA($B$4:B82))</f>
        <v>79</v>
      </c>
      <c r="B82" s="14" t="s">
        <v>1528</v>
      </c>
      <c r="C82" s="14" t="s">
        <v>246</v>
      </c>
      <c r="D82" s="14" t="s">
        <v>247</v>
      </c>
      <c r="E82" s="14" t="s">
        <v>246</v>
      </c>
      <c r="F82" s="14" t="s">
        <v>150</v>
      </c>
      <c r="G82" s="14" t="s">
        <v>243</v>
      </c>
      <c r="H82" s="14"/>
      <c r="I82" s="14" t="s">
        <v>244</v>
      </c>
      <c r="J82" s="14"/>
      <c r="K82" s="127"/>
    </row>
    <row r="83" spans="1:11">
      <c r="A83" s="14">
        <f>IF(B83="","",COUNTA($B$4:B83))</f>
        <v>80</v>
      </c>
      <c r="B83" s="14" t="s">
        <v>1529</v>
      </c>
      <c r="C83" s="14" t="s">
        <v>246</v>
      </c>
      <c r="D83" s="14" t="s">
        <v>247</v>
      </c>
      <c r="E83" s="14" t="s">
        <v>246</v>
      </c>
      <c r="F83" s="14" t="s">
        <v>150</v>
      </c>
      <c r="G83" s="14" t="s">
        <v>243</v>
      </c>
      <c r="H83" s="14"/>
      <c r="I83" s="14" t="s">
        <v>244</v>
      </c>
      <c r="J83" s="14"/>
      <c r="K83" s="15"/>
    </row>
    <row r="84" spans="1:11">
      <c r="A84" s="14">
        <f>IF(B84="","",COUNTA($B$4:B84))</f>
        <v>81</v>
      </c>
      <c r="B84" s="14" t="s">
        <v>1531</v>
      </c>
      <c r="C84" s="14" t="s">
        <v>246</v>
      </c>
      <c r="D84" s="14" t="s">
        <v>247</v>
      </c>
      <c r="E84" s="14" t="s">
        <v>246</v>
      </c>
      <c r="F84" s="14" t="s">
        <v>150</v>
      </c>
      <c r="G84" s="14" t="s">
        <v>243</v>
      </c>
      <c r="H84" s="14"/>
      <c r="I84" s="14" t="s">
        <v>244</v>
      </c>
      <c r="J84" s="14"/>
      <c r="K84" s="127"/>
    </row>
    <row r="85" spans="1:11">
      <c r="A85" s="14">
        <f>IF(B85="","",COUNTA($B$4:B85))</f>
        <v>82</v>
      </c>
      <c r="B85" s="14" t="s">
        <v>1532</v>
      </c>
      <c r="C85" s="14" t="s">
        <v>246</v>
      </c>
      <c r="D85" s="14" t="s">
        <v>247</v>
      </c>
      <c r="E85" s="14" t="s">
        <v>246</v>
      </c>
      <c r="F85" s="14" t="s">
        <v>150</v>
      </c>
      <c r="G85" s="14" t="s">
        <v>243</v>
      </c>
      <c r="H85" s="14"/>
      <c r="I85" s="14" t="s">
        <v>244</v>
      </c>
      <c r="J85" s="14"/>
      <c r="K85" s="127"/>
    </row>
    <row r="86" spans="1:11">
      <c r="A86" s="14">
        <f>IF(B86="","",COUNTA($B$4:B86))</f>
        <v>83</v>
      </c>
      <c r="B86" s="14" t="s">
        <v>1533</v>
      </c>
      <c r="C86" s="14" t="s">
        <v>246</v>
      </c>
      <c r="D86" s="14" t="s">
        <v>247</v>
      </c>
      <c r="E86" s="14" t="s">
        <v>246</v>
      </c>
      <c r="F86" s="14" t="s">
        <v>150</v>
      </c>
      <c r="G86" s="14" t="s">
        <v>243</v>
      </c>
      <c r="H86" s="14"/>
      <c r="I86" s="14" t="s">
        <v>244</v>
      </c>
      <c r="J86" s="14"/>
      <c r="K86" s="15"/>
    </row>
    <row r="87" spans="1:11">
      <c r="A87" s="14">
        <f>IF(B87="","",COUNTA($B$4:B87))</f>
        <v>84</v>
      </c>
      <c r="B87" s="14" t="s">
        <v>1555</v>
      </c>
      <c r="C87" s="14" t="s">
        <v>418</v>
      </c>
      <c r="D87" s="14" t="s">
        <v>419</v>
      </c>
      <c r="E87" s="14" t="s">
        <v>418</v>
      </c>
      <c r="F87" s="14" t="s">
        <v>150</v>
      </c>
      <c r="G87" s="14" t="s">
        <v>151</v>
      </c>
      <c r="H87" s="14">
        <v>8</v>
      </c>
      <c r="I87" s="14"/>
      <c r="J87" s="15"/>
      <c r="K87" s="15"/>
    </row>
    <row r="88" spans="1:11">
      <c r="A88" s="14">
        <f>IF(B88="","",COUNTA($B$4:B88))</f>
        <v>85</v>
      </c>
      <c r="B88" s="14" t="s">
        <v>1515</v>
      </c>
      <c r="C88" s="14" t="s">
        <v>236</v>
      </c>
      <c r="D88" s="14" t="s">
        <v>237</v>
      </c>
      <c r="E88" s="14" t="s">
        <v>236</v>
      </c>
      <c r="F88" s="14" t="s">
        <v>155</v>
      </c>
      <c r="G88" s="14" t="s">
        <v>156</v>
      </c>
      <c r="H88" s="14">
        <v>1</v>
      </c>
      <c r="I88" s="14"/>
      <c r="J88" s="14"/>
      <c r="K88" s="127"/>
    </row>
    <row r="89" spans="1:11">
      <c r="A89" s="14">
        <f>IF(B89="","",COUNTA($B$4:B89))</f>
        <v>86</v>
      </c>
      <c r="B89" s="14" t="s">
        <v>1528</v>
      </c>
      <c r="C89" s="14" t="s">
        <v>236</v>
      </c>
      <c r="D89" s="14" t="s">
        <v>237</v>
      </c>
      <c r="E89" s="14" t="s">
        <v>236</v>
      </c>
      <c r="F89" s="14" t="s">
        <v>155</v>
      </c>
      <c r="G89" s="14" t="s">
        <v>156</v>
      </c>
      <c r="H89" s="14">
        <v>1</v>
      </c>
      <c r="I89" s="14"/>
      <c r="J89" s="14"/>
      <c r="K89" s="127"/>
    </row>
    <row r="90" spans="1:11">
      <c r="A90" s="14">
        <f>IF(B90="","",COUNTA($B$4:B90))</f>
        <v>87</v>
      </c>
      <c r="B90" s="14" t="s">
        <v>1529</v>
      </c>
      <c r="C90" s="14" t="s">
        <v>236</v>
      </c>
      <c r="D90" s="14" t="s">
        <v>237</v>
      </c>
      <c r="E90" s="14" t="s">
        <v>236</v>
      </c>
      <c r="F90" s="14" t="s">
        <v>155</v>
      </c>
      <c r="G90" s="14" t="s">
        <v>156</v>
      </c>
      <c r="H90" s="14">
        <v>1</v>
      </c>
      <c r="I90" s="14"/>
      <c r="J90" s="14"/>
      <c r="K90" s="127"/>
    </row>
    <row r="91" spans="1:11">
      <c r="A91" s="14">
        <f>IF(B91="","",COUNTA($B$4:B91))</f>
        <v>88</v>
      </c>
      <c r="B91" s="14" t="s">
        <v>1530</v>
      </c>
      <c r="C91" s="14" t="s">
        <v>236</v>
      </c>
      <c r="D91" s="14" t="s">
        <v>237</v>
      </c>
      <c r="E91" s="14" t="s">
        <v>236</v>
      </c>
      <c r="F91" s="14" t="s">
        <v>155</v>
      </c>
      <c r="G91" s="14" t="s">
        <v>156</v>
      </c>
      <c r="H91" s="14">
        <v>1</v>
      </c>
      <c r="I91" s="14"/>
      <c r="J91" s="14"/>
      <c r="K91" s="15"/>
    </row>
    <row r="92" spans="1:11">
      <c r="A92" s="14">
        <f>IF(B92="","",COUNTA($B$4:B92))</f>
        <v>89</v>
      </c>
      <c r="B92" s="14" t="s">
        <v>1531</v>
      </c>
      <c r="C92" s="14" t="s">
        <v>236</v>
      </c>
      <c r="D92" s="14" t="s">
        <v>237</v>
      </c>
      <c r="E92" s="14" t="s">
        <v>236</v>
      </c>
      <c r="F92" s="14" t="s">
        <v>155</v>
      </c>
      <c r="G92" s="14" t="s">
        <v>156</v>
      </c>
      <c r="H92" s="14">
        <v>1</v>
      </c>
      <c r="I92" s="14"/>
      <c r="J92" s="14"/>
      <c r="K92" s="127"/>
    </row>
    <row r="93" spans="1:11">
      <c r="A93" s="14">
        <f>IF(B93="","",COUNTA($B$4:B93))</f>
        <v>90</v>
      </c>
      <c r="B93" s="14" t="s">
        <v>1533</v>
      </c>
      <c r="C93" s="14" t="s">
        <v>236</v>
      </c>
      <c r="D93" s="14" t="s">
        <v>237</v>
      </c>
      <c r="E93" s="14" t="s">
        <v>236</v>
      </c>
      <c r="F93" s="14" t="s">
        <v>155</v>
      </c>
      <c r="G93" s="14" t="s">
        <v>156</v>
      </c>
      <c r="H93" s="14">
        <v>1</v>
      </c>
      <c r="I93" s="14"/>
      <c r="J93" s="14"/>
      <c r="K93" s="15"/>
    </row>
    <row r="94" spans="1:11">
      <c r="A94" s="14">
        <f>IF(B94="","",COUNTA($B$4:B94))</f>
        <v>91</v>
      </c>
      <c r="B94" s="14" t="s">
        <v>1555</v>
      </c>
      <c r="C94" s="14" t="s">
        <v>1453</v>
      </c>
      <c r="D94" s="14" t="s">
        <v>1483</v>
      </c>
      <c r="E94" s="14" t="s">
        <v>1453</v>
      </c>
      <c r="F94" s="14" t="s">
        <v>150</v>
      </c>
      <c r="G94" s="14" t="s">
        <v>151</v>
      </c>
      <c r="H94" s="14">
        <v>1</v>
      </c>
      <c r="I94" s="14"/>
      <c r="J94" s="15"/>
      <c r="K94" s="15"/>
    </row>
    <row r="95" spans="1:11">
      <c r="A95" s="14">
        <f>IF(B95="","",COUNTA($B$4:B95))</f>
        <v>92</v>
      </c>
      <c r="B95" s="14" t="s">
        <v>1555</v>
      </c>
      <c r="C95" s="14" t="s">
        <v>1450</v>
      </c>
      <c r="D95" s="14" t="s">
        <v>1485</v>
      </c>
      <c r="E95" s="14" t="s">
        <v>1450</v>
      </c>
      <c r="F95" s="14" t="s">
        <v>150</v>
      </c>
      <c r="G95" s="14" t="s">
        <v>151</v>
      </c>
      <c r="H95" s="14">
        <v>1</v>
      </c>
      <c r="I95" s="14"/>
      <c r="J95" s="15"/>
      <c r="K95" s="15"/>
    </row>
    <row r="96" spans="1:11">
      <c r="A96" s="14">
        <f>IF(B96="","",COUNTA($B$4:B96))</f>
        <v>93</v>
      </c>
      <c r="B96" s="14" t="s">
        <v>1515</v>
      </c>
      <c r="C96" s="14" t="s">
        <v>239</v>
      </c>
      <c r="D96" s="14" t="s">
        <v>240</v>
      </c>
      <c r="E96" s="14" t="s">
        <v>239</v>
      </c>
      <c r="F96" s="14" t="s">
        <v>169</v>
      </c>
      <c r="G96" s="14" t="s">
        <v>170</v>
      </c>
      <c r="H96" s="14"/>
      <c r="I96" s="14"/>
      <c r="J96" s="14"/>
      <c r="K96" s="127"/>
    </row>
    <row r="97" spans="1:11">
      <c r="A97" s="14">
        <f>IF(B97="","",COUNTA($B$4:B97))</f>
        <v>94</v>
      </c>
      <c r="B97" s="14" t="s">
        <v>1528</v>
      </c>
      <c r="C97" s="14" t="s">
        <v>239</v>
      </c>
      <c r="D97" s="14" t="s">
        <v>240</v>
      </c>
      <c r="E97" s="14" t="s">
        <v>239</v>
      </c>
      <c r="F97" s="14" t="s">
        <v>169</v>
      </c>
      <c r="G97" s="14" t="s">
        <v>170</v>
      </c>
      <c r="H97" s="14"/>
      <c r="I97" s="14"/>
      <c r="J97" s="14"/>
      <c r="K97" s="15"/>
    </row>
    <row r="98" spans="1:11">
      <c r="A98" s="14">
        <f>IF(B98="","",COUNTA($B$4:B98))</f>
        <v>95</v>
      </c>
      <c r="B98" s="14" t="s">
        <v>1529</v>
      </c>
      <c r="C98" s="14" t="s">
        <v>239</v>
      </c>
      <c r="D98" s="14" t="s">
        <v>240</v>
      </c>
      <c r="E98" s="14" t="s">
        <v>239</v>
      </c>
      <c r="F98" s="14" t="s">
        <v>169</v>
      </c>
      <c r="G98" s="14" t="s">
        <v>170</v>
      </c>
      <c r="H98" s="14"/>
      <c r="I98" s="14"/>
      <c r="J98" s="14"/>
      <c r="K98" s="15"/>
    </row>
    <row r="99" spans="1:11">
      <c r="A99" s="14">
        <f>IF(B99="","",COUNTA($B$4:B99))</f>
        <v>96</v>
      </c>
      <c r="B99" s="14" t="s">
        <v>1530</v>
      </c>
      <c r="C99" s="14" t="s">
        <v>239</v>
      </c>
      <c r="D99" s="14" t="s">
        <v>240</v>
      </c>
      <c r="E99" s="14" t="s">
        <v>239</v>
      </c>
      <c r="F99" s="14" t="s">
        <v>169</v>
      </c>
      <c r="G99" s="14" t="s">
        <v>170</v>
      </c>
      <c r="H99" s="14"/>
      <c r="I99" s="14"/>
      <c r="J99" s="14"/>
      <c r="K99" s="127"/>
    </row>
    <row r="100" spans="1:11">
      <c r="A100" s="14">
        <f>IF(B100="","",COUNTA($B$4:B100))</f>
        <v>97</v>
      </c>
      <c r="B100" s="14" t="s">
        <v>1531</v>
      </c>
      <c r="C100" s="14" t="s">
        <v>239</v>
      </c>
      <c r="D100" s="14" t="s">
        <v>240</v>
      </c>
      <c r="E100" s="14" t="s">
        <v>239</v>
      </c>
      <c r="F100" s="14" t="s">
        <v>169</v>
      </c>
      <c r="G100" s="14" t="s">
        <v>170</v>
      </c>
      <c r="H100" s="14"/>
      <c r="I100" s="14"/>
      <c r="J100" s="14"/>
      <c r="K100" s="127"/>
    </row>
    <row r="101" spans="1:11">
      <c r="A101" s="14">
        <f>IF(B101="","",COUNTA($B$4:B101))</f>
        <v>98</v>
      </c>
      <c r="B101" s="14" t="s">
        <v>1532</v>
      </c>
      <c r="C101" s="14" t="s">
        <v>239</v>
      </c>
      <c r="D101" s="14" t="s">
        <v>240</v>
      </c>
      <c r="E101" s="14" t="s">
        <v>239</v>
      </c>
      <c r="F101" s="14" t="s">
        <v>169</v>
      </c>
      <c r="G101" s="14" t="s">
        <v>170</v>
      </c>
      <c r="H101" s="14"/>
      <c r="I101" s="14"/>
      <c r="J101" s="14"/>
      <c r="K101" s="127"/>
    </row>
    <row r="102" spans="1:11">
      <c r="A102" s="14">
        <f>IF(B102="","",COUNTA($B$4:B102))</f>
        <v>99</v>
      </c>
      <c r="B102" s="14" t="s">
        <v>1533</v>
      </c>
      <c r="C102" s="14" t="s">
        <v>239</v>
      </c>
      <c r="D102" s="14" t="s">
        <v>240</v>
      </c>
      <c r="E102" s="14" t="s">
        <v>239</v>
      </c>
      <c r="F102" s="14" t="s">
        <v>169</v>
      </c>
      <c r="G102" s="14" t="s">
        <v>170</v>
      </c>
      <c r="H102" s="14"/>
      <c r="I102" s="14"/>
      <c r="J102" s="14"/>
      <c r="K102" s="127"/>
    </row>
    <row r="103" spans="1:11">
      <c r="A103" s="14">
        <f>IF(B103="","",COUNTA($B$4:B103))</f>
        <v>100</v>
      </c>
      <c r="B103" s="14" t="s">
        <v>1534</v>
      </c>
      <c r="C103" s="14" t="s">
        <v>239</v>
      </c>
      <c r="D103" s="14" t="s">
        <v>240</v>
      </c>
      <c r="E103" s="14" t="s">
        <v>239</v>
      </c>
      <c r="F103" s="14" t="s">
        <v>169</v>
      </c>
      <c r="G103" s="14" t="s">
        <v>170</v>
      </c>
      <c r="H103" s="14"/>
      <c r="I103" s="14"/>
      <c r="J103" s="14"/>
      <c r="K103" s="15"/>
    </row>
    <row r="104" spans="1:11">
      <c r="A104" s="14">
        <f>IF(B104="","",COUNTA($B$4:B104))</f>
        <v>101</v>
      </c>
      <c r="B104" s="14" t="s">
        <v>1545</v>
      </c>
      <c r="C104" s="14" t="s">
        <v>381</v>
      </c>
      <c r="D104" s="14" t="s">
        <v>382</v>
      </c>
      <c r="E104" s="14" t="s">
        <v>381</v>
      </c>
      <c r="F104" s="14" t="s">
        <v>150</v>
      </c>
      <c r="G104" s="14" t="s">
        <v>151</v>
      </c>
      <c r="H104" s="14">
        <v>30</v>
      </c>
      <c r="I104" s="14"/>
      <c r="J104" s="14"/>
      <c r="K104" s="15"/>
    </row>
    <row r="105" spans="1:11">
      <c r="A105" s="14">
        <f>IF(B105="","",COUNTA($B$4:B105))</f>
        <v>102</v>
      </c>
      <c r="B105" s="14" t="s">
        <v>1547</v>
      </c>
      <c r="C105" s="14" t="s">
        <v>381</v>
      </c>
      <c r="D105" s="14" t="s">
        <v>382</v>
      </c>
      <c r="E105" s="14" t="s">
        <v>381</v>
      </c>
      <c r="F105" s="14" t="s">
        <v>150</v>
      </c>
      <c r="G105" s="14" t="s">
        <v>151</v>
      </c>
      <c r="H105" s="14">
        <v>30</v>
      </c>
      <c r="I105" s="14"/>
      <c r="J105" s="14"/>
      <c r="K105" s="127"/>
    </row>
    <row r="106" spans="1:11">
      <c r="A106" s="14">
        <f>IF(B106="","",COUNTA($B$4:B106))</f>
        <v>103</v>
      </c>
      <c r="B106" s="14" t="s">
        <v>1549</v>
      </c>
      <c r="C106" s="14" t="s">
        <v>381</v>
      </c>
      <c r="D106" s="14" t="s">
        <v>382</v>
      </c>
      <c r="E106" s="14" t="s">
        <v>381</v>
      </c>
      <c r="F106" s="14" t="s">
        <v>150</v>
      </c>
      <c r="G106" s="14" t="s">
        <v>151</v>
      </c>
      <c r="H106" s="14">
        <v>30</v>
      </c>
      <c r="I106" s="14"/>
      <c r="J106" s="14"/>
      <c r="K106" s="15"/>
    </row>
    <row r="107" spans="1:11">
      <c r="A107" s="14">
        <f>IF(B107="","",COUNTA($B$4:B107))</f>
        <v>104</v>
      </c>
      <c r="B107" s="14" t="s">
        <v>1534</v>
      </c>
      <c r="C107" s="14" t="s">
        <v>345</v>
      </c>
      <c r="D107" s="14" t="s">
        <v>346</v>
      </c>
      <c r="E107" s="14" t="s">
        <v>345</v>
      </c>
      <c r="F107" s="14" t="s">
        <v>169</v>
      </c>
      <c r="G107" s="14" t="s">
        <v>170</v>
      </c>
      <c r="H107" s="14"/>
      <c r="I107" s="14"/>
      <c r="J107" s="14"/>
      <c r="K107" s="15"/>
    </row>
    <row r="108" spans="1:11">
      <c r="A108" s="14">
        <f>IF(B108="","",COUNTA($B$4:B108))</f>
        <v>105</v>
      </c>
      <c r="B108" s="14" t="s">
        <v>1534</v>
      </c>
      <c r="C108" s="14" t="s">
        <v>347</v>
      </c>
      <c r="D108" s="14" t="s">
        <v>348</v>
      </c>
      <c r="E108" s="14" t="s">
        <v>347</v>
      </c>
      <c r="F108" s="14" t="s">
        <v>150</v>
      </c>
      <c r="G108" s="14" t="s">
        <v>151</v>
      </c>
      <c r="H108" s="14">
        <v>30</v>
      </c>
      <c r="I108" s="14"/>
      <c r="J108" s="14"/>
      <c r="K108" s="15"/>
    </row>
    <row r="109" spans="1:11">
      <c r="A109" s="14">
        <f>IF(B109="","",COUNTA($B$4:B109))</f>
        <v>106</v>
      </c>
      <c r="B109" s="14" t="s">
        <v>1534</v>
      </c>
      <c r="C109" s="14" t="s">
        <v>350</v>
      </c>
      <c r="D109" s="14" t="s">
        <v>351</v>
      </c>
      <c r="E109" s="14" t="s">
        <v>350</v>
      </c>
      <c r="F109" s="14" t="s">
        <v>155</v>
      </c>
      <c r="G109" s="14" t="s">
        <v>156</v>
      </c>
      <c r="H109" s="14">
        <v>3</v>
      </c>
      <c r="I109" s="14"/>
      <c r="J109" s="14"/>
      <c r="K109" s="15"/>
    </row>
    <row r="110" spans="1:11">
      <c r="A110" s="14">
        <f>IF(B110="","",COUNTA($B$4:B110))</f>
        <v>107</v>
      </c>
      <c r="B110" s="14" t="s">
        <v>1551</v>
      </c>
      <c r="C110" s="14" t="s">
        <v>1429</v>
      </c>
      <c r="D110" s="14" t="s">
        <v>327</v>
      </c>
      <c r="E110" s="14" t="s">
        <v>1429</v>
      </c>
      <c r="F110" s="14" t="s">
        <v>155</v>
      </c>
      <c r="G110" s="14" t="s">
        <v>156</v>
      </c>
      <c r="H110" s="14">
        <v>5</v>
      </c>
      <c r="I110" s="14"/>
      <c r="J110" s="15"/>
      <c r="K110" s="15"/>
    </row>
    <row r="111" spans="1:11">
      <c r="A111" s="14">
        <f>IF(B111="","",COUNTA($B$4:B111))</f>
        <v>108</v>
      </c>
      <c r="B111" s="14" t="s">
        <v>1555</v>
      </c>
      <c r="C111" s="14" t="s">
        <v>426</v>
      </c>
      <c r="D111" s="14" t="s">
        <v>427</v>
      </c>
      <c r="E111" s="14" t="s">
        <v>426</v>
      </c>
      <c r="F111" s="14" t="s">
        <v>150</v>
      </c>
      <c r="G111" s="14" t="s">
        <v>151</v>
      </c>
      <c r="H111" s="14">
        <v>1</v>
      </c>
      <c r="I111" s="14"/>
      <c r="J111" s="15"/>
      <c r="K111" s="15"/>
    </row>
    <row r="112" spans="1:11">
      <c r="A112" s="14">
        <f>IF(B112="","",COUNTA($B$4:B112))</f>
        <v>109</v>
      </c>
      <c r="B112" s="14" t="s">
        <v>1515</v>
      </c>
      <c r="C112" s="14" t="s">
        <v>195</v>
      </c>
      <c r="D112" s="14" t="s">
        <v>196</v>
      </c>
      <c r="E112" s="14" t="s">
        <v>195</v>
      </c>
      <c r="F112" s="14" t="s">
        <v>150</v>
      </c>
      <c r="G112" s="14" t="s">
        <v>151</v>
      </c>
      <c r="H112" s="14">
        <v>400</v>
      </c>
      <c r="I112" s="14"/>
      <c r="J112" s="14"/>
      <c r="K112" s="15"/>
    </row>
    <row r="113" spans="1:11">
      <c r="A113" s="14">
        <f>IF(B113="","",COUNTA($B$4:B113))</f>
        <v>110</v>
      </c>
      <c r="B113" s="14" t="s">
        <v>1528</v>
      </c>
      <c r="C113" s="14" t="s">
        <v>195</v>
      </c>
      <c r="D113" s="14" t="s">
        <v>196</v>
      </c>
      <c r="E113" s="14" t="s">
        <v>195</v>
      </c>
      <c r="F113" s="14" t="s">
        <v>150</v>
      </c>
      <c r="G113" s="14" t="s">
        <v>151</v>
      </c>
      <c r="H113" s="14">
        <v>400</v>
      </c>
      <c r="I113" s="14"/>
      <c r="J113" s="14"/>
      <c r="K113" s="127"/>
    </row>
    <row r="114" spans="1:11">
      <c r="A114" s="14">
        <f>IF(B114="","",COUNTA($B$4:B114))</f>
        <v>111</v>
      </c>
      <c r="B114" s="14" t="s">
        <v>1529</v>
      </c>
      <c r="C114" s="14" t="s">
        <v>195</v>
      </c>
      <c r="D114" s="14" t="s">
        <v>196</v>
      </c>
      <c r="E114" s="14" t="s">
        <v>195</v>
      </c>
      <c r="F114" s="14" t="s">
        <v>150</v>
      </c>
      <c r="G114" s="14" t="s">
        <v>151</v>
      </c>
      <c r="H114" s="14">
        <v>400</v>
      </c>
      <c r="I114" s="14"/>
      <c r="J114" s="14"/>
      <c r="K114" s="15"/>
    </row>
    <row r="115" spans="1:11">
      <c r="A115" s="14">
        <f>IF(B115="","",COUNTA($B$4:B115))</f>
        <v>112</v>
      </c>
      <c r="B115" s="14" t="s">
        <v>1530</v>
      </c>
      <c r="C115" s="14" t="s">
        <v>195</v>
      </c>
      <c r="D115" s="14" t="s">
        <v>196</v>
      </c>
      <c r="E115" s="14" t="s">
        <v>195</v>
      </c>
      <c r="F115" s="14" t="s">
        <v>150</v>
      </c>
      <c r="G115" s="14" t="s">
        <v>151</v>
      </c>
      <c r="H115" s="14">
        <v>400</v>
      </c>
      <c r="I115" s="14"/>
      <c r="J115" s="14"/>
      <c r="K115" s="127"/>
    </row>
    <row r="116" spans="1:11">
      <c r="A116" s="14">
        <f>IF(B116="","",COUNTA($B$4:B116))</f>
        <v>113</v>
      </c>
      <c r="B116" s="14" t="s">
        <v>1531</v>
      </c>
      <c r="C116" s="14" t="s">
        <v>195</v>
      </c>
      <c r="D116" s="14" t="s">
        <v>196</v>
      </c>
      <c r="E116" s="14" t="s">
        <v>195</v>
      </c>
      <c r="F116" s="14" t="s">
        <v>150</v>
      </c>
      <c r="G116" s="14" t="s">
        <v>151</v>
      </c>
      <c r="H116" s="14">
        <v>400</v>
      </c>
      <c r="I116" s="14"/>
      <c r="J116" s="14"/>
      <c r="K116" s="15"/>
    </row>
    <row r="117" spans="1:11">
      <c r="A117" s="14">
        <f>IF(B117="","",COUNTA($B$4:B117))</f>
        <v>114</v>
      </c>
      <c r="B117" s="14" t="s">
        <v>1533</v>
      </c>
      <c r="C117" s="14" t="s">
        <v>195</v>
      </c>
      <c r="D117" s="14" t="s">
        <v>196</v>
      </c>
      <c r="E117" s="14" t="s">
        <v>195</v>
      </c>
      <c r="F117" s="14" t="s">
        <v>150</v>
      </c>
      <c r="G117" s="14" t="s">
        <v>151</v>
      </c>
      <c r="H117" s="14">
        <v>400</v>
      </c>
      <c r="I117" s="14"/>
      <c r="J117" s="14"/>
      <c r="K117" s="127"/>
    </row>
    <row r="118" spans="1:11">
      <c r="A118" s="14">
        <f>IF(B118="","",COUNTA($B$4:B118))</f>
        <v>115</v>
      </c>
      <c r="B118" s="14" t="s">
        <v>1534</v>
      </c>
      <c r="C118" s="14" t="s">
        <v>195</v>
      </c>
      <c r="D118" s="14" t="s">
        <v>196</v>
      </c>
      <c r="E118" s="14" t="s">
        <v>195</v>
      </c>
      <c r="F118" s="14" t="s">
        <v>150</v>
      </c>
      <c r="G118" s="14" t="s">
        <v>151</v>
      </c>
      <c r="H118" s="14">
        <v>400</v>
      </c>
      <c r="I118" s="14"/>
      <c r="J118" s="14"/>
      <c r="K118" s="15"/>
    </row>
    <row r="119" spans="1:11">
      <c r="A119" s="14">
        <f>IF(B119="","",COUNTA($B$4:B119))</f>
        <v>116</v>
      </c>
      <c r="B119" s="14" t="s">
        <v>1538</v>
      </c>
      <c r="C119" s="14" t="s">
        <v>195</v>
      </c>
      <c r="D119" s="14" t="s">
        <v>196</v>
      </c>
      <c r="E119" s="14" t="s">
        <v>195</v>
      </c>
      <c r="F119" s="14" t="s">
        <v>150</v>
      </c>
      <c r="G119" s="14" t="s">
        <v>151</v>
      </c>
      <c r="H119" s="14">
        <v>80</v>
      </c>
      <c r="I119" s="14"/>
      <c r="J119" s="14"/>
      <c r="K119" s="127"/>
    </row>
    <row r="120" spans="1:11">
      <c r="A120" s="14">
        <f>IF(B120="","",COUNTA($B$4:B120))</f>
        <v>117</v>
      </c>
      <c r="B120" s="14" t="s">
        <v>1546</v>
      </c>
      <c r="C120" s="14" t="s">
        <v>195</v>
      </c>
      <c r="D120" s="14" t="s">
        <v>196</v>
      </c>
      <c r="E120" s="14" t="s">
        <v>195</v>
      </c>
      <c r="F120" s="14" t="s">
        <v>150</v>
      </c>
      <c r="G120" s="14" t="s">
        <v>151</v>
      </c>
      <c r="H120" s="14">
        <v>80</v>
      </c>
      <c r="I120" s="14"/>
      <c r="J120" s="14"/>
      <c r="K120" s="127"/>
    </row>
    <row r="121" spans="1:11">
      <c r="A121" s="14">
        <f>IF(B121="","",COUNTA($B$4:B121))</f>
        <v>118</v>
      </c>
      <c r="B121" s="14" t="s">
        <v>1548</v>
      </c>
      <c r="C121" s="14" t="s">
        <v>195</v>
      </c>
      <c r="D121" s="14" t="s">
        <v>196</v>
      </c>
      <c r="E121" s="14" t="s">
        <v>195</v>
      </c>
      <c r="F121" s="14" t="s">
        <v>150</v>
      </c>
      <c r="G121" s="14" t="s">
        <v>151</v>
      </c>
      <c r="H121" s="14">
        <v>80</v>
      </c>
      <c r="I121" s="14"/>
      <c r="J121" s="14"/>
      <c r="K121" s="127"/>
    </row>
    <row r="122" spans="1:11">
      <c r="A122" s="14">
        <f>IF(B122="","",COUNTA($B$4:B122))</f>
        <v>119</v>
      </c>
      <c r="B122" s="14" t="s">
        <v>1550</v>
      </c>
      <c r="C122" s="14" t="s">
        <v>195</v>
      </c>
      <c r="D122" s="14" t="s">
        <v>196</v>
      </c>
      <c r="E122" s="14" t="s">
        <v>195</v>
      </c>
      <c r="F122" s="14" t="s">
        <v>150</v>
      </c>
      <c r="G122" s="14" t="s">
        <v>151</v>
      </c>
      <c r="H122" s="14">
        <v>80</v>
      </c>
      <c r="I122" s="14"/>
      <c r="J122" s="15"/>
      <c r="K122" s="15"/>
    </row>
    <row r="123" spans="1:11">
      <c r="A123" s="14">
        <f>IF(B123="","",COUNTA($B$4:B123))</f>
        <v>120</v>
      </c>
      <c r="B123" s="14" t="s">
        <v>1552</v>
      </c>
      <c r="C123" s="14" t="s">
        <v>195</v>
      </c>
      <c r="D123" s="14" t="s">
        <v>196</v>
      </c>
      <c r="E123" s="14" t="s">
        <v>195</v>
      </c>
      <c r="F123" s="14" t="s">
        <v>150</v>
      </c>
      <c r="G123" s="14" t="s">
        <v>151</v>
      </c>
      <c r="H123" s="14">
        <v>80</v>
      </c>
      <c r="I123" s="14"/>
      <c r="J123" s="15"/>
      <c r="K123" s="127"/>
    </row>
    <row r="124" spans="1:11">
      <c r="A124" s="14">
        <f>IF(B124="","",COUNTA($B$4:B124))</f>
        <v>121</v>
      </c>
      <c r="B124" s="14" t="s">
        <v>1515</v>
      </c>
      <c r="C124" s="14" t="s">
        <v>193</v>
      </c>
      <c r="D124" s="14" t="s">
        <v>194</v>
      </c>
      <c r="E124" s="14" t="s">
        <v>193</v>
      </c>
      <c r="F124" s="14" t="s">
        <v>150</v>
      </c>
      <c r="G124" s="14" t="s">
        <v>151</v>
      </c>
      <c r="H124" s="14">
        <v>25</v>
      </c>
      <c r="I124" s="14"/>
      <c r="J124" s="14"/>
      <c r="K124" s="15"/>
    </row>
    <row r="125" spans="1:11">
      <c r="A125" s="14">
        <f>IF(B125="","",COUNTA($B$4:B125))</f>
        <v>122</v>
      </c>
      <c r="B125" s="14" t="s">
        <v>1528</v>
      </c>
      <c r="C125" s="14" t="s">
        <v>193</v>
      </c>
      <c r="D125" s="14" t="s">
        <v>194</v>
      </c>
      <c r="E125" s="14" t="s">
        <v>193</v>
      </c>
      <c r="F125" s="14" t="s">
        <v>150</v>
      </c>
      <c r="G125" s="14" t="s">
        <v>151</v>
      </c>
      <c r="H125" s="14">
        <v>25</v>
      </c>
      <c r="I125" s="14"/>
      <c r="J125" s="14"/>
      <c r="K125" s="127"/>
    </row>
    <row r="126" spans="1:11">
      <c r="A126" s="14">
        <f>IF(B126="","",COUNTA($B$4:B126))</f>
        <v>123</v>
      </c>
      <c r="B126" s="14" t="s">
        <v>1529</v>
      </c>
      <c r="C126" s="14" t="s">
        <v>193</v>
      </c>
      <c r="D126" s="14" t="s">
        <v>194</v>
      </c>
      <c r="E126" s="14" t="s">
        <v>193</v>
      </c>
      <c r="F126" s="14" t="s">
        <v>150</v>
      </c>
      <c r="G126" s="14" t="s">
        <v>151</v>
      </c>
      <c r="H126" s="14">
        <v>25</v>
      </c>
      <c r="I126" s="14"/>
      <c r="J126" s="14"/>
      <c r="K126" s="15"/>
    </row>
    <row r="127" spans="1:11">
      <c r="A127" s="14">
        <f>IF(B127="","",COUNTA($B$4:B127))</f>
        <v>124</v>
      </c>
      <c r="B127" s="14" t="s">
        <v>1530</v>
      </c>
      <c r="C127" s="14" t="s">
        <v>193</v>
      </c>
      <c r="D127" s="14" t="s">
        <v>194</v>
      </c>
      <c r="E127" s="14" t="s">
        <v>193</v>
      </c>
      <c r="F127" s="14" t="s">
        <v>150</v>
      </c>
      <c r="G127" s="14" t="s">
        <v>151</v>
      </c>
      <c r="H127" s="14">
        <v>25</v>
      </c>
      <c r="I127" s="14"/>
      <c r="J127" s="14"/>
      <c r="K127" s="15"/>
    </row>
    <row r="128" spans="1:11">
      <c r="A128" s="14">
        <f>IF(B128="","",COUNTA($B$4:B128))</f>
        <v>125</v>
      </c>
      <c r="B128" s="14" t="s">
        <v>1531</v>
      </c>
      <c r="C128" s="14" t="s">
        <v>193</v>
      </c>
      <c r="D128" s="14" t="s">
        <v>194</v>
      </c>
      <c r="E128" s="14" t="s">
        <v>193</v>
      </c>
      <c r="F128" s="14" t="s">
        <v>150</v>
      </c>
      <c r="G128" s="14" t="s">
        <v>151</v>
      </c>
      <c r="H128" s="14">
        <v>25</v>
      </c>
      <c r="I128" s="14"/>
      <c r="J128" s="14"/>
      <c r="K128" s="127"/>
    </row>
    <row r="129" spans="1:11">
      <c r="A129" s="14">
        <f>IF(B129="","",COUNTA($B$4:B129))</f>
        <v>126</v>
      </c>
      <c r="B129" s="14" t="s">
        <v>1533</v>
      </c>
      <c r="C129" s="14" t="s">
        <v>193</v>
      </c>
      <c r="D129" s="14" t="s">
        <v>194</v>
      </c>
      <c r="E129" s="14" t="s">
        <v>193</v>
      </c>
      <c r="F129" s="14" t="s">
        <v>150</v>
      </c>
      <c r="G129" s="14" t="s">
        <v>151</v>
      </c>
      <c r="H129" s="14">
        <v>25</v>
      </c>
      <c r="I129" s="14"/>
      <c r="J129" s="14"/>
      <c r="K129" s="127"/>
    </row>
    <row r="130" spans="1:11">
      <c r="A130" s="14">
        <f>IF(B130="","",COUNTA($B$4:B130))</f>
        <v>127</v>
      </c>
      <c r="B130" s="14" t="s">
        <v>1534</v>
      </c>
      <c r="C130" s="14" t="s">
        <v>193</v>
      </c>
      <c r="D130" s="14" t="s">
        <v>194</v>
      </c>
      <c r="E130" s="14" t="s">
        <v>193</v>
      </c>
      <c r="F130" s="14" t="s">
        <v>150</v>
      </c>
      <c r="G130" s="14" t="s">
        <v>151</v>
      </c>
      <c r="H130" s="14">
        <v>25</v>
      </c>
      <c r="I130" s="14"/>
      <c r="J130" s="14"/>
      <c r="K130" s="127"/>
    </row>
    <row r="131" spans="1:11">
      <c r="A131" s="14">
        <f>IF(B131="","",COUNTA($B$4:B131))</f>
        <v>128</v>
      </c>
      <c r="B131" s="14" t="s">
        <v>1538</v>
      </c>
      <c r="C131" s="14" t="s">
        <v>193</v>
      </c>
      <c r="D131" s="14" t="s">
        <v>194</v>
      </c>
      <c r="E131" s="14" t="s">
        <v>193</v>
      </c>
      <c r="F131" s="14" t="s">
        <v>150</v>
      </c>
      <c r="G131" s="14" t="s">
        <v>151</v>
      </c>
      <c r="H131" s="14">
        <v>5</v>
      </c>
      <c r="I131" s="14"/>
      <c r="J131" s="14"/>
      <c r="K131" s="15"/>
    </row>
    <row r="132" spans="1:11">
      <c r="A132" s="14">
        <f>IF(B132="","",COUNTA($B$4:B132))</f>
        <v>129</v>
      </c>
      <c r="B132" s="14" t="s">
        <v>1546</v>
      </c>
      <c r="C132" s="14" t="s">
        <v>193</v>
      </c>
      <c r="D132" s="14" t="s">
        <v>194</v>
      </c>
      <c r="E132" s="14" t="s">
        <v>193</v>
      </c>
      <c r="F132" s="14" t="s">
        <v>150</v>
      </c>
      <c r="G132" s="14" t="s">
        <v>151</v>
      </c>
      <c r="H132" s="14">
        <v>5</v>
      </c>
      <c r="I132" s="14"/>
      <c r="J132" s="14"/>
      <c r="K132" s="15"/>
    </row>
    <row r="133" spans="1:11">
      <c r="A133" s="14">
        <f>IF(B133="","",COUNTA($B$4:B133))</f>
        <v>130</v>
      </c>
      <c r="B133" s="14" t="s">
        <v>1548</v>
      </c>
      <c r="C133" s="14" t="s">
        <v>193</v>
      </c>
      <c r="D133" s="14" t="s">
        <v>194</v>
      </c>
      <c r="E133" s="14" t="s">
        <v>193</v>
      </c>
      <c r="F133" s="14" t="s">
        <v>150</v>
      </c>
      <c r="G133" s="14" t="s">
        <v>151</v>
      </c>
      <c r="H133" s="14">
        <v>5</v>
      </c>
      <c r="I133" s="14"/>
      <c r="J133" s="14"/>
      <c r="K133" s="15"/>
    </row>
    <row r="134" spans="1:11">
      <c r="A134" s="14">
        <f>IF(B134="","",COUNTA($B$4:B134))</f>
        <v>131</v>
      </c>
      <c r="B134" s="14" t="s">
        <v>1550</v>
      </c>
      <c r="C134" s="14" t="s">
        <v>193</v>
      </c>
      <c r="D134" s="14" t="s">
        <v>194</v>
      </c>
      <c r="E134" s="14" t="s">
        <v>193</v>
      </c>
      <c r="F134" s="14" t="s">
        <v>150</v>
      </c>
      <c r="G134" s="14" t="s">
        <v>151</v>
      </c>
      <c r="H134" s="14">
        <v>5</v>
      </c>
      <c r="I134" s="14"/>
      <c r="J134" s="15"/>
      <c r="K134" s="15"/>
    </row>
    <row r="135" spans="1:11">
      <c r="A135" s="14">
        <f>IF(B135="","",COUNTA($B$4:B135))</f>
        <v>132</v>
      </c>
      <c r="B135" s="14" t="s">
        <v>1552</v>
      </c>
      <c r="C135" s="14" t="s">
        <v>193</v>
      </c>
      <c r="D135" s="14" t="s">
        <v>194</v>
      </c>
      <c r="E135" s="14" t="s">
        <v>193</v>
      </c>
      <c r="F135" s="14" t="s">
        <v>150</v>
      </c>
      <c r="G135" s="14" t="s">
        <v>151</v>
      </c>
      <c r="H135" s="14">
        <v>5</v>
      </c>
      <c r="I135" s="14"/>
      <c r="J135" s="15"/>
      <c r="K135" s="15"/>
    </row>
    <row r="136" spans="1:11">
      <c r="A136" s="14">
        <f>IF(B136="","",COUNTA($B$4:B136))</f>
        <v>133</v>
      </c>
      <c r="B136" s="14" t="s">
        <v>1515</v>
      </c>
      <c r="C136" s="14" t="s">
        <v>230</v>
      </c>
      <c r="D136" s="14" t="s">
        <v>231</v>
      </c>
      <c r="E136" s="14" t="s">
        <v>230</v>
      </c>
      <c r="F136" s="14" t="s">
        <v>169</v>
      </c>
      <c r="G136" s="14" t="s">
        <v>170</v>
      </c>
      <c r="H136" s="14"/>
      <c r="I136" s="14"/>
      <c r="J136" s="14"/>
      <c r="K136" s="15"/>
    </row>
    <row r="137" spans="1:11">
      <c r="A137" s="14">
        <f>IF(B137="","",COUNTA($B$4:B137))</f>
        <v>134</v>
      </c>
      <c r="B137" s="14" t="s">
        <v>1528</v>
      </c>
      <c r="C137" s="14" t="s">
        <v>230</v>
      </c>
      <c r="D137" s="14" t="s">
        <v>231</v>
      </c>
      <c r="E137" s="14" t="s">
        <v>230</v>
      </c>
      <c r="F137" s="14" t="s">
        <v>169</v>
      </c>
      <c r="G137" s="14" t="s">
        <v>170</v>
      </c>
      <c r="H137" s="14"/>
      <c r="I137" s="14"/>
      <c r="J137" s="14"/>
      <c r="K137" s="15"/>
    </row>
    <row r="138" spans="1:11">
      <c r="A138" s="14">
        <f>IF(B138="","",COUNTA($B$4:B138))</f>
        <v>135</v>
      </c>
      <c r="B138" s="14" t="s">
        <v>1529</v>
      </c>
      <c r="C138" s="14" t="s">
        <v>230</v>
      </c>
      <c r="D138" s="14" t="s">
        <v>231</v>
      </c>
      <c r="E138" s="14" t="s">
        <v>230</v>
      </c>
      <c r="F138" s="14" t="s">
        <v>169</v>
      </c>
      <c r="G138" s="14" t="s">
        <v>170</v>
      </c>
      <c r="H138" s="14"/>
      <c r="I138" s="14"/>
      <c r="J138" s="14"/>
      <c r="K138" s="15"/>
    </row>
    <row r="139" spans="1:11">
      <c r="A139" s="14">
        <f>IF(B139="","",COUNTA($B$4:B139))</f>
        <v>136</v>
      </c>
      <c r="B139" s="14" t="s">
        <v>1530</v>
      </c>
      <c r="C139" s="14" t="s">
        <v>230</v>
      </c>
      <c r="D139" s="14" t="s">
        <v>231</v>
      </c>
      <c r="E139" s="14" t="s">
        <v>230</v>
      </c>
      <c r="F139" s="14" t="s">
        <v>169</v>
      </c>
      <c r="G139" s="14" t="s">
        <v>170</v>
      </c>
      <c r="H139" s="14"/>
      <c r="I139" s="14"/>
      <c r="J139" s="14"/>
      <c r="K139" s="15"/>
    </row>
    <row r="140" spans="1:11">
      <c r="A140" s="14">
        <f>IF(B140="","",COUNTA($B$4:B140))</f>
        <v>137</v>
      </c>
      <c r="B140" s="14" t="s">
        <v>1531</v>
      </c>
      <c r="C140" s="14" t="s">
        <v>230</v>
      </c>
      <c r="D140" s="14" t="s">
        <v>231</v>
      </c>
      <c r="E140" s="14" t="s">
        <v>230</v>
      </c>
      <c r="F140" s="14" t="s">
        <v>169</v>
      </c>
      <c r="G140" s="14" t="s">
        <v>170</v>
      </c>
      <c r="H140" s="14"/>
      <c r="I140" s="14"/>
      <c r="J140" s="14"/>
      <c r="K140" s="15"/>
    </row>
    <row r="141" spans="1:11">
      <c r="A141" s="14">
        <f>IF(B141="","",COUNTA($B$4:B141))</f>
        <v>138</v>
      </c>
      <c r="B141" s="14" t="s">
        <v>1532</v>
      </c>
      <c r="C141" s="14" t="s">
        <v>230</v>
      </c>
      <c r="D141" s="14" t="s">
        <v>231</v>
      </c>
      <c r="E141" s="14" t="s">
        <v>230</v>
      </c>
      <c r="F141" s="14" t="s">
        <v>169</v>
      </c>
      <c r="G141" s="14" t="s">
        <v>170</v>
      </c>
      <c r="H141" s="14"/>
      <c r="I141" s="14"/>
      <c r="J141" s="14"/>
      <c r="K141" s="15"/>
    </row>
    <row r="142" spans="1:11">
      <c r="A142" s="14">
        <f>IF(B142="","",COUNTA($B$4:B142))</f>
        <v>139</v>
      </c>
      <c r="B142" s="14" t="s">
        <v>1533</v>
      </c>
      <c r="C142" s="14" t="s">
        <v>230</v>
      </c>
      <c r="D142" s="14" t="s">
        <v>231</v>
      </c>
      <c r="E142" s="14" t="s">
        <v>230</v>
      </c>
      <c r="F142" s="14" t="s">
        <v>169</v>
      </c>
      <c r="G142" s="14" t="s">
        <v>170</v>
      </c>
      <c r="H142" s="14"/>
      <c r="I142" s="14"/>
      <c r="J142" s="14"/>
      <c r="K142" s="127"/>
    </row>
    <row r="143" spans="1:11">
      <c r="A143" s="14">
        <f>IF(B143="","",COUNTA($B$4:B143))</f>
        <v>140</v>
      </c>
      <c r="B143" s="14" t="s">
        <v>1515</v>
      </c>
      <c r="C143" s="14" t="s">
        <v>233</v>
      </c>
      <c r="D143" s="14" t="s">
        <v>234</v>
      </c>
      <c r="E143" s="14" t="s">
        <v>233</v>
      </c>
      <c r="F143" s="14" t="s">
        <v>155</v>
      </c>
      <c r="G143" s="14" t="s">
        <v>156</v>
      </c>
      <c r="H143" s="14">
        <v>1</v>
      </c>
      <c r="I143" s="14"/>
      <c r="J143" s="14"/>
      <c r="K143" s="15"/>
    </row>
    <row r="144" spans="1:11">
      <c r="A144" s="14">
        <f>IF(B144="","",COUNTA($B$4:B144))</f>
        <v>141</v>
      </c>
      <c r="B144" s="14" t="s">
        <v>1528</v>
      </c>
      <c r="C144" s="14" t="s">
        <v>233</v>
      </c>
      <c r="D144" s="14" t="s">
        <v>234</v>
      </c>
      <c r="E144" s="14" t="s">
        <v>233</v>
      </c>
      <c r="F144" s="14" t="s">
        <v>155</v>
      </c>
      <c r="G144" s="14" t="s">
        <v>156</v>
      </c>
      <c r="H144" s="14">
        <v>1</v>
      </c>
      <c r="I144" s="14"/>
      <c r="J144" s="14"/>
      <c r="K144" s="15"/>
    </row>
    <row r="145" spans="1:11">
      <c r="A145" s="14">
        <f>IF(B145="","",COUNTA($B$4:B145))</f>
        <v>142</v>
      </c>
      <c r="B145" s="14" t="s">
        <v>1529</v>
      </c>
      <c r="C145" s="14" t="s">
        <v>233</v>
      </c>
      <c r="D145" s="14" t="s">
        <v>234</v>
      </c>
      <c r="E145" s="14" t="s">
        <v>233</v>
      </c>
      <c r="F145" s="14" t="s">
        <v>155</v>
      </c>
      <c r="G145" s="14" t="s">
        <v>156</v>
      </c>
      <c r="H145" s="14">
        <v>1</v>
      </c>
      <c r="I145" s="14"/>
      <c r="J145" s="14"/>
      <c r="K145" s="15"/>
    </row>
    <row r="146" spans="1:11">
      <c r="A146" s="14">
        <f>IF(B146="","",COUNTA($B$4:B146))</f>
        <v>143</v>
      </c>
      <c r="B146" s="14" t="s">
        <v>1530</v>
      </c>
      <c r="C146" s="14" t="s">
        <v>233</v>
      </c>
      <c r="D146" s="14" t="s">
        <v>234</v>
      </c>
      <c r="E146" s="14" t="s">
        <v>233</v>
      </c>
      <c r="F146" s="14" t="s">
        <v>155</v>
      </c>
      <c r="G146" s="14" t="s">
        <v>156</v>
      </c>
      <c r="H146" s="14">
        <v>1</v>
      </c>
      <c r="I146" s="14"/>
      <c r="J146" s="14"/>
      <c r="K146" s="127"/>
    </row>
    <row r="147" spans="1:11">
      <c r="A147" s="14">
        <f>IF(B147="","",COUNTA($B$4:B147))</f>
        <v>144</v>
      </c>
      <c r="B147" s="14" t="s">
        <v>1531</v>
      </c>
      <c r="C147" s="14" t="s">
        <v>233</v>
      </c>
      <c r="D147" s="14" t="s">
        <v>234</v>
      </c>
      <c r="E147" s="14" t="s">
        <v>233</v>
      </c>
      <c r="F147" s="14" t="s">
        <v>155</v>
      </c>
      <c r="G147" s="14" t="s">
        <v>156</v>
      </c>
      <c r="H147" s="14">
        <v>1</v>
      </c>
      <c r="I147" s="14"/>
      <c r="J147" s="14"/>
      <c r="K147" s="15"/>
    </row>
    <row r="148" spans="1:11">
      <c r="A148" s="14">
        <f>IF(B148="","",COUNTA($B$4:B148))</f>
        <v>145</v>
      </c>
      <c r="B148" s="14" t="s">
        <v>1532</v>
      </c>
      <c r="C148" s="14" t="s">
        <v>233</v>
      </c>
      <c r="D148" s="14" t="s">
        <v>234</v>
      </c>
      <c r="E148" s="14" t="s">
        <v>233</v>
      </c>
      <c r="F148" s="14" t="s">
        <v>155</v>
      </c>
      <c r="G148" s="14" t="s">
        <v>156</v>
      </c>
      <c r="H148" s="14">
        <v>1</v>
      </c>
      <c r="I148" s="14"/>
      <c r="J148" s="14"/>
      <c r="K148" s="127"/>
    </row>
    <row r="149" spans="1:11">
      <c r="A149" s="14">
        <f>IF(B149="","",COUNTA($B$4:B149))</f>
        <v>146</v>
      </c>
      <c r="B149" s="14" t="s">
        <v>1533</v>
      </c>
      <c r="C149" s="14" t="s">
        <v>233</v>
      </c>
      <c r="D149" s="14" t="s">
        <v>234</v>
      </c>
      <c r="E149" s="14" t="s">
        <v>233</v>
      </c>
      <c r="F149" s="14" t="s">
        <v>155</v>
      </c>
      <c r="G149" s="14" t="s">
        <v>156</v>
      </c>
      <c r="H149" s="14">
        <v>1</v>
      </c>
      <c r="I149" s="14"/>
      <c r="J149" s="14"/>
      <c r="K149" s="15"/>
    </row>
    <row r="150" spans="1:11">
      <c r="A150" s="14">
        <f>IF(B150="","",COUNTA($B$4:B150))</f>
        <v>147</v>
      </c>
      <c r="B150" s="14" t="s">
        <v>1515</v>
      </c>
      <c r="C150" s="14" t="s">
        <v>159</v>
      </c>
      <c r="D150" s="14" t="s">
        <v>160</v>
      </c>
      <c r="E150" s="14" t="s">
        <v>159</v>
      </c>
      <c r="F150" s="14" t="s">
        <v>150</v>
      </c>
      <c r="G150" s="14" t="s">
        <v>151</v>
      </c>
      <c r="H150" s="14">
        <v>4</v>
      </c>
      <c r="I150" s="14"/>
      <c r="J150" s="14"/>
      <c r="K150" s="15"/>
    </row>
    <row r="151" spans="1:11">
      <c r="A151" s="14">
        <f>IF(B151="","",COUNTA($B$4:B151))</f>
        <v>148</v>
      </c>
      <c r="B151" s="14" t="s">
        <v>1528</v>
      </c>
      <c r="C151" s="14" t="s">
        <v>159</v>
      </c>
      <c r="D151" s="14" t="s">
        <v>160</v>
      </c>
      <c r="E151" s="14" t="s">
        <v>159</v>
      </c>
      <c r="F151" s="14" t="s">
        <v>150</v>
      </c>
      <c r="G151" s="14" t="s">
        <v>151</v>
      </c>
      <c r="H151" s="14">
        <v>4</v>
      </c>
      <c r="I151" s="14"/>
      <c r="J151" s="14"/>
      <c r="K151" s="15"/>
    </row>
    <row r="152" spans="1:11">
      <c r="A152" s="14">
        <f>IF(B152="","",COUNTA($B$4:B152))</f>
        <v>149</v>
      </c>
      <c r="B152" s="14" t="s">
        <v>1529</v>
      </c>
      <c r="C152" s="14" t="s">
        <v>159</v>
      </c>
      <c r="D152" s="14" t="s">
        <v>160</v>
      </c>
      <c r="E152" s="14" t="s">
        <v>159</v>
      </c>
      <c r="F152" s="14" t="s">
        <v>150</v>
      </c>
      <c r="G152" s="14" t="s">
        <v>151</v>
      </c>
      <c r="H152" s="14">
        <v>4</v>
      </c>
      <c r="I152" s="14"/>
      <c r="J152" s="14"/>
      <c r="K152" s="127"/>
    </row>
    <row r="153" spans="1:11">
      <c r="A153" s="14">
        <f>IF(B153="","",COUNTA($B$4:B153))</f>
        <v>150</v>
      </c>
      <c r="B153" s="14" t="s">
        <v>1530</v>
      </c>
      <c r="C153" s="14" t="s">
        <v>159</v>
      </c>
      <c r="D153" s="14" t="s">
        <v>160</v>
      </c>
      <c r="E153" s="14" t="s">
        <v>159</v>
      </c>
      <c r="F153" s="14" t="s">
        <v>150</v>
      </c>
      <c r="G153" s="14" t="s">
        <v>151</v>
      </c>
      <c r="H153" s="14">
        <v>4</v>
      </c>
      <c r="I153" s="14"/>
      <c r="J153" s="14"/>
      <c r="K153" s="15"/>
    </row>
    <row r="154" spans="1:11">
      <c r="A154" s="14">
        <f>IF(B154="","",COUNTA($B$4:B154))</f>
        <v>151</v>
      </c>
      <c r="B154" s="14" t="s">
        <v>1531</v>
      </c>
      <c r="C154" s="14" t="s">
        <v>159</v>
      </c>
      <c r="D154" s="14" t="s">
        <v>160</v>
      </c>
      <c r="E154" s="14" t="s">
        <v>159</v>
      </c>
      <c r="F154" s="14" t="s">
        <v>150</v>
      </c>
      <c r="G154" s="14" t="s">
        <v>151</v>
      </c>
      <c r="H154" s="14">
        <v>4</v>
      </c>
      <c r="I154" s="14"/>
      <c r="J154" s="14"/>
      <c r="K154" s="127"/>
    </row>
    <row r="155" spans="1:11">
      <c r="A155" s="14">
        <f>IF(B155="","",COUNTA($B$4:B155))</f>
        <v>152</v>
      </c>
      <c r="B155" s="14" t="s">
        <v>1532</v>
      </c>
      <c r="C155" s="14" t="s">
        <v>159</v>
      </c>
      <c r="D155" s="14" t="s">
        <v>160</v>
      </c>
      <c r="E155" s="14" t="s">
        <v>159</v>
      </c>
      <c r="F155" s="14" t="s">
        <v>150</v>
      </c>
      <c r="G155" s="14" t="s">
        <v>151</v>
      </c>
      <c r="H155" s="14">
        <v>4</v>
      </c>
      <c r="I155" s="14"/>
      <c r="J155" s="14"/>
      <c r="K155" s="127"/>
    </row>
    <row r="156" spans="1:11">
      <c r="A156" s="14">
        <f>IF(B156="","",COUNTA($B$4:B156))</f>
        <v>153</v>
      </c>
      <c r="B156" s="14" t="s">
        <v>1533</v>
      </c>
      <c r="C156" s="14" t="s">
        <v>159</v>
      </c>
      <c r="D156" s="14" t="s">
        <v>160</v>
      </c>
      <c r="E156" s="14" t="s">
        <v>159</v>
      </c>
      <c r="F156" s="14" t="s">
        <v>150</v>
      </c>
      <c r="G156" s="14" t="s">
        <v>151</v>
      </c>
      <c r="H156" s="14">
        <v>4</v>
      </c>
      <c r="I156" s="14"/>
      <c r="J156" s="14"/>
      <c r="K156" s="15"/>
    </row>
    <row r="157" spans="1:11">
      <c r="A157" s="14">
        <f>IF(B157="","",COUNTA($B$4:B157))</f>
        <v>154</v>
      </c>
      <c r="B157" s="14" t="s">
        <v>1534</v>
      </c>
      <c r="C157" s="14" t="s">
        <v>159</v>
      </c>
      <c r="D157" s="14" t="s">
        <v>160</v>
      </c>
      <c r="E157" s="14" t="s">
        <v>159</v>
      </c>
      <c r="F157" s="14" t="s">
        <v>150</v>
      </c>
      <c r="G157" s="14" t="s">
        <v>151</v>
      </c>
      <c r="H157" s="14">
        <v>4</v>
      </c>
      <c r="I157" s="14"/>
      <c r="J157" s="14"/>
      <c r="K157" s="15"/>
    </row>
    <row r="158" spans="1:11">
      <c r="A158" s="14">
        <f>IF(B158="","",COUNTA($B$4:B158))</f>
        <v>155</v>
      </c>
      <c r="B158" s="14" t="s">
        <v>1538</v>
      </c>
      <c r="C158" s="14" t="s">
        <v>159</v>
      </c>
      <c r="D158" s="14" t="s">
        <v>160</v>
      </c>
      <c r="E158" s="14" t="s">
        <v>159</v>
      </c>
      <c r="F158" s="14" t="s">
        <v>150</v>
      </c>
      <c r="G158" s="14" t="s">
        <v>151</v>
      </c>
      <c r="H158" s="14">
        <v>4</v>
      </c>
      <c r="I158" s="14"/>
      <c r="J158" s="14"/>
      <c r="K158" s="15"/>
    </row>
    <row r="159" spans="1:11">
      <c r="A159" s="14">
        <f>IF(B159="","",COUNTA($B$4:B159))</f>
        <v>156</v>
      </c>
      <c r="B159" s="14" t="s">
        <v>1546</v>
      </c>
      <c r="C159" s="14" t="s">
        <v>159</v>
      </c>
      <c r="D159" s="14" t="s">
        <v>160</v>
      </c>
      <c r="E159" s="14" t="s">
        <v>159</v>
      </c>
      <c r="F159" s="14" t="s">
        <v>150</v>
      </c>
      <c r="G159" s="14" t="s">
        <v>151</v>
      </c>
      <c r="H159" s="14">
        <v>4</v>
      </c>
      <c r="I159" s="14"/>
      <c r="J159" s="14"/>
      <c r="K159" s="127"/>
    </row>
    <row r="160" spans="1:11">
      <c r="A160" s="14">
        <f>IF(B160="","",COUNTA($B$4:B160))</f>
        <v>157</v>
      </c>
      <c r="B160" s="14" t="s">
        <v>1548</v>
      </c>
      <c r="C160" s="14" t="s">
        <v>159</v>
      </c>
      <c r="D160" s="14" t="s">
        <v>160</v>
      </c>
      <c r="E160" s="14" t="s">
        <v>159</v>
      </c>
      <c r="F160" s="14" t="s">
        <v>150</v>
      </c>
      <c r="G160" s="14" t="s">
        <v>151</v>
      </c>
      <c r="H160" s="14">
        <v>4</v>
      </c>
      <c r="I160" s="14"/>
      <c r="J160" s="14"/>
      <c r="K160" s="15"/>
    </row>
    <row r="161" spans="1:11">
      <c r="A161" s="14">
        <f>IF(B161="","",COUNTA($B$4:B161))</f>
        <v>158</v>
      </c>
      <c r="B161" s="14" t="s">
        <v>1550</v>
      </c>
      <c r="C161" s="14" t="s">
        <v>159</v>
      </c>
      <c r="D161" s="14" t="s">
        <v>160</v>
      </c>
      <c r="E161" s="14" t="s">
        <v>159</v>
      </c>
      <c r="F161" s="14" t="s">
        <v>150</v>
      </c>
      <c r="G161" s="14" t="s">
        <v>151</v>
      </c>
      <c r="H161" s="14">
        <v>4</v>
      </c>
      <c r="I161" s="14"/>
      <c r="J161" s="14"/>
      <c r="K161" s="15"/>
    </row>
    <row r="162" spans="1:11">
      <c r="A162" s="14">
        <f>IF(B162="","",COUNTA($B$4:B162))</f>
        <v>159</v>
      </c>
      <c r="B162" s="14" t="s">
        <v>1552</v>
      </c>
      <c r="C162" s="14" t="s">
        <v>159</v>
      </c>
      <c r="D162" s="14" t="s">
        <v>160</v>
      </c>
      <c r="E162" s="14" t="s">
        <v>159</v>
      </c>
      <c r="F162" s="14" t="s">
        <v>150</v>
      </c>
      <c r="G162" s="14" t="s">
        <v>151</v>
      </c>
      <c r="H162" s="14">
        <v>4</v>
      </c>
      <c r="I162" s="14"/>
      <c r="J162" s="15"/>
      <c r="K162" s="15"/>
    </row>
    <row r="163" spans="1:11">
      <c r="A163" s="14">
        <f>IF(B163="","",COUNTA($B$4:B163))</f>
        <v>160</v>
      </c>
      <c r="B163" s="14" t="s">
        <v>1553</v>
      </c>
      <c r="C163" s="14" t="s">
        <v>159</v>
      </c>
      <c r="D163" s="14" t="s">
        <v>160</v>
      </c>
      <c r="E163" s="14" t="s">
        <v>159</v>
      </c>
      <c r="F163" s="14" t="s">
        <v>150</v>
      </c>
      <c r="G163" s="14" t="s">
        <v>151</v>
      </c>
      <c r="H163" s="14">
        <v>4</v>
      </c>
      <c r="I163" s="14"/>
      <c r="J163" s="15"/>
      <c r="K163" s="15"/>
    </row>
    <row r="164" spans="1:11">
      <c r="A164" s="14">
        <f>IF(B164="","",COUNTA($B$4:B164))</f>
        <v>161</v>
      </c>
      <c r="B164" s="14" t="s">
        <v>1554</v>
      </c>
      <c r="C164" s="14" t="s">
        <v>159</v>
      </c>
      <c r="D164" s="14" t="s">
        <v>160</v>
      </c>
      <c r="E164" s="14" t="s">
        <v>159</v>
      </c>
      <c r="F164" s="14" t="s">
        <v>150</v>
      </c>
      <c r="G164" s="14" t="s">
        <v>151</v>
      </c>
      <c r="H164" s="14">
        <v>4</v>
      </c>
      <c r="I164" s="14"/>
      <c r="J164" s="15"/>
      <c r="K164" s="127"/>
    </row>
    <row r="165" spans="1:11">
      <c r="A165" s="14">
        <f>IF(B165="","",COUNTA($B$4:B165))</f>
        <v>162</v>
      </c>
      <c r="B165" s="14" t="s">
        <v>1555</v>
      </c>
      <c r="C165" s="14" t="s">
        <v>159</v>
      </c>
      <c r="D165" s="14" t="s">
        <v>160</v>
      </c>
      <c r="E165" s="14" t="s">
        <v>159</v>
      </c>
      <c r="F165" s="14" t="s">
        <v>150</v>
      </c>
      <c r="G165" s="14" t="s">
        <v>151</v>
      </c>
      <c r="H165" s="14">
        <v>4</v>
      </c>
      <c r="I165" s="14"/>
      <c r="J165" s="15"/>
      <c r="K165" s="15"/>
    </row>
    <row r="166" spans="1:11">
      <c r="A166" s="14">
        <f>IF(B166="","",COUNTA($B$4:B166))</f>
        <v>163</v>
      </c>
      <c r="B166" s="14" t="s">
        <v>1515</v>
      </c>
      <c r="C166" s="14" t="s">
        <v>259</v>
      </c>
      <c r="D166" s="14" t="s">
        <v>260</v>
      </c>
      <c r="E166" s="14" t="s">
        <v>259</v>
      </c>
      <c r="F166" s="14" t="s">
        <v>150</v>
      </c>
      <c r="G166" s="14" t="s">
        <v>151</v>
      </c>
      <c r="H166" s="14">
        <v>10</v>
      </c>
      <c r="I166" s="14"/>
      <c r="J166" s="14"/>
      <c r="K166" s="15"/>
    </row>
    <row r="167" spans="1:11">
      <c r="A167" s="14">
        <f>IF(B167="","",COUNTA($B$4:B167))</f>
        <v>164</v>
      </c>
      <c r="B167" s="14" t="s">
        <v>1528</v>
      </c>
      <c r="C167" s="14" t="s">
        <v>259</v>
      </c>
      <c r="D167" s="14" t="s">
        <v>260</v>
      </c>
      <c r="E167" s="14" t="s">
        <v>259</v>
      </c>
      <c r="F167" s="14" t="s">
        <v>150</v>
      </c>
      <c r="G167" s="14" t="s">
        <v>151</v>
      </c>
      <c r="H167" s="14">
        <v>10</v>
      </c>
      <c r="I167" s="14"/>
      <c r="J167" s="14"/>
      <c r="K167" s="15"/>
    </row>
    <row r="168" spans="1:11">
      <c r="A168" s="14">
        <f>IF(B168="","",COUNTA($B$4:B168))</f>
        <v>165</v>
      </c>
      <c r="B168" s="14" t="s">
        <v>1529</v>
      </c>
      <c r="C168" s="14" t="s">
        <v>259</v>
      </c>
      <c r="D168" s="14" t="s">
        <v>260</v>
      </c>
      <c r="E168" s="14" t="s">
        <v>259</v>
      </c>
      <c r="F168" s="14" t="s">
        <v>150</v>
      </c>
      <c r="G168" s="14" t="s">
        <v>151</v>
      </c>
      <c r="H168" s="14">
        <v>10</v>
      </c>
      <c r="I168" s="14"/>
      <c r="J168" s="14"/>
      <c r="K168" s="15"/>
    </row>
    <row r="169" spans="1:11">
      <c r="A169" s="14">
        <f>IF(B169="","",COUNTA($B$4:B169))</f>
        <v>166</v>
      </c>
      <c r="B169" s="14" t="s">
        <v>1530</v>
      </c>
      <c r="C169" s="14" t="s">
        <v>259</v>
      </c>
      <c r="D169" s="14" t="s">
        <v>260</v>
      </c>
      <c r="E169" s="14" t="s">
        <v>259</v>
      </c>
      <c r="F169" s="14" t="s">
        <v>150</v>
      </c>
      <c r="G169" s="14" t="s">
        <v>151</v>
      </c>
      <c r="H169" s="14">
        <v>10</v>
      </c>
      <c r="I169" s="14"/>
      <c r="J169" s="14"/>
      <c r="K169" s="127"/>
    </row>
    <row r="170" spans="1:11">
      <c r="A170" s="14">
        <f>IF(B170="","",COUNTA($B$4:B170))</f>
        <v>167</v>
      </c>
      <c r="B170" s="14" t="s">
        <v>1531</v>
      </c>
      <c r="C170" s="14" t="s">
        <v>259</v>
      </c>
      <c r="D170" s="14" t="s">
        <v>260</v>
      </c>
      <c r="E170" s="14" t="s">
        <v>259</v>
      </c>
      <c r="F170" s="14" t="s">
        <v>150</v>
      </c>
      <c r="G170" s="14" t="s">
        <v>151</v>
      </c>
      <c r="H170" s="14">
        <v>10</v>
      </c>
      <c r="I170" s="14"/>
      <c r="J170" s="14"/>
      <c r="K170" s="15"/>
    </row>
    <row r="171" spans="1:11">
      <c r="A171" s="14">
        <f>IF(B171="","",COUNTA($B$4:B171))</f>
        <v>168</v>
      </c>
      <c r="B171" s="14" t="s">
        <v>1532</v>
      </c>
      <c r="C171" s="14" t="s">
        <v>259</v>
      </c>
      <c r="D171" s="14" t="s">
        <v>260</v>
      </c>
      <c r="E171" s="14" t="s">
        <v>259</v>
      </c>
      <c r="F171" s="14" t="s">
        <v>150</v>
      </c>
      <c r="G171" s="14" t="s">
        <v>151</v>
      </c>
      <c r="H171" s="14">
        <v>10</v>
      </c>
      <c r="I171" s="14"/>
      <c r="J171" s="14"/>
      <c r="K171" s="15"/>
    </row>
    <row r="172" spans="1:11">
      <c r="A172" s="14">
        <f>IF(B172="","",COUNTA($B$4:B172))</f>
        <v>169</v>
      </c>
      <c r="B172" s="14" t="s">
        <v>1533</v>
      </c>
      <c r="C172" s="14" t="s">
        <v>259</v>
      </c>
      <c r="D172" s="14" t="s">
        <v>260</v>
      </c>
      <c r="E172" s="14" t="s">
        <v>259</v>
      </c>
      <c r="F172" s="14" t="s">
        <v>150</v>
      </c>
      <c r="G172" s="14" t="s">
        <v>151</v>
      </c>
      <c r="H172" s="14">
        <v>10</v>
      </c>
      <c r="I172" s="14"/>
      <c r="J172" s="14"/>
      <c r="K172" s="127"/>
    </row>
    <row r="173" spans="1:11">
      <c r="A173" s="14">
        <f>IF(B173="","",COUNTA($B$4:B173))</f>
        <v>170</v>
      </c>
      <c r="B173" s="14" t="s">
        <v>1534</v>
      </c>
      <c r="C173" s="14" t="s">
        <v>259</v>
      </c>
      <c r="D173" s="14" t="s">
        <v>260</v>
      </c>
      <c r="E173" s="14" t="s">
        <v>259</v>
      </c>
      <c r="F173" s="14" t="s">
        <v>150</v>
      </c>
      <c r="G173" s="14" t="s">
        <v>151</v>
      </c>
      <c r="H173" s="14">
        <v>10</v>
      </c>
      <c r="I173" s="14"/>
      <c r="J173" s="14"/>
      <c r="K173" s="127"/>
    </row>
    <row r="174" spans="1:11">
      <c r="A174" s="14">
        <f>IF(B174="","",COUNTA($B$4:B174))</f>
        <v>171</v>
      </c>
      <c r="B174" s="14" t="s">
        <v>1538</v>
      </c>
      <c r="C174" s="14" t="s">
        <v>259</v>
      </c>
      <c r="D174" s="14" t="s">
        <v>260</v>
      </c>
      <c r="E174" s="14" t="s">
        <v>259</v>
      </c>
      <c r="F174" s="14" t="s">
        <v>150</v>
      </c>
      <c r="G174" s="14" t="s">
        <v>151</v>
      </c>
      <c r="H174" s="14">
        <v>10</v>
      </c>
      <c r="I174" s="14"/>
      <c r="J174" s="14"/>
      <c r="K174" s="15"/>
    </row>
    <row r="175" spans="1:11">
      <c r="A175" s="14">
        <f>IF(B175="","",COUNTA($B$4:B175))</f>
        <v>172</v>
      </c>
      <c r="B175" s="14" t="s">
        <v>1545</v>
      </c>
      <c r="C175" s="14" t="s">
        <v>259</v>
      </c>
      <c r="D175" s="14" t="s">
        <v>260</v>
      </c>
      <c r="E175" s="14" t="s">
        <v>259</v>
      </c>
      <c r="F175" s="14" t="s">
        <v>150</v>
      </c>
      <c r="G175" s="14" t="s">
        <v>151</v>
      </c>
      <c r="H175" s="14">
        <v>10</v>
      </c>
      <c r="I175" s="14" t="s">
        <v>244</v>
      </c>
      <c r="J175" s="14"/>
      <c r="K175" s="127"/>
    </row>
    <row r="176" spans="1:11">
      <c r="A176" s="14">
        <f>IF(B176="","",COUNTA($B$4:B176))</f>
        <v>173</v>
      </c>
      <c r="B176" s="14" t="s">
        <v>1546</v>
      </c>
      <c r="C176" s="14" t="s">
        <v>259</v>
      </c>
      <c r="D176" s="14" t="s">
        <v>260</v>
      </c>
      <c r="E176" s="14" t="s">
        <v>259</v>
      </c>
      <c r="F176" s="14" t="s">
        <v>150</v>
      </c>
      <c r="G176" s="14" t="s">
        <v>151</v>
      </c>
      <c r="H176" s="14">
        <v>10</v>
      </c>
      <c r="I176" s="14"/>
      <c r="J176" s="14"/>
      <c r="K176" s="15"/>
    </row>
    <row r="177" spans="1:11">
      <c r="A177" s="14">
        <f>IF(B177="","",COUNTA($B$4:B177))</f>
        <v>174</v>
      </c>
      <c r="B177" s="14" t="s">
        <v>1547</v>
      </c>
      <c r="C177" s="14" t="s">
        <v>259</v>
      </c>
      <c r="D177" s="14" t="s">
        <v>260</v>
      </c>
      <c r="E177" s="14" t="s">
        <v>259</v>
      </c>
      <c r="F177" s="14" t="s">
        <v>150</v>
      </c>
      <c r="G177" s="14" t="s">
        <v>151</v>
      </c>
      <c r="H177" s="14">
        <v>10</v>
      </c>
      <c r="I177" s="14"/>
      <c r="J177" s="14"/>
      <c r="K177" s="127"/>
    </row>
    <row r="178" spans="1:11">
      <c r="A178" s="14">
        <f>IF(B178="","",COUNTA($B$4:B178))</f>
        <v>175</v>
      </c>
      <c r="B178" s="14" t="s">
        <v>1548</v>
      </c>
      <c r="C178" s="14" t="s">
        <v>259</v>
      </c>
      <c r="D178" s="14" t="s">
        <v>260</v>
      </c>
      <c r="E178" s="14" t="s">
        <v>259</v>
      </c>
      <c r="F178" s="14" t="s">
        <v>150</v>
      </c>
      <c r="G178" s="14" t="s">
        <v>151</v>
      </c>
      <c r="H178" s="14">
        <v>10</v>
      </c>
      <c r="I178" s="14"/>
      <c r="J178" s="14"/>
      <c r="K178" s="15"/>
    </row>
    <row r="179" spans="1:11">
      <c r="A179" s="14">
        <f>IF(B179="","",COUNTA($B$4:B179))</f>
        <v>176</v>
      </c>
      <c r="B179" s="14" t="s">
        <v>1549</v>
      </c>
      <c r="C179" s="14" t="s">
        <v>259</v>
      </c>
      <c r="D179" s="14" t="s">
        <v>260</v>
      </c>
      <c r="E179" s="14" t="s">
        <v>259</v>
      </c>
      <c r="F179" s="14" t="s">
        <v>150</v>
      </c>
      <c r="G179" s="14" t="s">
        <v>151</v>
      </c>
      <c r="H179" s="14">
        <v>10</v>
      </c>
      <c r="I179" s="14"/>
      <c r="J179" s="14"/>
      <c r="K179" s="15"/>
    </row>
    <row r="180" spans="1:11">
      <c r="A180" s="14">
        <f>IF(B180="","",COUNTA($B$4:B180))</f>
        <v>177</v>
      </c>
      <c r="B180" s="14" t="s">
        <v>1550</v>
      </c>
      <c r="C180" s="14" t="s">
        <v>259</v>
      </c>
      <c r="D180" s="14" t="s">
        <v>260</v>
      </c>
      <c r="E180" s="14" t="s">
        <v>259</v>
      </c>
      <c r="F180" s="14" t="s">
        <v>150</v>
      </c>
      <c r="G180" s="14" t="s">
        <v>151</v>
      </c>
      <c r="H180" s="14">
        <v>10</v>
      </c>
      <c r="I180" s="14"/>
      <c r="J180" s="15"/>
      <c r="K180" s="127"/>
    </row>
    <row r="181" spans="1:11">
      <c r="A181" s="14">
        <f>IF(B181="","",COUNTA($B$4:B181))</f>
        <v>178</v>
      </c>
      <c r="B181" s="14" t="s">
        <v>1551</v>
      </c>
      <c r="C181" s="14" t="s">
        <v>259</v>
      </c>
      <c r="D181" s="14" t="s">
        <v>260</v>
      </c>
      <c r="E181" s="14" t="s">
        <v>259</v>
      </c>
      <c r="F181" s="14" t="s">
        <v>150</v>
      </c>
      <c r="G181" s="14" t="s">
        <v>151</v>
      </c>
      <c r="H181" s="14">
        <v>10</v>
      </c>
      <c r="I181" s="14"/>
      <c r="J181" s="15"/>
      <c r="K181" s="15"/>
    </row>
    <row r="182" spans="1:11">
      <c r="A182" s="14">
        <f>IF(B182="","",COUNTA($B$4:B182))</f>
        <v>179</v>
      </c>
      <c r="B182" s="14" t="s">
        <v>1552</v>
      </c>
      <c r="C182" s="14" t="s">
        <v>259</v>
      </c>
      <c r="D182" s="14" t="s">
        <v>260</v>
      </c>
      <c r="E182" s="14" t="s">
        <v>259</v>
      </c>
      <c r="F182" s="14" t="s">
        <v>150</v>
      </c>
      <c r="G182" s="14" t="s">
        <v>151</v>
      </c>
      <c r="H182" s="14">
        <v>10</v>
      </c>
      <c r="I182" s="14"/>
      <c r="J182" s="15"/>
      <c r="K182" s="15"/>
    </row>
    <row r="183" spans="1:11">
      <c r="A183" s="14">
        <f>IF(B183="","",COUNTA($B$4:B183))</f>
        <v>180</v>
      </c>
      <c r="B183" s="14" t="s">
        <v>1553</v>
      </c>
      <c r="C183" s="14" t="s">
        <v>259</v>
      </c>
      <c r="D183" s="14" t="s">
        <v>260</v>
      </c>
      <c r="E183" s="14" t="s">
        <v>259</v>
      </c>
      <c r="F183" s="14" t="s">
        <v>150</v>
      </c>
      <c r="G183" s="14" t="s">
        <v>151</v>
      </c>
      <c r="H183" s="14">
        <v>10</v>
      </c>
      <c r="I183" s="14"/>
      <c r="J183" s="15"/>
      <c r="K183" s="15"/>
    </row>
    <row r="184" spans="1:11">
      <c r="A184" s="14">
        <f>IF(B184="","",COUNTA($B$4:B184))</f>
        <v>181</v>
      </c>
      <c r="B184" s="14" t="s">
        <v>1554</v>
      </c>
      <c r="C184" s="14" t="s">
        <v>259</v>
      </c>
      <c r="D184" s="14" t="s">
        <v>260</v>
      </c>
      <c r="E184" s="14" t="s">
        <v>259</v>
      </c>
      <c r="F184" s="14" t="s">
        <v>150</v>
      </c>
      <c r="G184" s="14" t="s">
        <v>151</v>
      </c>
      <c r="H184" s="14">
        <v>10</v>
      </c>
      <c r="I184" s="14"/>
      <c r="J184" s="15"/>
      <c r="K184" s="127"/>
    </row>
    <row r="185" spans="1:11">
      <c r="A185" s="14">
        <f>IF(B185="","",COUNTA($B$4:B185))</f>
        <v>182</v>
      </c>
      <c r="B185" s="14" t="s">
        <v>1515</v>
      </c>
      <c r="C185" s="14" t="s">
        <v>261</v>
      </c>
      <c r="D185" s="14" t="s">
        <v>262</v>
      </c>
      <c r="E185" s="14" t="s">
        <v>261</v>
      </c>
      <c r="F185" s="14" t="s">
        <v>150</v>
      </c>
      <c r="G185" s="14" t="s">
        <v>151</v>
      </c>
      <c r="H185" s="14">
        <v>10</v>
      </c>
      <c r="I185" s="14"/>
      <c r="J185" s="14"/>
      <c r="K185" s="15"/>
    </row>
    <row r="186" spans="1:11">
      <c r="A186" s="14">
        <f>IF(B186="","",COUNTA($B$4:B186))</f>
        <v>183</v>
      </c>
      <c r="B186" s="14" t="s">
        <v>1528</v>
      </c>
      <c r="C186" s="14" t="s">
        <v>261</v>
      </c>
      <c r="D186" s="14" t="s">
        <v>262</v>
      </c>
      <c r="E186" s="14" t="s">
        <v>261</v>
      </c>
      <c r="F186" s="14" t="s">
        <v>150</v>
      </c>
      <c r="G186" s="14" t="s">
        <v>151</v>
      </c>
      <c r="H186" s="14">
        <v>10</v>
      </c>
      <c r="I186" s="14"/>
      <c r="J186" s="14"/>
      <c r="K186" s="15"/>
    </row>
    <row r="187" spans="1:11">
      <c r="A187" s="14">
        <f>IF(B187="","",COUNTA($B$4:B187))</f>
        <v>184</v>
      </c>
      <c r="B187" s="14" t="s">
        <v>1529</v>
      </c>
      <c r="C187" s="14" t="s">
        <v>261</v>
      </c>
      <c r="D187" s="14" t="s">
        <v>262</v>
      </c>
      <c r="E187" s="14" t="s">
        <v>261</v>
      </c>
      <c r="F187" s="14" t="s">
        <v>150</v>
      </c>
      <c r="G187" s="14" t="s">
        <v>151</v>
      </c>
      <c r="H187" s="14">
        <v>10</v>
      </c>
      <c r="I187" s="14"/>
      <c r="J187" s="14"/>
      <c r="K187" s="15"/>
    </row>
    <row r="188" spans="1:11">
      <c r="A188" s="14">
        <f>IF(B188="","",COUNTA($B$4:B188))</f>
        <v>185</v>
      </c>
      <c r="B188" s="14" t="s">
        <v>1530</v>
      </c>
      <c r="C188" s="14" t="s">
        <v>261</v>
      </c>
      <c r="D188" s="14" t="s">
        <v>262</v>
      </c>
      <c r="E188" s="14" t="s">
        <v>261</v>
      </c>
      <c r="F188" s="14" t="s">
        <v>150</v>
      </c>
      <c r="G188" s="14" t="s">
        <v>151</v>
      </c>
      <c r="H188" s="14">
        <v>10</v>
      </c>
      <c r="I188" s="14"/>
      <c r="J188" s="14"/>
      <c r="K188" s="15"/>
    </row>
    <row r="189" spans="1:11">
      <c r="A189" s="14">
        <f>IF(B189="","",COUNTA($B$4:B189))</f>
        <v>186</v>
      </c>
      <c r="B189" s="14" t="s">
        <v>1531</v>
      </c>
      <c r="C189" s="14" t="s">
        <v>261</v>
      </c>
      <c r="D189" s="14" t="s">
        <v>262</v>
      </c>
      <c r="E189" s="14" t="s">
        <v>261</v>
      </c>
      <c r="F189" s="14" t="s">
        <v>150</v>
      </c>
      <c r="G189" s="14" t="s">
        <v>151</v>
      </c>
      <c r="H189" s="14">
        <v>10</v>
      </c>
      <c r="I189" s="14"/>
      <c r="J189" s="14"/>
      <c r="K189" s="127"/>
    </row>
    <row r="190" spans="1:11">
      <c r="A190" s="14">
        <f>IF(B190="","",COUNTA($B$4:B190))</f>
        <v>187</v>
      </c>
      <c r="B190" s="14" t="s">
        <v>1532</v>
      </c>
      <c r="C190" s="14" t="s">
        <v>261</v>
      </c>
      <c r="D190" s="14" t="s">
        <v>262</v>
      </c>
      <c r="E190" s="14" t="s">
        <v>261</v>
      </c>
      <c r="F190" s="14" t="s">
        <v>150</v>
      </c>
      <c r="G190" s="14" t="s">
        <v>151</v>
      </c>
      <c r="H190" s="14">
        <v>10</v>
      </c>
      <c r="I190" s="14"/>
      <c r="J190" s="14"/>
      <c r="K190" s="15"/>
    </row>
    <row r="191" spans="1:11">
      <c r="A191" s="14">
        <f>IF(B191="","",COUNTA($B$4:B191))</f>
        <v>188</v>
      </c>
      <c r="B191" s="14" t="s">
        <v>1533</v>
      </c>
      <c r="C191" s="14" t="s">
        <v>261</v>
      </c>
      <c r="D191" s="14" t="s">
        <v>262</v>
      </c>
      <c r="E191" s="14" t="s">
        <v>261</v>
      </c>
      <c r="F191" s="14" t="s">
        <v>150</v>
      </c>
      <c r="G191" s="14" t="s">
        <v>151</v>
      </c>
      <c r="H191" s="14">
        <v>10</v>
      </c>
      <c r="I191" s="14"/>
      <c r="J191" s="14"/>
      <c r="K191" s="15"/>
    </row>
    <row r="192" spans="1:11">
      <c r="A192" s="14">
        <f>IF(B192="","",COUNTA($B$4:B192))</f>
        <v>189</v>
      </c>
      <c r="B192" s="14" t="s">
        <v>1534</v>
      </c>
      <c r="C192" s="14" t="s">
        <v>261</v>
      </c>
      <c r="D192" s="14" t="s">
        <v>262</v>
      </c>
      <c r="E192" s="14" t="s">
        <v>261</v>
      </c>
      <c r="F192" s="14" t="s">
        <v>150</v>
      </c>
      <c r="G192" s="14" t="s">
        <v>151</v>
      </c>
      <c r="H192" s="14">
        <v>10</v>
      </c>
      <c r="I192" s="14"/>
      <c r="J192" s="14"/>
      <c r="K192" s="127"/>
    </row>
    <row r="193" spans="1:11">
      <c r="A193" s="14">
        <f>IF(B193="","",COUNTA($B$4:B193))</f>
        <v>190</v>
      </c>
      <c r="B193" s="14" t="s">
        <v>1538</v>
      </c>
      <c r="C193" s="14" t="s">
        <v>261</v>
      </c>
      <c r="D193" s="14" t="s">
        <v>262</v>
      </c>
      <c r="E193" s="14" t="s">
        <v>261</v>
      </c>
      <c r="F193" s="14" t="s">
        <v>150</v>
      </c>
      <c r="G193" s="14" t="s">
        <v>151</v>
      </c>
      <c r="H193" s="14">
        <v>10</v>
      </c>
      <c r="I193" s="14"/>
      <c r="J193" s="14"/>
      <c r="K193" s="127"/>
    </row>
    <row r="194" spans="1:11">
      <c r="A194" s="14">
        <f>IF(B194="","",COUNTA($B$4:B194))</f>
        <v>191</v>
      </c>
      <c r="B194" s="14" t="s">
        <v>1545</v>
      </c>
      <c r="C194" s="14" t="s">
        <v>261</v>
      </c>
      <c r="D194" s="14" t="s">
        <v>262</v>
      </c>
      <c r="E194" s="14" t="s">
        <v>261</v>
      </c>
      <c r="F194" s="14" t="s">
        <v>150</v>
      </c>
      <c r="G194" s="14" t="s">
        <v>151</v>
      </c>
      <c r="H194" s="14">
        <v>10</v>
      </c>
      <c r="I194" s="14" t="s">
        <v>244</v>
      </c>
      <c r="J194" s="14"/>
      <c r="K194" s="127"/>
    </row>
    <row r="195" spans="1:11">
      <c r="A195" s="14">
        <f>IF(B195="","",COUNTA($B$4:B195))</f>
        <v>192</v>
      </c>
      <c r="B195" s="14" t="s">
        <v>1546</v>
      </c>
      <c r="C195" s="14" t="s">
        <v>261</v>
      </c>
      <c r="D195" s="14" t="s">
        <v>262</v>
      </c>
      <c r="E195" s="14" t="s">
        <v>261</v>
      </c>
      <c r="F195" s="14" t="s">
        <v>150</v>
      </c>
      <c r="G195" s="14" t="s">
        <v>151</v>
      </c>
      <c r="H195" s="14">
        <v>10</v>
      </c>
      <c r="I195" s="14"/>
      <c r="J195" s="14"/>
      <c r="K195" s="15"/>
    </row>
    <row r="196" spans="1:11">
      <c r="A196" s="14">
        <f>IF(B196="","",COUNTA($B$4:B196))</f>
        <v>193</v>
      </c>
      <c r="B196" s="14" t="s">
        <v>1547</v>
      </c>
      <c r="C196" s="14" t="s">
        <v>261</v>
      </c>
      <c r="D196" s="14" t="s">
        <v>262</v>
      </c>
      <c r="E196" s="14" t="s">
        <v>261</v>
      </c>
      <c r="F196" s="14" t="s">
        <v>150</v>
      </c>
      <c r="G196" s="14" t="s">
        <v>151</v>
      </c>
      <c r="H196" s="14">
        <v>10</v>
      </c>
      <c r="I196" s="14"/>
      <c r="J196" s="14"/>
      <c r="K196" s="15"/>
    </row>
    <row r="197" spans="1:11">
      <c r="A197" s="14">
        <f>IF(B197="","",COUNTA($B$4:B197))</f>
        <v>194</v>
      </c>
      <c r="B197" s="14" t="s">
        <v>1548</v>
      </c>
      <c r="C197" s="14" t="s">
        <v>261</v>
      </c>
      <c r="D197" s="14" t="s">
        <v>262</v>
      </c>
      <c r="E197" s="14" t="s">
        <v>261</v>
      </c>
      <c r="F197" s="14" t="s">
        <v>150</v>
      </c>
      <c r="G197" s="14" t="s">
        <v>151</v>
      </c>
      <c r="H197" s="14">
        <v>10</v>
      </c>
      <c r="I197" s="14"/>
      <c r="J197" s="14"/>
      <c r="K197" s="127"/>
    </row>
    <row r="198" spans="1:11">
      <c r="A198" s="14">
        <f>IF(B198="","",COUNTA($B$4:B198))</f>
        <v>195</v>
      </c>
      <c r="B198" s="14" t="s">
        <v>1549</v>
      </c>
      <c r="C198" s="14" t="s">
        <v>261</v>
      </c>
      <c r="D198" s="14" t="s">
        <v>262</v>
      </c>
      <c r="E198" s="14" t="s">
        <v>261</v>
      </c>
      <c r="F198" s="14" t="s">
        <v>150</v>
      </c>
      <c r="G198" s="14" t="s">
        <v>151</v>
      </c>
      <c r="H198" s="14">
        <v>10</v>
      </c>
      <c r="I198" s="14"/>
      <c r="J198" s="14"/>
      <c r="K198" s="15"/>
    </row>
    <row r="199" spans="1:11">
      <c r="A199" s="14">
        <f>IF(B199="","",COUNTA($B$4:B199))</f>
        <v>196</v>
      </c>
      <c r="B199" s="14" t="s">
        <v>1550</v>
      </c>
      <c r="C199" s="14" t="s">
        <v>261</v>
      </c>
      <c r="D199" s="14" t="s">
        <v>262</v>
      </c>
      <c r="E199" s="14" t="s">
        <v>261</v>
      </c>
      <c r="F199" s="14" t="s">
        <v>150</v>
      </c>
      <c r="G199" s="14" t="s">
        <v>151</v>
      </c>
      <c r="H199" s="14">
        <v>10</v>
      </c>
      <c r="I199" s="14"/>
      <c r="J199" s="15"/>
      <c r="K199" s="127"/>
    </row>
    <row r="200" spans="1:11">
      <c r="A200" s="14">
        <f>IF(B200="","",COUNTA($B$4:B200))</f>
        <v>197</v>
      </c>
      <c r="B200" s="14" t="s">
        <v>1551</v>
      </c>
      <c r="C200" s="14" t="s">
        <v>261</v>
      </c>
      <c r="D200" s="14" t="s">
        <v>262</v>
      </c>
      <c r="E200" s="14" t="s">
        <v>261</v>
      </c>
      <c r="F200" s="14" t="s">
        <v>150</v>
      </c>
      <c r="G200" s="14" t="s">
        <v>151</v>
      </c>
      <c r="H200" s="14">
        <v>10</v>
      </c>
      <c r="I200" s="14"/>
      <c r="J200" s="15"/>
      <c r="K200" s="127"/>
    </row>
    <row r="201" spans="1:11">
      <c r="A201" s="14">
        <f>IF(B201="","",COUNTA($B$4:B201))</f>
        <v>198</v>
      </c>
      <c r="B201" s="14" t="s">
        <v>1552</v>
      </c>
      <c r="C201" s="14" t="s">
        <v>261</v>
      </c>
      <c r="D201" s="14" t="s">
        <v>262</v>
      </c>
      <c r="E201" s="14" t="s">
        <v>261</v>
      </c>
      <c r="F201" s="14" t="s">
        <v>150</v>
      </c>
      <c r="G201" s="14" t="s">
        <v>151</v>
      </c>
      <c r="H201" s="14">
        <v>10</v>
      </c>
      <c r="I201" s="14"/>
      <c r="J201" s="15"/>
      <c r="K201" s="15"/>
    </row>
    <row r="202" spans="1:11">
      <c r="A202" s="14">
        <f>IF(B202="","",COUNTA($B$4:B202))</f>
        <v>199</v>
      </c>
      <c r="B202" s="14" t="s">
        <v>1553</v>
      </c>
      <c r="C202" s="14" t="s">
        <v>261</v>
      </c>
      <c r="D202" s="14" t="s">
        <v>262</v>
      </c>
      <c r="E202" s="14" t="s">
        <v>261</v>
      </c>
      <c r="F202" s="14" t="s">
        <v>150</v>
      </c>
      <c r="G202" s="14" t="s">
        <v>151</v>
      </c>
      <c r="H202" s="14">
        <v>10</v>
      </c>
      <c r="I202" s="14"/>
      <c r="J202" s="15"/>
      <c r="K202" s="15"/>
    </row>
    <row r="203" spans="1:11">
      <c r="A203" s="14">
        <f>IF(B203="","",COUNTA($B$4:B203))</f>
        <v>200</v>
      </c>
      <c r="B203" s="14" t="s">
        <v>1554</v>
      </c>
      <c r="C203" s="14" t="s">
        <v>261</v>
      </c>
      <c r="D203" s="14" t="s">
        <v>262</v>
      </c>
      <c r="E203" s="14" t="s">
        <v>261</v>
      </c>
      <c r="F203" s="14" t="s">
        <v>150</v>
      </c>
      <c r="G203" s="14" t="s">
        <v>151</v>
      </c>
      <c r="H203" s="14">
        <v>10</v>
      </c>
      <c r="I203" s="14"/>
      <c r="J203" s="15"/>
      <c r="K203" s="15"/>
    </row>
    <row r="204" spans="1:11">
      <c r="A204" s="14">
        <f>IF(B204="","",COUNTA($B$4:B204))</f>
        <v>201</v>
      </c>
      <c r="B204" s="14" t="s">
        <v>1555</v>
      </c>
      <c r="C204" s="14" t="s">
        <v>261</v>
      </c>
      <c r="D204" s="14" t="s">
        <v>262</v>
      </c>
      <c r="E204" s="14" t="s">
        <v>261</v>
      </c>
      <c r="F204" s="14" t="s">
        <v>150</v>
      </c>
      <c r="G204" s="14" t="s">
        <v>151</v>
      </c>
      <c r="H204" s="14">
        <v>10</v>
      </c>
      <c r="I204" s="14"/>
      <c r="J204" s="15"/>
      <c r="K204" s="15"/>
    </row>
    <row r="205" spans="1:11">
      <c r="A205" s="14">
        <f>IF(B205="","",COUNTA($B$4:B205))</f>
        <v>202</v>
      </c>
      <c r="B205" s="14" t="s">
        <v>1557</v>
      </c>
      <c r="C205" s="14" t="s">
        <v>261</v>
      </c>
      <c r="D205" s="14" t="s">
        <v>262</v>
      </c>
      <c r="E205" s="14" t="s">
        <v>261</v>
      </c>
      <c r="F205" s="14" t="s">
        <v>150</v>
      </c>
      <c r="G205" s="14" t="s">
        <v>151</v>
      </c>
      <c r="H205" s="14">
        <v>10</v>
      </c>
      <c r="I205" s="14"/>
      <c r="J205" s="15"/>
      <c r="K205" s="15"/>
    </row>
    <row r="206" spans="1:11">
      <c r="A206" s="14">
        <f>IF(B206="","",COUNTA($B$4:B206))</f>
        <v>203</v>
      </c>
      <c r="B206" s="14" t="s">
        <v>1557</v>
      </c>
      <c r="C206" s="14" t="s">
        <v>261</v>
      </c>
      <c r="D206" s="14" t="s">
        <v>262</v>
      </c>
      <c r="E206" s="14" t="s">
        <v>261</v>
      </c>
      <c r="F206" s="14" t="s">
        <v>150</v>
      </c>
      <c r="G206" s="14" t="s">
        <v>151</v>
      </c>
      <c r="H206" s="14">
        <v>10</v>
      </c>
      <c r="I206" s="14"/>
      <c r="J206" s="15"/>
      <c r="K206" s="15"/>
    </row>
    <row r="207" spans="1:11">
      <c r="A207" s="14">
        <f>IF(B207="","",COUNTA($B$4:B207))</f>
        <v>204</v>
      </c>
      <c r="B207" s="14" t="s">
        <v>1515</v>
      </c>
      <c r="C207" s="14" t="s">
        <v>263</v>
      </c>
      <c r="D207" s="14" t="s">
        <v>264</v>
      </c>
      <c r="E207" s="14" t="s">
        <v>263</v>
      </c>
      <c r="F207" s="14" t="s">
        <v>169</v>
      </c>
      <c r="G207" s="14" t="s">
        <v>243</v>
      </c>
      <c r="H207" s="14"/>
      <c r="I207" s="14"/>
      <c r="J207" s="14"/>
      <c r="K207" s="15"/>
    </row>
    <row r="208" spans="1:11">
      <c r="A208" s="14">
        <f>IF(B208="","",COUNTA($B$4:B208))</f>
        <v>205</v>
      </c>
      <c r="B208" s="14" t="s">
        <v>1528</v>
      </c>
      <c r="C208" s="14" t="s">
        <v>263</v>
      </c>
      <c r="D208" s="14" t="s">
        <v>264</v>
      </c>
      <c r="E208" s="14" t="s">
        <v>263</v>
      </c>
      <c r="F208" s="14" t="s">
        <v>169</v>
      </c>
      <c r="G208" s="14" t="s">
        <v>243</v>
      </c>
      <c r="H208" s="14"/>
      <c r="I208" s="14"/>
      <c r="J208" s="14"/>
      <c r="K208" s="15"/>
    </row>
    <row r="209" spans="1:11">
      <c r="A209" s="14">
        <f>IF(B209="","",COUNTA($B$4:B209))</f>
        <v>206</v>
      </c>
      <c r="B209" s="14" t="s">
        <v>1529</v>
      </c>
      <c r="C209" s="14" t="s">
        <v>263</v>
      </c>
      <c r="D209" s="14" t="s">
        <v>264</v>
      </c>
      <c r="E209" s="14" t="s">
        <v>263</v>
      </c>
      <c r="F209" s="14" t="s">
        <v>169</v>
      </c>
      <c r="G209" s="14" t="s">
        <v>243</v>
      </c>
      <c r="H209" s="14"/>
      <c r="I209" s="14"/>
      <c r="J209" s="14"/>
      <c r="K209" s="15"/>
    </row>
    <row r="210" spans="1:11">
      <c r="A210" s="14">
        <f>IF(B210="","",COUNTA($B$4:B210))</f>
        <v>207</v>
      </c>
      <c r="B210" s="14" t="s">
        <v>1530</v>
      </c>
      <c r="C210" s="14" t="s">
        <v>263</v>
      </c>
      <c r="D210" s="14" t="s">
        <v>264</v>
      </c>
      <c r="E210" s="14" t="s">
        <v>263</v>
      </c>
      <c r="F210" s="14" t="s">
        <v>169</v>
      </c>
      <c r="G210" s="14" t="s">
        <v>243</v>
      </c>
      <c r="H210" s="14"/>
      <c r="I210" s="14"/>
      <c r="J210" s="14"/>
      <c r="K210" s="15"/>
    </row>
    <row r="211" spans="1:11">
      <c r="A211" s="14">
        <f>IF(B211="","",COUNTA($B$4:B211))</f>
        <v>208</v>
      </c>
      <c r="B211" s="14" t="s">
        <v>1531</v>
      </c>
      <c r="C211" s="14" t="s">
        <v>263</v>
      </c>
      <c r="D211" s="14" t="s">
        <v>264</v>
      </c>
      <c r="E211" s="14" t="s">
        <v>263</v>
      </c>
      <c r="F211" s="14" t="s">
        <v>169</v>
      </c>
      <c r="G211" s="14" t="s">
        <v>243</v>
      </c>
      <c r="H211" s="14"/>
      <c r="I211" s="14"/>
      <c r="J211" s="14"/>
      <c r="K211" s="15"/>
    </row>
    <row r="212" spans="1:11">
      <c r="A212" s="14">
        <f>IF(B212="","",COUNTA($B$4:B212))</f>
        <v>209</v>
      </c>
      <c r="B212" s="14" t="s">
        <v>1532</v>
      </c>
      <c r="C212" s="14" t="s">
        <v>263</v>
      </c>
      <c r="D212" s="14" t="s">
        <v>264</v>
      </c>
      <c r="E212" s="14" t="s">
        <v>263</v>
      </c>
      <c r="F212" s="14" t="s">
        <v>169</v>
      </c>
      <c r="G212" s="14" t="s">
        <v>243</v>
      </c>
      <c r="H212" s="14"/>
      <c r="I212" s="14"/>
      <c r="J212" s="14"/>
      <c r="K212" s="15"/>
    </row>
    <row r="213" spans="1:11">
      <c r="A213" s="14">
        <f>IF(B213="","",COUNTA($B$4:B213))</f>
        <v>210</v>
      </c>
      <c r="B213" s="14" t="s">
        <v>1533</v>
      </c>
      <c r="C213" s="14" t="s">
        <v>263</v>
      </c>
      <c r="D213" s="14" t="s">
        <v>264</v>
      </c>
      <c r="E213" s="14" t="s">
        <v>263</v>
      </c>
      <c r="F213" s="14" t="s">
        <v>169</v>
      </c>
      <c r="G213" s="14" t="s">
        <v>243</v>
      </c>
      <c r="H213" s="14"/>
      <c r="I213" s="14"/>
      <c r="J213" s="14"/>
      <c r="K213" s="15"/>
    </row>
    <row r="214" spans="1:11">
      <c r="A214" s="14">
        <f>IF(B214="","",COUNTA($B$4:B214))</f>
        <v>211</v>
      </c>
      <c r="B214" s="14" t="s">
        <v>1534</v>
      </c>
      <c r="C214" s="14" t="s">
        <v>263</v>
      </c>
      <c r="D214" s="14" t="s">
        <v>264</v>
      </c>
      <c r="E214" s="14" t="s">
        <v>263</v>
      </c>
      <c r="F214" s="14" t="s">
        <v>169</v>
      </c>
      <c r="G214" s="14" t="s">
        <v>243</v>
      </c>
      <c r="H214" s="14"/>
      <c r="I214" s="14"/>
      <c r="J214" s="14"/>
      <c r="K214" s="127"/>
    </row>
    <row r="215" spans="1:11">
      <c r="A215" s="14">
        <f>IF(B215="","",COUNTA($B$4:B215))</f>
        <v>212</v>
      </c>
      <c r="B215" s="14" t="s">
        <v>1538</v>
      </c>
      <c r="C215" s="14" t="s">
        <v>263</v>
      </c>
      <c r="D215" s="14" t="s">
        <v>264</v>
      </c>
      <c r="E215" s="14" t="s">
        <v>263</v>
      </c>
      <c r="F215" s="14" t="s">
        <v>169</v>
      </c>
      <c r="G215" s="14" t="s">
        <v>243</v>
      </c>
      <c r="H215" s="14"/>
      <c r="I215" s="14"/>
      <c r="J215" s="14"/>
      <c r="K215" s="15"/>
    </row>
    <row r="216" spans="1:11">
      <c r="A216" s="14">
        <f>IF(B216="","",COUNTA($B$4:B216))</f>
        <v>213</v>
      </c>
      <c r="B216" s="14" t="s">
        <v>1545</v>
      </c>
      <c r="C216" s="14" t="s">
        <v>263</v>
      </c>
      <c r="D216" s="14" t="s">
        <v>264</v>
      </c>
      <c r="E216" s="14" t="s">
        <v>263</v>
      </c>
      <c r="F216" s="14" t="s">
        <v>169</v>
      </c>
      <c r="G216" s="14" t="s">
        <v>243</v>
      </c>
      <c r="H216" s="14"/>
      <c r="I216" s="14" t="s">
        <v>244</v>
      </c>
      <c r="J216" s="14"/>
      <c r="K216" s="15"/>
    </row>
    <row r="217" spans="1:11">
      <c r="A217" s="14">
        <f>IF(B217="","",COUNTA($B$4:B217))</f>
        <v>214</v>
      </c>
      <c r="B217" s="14" t="s">
        <v>1546</v>
      </c>
      <c r="C217" s="14" t="s">
        <v>263</v>
      </c>
      <c r="D217" s="14" t="s">
        <v>264</v>
      </c>
      <c r="E217" s="14" t="s">
        <v>263</v>
      </c>
      <c r="F217" s="14" t="s">
        <v>169</v>
      </c>
      <c r="G217" s="14" t="s">
        <v>243</v>
      </c>
      <c r="H217" s="14"/>
      <c r="I217" s="14"/>
      <c r="J217" s="14"/>
      <c r="K217" s="15"/>
    </row>
    <row r="218" spans="1:11">
      <c r="A218" s="14">
        <f>IF(B218="","",COUNTA($B$4:B218))</f>
        <v>215</v>
      </c>
      <c r="B218" s="14" t="s">
        <v>1547</v>
      </c>
      <c r="C218" s="14" t="s">
        <v>263</v>
      </c>
      <c r="D218" s="14" t="s">
        <v>264</v>
      </c>
      <c r="E218" s="14" t="s">
        <v>263</v>
      </c>
      <c r="F218" s="14" t="s">
        <v>169</v>
      </c>
      <c r="G218" s="14" t="s">
        <v>243</v>
      </c>
      <c r="H218" s="14"/>
      <c r="I218" s="14"/>
      <c r="J218" s="14"/>
      <c r="K218" s="15"/>
    </row>
    <row r="219" spans="1:11">
      <c r="A219" s="14">
        <f>IF(B219="","",COUNTA($B$4:B219))</f>
        <v>216</v>
      </c>
      <c r="B219" s="14" t="s">
        <v>1548</v>
      </c>
      <c r="C219" s="14" t="s">
        <v>263</v>
      </c>
      <c r="D219" s="14" t="s">
        <v>264</v>
      </c>
      <c r="E219" s="14" t="s">
        <v>263</v>
      </c>
      <c r="F219" s="14" t="s">
        <v>169</v>
      </c>
      <c r="G219" s="14" t="s">
        <v>243</v>
      </c>
      <c r="H219" s="14"/>
      <c r="I219" s="14"/>
      <c r="J219" s="14"/>
      <c r="K219" s="15"/>
    </row>
    <row r="220" spans="1:11">
      <c r="A220" s="14">
        <f>IF(B220="","",COUNTA($B$4:B220))</f>
        <v>217</v>
      </c>
      <c r="B220" s="14" t="s">
        <v>1549</v>
      </c>
      <c r="C220" s="14" t="s">
        <v>263</v>
      </c>
      <c r="D220" s="14" t="s">
        <v>264</v>
      </c>
      <c r="E220" s="14" t="s">
        <v>263</v>
      </c>
      <c r="F220" s="14" t="s">
        <v>169</v>
      </c>
      <c r="G220" s="14" t="s">
        <v>243</v>
      </c>
      <c r="H220" s="14"/>
      <c r="I220" s="14"/>
      <c r="J220" s="14"/>
      <c r="K220" s="127"/>
    </row>
    <row r="221" spans="1:11">
      <c r="A221" s="14">
        <f>IF(B221="","",COUNTA($B$4:B221))</f>
        <v>218</v>
      </c>
      <c r="B221" s="14" t="s">
        <v>1550</v>
      </c>
      <c r="C221" s="14" t="s">
        <v>263</v>
      </c>
      <c r="D221" s="14" t="s">
        <v>264</v>
      </c>
      <c r="E221" s="14" t="s">
        <v>263</v>
      </c>
      <c r="F221" s="14" t="s">
        <v>169</v>
      </c>
      <c r="G221" s="14" t="s">
        <v>243</v>
      </c>
      <c r="H221" s="14"/>
      <c r="I221" s="14"/>
      <c r="J221" s="15"/>
      <c r="K221" s="15"/>
    </row>
    <row r="222" spans="1:11">
      <c r="A222" s="14">
        <f>IF(B222="","",COUNTA($B$4:B222))</f>
        <v>219</v>
      </c>
      <c r="B222" s="14" t="s">
        <v>1551</v>
      </c>
      <c r="C222" s="14" t="s">
        <v>263</v>
      </c>
      <c r="D222" s="14" t="s">
        <v>264</v>
      </c>
      <c r="E222" s="14" t="s">
        <v>263</v>
      </c>
      <c r="F222" s="14" t="s">
        <v>169</v>
      </c>
      <c r="G222" s="14" t="s">
        <v>243</v>
      </c>
      <c r="H222" s="14"/>
      <c r="I222" s="14"/>
      <c r="J222" s="15"/>
      <c r="K222" s="15"/>
    </row>
    <row r="223" spans="1:11">
      <c r="A223" s="14">
        <f>IF(B223="","",COUNTA($B$4:B223))</f>
        <v>220</v>
      </c>
      <c r="B223" s="14" t="s">
        <v>1552</v>
      </c>
      <c r="C223" s="14" t="s">
        <v>263</v>
      </c>
      <c r="D223" s="14" t="s">
        <v>264</v>
      </c>
      <c r="E223" s="14" t="s">
        <v>263</v>
      </c>
      <c r="F223" s="14" t="s">
        <v>169</v>
      </c>
      <c r="G223" s="14" t="s">
        <v>243</v>
      </c>
      <c r="H223" s="14"/>
      <c r="I223" s="14"/>
      <c r="J223" s="15"/>
      <c r="K223" s="15"/>
    </row>
    <row r="224" spans="1:11">
      <c r="A224" s="14">
        <f>IF(B224="","",COUNTA($B$4:B224))</f>
        <v>221</v>
      </c>
      <c r="B224" s="14" t="s">
        <v>1553</v>
      </c>
      <c r="C224" s="14" t="s">
        <v>263</v>
      </c>
      <c r="D224" s="14" t="s">
        <v>264</v>
      </c>
      <c r="E224" s="14" t="s">
        <v>263</v>
      </c>
      <c r="F224" s="14" t="s">
        <v>169</v>
      </c>
      <c r="G224" s="14" t="s">
        <v>243</v>
      </c>
      <c r="H224" s="14"/>
      <c r="I224" s="14"/>
      <c r="J224" s="15"/>
      <c r="K224" s="15"/>
    </row>
    <row r="225" spans="1:11">
      <c r="A225" s="14">
        <f>IF(B225="","",COUNTA($B$4:B225))</f>
        <v>222</v>
      </c>
      <c r="B225" s="14" t="s">
        <v>1554</v>
      </c>
      <c r="C225" s="14" t="s">
        <v>263</v>
      </c>
      <c r="D225" s="14" t="s">
        <v>264</v>
      </c>
      <c r="E225" s="14" t="s">
        <v>263</v>
      </c>
      <c r="F225" s="14" t="s">
        <v>169</v>
      </c>
      <c r="G225" s="14" t="s">
        <v>243</v>
      </c>
      <c r="H225" s="14"/>
      <c r="I225" s="14"/>
      <c r="J225" s="15"/>
      <c r="K225" s="15"/>
    </row>
    <row r="226" spans="1:11">
      <c r="A226" s="14">
        <f>IF(B226="","",COUNTA($B$4:B226))</f>
        <v>223</v>
      </c>
      <c r="B226" s="14" t="s">
        <v>1555</v>
      </c>
      <c r="C226" s="14" t="s">
        <v>263</v>
      </c>
      <c r="D226" s="14" t="s">
        <v>264</v>
      </c>
      <c r="E226" s="14" t="s">
        <v>263</v>
      </c>
      <c r="F226" s="14" t="s">
        <v>169</v>
      </c>
      <c r="G226" s="14" t="s">
        <v>243</v>
      </c>
      <c r="H226" s="14"/>
      <c r="I226" s="14"/>
      <c r="J226" s="15"/>
      <c r="K226" s="127"/>
    </row>
    <row r="227" spans="1:11">
      <c r="A227" s="14">
        <f>IF(B227="","",COUNTA($B$4:B227))</f>
        <v>224</v>
      </c>
      <c r="B227" s="14" t="s">
        <v>1557</v>
      </c>
      <c r="C227" s="14" t="s">
        <v>263</v>
      </c>
      <c r="D227" s="14" t="s">
        <v>264</v>
      </c>
      <c r="E227" s="14" t="s">
        <v>263</v>
      </c>
      <c r="F227" s="14" t="s">
        <v>169</v>
      </c>
      <c r="G227" s="14" t="s">
        <v>243</v>
      </c>
      <c r="H227" s="14"/>
      <c r="I227" s="14"/>
      <c r="J227" s="15"/>
      <c r="K227" s="127"/>
    </row>
    <row r="228" spans="1:11">
      <c r="A228" s="14">
        <f>IF(B228="","",COUNTA($B$4:B228))</f>
        <v>225</v>
      </c>
      <c r="B228" s="14" t="s">
        <v>1557</v>
      </c>
      <c r="C228" s="14" t="s">
        <v>263</v>
      </c>
      <c r="D228" s="14" t="s">
        <v>264</v>
      </c>
      <c r="E228" s="14" t="s">
        <v>263</v>
      </c>
      <c r="F228" s="14" t="s">
        <v>169</v>
      </c>
      <c r="G228" s="14" t="s">
        <v>243</v>
      </c>
      <c r="H228" s="14"/>
      <c r="I228" s="14"/>
      <c r="J228" s="15"/>
      <c r="K228" s="15"/>
    </row>
    <row r="229" spans="1:11">
      <c r="A229" s="14">
        <f>IF(B229="","",COUNTA($B$4:B229))</f>
        <v>226</v>
      </c>
      <c r="B229" s="14" t="s">
        <v>1553</v>
      </c>
      <c r="C229" s="14" t="s">
        <v>1430</v>
      </c>
      <c r="D229" s="14" t="s">
        <v>413</v>
      </c>
      <c r="E229" s="14" t="s">
        <v>1430</v>
      </c>
      <c r="F229" s="14" t="s">
        <v>155</v>
      </c>
      <c r="G229" s="14" t="s">
        <v>156</v>
      </c>
      <c r="H229" s="14">
        <v>1</v>
      </c>
      <c r="I229" s="14"/>
      <c r="J229" s="15"/>
      <c r="K229" s="127"/>
    </row>
    <row r="230" spans="1:11">
      <c r="A230" s="14">
        <f>IF(B230="","",COUNTA($B$4:B230))</f>
        <v>227</v>
      </c>
      <c r="B230" s="14" t="s">
        <v>1554</v>
      </c>
      <c r="C230" s="14" t="s">
        <v>1430</v>
      </c>
      <c r="D230" s="14" t="s">
        <v>413</v>
      </c>
      <c r="E230" s="14" t="s">
        <v>1430</v>
      </c>
      <c r="F230" s="14" t="s">
        <v>155</v>
      </c>
      <c r="G230" s="14" t="s">
        <v>156</v>
      </c>
      <c r="H230" s="14">
        <v>1</v>
      </c>
      <c r="I230" s="14"/>
      <c r="J230" s="15"/>
      <c r="K230" s="15"/>
    </row>
    <row r="231" spans="1:11">
      <c r="A231" s="14">
        <f>IF(B231="","",COUNTA($B$4:B231))</f>
        <v>228</v>
      </c>
      <c r="B231" s="14" t="s">
        <v>1534</v>
      </c>
      <c r="C231" s="14" t="s">
        <v>372</v>
      </c>
      <c r="D231" s="14" t="s">
        <v>373</v>
      </c>
      <c r="E231" s="14" t="s">
        <v>372</v>
      </c>
      <c r="F231" s="14" t="s">
        <v>169</v>
      </c>
      <c r="G231" s="14" t="s">
        <v>170</v>
      </c>
      <c r="H231" s="14"/>
      <c r="I231" s="14"/>
      <c r="J231" s="14"/>
      <c r="K231" s="127"/>
    </row>
    <row r="232" spans="1:11">
      <c r="A232" s="14">
        <f>IF(B232="","",COUNTA($B$4:B232))</f>
        <v>229</v>
      </c>
      <c r="B232" s="14" t="s">
        <v>1515</v>
      </c>
      <c r="C232" s="14" t="s">
        <v>183</v>
      </c>
      <c r="D232" s="14" t="s">
        <v>184</v>
      </c>
      <c r="E232" s="14" t="s">
        <v>183</v>
      </c>
      <c r="F232" s="14" t="s">
        <v>150</v>
      </c>
      <c r="G232" s="14" t="s">
        <v>151</v>
      </c>
      <c r="H232" s="14">
        <v>1000</v>
      </c>
      <c r="I232" s="14"/>
      <c r="J232" s="14"/>
      <c r="K232" s="15"/>
    </row>
    <row r="233" spans="1:11">
      <c r="A233" s="14">
        <f>IF(B233="","",COUNTA($B$4:B233))</f>
        <v>230</v>
      </c>
      <c r="B233" s="14" t="s">
        <v>1528</v>
      </c>
      <c r="C233" s="14" t="s">
        <v>183</v>
      </c>
      <c r="D233" s="14" t="s">
        <v>184</v>
      </c>
      <c r="E233" s="14" t="s">
        <v>183</v>
      </c>
      <c r="F233" s="14" t="s">
        <v>150</v>
      </c>
      <c r="G233" s="14" t="s">
        <v>151</v>
      </c>
      <c r="H233" s="14">
        <v>1000</v>
      </c>
      <c r="I233" s="14"/>
      <c r="J233" s="14"/>
      <c r="K233" s="127"/>
    </row>
    <row r="234" spans="1:11">
      <c r="A234" s="14">
        <f>IF(B234="","",COUNTA($B$4:B234))</f>
        <v>231</v>
      </c>
      <c r="B234" s="14" t="s">
        <v>1529</v>
      </c>
      <c r="C234" s="14" t="s">
        <v>183</v>
      </c>
      <c r="D234" s="14" t="s">
        <v>184</v>
      </c>
      <c r="E234" s="14" t="s">
        <v>183</v>
      </c>
      <c r="F234" s="14" t="s">
        <v>150</v>
      </c>
      <c r="G234" s="14" t="s">
        <v>151</v>
      </c>
      <c r="H234" s="14">
        <v>1000</v>
      </c>
      <c r="I234" s="14"/>
      <c r="J234" s="14"/>
      <c r="K234" s="127"/>
    </row>
    <row r="235" spans="1:11">
      <c r="A235" s="14">
        <f>IF(B235="","",COUNTA($B$4:B235))</f>
        <v>232</v>
      </c>
      <c r="B235" s="14" t="s">
        <v>1530</v>
      </c>
      <c r="C235" s="14" t="s">
        <v>183</v>
      </c>
      <c r="D235" s="14" t="s">
        <v>184</v>
      </c>
      <c r="E235" s="14" t="s">
        <v>183</v>
      </c>
      <c r="F235" s="14" t="s">
        <v>150</v>
      </c>
      <c r="G235" s="14" t="s">
        <v>151</v>
      </c>
      <c r="H235" s="14">
        <v>1000</v>
      </c>
      <c r="I235" s="14"/>
      <c r="J235" s="14"/>
      <c r="K235" s="127"/>
    </row>
    <row r="236" spans="1:11">
      <c r="A236" s="14">
        <f>IF(B236="","",COUNTA($B$4:B236))</f>
        <v>233</v>
      </c>
      <c r="B236" s="14" t="s">
        <v>1531</v>
      </c>
      <c r="C236" s="14" t="s">
        <v>183</v>
      </c>
      <c r="D236" s="14" t="s">
        <v>184</v>
      </c>
      <c r="E236" s="14" t="s">
        <v>183</v>
      </c>
      <c r="F236" s="14" t="s">
        <v>150</v>
      </c>
      <c r="G236" s="14" t="s">
        <v>151</v>
      </c>
      <c r="H236" s="14">
        <v>1000</v>
      </c>
      <c r="I236" s="14"/>
      <c r="J236" s="14"/>
      <c r="K236" s="127"/>
    </row>
    <row r="237" spans="1:11">
      <c r="A237" s="14">
        <f>IF(B237="","",COUNTA($B$4:B237))</f>
        <v>234</v>
      </c>
      <c r="B237" s="14" t="s">
        <v>1533</v>
      </c>
      <c r="C237" s="14" t="s">
        <v>183</v>
      </c>
      <c r="D237" s="14" t="s">
        <v>184</v>
      </c>
      <c r="E237" s="14" t="s">
        <v>183</v>
      </c>
      <c r="F237" s="14" t="s">
        <v>150</v>
      </c>
      <c r="G237" s="14" t="s">
        <v>151</v>
      </c>
      <c r="H237" s="14">
        <v>1000</v>
      </c>
      <c r="I237" s="14"/>
      <c r="J237" s="14"/>
      <c r="K237" s="15"/>
    </row>
    <row r="238" spans="1:11">
      <c r="A238" s="14">
        <f>IF(B238="","",COUNTA($B$4:B238))</f>
        <v>235</v>
      </c>
      <c r="B238" s="14" t="s">
        <v>1515</v>
      </c>
      <c r="C238" s="14" t="s">
        <v>181</v>
      </c>
      <c r="D238" s="14" t="s">
        <v>182</v>
      </c>
      <c r="E238" s="14" t="s">
        <v>181</v>
      </c>
      <c r="F238" s="14" t="s">
        <v>150</v>
      </c>
      <c r="G238" s="14" t="s">
        <v>151</v>
      </c>
      <c r="H238" s="14">
        <v>30</v>
      </c>
      <c r="I238" s="14"/>
      <c r="J238" s="14"/>
      <c r="K238" s="15"/>
    </row>
    <row r="239" spans="1:11">
      <c r="A239" s="14">
        <f>IF(B239="","",COUNTA($B$4:B239))</f>
        <v>236</v>
      </c>
      <c r="B239" s="14" t="s">
        <v>1528</v>
      </c>
      <c r="C239" s="14" t="s">
        <v>181</v>
      </c>
      <c r="D239" s="14" t="s">
        <v>182</v>
      </c>
      <c r="E239" s="14" t="s">
        <v>181</v>
      </c>
      <c r="F239" s="14" t="s">
        <v>150</v>
      </c>
      <c r="G239" s="14" t="s">
        <v>151</v>
      </c>
      <c r="H239" s="14">
        <v>30</v>
      </c>
      <c r="I239" s="14"/>
      <c r="J239" s="14"/>
      <c r="K239" s="15"/>
    </row>
    <row r="240" spans="1:11">
      <c r="A240" s="14">
        <f>IF(B240="","",COUNTA($B$4:B240))</f>
        <v>237</v>
      </c>
      <c r="B240" s="14" t="s">
        <v>1529</v>
      </c>
      <c r="C240" s="14" t="s">
        <v>181</v>
      </c>
      <c r="D240" s="14" t="s">
        <v>182</v>
      </c>
      <c r="E240" s="14" t="s">
        <v>181</v>
      </c>
      <c r="F240" s="14" t="s">
        <v>150</v>
      </c>
      <c r="G240" s="14" t="s">
        <v>151</v>
      </c>
      <c r="H240" s="14">
        <v>30</v>
      </c>
      <c r="I240" s="14"/>
      <c r="J240" s="14"/>
      <c r="K240" s="15"/>
    </row>
    <row r="241" spans="1:11">
      <c r="A241" s="14">
        <f>IF(B241="","",COUNTA($B$4:B241))</f>
        <v>238</v>
      </c>
      <c r="B241" s="14" t="s">
        <v>1530</v>
      </c>
      <c r="C241" s="14" t="s">
        <v>181</v>
      </c>
      <c r="D241" s="14" t="s">
        <v>182</v>
      </c>
      <c r="E241" s="14" t="s">
        <v>181</v>
      </c>
      <c r="F241" s="14" t="s">
        <v>150</v>
      </c>
      <c r="G241" s="14" t="s">
        <v>151</v>
      </c>
      <c r="H241" s="14">
        <v>30</v>
      </c>
      <c r="I241" s="14"/>
      <c r="J241" s="14"/>
      <c r="K241" s="15"/>
    </row>
    <row r="242" spans="1:11">
      <c r="A242" s="14">
        <f>IF(B242="","",COUNTA($B$4:B242))</f>
        <v>239</v>
      </c>
      <c r="B242" s="14" t="s">
        <v>1531</v>
      </c>
      <c r="C242" s="14" t="s">
        <v>181</v>
      </c>
      <c r="D242" s="14" t="s">
        <v>182</v>
      </c>
      <c r="E242" s="14" t="s">
        <v>181</v>
      </c>
      <c r="F242" s="14" t="s">
        <v>150</v>
      </c>
      <c r="G242" s="14" t="s">
        <v>151</v>
      </c>
      <c r="H242" s="14">
        <v>30</v>
      </c>
      <c r="I242" s="14"/>
      <c r="J242" s="14"/>
      <c r="K242" s="127"/>
    </row>
    <row r="243" spans="1:11">
      <c r="A243" s="14">
        <f>IF(B243="","",COUNTA($B$4:B243))</f>
        <v>240</v>
      </c>
      <c r="B243" s="14" t="s">
        <v>1533</v>
      </c>
      <c r="C243" s="14" t="s">
        <v>181</v>
      </c>
      <c r="D243" s="14" t="s">
        <v>182</v>
      </c>
      <c r="E243" s="14" t="s">
        <v>181</v>
      </c>
      <c r="F243" s="14" t="s">
        <v>150</v>
      </c>
      <c r="G243" s="14" t="s">
        <v>151</v>
      </c>
      <c r="H243" s="14">
        <v>30</v>
      </c>
      <c r="I243" s="14"/>
      <c r="J243" s="14"/>
      <c r="K243" s="15"/>
    </row>
    <row r="244" spans="1:11">
      <c r="A244" s="14">
        <f>IF(B244="","",COUNTA($B$4:B244))</f>
        <v>241</v>
      </c>
      <c r="B244" s="14" t="s">
        <v>1555</v>
      </c>
      <c r="C244" s="14" t="s">
        <v>1448</v>
      </c>
      <c r="D244" s="14" t="s">
        <v>1444</v>
      </c>
      <c r="E244" s="14" t="s">
        <v>1448</v>
      </c>
      <c r="F244" s="14" t="s">
        <v>150</v>
      </c>
      <c r="G244" s="14" t="s">
        <v>151</v>
      </c>
      <c r="H244" s="14">
        <v>4</v>
      </c>
      <c r="I244" s="14"/>
      <c r="J244" s="15"/>
      <c r="K244" s="127"/>
    </row>
    <row r="245" spans="1:11">
      <c r="A245" s="14">
        <f>IF(B245="","",COUNTA($B$4:B245))</f>
        <v>242</v>
      </c>
      <c r="B245" s="14" t="s">
        <v>1555</v>
      </c>
      <c r="C245" s="14" t="s">
        <v>1447</v>
      </c>
      <c r="D245" s="14" t="s">
        <v>1439</v>
      </c>
      <c r="E245" s="14" t="s">
        <v>1447</v>
      </c>
      <c r="F245" s="14" t="s">
        <v>150</v>
      </c>
      <c r="G245" s="14" t="s">
        <v>151</v>
      </c>
      <c r="H245" s="14">
        <v>4</v>
      </c>
      <c r="I245" s="14"/>
      <c r="J245" s="15"/>
      <c r="K245" s="127"/>
    </row>
    <row r="246" spans="1:11">
      <c r="A246" s="14">
        <f>IF(B246="","",COUNTA($B$4:B246))</f>
        <v>243</v>
      </c>
      <c r="B246" s="14" t="s">
        <v>1555</v>
      </c>
      <c r="C246" s="14" t="s">
        <v>1449</v>
      </c>
      <c r="D246" s="14" t="s">
        <v>1435</v>
      </c>
      <c r="E246" s="14" t="s">
        <v>1449</v>
      </c>
      <c r="F246" s="14" t="s">
        <v>150</v>
      </c>
      <c r="G246" s="14" t="s">
        <v>151</v>
      </c>
      <c r="H246" s="14">
        <v>1</v>
      </c>
      <c r="I246" s="14"/>
      <c r="J246" s="15"/>
      <c r="K246" s="15"/>
    </row>
    <row r="247" spans="1:11">
      <c r="A247" s="14">
        <f>IF(B247="","",COUNTA($B$4:B247))</f>
        <v>244</v>
      </c>
      <c r="B247" s="14" t="s">
        <v>1532</v>
      </c>
      <c r="C247" s="14" t="s">
        <v>1489</v>
      </c>
      <c r="D247" s="14" t="s">
        <v>1422</v>
      </c>
      <c r="E247" s="14" t="s">
        <v>1489</v>
      </c>
      <c r="F247" s="14" t="s">
        <v>150</v>
      </c>
      <c r="G247" s="14" t="s">
        <v>151</v>
      </c>
      <c r="H247" s="14">
        <v>30</v>
      </c>
      <c r="I247" s="14"/>
      <c r="J247" s="14"/>
      <c r="K247" s="127"/>
    </row>
    <row r="248" spans="1:11">
      <c r="A248" s="14">
        <f>IF(B248="","",COUNTA($B$4:B248))</f>
        <v>245</v>
      </c>
      <c r="B248" s="14" t="s">
        <v>1532</v>
      </c>
      <c r="C248" s="14" t="s">
        <v>1394</v>
      </c>
      <c r="D248" s="14" t="s">
        <v>1395</v>
      </c>
      <c r="E248" s="14" t="s">
        <v>1394</v>
      </c>
      <c r="F248" s="14" t="s">
        <v>150</v>
      </c>
      <c r="G248" s="14" t="s">
        <v>151</v>
      </c>
      <c r="H248" s="14">
        <v>30</v>
      </c>
      <c r="I248" s="14"/>
      <c r="J248" s="14"/>
      <c r="K248" s="15"/>
    </row>
    <row r="249" spans="1:11">
      <c r="A249" s="14">
        <f>IF(B249="","",COUNTA($B$4:B249))</f>
        <v>246</v>
      </c>
      <c r="B249" s="14" t="s">
        <v>1555</v>
      </c>
      <c r="C249" s="14" t="s">
        <v>441</v>
      </c>
      <c r="D249" s="14" t="s">
        <v>442</v>
      </c>
      <c r="E249" s="14" t="s">
        <v>441</v>
      </c>
      <c r="F249" s="14" t="s">
        <v>150</v>
      </c>
      <c r="G249" s="14" t="s">
        <v>151</v>
      </c>
      <c r="H249" s="14">
        <v>1</v>
      </c>
      <c r="I249" s="14" t="s">
        <v>244</v>
      </c>
      <c r="J249" s="15"/>
      <c r="K249" s="127"/>
    </row>
    <row r="250" spans="1:11">
      <c r="A250" s="14">
        <f>IF(B250="","",COUNTA($B$4:B250))</f>
        <v>247</v>
      </c>
      <c r="B250" s="14" t="s">
        <v>1538</v>
      </c>
      <c r="C250" s="14" t="s">
        <v>1423</v>
      </c>
      <c r="D250" s="14" t="s">
        <v>1378</v>
      </c>
      <c r="E250" s="14" t="s">
        <v>1423</v>
      </c>
      <c r="F250" s="14" t="s">
        <v>150</v>
      </c>
      <c r="G250" s="14" t="s">
        <v>151</v>
      </c>
      <c r="H250" s="14">
        <v>15</v>
      </c>
      <c r="I250" s="14"/>
      <c r="J250" s="14"/>
      <c r="K250" s="127"/>
    </row>
    <row r="251" spans="1:11">
      <c r="A251" s="14">
        <f>IF(B251="","",COUNTA($B$4:B251))</f>
        <v>248</v>
      </c>
      <c r="B251" s="14" t="s">
        <v>1546</v>
      </c>
      <c r="C251" s="14" t="s">
        <v>1423</v>
      </c>
      <c r="D251" s="14" t="s">
        <v>1378</v>
      </c>
      <c r="E251" s="14" t="s">
        <v>1423</v>
      </c>
      <c r="F251" s="14" t="s">
        <v>150</v>
      </c>
      <c r="G251" s="14" t="s">
        <v>151</v>
      </c>
      <c r="H251" s="14">
        <v>15</v>
      </c>
      <c r="I251" s="14"/>
      <c r="J251" s="14"/>
      <c r="K251" s="127"/>
    </row>
    <row r="252" spans="1:11">
      <c r="A252" s="14">
        <f>IF(B252="","",COUNTA($B$4:B252))</f>
        <v>249</v>
      </c>
      <c r="B252" s="14" t="s">
        <v>1548</v>
      </c>
      <c r="C252" s="14" t="s">
        <v>1423</v>
      </c>
      <c r="D252" s="14" t="s">
        <v>1378</v>
      </c>
      <c r="E252" s="14" t="s">
        <v>1423</v>
      </c>
      <c r="F252" s="14" t="s">
        <v>150</v>
      </c>
      <c r="G252" s="14" t="s">
        <v>151</v>
      </c>
      <c r="H252" s="14">
        <v>15</v>
      </c>
      <c r="I252" s="14"/>
      <c r="J252" s="14"/>
      <c r="K252" s="15"/>
    </row>
    <row r="253" spans="1:11">
      <c r="A253" s="14">
        <f>IF(B253="","",COUNTA($B$4:B253))</f>
        <v>250</v>
      </c>
      <c r="B253" s="14" t="s">
        <v>1550</v>
      </c>
      <c r="C253" s="14" t="s">
        <v>1423</v>
      </c>
      <c r="D253" s="14" t="s">
        <v>1378</v>
      </c>
      <c r="E253" s="14" t="s">
        <v>1423</v>
      </c>
      <c r="F253" s="14" t="s">
        <v>150</v>
      </c>
      <c r="G253" s="14" t="s">
        <v>151</v>
      </c>
      <c r="H253" s="14">
        <v>15</v>
      </c>
      <c r="I253" s="14"/>
      <c r="J253" s="15"/>
      <c r="K253" s="15"/>
    </row>
    <row r="254" spans="1:11">
      <c r="A254" s="14">
        <f>IF(B254="","",COUNTA($B$4:B254))</f>
        <v>251</v>
      </c>
      <c r="B254" s="14" t="s">
        <v>1532</v>
      </c>
      <c r="C254" s="14" t="s">
        <v>1472</v>
      </c>
      <c r="D254" s="14" t="s">
        <v>1470</v>
      </c>
      <c r="E254" s="14" t="s">
        <v>1472</v>
      </c>
      <c r="F254" s="14" t="s">
        <v>150</v>
      </c>
      <c r="G254" s="14" t="s">
        <v>151</v>
      </c>
      <c r="H254" s="14">
        <v>30</v>
      </c>
      <c r="I254" s="14"/>
      <c r="J254" s="14"/>
      <c r="K254" s="127"/>
    </row>
    <row r="255" spans="1:11">
      <c r="A255" s="14">
        <f>IF(B255="","",COUNTA($B$4:B255))</f>
        <v>252</v>
      </c>
      <c r="B255" s="14" t="s">
        <v>1538</v>
      </c>
      <c r="C255" s="14" t="s">
        <v>375</v>
      </c>
      <c r="D255" s="14" t="s">
        <v>376</v>
      </c>
      <c r="E255" s="14" t="s">
        <v>375</v>
      </c>
      <c r="F255" s="14" t="s">
        <v>169</v>
      </c>
      <c r="G255" s="14" t="s">
        <v>170</v>
      </c>
      <c r="H255" s="14"/>
      <c r="I255" s="14"/>
      <c r="J255" s="14"/>
      <c r="K255" s="15"/>
    </row>
    <row r="256" spans="1:11">
      <c r="A256" s="14">
        <f>IF(B256="","",COUNTA($B$4:B256))</f>
        <v>253</v>
      </c>
      <c r="B256" s="14" t="s">
        <v>1546</v>
      </c>
      <c r="C256" s="14" t="s">
        <v>375</v>
      </c>
      <c r="D256" s="14" t="s">
        <v>376</v>
      </c>
      <c r="E256" s="14" t="s">
        <v>375</v>
      </c>
      <c r="F256" s="14" t="s">
        <v>169</v>
      </c>
      <c r="G256" s="14" t="s">
        <v>170</v>
      </c>
      <c r="H256" s="14"/>
      <c r="I256" s="14"/>
      <c r="J256" s="14"/>
      <c r="K256" s="127"/>
    </row>
    <row r="257" spans="1:11">
      <c r="A257" s="14">
        <f>IF(B257="","",COUNTA($B$4:B257))</f>
        <v>254</v>
      </c>
      <c r="B257" s="14" t="s">
        <v>1548</v>
      </c>
      <c r="C257" s="14" t="s">
        <v>375</v>
      </c>
      <c r="D257" s="14" t="s">
        <v>376</v>
      </c>
      <c r="E257" s="14" t="s">
        <v>375</v>
      </c>
      <c r="F257" s="14" t="s">
        <v>169</v>
      </c>
      <c r="G257" s="14" t="s">
        <v>170</v>
      </c>
      <c r="H257" s="14"/>
      <c r="I257" s="14"/>
      <c r="J257" s="14"/>
      <c r="K257" s="127"/>
    </row>
    <row r="258" spans="1:11">
      <c r="A258" s="14">
        <f>IF(B258="","",COUNTA($B$4:B258))</f>
        <v>255</v>
      </c>
      <c r="B258" s="14" t="s">
        <v>1550</v>
      </c>
      <c r="C258" s="14" t="s">
        <v>375</v>
      </c>
      <c r="D258" s="14" t="s">
        <v>376</v>
      </c>
      <c r="E258" s="14" t="s">
        <v>375</v>
      </c>
      <c r="F258" s="14" t="s">
        <v>169</v>
      </c>
      <c r="G258" s="14" t="s">
        <v>170</v>
      </c>
      <c r="H258" s="14"/>
      <c r="I258" s="14"/>
      <c r="J258" s="15"/>
      <c r="K258" s="15"/>
    </row>
    <row r="259" spans="1:11">
      <c r="A259" s="14">
        <f>IF(B259="","",COUNTA($B$4:B259))</f>
        <v>256</v>
      </c>
      <c r="B259" s="14" t="s">
        <v>1552</v>
      </c>
      <c r="C259" s="14" t="s">
        <v>375</v>
      </c>
      <c r="D259" s="14" t="s">
        <v>376</v>
      </c>
      <c r="E259" s="14" t="s">
        <v>375</v>
      </c>
      <c r="F259" s="14" t="s">
        <v>169</v>
      </c>
      <c r="G259" s="14" t="s">
        <v>170</v>
      </c>
      <c r="H259" s="14"/>
      <c r="I259" s="14"/>
      <c r="J259" s="15"/>
      <c r="K259" s="127"/>
    </row>
    <row r="260" spans="1:11">
      <c r="A260" s="14">
        <f>IF(B260="","",COUNTA($B$4:B260))</f>
        <v>257</v>
      </c>
      <c r="B260" s="14" t="s">
        <v>1554</v>
      </c>
      <c r="C260" s="14" t="s">
        <v>1433</v>
      </c>
      <c r="D260" s="14" t="s">
        <v>417</v>
      </c>
      <c r="E260" s="14" t="s">
        <v>1434</v>
      </c>
      <c r="F260" s="14" t="s">
        <v>150</v>
      </c>
      <c r="G260" s="14" t="s">
        <v>151</v>
      </c>
      <c r="H260" s="14">
        <v>15</v>
      </c>
      <c r="I260" s="14"/>
      <c r="J260" s="15"/>
      <c r="K260" s="127"/>
    </row>
    <row r="261" spans="1:11">
      <c r="A261" s="14">
        <f>IF(B261="","",COUNTA($B$4:B261))</f>
        <v>258</v>
      </c>
      <c r="B261" s="14" t="s">
        <v>1553</v>
      </c>
      <c r="C261" s="14" t="s">
        <v>1279</v>
      </c>
      <c r="D261" s="14" t="s">
        <v>1280</v>
      </c>
      <c r="E261" s="14" t="s">
        <v>1279</v>
      </c>
      <c r="F261" s="14" t="s">
        <v>155</v>
      </c>
      <c r="G261" s="14" t="s">
        <v>156</v>
      </c>
      <c r="H261" s="14">
        <v>1</v>
      </c>
      <c r="I261" s="14"/>
      <c r="J261" s="15"/>
      <c r="K261" s="15"/>
    </row>
    <row r="262" spans="1:11">
      <c r="A262" s="14">
        <f>IF(B262="","",COUNTA($B$4:B262))</f>
        <v>259</v>
      </c>
      <c r="B262" s="14" t="s">
        <v>1533</v>
      </c>
      <c r="C262" s="14" t="s">
        <v>330</v>
      </c>
      <c r="D262" s="14" t="s">
        <v>331</v>
      </c>
      <c r="E262" s="14" t="s">
        <v>330</v>
      </c>
      <c r="F262" s="14" t="s">
        <v>150</v>
      </c>
      <c r="G262" s="14" t="s">
        <v>151</v>
      </c>
      <c r="H262" s="14">
        <v>100</v>
      </c>
      <c r="I262" s="14"/>
      <c r="J262" s="14"/>
      <c r="K262" s="127"/>
    </row>
    <row r="263" spans="1:11">
      <c r="A263" s="14">
        <f>IF(B263="","",COUNTA($B$4:B263))</f>
        <v>260</v>
      </c>
      <c r="B263" s="14" t="s">
        <v>1515</v>
      </c>
      <c r="C263" s="14" t="s">
        <v>172</v>
      </c>
      <c r="D263" s="14" t="s">
        <v>177</v>
      </c>
      <c r="E263" s="14" t="s">
        <v>172</v>
      </c>
      <c r="F263" s="14" t="s">
        <v>155</v>
      </c>
      <c r="G263" s="14" t="s">
        <v>156</v>
      </c>
      <c r="H263" s="14">
        <v>5</v>
      </c>
      <c r="I263" s="14">
        <v>1</v>
      </c>
      <c r="J263" s="14"/>
      <c r="K263" s="15"/>
    </row>
    <row r="264" spans="1:11">
      <c r="A264" s="14">
        <f>IF(B264="","",COUNTA($B$4:B264))</f>
        <v>261</v>
      </c>
      <c r="B264" s="14" t="s">
        <v>1528</v>
      </c>
      <c r="C264" s="14" t="s">
        <v>172</v>
      </c>
      <c r="D264" s="14" t="s">
        <v>177</v>
      </c>
      <c r="E264" s="14" t="s">
        <v>172</v>
      </c>
      <c r="F264" s="14" t="s">
        <v>150</v>
      </c>
      <c r="G264" s="14" t="s">
        <v>151</v>
      </c>
      <c r="H264" s="14">
        <v>6</v>
      </c>
      <c r="I264" s="14"/>
      <c r="J264" s="14"/>
      <c r="K264" s="15"/>
    </row>
    <row r="265" spans="1:11">
      <c r="A265" s="14">
        <f>IF(B265="","",COUNTA($B$4:B265))</f>
        <v>262</v>
      </c>
      <c r="B265" s="14" t="s">
        <v>1529</v>
      </c>
      <c r="C265" s="14" t="s">
        <v>172</v>
      </c>
      <c r="D265" s="14" t="s">
        <v>177</v>
      </c>
      <c r="E265" s="14" t="s">
        <v>172</v>
      </c>
      <c r="F265" s="14" t="s">
        <v>155</v>
      </c>
      <c r="G265" s="14" t="s">
        <v>156</v>
      </c>
      <c r="H265" s="14">
        <v>5</v>
      </c>
      <c r="I265" s="14">
        <v>1</v>
      </c>
      <c r="J265" s="14"/>
      <c r="K265" s="127"/>
    </row>
    <row r="266" spans="1:11">
      <c r="A266" s="14">
        <f>IF(B266="","",COUNTA($B$4:B266))</f>
        <v>263</v>
      </c>
      <c r="B266" s="14" t="s">
        <v>1530</v>
      </c>
      <c r="C266" s="14" t="s">
        <v>172</v>
      </c>
      <c r="D266" s="14" t="s">
        <v>177</v>
      </c>
      <c r="E266" s="14" t="s">
        <v>172</v>
      </c>
      <c r="F266" s="14" t="s">
        <v>155</v>
      </c>
      <c r="G266" s="14" t="s">
        <v>156</v>
      </c>
      <c r="H266" s="14">
        <v>5</v>
      </c>
      <c r="I266" s="14">
        <v>1</v>
      </c>
      <c r="J266" s="14"/>
      <c r="K266" s="127"/>
    </row>
    <row r="267" spans="1:11">
      <c r="A267" s="14">
        <f>IF(B267="","",COUNTA($B$4:B267))</f>
        <v>264</v>
      </c>
      <c r="B267" s="14" t="s">
        <v>1531</v>
      </c>
      <c r="C267" s="14" t="s">
        <v>172</v>
      </c>
      <c r="D267" s="14" t="s">
        <v>177</v>
      </c>
      <c r="E267" s="14" t="s">
        <v>172</v>
      </c>
      <c r="F267" s="14" t="s">
        <v>155</v>
      </c>
      <c r="G267" s="14" t="s">
        <v>156</v>
      </c>
      <c r="H267" s="14">
        <v>5</v>
      </c>
      <c r="I267" s="14">
        <v>1</v>
      </c>
      <c r="J267" s="14"/>
      <c r="K267" s="15"/>
    </row>
    <row r="268" spans="1:11">
      <c r="A268" s="14">
        <f>IF(B268="","",COUNTA($B$4:B268))</f>
        <v>265</v>
      </c>
      <c r="B268" s="14" t="s">
        <v>1532</v>
      </c>
      <c r="C268" s="14" t="s">
        <v>172</v>
      </c>
      <c r="D268" s="14" t="s">
        <v>177</v>
      </c>
      <c r="E268" s="14" t="s">
        <v>172</v>
      </c>
      <c r="F268" s="14" t="s">
        <v>155</v>
      </c>
      <c r="G268" s="14" t="s">
        <v>156</v>
      </c>
      <c r="H268" s="14">
        <v>5</v>
      </c>
      <c r="I268" s="14">
        <v>1</v>
      </c>
      <c r="J268" s="14"/>
      <c r="K268" s="15"/>
    </row>
    <row r="269" spans="1:11">
      <c r="A269" s="14">
        <f>IF(B269="","",COUNTA($B$4:B269))</f>
        <v>266</v>
      </c>
      <c r="B269" s="14" t="s">
        <v>1533</v>
      </c>
      <c r="C269" s="14" t="s">
        <v>172</v>
      </c>
      <c r="D269" s="14" t="s">
        <v>177</v>
      </c>
      <c r="E269" s="14" t="s">
        <v>172</v>
      </c>
      <c r="F269" s="14" t="s">
        <v>155</v>
      </c>
      <c r="G269" s="14" t="s">
        <v>156</v>
      </c>
      <c r="H269" s="14">
        <v>5</v>
      </c>
      <c r="I269" s="14">
        <v>1</v>
      </c>
      <c r="J269" s="14"/>
      <c r="K269" s="127"/>
    </row>
    <row r="270" spans="1:11">
      <c r="A270" s="14">
        <f>IF(B270="","",COUNTA($B$4:B270))</f>
        <v>267</v>
      </c>
      <c r="B270" s="14" t="s">
        <v>1515</v>
      </c>
      <c r="C270" s="14" t="s">
        <v>251</v>
      </c>
      <c r="D270" s="14" t="s">
        <v>252</v>
      </c>
      <c r="E270" s="14" t="s">
        <v>251</v>
      </c>
      <c r="F270" s="14" t="s">
        <v>150</v>
      </c>
      <c r="G270" s="14" t="s">
        <v>151</v>
      </c>
      <c r="H270" s="14">
        <v>4</v>
      </c>
      <c r="I270" s="14"/>
      <c r="J270" s="14"/>
      <c r="K270" s="15"/>
    </row>
    <row r="271" spans="1:11">
      <c r="A271" s="14">
        <f>IF(B271="","",COUNTA($B$4:B271))</f>
        <v>268</v>
      </c>
      <c r="B271" s="14" t="s">
        <v>1528</v>
      </c>
      <c r="C271" s="14" t="s">
        <v>251</v>
      </c>
      <c r="D271" s="14" t="s">
        <v>252</v>
      </c>
      <c r="E271" s="14" t="s">
        <v>251</v>
      </c>
      <c r="F271" s="14" t="s">
        <v>150</v>
      </c>
      <c r="G271" s="14" t="s">
        <v>151</v>
      </c>
      <c r="H271" s="14">
        <v>4</v>
      </c>
      <c r="I271" s="14"/>
      <c r="J271" s="14"/>
      <c r="K271" s="127"/>
    </row>
    <row r="272" spans="1:11">
      <c r="A272" s="14">
        <f>IF(B272="","",COUNTA($B$4:B272))</f>
        <v>269</v>
      </c>
      <c r="B272" s="14" t="s">
        <v>1529</v>
      </c>
      <c r="C272" s="14" t="s">
        <v>251</v>
      </c>
      <c r="D272" s="14" t="s">
        <v>252</v>
      </c>
      <c r="E272" s="14" t="s">
        <v>251</v>
      </c>
      <c r="F272" s="14" t="s">
        <v>150</v>
      </c>
      <c r="G272" s="14" t="s">
        <v>151</v>
      </c>
      <c r="H272" s="14">
        <v>4</v>
      </c>
      <c r="I272" s="14"/>
      <c r="J272" s="14"/>
      <c r="K272" s="15"/>
    </row>
    <row r="273" spans="1:11">
      <c r="A273" s="14">
        <f>IF(B273="","",COUNTA($B$4:B273))</f>
        <v>270</v>
      </c>
      <c r="B273" s="14" t="s">
        <v>1530</v>
      </c>
      <c r="C273" s="14" t="s">
        <v>251</v>
      </c>
      <c r="D273" s="14" t="s">
        <v>252</v>
      </c>
      <c r="E273" s="14" t="s">
        <v>251</v>
      </c>
      <c r="F273" s="14" t="s">
        <v>150</v>
      </c>
      <c r="G273" s="14" t="s">
        <v>151</v>
      </c>
      <c r="H273" s="14">
        <v>4</v>
      </c>
      <c r="I273" s="14"/>
      <c r="J273" s="14"/>
      <c r="K273" s="127"/>
    </row>
    <row r="274" spans="1:11">
      <c r="A274" s="14">
        <f>IF(B274="","",COUNTA($B$4:B274))</f>
        <v>271</v>
      </c>
      <c r="B274" s="14" t="s">
        <v>1531</v>
      </c>
      <c r="C274" s="14" t="s">
        <v>251</v>
      </c>
      <c r="D274" s="14" t="s">
        <v>252</v>
      </c>
      <c r="E274" s="14" t="s">
        <v>251</v>
      </c>
      <c r="F274" s="14" t="s">
        <v>150</v>
      </c>
      <c r="G274" s="14" t="s">
        <v>151</v>
      </c>
      <c r="H274" s="14">
        <v>4</v>
      </c>
      <c r="I274" s="14"/>
      <c r="J274" s="14"/>
      <c r="K274" s="15"/>
    </row>
    <row r="275" spans="1:11">
      <c r="A275" s="14">
        <f>IF(B275="","",COUNTA($B$4:B275))</f>
        <v>272</v>
      </c>
      <c r="B275" s="14" t="s">
        <v>1532</v>
      </c>
      <c r="C275" s="14" t="s">
        <v>251</v>
      </c>
      <c r="D275" s="14" t="s">
        <v>252</v>
      </c>
      <c r="E275" s="14" t="s">
        <v>251</v>
      </c>
      <c r="F275" s="14" t="s">
        <v>150</v>
      </c>
      <c r="G275" s="14" t="s">
        <v>151</v>
      </c>
      <c r="H275" s="14">
        <v>4</v>
      </c>
      <c r="I275" s="14"/>
      <c r="J275" s="14"/>
      <c r="K275" s="15"/>
    </row>
    <row r="276" spans="1:11">
      <c r="A276" s="14">
        <f>IF(B276="","",COUNTA($B$4:B276))</f>
        <v>273</v>
      </c>
      <c r="B276" s="14" t="s">
        <v>1533</v>
      </c>
      <c r="C276" s="14" t="s">
        <v>251</v>
      </c>
      <c r="D276" s="14" t="s">
        <v>252</v>
      </c>
      <c r="E276" s="14" t="s">
        <v>251</v>
      </c>
      <c r="F276" s="14" t="s">
        <v>150</v>
      </c>
      <c r="G276" s="14" t="s">
        <v>151</v>
      </c>
      <c r="H276" s="14">
        <v>4</v>
      </c>
      <c r="I276" s="14"/>
      <c r="J276" s="14"/>
      <c r="K276" s="15"/>
    </row>
    <row r="277" spans="1:11">
      <c r="A277" s="14">
        <f>IF(B277="","",COUNTA($B$4:B277))</f>
        <v>274</v>
      </c>
      <c r="B277" s="14" t="s">
        <v>1538</v>
      </c>
      <c r="C277" s="14" t="s">
        <v>251</v>
      </c>
      <c r="D277" s="14" t="s">
        <v>252</v>
      </c>
      <c r="E277" s="14" t="s">
        <v>251</v>
      </c>
      <c r="F277" s="14" t="s">
        <v>150</v>
      </c>
      <c r="G277" s="14" t="s">
        <v>151</v>
      </c>
      <c r="H277" s="14">
        <v>4</v>
      </c>
      <c r="I277" s="14"/>
      <c r="J277" s="14"/>
      <c r="K277" s="15"/>
    </row>
    <row r="278" spans="1:11">
      <c r="A278" s="14">
        <f>IF(B278="","",COUNTA($B$4:B278))</f>
        <v>275</v>
      </c>
      <c r="B278" s="14" t="s">
        <v>1545</v>
      </c>
      <c r="C278" s="14" t="s">
        <v>251</v>
      </c>
      <c r="D278" s="14" t="s">
        <v>252</v>
      </c>
      <c r="E278" s="14" t="s">
        <v>251</v>
      </c>
      <c r="F278" s="14" t="s">
        <v>150</v>
      </c>
      <c r="G278" s="14" t="s">
        <v>151</v>
      </c>
      <c r="H278" s="14">
        <v>4</v>
      </c>
      <c r="I278" s="14" t="s">
        <v>244</v>
      </c>
      <c r="J278" s="14"/>
      <c r="K278" s="15"/>
    </row>
    <row r="279" spans="1:11">
      <c r="A279" s="14">
        <f>IF(B279="","",COUNTA($B$4:B279))</f>
        <v>276</v>
      </c>
      <c r="B279" s="14" t="s">
        <v>1546</v>
      </c>
      <c r="C279" s="14" t="s">
        <v>251</v>
      </c>
      <c r="D279" s="14" t="s">
        <v>252</v>
      </c>
      <c r="E279" s="14" t="s">
        <v>251</v>
      </c>
      <c r="F279" s="14" t="s">
        <v>150</v>
      </c>
      <c r="G279" s="14" t="s">
        <v>151</v>
      </c>
      <c r="H279" s="14">
        <v>4</v>
      </c>
      <c r="I279" s="14"/>
      <c r="J279" s="14"/>
      <c r="K279" s="127"/>
    </row>
    <row r="280" spans="1:11">
      <c r="A280" s="14">
        <f>IF(B280="","",COUNTA($B$4:B280))</f>
        <v>277</v>
      </c>
      <c r="B280" s="14" t="s">
        <v>1547</v>
      </c>
      <c r="C280" s="14" t="s">
        <v>251</v>
      </c>
      <c r="D280" s="14" t="s">
        <v>252</v>
      </c>
      <c r="E280" s="14" t="s">
        <v>251</v>
      </c>
      <c r="F280" s="14" t="s">
        <v>150</v>
      </c>
      <c r="G280" s="14" t="s">
        <v>151</v>
      </c>
      <c r="H280" s="14">
        <v>4</v>
      </c>
      <c r="I280" s="14"/>
      <c r="J280" s="14"/>
      <c r="K280" s="15"/>
    </row>
    <row r="281" spans="1:11">
      <c r="A281" s="14">
        <f>IF(B281="","",COUNTA($B$4:B281))</f>
        <v>278</v>
      </c>
      <c r="B281" s="14" t="s">
        <v>1548</v>
      </c>
      <c r="C281" s="14" t="s">
        <v>251</v>
      </c>
      <c r="D281" s="14" t="s">
        <v>252</v>
      </c>
      <c r="E281" s="14" t="s">
        <v>251</v>
      </c>
      <c r="F281" s="14" t="s">
        <v>150</v>
      </c>
      <c r="G281" s="14" t="s">
        <v>151</v>
      </c>
      <c r="H281" s="14">
        <v>4</v>
      </c>
      <c r="I281" s="14"/>
      <c r="J281" s="14"/>
      <c r="K281" s="15"/>
    </row>
    <row r="282" spans="1:11">
      <c r="A282" s="14">
        <f>IF(B282="","",COUNTA($B$4:B282))</f>
        <v>279</v>
      </c>
      <c r="B282" s="14" t="s">
        <v>1549</v>
      </c>
      <c r="C282" s="14" t="s">
        <v>251</v>
      </c>
      <c r="D282" s="14" t="s">
        <v>252</v>
      </c>
      <c r="E282" s="14" t="s">
        <v>251</v>
      </c>
      <c r="F282" s="14" t="s">
        <v>150</v>
      </c>
      <c r="G282" s="14" t="s">
        <v>151</v>
      </c>
      <c r="H282" s="14">
        <v>4</v>
      </c>
      <c r="I282" s="14"/>
      <c r="J282" s="14"/>
      <c r="K282" s="127"/>
    </row>
    <row r="283" spans="1:11">
      <c r="A283" s="14">
        <f>IF(B283="","",COUNTA($B$4:B283))</f>
        <v>280</v>
      </c>
      <c r="B283" s="14" t="s">
        <v>1550</v>
      </c>
      <c r="C283" s="14" t="s">
        <v>251</v>
      </c>
      <c r="D283" s="14" t="s">
        <v>252</v>
      </c>
      <c r="E283" s="14" t="s">
        <v>251</v>
      </c>
      <c r="F283" s="14" t="s">
        <v>150</v>
      </c>
      <c r="G283" s="14" t="s">
        <v>151</v>
      </c>
      <c r="H283" s="14">
        <v>4</v>
      </c>
      <c r="I283" s="14"/>
      <c r="J283" s="15"/>
      <c r="K283" s="15"/>
    </row>
    <row r="284" spans="1:11">
      <c r="A284" s="14">
        <f>IF(B284="","",COUNTA($B$4:B284))</f>
        <v>281</v>
      </c>
      <c r="B284" s="14" t="s">
        <v>1551</v>
      </c>
      <c r="C284" s="14" t="s">
        <v>251</v>
      </c>
      <c r="D284" s="14" t="s">
        <v>252</v>
      </c>
      <c r="E284" s="14" t="s">
        <v>251</v>
      </c>
      <c r="F284" s="14" t="s">
        <v>150</v>
      </c>
      <c r="G284" s="14" t="s">
        <v>151</v>
      </c>
      <c r="H284" s="14">
        <v>4</v>
      </c>
      <c r="I284" s="14"/>
      <c r="J284" s="15"/>
      <c r="K284" s="15"/>
    </row>
    <row r="285" spans="1:11">
      <c r="A285" s="14">
        <f>IF(B285="","",COUNTA($B$4:B285))</f>
        <v>282</v>
      </c>
      <c r="B285" s="14" t="s">
        <v>1552</v>
      </c>
      <c r="C285" s="14" t="s">
        <v>251</v>
      </c>
      <c r="D285" s="14" t="s">
        <v>252</v>
      </c>
      <c r="E285" s="14" t="s">
        <v>251</v>
      </c>
      <c r="F285" s="14" t="s">
        <v>150</v>
      </c>
      <c r="G285" s="14" t="s">
        <v>151</v>
      </c>
      <c r="H285" s="14">
        <v>4</v>
      </c>
      <c r="I285" s="14"/>
      <c r="J285" s="15"/>
      <c r="K285" s="15"/>
    </row>
    <row r="286" spans="1:11">
      <c r="A286" s="14">
        <f>IF(B286="","",COUNTA($B$4:B286))</f>
        <v>283</v>
      </c>
      <c r="B286" s="14" t="s">
        <v>1553</v>
      </c>
      <c r="C286" s="14" t="s">
        <v>251</v>
      </c>
      <c r="D286" s="14" t="s">
        <v>252</v>
      </c>
      <c r="E286" s="14" t="s">
        <v>251</v>
      </c>
      <c r="F286" s="14" t="s">
        <v>150</v>
      </c>
      <c r="G286" s="14" t="s">
        <v>151</v>
      </c>
      <c r="H286" s="14">
        <v>4</v>
      </c>
      <c r="I286" s="14"/>
      <c r="J286" s="15"/>
      <c r="K286" s="15"/>
    </row>
    <row r="287" spans="1:11">
      <c r="A287" s="14">
        <f>IF(B287="","",COUNTA($B$4:B287))</f>
        <v>284</v>
      </c>
      <c r="B287" s="14" t="s">
        <v>1554</v>
      </c>
      <c r="C287" s="14" t="s">
        <v>251</v>
      </c>
      <c r="D287" s="14" t="s">
        <v>252</v>
      </c>
      <c r="E287" s="14" t="s">
        <v>251</v>
      </c>
      <c r="F287" s="14" t="s">
        <v>150</v>
      </c>
      <c r="G287" s="14" t="s">
        <v>151</v>
      </c>
      <c r="H287" s="14">
        <v>4</v>
      </c>
      <c r="I287" s="14"/>
      <c r="J287" s="15"/>
      <c r="K287" s="15"/>
    </row>
    <row r="288" spans="1:11">
      <c r="A288" s="14">
        <f>IF(B288="","",COUNTA($B$4:B288))</f>
        <v>285</v>
      </c>
      <c r="B288" s="14" t="s">
        <v>1515</v>
      </c>
      <c r="C288" s="14" t="s">
        <v>249</v>
      </c>
      <c r="D288" s="14" t="s">
        <v>250</v>
      </c>
      <c r="E288" s="14" t="s">
        <v>249</v>
      </c>
      <c r="F288" s="14" t="s">
        <v>150</v>
      </c>
      <c r="G288" s="14" t="s">
        <v>151</v>
      </c>
      <c r="H288" s="14">
        <v>4</v>
      </c>
      <c r="I288" s="14"/>
      <c r="J288" s="14"/>
      <c r="K288" s="15"/>
    </row>
    <row r="289" spans="1:11">
      <c r="A289" s="14">
        <f>IF(B289="","",COUNTA($B$4:B289))</f>
        <v>286</v>
      </c>
      <c r="B289" s="14" t="s">
        <v>1528</v>
      </c>
      <c r="C289" s="14" t="s">
        <v>249</v>
      </c>
      <c r="D289" s="14" t="s">
        <v>250</v>
      </c>
      <c r="E289" s="14" t="s">
        <v>249</v>
      </c>
      <c r="F289" s="14" t="s">
        <v>150</v>
      </c>
      <c r="G289" s="14" t="s">
        <v>151</v>
      </c>
      <c r="H289" s="14">
        <v>4</v>
      </c>
      <c r="I289" s="14"/>
      <c r="J289" s="14"/>
      <c r="K289" s="127"/>
    </row>
    <row r="290" spans="1:11">
      <c r="A290" s="14">
        <f>IF(B290="","",COUNTA($B$4:B290))</f>
        <v>287</v>
      </c>
      <c r="B290" s="14" t="s">
        <v>1529</v>
      </c>
      <c r="C290" s="14" t="s">
        <v>249</v>
      </c>
      <c r="D290" s="14" t="s">
        <v>250</v>
      </c>
      <c r="E290" s="14" t="s">
        <v>249</v>
      </c>
      <c r="F290" s="14" t="s">
        <v>150</v>
      </c>
      <c r="G290" s="14" t="s">
        <v>151</v>
      </c>
      <c r="H290" s="14">
        <v>4</v>
      </c>
      <c r="I290" s="14"/>
      <c r="J290" s="14"/>
      <c r="K290" s="15"/>
    </row>
    <row r="291" spans="1:11">
      <c r="A291" s="14">
        <f>IF(B291="","",COUNTA($B$4:B291))</f>
        <v>288</v>
      </c>
      <c r="B291" s="14" t="s">
        <v>1530</v>
      </c>
      <c r="C291" s="14" t="s">
        <v>249</v>
      </c>
      <c r="D291" s="14" t="s">
        <v>250</v>
      </c>
      <c r="E291" s="14" t="s">
        <v>249</v>
      </c>
      <c r="F291" s="14" t="s">
        <v>150</v>
      </c>
      <c r="G291" s="14" t="s">
        <v>151</v>
      </c>
      <c r="H291" s="14">
        <v>4</v>
      </c>
      <c r="I291" s="14"/>
      <c r="J291" s="14"/>
      <c r="K291" s="15"/>
    </row>
    <row r="292" spans="1:11">
      <c r="A292" s="14">
        <f>IF(B292="","",COUNTA($B$4:B292))</f>
        <v>289</v>
      </c>
      <c r="B292" s="14" t="s">
        <v>1531</v>
      </c>
      <c r="C292" s="14" t="s">
        <v>249</v>
      </c>
      <c r="D292" s="14" t="s">
        <v>250</v>
      </c>
      <c r="E292" s="14" t="s">
        <v>249</v>
      </c>
      <c r="F292" s="14" t="s">
        <v>150</v>
      </c>
      <c r="G292" s="14" t="s">
        <v>151</v>
      </c>
      <c r="H292" s="14">
        <v>4</v>
      </c>
      <c r="I292" s="14"/>
      <c r="J292" s="14"/>
      <c r="K292" s="15"/>
    </row>
    <row r="293" spans="1:11">
      <c r="A293" s="14">
        <f>IF(B293="","",COUNTA($B$4:B293))</f>
        <v>290</v>
      </c>
      <c r="B293" s="14" t="s">
        <v>1532</v>
      </c>
      <c r="C293" s="14" t="s">
        <v>249</v>
      </c>
      <c r="D293" s="14" t="s">
        <v>250</v>
      </c>
      <c r="E293" s="14" t="s">
        <v>249</v>
      </c>
      <c r="F293" s="14" t="s">
        <v>150</v>
      </c>
      <c r="G293" s="14" t="s">
        <v>151</v>
      </c>
      <c r="H293" s="14">
        <v>4</v>
      </c>
      <c r="I293" s="14"/>
      <c r="J293" s="14"/>
      <c r="K293" s="127"/>
    </row>
    <row r="294" spans="1:11">
      <c r="A294" s="14">
        <f>IF(B294="","",COUNTA($B$4:B294))</f>
        <v>291</v>
      </c>
      <c r="B294" s="14" t="s">
        <v>1533</v>
      </c>
      <c r="C294" s="14" t="s">
        <v>249</v>
      </c>
      <c r="D294" s="14" t="s">
        <v>250</v>
      </c>
      <c r="E294" s="14" t="s">
        <v>249</v>
      </c>
      <c r="F294" s="14" t="s">
        <v>150</v>
      </c>
      <c r="G294" s="14" t="s">
        <v>151</v>
      </c>
      <c r="H294" s="14">
        <v>4</v>
      </c>
      <c r="I294" s="14"/>
      <c r="J294" s="14"/>
      <c r="K294" s="15"/>
    </row>
    <row r="295" spans="1:11">
      <c r="A295" s="14">
        <f>IF(B295="","",COUNTA($B$4:B295))</f>
        <v>292</v>
      </c>
      <c r="B295" s="14" t="s">
        <v>1538</v>
      </c>
      <c r="C295" s="14" t="s">
        <v>249</v>
      </c>
      <c r="D295" s="14" t="s">
        <v>250</v>
      </c>
      <c r="E295" s="14" t="s">
        <v>249</v>
      </c>
      <c r="F295" s="14" t="s">
        <v>150</v>
      </c>
      <c r="G295" s="14" t="s">
        <v>151</v>
      </c>
      <c r="H295" s="14">
        <v>4</v>
      </c>
      <c r="I295" s="14"/>
      <c r="J295" s="14"/>
      <c r="K295" s="127"/>
    </row>
    <row r="296" spans="1:11">
      <c r="A296" s="14">
        <f>IF(B296="","",COUNTA($B$4:B296))</f>
        <v>293</v>
      </c>
      <c r="B296" s="14" t="s">
        <v>1545</v>
      </c>
      <c r="C296" s="14" t="s">
        <v>249</v>
      </c>
      <c r="D296" s="14" t="s">
        <v>250</v>
      </c>
      <c r="E296" s="14" t="s">
        <v>249</v>
      </c>
      <c r="F296" s="14" t="s">
        <v>150</v>
      </c>
      <c r="G296" s="14" t="s">
        <v>151</v>
      </c>
      <c r="H296" s="14">
        <v>4</v>
      </c>
      <c r="I296" s="14" t="s">
        <v>244</v>
      </c>
      <c r="J296" s="14"/>
      <c r="K296" s="15"/>
    </row>
    <row r="297" spans="1:11">
      <c r="A297" s="14">
        <f>IF(B297="","",COUNTA($B$4:B297))</f>
        <v>294</v>
      </c>
      <c r="B297" s="14" t="s">
        <v>1546</v>
      </c>
      <c r="C297" s="14" t="s">
        <v>249</v>
      </c>
      <c r="D297" s="14" t="s">
        <v>250</v>
      </c>
      <c r="E297" s="14" t="s">
        <v>249</v>
      </c>
      <c r="F297" s="14" t="s">
        <v>150</v>
      </c>
      <c r="G297" s="14" t="s">
        <v>151</v>
      </c>
      <c r="H297" s="14">
        <v>4</v>
      </c>
      <c r="I297" s="14"/>
      <c r="J297" s="14"/>
      <c r="K297" s="15"/>
    </row>
    <row r="298" spans="1:11">
      <c r="A298" s="14">
        <f>IF(B298="","",COUNTA($B$4:B298))</f>
        <v>295</v>
      </c>
      <c r="B298" s="14" t="s">
        <v>1547</v>
      </c>
      <c r="C298" s="14" t="s">
        <v>249</v>
      </c>
      <c r="D298" s="14" t="s">
        <v>250</v>
      </c>
      <c r="E298" s="14" t="s">
        <v>249</v>
      </c>
      <c r="F298" s="14" t="s">
        <v>150</v>
      </c>
      <c r="G298" s="14" t="s">
        <v>151</v>
      </c>
      <c r="H298" s="14">
        <v>4</v>
      </c>
      <c r="I298" s="14"/>
      <c r="J298" s="14"/>
      <c r="K298" s="127"/>
    </row>
    <row r="299" spans="1:11">
      <c r="A299" s="14">
        <f>IF(B299="","",COUNTA($B$4:B299))</f>
        <v>296</v>
      </c>
      <c r="B299" s="14" t="s">
        <v>1548</v>
      </c>
      <c r="C299" s="14" t="s">
        <v>249</v>
      </c>
      <c r="D299" s="14" t="s">
        <v>250</v>
      </c>
      <c r="E299" s="14" t="s">
        <v>249</v>
      </c>
      <c r="F299" s="14" t="s">
        <v>150</v>
      </c>
      <c r="G299" s="14" t="s">
        <v>151</v>
      </c>
      <c r="H299" s="14">
        <v>4</v>
      </c>
      <c r="I299" s="14"/>
      <c r="J299" s="14"/>
      <c r="K299" s="127"/>
    </row>
    <row r="300" spans="1:11">
      <c r="A300" s="14">
        <f>IF(B300="","",COUNTA($B$4:B300))</f>
        <v>297</v>
      </c>
      <c r="B300" s="14" t="s">
        <v>1549</v>
      </c>
      <c r="C300" s="14" t="s">
        <v>249</v>
      </c>
      <c r="D300" s="14" t="s">
        <v>250</v>
      </c>
      <c r="E300" s="14" t="s">
        <v>249</v>
      </c>
      <c r="F300" s="14" t="s">
        <v>150</v>
      </c>
      <c r="G300" s="14" t="s">
        <v>151</v>
      </c>
      <c r="H300" s="14">
        <v>4</v>
      </c>
      <c r="I300" s="14"/>
      <c r="J300" s="14"/>
      <c r="K300" s="127"/>
    </row>
    <row r="301" spans="1:11">
      <c r="A301" s="14">
        <f>IF(B301="","",COUNTA($B$4:B301))</f>
        <v>298</v>
      </c>
      <c r="B301" s="14" t="s">
        <v>1550</v>
      </c>
      <c r="C301" s="14" t="s">
        <v>249</v>
      </c>
      <c r="D301" s="14" t="s">
        <v>250</v>
      </c>
      <c r="E301" s="14" t="s">
        <v>249</v>
      </c>
      <c r="F301" s="14" t="s">
        <v>150</v>
      </c>
      <c r="G301" s="14" t="s">
        <v>151</v>
      </c>
      <c r="H301" s="14">
        <v>4</v>
      </c>
      <c r="I301" s="14"/>
      <c r="J301" s="15"/>
      <c r="K301" s="15"/>
    </row>
    <row r="302" spans="1:11">
      <c r="A302" s="14">
        <f>IF(B302="","",COUNTA($B$4:B302))</f>
        <v>299</v>
      </c>
      <c r="B302" s="14" t="s">
        <v>1551</v>
      </c>
      <c r="C302" s="14" t="s">
        <v>249</v>
      </c>
      <c r="D302" s="14" t="s">
        <v>250</v>
      </c>
      <c r="E302" s="14" t="s">
        <v>249</v>
      </c>
      <c r="F302" s="14" t="s">
        <v>150</v>
      </c>
      <c r="G302" s="14" t="s">
        <v>151</v>
      </c>
      <c r="H302" s="14">
        <v>4</v>
      </c>
      <c r="I302" s="14"/>
      <c r="J302" s="15"/>
      <c r="K302" s="127"/>
    </row>
    <row r="303" spans="1:11">
      <c r="A303" s="14">
        <f>IF(B303="","",COUNTA($B$4:B303))</f>
        <v>300</v>
      </c>
      <c r="B303" s="14" t="s">
        <v>1552</v>
      </c>
      <c r="C303" s="14" t="s">
        <v>249</v>
      </c>
      <c r="D303" s="14" t="s">
        <v>250</v>
      </c>
      <c r="E303" s="14" t="s">
        <v>249</v>
      </c>
      <c r="F303" s="14" t="s">
        <v>150</v>
      </c>
      <c r="G303" s="14" t="s">
        <v>151</v>
      </c>
      <c r="H303" s="14">
        <v>4</v>
      </c>
      <c r="I303" s="14"/>
      <c r="J303" s="15"/>
      <c r="K303" s="15"/>
    </row>
    <row r="304" spans="1:11">
      <c r="A304" s="14">
        <f>IF(B304="","",COUNTA($B$4:B304))</f>
        <v>301</v>
      </c>
      <c r="B304" s="14" t="s">
        <v>1553</v>
      </c>
      <c r="C304" s="14" t="s">
        <v>249</v>
      </c>
      <c r="D304" s="14" t="s">
        <v>250</v>
      </c>
      <c r="E304" s="14" t="s">
        <v>249</v>
      </c>
      <c r="F304" s="14" t="s">
        <v>150</v>
      </c>
      <c r="G304" s="14" t="s">
        <v>151</v>
      </c>
      <c r="H304" s="14">
        <v>4</v>
      </c>
      <c r="I304" s="14"/>
      <c r="J304" s="15"/>
      <c r="K304" s="15"/>
    </row>
    <row r="305" spans="1:11">
      <c r="A305" s="14">
        <f>IF(B305="","",COUNTA($B$4:B305))</f>
        <v>302</v>
      </c>
      <c r="B305" s="14" t="s">
        <v>1554</v>
      </c>
      <c r="C305" s="14" t="s">
        <v>249</v>
      </c>
      <c r="D305" s="14" t="s">
        <v>250</v>
      </c>
      <c r="E305" s="14" t="s">
        <v>249</v>
      </c>
      <c r="F305" s="14" t="s">
        <v>150</v>
      </c>
      <c r="G305" s="14" t="s">
        <v>151</v>
      </c>
      <c r="H305" s="14">
        <v>4</v>
      </c>
      <c r="I305" s="14"/>
      <c r="J305" s="15"/>
      <c r="K305" s="15"/>
    </row>
    <row r="306" spans="1:11">
      <c r="A306" s="14">
        <f>IF(B306="","",COUNTA($B$4:B306))</f>
        <v>303</v>
      </c>
      <c r="B306" s="14" t="s">
        <v>1515</v>
      </c>
      <c r="C306" s="14" t="s">
        <v>185</v>
      </c>
      <c r="D306" s="14" t="s">
        <v>186</v>
      </c>
      <c r="E306" s="14" t="s">
        <v>185</v>
      </c>
      <c r="F306" s="14" t="s">
        <v>150</v>
      </c>
      <c r="G306" s="14" t="s">
        <v>151</v>
      </c>
      <c r="H306" s="14">
        <v>75</v>
      </c>
      <c r="I306" s="14"/>
      <c r="J306" s="14"/>
      <c r="K306" s="15"/>
    </row>
    <row r="307" spans="1:11">
      <c r="A307" s="14">
        <f>IF(B307="","",COUNTA($B$4:B307))</f>
        <v>304</v>
      </c>
      <c r="B307" s="14" t="s">
        <v>1528</v>
      </c>
      <c r="C307" s="14" t="s">
        <v>185</v>
      </c>
      <c r="D307" s="14" t="s">
        <v>186</v>
      </c>
      <c r="E307" s="14" t="s">
        <v>185</v>
      </c>
      <c r="F307" s="14" t="s">
        <v>150</v>
      </c>
      <c r="G307" s="14" t="s">
        <v>151</v>
      </c>
      <c r="H307" s="14">
        <v>75</v>
      </c>
      <c r="I307" s="14"/>
      <c r="J307" s="14"/>
      <c r="K307" s="15"/>
    </row>
    <row r="308" spans="1:11">
      <c r="A308" s="14">
        <f>IF(B308="","",COUNTA($B$4:B308))</f>
        <v>305</v>
      </c>
      <c r="B308" s="14" t="s">
        <v>1529</v>
      </c>
      <c r="C308" s="14" t="s">
        <v>185</v>
      </c>
      <c r="D308" s="14" t="s">
        <v>186</v>
      </c>
      <c r="E308" s="14" t="s">
        <v>185</v>
      </c>
      <c r="F308" s="14" t="s">
        <v>150</v>
      </c>
      <c r="G308" s="14" t="s">
        <v>151</v>
      </c>
      <c r="H308" s="14">
        <v>75</v>
      </c>
      <c r="I308" s="14"/>
      <c r="J308" s="14"/>
      <c r="K308" s="15"/>
    </row>
    <row r="309" spans="1:11">
      <c r="A309" s="14">
        <f>IF(B309="","",COUNTA($B$4:B309))</f>
        <v>306</v>
      </c>
      <c r="B309" s="14" t="s">
        <v>1530</v>
      </c>
      <c r="C309" s="14" t="s">
        <v>185</v>
      </c>
      <c r="D309" s="14" t="s">
        <v>186</v>
      </c>
      <c r="E309" s="14" t="s">
        <v>185</v>
      </c>
      <c r="F309" s="14" t="s">
        <v>150</v>
      </c>
      <c r="G309" s="14" t="s">
        <v>151</v>
      </c>
      <c r="H309" s="14">
        <v>75</v>
      </c>
      <c r="I309" s="14"/>
      <c r="J309" s="14"/>
      <c r="K309" s="127"/>
    </row>
    <row r="310" spans="1:11">
      <c r="A310" s="14">
        <f>IF(B310="","",COUNTA($B$4:B310))</f>
        <v>307</v>
      </c>
      <c r="B310" s="14" t="s">
        <v>1531</v>
      </c>
      <c r="C310" s="14" t="s">
        <v>185</v>
      </c>
      <c r="D310" s="14" t="s">
        <v>186</v>
      </c>
      <c r="E310" s="14" t="s">
        <v>185</v>
      </c>
      <c r="F310" s="14" t="s">
        <v>150</v>
      </c>
      <c r="G310" s="14" t="s">
        <v>151</v>
      </c>
      <c r="H310" s="14">
        <v>75</v>
      </c>
      <c r="I310" s="14"/>
      <c r="J310" s="14"/>
      <c r="K310" s="127"/>
    </row>
    <row r="311" spans="1:11">
      <c r="A311" s="14">
        <f>IF(B311="","",COUNTA($B$4:B311))</f>
        <v>308</v>
      </c>
      <c r="B311" s="14" t="s">
        <v>1515</v>
      </c>
      <c r="C311" s="14" t="s">
        <v>174</v>
      </c>
      <c r="D311" s="14" t="s">
        <v>175</v>
      </c>
      <c r="E311" s="14" t="s">
        <v>176</v>
      </c>
      <c r="F311" s="14" t="s">
        <v>169</v>
      </c>
      <c r="G311" s="14" t="s">
        <v>170</v>
      </c>
      <c r="H311" s="14"/>
      <c r="I311" s="14"/>
      <c r="J311" s="14"/>
      <c r="K311" s="15"/>
    </row>
    <row r="312" spans="1:11">
      <c r="A312" s="14">
        <f>IF(B312="","",COUNTA($B$4:B312))</f>
        <v>309</v>
      </c>
      <c r="B312" s="14" t="s">
        <v>1528</v>
      </c>
      <c r="C312" s="14" t="s">
        <v>174</v>
      </c>
      <c r="D312" s="14" t="s">
        <v>175</v>
      </c>
      <c r="E312" s="14" t="s">
        <v>176</v>
      </c>
      <c r="F312" s="14" t="s">
        <v>169</v>
      </c>
      <c r="G312" s="14" t="s">
        <v>170</v>
      </c>
      <c r="H312" s="14"/>
      <c r="I312" s="14"/>
      <c r="J312" s="14"/>
      <c r="K312" s="127"/>
    </row>
    <row r="313" spans="1:11">
      <c r="A313" s="14">
        <f>IF(B313="","",COUNTA($B$4:B313))</f>
        <v>310</v>
      </c>
      <c r="B313" s="14" t="s">
        <v>1529</v>
      </c>
      <c r="C313" s="14" t="s">
        <v>174</v>
      </c>
      <c r="D313" s="14" t="s">
        <v>175</v>
      </c>
      <c r="E313" s="14" t="s">
        <v>176</v>
      </c>
      <c r="F313" s="14" t="s">
        <v>169</v>
      </c>
      <c r="G313" s="14" t="s">
        <v>170</v>
      </c>
      <c r="H313" s="14"/>
      <c r="I313" s="14"/>
      <c r="J313" s="14"/>
      <c r="K313" s="15"/>
    </row>
    <row r="314" spans="1:11">
      <c r="A314" s="14">
        <f>IF(B314="","",COUNTA($B$4:B314))</f>
        <v>311</v>
      </c>
      <c r="B314" s="14" t="s">
        <v>1530</v>
      </c>
      <c r="C314" s="14" t="s">
        <v>174</v>
      </c>
      <c r="D314" s="14" t="s">
        <v>175</v>
      </c>
      <c r="E314" s="14" t="s">
        <v>176</v>
      </c>
      <c r="F314" s="14" t="s">
        <v>169</v>
      </c>
      <c r="G314" s="14" t="s">
        <v>170</v>
      </c>
      <c r="H314" s="14"/>
      <c r="I314" s="14"/>
      <c r="J314" s="14"/>
      <c r="K314" s="15"/>
    </row>
    <row r="315" spans="1:11">
      <c r="A315" s="14">
        <f>IF(B315="","",COUNTA($B$4:B315))</f>
        <v>312</v>
      </c>
      <c r="B315" s="14" t="s">
        <v>1531</v>
      </c>
      <c r="C315" s="14" t="s">
        <v>174</v>
      </c>
      <c r="D315" s="14" t="s">
        <v>175</v>
      </c>
      <c r="E315" s="14" t="s">
        <v>176</v>
      </c>
      <c r="F315" s="14" t="s">
        <v>169</v>
      </c>
      <c r="G315" s="14" t="s">
        <v>170</v>
      </c>
      <c r="H315" s="14"/>
      <c r="I315" s="14"/>
      <c r="J315" s="14"/>
      <c r="K315" s="127"/>
    </row>
    <row r="316" spans="1:11">
      <c r="A316" s="14">
        <f>IF(B316="","",COUNTA($B$4:B316))</f>
        <v>313</v>
      </c>
      <c r="B316" s="14" t="s">
        <v>1532</v>
      </c>
      <c r="C316" s="14" t="s">
        <v>174</v>
      </c>
      <c r="D316" s="14" t="s">
        <v>175</v>
      </c>
      <c r="E316" s="14" t="s">
        <v>176</v>
      </c>
      <c r="F316" s="14" t="s">
        <v>169</v>
      </c>
      <c r="G316" s="14" t="s">
        <v>170</v>
      </c>
      <c r="H316" s="14"/>
      <c r="I316" s="14"/>
      <c r="J316" s="14"/>
      <c r="K316" s="127"/>
    </row>
    <row r="317" spans="1:11">
      <c r="A317" s="14">
        <f>IF(B317="","",COUNTA($B$4:B317))</f>
        <v>314</v>
      </c>
      <c r="B317" s="14" t="s">
        <v>1533</v>
      </c>
      <c r="C317" s="14" t="s">
        <v>174</v>
      </c>
      <c r="D317" s="14" t="s">
        <v>175</v>
      </c>
      <c r="E317" s="14" t="s">
        <v>176</v>
      </c>
      <c r="F317" s="14" t="s">
        <v>169</v>
      </c>
      <c r="G317" s="14" t="s">
        <v>170</v>
      </c>
      <c r="H317" s="14"/>
      <c r="I317" s="14"/>
      <c r="J317" s="14"/>
      <c r="K317" s="127"/>
    </row>
    <row r="318" spans="1:11">
      <c r="A318" s="14">
        <f>IF(B318="","",COUNTA($B$4:B318))</f>
        <v>315</v>
      </c>
      <c r="B318" s="14" t="s">
        <v>1556</v>
      </c>
      <c r="C318" s="14" t="s">
        <v>1473</v>
      </c>
      <c r="D318" s="14" t="s">
        <v>1383</v>
      </c>
      <c r="E318" s="14" t="s">
        <v>1473</v>
      </c>
      <c r="F318" s="14" t="s">
        <v>150</v>
      </c>
      <c r="G318" s="14" t="s">
        <v>151</v>
      </c>
      <c r="H318" s="14">
        <v>10</v>
      </c>
      <c r="I318" s="14"/>
      <c r="J318" s="15"/>
      <c r="K318" s="127"/>
    </row>
    <row r="319" spans="1:11">
      <c r="A319" s="14">
        <f>IF(B319="","",COUNTA($B$4:B319))</f>
        <v>316</v>
      </c>
      <c r="B319" s="14" t="s">
        <v>1515</v>
      </c>
      <c r="C319" s="14" t="s">
        <v>220</v>
      </c>
      <c r="D319" s="14" t="s">
        <v>221</v>
      </c>
      <c r="E319" s="14" t="s">
        <v>220</v>
      </c>
      <c r="F319" s="14" t="s">
        <v>155</v>
      </c>
      <c r="G319" s="14" t="s">
        <v>156</v>
      </c>
      <c r="H319" s="14">
        <v>5</v>
      </c>
      <c r="I319" s="14"/>
      <c r="J319" s="14"/>
      <c r="K319" s="15"/>
    </row>
    <row r="320" spans="1:11">
      <c r="A320" s="14">
        <f>IF(B320="","",COUNTA($B$4:B320))</f>
        <v>317</v>
      </c>
      <c r="B320" s="14" t="s">
        <v>1515</v>
      </c>
      <c r="C320" s="14" t="s">
        <v>178</v>
      </c>
      <c r="D320" s="14" t="s">
        <v>179</v>
      </c>
      <c r="E320" s="14" t="s">
        <v>178</v>
      </c>
      <c r="F320" s="14" t="s">
        <v>150</v>
      </c>
      <c r="G320" s="14" t="s">
        <v>151</v>
      </c>
      <c r="H320" s="14">
        <v>20</v>
      </c>
      <c r="I320" s="14"/>
      <c r="J320" s="14"/>
      <c r="K320" s="15"/>
    </row>
    <row r="321" spans="1:11">
      <c r="A321" s="14">
        <f>IF(B321="","",COUNTA($B$4:B321))</f>
        <v>318</v>
      </c>
      <c r="B321" s="14" t="s">
        <v>1528</v>
      </c>
      <c r="C321" s="14" t="s">
        <v>178</v>
      </c>
      <c r="D321" s="14" t="s">
        <v>179</v>
      </c>
      <c r="E321" s="14" t="s">
        <v>178</v>
      </c>
      <c r="F321" s="14" t="s">
        <v>150</v>
      </c>
      <c r="G321" s="14" t="s">
        <v>151</v>
      </c>
      <c r="H321" s="14">
        <v>20</v>
      </c>
      <c r="I321" s="14"/>
      <c r="J321" s="14"/>
      <c r="K321" s="127"/>
    </row>
    <row r="322" spans="1:11">
      <c r="A322" s="14">
        <f>IF(B322="","",COUNTA($B$4:B322))</f>
        <v>319</v>
      </c>
      <c r="B322" s="14" t="s">
        <v>1529</v>
      </c>
      <c r="C322" s="14" t="s">
        <v>178</v>
      </c>
      <c r="D322" s="14" t="s">
        <v>179</v>
      </c>
      <c r="E322" s="14" t="s">
        <v>178</v>
      </c>
      <c r="F322" s="14" t="s">
        <v>150</v>
      </c>
      <c r="G322" s="14" t="s">
        <v>151</v>
      </c>
      <c r="H322" s="14">
        <v>20</v>
      </c>
      <c r="I322" s="14"/>
      <c r="J322" s="14"/>
      <c r="K322" s="127"/>
    </row>
    <row r="323" spans="1:11">
      <c r="A323" s="14">
        <f>IF(B323="","",COUNTA($B$4:B323))</f>
        <v>320</v>
      </c>
      <c r="B323" s="14" t="s">
        <v>1530</v>
      </c>
      <c r="C323" s="14" t="s">
        <v>178</v>
      </c>
      <c r="D323" s="14" t="s">
        <v>179</v>
      </c>
      <c r="E323" s="14" t="s">
        <v>178</v>
      </c>
      <c r="F323" s="14" t="s">
        <v>150</v>
      </c>
      <c r="G323" s="14" t="s">
        <v>151</v>
      </c>
      <c r="H323" s="14">
        <v>20</v>
      </c>
      <c r="I323" s="14"/>
      <c r="J323" s="14"/>
      <c r="K323" s="15"/>
    </row>
    <row r="324" spans="1:11">
      <c r="A324" s="14">
        <f>IF(B324="","",COUNTA($B$4:B324))</f>
        <v>321</v>
      </c>
      <c r="B324" s="14" t="s">
        <v>1531</v>
      </c>
      <c r="C324" s="14" t="s">
        <v>178</v>
      </c>
      <c r="D324" s="14" t="s">
        <v>179</v>
      </c>
      <c r="E324" s="14" t="s">
        <v>178</v>
      </c>
      <c r="F324" s="14" t="s">
        <v>150</v>
      </c>
      <c r="G324" s="14" t="s">
        <v>151</v>
      </c>
      <c r="H324" s="14">
        <v>20</v>
      </c>
      <c r="I324" s="14"/>
      <c r="J324" s="14"/>
      <c r="K324" s="15"/>
    </row>
    <row r="325" spans="1:11">
      <c r="A325" s="14">
        <f>IF(B325="","",COUNTA($B$4:B325))</f>
        <v>322</v>
      </c>
      <c r="B325" s="14" t="s">
        <v>1532</v>
      </c>
      <c r="C325" s="14" t="s">
        <v>178</v>
      </c>
      <c r="D325" s="14" t="s">
        <v>179</v>
      </c>
      <c r="E325" s="14" t="s">
        <v>178</v>
      </c>
      <c r="F325" s="14" t="s">
        <v>150</v>
      </c>
      <c r="G325" s="14" t="s">
        <v>151</v>
      </c>
      <c r="H325" s="14">
        <v>20</v>
      </c>
      <c r="I325" s="14"/>
      <c r="J325" s="14"/>
      <c r="K325" s="15"/>
    </row>
    <row r="326" spans="1:11">
      <c r="A326" s="14">
        <f>IF(B326="","",COUNTA($B$4:B326))</f>
        <v>323</v>
      </c>
      <c r="B326" s="14" t="s">
        <v>1533</v>
      </c>
      <c r="C326" s="14" t="s">
        <v>178</v>
      </c>
      <c r="D326" s="14" t="s">
        <v>179</v>
      </c>
      <c r="E326" s="14" t="s">
        <v>178</v>
      </c>
      <c r="F326" s="14" t="s">
        <v>150</v>
      </c>
      <c r="G326" s="14" t="s">
        <v>151</v>
      </c>
      <c r="H326" s="14">
        <v>20</v>
      </c>
      <c r="I326" s="14"/>
      <c r="J326" s="14"/>
      <c r="K326" s="127"/>
    </row>
    <row r="327" spans="1:11">
      <c r="A327" s="14">
        <f>IF(B327="","",COUNTA($B$4:B327))</f>
        <v>324</v>
      </c>
      <c r="B327" s="14" t="s">
        <v>1534</v>
      </c>
      <c r="C327" s="14" t="s">
        <v>178</v>
      </c>
      <c r="D327" s="14" t="s">
        <v>179</v>
      </c>
      <c r="E327" s="14" t="s">
        <v>178</v>
      </c>
      <c r="F327" s="14" t="s">
        <v>150</v>
      </c>
      <c r="G327" s="14" t="s">
        <v>151</v>
      </c>
      <c r="H327" s="14">
        <v>20</v>
      </c>
      <c r="I327" s="14"/>
      <c r="J327" s="14"/>
      <c r="K327" s="15"/>
    </row>
    <row r="328" spans="1:11">
      <c r="A328" s="14">
        <f>IF(B328="","",COUNTA($B$4:B328))</f>
        <v>325</v>
      </c>
      <c r="B328" s="14" t="s">
        <v>1545</v>
      </c>
      <c r="C328" s="14" t="s">
        <v>386</v>
      </c>
      <c r="D328" s="14" t="s">
        <v>387</v>
      </c>
      <c r="E328" s="14" t="s">
        <v>386</v>
      </c>
      <c r="F328" s="14" t="s">
        <v>155</v>
      </c>
      <c r="G328" s="14" t="s">
        <v>156</v>
      </c>
      <c r="H328" s="14">
        <v>5</v>
      </c>
      <c r="I328" s="14">
        <v>1</v>
      </c>
      <c r="J328" s="14"/>
      <c r="K328" s="15"/>
    </row>
    <row r="329" spans="1:11">
      <c r="A329" s="14">
        <f>IF(B329="","",COUNTA($B$4:B329))</f>
        <v>326</v>
      </c>
      <c r="B329" s="14" t="s">
        <v>1515</v>
      </c>
      <c r="C329" s="14" t="s">
        <v>157</v>
      </c>
      <c r="D329" s="14" t="s">
        <v>158</v>
      </c>
      <c r="E329" s="14" t="s">
        <v>157</v>
      </c>
      <c r="F329" s="14" t="s">
        <v>150</v>
      </c>
      <c r="G329" s="14" t="s">
        <v>151</v>
      </c>
      <c r="H329" s="14">
        <v>10</v>
      </c>
      <c r="I329" s="14"/>
      <c r="J329" s="14"/>
      <c r="K329" s="15"/>
    </row>
    <row r="330" spans="1:11">
      <c r="A330" s="14">
        <f>IF(B330="","",COUNTA($B$4:B330))</f>
        <v>327</v>
      </c>
      <c r="B330" s="14" t="s">
        <v>1528</v>
      </c>
      <c r="C330" s="14" t="s">
        <v>157</v>
      </c>
      <c r="D330" s="14" t="s">
        <v>158</v>
      </c>
      <c r="E330" s="14" t="s">
        <v>157</v>
      </c>
      <c r="F330" s="14" t="s">
        <v>150</v>
      </c>
      <c r="G330" s="14" t="s">
        <v>151</v>
      </c>
      <c r="H330" s="14">
        <v>10</v>
      </c>
      <c r="I330" s="14"/>
      <c r="J330" s="14"/>
      <c r="K330" s="127"/>
    </row>
    <row r="331" spans="1:11">
      <c r="A331" s="14">
        <f>IF(B331="","",COUNTA($B$4:B331))</f>
        <v>328</v>
      </c>
      <c r="B331" s="14" t="s">
        <v>1529</v>
      </c>
      <c r="C331" s="14" t="s">
        <v>157</v>
      </c>
      <c r="D331" s="14" t="s">
        <v>158</v>
      </c>
      <c r="E331" s="14" t="s">
        <v>157</v>
      </c>
      <c r="F331" s="14" t="s">
        <v>150</v>
      </c>
      <c r="G331" s="14" t="s">
        <v>151</v>
      </c>
      <c r="H331" s="14">
        <v>10</v>
      </c>
      <c r="I331" s="14"/>
      <c r="J331" s="14"/>
      <c r="K331" s="127"/>
    </row>
    <row r="332" spans="1:11">
      <c r="A332" s="14">
        <f>IF(B332="","",COUNTA($B$4:B332))</f>
        <v>329</v>
      </c>
      <c r="B332" s="14" t="s">
        <v>1530</v>
      </c>
      <c r="C332" s="14" t="s">
        <v>157</v>
      </c>
      <c r="D332" s="14" t="s">
        <v>158</v>
      </c>
      <c r="E332" s="14" t="s">
        <v>157</v>
      </c>
      <c r="F332" s="14" t="s">
        <v>150</v>
      </c>
      <c r="G332" s="14" t="s">
        <v>151</v>
      </c>
      <c r="H332" s="14">
        <v>10</v>
      </c>
      <c r="I332" s="14"/>
      <c r="J332" s="14"/>
      <c r="K332" s="15"/>
    </row>
    <row r="333" spans="1:11">
      <c r="A333" s="14">
        <f>IF(B333="","",COUNTA($B$4:B333))</f>
        <v>330</v>
      </c>
      <c r="B333" s="14" t="s">
        <v>1531</v>
      </c>
      <c r="C333" s="14" t="s">
        <v>157</v>
      </c>
      <c r="D333" s="14" t="s">
        <v>158</v>
      </c>
      <c r="E333" s="14" t="s">
        <v>157</v>
      </c>
      <c r="F333" s="14" t="s">
        <v>150</v>
      </c>
      <c r="G333" s="14" t="s">
        <v>151</v>
      </c>
      <c r="H333" s="14">
        <v>10</v>
      </c>
      <c r="I333" s="14"/>
      <c r="J333" s="14"/>
      <c r="K333" s="127"/>
    </row>
    <row r="334" spans="1:11">
      <c r="A334" s="14">
        <f>IF(B334="","",COUNTA($B$4:B334))</f>
        <v>331</v>
      </c>
      <c r="B334" s="14" t="s">
        <v>1532</v>
      </c>
      <c r="C334" s="14" t="s">
        <v>157</v>
      </c>
      <c r="D334" s="14" t="s">
        <v>158</v>
      </c>
      <c r="E334" s="14" t="s">
        <v>157</v>
      </c>
      <c r="F334" s="14" t="s">
        <v>150</v>
      </c>
      <c r="G334" s="14" t="s">
        <v>151</v>
      </c>
      <c r="H334" s="14">
        <v>10</v>
      </c>
      <c r="I334" s="14"/>
      <c r="J334" s="14"/>
      <c r="K334" s="127"/>
    </row>
    <row r="335" spans="1:11">
      <c r="A335" s="14">
        <f>IF(B335="","",COUNTA($B$4:B335))</f>
        <v>332</v>
      </c>
      <c r="B335" s="14" t="s">
        <v>1533</v>
      </c>
      <c r="C335" s="14" t="s">
        <v>157</v>
      </c>
      <c r="D335" s="14" t="s">
        <v>158</v>
      </c>
      <c r="E335" s="14" t="s">
        <v>157</v>
      </c>
      <c r="F335" s="14" t="s">
        <v>150</v>
      </c>
      <c r="G335" s="14" t="s">
        <v>151</v>
      </c>
      <c r="H335" s="14">
        <v>10</v>
      </c>
      <c r="I335" s="14"/>
      <c r="J335" s="14"/>
      <c r="K335" s="15"/>
    </row>
    <row r="336" spans="1:11">
      <c r="A336" s="14">
        <f>IF(B336="","",COUNTA($B$4:B336))</f>
        <v>333</v>
      </c>
      <c r="B336" s="14" t="s">
        <v>1534</v>
      </c>
      <c r="C336" s="14" t="s">
        <v>157</v>
      </c>
      <c r="D336" s="14" t="s">
        <v>158</v>
      </c>
      <c r="E336" s="14" t="s">
        <v>157</v>
      </c>
      <c r="F336" s="14" t="s">
        <v>150</v>
      </c>
      <c r="G336" s="14" t="s">
        <v>151</v>
      </c>
      <c r="H336" s="14">
        <v>10</v>
      </c>
      <c r="I336" s="14"/>
      <c r="J336" s="14"/>
      <c r="K336" s="15"/>
    </row>
    <row r="337" spans="1:11">
      <c r="A337" s="14">
        <f>IF(B337="","",COUNTA($B$4:B337))</f>
        <v>334</v>
      </c>
      <c r="B337" s="14" t="s">
        <v>1515</v>
      </c>
      <c r="C337" s="14" t="s">
        <v>148</v>
      </c>
      <c r="D337" s="14" t="s">
        <v>149</v>
      </c>
      <c r="E337" s="14" t="s">
        <v>148</v>
      </c>
      <c r="F337" s="14" t="s">
        <v>150</v>
      </c>
      <c r="G337" s="14" t="s">
        <v>151</v>
      </c>
      <c r="H337" s="14">
        <v>15</v>
      </c>
      <c r="I337" s="14"/>
      <c r="J337" s="14"/>
      <c r="K337" s="15"/>
    </row>
    <row r="338" spans="1:11">
      <c r="A338" s="14">
        <f>IF(B338="","",COUNTA($B$4:B338))</f>
        <v>335</v>
      </c>
      <c r="B338" s="14" t="s">
        <v>1528</v>
      </c>
      <c r="C338" s="14" t="s">
        <v>148</v>
      </c>
      <c r="D338" s="14" t="s">
        <v>149</v>
      </c>
      <c r="E338" s="14" t="s">
        <v>148</v>
      </c>
      <c r="F338" s="14" t="s">
        <v>150</v>
      </c>
      <c r="G338" s="14" t="s">
        <v>151</v>
      </c>
      <c r="H338" s="14">
        <v>15</v>
      </c>
      <c r="I338" s="14"/>
      <c r="J338" s="14"/>
      <c r="K338" s="127"/>
    </row>
    <row r="339" spans="1:11">
      <c r="A339" s="14">
        <f>IF(B339="","",COUNTA($B$4:B339))</f>
        <v>336</v>
      </c>
      <c r="B339" s="14" t="s">
        <v>1529</v>
      </c>
      <c r="C339" s="14" t="s">
        <v>148</v>
      </c>
      <c r="D339" s="14" t="s">
        <v>149</v>
      </c>
      <c r="E339" s="14" t="s">
        <v>148</v>
      </c>
      <c r="F339" s="14" t="s">
        <v>150</v>
      </c>
      <c r="G339" s="14" t="s">
        <v>151</v>
      </c>
      <c r="H339" s="14">
        <v>15</v>
      </c>
      <c r="I339" s="14"/>
      <c r="J339" s="14"/>
      <c r="K339" s="127"/>
    </row>
    <row r="340" spans="1:11">
      <c r="A340" s="14">
        <f>IF(B340="","",COUNTA($B$4:B340))</f>
        <v>337</v>
      </c>
      <c r="B340" s="14" t="s">
        <v>1530</v>
      </c>
      <c r="C340" s="14" t="s">
        <v>148</v>
      </c>
      <c r="D340" s="14" t="s">
        <v>149</v>
      </c>
      <c r="E340" s="14" t="s">
        <v>148</v>
      </c>
      <c r="F340" s="14" t="s">
        <v>150</v>
      </c>
      <c r="G340" s="14" t="s">
        <v>151</v>
      </c>
      <c r="H340" s="14">
        <v>15</v>
      </c>
      <c r="I340" s="14"/>
      <c r="J340" s="14"/>
      <c r="K340" s="15"/>
    </row>
    <row r="341" spans="1:11">
      <c r="A341" s="14">
        <f>IF(B341="","",COUNTA($B$4:B341))</f>
        <v>338</v>
      </c>
      <c r="B341" s="14" t="s">
        <v>1531</v>
      </c>
      <c r="C341" s="14" t="s">
        <v>148</v>
      </c>
      <c r="D341" s="14" t="s">
        <v>149</v>
      </c>
      <c r="E341" s="14" t="s">
        <v>148</v>
      </c>
      <c r="F341" s="14" t="s">
        <v>150</v>
      </c>
      <c r="G341" s="14" t="s">
        <v>151</v>
      </c>
      <c r="H341" s="14">
        <v>15</v>
      </c>
      <c r="I341" s="14"/>
      <c r="J341" s="14"/>
      <c r="K341" s="15"/>
    </row>
    <row r="342" spans="1:11">
      <c r="A342" s="14">
        <f>IF(B342="","",COUNTA($B$4:B342))</f>
        <v>339</v>
      </c>
      <c r="B342" s="14" t="s">
        <v>1532</v>
      </c>
      <c r="C342" s="14" t="s">
        <v>148</v>
      </c>
      <c r="D342" s="14" t="s">
        <v>149</v>
      </c>
      <c r="E342" s="14" t="s">
        <v>148</v>
      </c>
      <c r="F342" s="14" t="s">
        <v>150</v>
      </c>
      <c r="G342" s="14" t="s">
        <v>151</v>
      </c>
      <c r="H342" s="14">
        <v>15</v>
      </c>
      <c r="I342" s="14"/>
      <c r="J342" s="14"/>
      <c r="K342" s="127"/>
    </row>
    <row r="343" spans="1:11">
      <c r="A343" s="14">
        <f>IF(B343="","",COUNTA($B$4:B343))</f>
        <v>340</v>
      </c>
      <c r="B343" s="14" t="s">
        <v>1533</v>
      </c>
      <c r="C343" s="14" t="s">
        <v>148</v>
      </c>
      <c r="D343" s="14" t="s">
        <v>149</v>
      </c>
      <c r="E343" s="14" t="s">
        <v>148</v>
      </c>
      <c r="F343" s="14" t="s">
        <v>150</v>
      </c>
      <c r="G343" s="14" t="s">
        <v>151</v>
      </c>
      <c r="H343" s="14">
        <v>15</v>
      </c>
      <c r="I343" s="14"/>
      <c r="J343" s="14"/>
      <c r="K343" s="127"/>
    </row>
    <row r="344" spans="1:11">
      <c r="A344" s="14">
        <f>IF(B344="","",COUNTA($B$4:B344))</f>
        <v>341</v>
      </c>
      <c r="B344" s="14" t="s">
        <v>1534</v>
      </c>
      <c r="C344" s="14" t="s">
        <v>148</v>
      </c>
      <c r="D344" s="14" t="s">
        <v>149</v>
      </c>
      <c r="E344" s="14" t="s">
        <v>148</v>
      </c>
      <c r="F344" s="14" t="s">
        <v>150</v>
      </c>
      <c r="G344" s="14" t="s">
        <v>151</v>
      </c>
      <c r="H344" s="14">
        <v>15</v>
      </c>
      <c r="I344" s="14"/>
      <c r="J344" s="14"/>
      <c r="K344" s="127"/>
    </row>
    <row r="345" spans="1:11">
      <c r="A345" s="14">
        <f>IF(B345="","",COUNTA($B$4:B345))</f>
        <v>342</v>
      </c>
      <c r="B345" s="14" t="s">
        <v>1538</v>
      </c>
      <c r="C345" s="14" t="s">
        <v>148</v>
      </c>
      <c r="D345" s="14" t="s">
        <v>149</v>
      </c>
      <c r="E345" s="14" t="s">
        <v>148</v>
      </c>
      <c r="F345" s="14" t="s">
        <v>150</v>
      </c>
      <c r="G345" s="14" t="s">
        <v>151</v>
      </c>
      <c r="H345" s="14">
        <v>15</v>
      </c>
      <c r="I345" s="14"/>
      <c r="J345" s="14"/>
      <c r="K345" s="15"/>
    </row>
    <row r="346" spans="1:11">
      <c r="A346" s="14">
        <f>IF(B346="","",COUNTA($B$4:B346))</f>
        <v>343</v>
      </c>
      <c r="B346" s="14" t="s">
        <v>1545</v>
      </c>
      <c r="C346" s="14" t="s">
        <v>148</v>
      </c>
      <c r="D346" s="14" t="s">
        <v>149</v>
      </c>
      <c r="E346" s="14" t="s">
        <v>148</v>
      </c>
      <c r="F346" s="14" t="s">
        <v>150</v>
      </c>
      <c r="G346" s="14" t="s">
        <v>151</v>
      </c>
      <c r="H346" s="14">
        <v>15</v>
      </c>
      <c r="I346" s="14"/>
      <c r="J346" s="14"/>
      <c r="K346" s="127"/>
    </row>
    <row r="347" spans="1:11">
      <c r="A347" s="14">
        <f>IF(B347="","",COUNTA($B$4:B347))</f>
        <v>344</v>
      </c>
      <c r="B347" s="14" t="s">
        <v>1546</v>
      </c>
      <c r="C347" s="14" t="s">
        <v>148</v>
      </c>
      <c r="D347" s="14" t="s">
        <v>149</v>
      </c>
      <c r="E347" s="14" t="s">
        <v>148</v>
      </c>
      <c r="F347" s="14" t="s">
        <v>150</v>
      </c>
      <c r="G347" s="14" t="s">
        <v>151</v>
      </c>
      <c r="H347" s="14">
        <v>15</v>
      </c>
      <c r="I347" s="14"/>
      <c r="J347" s="14"/>
      <c r="K347" s="15"/>
    </row>
    <row r="348" spans="1:11">
      <c r="A348" s="14">
        <f>IF(B348="","",COUNTA($B$4:B348))</f>
        <v>345</v>
      </c>
      <c r="B348" s="14" t="s">
        <v>1547</v>
      </c>
      <c r="C348" s="14" t="s">
        <v>148</v>
      </c>
      <c r="D348" s="14" t="s">
        <v>149</v>
      </c>
      <c r="E348" s="14" t="s">
        <v>148</v>
      </c>
      <c r="F348" s="14" t="s">
        <v>150</v>
      </c>
      <c r="G348" s="14" t="s">
        <v>151</v>
      </c>
      <c r="H348" s="14">
        <v>15</v>
      </c>
      <c r="I348" s="14"/>
      <c r="J348" s="14"/>
      <c r="K348" s="127"/>
    </row>
    <row r="349" spans="1:11">
      <c r="A349" s="14">
        <f>IF(B349="","",COUNTA($B$4:B349))</f>
        <v>346</v>
      </c>
      <c r="B349" s="14" t="s">
        <v>1548</v>
      </c>
      <c r="C349" s="14" t="s">
        <v>148</v>
      </c>
      <c r="D349" s="14" t="s">
        <v>149</v>
      </c>
      <c r="E349" s="14" t="s">
        <v>148</v>
      </c>
      <c r="F349" s="14" t="s">
        <v>150</v>
      </c>
      <c r="G349" s="14" t="s">
        <v>151</v>
      </c>
      <c r="H349" s="14">
        <v>15</v>
      </c>
      <c r="I349" s="14"/>
      <c r="J349" s="14"/>
      <c r="K349" s="127"/>
    </row>
    <row r="350" spans="1:11">
      <c r="A350" s="14">
        <f>IF(B350="","",COUNTA($B$4:B350))</f>
        <v>347</v>
      </c>
      <c r="B350" s="14" t="s">
        <v>1549</v>
      </c>
      <c r="C350" s="14" t="s">
        <v>148</v>
      </c>
      <c r="D350" s="14" t="s">
        <v>149</v>
      </c>
      <c r="E350" s="14" t="s">
        <v>148</v>
      </c>
      <c r="F350" s="14" t="s">
        <v>150</v>
      </c>
      <c r="G350" s="14" t="s">
        <v>151</v>
      </c>
      <c r="H350" s="14">
        <v>15</v>
      </c>
      <c r="I350" s="14"/>
      <c r="J350" s="14"/>
      <c r="K350" s="15"/>
    </row>
    <row r="351" spans="1:11">
      <c r="A351" s="14">
        <f>IF(B351="","",COUNTA($B$4:B351))</f>
        <v>348</v>
      </c>
      <c r="B351" s="14" t="s">
        <v>1550</v>
      </c>
      <c r="C351" s="14" t="s">
        <v>148</v>
      </c>
      <c r="D351" s="14" t="s">
        <v>149</v>
      </c>
      <c r="E351" s="14" t="s">
        <v>148</v>
      </c>
      <c r="F351" s="14" t="s">
        <v>150</v>
      </c>
      <c r="G351" s="14" t="s">
        <v>151</v>
      </c>
      <c r="H351" s="14">
        <v>15</v>
      </c>
      <c r="I351" s="14"/>
      <c r="J351" s="14"/>
      <c r="K351" s="127"/>
    </row>
    <row r="352" spans="1:11">
      <c r="A352" s="14">
        <f>IF(B352="","",COUNTA($B$4:B352))</f>
        <v>349</v>
      </c>
      <c r="B352" s="14" t="s">
        <v>1551</v>
      </c>
      <c r="C352" s="14" t="s">
        <v>148</v>
      </c>
      <c r="D352" s="14" t="s">
        <v>149</v>
      </c>
      <c r="E352" s="14" t="s">
        <v>148</v>
      </c>
      <c r="F352" s="14" t="s">
        <v>150</v>
      </c>
      <c r="G352" s="14" t="s">
        <v>151</v>
      </c>
      <c r="H352" s="14">
        <v>15</v>
      </c>
      <c r="I352" s="14"/>
      <c r="J352" s="15"/>
      <c r="K352" s="127"/>
    </row>
    <row r="353" spans="1:11">
      <c r="A353" s="14">
        <f>IF(B353="","",COUNTA($B$4:B353))</f>
        <v>350</v>
      </c>
      <c r="B353" s="14" t="s">
        <v>1552</v>
      </c>
      <c r="C353" s="14" t="s">
        <v>148</v>
      </c>
      <c r="D353" s="14" t="s">
        <v>149</v>
      </c>
      <c r="E353" s="14" t="s">
        <v>148</v>
      </c>
      <c r="F353" s="14" t="s">
        <v>150</v>
      </c>
      <c r="G353" s="14" t="s">
        <v>151</v>
      </c>
      <c r="H353" s="14">
        <v>15</v>
      </c>
      <c r="I353" s="14"/>
      <c r="J353" s="15"/>
      <c r="K353" s="15"/>
    </row>
    <row r="354" spans="1:11">
      <c r="A354" s="14">
        <f>IF(B354="","",COUNTA($B$4:B354))</f>
        <v>351</v>
      </c>
      <c r="B354" s="14" t="s">
        <v>1553</v>
      </c>
      <c r="C354" s="14" t="s">
        <v>148</v>
      </c>
      <c r="D354" s="14" t="s">
        <v>149</v>
      </c>
      <c r="E354" s="14" t="s">
        <v>148</v>
      </c>
      <c r="F354" s="14" t="s">
        <v>150</v>
      </c>
      <c r="G354" s="14" t="s">
        <v>151</v>
      </c>
      <c r="H354" s="14">
        <v>15</v>
      </c>
      <c r="I354" s="14"/>
      <c r="J354" s="15"/>
      <c r="K354" s="15"/>
    </row>
    <row r="355" spans="1:11">
      <c r="A355" s="14">
        <f>IF(B355="","",COUNTA($B$4:B355))</f>
        <v>352</v>
      </c>
      <c r="B355" s="14" t="s">
        <v>1554</v>
      </c>
      <c r="C355" s="14" t="s">
        <v>148</v>
      </c>
      <c r="D355" s="14" t="s">
        <v>149</v>
      </c>
      <c r="E355" s="14" t="s">
        <v>148</v>
      </c>
      <c r="F355" s="14" t="s">
        <v>150</v>
      </c>
      <c r="G355" s="14" t="s">
        <v>151</v>
      </c>
      <c r="H355" s="14">
        <v>15</v>
      </c>
      <c r="I355" s="14"/>
      <c r="J355" s="15"/>
      <c r="K355" s="127"/>
    </row>
    <row r="356" spans="1:11">
      <c r="A356" s="14">
        <f>IF(B356="","",COUNTA($B$4:B356))</f>
        <v>353</v>
      </c>
      <c r="B356" s="14" t="s">
        <v>1533</v>
      </c>
      <c r="C356" s="14" t="s">
        <v>1460</v>
      </c>
      <c r="D356" s="14" t="s">
        <v>1397</v>
      </c>
      <c r="E356" s="14" t="s">
        <v>1460</v>
      </c>
      <c r="F356" s="14" t="s">
        <v>155</v>
      </c>
      <c r="G356" s="14" t="s">
        <v>156</v>
      </c>
      <c r="H356" s="14">
        <v>5</v>
      </c>
      <c r="I356" s="14"/>
      <c r="J356" s="14"/>
      <c r="K356" s="15"/>
    </row>
    <row r="357" spans="1:11">
      <c r="A357" s="14">
        <f>IF(B357="","",COUNTA($B$4:B357))</f>
        <v>354</v>
      </c>
      <c r="B357" s="14" t="s">
        <v>1552</v>
      </c>
      <c r="C357" s="14" t="s">
        <v>1460</v>
      </c>
      <c r="D357" s="14" t="s">
        <v>1397</v>
      </c>
      <c r="E357" s="14" t="s">
        <v>1460</v>
      </c>
      <c r="F357" s="14" t="s">
        <v>155</v>
      </c>
      <c r="G357" s="14" t="s">
        <v>156</v>
      </c>
      <c r="H357" s="14">
        <v>5</v>
      </c>
      <c r="I357" s="14"/>
      <c r="J357" s="15"/>
      <c r="K357" s="127"/>
    </row>
    <row r="358" spans="1:11">
      <c r="A358" s="14">
        <f>IF(B358="","",COUNTA($B$4:B358))</f>
        <v>355</v>
      </c>
      <c r="B358" s="14" t="s">
        <v>1553</v>
      </c>
      <c r="C358" s="14" t="s">
        <v>1460</v>
      </c>
      <c r="D358" s="14" t="s">
        <v>1397</v>
      </c>
      <c r="E358" s="14" t="s">
        <v>1460</v>
      </c>
      <c r="F358" s="14" t="s">
        <v>155</v>
      </c>
      <c r="G358" s="14" t="s">
        <v>156</v>
      </c>
      <c r="H358" s="14">
        <v>5</v>
      </c>
      <c r="I358" s="14"/>
      <c r="J358" s="15"/>
      <c r="K358" s="15"/>
    </row>
    <row r="359" spans="1:11">
      <c r="A359" s="14">
        <f>IF(B359="","",COUNTA($B$4:B359))</f>
        <v>356</v>
      </c>
      <c r="B359" s="14" t="s">
        <v>1528</v>
      </c>
      <c r="C359" s="14" t="s">
        <v>270</v>
      </c>
      <c r="D359" s="14" t="s">
        <v>271</v>
      </c>
      <c r="E359" s="14" t="s">
        <v>270</v>
      </c>
      <c r="F359" s="14" t="s">
        <v>150</v>
      </c>
      <c r="G359" s="14" t="s">
        <v>151</v>
      </c>
      <c r="H359" s="14">
        <v>1000</v>
      </c>
      <c r="I359" s="14"/>
      <c r="J359" s="14"/>
      <c r="K359" s="15"/>
    </row>
    <row r="360" spans="1:11">
      <c r="A360" s="14">
        <f>IF(B360="","",COUNTA($B$4:B360))</f>
        <v>357</v>
      </c>
      <c r="B360" s="14" t="s">
        <v>1533</v>
      </c>
      <c r="C360" s="14" t="s">
        <v>303</v>
      </c>
      <c r="D360" s="14" t="s">
        <v>304</v>
      </c>
      <c r="E360" s="14" t="s">
        <v>303</v>
      </c>
      <c r="F360" s="14" t="s">
        <v>169</v>
      </c>
      <c r="G360" s="14" t="s">
        <v>170</v>
      </c>
      <c r="H360" s="14"/>
      <c r="I360" s="14"/>
      <c r="J360" s="14"/>
      <c r="K360" s="127"/>
    </row>
    <row r="361" spans="1:11">
      <c r="A361" s="14">
        <f>IF(B361="","",COUNTA($B$4:B361))</f>
        <v>358</v>
      </c>
      <c r="B361" s="14" t="s">
        <v>1557</v>
      </c>
      <c r="C361" s="14" t="s">
        <v>1475</v>
      </c>
      <c r="D361" s="14" t="s">
        <v>1490</v>
      </c>
      <c r="E361" s="14" t="s">
        <v>1475</v>
      </c>
      <c r="F361" s="14" t="s">
        <v>150</v>
      </c>
      <c r="G361" s="14" t="s">
        <v>151</v>
      </c>
      <c r="H361" s="14">
        <v>4</v>
      </c>
      <c r="I361" s="14"/>
      <c r="J361" s="15"/>
      <c r="K361" s="127"/>
    </row>
    <row r="362" spans="1:11">
      <c r="A362" s="14">
        <f>IF(B362="","",COUNTA($B$4:B362))</f>
        <v>359</v>
      </c>
      <c r="B362" s="14" t="s">
        <v>1555</v>
      </c>
      <c r="C362" s="14" t="s">
        <v>430</v>
      </c>
      <c r="D362" s="14" t="s">
        <v>431</v>
      </c>
      <c r="E362" s="14" t="s">
        <v>430</v>
      </c>
      <c r="F362" s="14" t="s">
        <v>150</v>
      </c>
      <c r="G362" s="14" t="s">
        <v>151</v>
      </c>
      <c r="H362" s="14">
        <v>1</v>
      </c>
      <c r="I362" s="14"/>
      <c r="J362" s="15"/>
      <c r="K362" s="15"/>
    </row>
    <row r="363" spans="1:11">
      <c r="A363" s="14">
        <f>IF(B363="","",COUNTA($B$4:B363))</f>
        <v>360</v>
      </c>
      <c r="B363" s="14" t="s">
        <v>1534</v>
      </c>
      <c r="C363" s="14" t="s">
        <v>353</v>
      </c>
      <c r="D363" s="14" t="s">
        <v>354</v>
      </c>
      <c r="E363" s="14" t="s">
        <v>353</v>
      </c>
      <c r="F363" s="14" t="s">
        <v>155</v>
      </c>
      <c r="G363" s="14" t="s">
        <v>156</v>
      </c>
      <c r="H363" s="14">
        <v>3</v>
      </c>
      <c r="I363" s="14"/>
      <c r="J363" s="14"/>
      <c r="K363" s="15"/>
    </row>
    <row r="364" spans="1:11">
      <c r="A364" s="14">
        <f>IF(B364="","",COUNTA($B$4:B364))</f>
        <v>361</v>
      </c>
      <c r="B364" s="14" t="s">
        <v>1553</v>
      </c>
      <c r="C364" s="14" t="s">
        <v>1431</v>
      </c>
      <c r="D364" s="14" t="s">
        <v>337</v>
      </c>
      <c r="E364" s="14" t="s">
        <v>1431</v>
      </c>
      <c r="F364" s="14" t="s">
        <v>150</v>
      </c>
      <c r="G364" s="14" t="s">
        <v>151</v>
      </c>
      <c r="H364" s="14">
        <v>15</v>
      </c>
      <c r="I364" s="14"/>
      <c r="J364" s="15"/>
      <c r="K364" s="15"/>
    </row>
    <row r="365" spans="1:11">
      <c r="A365" s="14">
        <f>IF(B365="","",COUNTA($B$4:B365))</f>
        <v>362</v>
      </c>
      <c r="B365" s="14" t="s">
        <v>1554</v>
      </c>
      <c r="C365" s="14" t="s">
        <v>1431</v>
      </c>
      <c r="D365" s="14" t="s">
        <v>337</v>
      </c>
      <c r="E365" s="14" t="s">
        <v>1431</v>
      </c>
      <c r="F365" s="14" t="s">
        <v>150</v>
      </c>
      <c r="G365" s="14" t="s">
        <v>151</v>
      </c>
      <c r="H365" s="14">
        <v>15</v>
      </c>
      <c r="I365" s="14"/>
      <c r="J365" s="15"/>
      <c r="K365" s="15"/>
    </row>
    <row r="366" spans="1:11">
      <c r="A366" s="14">
        <f>IF(B366="","",COUNTA($B$4:B366))</f>
        <v>363</v>
      </c>
      <c r="B366" s="14" t="s">
        <v>1531</v>
      </c>
      <c r="C366" s="14" t="s">
        <v>621</v>
      </c>
      <c r="D366" s="14" t="s">
        <v>1399</v>
      </c>
      <c r="E366" s="14" t="s">
        <v>621</v>
      </c>
      <c r="F366" s="14" t="s">
        <v>150</v>
      </c>
      <c r="G366" s="14" t="s">
        <v>151</v>
      </c>
      <c r="H366" s="14">
        <v>30</v>
      </c>
      <c r="I366" s="14"/>
      <c r="J366" s="14"/>
      <c r="K366" s="15"/>
    </row>
    <row r="367" spans="1:11">
      <c r="A367" s="14">
        <f>IF(B367="","",COUNTA($B$4:B367))</f>
        <v>364</v>
      </c>
      <c r="B367" s="14" t="s">
        <v>1534</v>
      </c>
      <c r="C367" s="14" t="s">
        <v>621</v>
      </c>
      <c r="D367" s="14" t="s">
        <v>1399</v>
      </c>
      <c r="E367" s="14" t="s">
        <v>621</v>
      </c>
      <c r="F367" s="14" t="s">
        <v>150</v>
      </c>
      <c r="G367" s="14" t="s">
        <v>151</v>
      </c>
      <c r="H367" s="14">
        <v>30</v>
      </c>
      <c r="I367" s="14"/>
      <c r="J367" s="14"/>
      <c r="K367" s="15"/>
    </row>
    <row r="368" spans="1:11">
      <c r="A368" s="14">
        <f>IF(B368="","",COUNTA($B$4:B368))</f>
        <v>365</v>
      </c>
      <c r="B368" s="14" t="s">
        <v>1515</v>
      </c>
      <c r="C368" s="14" t="s">
        <v>197</v>
      </c>
      <c r="D368" s="14" t="s">
        <v>198</v>
      </c>
      <c r="E368" s="14" t="s">
        <v>197</v>
      </c>
      <c r="F368" s="14" t="s">
        <v>150</v>
      </c>
      <c r="G368" s="14" t="s">
        <v>151</v>
      </c>
      <c r="H368" s="14">
        <v>5</v>
      </c>
      <c r="I368" s="14"/>
      <c r="J368" s="14"/>
      <c r="K368" s="15"/>
    </row>
    <row r="369" spans="1:11">
      <c r="A369" s="14">
        <f>IF(B369="","",COUNTA($B$4:B369))</f>
        <v>366</v>
      </c>
      <c r="B369" s="14" t="s">
        <v>1528</v>
      </c>
      <c r="C369" s="14" t="s">
        <v>197</v>
      </c>
      <c r="D369" s="14" t="s">
        <v>198</v>
      </c>
      <c r="E369" s="14" t="s">
        <v>197</v>
      </c>
      <c r="F369" s="14" t="s">
        <v>150</v>
      </c>
      <c r="G369" s="14" t="s">
        <v>151</v>
      </c>
      <c r="H369" s="14">
        <v>5</v>
      </c>
      <c r="I369" s="14"/>
      <c r="J369" s="14"/>
      <c r="K369" s="15"/>
    </row>
    <row r="370" spans="1:11">
      <c r="A370" s="14">
        <f>IF(B370="","",COUNTA($B$4:B370))</f>
        <v>367</v>
      </c>
      <c r="B370" s="14" t="s">
        <v>1529</v>
      </c>
      <c r="C370" s="14" t="s">
        <v>197</v>
      </c>
      <c r="D370" s="14" t="s">
        <v>198</v>
      </c>
      <c r="E370" s="14" t="s">
        <v>197</v>
      </c>
      <c r="F370" s="14" t="s">
        <v>150</v>
      </c>
      <c r="G370" s="14" t="s">
        <v>151</v>
      </c>
      <c r="H370" s="14">
        <v>25</v>
      </c>
      <c r="I370" s="14"/>
      <c r="J370" s="14"/>
      <c r="K370" s="15"/>
    </row>
    <row r="371" spans="1:11">
      <c r="A371" s="14">
        <f>IF(B371="","",COUNTA($B$4:B371))</f>
        <v>368</v>
      </c>
      <c r="B371" s="14" t="s">
        <v>1530</v>
      </c>
      <c r="C371" s="14" t="s">
        <v>197</v>
      </c>
      <c r="D371" s="14" t="s">
        <v>198</v>
      </c>
      <c r="E371" s="14" t="s">
        <v>197</v>
      </c>
      <c r="F371" s="14" t="s">
        <v>150</v>
      </c>
      <c r="G371" s="14" t="s">
        <v>151</v>
      </c>
      <c r="H371" s="14">
        <v>5</v>
      </c>
      <c r="I371" s="14"/>
      <c r="J371" s="14"/>
      <c r="K371" s="127"/>
    </row>
    <row r="372" spans="1:11">
      <c r="A372" s="14">
        <f>IF(B372="","",COUNTA($B$4:B372))</f>
        <v>369</v>
      </c>
      <c r="B372" s="14" t="s">
        <v>1531</v>
      </c>
      <c r="C372" s="14" t="s">
        <v>197</v>
      </c>
      <c r="D372" s="14" t="s">
        <v>198</v>
      </c>
      <c r="E372" s="14" t="s">
        <v>197</v>
      </c>
      <c r="F372" s="14" t="s">
        <v>150</v>
      </c>
      <c r="G372" s="14" t="s">
        <v>151</v>
      </c>
      <c r="H372" s="14">
        <v>5</v>
      </c>
      <c r="I372" s="14"/>
      <c r="J372" s="14"/>
      <c r="K372" s="15"/>
    </row>
    <row r="373" spans="1:11">
      <c r="A373" s="14">
        <f>IF(B373="","",COUNTA($B$4:B373))</f>
        <v>370</v>
      </c>
      <c r="B373" s="14" t="s">
        <v>1532</v>
      </c>
      <c r="C373" s="14" t="s">
        <v>197</v>
      </c>
      <c r="D373" s="14" t="s">
        <v>198</v>
      </c>
      <c r="E373" s="14" t="s">
        <v>197</v>
      </c>
      <c r="F373" s="14" t="s">
        <v>150</v>
      </c>
      <c r="G373" s="14" t="s">
        <v>151</v>
      </c>
      <c r="H373" s="14">
        <v>5</v>
      </c>
      <c r="I373" s="14"/>
      <c r="J373" s="14"/>
      <c r="K373" s="127"/>
    </row>
    <row r="374" spans="1:11">
      <c r="A374" s="14">
        <f>IF(B374="","",COUNTA($B$4:B374))</f>
        <v>371</v>
      </c>
      <c r="B374" s="14" t="s">
        <v>1533</v>
      </c>
      <c r="C374" s="14" t="s">
        <v>197</v>
      </c>
      <c r="D374" s="14" t="s">
        <v>198</v>
      </c>
      <c r="E374" s="14" t="s">
        <v>197</v>
      </c>
      <c r="F374" s="14" t="s">
        <v>150</v>
      </c>
      <c r="G374" s="14" t="s">
        <v>151</v>
      </c>
      <c r="H374" s="14">
        <v>5</v>
      </c>
      <c r="I374" s="14"/>
      <c r="J374" s="14"/>
      <c r="K374" s="127"/>
    </row>
    <row r="375" spans="1:11">
      <c r="A375" s="14">
        <f>IF(B375="","",COUNTA($B$4:B375))</f>
        <v>372</v>
      </c>
      <c r="B375" s="14" t="s">
        <v>1534</v>
      </c>
      <c r="C375" s="14" t="s">
        <v>197</v>
      </c>
      <c r="D375" s="14" t="s">
        <v>198</v>
      </c>
      <c r="E375" s="14" t="s">
        <v>197</v>
      </c>
      <c r="F375" s="14" t="s">
        <v>150</v>
      </c>
      <c r="G375" s="14" t="s">
        <v>151</v>
      </c>
      <c r="H375" s="14">
        <v>5</v>
      </c>
      <c r="I375" s="14"/>
      <c r="J375" s="14"/>
      <c r="K375" s="127"/>
    </row>
    <row r="376" spans="1:11">
      <c r="A376" s="14">
        <f>IF(B376="","",COUNTA($B$4:B376))</f>
        <v>373</v>
      </c>
      <c r="B376" s="14" t="s">
        <v>1538</v>
      </c>
      <c r="C376" s="14" t="s">
        <v>197</v>
      </c>
      <c r="D376" s="14" t="s">
        <v>198</v>
      </c>
      <c r="E376" s="14" t="s">
        <v>197</v>
      </c>
      <c r="F376" s="14" t="s">
        <v>150</v>
      </c>
      <c r="G376" s="14" t="s">
        <v>151</v>
      </c>
      <c r="H376" s="14">
        <v>5</v>
      </c>
      <c r="I376" s="14"/>
      <c r="J376" s="14"/>
      <c r="K376" s="15"/>
    </row>
    <row r="377" spans="1:11">
      <c r="A377" s="14">
        <f>IF(B377="","",COUNTA($B$4:B377))</f>
        <v>374</v>
      </c>
      <c r="B377" s="14" t="s">
        <v>1545</v>
      </c>
      <c r="C377" s="14" t="s">
        <v>197</v>
      </c>
      <c r="D377" s="14" t="s">
        <v>198</v>
      </c>
      <c r="E377" s="14" t="s">
        <v>197</v>
      </c>
      <c r="F377" s="14" t="s">
        <v>150</v>
      </c>
      <c r="G377" s="14" t="s">
        <v>151</v>
      </c>
      <c r="H377" s="14">
        <v>5</v>
      </c>
      <c r="I377" s="14"/>
      <c r="J377" s="14"/>
      <c r="K377" s="15"/>
    </row>
    <row r="378" spans="1:11">
      <c r="A378" s="14">
        <f>IF(B378="","",COUNTA($B$4:B378))</f>
        <v>375</v>
      </c>
      <c r="B378" s="14" t="s">
        <v>1546</v>
      </c>
      <c r="C378" s="14" t="s">
        <v>197</v>
      </c>
      <c r="D378" s="14" t="s">
        <v>198</v>
      </c>
      <c r="E378" s="14" t="s">
        <v>197</v>
      </c>
      <c r="F378" s="14" t="s">
        <v>150</v>
      </c>
      <c r="G378" s="14" t="s">
        <v>151</v>
      </c>
      <c r="H378" s="14">
        <v>5</v>
      </c>
      <c r="I378" s="14"/>
      <c r="J378" s="14"/>
      <c r="K378" s="127"/>
    </row>
    <row r="379" spans="1:11">
      <c r="A379" s="14">
        <f>IF(B379="","",COUNTA($B$4:B379))</f>
        <v>376</v>
      </c>
      <c r="B379" s="14" t="s">
        <v>1547</v>
      </c>
      <c r="C379" s="14" t="s">
        <v>197</v>
      </c>
      <c r="D379" s="14" t="s">
        <v>198</v>
      </c>
      <c r="E379" s="14" t="s">
        <v>197</v>
      </c>
      <c r="F379" s="14" t="s">
        <v>150</v>
      </c>
      <c r="G379" s="14" t="s">
        <v>151</v>
      </c>
      <c r="H379" s="14">
        <v>5</v>
      </c>
      <c r="I379" s="14"/>
      <c r="J379" s="14"/>
      <c r="K379" s="127"/>
    </row>
    <row r="380" spans="1:11">
      <c r="A380" s="14">
        <f>IF(B380="","",COUNTA($B$4:B380))</f>
        <v>377</v>
      </c>
      <c r="B380" s="14" t="s">
        <v>1548</v>
      </c>
      <c r="C380" s="14" t="s">
        <v>197</v>
      </c>
      <c r="D380" s="14" t="s">
        <v>198</v>
      </c>
      <c r="E380" s="14" t="s">
        <v>197</v>
      </c>
      <c r="F380" s="14" t="s">
        <v>150</v>
      </c>
      <c r="G380" s="14" t="s">
        <v>151</v>
      </c>
      <c r="H380" s="14">
        <v>5</v>
      </c>
      <c r="I380" s="14"/>
      <c r="J380" s="14"/>
      <c r="K380" s="15"/>
    </row>
    <row r="381" spans="1:11">
      <c r="A381" s="14">
        <f>IF(B381="","",COUNTA($B$4:B381))</f>
        <v>378</v>
      </c>
      <c r="B381" s="14" t="s">
        <v>1549</v>
      </c>
      <c r="C381" s="14" t="s">
        <v>197</v>
      </c>
      <c r="D381" s="14" t="s">
        <v>198</v>
      </c>
      <c r="E381" s="14" t="s">
        <v>197</v>
      </c>
      <c r="F381" s="14" t="s">
        <v>150</v>
      </c>
      <c r="G381" s="14" t="s">
        <v>151</v>
      </c>
      <c r="H381" s="14">
        <v>5</v>
      </c>
      <c r="I381" s="14"/>
      <c r="J381" s="14"/>
      <c r="K381" s="127"/>
    </row>
    <row r="382" spans="1:11">
      <c r="A382" s="14">
        <f>IF(B382="","",COUNTA($B$4:B382))</f>
        <v>379</v>
      </c>
      <c r="B382" s="14" t="s">
        <v>1550</v>
      </c>
      <c r="C382" s="14" t="s">
        <v>197</v>
      </c>
      <c r="D382" s="14" t="s">
        <v>198</v>
      </c>
      <c r="E382" s="14" t="s">
        <v>197</v>
      </c>
      <c r="F382" s="14" t="s">
        <v>150</v>
      </c>
      <c r="G382" s="14" t="s">
        <v>151</v>
      </c>
      <c r="H382" s="14">
        <v>5</v>
      </c>
      <c r="I382" s="14"/>
      <c r="J382" s="15"/>
      <c r="K382" s="15"/>
    </row>
    <row r="383" spans="1:11">
      <c r="A383" s="14">
        <f>IF(B383="","",COUNTA($B$4:B383))</f>
        <v>380</v>
      </c>
      <c r="B383" s="14" t="s">
        <v>1551</v>
      </c>
      <c r="C383" s="14" t="s">
        <v>197</v>
      </c>
      <c r="D383" s="14" t="s">
        <v>198</v>
      </c>
      <c r="E383" s="14" t="s">
        <v>197</v>
      </c>
      <c r="F383" s="14" t="s">
        <v>150</v>
      </c>
      <c r="G383" s="14" t="s">
        <v>151</v>
      </c>
      <c r="H383" s="14">
        <v>5</v>
      </c>
      <c r="I383" s="14"/>
      <c r="J383" s="15"/>
      <c r="K383" s="15"/>
    </row>
    <row r="384" spans="1:11">
      <c r="A384" s="14">
        <f>IF(B384="","",COUNTA($B$4:B384))</f>
        <v>381</v>
      </c>
      <c r="B384" s="14" t="s">
        <v>1552</v>
      </c>
      <c r="C384" s="14" t="s">
        <v>197</v>
      </c>
      <c r="D384" s="14" t="s">
        <v>198</v>
      </c>
      <c r="E384" s="14" t="s">
        <v>197</v>
      </c>
      <c r="F384" s="14" t="s">
        <v>150</v>
      </c>
      <c r="G384" s="14" t="s">
        <v>151</v>
      </c>
      <c r="H384" s="14">
        <v>5</v>
      </c>
      <c r="I384" s="14"/>
      <c r="J384" s="15"/>
      <c r="K384" s="15"/>
    </row>
    <row r="385" spans="1:11">
      <c r="A385" s="14">
        <f>IF(B385="","",COUNTA($B$4:B385))</f>
        <v>382</v>
      </c>
      <c r="B385" s="14" t="s">
        <v>1553</v>
      </c>
      <c r="C385" s="14" t="s">
        <v>197</v>
      </c>
      <c r="D385" s="14" t="s">
        <v>198</v>
      </c>
      <c r="E385" s="14" t="s">
        <v>197</v>
      </c>
      <c r="F385" s="14" t="s">
        <v>150</v>
      </c>
      <c r="G385" s="14" t="s">
        <v>151</v>
      </c>
      <c r="H385" s="14">
        <v>5</v>
      </c>
      <c r="I385" s="14"/>
      <c r="J385" s="15"/>
      <c r="K385" s="15"/>
    </row>
    <row r="386" spans="1:11">
      <c r="A386" s="14">
        <f>IF(B386="","",COUNTA($B$4:B386))</f>
        <v>383</v>
      </c>
      <c r="B386" s="14" t="s">
        <v>1515</v>
      </c>
      <c r="C386" s="14" t="s">
        <v>162</v>
      </c>
      <c r="D386" s="14" t="s">
        <v>163</v>
      </c>
      <c r="E386" s="14" t="s">
        <v>164</v>
      </c>
      <c r="F386" s="14" t="s">
        <v>150</v>
      </c>
      <c r="G386" s="14" t="s">
        <v>151</v>
      </c>
      <c r="H386" s="14">
        <v>4</v>
      </c>
      <c r="I386" s="14"/>
      <c r="J386" s="14"/>
      <c r="K386" s="15"/>
    </row>
    <row r="387" spans="1:11">
      <c r="A387" s="14">
        <f>IF(B387="","",COUNTA($B$4:B387))</f>
        <v>384</v>
      </c>
      <c r="B387" s="14" t="s">
        <v>1528</v>
      </c>
      <c r="C387" s="14" t="s">
        <v>162</v>
      </c>
      <c r="D387" s="14" t="s">
        <v>163</v>
      </c>
      <c r="E387" s="14" t="s">
        <v>164</v>
      </c>
      <c r="F387" s="14" t="s">
        <v>150</v>
      </c>
      <c r="G387" s="14" t="s">
        <v>151</v>
      </c>
      <c r="H387" s="14">
        <v>4</v>
      </c>
      <c r="I387" s="14"/>
      <c r="J387" s="14"/>
      <c r="K387" s="127"/>
    </row>
    <row r="388" spans="1:11">
      <c r="A388" s="14">
        <f>IF(B388="","",COUNTA($B$4:B388))</f>
        <v>385</v>
      </c>
      <c r="B388" s="14" t="s">
        <v>1529</v>
      </c>
      <c r="C388" s="14" t="s">
        <v>162</v>
      </c>
      <c r="D388" s="14" t="s">
        <v>163</v>
      </c>
      <c r="E388" s="14" t="s">
        <v>164</v>
      </c>
      <c r="F388" s="14" t="s">
        <v>150</v>
      </c>
      <c r="G388" s="14" t="s">
        <v>151</v>
      </c>
      <c r="H388" s="14">
        <v>4</v>
      </c>
      <c r="I388" s="14"/>
      <c r="J388" s="14"/>
      <c r="K388" s="15"/>
    </row>
    <row r="389" spans="1:11">
      <c r="A389" s="14">
        <f>IF(B389="","",COUNTA($B$4:B389))</f>
        <v>386</v>
      </c>
      <c r="B389" s="14" t="s">
        <v>1530</v>
      </c>
      <c r="C389" s="14" t="s">
        <v>162</v>
      </c>
      <c r="D389" s="14" t="s">
        <v>163</v>
      </c>
      <c r="E389" s="14" t="s">
        <v>164</v>
      </c>
      <c r="F389" s="14" t="s">
        <v>150</v>
      </c>
      <c r="G389" s="14" t="s">
        <v>151</v>
      </c>
      <c r="H389" s="14">
        <v>4</v>
      </c>
      <c r="I389" s="14"/>
      <c r="J389" s="14"/>
      <c r="K389" s="15"/>
    </row>
    <row r="390" spans="1:11">
      <c r="A390" s="14">
        <f>IF(B390="","",COUNTA($B$4:B390))</f>
        <v>387</v>
      </c>
      <c r="B390" s="14" t="s">
        <v>1531</v>
      </c>
      <c r="C390" s="14" t="s">
        <v>162</v>
      </c>
      <c r="D390" s="14" t="s">
        <v>163</v>
      </c>
      <c r="E390" s="14" t="s">
        <v>164</v>
      </c>
      <c r="F390" s="14" t="s">
        <v>150</v>
      </c>
      <c r="G390" s="14" t="s">
        <v>151</v>
      </c>
      <c r="H390" s="14">
        <v>4</v>
      </c>
      <c r="I390" s="14"/>
      <c r="J390" s="14"/>
      <c r="K390" s="127"/>
    </row>
    <row r="391" spans="1:11">
      <c r="A391" s="14">
        <f>IF(B391="","",COUNTA($B$4:B391))</f>
        <v>388</v>
      </c>
      <c r="B391" s="14" t="s">
        <v>1532</v>
      </c>
      <c r="C391" s="14" t="s">
        <v>162</v>
      </c>
      <c r="D391" s="14" t="s">
        <v>163</v>
      </c>
      <c r="E391" s="14" t="s">
        <v>164</v>
      </c>
      <c r="F391" s="14" t="s">
        <v>150</v>
      </c>
      <c r="G391" s="14" t="s">
        <v>151</v>
      </c>
      <c r="H391" s="14">
        <v>4</v>
      </c>
      <c r="I391" s="14"/>
      <c r="J391" s="14"/>
      <c r="K391" s="15"/>
    </row>
    <row r="392" spans="1:11">
      <c r="A392" s="14">
        <f>IF(B392="","",COUNTA($B$4:B392))</f>
        <v>389</v>
      </c>
      <c r="B392" s="14" t="s">
        <v>1533</v>
      </c>
      <c r="C392" s="14" t="s">
        <v>162</v>
      </c>
      <c r="D392" s="14" t="s">
        <v>163</v>
      </c>
      <c r="E392" s="14" t="s">
        <v>164</v>
      </c>
      <c r="F392" s="14" t="s">
        <v>150</v>
      </c>
      <c r="G392" s="14" t="s">
        <v>151</v>
      </c>
      <c r="H392" s="14">
        <v>4</v>
      </c>
      <c r="I392" s="14"/>
      <c r="J392" s="14"/>
      <c r="K392" s="127"/>
    </row>
    <row r="393" spans="1:11">
      <c r="A393" s="14">
        <f>IF(B393="","",COUNTA($B$4:B393))</f>
        <v>390</v>
      </c>
      <c r="B393" s="14" t="s">
        <v>1538</v>
      </c>
      <c r="C393" s="14" t="s">
        <v>162</v>
      </c>
      <c r="D393" s="14" t="s">
        <v>163</v>
      </c>
      <c r="E393" s="14" t="s">
        <v>164</v>
      </c>
      <c r="F393" s="14" t="s">
        <v>150</v>
      </c>
      <c r="G393" s="14" t="s">
        <v>151</v>
      </c>
      <c r="H393" s="14">
        <v>4</v>
      </c>
      <c r="I393" s="14"/>
      <c r="J393" s="14"/>
      <c r="K393" s="127"/>
    </row>
    <row r="394" spans="1:11">
      <c r="A394" s="14">
        <f>IF(B394="","",COUNTA($B$4:B394))</f>
        <v>391</v>
      </c>
      <c r="B394" s="14" t="s">
        <v>1546</v>
      </c>
      <c r="C394" s="14" t="s">
        <v>162</v>
      </c>
      <c r="D394" s="14" t="s">
        <v>163</v>
      </c>
      <c r="E394" s="14" t="s">
        <v>164</v>
      </c>
      <c r="F394" s="14" t="s">
        <v>150</v>
      </c>
      <c r="G394" s="14" t="s">
        <v>151</v>
      </c>
      <c r="H394" s="14">
        <v>4</v>
      </c>
      <c r="I394" s="14"/>
      <c r="J394" s="14"/>
      <c r="K394" s="127"/>
    </row>
    <row r="395" spans="1:11">
      <c r="A395" s="14">
        <f>IF(B395="","",COUNTA($B$4:B395))</f>
        <v>392</v>
      </c>
      <c r="B395" s="14" t="s">
        <v>1548</v>
      </c>
      <c r="C395" s="14" t="s">
        <v>162</v>
      </c>
      <c r="D395" s="14" t="s">
        <v>163</v>
      </c>
      <c r="E395" s="14" t="s">
        <v>164</v>
      </c>
      <c r="F395" s="14" t="s">
        <v>150</v>
      </c>
      <c r="G395" s="14" t="s">
        <v>151</v>
      </c>
      <c r="H395" s="14">
        <v>4</v>
      </c>
      <c r="I395" s="14"/>
      <c r="J395" s="14"/>
      <c r="K395" s="15"/>
    </row>
    <row r="396" spans="1:11">
      <c r="A396" s="14">
        <f>IF(B396="","",COUNTA($B$4:B396))</f>
        <v>393</v>
      </c>
      <c r="B396" s="14" t="s">
        <v>1550</v>
      </c>
      <c r="C396" s="14" t="s">
        <v>162</v>
      </c>
      <c r="D396" s="14" t="s">
        <v>163</v>
      </c>
      <c r="E396" s="14" t="s">
        <v>164</v>
      </c>
      <c r="F396" s="14" t="s">
        <v>150</v>
      </c>
      <c r="G396" s="14" t="s">
        <v>151</v>
      </c>
      <c r="H396" s="14">
        <v>4</v>
      </c>
      <c r="I396" s="14"/>
      <c r="J396" s="14"/>
      <c r="K396" s="127"/>
    </row>
    <row r="397" spans="1:11">
      <c r="A397" s="14">
        <f>IF(B397="","",COUNTA($B$4:B397))</f>
        <v>394</v>
      </c>
      <c r="B397" s="14" t="s">
        <v>1551</v>
      </c>
      <c r="C397" s="14" t="s">
        <v>162</v>
      </c>
      <c r="D397" s="14" t="s">
        <v>163</v>
      </c>
      <c r="E397" s="14" t="s">
        <v>164</v>
      </c>
      <c r="F397" s="14" t="s">
        <v>150</v>
      </c>
      <c r="G397" s="14" t="s">
        <v>151</v>
      </c>
      <c r="H397" s="14">
        <v>4</v>
      </c>
      <c r="I397" s="14"/>
      <c r="J397" s="15"/>
      <c r="K397" s="127"/>
    </row>
    <row r="398" spans="1:11">
      <c r="A398" s="14">
        <f>IF(B398="","",COUNTA($B$4:B398))</f>
        <v>395</v>
      </c>
      <c r="B398" s="14" t="s">
        <v>1552</v>
      </c>
      <c r="C398" s="14" t="s">
        <v>162</v>
      </c>
      <c r="D398" s="14" t="s">
        <v>163</v>
      </c>
      <c r="E398" s="14" t="s">
        <v>164</v>
      </c>
      <c r="F398" s="14" t="s">
        <v>150</v>
      </c>
      <c r="G398" s="14" t="s">
        <v>151</v>
      </c>
      <c r="H398" s="14">
        <v>4</v>
      </c>
      <c r="I398" s="14"/>
      <c r="J398" s="15"/>
      <c r="K398" s="127"/>
    </row>
    <row r="399" spans="1:11">
      <c r="A399" s="14">
        <f>IF(B399="","",COUNTA($B$4:B399))</f>
        <v>396</v>
      </c>
      <c r="B399" s="14" t="s">
        <v>1553</v>
      </c>
      <c r="C399" s="14" t="s">
        <v>162</v>
      </c>
      <c r="D399" s="14" t="s">
        <v>163</v>
      </c>
      <c r="E399" s="14" t="s">
        <v>164</v>
      </c>
      <c r="F399" s="14" t="s">
        <v>150</v>
      </c>
      <c r="G399" s="14" t="s">
        <v>151</v>
      </c>
      <c r="H399" s="14">
        <v>4</v>
      </c>
      <c r="I399" s="14"/>
      <c r="J399" s="15"/>
      <c r="K399" s="15"/>
    </row>
    <row r="400" spans="1:11">
      <c r="A400" s="14">
        <f>IF(B400="","",COUNTA($B$4:B400))</f>
        <v>397</v>
      </c>
      <c r="B400" s="14" t="s">
        <v>1554</v>
      </c>
      <c r="C400" s="14" t="s">
        <v>162</v>
      </c>
      <c r="D400" s="14" t="s">
        <v>163</v>
      </c>
      <c r="E400" s="14" t="s">
        <v>164</v>
      </c>
      <c r="F400" s="14" t="s">
        <v>150</v>
      </c>
      <c r="G400" s="14" t="s">
        <v>151</v>
      </c>
      <c r="H400" s="14">
        <v>4</v>
      </c>
      <c r="I400" s="14"/>
      <c r="J400" s="15"/>
      <c r="K400" s="127"/>
    </row>
    <row r="401" spans="1:11">
      <c r="A401" s="14">
        <f>IF(B401="","",COUNTA($B$4:B401))</f>
        <v>398</v>
      </c>
      <c r="B401" s="14" t="s">
        <v>1556</v>
      </c>
      <c r="C401" s="14" t="s">
        <v>162</v>
      </c>
      <c r="D401" s="14" t="s">
        <v>163</v>
      </c>
      <c r="E401" s="14" t="s">
        <v>164</v>
      </c>
      <c r="F401" s="14" t="s">
        <v>150</v>
      </c>
      <c r="G401" s="14" t="s">
        <v>151</v>
      </c>
      <c r="H401" s="14">
        <v>4</v>
      </c>
      <c r="I401" s="14"/>
      <c r="J401" s="15"/>
      <c r="K401" s="15"/>
    </row>
    <row r="402" spans="1:11">
      <c r="A402" s="14">
        <f>IF(B402="","",COUNTA($B$4:B402))</f>
        <v>399</v>
      </c>
      <c r="B402" s="14" t="s">
        <v>1557</v>
      </c>
      <c r="C402" s="14" t="s">
        <v>162</v>
      </c>
      <c r="D402" s="14" t="s">
        <v>163</v>
      </c>
      <c r="E402" s="14" t="s">
        <v>162</v>
      </c>
      <c r="F402" s="14" t="s">
        <v>150</v>
      </c>
      <c r="G402" s="14" t="s">
        <v>151</v>
      </c>
      <c r="H402" s="14">
        <v>4</v>
      </c>
      <c r="I402" s="14"/>
      <c r="J402" s="15"/>
      <c r="K402" s="15"/>
    </row>
    <row r="403" spans="1:11">
      <c r="A403" s="14">
        <f>IF(B403="","",COUNTA($B$4:B403))</f>
        <v>400</v>
      </c>
      <c r="B403" s="14" t="s">
        <v>1528</v>
      </c>
      <c r="C403" s="14" t="s">
        <v>266</v>
      </c>
      <c r="D403" s="14" t="s">
        <v>267</v>
      </c>
      <c r="E403" s="14" t="s">
        <v>266</v>
      </c>
      <c r="F403" s="14" t="s">
        <v>155</v>
      </c>
      <c r="G403" s="14" t="s">
        <v>156</v>
      </c>
      <c r="H403" s="14">
        <v>5</v>
      </c>
      <c r="I403" s="14"/>
      <c r="J403" s="14"/>
      <c r="K403" s="127"/>
    </row>
    <row r="404" spans="1:11">
      <c r="A404" s="14">
        <f>IF(B404="","",COUNTA($B$4:B404))</f>
        <v>401</v>
      </c>
      <c r="B404" s="14" t="s">
        <v>1529</v>
      </c>
      <c r="C404" s="14" t="s">
        <v>266</v>
      </c>
      <c r="D404" s="14" t="s">
        <v>267</v>
      </c>
      <c r="E404" s="14" t="s">
        <v>266</v>
      </c>
      <c r="F404" s="14" t="s">
        <v>155</v>
      </c>
      <c r="G404" s="14" t="s">
        <v>156</v>
      </c>
      <c r="H404" s="14">
        <v>5</v>
      </c>
      <c r="I404" s="14"/>
      <c r="J404" s="14"/>
      <c r="K404" s="127"/>
    </row>
    <row r="405" spans="1:11">
      <c r="A405" s="14">
        <f>IF(B405="","",COUNTA($B$4:B405))</f>
        <v>402</v>
      </c>
      <c r="B405" s="14" t="s">
        <v>1530</v>
      </c>
      <c r="C405" s="14" t="s">
        <v>266</v>
      </c>
      <c r="D405" s="14" t="s">
        <v>267</v>
      </c>
      <c r="E405" s="14" t="s">
        <v>266</v>
      </c>
      <c r="F405" s="14" t="s">
        <v>155</v>
      </c>
      <c r="G405" s="14" t="s">
        <v>156</v>
      </c>
      <c r="H405" s="14">
        <v>5</v>
      </c>
      <c r="I405" s="14"/>
      <c r="J405" s="14"/>
      <c r="K405" s="127"/>
    </row>
    <row r="406" spans="1:11">
      <c r="A406" s="14">
        <f>IF(B406="","",COUNTA($B$4:B406))</f>
        <v>403</v>
      </c>
      <c r="B406" s="14" t="s">
        <v>1546</v>
      </c>
      <c r="C406" s="14" t="s">
        <v>397</v>
      </c>
      <c r="D406" s="14" t="s">
        <v>398</v>
      </c>
      <c r="E406" s="14" t="s">
        <v>397</v>
      </c>
      <c r="F406" s="14" t="s">
        <v>150</v>
      </c>
      <c r="G406" s="14" t="s">
        <v>151</v>
      </c>
      <c r="H406" s="14">
        <v>100</v>
      </c>
      <c r="I406" s="14"/>
      <c r="J406" s="14"/>
      <c r="K406" s="15"/>
    </row>
    <row r="407" spans="1:11">
      <c r="A407" s="14">
        <f>IF(B407="","",COUNTA($B$4:B407))</f>
        <v>404</v>
      </c>
      <c r="B407" s="14" t="s">
        <v>1533</v>
      </c>
      <c r="C407" s="14" t="s">
        <v>673</v>
      </c>
      <c r="D407" s="14" t="s">
        <v>1402</v>
      </c>
      <c r="E407" s="14" t="s">
        <v>673</v>
      </c>
      <c r="F407" s="14" t="s">
        <v>150</v>
      </c>
      <c r="G407" s="14" t="s">
        <v>151</v>
      </c>
      <c r="H407" s="14">
        <v>4</v>
      </c>
      <c r="I407" s="14"/>
      <c r="J407" s="14"/>
      <c r="K407" s="15"/>
    </row>
    <row r="408" spans="1:11">
      <c r="A408" s="14">
        <f>IF(B408="","",COUNTA($B$4:B408))</f>
        <v>405</v>
      </c>
      <c r="B408" s="14" t="s">
        <v>1534</v>
      </c>
      <c r="C408" s="14" t="s">
        <v>673</v>
      </c>
      <c r="D408" s="14" t="s">
        <v>1402</v>
      </c>
      <c r="E408" s="14" t="s">
        <v>673</v>
      </c>
      <c r="F408" s="14" t="s">
        <v>150</v>
      </c>
      <c r="G408" s="14" t="s">
        <v>151</v>
      </c>
      <c r="H408" s="14">
        <v>4</v>
      </c>
      <c r="I408" s="14"/>
      <c r="J408" s="14"/>
      <c r="K408" s="15"/>
    </row>
    <row r="409" spans="1:11">
      <c r="A409" s="14">
        <f>IF(B409="","",COUNTA($B$4:B409))</f>
        <v>406</v>
      </c>
      <c r="B409" s="14" t="s">
        <v>1545</v>
      </c>
      <c r="C409" s="14" t="s">
        <v>673</v>
      </c>
      <c r="D409" s="14" t="s">
        <v>1402</v>
      </c>
      <c r="E409" s="14" t="s">
        <v>673</v>
      </c>
      <c r="F409" s="14" t="s">
        <v>150</v>
      </c>
      <c r="G409" s="14" t="s">
        <v>151</v>
      </c>
      <c r="H409" s="14">
        <v>4</v>
      </c>
      <c r="I409" s="14" t="s">
        <v>244</v>
      </c>
      <c r="J409" s="14"/>
      <c r="K409" s="15"/>
    </row>
    <row r="410" spans="1:11">
      <c r="A410" s="14">
        <f>IF(B410="","",COUNTA($B$4:B410))</f>
        <v>407</v>
      </c>
      <c r="B410" s="14" t="s">
        <v>1528</v>
      </c>
      <c r="C410" s="14" t="s">
        <v>272</v>
      </c>
      <c r="D410" s="14" t="s">
        <v>273</v>
      </c>
      <c r="E410" s="14" t="s">
        <v>272</v>
      </c>
      <c r="F410" s="14" t="s">
        <v>150</v>
      </c>
      <c r="G410" s="14" t="s">
        <v>151</v>
      </c>
      <c r="H410" s="14">
        <v>1000</v>
      </c>
      <c r="I410" s="14"/>
      <c r="J410" s="14"/>
      <c r="K410" s="15"/>
    </row>
    <row r="411" spans="1:11">
      <c r="A411" s="14">
        <f>IF(B411="","",COUNTA($B$4:B411))</f>
        <v>408</v>
      </c>
      <c r="B411" s="14" t="s">
        <v>1515</v>
      </c>
      <c r="C411" s="14" t="s">
        <v>153</v>
      </c>
      <c r="D411" s="14" t="s">
        <v>154</v>
      </c>
      <c r="E411" s="14" t="s">
        <v>153</v>
      </c>
      <c r="F411" s="14" t="s">
        <v>155</v>
      </c>
      <c r="G411" s="14" t="s">
        <v>156</v>
      </c>
      <c r="H411" s="14">
        <v>3</v>
      </c>
      <c r="I411" s="14"/>
      <c r="J411" s="14"/>
      <c r="K411" s="127"/>
    </row>
    <row r="412" spans="1:11">
      <c r="A412" s="14">
        <f>IF(B412="","",COUNTA($B$4:B412))</f>
        <v>409</v>
      </c>
      <c r="B412" s="14" t="s">
        <v>1528</v>
      </c>
      <c r="C412" s="14" t="s">
        <v>153</v>
      </c>
      <c r="D412" s="14" t="s">
        <v>154</v>
      </c>
      <c r="E412" s="14" t="s">
        <v>153</v>
      </c>
      <c r="F412" s="14" t="s">
        <v>155</v>
      </c>
      <c r="G412" s="14" t="s">
        <v>156</v>
      </c>
      <c r="H412" s="14">
        <v>3</v>
      </c>
      <c r="I412" s="14"/>
      <c r="J412" s="14"/>
      <c r="K412" s="127"/>
    </row>
    <row r="413" spans="1:11">
      <c r="A413" s="14">
        <f>IF(B413="","",COUNTA($B$4:B413))</f>
        <v>410</v>
      </c>
      <c r="B413" s="14" t="s">
        <v>1529</v>
      </c>
      <c r="C413" s="14" t="s">
        <v>153</v>
      </c>
      <c r="D413" s="14" t="s">
        <v>154</v>
      </c>
      <c r="E413" s="14" t="s">
        <v>153</v>
      </c>
      <c r="F413" s="14" t="s">
        <v>155</v>
      </c>
      <c r="G413" s="14" t="s">
        <v>156</v>
      </c>
      <c r="H413" s="14">
        <v>3</v>
      </c>
      <c r="I413" s="14"/>
      <c r="J413" s="14"/>
      <c r="K413" s="15"/>
    </row>
    <row r="414" spans="1:11">
      <c r="A414" s="14">
        <f>IF(B414="","",COUNTA($B$4:B414))</f>
        <v>411</v>
      </c>
      <c r="B414" s="14" t="s">
        <v>1530</v>
      </c>
      <c r="C414" s="14" t="s">
        <v>153</v>
      </c>
      <c r="D414" s="14" t="s">
        <v>154</v>
      </c>
      <c r="E414" s="14" t="s">
        <v>153</v>
      </c>
      <c r="F414" s="14" t="s">
        <v>155</v>
      </c>
      <c r="G414" s="14" t="s">
        <v>156</v>
      </c>
      <c r="H414" s="14">
        <v>3</v>
      </c>
      <c r="I414" s="14"/>
      <c r="J414" s="14"/>
      <c r="K414" s="127"/>
    </row>
    <row r="415" spans="1:11">
      <c r="A415" s="14">
        <f>IF(B415="","",COUNTA($B$4:B415))</f>
        <v>412</v>
      </c>
      <c r="B415" s="14" t="s">
        <v>1533</v>
      </c>
      <c r="C415" s="14" t="s">
        <v>153</v>
      </c>
      <c r="D415" s="14" t="s">
        <v>154</v>
      </c>
      <c r="E415" s="14" t="s">
        <v>153</v>
      </c>
      <c r="F415" s="14" t="s">
        <v>155</v>
      </c>
      <c r="G415" s="14" t="s">
        <v>156</v>
      </c>
      <c r="H415" s="14">
        <v>3</v>
      </c>
      <c r="I415" s="14"/>
      <c r="J415" s="14"/>
      <c r="K415" s="15"/>
    </row>
    <row r="416" spans="1:11">
      <c r="A416" s="14">
        <f>IF(B416="","",COUNTA($B$4:B416))</f>
        <v>413</v>
      </c>
      <c r="B416" s="14" t="s">
        <v>1534</v>
      </c>
      <c r="C416" s="14" t="s">
        <v>153</v>
      </c>
      <c r="D416" s="14" t="s">
        <v>154</v>
      </c>
      <c r="E416" s="14" t="s">
        <v>153</v>
      </c>
      <c r="F416" s="14" t="s">
        <v>155</v>
      </c>
      <c r="G416" s="14" t="s">
        <v>156</v>
      </c>
      <c r="H416" s="14">
        <v>3</v>
      </c>
      <c r="I416" s="14"/>
      <c r="J416" s="14"/>
      <c r="K416" s="15"/>
    </row>
    <row r="417" spans="1:11">
      <c r="A417" s="14">
        <f>IF(B417="","",COUNTA($B$4:B417))</f>
        <v>414</v>
      </c>
      <c r="B417" s="14" t="s">
        <v>1515</v>
      </c>
      <c r="C417" s="14" t="s">
        <v>189</v>
      </c>
      <c r="D417" s="14" t="s">
        <v>190</v>
      </c>
      <c r="E417" s="14" t="s">
        <v>189</v>
      </c>
      <c r="F417" s="14" t="s">
        <v>155</v>
      </c>
      <c r="G417" s="14" t="s">
        <v>156</v>
      </c>
      <c r="H417" s="14">
        <v>3</v>
      </c>
      <c r="I417" s="14"/>
      <c r="J417" s="14"/>
      <c r="K417" s="127"/>
    </row>
    <row r="418" spans="1:11">
      <c r="A418" s="14">
        <f>IF(B418="","",COUNTA($B$4:B418))</f>
        <v>415</v>
      </c>
      <c r="B418" s="14" t="s">
        <v>1528</v>
      </c>
      <c r="C418" s="14" t="s">
        <v>189</v>
      </c>
      <c r="D418" s="14" t="s">
        <v>190</v>
      </c>
      <c r="E418" s="14" t="s">
        <v>189</v>
      </c>
      <c r="F418" s="14" t="s">
        <v>155</v>
      </c>
      <c r="G418" s="14" t="s">
        <v>156</v>
      </c>
      <c r="H418" s="14">
        <v>3</v>
      </c>
      <c r="I418" s="14"/>
      <c r="J418" s="14"/>
      <c r="K418" s="15"/>
    </row>
    <row r="419" spans="1:11">
      <c r="A419" s="14">
        <f>IF(B419="","",COUNTA($B$4:B419))</f>
        <v>416</v>
      </c>
      <c r="B419" s="14" t="s">
        <v>1529</v>
      </c>
      <c r="C419" s="14" t="s">
        <v>189</v>
      </c>
      <c r="D419" s="14" t="s">
        <v>190</v>
      </c>
      <c r="E419" s="14" t="s">
        <v>189</v>
      </c>
      <c r="F419" s="14" t="s">
        <v>155</v>
      </c>
      <c r="G419" s="14" t="s">
        <v>156</v>
      </c>
      <c r="H419" s="14">
        <v>3</v>
      </c>
      <c r="I419" s="14"/>
      <c r="J419" s="14"/>
      <c r="K419" s="15"/>
    </row>
    <row r="420" spans="1:11">
      <c r="A420" s="14">
        <f>IF(B420="","",COUNTA($B$4:B420))</f>
        <v>417</v>
      </c>
      <c r="B420" s="14" t="s">
        <v>1530</v>
      </c>
      <c r="C420" s="14" t="s">
        <v>189</v>
      </c>
      <c r="D420" s="14" t="s">
        <v>190</v>
      </c>
      <c r="E420" s="14" t="s">
        <v>189</v>
      </c>
      <c r="F420" s="14" t="s">
        <v>155</v>
      </c>
      <c r="G420" s="14" t="s">
        <v>156</v>
      </c>
      <c r="H420" s="14">
        <v>3</v>
      </c>
      <c r="I420" s="14"/>
      <c r="J420" s="14"/>
      <c r="K420" s="15"/>
    </row>
    <row r="421" spans="1:11">
      <c r="A421" s="14">
        <f>IF(B421="","",COUNTA($B$4:B421))</f>
        <v>418</v>
      </c>
      <c r="B421" s="14" t="s">
        <v>1533</v>
      </c>
      <c r="C421" s="14" t="s">
        <v>189</v>
      </c>
      <c r="D421" s="14" t="s">
        <v>190</v>
      </c>
      <c r="E421" s="14" t="s">
        <v>189</v>
      </c>
      <c r="F421" s="14" t="s">
        <v>155</v>
      </c>
      <c r="G421" s="14" t="s">
        <v>156</v>
      </c>
      <c r="H421" s="14">
        <v>3</v>
      </c>
      <c r="I421" s="14"/>
      <c r="J421" s="14"/>
      <c r="K421" s="15"/>
    </row>
    <row r="422" spans="1:11">
      <c r="A422" s="14">
        <f>IF(B422="","",COUNTA($B$4:B422))</f>
        <v>419</v>
      </c>
      <c r="B422" s="14" t="s">
        <v>1515</v>
      </c>
      <c r="C422" s="14" t="s">
        <v>187</v>
      </c>
      <c r="D422" s="14" t="s">
        <v>188</v>
      </c>
      <c r="E422" s="14" t="s">
        <v>187</v>
      </c>
      <c r="F422" s="14" t="s">
        <v>155</v>
      </c>
      <c r="G422" s="14" t="s">
        <v>156</v>
      </c>
      <c r="H422" s="14">
        <v>3</v>
      </c>
      <c r="I422" s="14"/>
      <c r="J422" s="14"/>
      <c r="K422" s="127"/>
    </row>
    <row r="423" spans="1:11">
      <c r="A423" s="14">
        <f>IF(B423="","",COUNTA($B$4:B423))</f>
        <v>420</v>
      </c>
      <c r="B423" s="14" t="s">
        <v>1528</v>
      </c>
      <c r="C423" s="14" t="s">
        <v>187</v>
      </c>
      <c r="D423" s="14" t="s">
        <v>188</v>
      </c>
      <c r="E423" s="14" t="s">
        <v>187</v>
      </c>
      <c r="F423" s="14" t="s">
        <v>155</v>
      </c>
      <c r="G423" s="14" t="s">
        <v>156</v>
      </c>
      <c r="H423" s="14">
        <v>3</v>
      </c>
      <c r="I423" s="14"/>
      <c r="J423" s="14"/>
      <c r="K423" s="15"/>
    </row>
    <row r="424" spans="1:11">
      <c r="A424" s="14">
        <f>IF(B424="","",COUNTA($B$4:B424))</f>
        <v>421</v>
      </c>
      <c r="B424" s="14" t="s">
        <v>1529</v>
      </c>
      <c r="C424" s="14" t="s">
        <v>187</v>
      </c>
      <c r="D424" s="14" t="s">
        <v>188</v>
      </c>
      <c r="E424" s="14" t="s">
        <v>187</v>
      </c>
      <c r="F424" s="14" t="s">
        <v>155</v>
      </c>
      <c r="G424" s="14" t="s">
        <v>156</v>
      </c>
      <c r="H424" s="14">
        <v>3</v>
      </c>
      <c r="I424" s="14"/>
      <c r="J424" s="14"/>
      <c r="K424" s="15"/>
    </row>
    <row r="425" spans="1:11">
      <c r="A425" s="14">
        <f>IF(B425="","",COUNTA($B$4:B425))</f>
        <v>422</v>
      </c>
      <c r="B425" s="14" t="s">
        <v>1530</v>
      </c>
      <c r="C425" s="14" t="s">
        <v>187</v>
      </c>
      <c r="D425" s="14" t="s">
        <v>188</v>
      </c>
      <c r="E425" s="14" t="s">
        <v>187</v>
      </c>
      <c r="F425" s="14" t="s">
        <v>155</v>
      </c>
      <c r="G425" s="14" t="s">
        <v>156</v>
      </c>
      <c r="H425" s="14">
        <v>3</v>
      </c>
      <c r="I425" s="14"/>
      <c r="J425" s="14"/>
      <c r="K425" s="15"/>
    </row>
    <row r="426" spans="1:11">
      <c r="A426" s="14">
        <f>IF(B426="","",COUNTA($B$4:B426))</f>
        <v>423</v>
      </c>
      <c r="B426" s="14" t="s">
        <v>1533</v>
      </c>
      <c r="C426" s="14" t="s">
        <v>187</v>
      </c>
      <c r="D426" s="14" t="s">
        <v>188</v>
      </c>
      <c r="E426" s="14" t="s">
        <v>187</v>
      </c>
      <c r="F426" s="14" t="s">
        <v>155</v>
      </c>
      <c r="G426" s="14" t="s">
        <v>156</v>
      </c>
      <c r="H426" s="14">
        <v>3</v>
      </c>
      <c r="I426" s="14"/>
      <c r="J426" s="14"/>
      <c r="K426" s="127"/>
    </row>
    <row r="427" spans="1:11">
      <c r="A427" s="14">
        <f>IF(B427="","",COUNTA($B$4:B427))</f>
        <v>424</v>
      </c>
      <c r="B427" s="14" t="s">
        <v>1534</v>
      </c>
      <c r="C427" s="14" t="s">
        <v>187</v>
      </c>
      <c r="D427" s="14" t="s">
        <v>188</v>
      </c>
      <c r="E427" s="14" t="s">
        <v>187</v>
      </c>
      <c r="F427" s="14" t="s">
        <v>155</v>
      </c>
      <c r="G427" s="14" t="s">
        <v>156</v>
      </c>
      <c r="H427" s="14">
        <v>3</v>
      </c>
      <c r="I427" s="14"/>
      <c r="J427" s="14"/>
      <c r="K427" s="127"/>
    </row>
    <row r="428" spans="1:11">
      <c r="A428" s="14">
        <f>IF(B428="","",COUNTA($B$4:B428))</f>
        <v>425</v>
      </c>
      <c r="B428" s="14" t="s">
        <v>1515</v>
      </c>
      <c r="C428" s="14" t="s">
        <v>208</v>
      </c>
      <c r="D428" s="14" t="s">
        <v>209</v>
      </c>
      <c r="E428" s="14" t="s">
        <v>208</v>
      </c>
      <c r="F428" s="14" t="s">
        <v>155</v>
      </c>
      <c r="G428" s="14" t="s">
        <v>156</v>
      </c>
      <c r="H428" s="14">
        <v>5</v>
      </c>
      <c r="I428" s="14"/>
      <c r="J428" s="14"/>
      <c r="K428" s="127"/>
    </row>
    <row r="429" spans="1:11">
      <c r="A429" s="14">
        <f>IF(B429="","",COUNTA($B$4:B429))</f>
        <v>426</v>
      </c>
      <c r="B429" s="14" t="s">
        <v>1528</v>
      </c>
      <c r="C429" s="14" t="s">
        <v>208</v>
      </c>
      <c r="D429" s="14" t="s">
        <v>209</v>
      </c>
      <c r="E429" s="14" t="s">
        <v>208</v>
      </c>
      <c r="F429" s="14" t="s">
        <v>155</v>
      </c>
      <c r="G429" s="14" t="s">
        <v>156</v>
      </c>
      <c r="H429" s="14">
        <v>5</v>
      </c>
      <c r="I429" s="14"/>
      <c r="J429" s="14"/>
      <c r="K429" s="15"/>
    </row>
    <row r="430" spans="1:11">
      <c r="A430" s="14">
        <f>IF(B430="","",COUNTA($B$4:B430))</f>
        <v>427</v>
      </c>
      <c r="B430" s="14" t="s">
        <v>1529</v>
      </c>
      <c r="C430" s="14" t="s">
        <v>208</v>
      </c>
      <c r="D430" s="14" t="s">
        <v>209</v>
      </c>
      <c r="E430" s="14" t="s">
        <v>208</v>
      </c>
      <c r="F430" s="14" t="s">
        <v>155</v>
      </c>
      <c r="G430" s="14" t="s">
        <v>156</v>
      </c>
      <c r="H430" s="14">
        <v>5</v>
      </c>
      <c r="I430" s="14"/>
      <c r="J430" s="14"/>
      <c r="K430" s="127"/>
    </row>
    <row r="431" spans="1:11">
      <c r="A431" s="14">
        <f>IF(B431="","",COUNTA($B$4:B431))</f>
        <v>428</v>
      </c>
      <c r="B431" s="14" t="s">
        <v>1530</v>
      </c>
      <c r="C431" s="14" t="s">
        <v>208</v>
      </c>
      <c r="D431" s="14" t="s">
        <v>209</v>
      </c>
      <c r="E431" s="14" t="s">
        <v>208</v>
      </c>
      <c r="F431" s="14" t="s">
        <v>155</v>
      </c>
      <c r="G431" s="14" t="s">
        <v>156</v>
      </c>
      <c r="H431" s="14">
        <v>5</v>
      </c>
      <c r="I431" s="14"/>
      <c r="J431" s="14"/>
      <c r="K431" s="127"/>
    </row>
    <row r="432" spans="1:11">
      <c r="A432" s="14">
        <f>IF(B432="","",COUNTA($B$4:B432))</f>
        <v>429</v>
      </c>
      <c r="B432" s="14" t="s">
        <v>1533</v>
      </c>
      <c r="C432" s="14" t="s">
        <v>208</v>
      </c>
      <c r="D432" s="14" t="s">
        <v>209</v>
      </c>
      <c r="E432" s="14" t="s">
        <v>208</v>
      </c>
      <c r="F432" s="14" t="s">
        <v>155</v>
      </c>
      <c r="G432" s="14" t="s">
        <v>156</v>
      </c>
      <c r="H432" s="14">
        <v>5</v>
      </c>
      <c r="I432" s="14"/>
      <c r="J432" s="14"/>
      <c r="K432" s="15"/>
    </row>
    <row r="433" spans="1:11">
      <c r="A433" s="14">
        <f>IF(B433="","",COUNTA($B$4:B433))</f>
        <v>430</v>
      </c>
      <c r="B433" s="14" t="s">
        <v>1534</v>
      </c>
      <c r="C433" s="14" t="s">
        <v>208</v>
      </c>
      <c r="D433" s="14" t="s">
        <v>209</v>
      </c>
      <c r="E433" s="14" t="s">
        <v>208</v>
      </c>
      <c r="F433" s="14" t="s">
        <v>155</v>
      </c>
      <c r="G433" s="14" t="s">
        <v>156</v>
      </c>
      <c r="H433" s="14">
        <v>5</v>
      </c>
      <c r="I433" s="14"/>
      <c r="J433" s="14"/>
      <c r="K433" s="15"/>
    </row>
    <row r="434" spans="1:11">
      <c r="A434" s="14">
        <f>IF(B434="","",COUNTA($B$4:B434))</f>
        <v>431</v>
      </c>
      <c r="B434" s="14" t="s">
        <v>1538</v>
      </c>
      <c r="C434" s="14" t="s">
        <v>208</v>
      </c>
      <c r="D434" s="14" t="s">
        <v>209</v>
      </c>
      <c r="E434" s="14" t="s">
        <v>208</v>
      </c>
      <c r="F434" s="14" t="s">
        <v>155</v>
      </c>
      <c r="G434" s="14" t="s">
        <v>156</v>
      </c>
      <c r="H434" s="14">
        <v>5</v>
      </c>
      <c r="I434" s="14"/>
      <c r="J434" s="14"/>
      <c r="K434" s="15"/>
    </row>
    <row r="435" spans="1:11">
      <c r="A435" s="14">
        <f>IF(B435="","",COUNTA($B$4:B435))</f>
        <v>432</v>
      </c>
      <c r="B435" s="14" t="s">
        <v>1546</v>
      </c>
      <c r="C435" s="14" t="s">
        <v>208</v>
      </c>
      <c r="D435" s="14" t="s">
        <v>209</v>
      </c>
      <c r="E435" s="14" t="s">
        <v>208</v>
      </c>
      <c r="F435" s="14" t="s">
        <v>155</v>
      </c>
      <c r="G435" s="14" t="s">
        <v>156</v>
      </c>
      <c r="H435" s="14">
        <v>5</v>
      </c>
      <c r="I435" s="14"/>
      <c r="J435" s="14"/>
      <c r="K435" s="15"/>
    </row>
    <row r="436" spans="1:11">
      <c r="A436" s="14">
        <f>IF(B436="","",COUNTA($B$4:B436))</f>
        <v>433</v>
      </c>
      <c r="B436" s="14" t="s">
        <v>1548</v>
      </c>
      <c r="C436" s="14" t="s">
        <v>208</v>
      </c>
      <c r="D436" s="14" t="s">
        <v>209</v>
      </c>
      <c r="E436" s="14" t="s">
        <v>208</v>
      </c>
      <c r="F436" s="14" t="s">
        <v>155</v>
      </c>
      <c r="G436" s="14" t="s">
        <v>156</v>
      </c>
      <c r="H436" s="14">
        <v>5</v>
      </c>
      <c r="I436" s="14"/>
      <c r="J436" s="14"/>
      <c r="K436" s="127"/>
    </row>
    <row r="437" spans="1:11">
      <c r="A437" s="14">
        <f>IF(B437="","",COUNTA($B$4:B437))</f>
        <v>434</v>
      </c>
      <c r="B437" s="14" t="s">
        <v>1550</v>
      </c>
      <c r="C437" s="14" t="s">
        <v>208</v>
      </c>
      <c r="D437" s="14" t="s">
        <v>209</v>
      </c>
      <c r="E437" s="14" t="s">
        <v>208</v>
      </c>
      <c r="F437" s="14" t="s">
        <v>155</v>
      </c>
      <c r="G437" s="14" t="s">
        <v>156</v>
      </c>
      <c r="H437" s="14">
        <v>5</v>
      </c>
      <c r="I437" s="14"/>
      <c r="J437" s="15"/>
      <c r="K437" s="127"/>
    </row>
    <row r="438" spans="1:11">
      <c r="A438" s="14">
        <f>IF(B438="","",COUNTA($B$4:B438))</f>
        <v>435</v>
      </c>
      <c r="B438" s="14" t="s">
        <v>1551</v>
      </c>
      <c r="C438" s="14" t="s">
        <v>208</v>
      </c>
      <c r="D438" s="14" t="s">
        <v>209</v>
      </c>
      <c r="E438" s="14" t="s">
        <v>208</v>
      </c>
      <c r="F438" s="14" t="s">
        <v>155</v>
      </c>
      <c r="G438" s="14" t="s">
        <v>156</v>
      </c>
      <c r="H438" s="14">
        <v>5</v>
      </c>
      <c r="I438" s="14"/>
      <c r="J438" s="15"/>
      <c r="K438" s="127"/>
    </row>
    <row r="439" spans="1:11">
      <c r="A439" s="14">
        <f>IF(B439="","",COUNTA($B$4:B439))</f>
        <v>436</v>
      </c>
      <c r="B439" s="14" t="s">
        <v>1552</v>
      </c>
      <c r="C439" s="14" t="s">
        <v>208</v>
      </c>
      <c r="D439" s="14" t="s">
        <v>209</v>
      </c>
      <c r="E439" s="14" t="s">
        <v>208</v>
      </c>
      <c r="F439" s="14" t="s">
        <v>155</v>
      </c>
      <c r="G439" s="14" t="s">
        <v>156</v>
      </c>
      <c r="H439" s="14">
        <v>5</v>
      </c>
      <c r="I439" s="14"/>
      <c r="J439" s="15"/>
      <c r="K439" s="15"/>
    </row>
    <row r="440" spans="1:11">
      <c r="A440" s="14">
        <f>IF(B440="","",COUNTA($B$4:B440))</f>
        <v>437</v>
      </c>
      <c r="B440" s="14" t="s">
        <v>1553</v>
      </c>
      <c r="C440" s="14" t="s">
        <v>208</v>
      </c>
      <c r="D440" s="14" t="s">
        <v>209</v>
      </c>
      <c r="E440" s="14" t="s">
        <v>208</v>
      </c>
      <c r="F440" s="14" t="s">
        <v>155</v>
      </c>
      <c r="G440" s="14" t="s">
        <v>156</v>
      </c>
      <c r="H440" s="14">
        <v>5</v>
      </c>
      <c r="I440" s="14"/>
      <c r="J440" s="15"/>
      <c r="K440" s="127"/>
    </row>
    <row r="441" spans="1:11">
      <c r="A441" s="14">
        <f>IF(B441="","",COUNTA($B$4:B441))</f>
        <v>438</v>
      </c>
      <c r="B441" s="14" t="s">
        <v>1515</v>
      </c>
      <c r="C441" s="14" t="s">
        <v>203</v>
      </c>
      <c r="D441" s="14" t="s">
        <v>204</v>
      </c>
      <c r="E441" s="14" t="s">
        <v>203</v>
      </c>
      <c r="F441" s="14" t="s">
        <v>155</v>
      </c>
      <c r="G441" s="14" t="s">
        <v>156</v>
      </c>
      <c r="H441" s="14">
        <v>5</v>
      </c>
      <c r="I441" s="14">
        <v>2</v>
      </c>
      <c r="J441" s="14"/>
      <c r="K441" s="127"/>
    </row>
    <row r="442" spans="1:11">
      <c r="A442" s="14">
        <f>IF(B442="","",COUNTA($B$4:B442))</f>
        <v>439</v>
      </c>
      <c r="B442" s="14" t="s">
        <v>1528</v>
      </c>
      <c r="C442" s="14" t="s">
        <v>203</v>
      </c>
      <c r="D442" s="14" t="s">
        <v>204</v>
      </c>
      <c r="E442" s="14" t="s">
        <v>203</v>
      </c>
      <c r="F442" s="14" t="s">
        <v>155</v>
      </c>
      <c r="G442" s="14" t="s">
        <v>156</v>
      </c>
      <c r="H442" s="14">
        <v>5</v>
      </c>
      <c r="I442" s="14">
        <v>2</v>
      </c>
      <c r="J442" s="14"/>
      <c r="K442" s="127"/>
    </row>
    <row r="443" spans="1:11">
      <c r="A443" s="14">
        <f>IF(B443="","",COUNTA($B$4:B443))</f>
        <v>440</v>
      </c>
      <c r="B443" s="14" t="s">
        <v>1529</v>
      </c>
      <c r="C443" s="14" t="s">
        <v>203</v>
      </c>
      <c r="D443" s="14" t="s">
        <v>204</v>
      </c>
      <c r="E443" s="14" t="s">
        <v>203</v>
      </c>
      <c r="F443" s="14" t="s">
        <v>155</v>
      </c>
      <c r="G443" s="14" t="s">
        <v>156</v>
      </c>
      <c r="H443" s="14">
        <v>5</v>
      </c>
      <c r="I443" s="14">
        <v>2</v>
      </c>
      <c r="J443" s="14"/>
      <c r="K443" s="15"/>
    </row>
    <row r="444" spans="1:11">
      <c r="A444" s="14">
        <f>IF(B444="","",COUNTA($B$4:B444))</f>
        <v>441</v>
      </c>
      <c r="B444" s="14" t="s">
        <v>1530</v>
      </c>
      <c r="C444" s="14" t="s">
        <v>203</v>
      </c>
      <c r="D444" s="14" t="s">
        <v>204</v>
      </c>
      <c r="E444" s="14" t="s">
        <v>203</v>
      </c>
      <c r="F444" s="14" t="s">
        <v>155</v>
      </c>
      <c r="G444" s="14" t="s">
        <v>156</v>
      </c>
      <c r="H444" s="14">
        <v>5</v>
      </c>
      <c r="I444" s="14">
        <v>2</v>
      </c>
      <c r="J444" s="14"/>
      <c r="K444" s="15"/>
    </row>
    <row r="445" spans="1:11">
      <c r="A445" s="14">
        <f>IF(B445="","",COUNTA($B$4:B445))</f>
        <v>442</v>
      </c>
      <c r="B445" s="14" t="s">
        <v>1533</v>
      </c>
      <c r="C445" s="14" t="s">
        <v>203</v>
      </c>
      <c r="D445" s="14" t="s">
        <v>204</v>
      </c>
      <c r="E445" s="14" t="s">
        <v>203</v>
      </c>
      <c r="F445" s="14" t="s">
        <v>155</v>
      </c>
      <c r="G445" s="14" t="s">
        <v>156</v>
      </c>
      <c r="H445" s="14">
        <v>5</v>
      </c>
      <c r="I445" s="14">
        <v>2</v>
      </c>
      <c r="J445" s="14"/>
      <c r="K445" s="15"/>
    </row>
    <row r="446" spans="1:11">
      <c r="A446" s="14">
        <f>IF(B446="","",COUNTA($B$4:B446))</f>
        <v>443</v>
      </c>
      <c r="B446" s="14" t="s">
        <v>1534</v>
      </c>
      <c r="C446" s="14" t="s">
        <v>203</v>
      </c>
      <c r="D446" s="14" t="s">
        <v>204</v>
      </c>
      <c r="E446" s="14" t="s">
        <v>203</v>
      </c>
      <c r="F446" s="14" t="s">
        <v>155</v>
      </c>
      <c r="G446" s="14" t="s">
        <v>156</v>
      </c>
      <c r="H446" s="14">
        <v>5</v>
      </c>
      <c r="I446" s="14">
        <v>2</v>
      </c>
      <c r="J446" s="14"/>
      <c r="K446" s="15"/>
    </row>
    <row r="447" spans="1:11">
      <c r="A447" s="14">
        <f>IF(B447="","",COUNTA($B$4:B447))</f>
        <v>444</v>
      </c>
      <c r="B447" s="14" t="s">
        <v>1538</v>
      </c>
      <c r="C447" s="14" t="s">
        <v>203</v>
      </c>
      <c r="D447" s="14" t="s">
        <v>204</v>
      </c>
      <c r="E447" s="14" t="s">
        <v>203</v>
      </c>
      <c r="F447" s="14" t="s">
        <v>155</v>
      </c>
      <c r="G447" s="14" t="s">
        <v>156</v>
      </c>
      <c r="H447" s="14">
        <v>5</v>
      </c>
      <c r="I447" s="14">
        <v>2</v>
      </c>
      <c r="J447" s="14"/>
      <c r="K447" s="127"/>
    </row>
    <row r="448" spans="1:11">
      <c r="A448" s="14">
        <f>IF(B448="","",COUNTA($B$4:B448))</f>
        <v>445</v>
      </c>
      <c r="B448" s="14" t="s">
        <v>1546</v>
      </c>
      <c r="C448" s="14" t="s">
        <v>203</v>
      </c>
      <c r="D448" s="14" t="s">
        <v>204</v>
      </c>
      <c r="E448" s="14" t="s">
        <v>203</v>
      </c>
      <c r="F448" s="14" t="s">
        <v>155</v>
      </c>
      <c r="G448" s="14" t="s">
        <v>156</v>
      </c>
      <c r="H448" s="14">
        <v>5</v>
      </c>
      <c r="I448" s="14">
        <v>2</v>
      </c>
      <c r="J448" s="14"/>
      <c r="K448" s="15"/>
    </row>
    <row r="449" spans="1:11">
      <c r="A449" s="14">
        <f>IF(B449="","",COUNTA($B$4:B449))</f>
        <v>446</v>
      </c>
      <c r="B449" s="14" t="s">
        <v>1548</v>
      </c>
      <c r="C449" s="14" t="s">
        <v>203</v>
      </c>
      <c r="D449" s="14" t="s">
        <v>204</v>
      </c>
      <c r="E449" s="14" t="s">
        <v>203</v>
      </c>
      <c r="F449" s="14" t="s">
        <v>155</v>
      </c>
      <c r="G449" s="14" t="s">
        <v>156</v>
      </c>
      <c r="H449" s="14">
        <v>5</v>
      </c>
      <c r="I449" s="14">
        <v>2</v>
      </c>
      <c r="J449" s="14"/>
      <c r="K449" s="15"/>
    </row>
    <row r="450" spans="1:11">
      <c r="A450" s="14">
        <f>IF(B450="","",COUNTA($B$4:B450))</f>
        <v>447</v>
      </c>
      <c r="B450" s="14" t="s">
        <v>1550</v>
      </c>
      <c r="C450" s="14" t="s">
        <v>203</v>
      </c>
      <c r="D450" s="14" t="s">
        <v>204</v>
      </c>
      <c r="E450" s="14" t="s">
        <v>203</v>
      </c>
      <c r="F450" s="14" t="s">
        <v>155</v>
      </c>
      <c r="G450" s="14" t="s">
        <v>156</v>
      </c>
      <c r="H450" s="14">
        <v>5</v>
      </c>
      <c r="I450" s="14">
        <v>2</v>
      </c>
      <c r="J450" s="15"/>
      <c r="K450" s="15"/>
    </row>
    <row r="451" spans="1:11">
      <c r="A451" s="14">
        <f>IF(B451="","",COUNTA($B$4:B451))</f>
        <v>448</v>
      </c>
      <c r="B451" s="14" t="s">
        <v>1551</v>
      </c>
      <c r="C451" s="14" t="s">
        <v>203</v>
      </c>
      <c r="D451" s="14" t="s">
        <v>204</v>
      </c>
      <c r="E451" s="14" t="s">
        <v>203</v>
      </c>
      <c r="F451" s="14" t="s">
        <v>155</v>
      </c>
      <c r="G451" s="14" t="s">
        <v>156</v>
      </c>
      <c r="H451" s="14">
        <v>5</v>
      </c>
      <c r="I451" s="14">
        <v>2</v>
      </c>
      <c r="J451" s="15"/>
      <c r="K451" s="15"/>
    </row>
    <row r="452" spans="1:11">
      <c r="A452" s="14">
        <f>IF(B452="","",COUNTA($B$4:B452))</f>
        <v>449</v>
      </c>
      <c r="B452" s="14" t="s">
        <v>1552</v>
      </c>
      <c r="C452" s="14" t="s">
        <v>203</v>
      </c>
      <c r="D452" s="14" t="s">
        <v>204</v>
      </c>
      <c r="E452" s="14" t="s">
        <v>203</v>
      </c>
      <c r="F452" s="14" t="s">
        <v>155</v>
      </c>
      <c r="G452" s="14" t="s">
        <v>156</v>
      </c>
      <c r="H452" s="14">
        <v>5</v>
      </c>
      <c r="I452" s="14">
        <v>2</v>
      </c>
      <c r="J452" s="15"/>
      <c r="K452" s="15"/>
    </row>
    <row r="453" spans="1:11">
      <c r="A453" s="14">
        <f>IF(B453="","",COUNTA($B$4:B453))</f>
        <v>450</v>
      </c>
      <c r="B453" s="14" t="s">
        <v>1553</v>
      </c>
      <c r="C453" s="14" t="s">
        <v>203</v>
      </c>
      <c r="D453" s="14" t="s">
        <v>204</v>
      </c>
      <c r="E453" s="14" t="s">
        <v>203</v>
      </c>
      <c r="F453" s="14" t="s">
        <v>155</v>
      </c>
      <c r="G453" s="14" t="s">
        <v>156</v>
      </c>
      <c r="H453" s="14">
        <v>5</v>
      </c>
      <c r="I453" s="14">
        <v>2</v>
      </c>
      <c r="J453" s="15"/>
      <c r="K453" s="127"/>
    </row>
    <row r="454" spans="1:11">
      <c r="A454" s="14">
        <f>IF(B454="","",COUNTA($B$4:B454))</f>
        <v>451</v>
      </c>
      <c r="B454" s="14" t="s">
        <v>1547</v>
      </c>
      <c r="C454" s="14" t="s">
        <v>399</v>
      </c>
      <c r="D454" s="14" t="s">
        <v>400</v>
      </c>
      <c r="E454" s="14" t="s">
        <v>399</v>
      </c>
      <c r="F454" s="14" t="s">
        <v>150</v>
      </c>
      <c r="G454" s="14" t="s">
        <v>151</v>
      </c>
      <c r="H454" s="14">
        <v>30</v>
      </c>
      <c r="I454" s="14"/>
      <c r="J454" s="14"/>
      <c r="K454" s="15"/>
    </row>
    <row r="455" spans="1:11">
      <c r="A455" s="14">
        <f>IF(B455="","",COUNTA($B$4:B455))</f>
        <v>452</v>
      </c>
      <c r="B455" s="14" t="s">
        <v>1515</v>
      </c>
      <c r="C455" s="14" t="s">
        <v>253</v>
      </c>
      <c r="D455" s="14" t="s">
        <v>254</v>
      </c>
      <c r="E455" s="14" t="s">
        <v>253</v>
      </c>
      <c r="F455" s="14" t="s">
        <v>150</v>
      </c>
      <c r="G455" s="14" t="s">
        <v>151</v>
      </c>
      <c r="H455" s="14">
        <v>10</v>
      </c>
      <c r="I455" s="14"/>
      <c r="J455" s="14"/>
      <c r="K455" s="15"/>
    </row>
    <row r="456" spans="1:11">
      <c r="A456" s="14">
        <f>IF(B456="","",COUNTA($B$4:B456))</f>
        <v>453</v>
      </c>
      <c r="B456" s="14" t="s">
        <v>1528</v>
      </c>
      <c r="C456" s="14" t="s">
        <v>253</v>
      </c>
      <c r="D456" s="14" t="s">
        <v>254</v>
      </c>
      <c r="E456" s="14" t="s">
        <v>253</v>
      </c>
      <c r="F456" s="14" t="s">
        <v>150</v>
      </c>
      <c r="G456" s="14" t="s">
        <v>151</v>
      </c>
      <c r="H456" s="14">
        <v>10</v>
      </c>
      <c r="I456" s="14"/>
      <c r="J456" s="14"/>
      <c r="K456" s="15"/>
    </row>
    <row r="457" spans="1:11">
      <c r="A457" s="14">
        <f>IF(B457="","",COUNTA($B$4:B457))</f>
        <v>454</v>
      </c>
      <c r="B457" s="14" t="s">
        <v>1529</v>
      </c>
      <c r="C457" s="14" t="s">
        <v>253</v>
      </c>
      <c r="D457" s="14" t="s">
        <v>254</v>
      </c>
      <c r="E457" s="14" t="s">
        <v>253</v>
      </c>
      <c r="F457" s="14" t="s">
        <v>150</v>
      </c>
      <c r="G457" s="14" t="s">
        <v>151</v>
      </c>
      <c r="H457" s="14">
        <v>10</v>
      </c>
      <c r="I457" s="14"/>
      <c r="J457" s="14"/>
      <c r="K457" s="127"/>
    </row>
    <row r="458" spans="1:11">
      <c r="A458" s="14">
        <f>IF(B458="","",COUNTA($B$4:B458))</f>
        <v>455</v>
      </c>
      <c r="B458" s="14" t="s">
        <v>1530</v>
      </c>
      <c r="C458" s="14" t="s">
        <v>253</v>
      </c>
      <c r="D458" s="14" t="s">
        <v>254</v>
      </c>
      <c r="E458" s="14" t="s">
        <v>253</v>
      </c>
      <c r="F458" s="14" t="s">
        <v>150</v>
      </c>
      <c r="G458" s="14" t="s">
        <v>151</v>
      </c>
      <c r="H458" s="14">
        <v>10</v>
      </c>
      <c r="I458" s="14"/>
      <c r="J458" s="14"/>
      <c r="K458" s="127"/>
    </row>
    <row r="459" spans="1:11">
      <c r="A459" s="14">
        <f>IF(B459="","",COUNTA($B$4:B459))</f>
        <v>456</v>
      </c>
      <c r="B459" s="14" t="s">
        <v>1531</v>
      </c>
      <c r="C459" s="14" t="s">
        <v>253</v>
      </c>
      <c r="D459" s="14" t="s">
        <v>254</v>
      </c>
      <c r="E459" s="14" t="s">
        <v>253</v>
      </c>
      <c r="F459" s="14" t="s">
        <v>150</v>
      </c>
      <c r="G459" s="14" t="s">
        <v>151</v>
      </c>
      <c r="H459" s="14">
        <v>10</v>
      </c>
      <c r="I459" s="14"/>
      <c r="J459" s="14"/>
      <c r="K459" s="15"/>
    </row>
    <row r="460" spans="1:11">
      <c r="A460" s="14">
        <f>IF(B460="","",COUNTA($B$4:B460))</f>
        <v>457</v>
      </c>
      <c r="B460" s="14" t="s">
        <v>1532</v>
      </c>
      <c r="C460" s="14" t="s">
        <v>253</v>
      </c>
      <c r="D460" s="14" t="s">
        <v>254</v>
      </c>
      <c r="E460" s="14" t="s">
        <v>253</v>
      </c>
      <c r="F460" s="14" t="s">
        <v>150</v>
      </c>
      <c r="G460" s="14" t="s">
        <v>151</v>
      </c>
      <c r="H460" s="14">
        <v>10</v>
      </c>
      <c r="I460" s="14"/>
      <c r="J460" s="14"/>
      <c r="K460" s="15"/>
    </row>
    <row r="461" spans="1:11">
      <c r="A461" s="14">
        <f>IF(B461="","",COUNTA($B$4:B461))</f>
        <v>458</v>
      </c>
      <c r="B461" s="14" t="s">
        <v>1533</v>
      </c>
      <c r="C461" s="14" t="s">
        <v>253</v>
      </c>
      <c r="D461" s="14" t="s">
        <v>254</v>
      </c>
      <c r="E461" s="14" t="s">
        <v>253</v>
      </c>
      <c r="F461" s="14" t="s">
        <v>150</v>
      </c>
      <c r="G461" s="14" t="s">
        <v>151</v>
      </c>
      <c r="H461" s="14">
        <v>10</v>
      </c>
      <c r="I461" s="14"/>
      <c r="J461" s="14"/>
      <c r="K461" s="127"/>
    </row>
    <row r="462" spans="1:11">
      <c r="A462" s="14">
        <f>IF(B462="","",COUNTA($B$4:B462))</f>
        <v>459</v>
      </c>
      <c r="B462" s="14" t="s">
        <v>1534</v>
      </c>
      <c r="C462" s="14" t="s">
        <v>253</v>
      </c>
      <c r="D462" s="14" t="s">
        <v>254</v>
      </c>
      <c r="E462" s="14" t="s">
        <v>253</v>
      </c>
      <c r="F462" s="14" t="s">
        <v>150</v>
      </c>
      <c r="G462" s="14" t="s">
        <v>151</v>
      </c>
      <c r="H462" s="14">
        <v>10</v>
      </c>
      <c r="I462" s="14"/>
      <c r="J462" s="14"/>
      <c r="K462" s="127"/>
    </row>
    <row r="463" spans="1:11">
      <c r="A463" s="14">
        <f>IF(B463="","",COUNTA($B$4:B463))</f>
        <v>460</v>
      </c>
      <c r="B463" s="14" t="s">
        <v>1538</v>
      </c>
      <c r="C463" s="14" t="s">
        <v>253</v>
      </c>
      <c r="D463" s="14" t="s">
        <v>254</v>
      </c>
      <c r="E463" s="14" t="s">
        <v>253</v>
      </c>
      <c r="F463" s="14" t="s">
        <v>150</v>
      </c>
      <c r="G463" s="14" t="s">
        <v>151</v>
      </c>
      <c r="H463" s="14">
        <v>10</v>
      </c>
      <c r="I463" s="14"/>
      <c r="J463" s="14"/>
      <c r="K463" s="15"/>
    </row>
    <row r="464" spans="1:11">
      <c r="A464" s="14">
        <f>IF(B464="","",COUNTA($B$4:B464))</f>
        <v>461</v>
      </c>
      <c r="B464" s="14" t="s">
        <v>1545</v>
      </c>
      <c r="C464" s="14" t="s">
        <v>253</v>
      </c>
      <c r="D464" s="14" t="s">
        <v>254</v>
      </c>
      <c r="E464" s="14" t="s">
        <v>253</v>
      </c>
      <c r="F464" s="14" t="s">
        <v>150</v>
      </c>
      <c r="G464" s="14" t="s">
        <v>151</v>
      </c>
      <c r="H464" s="14">
        <v>10</v>
      </c>
      <c r="I464" s="14" t="s">
        <v>244</v>
      </c>
      <c r="J464" s="14"/>
      <c r="K464" s="15"/>
    </row>
    <row r="465" spans="1:11">
      <c r="A465" s="14">
        <f>IF(B465="","",COUNTA($B$4:B465))</f>
        <v>462</v>
      </c>
      <c r="B465" s="14" t="s">
        <v>1546</v>
      </c>
      <c r="C465" s="14" t="s">
        <v>253</v>
      </c>
      <c r="D465" s="14" t="s">
        <v>254</v>
      </c>
      <c r="E465" s="14" t="s">
        <v>253</v>
      </c>
      <c r="F465" s="14" t="s">
        <v>150</v>
      </c>
      <c r="G465" s="14" t="s">
        <v>151</v>
      </c>
      <c r="H465" s="14">
        <v>10</v>
      </c>
      <c r="I465" s="14"/>
      <c r="J465" s="14"/>
      <c r="K465" s="127"/>
    </row>
    <row r="466" spans="1:11">
      <c r="A466" s="14">
        <f>IF(B466="","",COUNTA($B$4:B466))</f>
        <v>463</v>
      </c>
      <c r="B466" s="14" t="s">
        <v>1547</v>
      </c>
      <c r="C466" s="14" t="s">
        <v>253</v>
      </c>
      <c r="D466" s="14" t="s">
        <v>254</v>
      </c>
      <c r="E466" s="14" t="s">
        <v>253</v>
      </c>
      <c r="F466" s="14" t="s">
        <v>150</v>
      </c>
      <c r="G466" s="14" t="s">
        <v>151</v>
      </c>
      <c r="H466" s="14">
        <v>10</v>
      </c>
      <c r="I466" s="14"/>
      <c r="J466" s="14"/>
      <c r="K466" s="127"/>
    </row>
    <row r="467" spans="1:11">
      <c r="A467" s="14">
        <f>IF(B467="","",COUNTA($B$4:B467))</f>
        <v>464</v>
      </c>
      <c r="B467" s="14" t="s">
        <v>1548</v>
      </c>
      <c r="C467" s="14" t="s">
        <v>253</v>
      </c>
      <c r="D467" s="14" t="s">
        <v>254</v>
      </c>
      <c r="E467" s="14" t="s">
        <v>253</v>
      </c>
      <c r="F467" s="14" t="s">
        <v>150</v>
      </c>
      <c r="G467" s="14" t="s">
        <v>151</v>
      </c>
      <c r="H467" s="14">
        <v>10</v>
      </c>
      <c r="I467" s="14"/>
      <c r="J467" s="14"/>
      <c r="K467" s="15"/>
    </row>
    <row r="468" spans="1:11">
      <c r="A468" s="14">
        <f>IF(B468="","",COUNTA($B$4:B468))</f>
        <v>465</v>
      </c>
      <c r="B468" s="14" t="s">
        <v>1549</v>
      </c>
      <c r="C468" s="14" t="s">
        <v>253</v>
      </c>
      <c r="D468" s="14" t="s">
        <v>254</v>
      </c>
      <c r="E468" s="14" t="s">
        <v>253</v>
      </c>
      <c r="F468" s="14" t="s">
        <v>150</v>
      </c>
      <c r="G468" s="14" t="s">
        <v>151</v>
      </c>
      <c r="H468" s="14">
        <v>10</v>
      </c>
      <c r="I468" s="14"/>
      <c r="J468" s="14"/>
      <c r="K468" s="15"/>
    </row>
    <row r="469" spans="1:11">
      <c r="A469" s="14">
        <f>IF(B469="","",COUNTA($B$4:B469))</f>
        <v>466</v>
      </c>
      <c r="B469" s="14" t="s">
        <v>1550</v>
      </c>
      <c r="C469" s="14" t="s">
        <v>253</v>
      </c>
      <c r="D469" s="14" t="s">
        <v>254</v>
      </c>
      <c r="E469" s="14" t="s">
        <v>253</v>
      </c>
      <c r="F469" s="14" t="s">
        <v>150</v>
      </c>
      <c r="G469" s="14" t="s">
        <v>151</v>
      </c>
      <c r="H469" s="14">
        <v>10</v>
      </c>
      <c r="I469" s="14"/>
      <c r="J469" s="15"/>
      <c r="K469" s="15"/>
    </row>
    <row r="470" spans="1:11">
      <c r="A470" s="14">
        <f>IF(B470="","",COUNTA($B$4:B470))</f>
        <v>467</v>
      </c>
      <c r="B470" s="14" t="s">
        <v>1551</v>
      </c>
      <c r="C470" s="14" t="s">
        <v>253</v>
      </c>
      <c r="D470" s="14" t="s">
        <v>254</v>
      </c>
      <c r="E470" s="14" t="s">
        <v>253</v>
      </c>
      <c r="F470" s="14" t="s">
        <v>150</v>
      </c>
      <c r="G470" s="14" t="s">
        <v>151</v>
      </c>
      <c r="H470" s="14">
        <v>10</v>
      </c>
      <c r="I470" s="14"/>
      <c r="J470" s="15"/>
      <c r="K470" s="15"/>
    </row>
    <row r="471" spans="1:11">
      <c r="A471" s="14">
        <f>IF(B471="","",COUNTA($B$4:B471))</f>
        <v>468</v>
      </c>
      <c r="B471" s="14" t="s">
        <v>1552</v>
      </c>
      <c r="C471" s="14" t="s">
        <v>253</v>
      </c>
      <c r="D471" s="14" t="s">
        <v>254</v>
      </c>
      <c r="E471" s="14" t="s">
        <v>253</v>
      </c>
      <c r="F471" s="14" t="s">
        <v>150</v>
      </c>
      <c r="G471" s="14" t="s">
        <v>151</v>
      </c>
      <c r="H471" s="14">
        <v>10</v>
      </c>
      <c r="I471" s="14"/>
      <c r="J471" s="15"/>
      <c r="K471" s="127"/>
    </row>
    <row r="472" spans="1:11">
      <c r="A472" s="14">
        <f>IF(B472="","",COUNTA($B$4:B472))</f>
        <v>469</v>
      </c>
      <c r="B472" s="14" t="s">
        <v>1553</v>
      </c>
      <c r="C472" s="14" t="s">
        <v>253</v>
      </c>
      <c r="D472" s="14" t="s">
        <v>254</v>
      </c>
      <c r="E472" s="14" t="s">
        <v>253</v>
      </c>
      <c r="F472" s="14" t="s">
        <v>150</v>
      </c>
      <c r="G472" s="14" t="s">
        <v>151</v>
      </c>
      <c r="H472" s="14">
        <v>10</v>
      </c>
      <c r="I472" s="14"/>
      <c r="J472" s="15"/>
      <c r="K472" s="15"/>
    </row>
    <row r="473" spans="1:11">
      <c r="A473" s="14">
        <f>IF(B473="","",COUNTA($B$4:B473))</f>
        <v>470</v>
      </c>
      <c r="B473" s="14" t="s">
        <v>1554</v>
      </c>
      <c r="C473" s="14" t="s">
        <v>253</v>
      </c>
      <c r="D473" s="14" t="s">
        <v>254</v>
      </c>
      <c r="E473" s="14" t="s">
        <v>253</v>
      </c>
      <c r="F473" s="14" t="s">
        <v>150</v>
      </c>
      <c r="G473" s="14" t="s">
        <v>151</v>
      </c>
      <c r="H473" s="14">
        <v>10</v>
      </c>
      <c r="I473" s="14"/>
      <c r="J473" s="15"/>
      <c r="K473" s="127"/>
    </row>
    <row r="474" spans="1:11">
      <c r="A474" s="14">
        <f>IF(B474="","",COUNTA($B$4:B474))</f>
        <v>471</v>
      </c>
      <c r="B474" s="14" t="s">
        <v>1515</v>
      </c>
      <c r="C474" s="14" t="s">
        <v>255</v>
      </c>
      <c r="D474" s="14" t="s">
        <v>256</v>
      </c>
      <c r="E474" s="14" t="s">
        <v>255</v>
      </c>
      <c r="F474" s="14" t="s">
        <v>150</v>
      </c>
      <c r="G474" s="14" t="s">
        <v>151</v>
      </c>
      <c r="H474" s="14">
        <v>10</v>
      </c>
      <c r="I474" s="14"/>
      <c r="J474" s="14"/>
      <c r="K474" s="15"/>
    </row>
    <row r="475" spans="1:11">
      <c r="A475" s="14">
        <f>IF(B475="","",COUNTA($B$4:B475))</f>
        <v>472</v>
      </c>
      <c r="B475" s="14" t="s">
        <v>1528</v>
      </c>
      <c r="C475" s="14" t="s">
        <v>255</v>
      </c>
      <c r="D475" s="14" t="s">
        <v>256</v>
      </c>
      <c r="E475" s="14" t="s">
        <v>255</v>
      </c>
      <c r="F475" s="14" t="s">
        <v>150</v>
      </c>
      <c r="G475" s="14" t="s">
        <v>151</v>
      </c>
      <c r="H475" s="14">
        <v>10</v>
      </c>
      <c r="I475" s="14"/>
      <c r="J475" s="14"/>
      <c r="K475" s="15"/>
    </row>
    <row r="476" spans="1:11">
      <c r="A476" s="14">
        <f>IF(B476="","",COUNTA($B$4:B476))</f>
        <v>473</v>
      </c>
      <c r="B476" s="14" t="s">
        <v>1529</v>
      </c>
      <c r="C476" s="14" t="s">
        <v>255</v>
      </c>
      <c r="D476" s="14" t="s">
        <v>256</v>
      </c>
      <c r="E476" s="14" t="s">
        <v>255</v>
      </c>
      <c r="F476" s="14" t="s">
        <v>150</v>
      </c>
      <c r="G476" s="14" t="s">
        <v>151</v>
      </c>
      <c r="H476" s="14">
        <v>10</v>
      </c>
      <c r="I476" s="14"/>
      <c r="J476" s="14"/>
      <c r="K476" s="15"/>
    </row>
    <row r="477" spans="1:11">
      <c r="A477" s="14">
        <f>IF(B477="","",COUNTA($B$4:B477))</f>
        <v>474</v>
      </c>
      <c r="B477" s="14" t="s">
        <v>1530</v>
      </c>
      <c r="C477" s="14" t="s">
        <v>255</v>
      </c>
      <c r="D477" s="14" t="s">
        <v>256</v>
      </c>
      <c r="E477" s="14" t="s">
        <v>255</v>
      </c>
      <c r="F477" s="14" t="s">
        <v>150</v>
      </c>
      <c r="G477" s="14" t="s">
        <v>151</v>
      </c>
      <c r="H477" s="14">
        <v>10</v>
      </c>
      <c r="I477" s="14"/>
      <c r="J477" s="14"/>
      <c r="K477" s="15"/>
    </row>
    <row r="478" spans="1:11">
      <c r="A478" s="14">
        <f>IF(B478="","",COUNTA($B$4:B478))</f>
        <v>475</v>
      </c>
      <c r="B478" s="14" t="s">
        <v>1531</v>
      </c>
      <c r="C478" s="14" t="s">
        <v>255</v>
      </c>
      <c r="D478" s="14" t="s">
        <v>256</v>
      </c>
      <c r="E478" s="14" t="s">
        <v>255</v>
      </c>
      <c r="F478" s="14" t="s">
        <v>150</v>
      </c>
      <c r="G478" s="14" t="s">
        <v>151</v>
      </c>
      <c r="H478" s="14">
        <v>10</v>
      </c>
      <c r="I478" s="14"/>
      <c r="J478" s="14"/>
      <c r="K478" s="127"/>
    </row>
    <row r="479" spans="1:11">
      <c r="A479" s="14">
        <f>IF(B479="","",COUNTA($B$4:B479))</f>
        <v>476</v>
      </c>
      <c r="B479" s="14" t="s">
        <v>1532</v>
      </c>
      <c r="C479" s="14" t="s">
        <v>255</v>
      </c>
      <c r="D479" s="14" t="s">
        <v>256</v>
      </c>
      <c r="E479" s="14" t="s">
        <v>255</v>
      </c>
      <c r="F479" s="14" t="s">
        <v>150</v>
      </c>
      <c r="G479" s="14" t="s">
        <v>151</v>
      </c>
      <c r="H479" s="14">
        <v>10</v>
      </c>
      <c r="I479" s="14"/>
      <c r="J479" s="14"/>
      <c r="K479" s="15"/>
    </row>
    <row r="480" spans="1:11">
      <c r="A480" s="14">
        <f>IF(B480="","",COUNTA($B$4:B480))</f>
        <v>477</v>
      </c>
      <c r="B480" s="14" t="s">
        <v>1533</v>
      </c>
      <c r="C480" s="14" t="s">
        <v>255</v>
      </c>
      <c r="D480" s="14" t="s">
        <v>256</v>
      </c>
      <c r="E480" s="14" t="s">
        <v>255</v>
      </c>
      <c r="F480" s="14" t="s">
        <v>150</v>
      </c>
      <c r="G480" s="14" t="s">
        <v>151</v>
      </c>
      <c r="H480" s="14">
        <v>10</v>
      </c>
      <c r="I480" s="14"/>
      <c r="J480" s="14"/>
      <c r="K480" s="127"/>
    </row>
    <row r="481" spans="1:11">
      <c r="A481" s="14">
        <f>IF(B481="","",COUNTA($B$4:B481))</f>
        <v>478</v>
      </c>
      <c r="B481" s="14" t="s">
        <v>1534</v>
      </c>
      <c r="C481" s="14" t="s">
        <v>255</v>
      </c>
      <c r="D481" s="14" t="s">
        <v>256</v>
      </c>
      <c r="E481" s="14" t="s">
        <v>255</v>
      </c>
      <c r="F481" s="14" t="s">
        <v>150</v>
      </c>
      <c r="G481" s="14" t="s">
        <v>151</v>
      </c>
      <c r="H481" s="14">
        <v>10</v>
      </c>
      <c r="I481" s="14"/>
      <c r="J481" s="14"/>
      <c r="K481" s="15"/>
    </row>
    <row r="482" spans="1:11">
      <c r="A482" s="14">
        <f>IF(B482="","",COUNTA($B$4:B482))</f>
        <v>479</v>
      </c>
      <c r="B482" s="14" t="s">
        <v>1538</v>
      </c>
      <c r="C482" s="14" t="s">
        <v>255</v>
      </c>
      <c r="D482" s="14" t="s">
        <v>256</v>
      </c>
      <c r="E482" s="14" t="s">
        <v>255</v>
      </c>
      <c r="F482" s="14" t="s">
        <v>150</v>
      </c>
      <c r="G482" s="14" t="s">
        <v>151</v>
      </c>
      <c r="H482" s="14">
        <v>10</v>
      </c>
      <c r="I482" s="14"/>
      <c r="J482" s="14"/>
      <c r="K482" s="127"/>
    </row>
    <row r="483" spans="1:11">
      <c r="A483" s="14">
        <f>IF(B483="","",COUNTA($B$4:B483))</f>
        <v>480</v>
      </c>
      <c r="B483" s="14" t="s">
        <v>1545</v>
      </c>
      <c r="C483" s="14" t="s">
        <v>255</v>
      </c>
      <c r="D483" s="14" t="s">
        <v>256</v>
      </c>
      <c r="E483" s="14" t="s">
        <v>255</v>
      </c>
      <c r="F483" s="14" t="s">
        <v>150</v>
      </c>
      <c r="G483" s="14" t="s">
        <v>151</v>
      </c>
      <c r="H483" s="14">
        <v>10</v>
      </c>
      <c r="I483" s="14" t="s">
        <v>244</v>
      </c>
      <c r="J483" s="14"/>
      <c r="K483" s="15"/>
    </row>
    <row r="484" spans="1:11">
      <c r="A484" s="14">
        <f>IF(B484="","",COUNTA($B$4:B484))</f>
        <v>481</v>
      </c>
      <c r="B484" s="14" t="s">
        <v>1546</v>
      </c>
      <c r="C484" s="14" t="s">
        <v>255</v>
      </c>
      <c r="D484" s="14" t="s">
        <v>256</v>
      </c>
      <c r="E484" s="14" t="s">
        <v>255</v>
      </c>
      <c r="F484" s="14" t="s">
        <v>150</v>
      </c>
      <c r="G484" s="14" t="s">
        <v>151</v>
      </c>
      <c r="H484" s="14">
        <v>10</v>
      </c>
      <c r="I484" s="14"/>
      <c r="J484" s="14"/>
      <c r="K484" s="127"/>
    </row>
    <row r="485" spans="1:11">
      <c r="A485" s="14">
        <f>IF(B485="","",COUNTA($B$4:B485))</f>
        <v>482</v>
      </c>
      <c r="B485" s="14" t="s">
        <v>1547</v>
      </c>
      <c r="C485" s="14" t="s">
        <v>255</v>
      </c>
      <c r="D485" s="14" t="s">
        <v>256</v>
      </c>
      <c r="E485" s="14" t="s">
        <v>255</v>
      </c>
      <c r="F485" s="14" t="s">
        <v>150</v>
      </c>
      <c r="G485" s="14" t="s">
        <v>151</v>
      </c>
      <c r="H485" s="14">
        <v>10</v>
      </c>
      <c r="I485" s="14"/>
      <c r="J485" s="14"/>
      <c r="K485" s="127"/>
    </row>
    <row r="486" spans="1:11">
      <c r="A486" s="14">
        <f>IF(B486="","",COUNTA($B$4:B486))</f>
        <v>483</v>
      </c>
      <c r="B486" s="14" t="s">
        <v>1548</v>
      </c>
      <c r="C486" s="14" t="s">
        <v>255</v>
      </c>
      <c r="D486" s="14" t="s">
        <v>256</v>
      </c>
      <c r="E486" s="14" t="s">
        <v>255</v>
      </c>
      <c r="F486" s="14" t="s">
        <v>150</v>
      </c>
      <c r="G486" s="14" t="s">
        <v>151</v>
      </c>
      <c r="H486" s="14">
        <v>10</v>
      </c>
      <c r="I486" s="14"/>
      <c r="J486" s="14"/>
      <c r="K486" s="15"/>
    </row>
    <row r="487" spans="1:11">
      <c r="A487" s="14">
        <f>IF(B487="","",COUNTA($B$4:B487))</f>
        <v>484</v>
      </c>
      <c r="B487" s="14" t="s">
        <v>1549</v>
      </c>
      <c r="C487" s="14" t="s">
        <v>255</v>
      </c>
      <c r="D487" s="14" t="s">
        <v>256</v>
      </c>
      <c r="E487" s="14" t="s">
        <v>255</v>
      </c>
      <c r="F487" s="14" t="s">
        <v>150</v>
      </c>
      <c r="G487" s="14" t="s">
        <v>151</v>
      </c>
      <c r="H487" s="14">
        <v>10</v>
      </c>
      <c r="I487" s="14"/>
      <c r="J487" s="14"/>
      <c r="K487" s="15"/>
    </row>
    <row r="488" spans="1:11">
      <c r="A488" s="14">
        <f>IF(B488="","",COUNTA($B$4:B488))</f>
        <v>485</v>
      </c>
      <c r="B488" s="14" t="s">
        <v>1550</v>
      </c>
      <c r="C488" s="14" t="s">
        <v>255</v>
      </c>
      <c r="D488" s="14" t="s">
        <v>256</v>
      </c>
      <c r="E488" s="14" t="s">
        <v>255</v>
      </c>
      <c r="F488" s="14" t="s">
        <v>150</v>
      </c>
      <c r="G488" s="14" t="s">
        <v>151</v>
      </c>
      <c r="H488" s="14">
        <v>10</v>
      </c>
      <c r="I488" s="14"/>
      <c r="J488" s="15"/>
      <c r="K488" s="127"/>
    </row>
    <row r="489" spans="1:11">
      <c r="A489" s="14">
        <f>IF(B489="","",COUNTA($B$4:B489))</f>
        <v>486</v>
      </c>
      <c r="B489" s="14" t="s">
        <v>1551</v>
      </c>
      <c r="C489" s="14" t="s">
        <v>255</v>
      </c>
      <c r="D489" s="14" t="s">
        <v>256</v>
      </c>
      <c r="E489" s="14" t="s">
        <v>255</v>
      </c>
      <c r="F489" s="14" t="s">
        <v>150</v>
      </c>
      <c r="G489" s="14" t="s">
        <v>151</v>
      </c>
      <c r="H489" s="14">
        <v>10</v>
      </c>
      <c r="I489" s="14"/>
      <c r="J489" s="15"/>
      <c r="K489" s="15"/>
    </row>
    <row r="490" spans="1:11">
      <c r="A490" s="14">
        <f>IF(B490="","",COUNTA($B$4:B490))</f>
        <v>487</v>
      </c>
      <c r="B490" s="14" t="s">
        <v>1552</v>
      </c>
      <c r="C490" s="14" t="s">
        <v>255</v>
      </c>
      <c r="D490" s="14" t="s">
        <v>256</v>
      </c>
      <c r="E490" s="14" t="s">
        <v>255</v>
      </c>
      <c r="F490" s="14" t="s">
        <v>150</v>
      </c>
      <c r="G490" s="14" t="s">
        <v>151</v>
      </c>
      <c r="H490" s="14">
        <v>10</v>
      </c>
      <c r="I490" s="14"/>
      <c r="J490" s="15"/>
      <c r="K490" s="15"/>
    </row>
    <row r="491" spans="1:11">
      <c r="A491" s="14">
        <f>IF(B491="","",COUNTA($B$4:B491))</f>
        <v>488</v>
      </c>
      <c r="B491" s="14" t="s">
        <v>1553</v>
      </c>
      <c r="C491" s="14" t="s">
        <v>255</v>
      </c>
      <c r="D491" s="14" t="s">
        <v>256</v>
      </c>
      <c r="E491" s="14" t="s">
        <v>255</v>
      </c>
      <c r="F491" s="14" t="s">
        <v>150</v>
      </c>
      <c r="G491" s="14" t="s">
        <v>151</v>
      </c>
      <c r="H491" s="14">
        <v>10</v>
      </c>
      <c r="I491" s="14"/>
      <c r="J491" s="15"/>
      <c r="K491" s="15"/>
    </row>
    <row r="492" spans="1:11">
      <c r="A492" s="14">
        <f>IF(B492="","",COUNTA($B$4:B492))</f>
        <v>489</v>
      </c>
      <c r="B492" s="14" t="s">
        <v>1554</v>
      </c>
      <c r="C492" s="14" t="s">
        <v>255</v>
      </c>
      <c r="D492" s="14" t="s">
        <v>256</v>
      </c>
      <c r="E492" s="14" t="s">
        <v>255</v>
      </c>
      <c r="F492" s="14" t="s">
        <v>150</v>
      </c>
      <c r="G492" s="14" t="s">
        <v>151</v>
      </c>
      <c r="H492" s="14">
        <v>10</v>
      </c>
      <c r="I492" s="14"/>
      <c r="J492" s="15"/>
      <c r="K492" s="15"/>
    </row>
    <row r="493" spans="1:11">
      <c r="A493" s="14">
        <f>IF(B493="","",COUNTA($B$4:B493))</f>
        <v>490</v>
      </c>
      <c r="B493" s="14" t="s">
        <v>1555</v>
      </c>
      <c r="C493" s="14" t="s">
        <v>255</v>
      </c>
      <c r="D493" s="14" t="s">
        <v>256</v>
      </c>
      <c r="E493" s="14" t="s">
        <v>255</v>
      </c>
      <c r="F493" s="14" t="s">
        <v>150</v>
      </c>
      <c r="G493" s="14" t="s">
        <v>151</v>
      </c>
      <c r="H493" s="14">
        <v>10</v>
      </c>
      <c r="I493" s="14"/>
      <c r="J493" s="15"/>
      <c r="K493" s="127"/>
    </row>
    <row r="494" spans="1:11">
      <c r="A494" s="14">
        <f>IF(B494="","",COUNTA($B$4:B494))</f>
        <v>491</v>
      </c>
      <c r="B494" s="14" t="s">
        <v>1557</v>
      </c>
      <c r="C494" s="14" t="s">
        <v>255</v>
      </c>
      <c r="D494" s="14" t="s">
        <v>256</v>
      </c>
      <c r="E494" s="14" t="s">
        <v>255</v>
      </c>
      <c r="F494" s="14" t="s">
        <v>150</v>
      </c>
      <c r="G494" s="14" t="s">
        <v>151</v>
      </c>
      <c r="H494" s="14">
        <v>10</v>
      </c>
      <c r="I494" s="14"/>
      <c r="J494" s="15"/>
      <c r="K494" s="15"/>
    </row>
    <row r="495" spans="1:11">
      <c r="A495" s="14">
        <f>IF(B495="","",COUNTA($B$4:B495))</f>
        <v>492</v>
      </c>
      <c r="B495" s="14" t="s">
        <v>1557</v>
      </c>
      <c r="C495" s="14" t="s">
        <v>255</v>
      </c>
      <c r="D495" s="14" t="s">
        <v>256</v>
      </c>
      <c r="E495" s="14" t="s">
        <v>255</v>
      </c>
      <c r="F495" s="14" t="s">
        <v>150</v>
      </c>
      <c r="G495" s="14" t="s">
        <v>151</v>
      </c>
      <c r="H495" s="14">
        <v>10</v>
      </c>
      <c r="I495" s="14"/>
      <c r="J495" s="15"/>
      <c r="K495" s="15"/>
    </row>
    <row r="496" spans="1:11">
      <c r="A496" s="14">
        <f>IF(B496="","",COUNTA($B$4:B496))</f>
        <v>493</v>
      </c>
      <c r="B496" s="14" t="s">
        <v>1515</v>
      </c>
      <c r="C496" s="14" t="s">
        <v>257</v>
      </c>
      <c r="D496" s="14" t="s">
        <v>258</v>
      </c>
      <c r="E496" s="14" t="s">
        <v>257</v>
      </c>
      <c r="F496" s="14" t="s">
        <v>169</v>
      </c>
      <c r="G496" s="14" t="s">
        <v>243</v>
      </c>
      <c r="H496" s="14"/>
      <c r="I496" s="14"/>
      <c r="J496" s="14"/>
      <c r="K496" s="15"/>
    </row>
    <row r="497" spans="1:11">
      <c r="A497" s="14">
        <f>IF(B497="","",COUNTA($B$4:B497))</f>
        <v>494</v>
      </c>
      <c r="B497" s="14" t="s">
        <v>1528</v>
      </c>
      <c r="C497" s="14" t="s">
        <v>257</v>
      </c>
      <c r="D497" s="14" t="s">
        <v>258</v>
      </c>
      <c r="E497" s="14" t="s">
        <v>257</v>
      </c>
      <c r="F497" s="14" t="s">
        <v>169</v>
      </c>
      <c r="G497" s="14" t="s">
        <v>243</v>
      </c>
      <c r="H497" s="14"/>
      <c r="I497" s="14"/>
      <c r="J497" s="14"/>
      <c r="K497" s="127"/>
    </row>
    <row r="498" spans="1:11">
      <c r="A498" s="14">
        <f>IF(B498="","",COUNTA($B$4:B498))</f>
        <v>495</v>
      </c>
      <c r="B498" s="14" t="s">
        <v>1529</v>
      </c>
      <c r="C498" s="14" t="s">
        <v>257</v>
      </c>
      <c r="D498" s="14" t="s">
        <v>258</v>
      </c>
      <c r="E498" s="14" t="s">
        <v>257</v>
      </c>
      <c r="F498" s="14" t="s">
        <v>169</v>
      </c>
      <c r="G498" s="14" t="s">
        <v>243</v>
      </c>
      <c r="H498" s="14"/>
      <c r="I498" s="14"/>
      <c r="J498" s="14"/>
      <c r="K498" s="15"/>
    </row>
    <row r="499" spans="1:11">
      <c r="A499" s="14">
        <f>IF(B499="","",COUNTA($B$4:B499))</f>
        <v>496</v>
      </c>
      <c r="B499" s="14" t="s">
        <v>1530</v>
      </c>
      <c r="C499" s="14" t="s">
        <v>257</v>
      </c>
      <c r="D499" s="14" t="s">
        <v>258</v>
      </c>
      <c r="E499" s="14" t="s">
        <v>257</v>
      </c>
      <c r="F499" s="14" t="s">
        <v>169</v>
      </c>
      <c r="G499" s="14" t="s">
        <v>243</v>
      </c>
      <c r="H499" s="14"/>
      <c r="I499" s="14"/>
      <c r="J499" s="14"/>
      <c r="K499" s="127"/>
    </row>
    <row r="500" spans="1:11">
      <c r="A500" s="14">
        <f>IF(B500="","",COUNTA($B$4:B500))</f>
        <v>497</v>
      </c>
      <c r="B500" s="14" t="s">
        <v>1531</v>
      </c>
      <c r="C500" s="14" t="s">
        <v>257</v>
      </c>
      <c r="D500" s="14" t="s">
        <v>258</v>
      </c>
      <c r="E500" s="14" t="s">
        <v>257</v>
      </c>
      <c r="F500" s="14" t="s">
        <v>169</v>
      </c>
      <c r="G500" s="14" t="s">
        <v>243</v>
      </c>
      <c r="H500" s="14"/>
      <c r="I500" s="14"/>
      <c r="J500" s="14"/>
      <c r="K500" s="15"/>
    </row>
    <row r="501" spans="1:11">
      <c r="A501" s="14">
        <f>IF(B501="","",COUNTA($B$4:B501))</f>
        <v>498</v>
      </c>
      <c r="B501" s="14" t="s">
        <v>1532</v>
      </c>
      <c r="C501" s="14" t="s">
        <v>257</v>
      </c>
      <c r="D501" s="14" t="s">
        <v>258</v>
      </c>
      <c r="E501" s="14" t="s">
        <v>257</v>
      </c>
      <c r="F501" s="14" t="s">
        <v>169</v>
      </c>
      <c r="G501" s="14" t="s">
        <v>243</v>
      </c>
      <c r="H501" s="14"/>
      <c r="I501" s="14"/>
      <c r="J501" s="14"/>
      <c r="K501" s="127"/>
    </row>
    <row r="502" spans="1:11">
      <c r="A502" s="14">
        <f>IF(B502="","",COUNTA($B$4:B502))</f>
        <v>499</v>
      </c>
      <c r="B502" s="14" t="s">
        <v>1533</v>
      </c>
      <c r="C502" s="14" t="s">
        <v>257</v>
      </c>
      <c r="D502" s="14" t="s">
        <v>258</v>
      </c>
      <c r="E502" s="14" t="s">
        <v>257</v>
      </c>
      <c r="F502" s="14" t="s">
        <v>169</v>
      </c>
      <c r="G502" s="14" t="s">
        <v>243</v>
      </c>
      <c r="H502" s="14"/>
      <c r="I502" s="14"/>
      <c r="J502" s="14"/>
      <c r="K502" s="15"/>
    </row>
    <row r="503" spans="1:11">
      <c r="A503" s="14">
        <f>IF(B503="","",COUNTA($B$4:B503))</f>
        <v>500</v>
      </c>
      <c r="B503" s="14" t="s">
        <v>1534</v>
      </c>
      <c r="C503" s="14" t="s">
        <v>257</v>
      </c>
      <c r="D503" s="14" t="s">
        <v>258</v>
      </c>
      <c r="E503" s="14" t="s">
        <v>257</v>
      </c>
      <c r="F503" s="14" t="s">
        <v>169</v>
      </c>
      <c r="G503" s="14" t="s">
        <v>243</v>
      </c>
      <c r="H503" s="14"/>
      <c r="I503" s="14"/>
      <c r="J503" s="14"/>
      <c r="K503" s="15"/>
    </row>
    <row r="504" spans="1:11">
      <c r="A504" s="14">
        <f>IF(B504="","",COUNTA($B$4:B504))</f>
        <v>501</v>
      </c>
      <c r="B504" s="14" t="s">
        <v>1538</v>
      </c>
      <c r="C504" s="14" t="s">
        <v>257</v>
      </c>
      <c r="D504" s="14" t="s">
        <v>258</v>
      </c>
      <c r="E504" s="14" t="s">
        <v>257</v>
      </c>
      <c r="F504" s="14" t="s">
        <v>169</v>
      </c>
      <c r="G504" s="14" t="s">
        <v>243</v>
      </c>
      <c r="H504" s="14"/>
      <c r="I504" s="14"/>
      <c r="J504" s="14"/>
      <c r="K504" s="15"/>
    </row>
    <row r="505" spans="1:11">
      <c r="A505" s="14">
        <f>IF(B505="","",COUNTA($B$4:B505))</f>
        <v>502</v>
      </c>
      <c r="B505" s="14" t="s">
        <v>1545</v>
      </c>
      <c r="C505" s="14" t="s">
        <v>257</v>
      </c>
      <c r="D505" s="14" t="s">
        <v>258</v>
      </c>
      <c r="E505" s="14" t="s">
        <v>257</v>
      </c>
      <c r="F505" s="14" t="s">
        <v>169</v>
      </c>
      <c r="G505" s="14" t="s">
        <v>243</v>
      </c>
      <c r="H505" s="14"/>
      <c r="I505" s="14" t="s">
        <v>244</v>
      </c>
      <c r="J505" s="14"/>
      <c r="K505" s="127"/>
    </row>
    <row r="506" spans="1:11">
      <c r="A506" s="14">
        <f>IF(B506="","",COUNTA($B$4:B506))</f>
        <v>503</v>
      </c>
      <c r="B506" s="14" t="s">
        <v>1546</v>
      </c>
      <c r="C506" s="14" t="s">
        <v>257</v>
      </c>
      <c r="D506" s="14" t="s">
        <v>258</v>
      </c>
      <c r="E506" s="14" t="s">
        <v>257</v>
      </c>
      <c r="F506" s="14" t="s">
        <v>169</v>
      </c>
      <c r="G506" s="14" t="s">
        <v>243</v>
      </c>
      <c r="H506" s="14"/>
      <c r="I506" s="14"/>
      <c r="J506" s="14"/>
      <c r="K506" s="15"/>
    </row>
    <row r="507" spans="1:11">
      <c r="A507" s="14">
        <f>IF(B507="","",COUNTA($B$4:B507))</f>
        <v>504</v>
      </c>
      <c r="B507" s="14" t="s">
        <v>1547</v>
      </c>
      <c r="C507" s="14" t="s">
        <v>257</v>
      </c>
      <c r="D507" s="14" t="s">
        <v>258</v>
      </c>
      <c r="E507" s="14" t="s">
        <v>257</v>
      </c>
      <c r="F507" s="14" t="s">
        <v>169</v>
      </c>
      <c r="G507" s="14" t="s">
        <v>243</v>
      </c>
      <c r="H507" s="14"/>
      <c r="I507" s="14"/>
      <c r="J507" s="14"/>
      <c r="K507" s="127"/>
    </row>
    <row r="508" spans="1:11">
      <c r="A508" s="14">
        <f>IF(B508="","",COUNTA($B$4:B508))</f>
        <v>505</v>
      </c>
      <c r="B508" s="14" t="s">
        <v>1548</v>
      </c>
      <c r="C508" s="14" t="s">
        <v>257</v>
      </c>
      <c r="D508" s="14" t="s">
        <v>258</v>
      </c>
      <c r="E508" s="14" t="s">
        <v>257</v>
      </c>
      <c r="F508" s="14" t="s">
        <v>169</v>
      </c>
      <c r="G508" s="14" t="s">
        <v>243</v>
      </c>
      <c r="H508" s="14"/>
      <c r="I508" s="14"/>
      <c r="J508" s="14"/>
      <c r="K508" s="15"/>
    </row>
    <row r="509" spans="1:11">
      <c r="A509" s="14">
        <f>IF(B509="","",COUNTA($B$4:B509))</f>
        <v>506</v>
      </c>
      <c r="B509" s="14" t="s">
        <v>1549</v>
      </c>
      <c r="C509" s="14" t="s">
        <v>257</v>
      </c>
      <c r="D509" s="14" t="s">
        <v>258</v>
      </c>
      <c r="E509" s="14" t="s">
        <v>257</v>
      </c>
      <c r="F509" s="14" t="s">
        <v>169</v>
      </c>
      <c r="G509" s="14" t="s">
        <v>243</v>
      </c>
      <c r="H509" s="14"/>
      <c r="I509" s="14"/>
      <c r="J509" s="14"/>
      <c r="K509" s="127"/>
    </row>
    <row r="510" spans="1:11">
      <c r="A510" s="14">
        <f>IF(B510="","",COUNTA($B$4:B510))</f>
        <v>507</v>
      </c>
      <c r="B510" s="14" t="s">
        <v>1550</v>
      </c>
      <c r="C510" s="14" t="s">
        <v>257</v>
      </c>
      <c r="D510" s="14" t="s">
        <v>258</v>
      </c>
      <c r="E510" s="14" t="s">
        <v>257</v>
      </c>
      <c r="F510" s="14" t="s">
        <v>169</v>
      </c>
      <c r="G510" s="14" t="s">
        <v>243</v>
      </c>
      <c r="H510" s="14"/>
      <c r="I510" s="14"/>
      <c r="J510" s="15"/>
      <c r="K510" s="15"/>
    </row>
    <row r="511" spans="1:11">
      <c r="A511" s="14">
        <f>IF(B511="","",COUNTA($B$4:B511))</f>
        <v>508</v>
      </c>
      <c r="B511" s="14" t="s">
        <v>1551</v>
      </c>
      <c r="C511" s="14" t="s">
        <v>257</v>
      </c>
      <c r="D511" s="14" t="s">
        <v>258</v>
      </c>
      <c r="E511" s="14" t="s">
        <v>257</v>
      </c>
      <c r="F511" s="14" t="s">
        <v>169</v>
      </c>
      <c r="G511" s="14" t="s">
        <v>243</v>
      </c>
      <c r="H511" s="14"/>
      <c r="I511" s="14"/>
      <c r="J511" s="15"/>
      <c r="K511" s="15"/>
    </row>
    <row r="512" spans="1:11">
      <c r="A512" s="14">
        <f>IF(B512="","",COUNTA($B$4:B512))</f>
        <v>509</v>
      </c>
      <c r="B512" s="14" t="s">
        <v>1552</v>
      </c>
      <c r="C512" s="14" t="s">
        <v>257</v>
      </c>
      <c r="D512" s="14" t="s">
        <v>258</v>
      </c>
      <c r="E512" s="14" t="s">
        <v>257</v>
      </c>
      <c r="F512" s="14" t="s">
        <v>169</v>
      </c>
      <c r="G512" s="14" t="s">
        <v>243</v>
      </c>
      <c r="H512" s="14"/>
      <c r="I512" s="14"/>
      <c r="J512" s="15"/>
      <c r="K512" s="15"/>
    </row>
    <row r="513" spans="1:11">
      <c r="A513" s="14">
        <f>IF(B513="","",COUNTA($B$4:B513))</f>
        <v>510</v>
      </c>
      <c r="B513" s="14" t="s">
        <v>1553</v>
      </c>
      <c r="C513" s="14" t="s">
        <v>257</v>
      </c>
      <c r="D513" s="14" t="s">
        <v>258</v>
      </c>
      <c r="E513" s="14" t="s">
        <v>257</v>
      </c>
      <c r="F513" s="14" t="s">
        <v>169</v>
      </c>
      <c r="G513" s="14" t="s">
        <v>243</v>
      </c>
      <c r="H513" s="14"/>
      <c r="I513" s="14"/>
      <c r="J513" s="15"/>
      <c r="K513" s="15"/>
    </row>
    <row r="514" spans="1:11">
      <c r="A514" s="14">
        <f>IF(B514="","",COUNTA($B$4:B514))</f>
        <v>511</v>
      </c>
      <c r="B514" s="14" t="s">
        <v>1554</v>
      </c>
      <c r="C514" s="14" t="s">
        <v>257</v>
      </c>
      <c r="D514" s="14" t="s">
        <v>258</v>
      </c>
      <c r="E514" s="14" t="s">
        <v>257</v>
      </c>
      <c r="F514" s="14" t="s">
        <v>169</v>
      </c>
      <c r="G514" s="14" t="s">
        <v>243</v>
      </c>
      <c r="H514" s="14"/>
      <c r="I514" s="14"/>
      <c r="J514" s="15"/>
      <c r="K514" s="15"/>
    </row>
    <row r="515" spans="1:11">
      <c r="A515" s="14">
        <f>IF(B515="","",COUNTA($B$4:B515))</f>
        <v>512</v>
      </c>
      <c r="B515" s="14" t="s">
        <v>1555</v>
      </c>
      <c r="C515" s="14" t="s">
        <v>257</v>
      </c>
      <c r="D515" s="14" t="s">
        <v>258</v>
      </c>
      <c r="E515" s="14" t="s">
        <v>257</v>
      </c>
      <c r="F515" s="14" t="s">
        <v>169</v>
      </c>
      <c r="G515" s="14" t="s">
        <v>243</v>
      </c>
      <c r="H515" s="14"/>
      <c r="I515" s="14"/>
      <c r="J515" s="15"/>
      <c r="K515" s="15"/>
    </row>
    <row r="516" spans="1:11">
      <c r="A516" s="14">
        <f>IF(B516="","",COUNTA($B$4:B516))</f>
        <v>513</v>
      </c>
      <c r="B516" s="14" t="s">
        <v>1556</v>
      </c>
      <c r="C516" s="14" t="s">
        <v>257</v>
      </c>
      <c r="D516" s="14" t="s">
        <v>258</v>
      </c>
      <c r="E516" s="14" t="s">
        <v>257</v>
      </c>
      <c r="F516" s="14" t="s">
        <v>169</v>
      </c>
      <c r="G516" s="14" t="s">
        <v>243</v>
      </c>
      <c r="H516" s="14"/>
      <c r="I516" s="14"/>
      <c r="J516" s="15"/>
      <c r="K516" s="127"/>
    </row>
    <row r="517" spans="1:11">
      <c r="A517" s="14">
        <f>IF(B517="","",COUNTA($B$4:B517))</f>
        <v>514</v>
      </c>
      <c r="B517" s="14" t="s">
        <v>1557</v>
      </c>
      <c r="C517" s="14" t="s">
        <v>257</v>
      </c>
      <c r="D517" s="14" t="s">
        <v>258</v>
      </c>
      <c r="E517" s="14" t="s">
        <v>257</v>
      </c>
      <c r="F517" s="14" t="s">
        <v>169</v>
      </c>
      <c r="G517" s="14" t="s">
        <v>243</v>
      </c>
      <c r="H517" s="14"/>
      <c r="I517" s="14"/>
      <c r="J517" s="15"/>
      <c r="K517" s="15"/>
    </row>
    <row r="518" spans="1:11">
      <c r="A518" s="14">
        <f>IF(B518="","",COUNTA($B$4:B518))</f>
        <v>515</v>
      </c>
      <c r="B518" s="14" t="s">
        <v>1557</v>
      </c>
      <c r="C518" s="14" t="s">
        <v>257</v>
      </c>
      <c r="D518" s="14" t="s">
        <v>258</v>
      </c>
      <c r="E518" s="14" t="s">
        <v>257</v>
      </c>
      <c r="F518" s="14" t="s">
        <v>169</v>
      </c>
      <c r="G518" s="14" t="s">
        <v>243</v>
      </c>
      <c r="H518" s="14"/>
      <c r="I518" s="14"/>
      <c r="J518" s="15"/>
      <c r="K518" s="15"/>
    </row>
    <row r="519" spans="1:11">
      <c r="A519" s="14">
        <f>IF(B519="","",COUNTA($B$4:B519))</f>
        <v>516</v>
      </c>
      <c r="B519" s="14" t="s">
        <v>1549</v>
      </c>
      <c r="C519" s="14" t="s">
        <v>1428</v>
      </c>
      <c r="D519" s="14" t="s">
        <v>1505</v>
      </c>
      <c r="E519" s="14" t="s">
        <v>1428</v>
      </c>
      <c r="F519" s="14" t="s">
        <v>155</v>
      </c>
      <c r="G519" s="14" t="s">
        <v>156</v>
      </c>
      <c r="H519" s="14">
        <v>5</v>
      </c>
      <c r="I519" s="14">
        <v>2</v>
      </c>
      <c r="J519" s="14"/>
      <c r="K519" s="127"/>
    </row>
    <row r="520" spans="1:11">
      <c r="A520" s="14">
        <f>IF(B520="","",COUNTA($B$4:B520))</f>
        <v>517</v>
      </c>
      <c r="B520" s="14" t="s">
        <v>1531</v>
      </c>
      <c r="C520" s="14" t="s">
        <v>287</v>
      </c>
      <c r="D520" s="14" t="s">
        <v>288</v>
      </c>
      <c r="E520" s="14" t="s">
        <v>287</v>
      </c>
      <c r="F520" s="14" t="s">
        <v>155</v>
      </c>
      <c r="G520" s="14" t="s">
        <v>156</v>
      </c>
      <c r="H520" s="14">
        <v>5</v>
      </c>
      <c r="I520" s="14"/>
      <c r="J520" s="14"/>
      <c r="K520" s="127"/>
    </row>
    <row r="521" spans="1:11">
      <c r="A521" s="14">
        <f>IF(B521="","",COUNTA($B$4:B521))</f>
        <v>518</v>
      </c>
      <c r="B521" s="14" t="s">
        <v>1528</v>
      </c>
      <c r="C521" s="14" t="s">
        <v>268</v>
      </c>
      <c r="D521" s="14" t="s">
        <v>269</v>
      </c>
      <c r="E521" s="14" t="s">
        <v>268</v>
      </c>
      <c r="F521" s="14" t="s">
        <v>155</v>
      </c>
      <c r="G521" s="14" t="s">
        <v>156</v>
      </c>
      <c r="H521" s="14">
        <v>7</v>
      </c>
      <c r="I521" s="14"/>
      <c r="J521" s="14"/>
      <c r="K521" s="15"/>
    </row>
    <row r="522" spans="1:11">
      <c r="A522" s="14">
        <f>IF(B522="","",COUNTA($B$4:B522))</f>
        <v>519</v>
      </c>
      <c r="B522" s="14" t="s">
        <v>1531</v>
      </c>
      <c r="C522" s="14" t="s">
        <v>292</v>
      </c>
      <c r="D522" s="14" t="s">
        <v>293</v>
      </c>
      <c r="E522" s="14" t="s">
        <v>292</v>
      </c>
      <c r="F522" s="14" t="s">
        <v>155</v>
      </c>
      <c r="G522" s="14" t="s">
        <v>156</v>
      </c>
      <c r="H522" s="14">
        <v>5</v>
      </c>
      <c r="I522" s="14"/>
      <c r="J522" s="14"/>
      <c r="K522" s="127"/>
    </row>
    <row r="523" spans="1:11">
      <c r="A523" s="14">
        <f>IF(B523="","",COUNTA($B$4:B523))</f>
        <v>520</v>
      </c>
      <c r="B523" s="14" t="s">
        <v>1555</v>
      </c>
      <c r="C523" s="14" t="s">
        <v>422</v>
      </c>
      <c r="D523" s="14" t="s">
        <v>423</v>
      </c>
      <c r="E523" s="14" t="s">
        <v>422</v>
      </c>
      <c r="F523" s="14" t="s">
        <v>150</v>
      </c>
      <c r="G523" s="14" t="s">
        <v>151</v>
      </c>
      <c r="H523" s="14">
        <v>1</v>
      </c>
      <c r="I523" s="14"/>
      <c r="J523" s="15"/>
      <c r="K523" s="15"/>
    </row>
    <row r="524" spans="1:11">
      <c r="A524" s="14">
        <f>IF(B524="","",COUNTA($B$4:B524))</f>
        <v>521</v>
      </c>
      <c r="B524" s="14" t="s">
        <v>1553</v>
      </c>
      <c r="C524" s="14" t="s">
        <v>1469</v>
      </c>
      <c r="D524" s="14" t="s">
        <v>1466</v>
      </c>
      <c r="E524" s="14" t="s">
        <v>1469</v>
      </c>
      <c r="F524" s="14" t="s">
        <v>150</v>
      </c>
      <c r="G524" s="14" t="s">
        <v>151</v>
      </c>
      <c r="H524" s="14">
        <v>15</v>
      </c>
      <c r="I524" s="14"/>
      <c r="J524" s="15"/>
      <c r="K524" s="127"/>
    </row>
    <row r="525" spans="1:11">
      <c r="A525" s="14">
        <f>IF(B525="","",COUNTA($B$4:B525))</f>
        <v>522</v>
      </c>
      <c r="B525" s="14" t="s">
        <v>1533</v>
      </c>
      <c r="C525" s="14" t="s">
        <v>307</v>
      </c>
      <c r="D525" s="14" t="s">
        <v>308</v>
      </c>
      <c r="E525" s="14" t="s">
        <v>307</v>
      </c>
      <c r="F525" s="14" t="s">
        <v>169</v>
      </c>
      <c r="G525" s="14" t="s">
        <v>170</v>
      </c>
      <c r="H525" s="14"/>
      <c r="I525" s="14"/>
      <c r="J525" s="14"/>
      <c r="K525" s="15"/>
    </row>
    <row r="526" spans="1:11">
      <c r="A526" s="14">
        <f>IF(B526="","",COUNTA($B$4:B526))</f>
        <v>523</v>
      </c>
      <c r="B526" s="14" t="s">
        <v>1534</v>
      </c>
      <c r="C526" s="14" t="s">
        <v>307</v>
      </c>
      <c r="D526" s="14" t="s">
        <v>308</v>
      </c>
      <c r="E526" s="14" t="s">
        <v>307</v>
      </c>
      <c r="F526" s="14" t="s">
        <v>169</v>
      </c>
      <c r="G526" s="14" t="s">
        <v>170</v>
      </c>
      <c r="H526" s="14"/>
      <c r="I526" s="14"/>
      <c r="J526" s="14"/>
      <c r="K526" s="127"/>
    </row>
    <row r="527" spans="1:11">
      <c r="A527" s="14">
        <f>IF(B527="","",COUNTA($B$4:B527))</f>
        <v>524</v>
      </c>
      <c r="B527" s="14" t="s">
        <v>1515</v>
      </c>
      <c r="C527" s="14" t="s">
        <v>222</v>
      </c>
      <c r="D527" s="14" t="s">
        <v>223</v>
      </c>
      <c r="E527" s="14" t="s">
        <v>222</v>
      </c>
      <c r="F527" s="14" t="s">
        <v>155</v>
      </c>
      <c r="G527" s="14" t="s">
        <v>156</v>
      </c>
      <c r="H527" s="14">
        <v>5</v>
      </c>
      <c r="I527" s="14"/>
      <c r="J527" s="14"/>
      <c r="K527" s="127"/>
    </row>
    <row r="528" spans="1:11">
      <c r="A528" s="14">
        <f>IF(B528="","",COUNTA($B$4:B528))</f>
        <v>525</v>
      </c>
      <c r="B528" s="14" t="s">
        <v>1555</v>
      </c>
      <c r="C528" s="14" t="s">
        <v>438</v>
      </c>
      <c r="D528" s="14" t="s">
        <v>439</v>
      </c>
      <c r="E528" s="14" t="s">
        <v>438</v>
      </c>
      <c r="F528" s="14" t="s">
        <v>150</v>
      </c>
      <c r="G528" s="14" t="s">
        <v>151</v>
      </c>
      <c r="H528" s="14">
        <v>1</v>
      </c>
      <c r="I528" s="14"/>
      <c r="J528" s="15"/>
      <c r="K528" s="15"/>
    </row>
    <row r="529" spans="1:11">
      <c r="A529" s="14">
        <f>IF(B529="","",COUNTA($B$4:B529))</f>
        <v>526</v>
      </c>
      <c r="B529" s="14" t="s">
        <v>1555</v>
      </c>
      <c r="C529" s="14" t="s">
        <v>1495</v>
      </c>
      <c r="D529" s="14" t="s">
        <v>1496</v>
      </c>
      <c r="E529" s="14" t="s">
        <v>1495</v>
      </c>
      <c r="F529" s="14" t="s">
        <v>150</v>
      </c>
      <c r="G529" s="14" t="s">
        <v>151</v>
      </c>
      <c r="H529" s="14">
        <v>1</v>
      </c>
      <c r="I529" s="14"/>
      <c r="J529" s="15"/>
      <c r="K529" s="127"/>
    </row>
    <row r="530" spans="1:11">
      <c r="A530" s="14">
        <f>IF(B530="","",COUNTA($B$4:B530))</f>
        <v>527</v>
      </c>
      <c r="B530" s="14" t="s">
        <v>1545</v>
      </c>
      <c r="C530" s="14" t="s">
        <v>392</v>
      </c>
      <c r="D530" s="14" t="s">
        <v>393</v>
      </c>
      <c r="E530" s="14" t="s">
        <v>392</v>
      </c>
      <c r="F530" s="14" t="s">
        <v>155</v>
      </c>
      <c r="G530" s="14" t="s">
        <v>156</v>
      </c>
      <c r="H530" s="14">
        <v>6</v>
      </c>
      <c r="I530" s="14" t="s">
        <v>1562</v>
      </c>
      <c r="J530" s="14"/>
      <c r="K530" s="15"/>
    </row>
    <row r="531" spans="1:11">
      <c r="A531" s="14">
        <f>IF(B531="","",COUNTA($B$4:B531))</f>
        <v>528</v>
      </c>
      <c r="B531" s="14" t="s">
        <v>1515</v>
      </c>
      <c r="C531" s="14" t="s">
        <v>228</v>
      </c>
      <c r="D531" s="14" t="s">
        <v>229</v>
      </c>
      <c r="E531" s="14" t="s">
        <v>228</v>
      </c>
      <c r="F531" s="14" t="s">
        <v>150</v>
      </c>
      <c r="G531" s="14" t="s">
        <v>151</v>
      </c>
      <c r="H531" s="14">
        <v>1000</v>
      </c>
      <c r="I531" s="14"/>
      <c r="J531" s="14"/>
      <c r="K531" s="15"/>
    </row>
    <row r="532" spans="1:11">
      <c r="A532" s="14">
        <f>IF(B532="","",COUNTA($B$4:B532))</f>
        <v>529</v>
      </c>
      <c r="B532" s="14" t="s">
        <v>1528</v>
      </c>
      <c r="C532" s="14" t="s">
        <v>228</v>
      </c>
      <c r="D532" s="14" t="s">
        <v>229</v>
      </c>
      <c r="E532" s="14" t="s">
        <v>228</v>
      </c>
      <c r="F532" s="14" t="s">
        <v>150</v>
      </c>
      <c r="G532" s="14" t="s">
        <v>151</v>
      </c>
      <c r="H532" s="14">
        <v>1000</v>
      </c>
      <c r="I532" s="14"/>
      <c r="J532" s="14"/>
      <c r="K532" s="15"/>
    </row>
    <row r="533" spans="1:11">
      <c r="A533" s="14">
        <f>IF(B533="","",COUNTA($B$4:B533))</f>
        <v>530</v>
      </c>
      <c r="B533" s="14" t="s">
        <v>1529</v>
      </c>
      <c r="C533" s="14" t="s">
        <v>228</v>
      </c>
      <c r="D533" s="14" t="s">
        <v>229</v>
      </c>
      <c r="E533" s="14" t="s">
        <v>228</v>
      </c>
      <c r="F533" s="14" t="s">
        <v>150</v>
      </c>
      <c r="G533" s="14" t="s">
        <v>151</v>
      </c>
      <c r="H533" s="14">
        <v>1000</v>
      </c>
      <c r="I533" s="14"/>
      <c r="J533" s="14"/>
      <c r="K533" s="15"/>
    </row>
    <row r="534" spans="1:11">
      <c r="A534" s="14">
        <f>IF(B534="","",COUNTA($B$4:B534))</f>
        <v>531</v>
      </c>
      <c r="B534" s="14" t="s">
        <v>1530</v>
      </c>
      <c r="C534" s="14" t="s">
        <v>228</v>
      </c>
      <c r="D534" s="14" t="s">
        <v>229</v>
      </c>
      <c r="E534" s="14" t="s">
        <v>228</v>
      </c>
      <c r="F534" s="14" t="s">
        <v>150</v>
      </c>
      <c r="G534" s="14" t="s">
        <v>151</v>
      </c>
      <c r="H534" s="14">
        <v>1000</v>
      </c>
      <c r="I534" s="14"/>
      <c r="J534" s="14"/>
      <c r="K534" s="127"/>
    </row>
    <row r="535" spans="1:11">
      <c r="A535" s="14">
        <f>IF(B535="","",COUNTA($B$4:B535))</f>
        <v>532</v>
      </c>
      <c r="B535" s="14" t="s">
        <v>1531</v>
      </c>
      <c r="C535" s="14" t="s">
        <v>228</v>
      </c>
      <c r="D535" s="14" t="s">
        <v>229</v>
      </c>
      <c r="E535" s="14" t="s">
        <v>228</v>
      </c>
      <c r="F535" s="14" t="s">
        <v>150</v>
      </c>
      <c r="G535" s="14" t="s">
        <v>151</v>
      </c>
      <c r="H535" s="14">
        <v>1000</v>
      </c>
      <c r="I535" s="14"/>
      <c r="J535" s="14"/>
      <c r="K535" s="15"/>
    </row>
    <row r="536" spans="1:11">
      <c r="A536" s="14">
        <f>IF(B536="","",COUNTA($B$4:B536))</f>
        <v>533</v>
      </c>
      <c r="B536" s="14" t="s">
        <v>1532</v>
      </c>
      <c r="C536" s="14" t="s">
        <v>228</v>
      </c>
      <c r="D536" s="14" t="s">
        <v>229</v>
      </c>
      <c r="E536" s="14" t="s">
        <v>228</v>
      </c>
      <c r="F536" s="14" t="s">
        <v>150</v>
      </c>
      <c r="G536" s="14" t="s">
        <v>151</v>
      </c>
      <c r="H536" s="14">
        <v>1000</v>
      </c>
      <c r="I536" s="14"/>
      <c r="J536" s="14"/>
      <c r="K536" s="15"/>
    </row>
    <row r="537" spans="1:11">
      <c r="A537" s="14">
        <f>IF(B537="","",COUNTA($B$4:B537))</f>
        <v>534</v>
      </c>
      <c r="B537" s="14" t="s">
        <v>1533</v>
      </c>
      <c r="C537" s="14" t="s">
        <v>228</v>
      </c>
      <c r="D537" s="14" t="s">
        <v>229</v>
      </c>
      <c r="E537" s="14" t="s">
        <v>228</v>
      </c>
      <c r="F537" s="14" t="s">
        <v>150</v>
      </c>
      <c r="G537" s="14" t="s">
        <v>151</v>
      </c>
      <c r="H537" s="14">
        <v>1000</v>
      </c>
      <c r="I537" s="14"/>
      <c r="J537" s="14"/>
      <c r="K537" s="15"/>
    </row>
    <row r="538" spans="1:11">
      <c r="A538" s="14">
        <f>IF(B538="","",COUNTA($B$4:B538))</f>
        <v>535</v>
      </c>
      <c r="B538" s="14" t="s">
        <v>1534</v>
      </c>
      <c r="C538" s="14" t="s">
        <v>228</v>
      </c>
      <c r="D538" s="14" t="s">
        <v>229</v>
      </c>
      <c r="E538" s="14" t="s">
        <v>228</v>
      </c>
      <c r="F538" s="14" t="s">
        <v>150</v>
      </c>
      <c r="G538" s="14" t="s">
        <v>151</v>
      </c>
      <c r="H538" s="14">
        <v>1000</v>
      </c>
      <c r="I538" s="14"/>
      <c r="J538" s="14"/>
      <c r="K538" s="15"/>
    </row>
    <row r="539" spans="1:11">
      <c r="A539" s="14">
        <f>IF(B539="","",COUNTA($B$4:B539))</f>
        <v>536</v>
      </c>
      <c r="B539" s="14" t="s">
        <v>1538</v>
      </c>
      <c r="C539" s="14" t="s">
        <v>228</v>
      </c>
      <c r="D539" s="14" t="s">
        <v>229</v>
      </c>
      <c r="E539" s="14" t="s">
        <v>228</v>
      </c>
      <c r="F539" s="14" t="s">
        <v>150</v>
      </c>
      <c r="G539" s="14" t="s">
        <v>151</v>
      </c>
      <c r="H539" s="14">
        <v>1000</v>
      </c>
      <c r="I539" s="14"/>
      <c r="J539" s="14"/>
      <c r="K539" s="15"/>
    </row>
    <row r="540" spans="1:11">
      <c r="A540" s="14">
        <f>IF(B540="","",COUNTA($B$4:B540))</f>
        <v>537</v>
      </c>
      <c r="B540" s="14" t="s">
        <v>1545</v>
      </c>
      <c r="C540" s="14" t="s">
        <v>228</v>
      </c>
      <c r="D540" s="14" t="s">
        <v>229</v>
      </c>
      <c r="E540" s="14" t="s">
        <v>228</v>
      </c>
      <c r="F540" s="14" t="s">
        <v>150</v>
      </c>
      <c r="G540" s="14" t="s">
        <v>151</v>
      </c>
      <c r="H540" s="14">
        <v>1000</v>
      </c>
      <c r="I540" s="14" t="s">
        <v>244</v>
      </c>
      <c r="J540" s="14"/>
      <c r="K540" s="15"/>
    </row>
    <row r="541" spans="1:11">
      <c r="A541" s="14">
        <f>IF(B541="","",COUNTA($B$4:B541))</f>
        <v>538</v>
      </c>
      <c r="B541" s="14" t="s">
        <v>1546</v>
      </c>
      <c r="C541" s="14" t="s">
        <v>228</v>
      </c>
      <c r="D541" s="14" t="s">
        <v>229</v>
      </c>
      <c r="E541" s="14" t="s">
        <v>228</v>
      </c>
      <c r="F541" s="14" t="s">
        <v>150</v>
      </c>
      <c r="G541" s="14" t="s">
        <v>151</v>
      </c>
      <c r="H541" s="14">
        <v>1000</v>
      </c>
      <c r="I541" s="14"/>
      <c r="J541" s="14"/>
      <c r="K541" s="15"/>
    </row>
    <row r="542" spans="1:11">
      <c r="A542" s="14">
        <f>IF(B542="","",COUNTA($B$4:B542))</f>
        <v>539</v>
      </c>
      <c r="B542" s="14" t="s">
        <v>1547</v>
      </c>
      <c r="C542" s="14" t="s">
        <v>228</v>
      </c>
      <c r="D542" s="14" t="s">
        <v>229</v>
      </c>
      <c r="E542" s="14" t="s">
        <v>228</v>
      </c>
      <c r="F542" s="14" t="s">
        <v>150</v>
      </c>
      <c r="G542" s="14" t="s">
        <v>151</v>
      </c>
      <c r="H542" s="14">
        <v>1000</v>
      </c>
      <c r="I542" s="14"/>
      <c r="J542" s="14"/>
      <c r="K542" s="127"/>
    </row>
    <row r="543" spans="1:11">
      <c r="A543" s="14">
        <f>IF(B543="","",COUNTA($B$4:B543))</f>
        <v>540</v>
      </c>
      <c r="B543" s="14" t="s">
        <v>1548</v>
      </c>
      <c r="C543" s="14" t="s">
        <v>228</v>
      </c>
      <c r="D543" s="14" t="s">
        <v>229</v>
      </c>
      <c r="E543" s="14" t="s">
        <v>228</v>
      </c>
      <c r="F543" s="14" t="s">
        <v>150</v>
      </c>
      <c r="G543" s="14" t="s">
        <v>151</v>
      </c>
      <c r="H543" s="14">
        <v>1000</v>
      </c>
      <c r="I543" s="14"/>
      <c r="J543" s="14"/>
      <c r="K543" s="15"/>
    </row>
    <row r="544" spans="1:11">
      <c r="A544" s="14">
        <f>IF(B544="","",COUNTA($B$4:B544))</f>
        <v>541</v>
      </c>
      <c r="B544" s="14" t="s">
        <v>1549</v>
      </c>
      <c r="C544" s="14" t="s">
        <v>228</v>
      </c>
      <c r="D544" s="14" t="s">
        <v>229</v>
      </c>
      <c r="E544" s="14" t="s">
        <v>228</v>
      </c>
      <c r="F544" s="14" t="s">
        <v>150</v>
      </c>
      <c r="G544" s="14" t="s">
        <v>151</v>
      </c>
      <c r="H544" s="14">
        <v>1000</v>
      </c>
      <c r="I544" s="14"/>
      <c r="J544" s="14"/>
      <c r="K544" s="15"/>
    </row>
    <row r="545" spans="1:11">
      <c r="A545" s="14">
        <f>IF(B545="","",COUNTA($B$4:B545))</f>
        <v>542</v>
      </c>
      <c r="B545" s="14" t="s">
        <v>1550</v>
      </c>
      <c r="C545" s="14" t="s">
        <v>228</v>
      </c>
      <c r="D545" s="14" t="s">
        <v>229</v>
      </c>
      <c r="E545" s="14" t="s">
        <v>228</v>
      </c>
      <c r="F545" s="14" t="s">
        <v>150</v>
      </c>
      <c r="G545" s="14" t="s">
        <v>151</v>
      </c>
      <c r="H545" s="14">
        <v>1000</v>
      </c>
      <c r="I545" s="14"/>
      <c r="J545" s="15"/>
      <c r="K545" s="15"/>
    </row>
    <row r="546" spans="1:11">
      <c r="A546" s="14">
        <f>IF(B546="","",COUNTA($B$4:B546))</f>
        <v>543</v>
      </c>
      <c r="B546" s="14" t="s">
        <v>1557</v>
      </c>
      <c r="C546" s="14" t="s">
        <v>730</v>
      </c>
      <c r="D546" s="14" t="s">
        <v>1497</v>
      </c>
      <c r="E546" s="14" t="s">
        <v>730</v>
      </c>
      <c r="F546" s="14" t="s">
        <v>155</v>
      </c>
      <c r="G546" s="14" t="s">
        <v>156</v>
      </c>
      <c r="H546" s="14">
        <v>3</v>
      </c>
      <c r="I546" s="14"/>
      <c r="J546" s="15"/>
      <c r="K546" s="127"/>
    </row>
    <row r="547" spans="1:11">
      <c r="A547" s="14">
        <f>IF(B547="","",COUNTA($B$4:B547))</f>
        <v>544</v>
      </c>
      <c r="B547" s="14" t="s">
        <v>1515</v>
      </c>
      <c r="C547" s="14" t="s">
        <v>199</v>
      </c>
      <c r="D547" s="14" t="s">
        <v>200</v>
      </c>
      <c r="E547" s="14" t="s">
        <v>199</v>
      </c>
      <c r="F547" s="14" t="s">
        <v>150</v>
      </c>
      <c r="G547" s="14" t="s">
        <v>151</v>
      </c>
      <c r="H547" s="14">
        <v>20</v>
      </c>
      <c r="I547" s="14"/>
      <c r="J547" s="14"/>
      <c r="K547" s="127"/>
    </row>
    <row r="548" spans="1:11">
      <c r="A548" s="14">
        <f>IF(B548="","",COUNTA($B$4:B548))</f>
        <v>545</v>
      </c>
      <c r="B548" s="14" t="s">
        <v>1528</v>
      </c>
      <c r="C548" s="14" t="s">
        <v>199</v>
      </c>
      <c r="D548" s="14" t="s">
        <v>200</v>
      </c>
      <c r="E548" s="14" t="s">
        <v>199</v>
      </c>
      <c r="F548" s="14" t="s">
        <v>150</v>
      </c>
      <c r="G548" s="14" t="s">
        <v>151</v>
      </c>
      <c r="H548" s="14">
        <v>20</v>
      </c>
      <c r="I548" s="14"/>
      <c r="J548" s="14"/>
      <c r="K548" s="127"/>
    </row>
    <row r="549" spans="1:11">
      <c r="A549" s="14">
        <f>IF(B549="","",COUNTA($B$4:B549))</f>
        <v>546</v>
      </c>
      <c r="B549" s="14" t="s">
        <v>1529</v>
      </c>
      <c r="C549" s="14" t="s">
        <v>199</v>
      </c>
      <c r="D549" s="14" t="s">
        <v>200</v>
      </c>
      <c r="E549" s="14" t="s">
        <v>199</v>
      </c>
      <c r="F549" s="14" t="s">
        <v>150</v>
      </c>
      <c r="G549" s="14" t="s">
        <v>151</v>
      </c>
      <c r="H549" s="14">
        <v>100</v>
      </c>
      <c r="I549" s="14"/>
      <c r="J549" s="14"/>
      <c r="K549" s="15"/>
    </row>
    <row r="550" spans="1:11">
      <c r="A550" s="14">
        <f>IF(B550="","",COUNTA($B$4:B550))</f>
        <v>547</v>
      </c>
      <c r="B550" s="14" t="s">
        <v>1530</v>
      </c>
      <c r="C550" s="14" t="s">
        <v>199</v>
      </c>
      <c r="D550" s="14" t="s">
        <v>200</v>
      </c>
      <c r="E550" s="14" t="s">
        <v>199</v>
      </c>
      <c r="F550" s="14" t="s">
        <v>150</v>
      </c>
      <c r="G550" s="14" t="s">
        <v>151</v>
      </c>
      <c r="H550" s="14">
        <v>20</v>
      </c>
      <c r="I550" s="14"/>
      <c r="J550" s="14"/>
      <c r="K550" s="15"/>
    </row>
    <row r="551" spans="1:11">
      <c r="A551" s="14">
        <f>IF(B551="","",COUNTA($B$4:B551))</f>
        <v>548</v>
      </c>
      <c r="B551" s="14" t="s">
        <v>1531</v>
      </c>
      <c r="C551" s="14" t="s">
        <v>199</v>
      </c>
      <c r="D551" s="14" t="s">
        <v>200</v>
      </c>
      <c r="E551" s="14" t="s">
        <v>199</v>
      </c>
      <c r="F551" s="14" t="s">
        <v>150</v>
      </c>
      <c r="G551" s="14" t="s">
        <v>151</v>
      </c>
      <c r="H551" s="14">
        <v>20</v>
      </c>
      <c r="I551" s="14"/>
      <c r="J551" s="14"/>
      <c r="K551" s="127"/>
    </row>
    <row r="552" spans="1:11">
      <c r="A552" s="14">
        <f>IF(B552="","",COUNTA($B$4:B552))</f>
        <v>549</v>
      </c>
      <c r="B552" s="14" t="s">
        <v>1532</v>
      </c>
      <c r="C552" s="14" t="s">
        <v>199</v>
      </c>
      <c r="D552" s="14" t="s">
        <v>200</v>
      </c>
      <c r="E552" s="14" t="s">
        <v>199</v>
      </c>
      <c r="F552" s="14" t="s">
        <v>150</v>
      </c>
      <c r="G552" s="14" t="s">
        <v>151</v>
      </c>
      <c r="H552" s="14">
        <v>20</v>
      </c>
      <c r="I552" s="14"/>
      <c r="J552" s="14"/>
      <c r="K552" s="127"/>
    </row>
    <row r="553" spans="1:11">
      <c r="A553" s="14">
        <f>IF(B553="","",COUNTA($B$4:B553))</f>
        <v>550</v>
      </c>
      <c r="B553" s="14" t="s">
        <v>1533</v>
      </c>
      <c r="C553" s="14" t="s">
        <v>199</v>
      </c>
      <c r="D553" s="14" t="s">
        <v>200</v>
      </c>
      <c r="E553" s="14" t="s">
        <v>199</v>
      </c>
      <c r="F553" s="14" t="s">
        <v>150</v>
      </c>
      <c r="G553" s="14" t="s">
        <v>151</v>
      </c>
      <c r="H553" s="14">
        <v>20</v>
      </c>
      <c r="I553" s="14"/>
      <c r="J553" s="14"/>
      <c r="K553" s="15"/>
    </row>
    <row r="554" spans="1:11">
      <c r="A554" s="14">
        <f>IF(B554="","",COUNTA($B$4:B554))</f>
        <v>551</v>
      </c>
      <c r="B554" s="14" t="s">
        <v>1534</v>
      </c>
      <c r="C554" s="14" t="s">
        <v>199</v>
      </c>
      <c r="D554" s="14" t="s">
        <v>200</v>
      </c>
      <c r="E554" s="14" t="s">
        <v>199</v>
      </c>
      <c r="F554" s="14" t="s">
        <v>150</v>
      </c>
      <c r="G554" s="14" t="s">
        <v>151</v>
      </c>
      <c r="H554" s="14">
        <v>20</v>
      </c>
      <c r="I554" s="14"/>
      <c r="J554" s="14"/>
      <c r="K554" s="15"/>
    </row>
    <row r="555" spans="1:11">
      <c r="A555" s="14">
        <f>IF(B555="","",COUNTA($B$4:B555))</f>
        <v>552</v>
      </c>
      <c r="B555" s="14" t="s">
        <v>1538</v>
      </c>
      <c r="C555" s="14" t="s">
        <v>199</v>
      </c>
      <c r="D555" s="14" t="s">
        <v>200</v>
      </c>
      <c r="E555" s="14" t="s">
        <v>199</v>
      </c>
      <c r="F555" s="14" t="s">
        <v>150</v>
      </c>
      <c r="G555" s="14" t="s">
        <v>151</v>
      </c>
      <c r="H555" s="14">
        <v>20</v>
      </c>
      <c r="I555" s="14"/>
      <c r="J555" s="14"/>
      <c r="K555" s="15"/>
    </row>
    <row r="556" spans="1:11">
      <c r="A556" s="14">
        <f>IF(B556="","",COUNTA($B$4:B556))</f>
        <v>553</v>
      </c>
      <c r="B556" s="14" t="s">
        <v>1545</v>
      </c>
      <c r="C556" s="14" t="s">
        <v>199</v>
      </c>
      <c r="D556" s="14" t="s">
        <v>200</v>
      </c>
      <c r="E556" s="14" t="s">
        <v>199</v>
      </c>
      <c r="F556" s="14" t="s">
        <v>150</v>
      </c>
      <c r="G556" s="14" t="s">
        <v>151</v>
      </c>
      <c r="H556" s="14">
        <v>20</v>
      </c>
      <c r="I556" s="14"/>
      <c r="J556" s="14"/>
      <c r="K556" s="127"/>
    </row>
    <row r="557" spans="1:11">
      <c r="A557" s="14">
        <f>IF(B557="","",COUNTA($B$4:B557))</f>
        <v>554</v>
      </c>
      <c r="B557" s="14" t="s">
        <v>1546</v>
      </c>
      <c r="C557" s="14" t="s">
        <v>199</v>
      </c>
      <c r="D557" s="14" t="s">
        <v>200</v>
      </c>
      <c r="E557" s="14" t="s">
        <v>199</v>
      </c>
      <c r="F557" s="14" t="s">
        <v>150</v>
      </c>
      <c r="G557" s="14" t="s">
        <v>151</v>
      </c>
      <c r="H557" s="14">
        <v>20</v>
      </c>
      <c r="I557" s="14"/>
      <c r="J557" s="14"/>
      <c r="K557" s="15"/>
    </row>
    <row r="558" spans="1:11">
      <c r="A558" s="14">
        <f>IF(B558="","",COUNTA($B$4:B558))</f>
        <v>555</v>
      </c>
      <c r="B558" s="14" t="s">
        <v>1547</v>
      </c>
      <c r="C558" s="14" t="s">
        <v>199</v>
      </c>
      <c r="D558" s="14" t="s">
        <v>200</v>
      </c>
      <c r="E558" s="14" t="s">
        <v>199</v>
      </c>
      <c r="F558" s="14" t="s">
        <v>150</v>
      </c>
      <c r="G558" s="14" t="s">
        <v>151</v>
      </c>
      <c r="H558" s="14">
        <v>20</v>
      </c>
      <c r="I558" s="14"/>
      <c r="J558" s="14"/>
      <c r="K558" s="15"/>
    </row>
    <row r="559" spans="1:11">
      <c r="A559" s="14">
        <f>IF(B559="","",COUNTA($B$4:B559))</f>
        <v>556</v>
      </c>
      <c r="B559" s="14" t="s">
        <v>1548</v>
      </c>
      <c r="C559" s="14" t="s">
        <v>199</v>
      </c>
      <c r="D559" s="14" t="s">
        <v>200</v>
      </c>
      <c r="E559" s="14" t="s">
        <v>199</v>
      </c>
      <c r="F559" s="14" t="s">
        <v>150</v>
      </c>
      <c r="G559" s="14" t="s">
        <v>151</v>
      </c>
      <c r="H559" s="14">
        <v>20</v>
      </c>
      <c r="I559" s="14"/>
      <c r="J559" s="14"/>
      <c r="K559" s="15"/>
    </row>
    <row r="560" spans="1:11">
      <c r="A560" s="14">
        <f>IF(B560="","",COUNTA($B$4:B560))</f>
        <v>557</v>
      </c>
      <c r="B560" s="14" t="s">
        <v>1549</v>
      </c>
      <c r="C560" s="14" t="s">
        <v>199</v>
      </c>
      <c r="D560" s="14" t="s">
        <v>200</v>
      </c>
      <c r="E560" s="14" t="s">
        <v>1425</v>
      </c>
      <c r="F560" s="14" t="s">
        <v>150</v>
      </c>
      <c r="G560" s="14" t="s">
        <v>151</v>
      </c>
      <c r="H560" s="14">
        <v>20</v>
      </c>
      <c r="I560" s="14"/>
      <c r="J560" s="14"/>
      <c r="K560" s="15"/>
    </row>
    <row r="561" spans="1:11">
      <c r="A561" s="14">
        <f>IF(B561="","",COUNTA($B$4:B561))</f>
        <v>558</v>
      </c>
      <c r="B561" s="14" t="s">
        <v>1550</v>
      </c>
      <c r="C561" s="14" t="s">
        <v>199</v>
      </c>
      <c r="D561" s="14" t="s">
        <v>200</v>
      </c>
      <c r="E561" s="14" t="s">
        <v>199</v>
      </c>
      <c r="F561" s="14" t="s">
        <v>150</v>
      </c>
      <c r="G561" s="14" t="s">
        <v>151</v>
      </c>
      <c r="H561" s="14">
        <v>20</v>
      </c>
      <c r="I561" s="14"/>
      <c r="J561" s="15"/>
      <c r="K561" s="15"/>
    </row>
    <row r="562" spans="1:11">
      <c r="A562" s="14">
        <f>IF(B562="","",COUNTA($B$4:B562))</f>
        <v>559</v>
      </c>
      <c r="B562" s="14" t="s">
        <v>1551</v>
      </c>
      <c r="C562" s="14" t="s">
        <v>199</v>
      </c>
      <c r="D562" s="14" t="s">
        <v>200</v>
      </c>
      <c r="E562" s="14" t="s">
        <v>199</v>
      </c>
      <c r="F562" s="14" t="s">
        <v>150</v>
      </c>
      <c r="G562" s="14" t="s">
        <v>151</v>
      </c>
      <c r="H562" s="14">
        <v>20</v>
      </c>
      <c r="I562" s="14"/>
      <c r="J562" s="15"/>
      <c r="K562" s="15"/>
    </row>
    <row r="563" spans="1:11">
      <c r="A563" s="14">
        <f>IF(B563="","",COUNTA($B$4:B563))</f>
        <v>560</v>
      </c>
      <c r="B563" s="14" t="s">
        <v>1552</v>
      </c>
      <c r="C563" s="14" t="s">
        <v>199</v>
      </c>
      <c r="D563" s="14" t="s">
        <v>200</v>
      </c>
      <c r="E563" s="14" t="s">
        <v>199</v>
      </c>
      <c r="F563" s="14" t="s">
        <v>150</v>
      </c>
      <c r="G563" s="14" t="s">
        <v>151</v>
      </c>
      <c r="H563" s="14">
        <v>20</v>
      </c>
      <c r="I563" s="14"/>
      <c r="J563" s="15"/>
      <c r="K563" s="15"/>
    </row>
    <row r="564" spans="1:11">
      <c r="A564" s="14">
        <f>IF(B564="","",COUNTA($B$4:B564))</f>
        <v>561</v>
      </c>
      <c r="B564" s="14" t="s">
        <v>1553</v>
      </c>
      <c r="C564" s="14" t="s">
        <v>199</v>
      </c>
      <c r="D564" s="14" t="s">
        <v>200</v>
      </c>
      <c r="E564" s="14" t="s">
        <v>199</v>
      </c>
      <c r="F564" s="14" t="s">
        <v>150</v>
      </c>
      <c r="G564" s="14" t="s">
        <v>151</v>
      </c>
      <c r="H564" s="14">
        <v>20</v>
      </c>
      <c r="I564" s="14"/>
      <c r="J564" s="15"/>
      <c r="K564" s="127"/>
    </row>
    <row r="565" spans="1:11">
      <c r="A565" s="14">
        <f>IF(B565="","",COUNTA($B$4:B565))</f>
        <v>562</v>
      </c>
      <c r="B565" s="14" t="s">
        <v>1515</v>
      </c>
      <c r="C565" s="14" t="s">
        <v>201</v>
      </c>
      <c r="D565" s="14" t="s">
        <v>202</v>
      </c>
      <c r="E565" s="14" t="s">
        <v>201</v>
      </c>
      <c r="F565" s="14" t="s">
        <v>150</v>
      </c>
      <c r="G565" s="14" t="s">
        <v>151</v>
      </c>
      <c r="H565" s="14">
        <v>30</v>
      </c>
      <c r="I565" s="14"/>
      <c r="J565" s="14"/>
      <c r="K565" s="127"/>
    </row>
    <row r="566" spans="1:11">
      <c r="A566" s="14">
        <f>IF(B566="","",COUNTA($B$4:B566))</f>
        <v>563</v>
      </c>
      <c r="B566" s="14" t="s">
        <v>1528</v>
      </c>
      <c r="C566" s="14" t="s">
        <v>201</v>
      </c>
      <c r="D566" s="14" t="s">
        <v>202</v>
      </c>
      <c r="E566" s="14" t="s">
        <v>201</v>
      </c>
      <c r="F566" s="14" t="s">
        <v>150</v>
      </c>
      <c r="G566" s="14" t="s">
        <v>151</v>
      </c>
      <c r="H566" s="14">
        <v>30</v>
      </c>
      <c r="I566" s="14"/>
      <c r="J566" s="14"/>
      <c r="K566" s="127"/>
    </row>
    <row r="567" spans="1:11">
      <c r="A567" s="14">
        <f>IF(B567="","",COUNTA($B$4:B567))</f>
        <v>564</v>
      </c>
      <c r="B567" s="14" t="s">
        <v>1529</v>
      </c>
      <c r="C567" s="14" t="s">
        <v>201</v>
      </c>
      <c r="D567" s="14" t="s">
        <v>202</v>
      </c>
      <c r="E567" s="14" t="s">
        <v>201</v>
      </c>
      <c r="F567" s="14" t="s">
        <v>150</v>
      </c>
      <c r="G567" s="14" t="s">
        <v>151</v>
      </c>
      <c r="H567" s="14">
        <v>30</v>
      </c>
      <c r="I567" s="14"/>
      <c r="J567" s="14"/>
      <c r="K567" s="15"/>
    </row>
    <row r="568" spans="1:11">
      <c r="A568" s="14">
        <f>IF(B568="","",COUNTA($B$4:B568))</f>
        <v>565</v>
      </c>
      <c r="B568" s="14" t="s">
        <v>1530</v>
      </c>
      <c r="C568" s="14" t="s">
        <v>201</v>
      </c>
      <c r="D568" s="14" t="s">
        <v>202</v>
      </c>
      <c r="E568" s="14" t="s">
        <v>201</v>
      </c>
      <c r="F568" s="14" t="s">
        <v>150</v>
      </c>
      <c r="G568" s="14" t="s">
        <v>151</v>
      </c>
      <c r="H568" s="14">
        <v>30</v>
      </c>
      <c r="I568" s="14"/>
      <c r="J568" s="14"/>
      <c r="K568" s="127"/>
    </row>
    <row r="569" spans="1:11">
      <c r="A569" s="14">
        <f>IF(B569="","",COUNTA($B$4:B569))</f>
        <v>566</v>
      </c>
      <c r="B569" s="14" t="s">
        <v>1531</v>
      </c>
      <c r="C569" s="14" t="s">
        <v>201</v>
      </c>
      <c r="D569" s="14" t="s">
        <v>202</v>
      </c>
      <c r="E569" s="14" t="s">
        <v>201</v>
      </c>
      <c r="F569" s="14" t="s">
        <v>150</v>
      </c>
      <c r="G569" s="14" t="s">
        <v>151</v>
      </c>
      <c r="H569" s="14">
        <v>30</v>
      </c>
      <c r="I569" s="14"/>
      <c r="J569" s="14"/>
      <c r="K569" s="15"/>
    </row>
    <row r="570" spans="1:11">
      <c r="A570" s="14">
        <f>IF(B570="","",COUNTA($B$4:B570))</f>
        <v>567</v>
      </c>
      <c r="B570" s="14" t="s">
        <v>1532</v>
      </c>
      <c r="C570" s="14" t="s">
        <v>201</v>
      </c>
      <c r="D570" s="14" t="s">
        <v>202</v>
      </c>
      <c r="E570" s="14" t="s">
        <v>201</v>
      </c>
      <c r="F570" s="14" t="s">
        <v>150</v>
      </c>
      <c r="G570" s="14" t="s">
        <v>151</v>
      </c>
      <c r="H570" s="14">
        <v>30</v>
      </c>
      <c r="I570" s="14"/>
      <c r="J570" s="14"/>
      <c r="K570" s="15"/>
    </row>
    <row r="571" spans="1:11">
      <c r="A571" s="14">
        <f>IF(B571="","",COUNTA($B$4:B571))</f>
        <v>568</v>
      </c>
      <c r="B571" s="14" t="s">
        <v>1533</v>
      </c>
      <c r="C571" s="14" t="s">
        <v>201</v>
      </c>
      <c r="D571" s="14" t="s">
        <v>202</v>
      </c>
      <c r="E571" s="14" t="s">
        <v>201</v>
      </c>
      <c r="F571" s="14" t="s">
        <v>150</v>
      </c>
      <c r="G571" s="14" t="s">
        <v>151</v>
      </c>
      <c r="H571" s="14">
        <v>30</v>
      </c>
      <c r="I571" s="14"/>
      <c r="J571" s="14"/>
      <c r="K571" s="15"/>
    </row>
    <row r="572" spans="1:11">
      <c r="A572" s="14">
        <f>IF(B572="","",COUNTA($B$4:B572))</f>
        <v>569</v>
      </c>
      <c r="B572" s="14" t="s">
        <v>1534</v>
      </c>
      <c r="C572" s="14" t="s">
        <v>201</v>
      </c>
      <c r="D572" s="14" t="s">
        <v>202</v>
      </c>
      <c r="E572" s="14" t="s">
        <v>201</v>
      </c>
      <c r="F572" s="14" t="s">
        <v>150</v>
      </c>
      <c r="G572" s="14" t="s">
        <v>151</v>
      </c>
      <c r="H572" s="14">
        <v>30</v>
      </c>
      <c r="I572" s="14"/>
      <c r="J572" s="14"/>
      <c r="K572" s="15"/>
    </row>
    <row r="573" spans="1:11">
      <c r="A573" s="14">
        <f>IF(B573="","",COUNTA($B$4:B573))</f>
        <v>570</v>
      </c>
      <c r="B573" s="14" t="s">
        <v>1538</v>
      </c>
      <c r="C573" s="14" t="s">
        <v>201</v>
      </c>
      <c r="D573" s="14" t="s">
        <v>202</v>
      </c>
      <c r="E573" s="14" t="s">
        <v>201</v>
      </c>
      <c r="F573" s="14" t="s">
        <v>150</v>
      </c>
      <c r="G573" s="14" t="s">
        <v>151</v>
      </c>
      <c r="H573" s="14">
        <v>30</v>
      </c>
      <c r="I573" s="14"/>
      <c r="J573" s="14"/>
      <c r="K573" s="15"/>
    </row>
    <row r="574" spans="1:11">
      <c r="A574" s="14">
        <f>IF(B574="","",COUNTA($B$4:B574))</f>
        <v>571</v>
      </c>
      <c r="B574" s="14" t="s">
        <v>1545</v>
      </c>
      <c r="C574" s="14" t="s">
        <v>201</v>
      </c>
      <c r="D574" s="14" t="s">
        <v>202</v>
      </c>
      <c r="E574" s="14" t="s">
        <v>201</v>
      </c>
      <c r="F574" s="14" t="s">
        <v>150</v>
      </c>
      <c r="G574" s="14" t="s">
        <v>151</v>
      </c>
      <c r="H574" s="14">
        <v>30</v>
      </c>
      <c r="I574" s="14"/>
      <c r="J574" s="14"/>
      <c r="K574" s="15"/>
    </row>
    <row r="575" spans="1:11">
      <c r="A575" s="14">
        <f>IF(B575="","",COUNTA($B$4:B575))</f>
        <v>572</v>
      </c>
      <c r="B575" s="14" t="s">
        <v>1546</v>
      </c>
      <c r="C575" s="14" t="s">
        <v>201</v>
      </c>
      <c r="D575" s="14" t="s">
        <v>202</v>
      </c>
      <c r="E575" s="14" t="s">
        <v>201</v>
      </c>
      <c r="F575" s="14" t="s">
        <v>150</v>
      </c>
      <c r="G575" s="14" t="s">
        <v>151</v>
      </c>
      <c r="H575" s="14">
        <v>30</v>
      </c>
      <c r="I575" s="14"/>
      <c r="J575" s="14"/>
      <c r="K575" s="15"/>
    </row>
    <row r="576" spans="1:11">
      <c r="A576" s="14">
        <f>IF(B576="","",COUNTA($B$4:B576))</f>
        <v>573</v>
      </c>
      <c r="B576" s="14" t="s">
        <v>1547</v>
      </c>
      <c r="C576" s="14" t="s">
        <v>201</v>
      </c>
      <c r="D576" s="14" t="s">
        <v>202</v>
      </c>
      <c r="E576" s="14" t="s">
        <v>201</v>
      </c>
      <c r="F576" s="14" t="s">
        <v>150</v>
      </c>
      <c r="G576" s="14" t="s">
        <v>151</v>
      </c>
      <c r="H576" s="14">
        <v>30</v>
      </c>
      <c r="I576" s="14"/>
      <c r="J576" s="14"/>
      <c r="K576" s="15"/>
    </row>
    <row r="577" spans="1:11">
      <c r="A577" s="14">
        <f>IF(B577="","",COUNTA($B$4:B577))</f>
        <v>574</v>
      </c>
      <c r="B577" s="14" t="s">
        <v>1548</v>
      </c>
      <c r="C577" s="14" t="s">
        <v>201</v>
      </c>
      <c r="D577" s="14" t="s">
        <v>202</v>
      </c>
      <c r="E577" s="14" t="s">
        <v>201</v>
      </c>
      <c r="F577" s="14" t="s">
        <v>150</v>
      </c>
      <c r="G577" s="14" t="s">
        <v>151</v>
      </c>
      <c r="H577" s="14">
        <v>30</v>
      </c>
      <c r="I577" s="14"/>
      <c r="J577" s="14"/>
      <c r="K577" s="15"/>
    </row>
    <row r="578" spans="1:11">
      <c r="A578" s="14">
        <f>IF(B578="","",COUNTA($B$4:B578))</f>
        <v>575</v>
      </c>
      <c r="B578" s="14" t="s">
        <v>1549</v>
      </c>
      <c r="C578" s="14" t="s">
        <v>201</v>
      </c>
      <c r="D578" s="14" t="s">
        <v>202</v>
      </c>
      <c r="E578" s="14" t="s">
        <v>1426</v>
      </c>
      <c r="F578" s="14" t="s">
        <v>150</v>
      </c>
      <c r="G578" s="14" t="s">
        <v>1498</v>
      </c>
      <c r="H578" s="14">
        <v>30</v>
      </c>
      <c r="I578" s="14"/>
      <c r="J578" s="14"/>
      <c r="K578" s="127"/>
    </row>
    <row r="579" spans="1:11">
      <c r="A579" s="14">
        <f>IF(B579="","",COUNTA($B$4:B579))</f>
        <v>576</v>
      </c>
      <c r="B579" s="14" t="s">
        <v>1550</v>
      </c>
      <c r="C579" s="14" t="s">
        <v>201</v>
      </c>
      <c r="D579" s="14" t="s">
        <v>202</v>
      </c>
      <c r="E579" s="14" t="s">
        <v>201</v>
      </c>
      <c r="F579" s="14" t="s">
        <v>150</v>
      </c>
      <c r="G579" s="14" t="s">
        <v>151</v>
      </c>
      <c r="H579" s="14">
        <v>30</v>
      </c>
      <c r="I579" s="14"/>
      <c r="J579" s="15"/>
      <c r="K579" s="127"/>
    </row>
    <row r="580" spans="1:11">
      <c r="A580" s="14">
        <f>IF(B580="","",COUNTA($B$4:B580))</f>
        <v>577</v>
      </c>
      <c r="B580" s="14" t="s">
        <v>1551</v>
      </c>
      <c r="C580" s="14" t="s">
        <v>201</v>
      </c>
      <c r="D580" s="14" t="s">
        <v>202</v>
      </c>
      <c r="E580" s="14" t="s">
        <v>201</v>
      </c>
      <c r="F580" s="14" t="s">
        <v>150</v>
      </c>
      <c r="G580" s="14" t="s">
        <v>151</v>
      </c>
      <c r="H580" s="14">
        <v>30</v>
      </c>
      <c r="I580" s="14"/>
      <c r="J580" s="15"/>
      <c r="K580" s="15"/>
    </row>
    <row r="581" spans="1:11">
      <c r="A581" s="14">
        <f>IF(B581="","",COUNTA($B$4:B581))</f>
        <v>578</v>
      </c>
      <c r="B581" s="14" t="s">
        <v>1552</v>
      </c>
      <c r="C581" s="14" t="s">
        <v>201</v>
      </c>
      <c r="D581" s="14" t="s">
        <v>202</v>
      </c>
      <c r="E581" s="14" t="s">
        <v>201</v>
      </c>
      <c r="F581" s="14" t="s">
        <v>150</v>
      </c>
      <c r="G581" s="14" t="s">
        <v>151</v>
      </c>
      <c r="H581" s="14">
        <v>30</v>
      </c>
      <c r="I581" s="14"/>
      <c r="J581" s="15"/>
      <c r="K581" s="15"/>
    </row>
    <row r="582" spans="1:11">
      <c r="A582" s="14">
        <f>IF(B582="","",COUNTA($B$4:B582))</f>
        <v>579</v>
      </c>
      <c r="B582" s="14" t="s">
        <v>1553</v>
      </c>
      <c r="C582" s="14" t="s">
        <v>201</v>
      </c>
      <c r="D582" s="14" t="s">
        <v>202</v>
      </c>
      <c r="E582" s="14" t="s">
        <v>201</v>
      </c>
      <c r="F582" s="14" t="s">
        <v>150</v>
      </c>
      <c r="G582" s="14" t="s">
        <v>151</v>
      </c>
      <c r="H582" s="14">
        <v>30</v>
      </c>
      <c r="I582" s="14"/>
      <c r="J582" s="15"/>
      <c r="K582" s="15"/>
    </row>
    <row r="583" spans="1:11">
      <c r="A583" s="14">
        <f>IF(B583="","",COUNTA($B$4:B583))</f>
        <v>580</v>
      </c>
      <c r="B583" s="14" t="s">
        <v>1515</v>
      </c>
      <c r="C583" s="14" t="s">
        <v>205</v>
      </c>
      <c r="D583" s="14" t="s">
        <v>206</v>
      </c>
      <c r="E583" s="14" t="s">
        <v>205</v>
      </c>
      <c r="F583" s="14" t="s">
        <v>155</v>
      </c>
      <c r="G583" s="14" t="s">
        <v>156</v>
      </c>
      <c r="H583" s="14">
        <v>4</v>
      </c>
      <c r="I583" s="14"/>
      <c r="J583" s="14"/>
      <c r="K583" s="15"/>
    </row>
    <row r="584" spans="1:11">
      <c r="A584" s="14">
        <f>IF(B584="","",COUNTA($B$4:B584))</f>
        <v>581</v>
      </c>
      <c r="B584" s="14" t="s">
        <v>1528</v>
      </c>
      <c r="C584" s="14" t="s">
        <v>205</v>
      </c>
      <c r="D584" s="14" t="s">
        <v>206</v>
      </c>
      <c r="E584" s="14" t="s">
        <v>205</v>
      </c>
      <c r="F584" s="14" t="s">
        <v>155</v>
      </c>
      <c r="G584" s="14" t="s">
        <v>156</v>
      </c>
      <c r="H584" s="14">
        <v>4</v>
      </c>
      <c r="I584" s="14"/>
      <c r="J584" s="14"/>
      <c r="K584" s="127"/>
    </row>
    <row r="585" spans="1:11">
      <c r="A585" s="14">
        <f>IF(B585="","",COUNTA($B$4:B585))</f>
        <v>582</v>
      </c>
      <c r="B585" s="14" t="s">
        <v>1529</v>
      </c>
      <c r="C585" s="14" t="s">
        <v>205</v>
      </c>
      <c r="D585" s="14" t="s">
        <v>206</v>
      </c>
      <c r="E585" s="14" t="s">
        <v>205</v>
      </c>
      <c r="F585" s="14" t="s">
        <v>155</v>
      </c>
      <c r="G585" s="14" t="s">
        <v>156</v>
      </c>
      <c r="H585" s="14">
        <v>4</v>
      </c>
      <c r="I585" s="14"/>
      <c r="J585" s="14"/>
      <c r="K585" s="15"/>
    </row>
    <row r="586" spans="1:11">
      <c r="A586" s="14">
        <f>IF(B586="","",COUNTA($B$4:B586))</f>
        <v>583</v>
      </c>
      <c r="B586" s="14" t="s">
        <v>1530</v>
      </c>
      <c r="C586" s="14" t="s">
        <v>205</v>
      </c>
      <c r="D586" s="14" t="s">
        <v>206</v>
      </c>
      <c r="E586" s="14" t="s">
        <v>205</v>
      </c>
      <c r="F586" s="14" t="s">
        <v>155</v>
      </c>
      <c r="G586" s="14" t="s">
        <v>156</v>
      </c>
      <c r="H586" s="14">
        <v>4</v>
      </c>
      <c r="I586" s="14"/>
      <c r="J586" s="14"/>
      <c r="K586" s="15"/>
    </row>
    <row r="587" spans="1:11">
      <c r="A587" s="14">
        <f>IF(B587="","",COUNTA($B$4:B587))</f>
        <v>584</v>
      </c>
      <c r="B587" s="14" t="s">
        <v>1533</v>
      </c>
      <c r="C587" s="14" t="s">
        <v>205</v>
      </c>
      <c r="D587" s="14" t="s">
        <v>206</v>
      </c>
      <c r="E587" s="14" t="s">
        <v>205</v>
      </c>
      <c r="F587" s="14" t="s">
        <v>155</v>
      </c>
      <c r="G587" s="14" t="s">
        <v>156</v>
      </c>
      <c r="H587" s="14">
        <v>4</v>
      </c>
      <c r="I587" s="14"/>
      <c r="J587" s="14"/>
      <c r="K587" s="15"/>
    </row>
    <row r="588" spans="1:11">
      <c r="A588" s="14">
        <f>IF(B588="","",COUNTA($B$4:B588))</f>
        <v>585</v>
      </c>
      <c r="B588" s="14" t="s">
        <v>1534</v>
      </c>
      <c r="C588" s="14" t="s">
        <v>205</v>
      </c>
      <c r="D588" s="14" t="s">
        <v>206</v>
      </c>
      <c r="E588" s="14" t="s">
        <v>205</v>
      </c>
      <c r="F588" s="14" t="s">
        <v>155</v>
      </c>
      <c r="G588" s="14" t="s">
        <v>156</v>
      </c>
      <c r="H588" s="14">
        <v>4</v>
      </c>
      <c r="I588" s="14"/>
      <c r="J588" s="14"/>
      <c r="K588" s="15"/>
    </row>
    <row r="589" spans="1:11">
      <c r="A589" s="14">
        <f>IF(B589="","",COUNTA($B$4:B589))</f>
        <v>586</v>
      </c>
      <c r="B589" s="14" t="s">
        <v>1538</v>
      </c>
      <c r="C589" s="14" t="s">
        <v>205</v>
      </c>
      <c r="D589" s="14" t="s">
        <v>206</v>
      </c>
      <c r="E589" s="14" t="s">
        <v>205</v>
      </c>
      <c r="F589" s="14" t="s">
        <v>155</v>
      </c>
      <c r="G589" s="14" t="s">
        <v>156</v>
      </c>
      <c r="H589" s="14">
        <v>4</v>
      </c>
      <c r="I589" s="14"/>
      <c r="J589" s="14"/>
      <c r="K589" s="127"/>
    </row>
    <row r="590" spans="1:11">
      <c r="A590" s="14">
        <f>IF(B590="","",COUNTA($B$4:B590))</f>
        <v>587</v>
      </c>
      <c r="B590" s="14" t="s">
        <v>1546</v>
      </c>
      <c r="C590" s="14" t="s">
        <v>205</v>
      </c>
      <c r="D590" s="14" t="s">
        <v>206</v>
      </c>
      <c r="E590" s="14" t="s">
        <v>205</v>
      </c>
      <c r="F590" s="14" t="s">
        <v>155</v>
      </c>
      <c r="G590" s="14" t="s">
        <v>156</v>
      </c>
      <c r="H590" s="14">
        <v>4</v>
      </c>
      <c r="I590" s="14"/>
      <c r="J590" s="14"/>
      <c r="K590" s="15"/>
    </row>
    <row r="591" spans="1:11">
      <c r="A591" s="14">
        <f>IF(B591="","",COUNTA($B$4:B591))</f>
        <v>588</v>
      </c>
      <c r="B591" s="14" t="s">
        <v>1548</v>
      </c>
      <c r="C591" s="14" t="s">
        <v>205</v>
      </c>
      <c r="D591" s="14" t="s">
        <v>206</v>
      </c>
      <c r="E591" s="14" t="s">
        <v>205</v>
      </c>
      <c r="F591" s="14" t="s">
        <v>155</v>
      </c>
      <c r="G591" s="14" t="s">
        <v>156</v>
      </c>
      <c r="H591" s="14">
        <v>4</v>
      </c>
      <c r="I591" s="14"/>
      <c r="J591" s="14"/>
      <c r="K591" s="127"/>
    </row>
    <row r="592" spans="1:11">
      <c r="A592" s="14">
        <f>IF(B592="","",COUNTA($B$4:B592))</f>
        <v>589</v>
      </c>
      <c r="B592" s="14" t="s">
        <v>1550</v>
      </c>
      <c r="C592" s="14" t="s">
        <v>205</v>
      </c>
      <c r="D592" s="14" t="s">
        <v>206</v>
      </c>
      <c r="E592" s="14" t="s">
        <v>205</v>
      </c>
      <c r="F592" s="14" t="s">
        <v>155</v>
      </c>
      <c r="G592" s="14" t="s">
        <v>156</v>
      </c>
      <c r="H592" s="14">
        <v>4</v>
      </c>
      <c r="I592" s="14"/>
      <c r="J592" s="15"/>
      <c r="K592" s="15"/>
    </row>
    <row r="593" spans="1:11">
      <c r="A593" s="14">
        <f>IF(B593="","",COUNTA($B$4:B593))</f>
        <v>590</v>
      </c>
      <c r="B593" s="14" t="s">
        <v>1551</v>
      </c>
      <c r="C593" s="14" t="s">
        <v>205</v>
      </c>
      <c r="D593" s="14" t="s">
        <v>206</v>
      </c>
      <c r="E593" s="14" t="s">
        <v>205</v>
      </c>
      <c r="F593" s="14" t="s">
        <v>155</v>
      </c>
      <c r="G593" s="14" t="s">
        <v>156</v>
      </c>
      <c r="H593" s="14">
        <v>4</v>
      </c>
      <c r="I593" s="14"/>
      <c r="J593" s="15"/>
      <c r="K593" s="15"/>
    </row>
    <row r="594" spans="1:11">
      <c r="A594" s="14">
        <f>IF(B594="","",COUNTA($B$4:B594))</f>
        <v>591</v>
      </c>
      <c r="B594" s="14" t="s">
        <v>1552</v>
      </c>
      <c r="C594" s="14" t="s">
        <v>205</v>
      </c>
      <c r="D594" s="14" t="s">
        <v>206</v>
      </c>
      <c r="E594" s="14" t="s">
        <v>205</v>
      </c>
      <c r="F594" s="14" t="s">
        <v>155</v>
      </c>
      <c r="G594" s="14" t="s">
        <v>156</v>
      </c>
      <c r="H594" s="14">
        <v>4</v>
      </c>
      <c r="I594" s="14"/>
      <c r="J594" s="15"/>
      <c r="K594" s="15"/>
    </row>
    <row r="595" spans="1:11">
      <c r="A595" s="14">
        <f>IF(B595="","",COUNTA($B$4:B595))</f>
        <v>592</v>
      </c>
      <c r="B595" s="14" t="s">
        <v>1553</v>
      </c>
      <c r="C595" s="14" t="s">
        <v>205</v>
      </c>
      <c r="D595" s="14" t="s">
        <v>206</v>
      </c>
      <c r="E595" s="14" t="s">
        <v>205</v>
      </c>
      <c r="F595" s="14" t="s">
        <v>155</v>
      </c>
      <c r="G595" s="14" t="s">
        <v>156</v>
      </c>
      <c r="H595" s="14">
        <v>4</v>
      </c>
      <c r="I595" s="14"/>
      <c r="J595" s="15"/>
      <c r="K595" s="15"/>
    </row>
    <row r="596" spans="1:11">
      <c r="A596" s="14">
        <f>IF(B596="","",COUNTA($B$4:B596))</f>
        <v>593</v>
      </c>
      <c r="B596" s="14" t="s">
        <v>1545</v>
      </c>
      <c r="C596" s="14" t="s">
        <v>388</v>
      </c>
      <c r="D596" s="14" t="s">
        <v>389</v>
      </c>
      <c r="E596" s="14" t="s">
        <v>388</v>
      </c>
      <c r="F596" s="14" t="s">
        <v>155</v>
      </c>
      <c r="G596" s="14" t="s">
        <v>156</v>
      </c>
      <c r="H596" s="14">
        <v>1</v>
      </c>
      <c r="I596" s="14" t="s">
        <v>244</v>
      </c>
      <c r="J596" s="14"/>
      <c r="K596" s="15"/>
    </row>
    <row r="597" spans="1:11">
      <c r="A597" s="14">
        <f>IF(B597="","",COUNTA($B$4:B597))</f>
        <v>594</v>
      </c>
      <c r="B597" s="14" t="s">
        <v>1545</v>
      </c>
      <c r="C597" s="14" t="s">
        <v>390</v>
      </c>
      <c r="D597" s="14" t="s">
        <v>391</v>
      </c>
      <c r="E597" s="14" t="s">
        <v>390</v>
      </c>
      <c r="F597" s="14" t="s">
        <v>155</v>
      </c>
      <c r="G597" s="14" t="s">
        <v>156</v>
      </c>
      <c r="H597" s="14">
        <v>1</v>
      </c>
      <c r="I597" s="14" t="s">
        <v>244</v>
      </c>
      <c r="J597" s="14"/>
      <c r="K597" s="15"/>
    </row>
    <row r="598" spans="1:11">
      <c r="A598" s="14">
        <f>IF(B598="","",COUNTA($B$4:B598))</f>
        <v>595</v>
      </c>
      <c r="B598" s="14" t="s">
        <v>1515</v>
      </c>
      <c r="C598" s="14" t="s">
        <v>224</v>
      </c>
      <c r="D598" s="14" t="s">
        <v>225</v>
      </c>
      <c r="E598" s="14" t="s">
        <v>224</v>
      </c>
      <c r="F598" s="14" t="s">
        <v>150</v>
      </c>
      <c r="G598" s="14" t="s">
        <v>151</v>
      </c>
      <c r="H598" s="14">
        <v>10</v>
      </c>
      <c r="I598" s="14"/>
      <c r="J598" s="14"/>
      <c r="K598" s="15"/>
    </row>
    <row r="599" spans="1:11">
      <c r="A599" s="14">
        <f>IF(B599="","",COUNTA($B$4:B599))</f>
        <v>596</v>
      </c>
      <c r="B599" s="14" t="s">
        <v>1534</v>
      </c>
      <c r="C599" s="14" t="s">
        <v>1537</v>
      </c>
      <c r="D599" s="14" t="s">
        <v>363</v>
      </c>
      <c r="E599" s="14" t="s">
        <v>1537</v>
      </c>
      <c r="F599" s="14" t="s">
        <v>150</v>
      </c>
      <c r="G599" s="14" t="s">
        <v>151</v>
      </c>
      <c r="H599" s="14">
        <v>30</v>
      </c>
      <c r="I599" s="14"/>
      <c r="J599" s="14"/>
      <c r="K599" s="15"/>
    </row>
    <row r="600" spans="1:11">
      <c r="A600" s="14">
        <f>IF(B600="","",COUNTA($B$4:B600))</f>
        <v>597</v>
      </c>
      <c r="B600" s="14" t="s">
        <v>1534</v>
      </c>
      <c r="C600" s="14" t="s">
        <v>1535</v>
      </c>
      <c r="D600" s="14" t="s">
        <v>359</v>
      </c>
      <c r="E600" s="14" t="s">
        <v>1535</v>
      </c>
      <c r="F600" s="14" t="s">
        <v>150</v>
      </c>
      <c r="G600" s="14" t="s">
        <v>151</v>
      </c>
      <c r="H600" s="14">
        <v>30</v>
      </c>
      <c r="I600" s="14"/>
      <c r="J600" s="14"/>
      <c r="K600" s="15"/>
    </row>
    <row r="601" spans="1:11">
      <c r="A601" s="14">
        <f>IF(B601="","",COUNTA($B$4:B601))</f>
        <v>598</v>
      </c>
      <c r="B601" s="14" t="s">
        <v>1528</v>
      </c>
      <c r="C601" s="14" t="s">
        <v>274</v>
      </c>
      <c r="D601" s="14" t="s">
        <v>275</v>
      </c>
      <c r="E601" s="14" t="s">
        <v>274</v>
      </c>
      <c r="F601" s="14" t="s">
        <v>150</v>
      </c>
      <c r="G601" s="14" t="s">
        <v>151</v>
      </c>
      <c r="H601" s="14">
        <v>1000</v>
      </c>
      <c r="I601" s="14"/>
      <c r="J601" s="14"/>
      <c r="K601" s="15"/>
    </row>
    <row r="602" spans="1:11">
      <c r="A602" s="14">
        <f>IF(B602="","",COUNTA($B$4:B602))</f>
        <v>599</v>
      </c>
      <c r="B602" s="14" t="s">
        <v>1533</v>
      </c>
      <c r="C602" s="14" t="s">
        <v>311</v>
      </c>
      <c r="D602" s="14" t="s">
        <v>312</v>
      </c>
      <c r="E602" s="14" t="s">
        <v>311</v>
      </c>
      <c r="F602" s="14" t="s">
        <v>155</v>
      </c>
      <c r="G602" s="14" t="s">
        <v>156</v>
      </c>
      <c r="H602" s="14">
        <v>5</v>
      </c>
      <c r="I602" s="14"/>
      <c r="J602" s="14"/>
      <c r="K602" s="127"/>
    </row>
    <row r="603" spans="1:11">
      <c r="A603" s="14">
        <f>IF(B603="","",COUNTA($B$4:B603))</f>
        <v>600</v>
      </c>
      <c r="B603" s="14" t="s">
        <v>1534</v>
      </c>
      <c r="C603" s="14" t="s">
        <v>311</v>
      </c>
      <c r="D603" s="14" t="s">
        <v>312</v>
      </c>
      <c r="E603" s="14" t="s">
        <v>311</v>
      </c>
      <c r="F603" s="14" t="s">
        <v>155</v>
      </c>
      <c r="G603" s="14" t="s">
        <v>156</v>
      </c>
      <c r="H603" s="14">
        <v>5</v>
      </c>
      <c r="I603" s="14"/>
      <c r="J603" s="14"/>
      <c r="K603" s="15"/>
    </row>
    <row r="604" spans="1:11">
      <c r="A604" s="14">
        <f>IF(B604="","",COUNTA($B$4:B604))</f>
        <v>601</v>
      </c>
      <c r="B604" s="14" t="s">
        <v>1553</v>
      </c>
      <c r="C604" s="14" t="s">
        <v>311</v>
      </c>
      <c r="D604" s="14" t="s">
        <v>312</v>
      </c>
      <c r="E604" s="14" t="s">
        <v>311</v>
      </c>
      <c r="F604" s="14" t="s">
        <v>155</v>
      </c>
      <c r="G604" s="14" t="s">
        <v>156</v>
      </c>
      <c r="H604" s="14">
        <v>5</v>
      </c>
      <c r="I604" s="14"/>
      <c r="J604" s="15"/>
      <c r="K604" s="15"/>
    </row>
    <row r="605" spans="1:11">
      <c r="A605" s="14">
        <f>IF(B605="","",COUNTA($B$4:B605))</f>
        <v>602</v>
      </c>
      <c r="B605" s="14" t="s">
        <v>1515</v>
      </c>
      <c r="C605" s="14" t="s">
        <v>217</v>
      </c>
      <c r="D605" s="14" t="s">
        <v>218</v>
      </c>
      <c r="E605" s="14" t="s">
        <v>219</v>
      </c>
      <c r="F605" s="14" t="s">
        <v>155</v>
      </c>
      <c r="G605" s="14" t="s">
        <v>156</v>
      </c>
      <c r="H605" s="14">
        <v>5</v>
      </c>
      <c r="I605" s="14"/>
      <c r="J605" s="14"/>
      <c r="K605" s="15"/>
    </row>
    <row r="606" spans="1:11">
      <c r="A606" s="14">
        <f>IF(B606="","",COUNTA($B$4:B606))</f>
        <v>603</v>
      </c>
      <c r="B606" s="14" t="s">
        <v>1528</v>
      </c>
      <c r="C606" s="14" t="s">
        <v>217</v>
      </c>
      <c r="D606" s="14" t="s">
        <v>218</v>
      </c>
      <c r="E606" s="14" t="s">
        <v>219</v>
      </c>
      <c r="F606" s="14" t="s">
        <v>155</v>
      </c>
      <c r="G606" s="14" t="s">
        <v>156</v>
      </c>
      <c r="H606" s="14">
        <v>5</v>
      </c>
      <c r="I606" s="14"/>
      <c r="J606" s="14"/>
      <c r="K606" s="127"/>
    </row>
    <row r="607" spans="1:11">
      <c r="A607" s="14">
        <f>IF(B607="","",COUNTA($B$4:B607))</f>
        <v>604</v>
      </c>
      <c r="B607" s="14" t="s">
        <v>1529</v>
      </c>
      <c r="C607" s="14" t="s">
        <v>217</v>
      </c>
      <c r="D607" s="14" t="s">
        <v>218</v>
      </c>
      <c r="E607" s="14" t="s">
        <v>219</v>
      </c>
      <c r="F607" s="14" t="s">
        <v>155</v>
      </c>
      <c r="G607" s="14" t="s">
        <v>156</v>
      </c>
      <c r="H607" s="14">
        <v>5</v>
      </c>
      <c r="I607" s="14"/>
      <c r="J607" s="14"/>
      <c r="K607" s="15"/>
    </row>
    <row r="608" spans="1:11">
      <c r="A608" s="14">
        <f>IF(B608="","",COUNTA($B$4:B608))</f>
        <v>605</v>
      </c>
      <c r="B608" s="14" t="s">
        <v>1530</v>
      </c>
      <c r="C608" s="14" t="s">
        <v>217</v>
      </c>
      <c r="D608" s="14" t="s">
        <v>218</v>
      </c>
      <c r="E608" s="14" t="s">
        <v>219</v>
      </c>
      <c r="F608" s="14" t="s">
        <v>155</v>
      </c>
      <c r="G608" s="14" t="s">
        <v>156</v>
      </c>
      <c r="H608" s="14">
        <v>5</v>
      </c>
      <c r="I608" s="14"/>
      <c r="J608" s="14"/>
      <c r="K608" s="15"/>
    </row>
    <row r="609" spans="1:11">
      <c r="A609" s="14">
        <f>IF(B609="","",COUNTA($B$4:B609))</f>
        <v>606</v>
      </c>
      <c r="B609" s="14" t="s">
        <v>1515</v>
      </c>
      <c r="C609" s="14" t="s">
        <v>214</v>
      </c>
      <c r="D609" s="14" t="s">
        <v>215</v>
      </c>
      <c r="E609" s="14" t="s">
        <v>1518</v>
      </c>
      <c r="F609" s="14" t="s">
        <v>155</v>
      </c>
      <c r="G609" s="14" t="s">
        <v>156</v>
      </c>
      <c r="H609" s="14">
        <v>5</v>
      </c>
      <c r="I609" s="14"/>
      <c r="J609" s="14"/>
      <c r="K609" s="127"/>
    </row>
    <row r="610" spans="1:11">
      <c r="A610" s="14">
        <f>IF(B610="","",COUNTA($B$4:B610))</f>
        <v>607</v>
      </c>
      <c r="B610" s="14" t="s">
        <v>1528</v>
      </c>
      <c r="C610" s="14" t="s">
        <v>214</v>
      </c>
      <c r="D610" s="14" t="s">
        <v>215</v>
      </c>
      <c r="E610" s="14" t="s">
        <v>1518</v>
      </c>
      <c r="F610" s="14" t="s">
        <v>155</v>
      </c>
      <c r="G610" s="14" t="s">
        <v>156</v>
      </c>
      <c r="H610" s="14">
        <v>5</v>
      </c>
      <c r="I610" s="14"/>
      <c r="J610" s="14"/>
      <c r="K610" s="15"/>
    </row>
    <row r="611" spans="1:11">
      <c r="A611" s="14">
        <f>IF(B611="","",COUNTA($B$4:B611))</f>
        <v>608</v>
      </c>
      <c r="B611" s="14" t="s">
        <v>1529</v>
      </c>
      <c r="C611" s="14" t="s">
        <v>214</v>
      </c>
      <c r="D611" s="14" t="s">
        <v>215</v>
      </c>
      <c r="E611" s="14" t="s">
        <v>1518</v>
      </c>
      <c r="F611" s="14" t="s">
        <v>155</v>
      </c>
      <c r="G611" s="14" t="s">
        <v>156</v>
      </c>
      <c r="H611" s="14">
        <v>5</v>
      </c>
      <c r="I611" s="14"/>
      <c r="J611" s="14"/>
      <c r="K611" s="15"/>
    </row>
    <row r="612" spans="1:11">
      <c r="A612" s="14">
        <f>IF(B612="","",COUNTA($B$4:B612))</f>
        <v>609</v>
      </c>
      <c r="B612" s="14" t="s">
        <v>1530</v>
      </c>
      <c r="C612" s="14" t="s">
        <v>214</v>
      </c>
      <c r="D612" s="14" t="s">
        <v>215</v>
      </c>
      <c r="E612" s="14" t="s">
        <v>1518</v>
      </c>
      <c r="F612" s="14" t="s">
        <v>155</v>
      </c>
      <c r="G612" s="14" t="s">
        <v>156</v>
      </c>
      <c r="H612" s="14">
        <v>5</v>
      </c>
      <c r="I612" s="14"/>
      <c r="J612" s="14"/>
      <c r="K612" s="15"/>
    </row>
    <row r="613" spans="1:11">
      <c r="A613" s="14">
        <f>IF(B613="","",COUNTA($B$4:B613))</f>
        <v>610</v>
      </c>
      <c r="B613" s="14" t="s">
        <v>1534</v>
      </c>
      <c r="C613" s="14" t="s">
        <v>338</v>
      </c>
      <c r="D613" s="14" t="s">
        <v>339</v>
      </c>
      <c r="E613" s="14" t="s">
        <v>338</v>
      </c>
      <c r="F613" s="14" t="s">
        <v>155</v>
      </c>
      <c r="G613" s="14" t="s">
        <v>156</v>
      </c>
      <c r="H613" s="14">
        <v>3</v>
      </c>
      <c r="I613" s="14"/>
      <c r="J613" s="14"/>
      <c r="K613" s="127"/>
    </row>
    <row r="614" spans="1:11">
      <c r="A614" s="14">
        <f>IF(B614="","",COUNTA($B$4:B614))</f>
        <v>611</v>
      </c>
      <c r="B614" s="14" t="s">
        <v>1545</v>
      </c>
      <c r="C614" s="14" t="s">
        <v>338</v>
      </c>
      <c r="D614" s="14" t="s">
        <v>339</v>
      </c>
      <c r="E614" s="14" t="s">
        <v>338</v>
      </c>
      <c r="F614" s="14" t="s">
        <v>155</v>
      </c>
      <c r="G614" s="14" t="s">
        <v>156</v>
      </c>
      <c r="H614" s="14">
        <v>3</v>
      </c>
      <c r="I614" s="14"/>
      <c r="J614" s="14"/>
      <c r="K614" s="127"/>
    </row>
    <row r="615" spans="1:11">
      <c r="A615" s="14">
        <f>IF(B615="","",COUNTA($B$4:B615))</f>
        <v>612</v>
      </c>
      <c r="B615" s="14" t="s">
        <v>1547</v>
      </c>
      <c r="C615" s="14" t="s">
        <v>338</v>
      </c>
      <c r="D615" s="14" t="s">
        <v>339</v>
      </c>
      <c r="E615" s="14" t="s">
        <v>338</v>
      </c>
      <c r="F615" s="14" t="s">
        <v>155</v>
      </c>
      <c r="G615" s="14" t="s">
        <v>156</v>
      </c>
      <c r="H615" s="14">
        <v>3</v>
      </c>
      <c r="I615" s="14"/>
      <c r="J615" s="14"/>
      <c r="K615" s="127"/>
    </row>
    <row r="616" spans="1:11">
      <c r="A616" s="14">
        <f>IF(B616="","",COUNTA($B$4:B616))</f>
        <v>613</v>
      </c>
      <c r="B616" s="14" t="s">
        <v>1549</v>
      </c>
      <c r="C616" s="14" t="s">
        <v>338</v>
      </c>
      <c r="D616" s="14" t="s">
        <v>339</v>
      </c>
      <c r="E616" s="14" t="s">
        <v>338</v>
      </c>
      <c r="F616" s="14" t="s">
        <v>155</v>
      </c>
      <c r="G616" s="14" t="s">
        <v>156</v>
      </c>
      <c r="H616" s="14">
        <v>3</v>
      </c>
      <c r="I616" s="14"/>
      <c r="J616" s="14"/>
      <c r="K616" s="127"/>
    </row>
    <row r="617" spans="1:11">
      <c r="A617" s="14">
        <f>IF(B617="","",COUNTA($B$4:B617))</f>
        <v>614</v>
      </c>
      <c r="B617" s="14" t="s">
        <v>1551</v>
      </c>
      <c r="C617" s="14" t="s">
        <v>338</v>
      </c>
      <c r="D617" s="14" t="s">
        <v>339</v>
      </c>
      <c r="E617" s="14" t="s">
        <v>338</v>
      </c>
      <c r="F617" s="14" t="s">
        <v>155</v>
      </c>
      <c r="G617" s="14" t="s">
        <v>156</v>
      </c>
      <c r="H617" s="14">
        <v>3</v>
      </c>
      <c r="I617" s="14"/>
      <c r="J617" s="15"/>
      <c r="K617" s="127"/>
    </row>
    <row r="618" spans="1:11">
      <c r="A618" s="14">
        <f>IF(B618="","",COUNTA($B$4:B618))</f>
        <v>615</v>
      </c>
      <c r="B618" s="14" t="s">
        <v>1553</v>
      </c>
      <c r="C618" s="14" t="s">
        <v>338</v>
      </c>
      <c r="D618" s="14" t="s">
        <v>339</v>
      </c>
      <c r="E618" s="14" t="s">
        <v>338</v>
      </c>
      <c r="F618" s="14" t="s">
        <v>155</v>
      </c>
      <c r="G618" s="14" t="s">
        <v>156</v>
      </c>
      <c r="H618" s="14">
        <v>3</v>
      </c>
      <c r="I618" s="14"/>
      <c r="J618" s="15"/>
      <c r="K618" s="15"/>
    </row>
    <row r="619" spans="1:11">
      <c r="A619" s="14">
        <f>IF(B619="","",COUNTA($B$4:B619))</f>
        <v>616</v>
      </c>
      <c r="B619" s="14" t="s">
        <v>1549</v>
      </c>
      <c r="C619" s="14" t="s">
        <v>1427</v>
      </c>
      <c r="D619" s="14" t="s">
        <v>1380</v>
      </c>
      <c r="E619" s="14" t="s">
        <v>1427</v>
      </c>
      <c r="F619" s="14" t="s">
        <v>150</v>
      </c>
      <c r="G619" s="14" t="s">
        <v>151</v>
      </c>
      <c r="H619" s="14">
        <v>3</v>
      </c>
      <c r="I619" s="14"/>
      <c r="J619" s="14"/>
      <c r="K619" s="15"/>
    </row>
    <row r="620" spans="1:11">
      <c r="A620" s="14">
        <f>IF(B620="","",COUNTA($B$4:B620))</f>
        <v>617</v>
      </c>
      <c r="B620" s="14" t="s">
        <v>1534</v>
      </c>
      <c r="C620" s="14" t="s">
        <v>1536</v>
      </c>
      <c r="D620" s="14" t="s">
        <v>361</v>
      </c>
      <c r="E620" s="14" t="s">
        <v>1536</v>
      </c>
      <c r="F620" s="14" t="s">
        <v>155</v>
      </c>
      <c r="G620" s="14" t="s">
        <v>156</v>
      </c>
      <c r="H620" s="14">
        <v>5</v>
      </c>
      <c r="I620" s="14"/>
      <c r="J620" s="14"/>
      <c r="K620" s="15"/>
    </row>
    <row r="621" spans="1:11">
      <c r="A621" s="14" t="str">
        <f>IF(B621="","",COUNTA($B$4:B621))</f>
        <v/>
      </c>
      <c r="B621" s="14"/>
      <c r="C621" s="14"/>
      <c r="D621" s="14"/>
      <c r="E621" s="14"/>
      <c r="F621" s="14"/>
      <c r="G621" s="14"/>
      <c r="H621" s="14"/>
      <c r="I621" s="14"/>
      <c r="J621" s="15"/>
      <c r="K621" s="127"/>
    </row>
    <row r="622" spans="1:11">
      <c r="A622" s="14" t="str">
        <f>IF(B622="","",COUNTA($B$4:B622))</f>
        <v/>
      </c>
      <c r="B622" s="14"/>
      <c r="C622" s="14"/>
      <c r="D622" s="14"/>
      <c r="E622" s="14"/>
      <c r="F622" s="14"/>
      <c r="G622" s="14"/>
      <c r="H622" s="14"/>
      <c r="I622" s="14"/>
      <c r="J622" s="15"/>
      <c r="K622" s="15"/>
    </row>
    <row r="623" spans="1:11">
      <c r="A623" s="14" t="str">
        <f>IF(B623="","",COUNTA($B$4:B623))</f>
        <v/>
      </c>
      <c r="B623" s="14"/>
      <c r="C623" s="14"/>
      <c r="D623" s="14"/>
      <c r="E623" s="14"/>
      <c r="F623" s="14"/>
      <c r="G623" s="14"/>
      <c r="H623" s="14"/>
      <c r="I623" s="14"/>
      <c r="J623" s="15"/>
      <c r="K623" s="15"/>
    </row>
    <row r="624" spans="1:11">
      <c r="A624" s="14" t="str">
        <f>IF(B624="","",COUNTA($B$4:B624))</f>
        <v/>
      </c>
      <c r="B624" s="14"/>
      <c r="C624" s="14"/>
      <c r="D624" s="14"/>
      <c r="E624" s="14"/>
      <c r="F624" s="14"/>
      <c r="G624" s="14"/>
      <c r="H624" s="14"/>
      <c r="I624" s="14"/>
      <c r="J624" s="15"/>
      <c r="K624" s="15"/>
    </row>
    <row r="625" spans="1:11">
      <c r="A625" s="14" t="str">
        <f>IF(B625="","",COUNTA($B$4:B625))</f>
        <v/>
      </c>
      <c r="B625" s="14"/>
      <c r="C625" s="14"/>
      <c r="D625" s="14"/>
      <c r="E625" s="14"/>
      <c r="F625" s="14"/>
      <c r="G625" s="14"/>
      <c r="H625" s="14"/>
      <c r="I625" s="14"/>
      <c r="J625" s="15"/>
      <c r="K625" s="15"/>
    </row>
    <row r="626" spans="1:11">
      <c r="A626" s="14" t="str">
        <f>IF(B626="","",COUNTA($B$4:B626))</f>
        <v/>
      </c>
      <c r="B626" s="14"/>
      <c r="C626" s="14"/>
      <c r="D626" s="14"/>
      <c r="E626" s="14"/>
      <c r="F626" s="14"/>
      <c r="G626" s="14"/>
      <c r="H626" s="14"/>
      <c r="I626" s="14"/>
      <c r="J626" s="15"/>
      <c r="K626" s="15"/>
    </row>
    <row r="627" spans="1:11">
      <c r="A627" s="14" t="str">
        <f>IF(B627="","",COUNTA($B$4:B627))</f>
        <v/>
      </c>
      <c r="B627" s="14"/>
      <c r="C627" s="14"/>
      <c r="D627" s="14"/>
      <c r="E627" s="14"/>
      <c r="F627" s="14"/>
      <c r="G627" s="14"/>
      <c r="H627" s="14"/>
      <c r="I627" s="14"/>
      <c r="J627" s="15"/>
      <c r="K627" s="15"/>
    </row>
    <row r="628" spans="1:11">
      <c r="A628" s="14" t="str">
        <f>IF(B628="","",COUNTA($B$4:B628))</f>
        <v/>
      </c>
      <c r="B628" s="14"/>
      <c r="C628" s="14"/>
      <c r="D628" s="14"/>
      <c r="E628" s="14"/>
      <c r="F628" s="14"/>
      <c r="G628" s="14"/>
      <c r="H628" s="14"/>
      <c r="I628" s="14"/>
      <c r="J628" s="15"/>
      <c r="K628" s="15"/>
    </row>
    <row r="629" spans="1:11">
      <c r="A629" s="14" t="str">
        <f>IF(B629="","",COUNTA($B$4:B629))</f>
        <v/>
      </c>
      <c r="B629" s="14"/>
      <c r="C629" s="14"/>
      <c r="D629" s="14"/>
      <c r="E629" s="14"/>
      <c r="F629" s="14"/>
      <c r="G629" s="14"/>
      <c r="H629" s="14"/>
      <c r="I629" s="14"/>
      <c r="J629" s="15"/>
      <c r="K629" s="127"/>
    </row>
    <row r="630" spans="1:11">
      <c r="A630" s="14" t="str">
        <f>IF(B630="","",COUNTA($B$4:B630))</f>
        <v/>
      </c>
      <c r="B630" s="14"/>
      <c r="C630" s="14"/>
      <c r="D630" s="14"/>
      <c r="E630" s="14"/>
      <c r="F630" s="14"/>
      <c r="G630" s="14"/>
      <c r="H630" s="14"/>
      <c r="I630" s="14"/>
      <c r="J630" s="15"/>
      <c r="K630" s="15"/>
    </row>
    <row r="631" spans="1:11">
      <c r="A631" s="14" t="str">
        <f>IF(B631="","",COUNTA($B$4:B631))</f>
        <v/>
      </c>
      <c r="B631" s="14"/>
      <c r="C631" s="14"/>
      <c r="D631" s="14"/>
      <c r="E631" s="14"/>
      <c r="F631" s="14"/>
      <c r="G631" s="14"/>
      <c r="H631" s="14"/>
      <c r="I631" s="14"/>
      <c r="J631" s="15"/>
      <c r="K631" s="15"/>
    </row>
    <row r="632" spans="1:11">
      <c r="A632" s="14" t="str">
        <f>IF(B632="","",COUNTA($B$4:B632))</f>
        <v/>
      </c>
      <c r="B632" s="14"/>
      <c r="C632" s="14"/>
      <c r="D632" s="14"/>
      <c r="E632" s="14"/>
      <c r="F632" s="14"/>
      <c r="G632" s="14"/>
      <c r="H632" s="14"/>
      <c r="I632" s="14"/>
      <c r="J632" s="15"/>
      <c r="K632" s="15"/>
    </row>
    <row r="633" spans="1:11">
      <c r="A633" s="14" t="str">
        <f>IF(B633="","",COUNTA($B$4:B633))</f>
        <v/>
      </c>
      <c r="B633" s="14"/>
      <c r="C633" s="14"/>
      <c r="D633" s="14"/>
      <c r="E633" s="14"/>
      <c r="F633" s="14"/>
      <c r="G633" s="14"/>
      <c r="H633" s="14"/>
      <c r="I633" s="14"/>
      <c r="J633" s="15"/>
      <c r="K633" s="15"/>
    </row>
    <row r="634" spans="1:11">
      <c r="A634" s="14" t="str">
        <f>IF(B634="","",COUNTA($B$4:B634))</f>
        <v/>
      </c>
      <c r="B634" s="14"/>
      <c r="C634" s="14"/>
      <c r="D634" s="14"/>
      <c r="E634" s="14"/>
      <c r="F634" s="14"/>
      <c r="G634" s="14"/>
      <c r="H634" s="14"/>
      <c r="I634" s="14"/>
      <c r="J634" s="15"/>
      <c r="K634" s="15"/>
    </row>
    <row r="635" spans="1:11">
      <c r="A635" s="14" t="str">
        <f>IF(B635="","",COUNTA($B$4:B635))</f>
        <v/>
      </c>
      <c r="B635" s="14"/>
      <c r="C635" s="14"/>
      <c r="D635" s="14"/>
      <c r="E635" s="14"/>
      <c r="F635" s="14"/>
      <c r="G635" s="14"/>
      <c r="H635" s="14"/>
      <c r="I635" s="14"/>
      <c r="J635" s="15"/>
      <c r="K635" s="15"/>
    </row>
    <row r="636" spans="1:11">
      <c r="A636" s="14" t="str">
        <f>IF(B636="","",COUNTA($B$4:B636))</f>
        <v/>
      </c>
      <c r="B636" s="14"/>
      <c r="C636" s="14"/>
      <c r="D636" s="14"/>
      <c r="E636" s="14"/>
      <c r="F636" s="14"/>
      <c r="G636" s="14"/>
      <c r="H636" s="14"/>
      <c r="I636" s="14"/>
      <c r="J636" s="15"/>
      <c r="K636" s="15"/>
    </row>
    <row r="637" spans="1:11">
      <c r="A637" s="14" t="str">
        <f>IF(B637="","",COUNTA($B$4:B637))</f>
        <v/>
      </c>
      <c r="B637" s="14"/>
      <c r="C637" s="14"/>
      <c r="D637" s="14"/>
      <c r="E637" s="14"/>
      <c r="F637" s="14"/>
      <c r="G637" s="14"/>
      <c r="H637" s="14"/>
      <c r="I637" s="14"/>
      <c r="J637" s="15"/>
      <c r="K637" s="15"/>
    </row>
    <row r="638" spans="1:11">
      <c r="A638" s="14" t="str">
        <f>IF(B638="","",COUNTA($B$4:B638))</f>
        <v/>
      </c>
      <c r="B638" s="14"/>
      <c r="C638" s="14"/>
      <c r="D638" s="14"/>
      <c r="E638" s="14"/>
      <c r="F638" s="14"/>
      <c r="G638" s="14"/>
      <c r="H638" s="14"/>
      <c r="I638" s="14"/>
      <c r="J638" s="15"/>
      <c r="K638" s="15"/>
    </row>
    <row r="639" spans="1:11">
      <c r="A639" s="14" t="str">
        <f>IF(B639="","",COUNTA($B$4:B639))</f>
        <v/>
      </c>
      <c r="B639" s="14"/>
      <c r="C639" s="14"/>
      <c r="D639" s="14"/>
      <c r="E639" s="14"/>
      <c r="F639" s="14"/>
      <c r="G639" s="14"/>
      <c r="H639" s="14"/>
      <c r="I639" s="14"/>
      <c r="J639" s="15"/>
      <c r="K639" s="127"/>
    </row>
    <row r="640" spans="1:11">
      <c r="A640" s="14" t="str">
        <f>IF(B640="","",COUNTA($B$4:B640))</f>
        <v/>
      </c>
      <c r="B640" s="14"/>
      <c r="C640" s="14"/>
      <c r="D640" s="14"/>
      <c r="E640" s="14"/>
      <c r="F640" s="14"/>
      <c r="G640" s="14"/>
      <c r="H640" s="14"/>
      <c r="I640" s="14"/>
      <c r="J640" s="15"/>
      <c r="K640" s="127"/>
    </row>
    <row r="641" spans="1:11">
      <c r="A641" s="14" t="str">
        <f>IF(B641="","",COUNTA($B$4:B641))</f>
        <v/>
      </c>
      <c r="B641" s="14"/>
      <c r="C641" s="14"/>
      <c r="D641" s="14"/>
      <c r="E641" s="14"/>
      <c r="F641" s="14"/>
      <c r="G641" s="14"/>
      <c r="H641" s="14"/>
      <c r="I641" s="14"/>
      <c r="J641" s="15"/>
      <c r="K641" s="15"/>
    </row>
    <row r="642" spans="1:11">
      <c r="A642" s="14" t="str">
        <f>IF(B642="","",COUNTA($B$4:B642))</f>
        <v/>
      </c>
      <c r="B642" s="14"/>
      <c r="C642" s="14"/>
      <c r="D642" s="14"/>
      <c r="E642" s="14"/>
      <c r="F642" s="14"/>
      <c r="G642" s="14"/>
      <c r="H642" s="14"/>
      <c r="I642" s="14"/>
      <c r="J642" s="15"/>
      <c r="K642" s="15"/>
    </row>
    <row r="643" spans="1:11">
      <c r="A643" s="14" t="str">
        <f>IF(B643="","",COUNTA($B$4:B643))</f>
        <v/>
      </c>
      <c r="B643" s="14"/>
      <c r="C643" s="14"/>
      <c r="D643" s="14"/>
      <c r="E643" s="14"/>
      <c r="F643" s="14"/>
      <c r="G643" s="14"/>
      <c r="H643" s="14"/>
      <c r="I643" s="14"/>
      <c r="J643" s="15"/>
      <c r="K643" s="15"/>
    </row>
    <row r="644" spans="1:11">
      <c r="A644" s="14" t="str">
        <f>IF(B644="","",COUNTA($B$4:B644))</f>
        <v/>
      </c>
      <c r="B644" s="14"/>
      <c r="C644" s="14"/>
      <c r="D644" s="14"/>
      <c r="E644" s="14"/>
      <c r="F644" s="14"/>
      <c r="G644" s="14"/>
      <c r="H644" s="14"/>
      <c r="I644" s="14"/>
      <c r="J644" s="15"/>
      <c r="K644" s="15"/>
    </row>
    <row r="645" spans="1:11">
      <c r="A645" s="14" t="str">
        <f>IF(B645="","",COUNTA($B$4:B645))</f>
        <v/>
      </c>
      <c r="B645" s="14"/>
      <c r="C645" s="14"/>
      <c r="D645" s="14"/>
      <c r="E645" s="14"/>
      <c r="F645" s="14"/>
      <c r="G645" s="14"/>
      <c r="H645" s="14"/>
      <c r="I645" s="14"/>
      <c r="J645" s="15"/>
      <c r="K645" s="15"/>
    </row>
    <row r="646" spans="1:11">
      <c r="A646" s="14" t="str">
        <f>IF(B646="","",COUNTA($B$4:B646))</f>
        <v/>
      </c>
      <c r="B646" s="14"/>
      <c r="C646" s="14"/>
      <c r="D646" s="14"/>
      <c r="E646" s="14"/>
      <c r="F646" s="14"/>
      <c r="G646" s="14"/>
      <c r="H646" s="14"/>
      <c r="I646" s="14"/>
      <c r="J646" s="15"/>
      <c r="K646" s="127"/>
    </row>
    <row r="647" spans="1:11">
      <c r="A647" s="14" t="str">
        <f>IF(B647="","",COUNTA($B$4:B647))</f>
        <v/>
      </c>
      <c r="B647" s="14"/>
      <c r="C647" s="14"/>
      <c r="D647" s="14"/>
      <c r="E647" s="14"/>
      <c r="F647" s="14"/>
      <c r="G647" s="14"/>
      <c r="H647" s="14"/>
      <c r="I647" s="14"/>
      <c r="J647" s="15"/>
      <c r="K647" s="15"/>
    </row>
    <row r="648" spans="1:11">
      <c r="A648" s="14" t="str">
        <f>IF(B648="","",COUNTA($B$4:B648))</f>
        <v/>
      </c>
      <c r="B648" s="14"/>
      <c r="C648" s="14"/>
      <c r="D648" s="14"/>
      <c r="E648" s="14"/>
      <c r="F648" s="14"/>
      <c r="G648" s="14"/>
      <c r="H648" s="14"/>
      <c r="I648" s="14"/>
      <c r="J648" s="15"/>
      <c r="K648" s="127"/>
    </row>
    <row r="649" spans="1:11">
      <c r="A649" s="14" t="str">
        <f>IF(B649="","",COUNTA($B$4:B649))</f>
        <v/>
      </c>
      <c r="B649" s="14"/>
      <c r="C649" s="14"/>
      <c r="D649" s="14"/>
      <c r="E649" s="14"/>
      <c r="F649" s="14"/>
      <c r="G649" s="14"/>
      <c r="H649" s="14"/>
      <c r="I649" s="14"/>
      <c r="J649" s="15"/>
      <c r="K649" s="127"/>
    </row>
    <row r="650" spans="1:11">
      <c r="A650" s="14" t="str">
        <f>IF(B650="","",COUNTA($B$4:B650))</f>
        <v/>
      </c>
      <c r="B650" s="14"/>
      <c r="C650" s="14"/>
      <c r="D650" s="14"/>
      <c r="E650" s="14"/>
      <c r="F650" s="14"/>
      <c r="G650" s="14"/>
      <c r="H650" s="14"/>
      <c r="I650" s="14"/>
      <c r="J650" s="15"/>
      <c r="K650" s="127"/>
    </row>
    <row r="651" spans="1:11">
      <c r="A651" s="14" t="str">
        <f>IF(B651="","",COUNTA($B$4:B651))</f>
        <v/>
      </c>
      <c r="B651" s="14"/>
      <c r="C651" s="14"/>
      <c r="D651" s="14"/>
      <c r="E651" s="14"/>
      <c r="F651" s="14"/>
      <c r="G651" s="14"/>
      <c r="H651" s="14"/>
      <c r="I651" s="14"/>
      <c r="J651" s="15"/>
      <c r="K651" s="127"/>
    </row>
    <row r="652" spans="1:11">
      <c r="A652" s="14" t="str">
        <f>IF(B652="","",COUNTA($B$4:B652))</f>
        <v/>
      </c>
      <c r="B652" s="14"/>
      <c r="C652" s="14"/>
      <c r="D652" s="14"/>
      <c r="E652" s="14"/>
      <c r="F652" s="14"/>
      <c r="G652" s="14"/>
      <c r="H652" s="14"/>
      <c r="I652" s="14"/>
      <c r="J652" s="15"/>
      <c r="K652" s="127"/>
    </row>
    <row r="653" spans="1:11">
      <c r="A653" s="14" t="str">
        <f>IF(B653="","",COUNTA($B$4:B653))</f>
        <v/>
      </c>
      <c r="B653" s="14"/>
      <c r="C653" s="14"/>
      <c r="D653" s="14"/>
      <c r="E653" s="14"/>
      <c r="F653" s="14"/>
      <c r="G653" s="14"/>
      <c r="H653" s="14"/>
      <c r="I653" s="14"/>
      <c r="J653" s="15"/>
      <c r="K653" s="15"/>
    </row>
    <row r="654" spans="1:11">
      <c r="A654" s="14" t="str">
        <f>IF(B654="","",COUNTA($B$4:B654))</f>
        <v/>
      </c>
      <c r="B654" s="14"/>
      <c r="C654" s="14"/>
      <c r="D654" s="14"/>
      <c r="E654" s="14"/>
      <c r="F654" s="14"/>
      <c r="G654" s="14"/>
      <c r="H654" s="14"/>
      <c r="I654" s="14"/>
      <c r="J654" s="15"/>
      <c r="K654" s="15"/>
    </row>
    <row r="655" spans="1:11">
      <c r="A655" s="14" t="str">
        <f>IF(B655="","",COUNTA($B$4:B655))</f>
        <v/>
      </c>
      <c r="B655" s="14"/>
      <c r="C655" s="14"/>
      <c r="D655" s="14"/>
      <c r="E655" s="14"/>
      <c r="F655" s="14"/>
      <c r="G655" s="14"/>
      <c r="H655" s="14"/>
      <c r="I655" s="14"/>
      <c r="J655" s="15"/>
      <c r="K655" s="15"/>
    </row>
    <row r="656" spans="1:11">
      <c r="A656" s="14" t="str">
        <f>IF(B656="","",COUNTA($B$4:B656))</f>
        <v/>
      </c>
      <c r="B656" s="14"/>
      <c r="C656" s="14"/>
      <c r="D656" s="14"/>
      <c r="E656" s="14"/>
      <c r="F656" s="14"/>
      <c r="G656" s="14"/>
      <c r="H656" s="14"/>
      <c r="I656" s="14"/>
      <c r="J656" s="15"/>
      <c r="K656" s="15"/>
    </row>
    <row r="657" spans="1:11">
      <c r="A657" s="14" t="str">
        <f>IF(B657="","",COUNTA($B$4:B657))</f>
        <v/>
      </c>
      <c r="B657" s="14"/>
      <c r="C657" s="14"/>
      <c r="D657" s="14"/>
      <c r="E657" s="14"/>
      <c r="F657" s="14"/>
      <c r="G657" s="14"/>
      <c r="H657" s="14"/>
      <c r="I657" s="14"/>
      <c r="J657" s="15"/>
      <c r="K657" s="15"/>
    </row>
    <row r="658" spans="1:11">
      <c r="A658" s="14" t="str">
        <f>IF(B658="","",COUNTA($B$4:B658))</f>
        <v/>
      </c>
      <c r="B658" s="14"/>
      <c r="C658" s="14"/>
      <c r="D658" s="14"/>
      <c r="E658" s="14"/>
      <c r="F658" s="14"/>
      <c r="G658" s="14"/>
      <c r="H658" s="14"/>
      <c r="I658" s="14"/>
      <c r="J658" s="15"/>
      <c r="K658" s="15"/>
    </row>
    <row r="659" spans="1:11">
      <c r="A659" s="14" t="str">
        <f>IF(B659="","",COUNTA($B$4:B659))</f>
        <v/>
      </c>
      <c r="B659" s="14"/>
      <c r="C659" s="14"/>
      <c r="D659" s="14"/>
      <c r="E659" s="14"/>
      <c r="F659" s="14"/>
      <c r="G659" s="14"/>
      <c r="H659" s="14"/>
      <c r="I659" s="14"/>
      <c r="J659" s="15"/>
      <c r="K659" s="15"/>
    </row>
    <row r="660" spans="1:11">
      <c r="A660" s="14" t="str">
        <f>IF(B660="","",COUNTA($B$4:B660))</f>
        <v/>
      </c>
      <c r="B660" s="14"/>
      <c r="C660" s="14"/>
      <c r="D660" s="14"/>
      <c r="E660" s="14"/>
      <c r="F660" s="14"/>
      <c r="G660" s="14"/>
      <c r="H660" s="14"/>
      <c r="I660" s="14"/>
      <c r="J660" s="15"/>
      <c r="K660" s="127"/>
    </row>
    <row r="661" spans="1:11">
      <c r="A661" s="14" t="str">
        <f>IF(B661="","",COUNTA($B$4:B661))</f>
        <v/>
      </c>
      <c r="B661" s="14"/>
      <c r="C661" s="14"/>
      <c r="D661" s="14"/>
      <c r="E661" s="14"/>
      <c r="F661" s="14"/>
      <c r="G661" s="14"/>
      <c r="H661" s="14"/>
      <c r="I661" s="14"/>
      <c r="J661" s="15"/>
      <c r="K661" s="15"/>
    </row>
    <row r="662" spans="1:11">
      <c r="A662" s="14" t="str">
        <f>IF(B662="","",COUNTA($B$4:B662))</f>
        <v/>
      </c>
      <c r="B662" s="14"/>
      <c r="C662" s="14"/>
      <c r="D662" s="14"/>
      <c r="E662" s="14"/>
      <c r="F662" s="14"/>
      <c r="G662" s="14"/>
      <c r="H662" s="14"/>
      <c r="I662" s="14"/>
      <c r="J662" s="15"/>
      <c r="K662" s="15"/>
    </row>
    <row r="663" spans="1:11">
      <c r="A663" s="14" t="str">
        <f>IF(B663="","",COUNTA($B$4:B663))</f>
        <v/>
      </c>
      <c r="B663" s="14"/>
      <c r="C663" s="14"/>
      <c r="D663" s="14"/>
      <c r="E663" s="14"/>
      <c r="F663" s="14"/>
      <c r="G663" s="14"/>
      <c r="H663" s="14"/>
      <c r="I663" s="14"/>
      <c r="J663" s="15"/>
      <c r="K663" s="15"/>
    </row>
    <row r="664" spans="1:11">
      <c r="A664" s="14" t="str">
        <f>IF(B664="","",COUNTA($B$4:B664))</f>
        <v/>
      </c>
      <c r="B664" s="14"/>
      <c r="C664" s="14"/>
      <c r="D664" s="14"/>
      <c r="E664" s="14"/>
      <c r="F664" s="14"/>
      <c r="G664" s="14"/>
      <c r="H664" s="14"/>
      <c r="I664" s="14"/>
      <c r="J664" s="15"/>
      <c r="K664" s="15"/>
    </row>
    <row r="665" spans="1:11">
      <c r="A665" s="14" t="str">
        <f>IF(B665="","",COUNTA($B$4:B665))</f>
        <v/>
      </c>
      <c r="B665" s="14"/>
      <c r="C665" s="14"/>
      <c r="D665" s="14"/>
      <c r="E665" s="14"/>
      <c r="F665" s="14"/>
      <c r="G665" s="14"/>
      <c r="H665" s="14"/>
      <c r="I665" s="14"/>
      <c r="J665" s="15"/>
      <c r="K665" s="15"/>
    </row>
    <row r="666" spans="1:11">
      <c r="A666" s="14" t="str">
        <f>IF(B666="","",COUNTA($B$4:B666))</f>
        <v/>
      </c>
      <c r="B666" s="14"/>
      <c r="C666" s="14"/>
      <c r="D666" s="14"/>
      <c r="E666" s="14"/>
      <c r="F666" s="14"/>
      <c r="G666" s="14"/>
      <c r="H666" s="14"/>
      <c r="I666" s="14"/>
      <c r="J666" s="15"/>
      <c r="K666" s="127"/>
    </row>
    <row r="667" spans="1:11">
      <c r="A667" s="14" t="str">
        <f>IF(B667="","",COUNTA($B$4:B667))</f>
        <v/>
      </c>
      <c r="B667" s="14"/>
      <c r="C667" s="14"/>
      <c r="D667" s="14"/>
      <c r="E667" s="14"/>
      <c r="F667" s="14"/>
      <c r="G667" s="14"/>
      <c r="H667" s="14"/>
      <c r="I667" s="14"/>
      <c r="J667" s="15"/>
      <c r="K667" s="15"/>
    </row>
    <row r="668" spans="1:11">
      <c r="A668" s="14" t="str">
        <f>IF(B668="","",COUNTA($B$4:B668))</f>
        <v/>
      </c>
      <c r="B668" s="14"/>
      <c r="C668" s="14"/>
      <c r="D668" s="14"/>
      <c r="E668" s="14"/>
      <c r="F668" s="14"/>
      <c r="G668" s="14"/>
      <c r="H668" s="14"/>
      <c r="I668" s="14"/>
      <c r="J668" s="15"/>
      <c r="K668" s="15"/>
    </row>
    <row r="669" spans="1:11">
      <c r="A669" s="14" t="str">
        <f>IF(B669="","",COUNTA($B$4:B669))</f>
        <v/>
      </c>
      <c r="B669" s="14"/>
      <c r="C669" s="14"/>
      <c r="D669" s="14"/>
      <c r="E669" s="14"/>
      <c r="F669" s="14"/>
      <c r="G669" s="14"/>
      <c r="H669" s="14"/>
      <c r="I669" s="14"/>
      <c r="J669" s="15"/>
      <c r="K669" s="127"/>
    </row>
    <row r="670" spans="1:11">
      <c r="A670" s="14" t="str">
        <f>IF(B670="","",COUNTA($B$4:B670))</f>
        <v/>
      </c>
      <c r="B670" s="14"/>
      <c r="C670" s="14"/>
      <c r="D670" s="14"/>
      <c r="E670" s="14"/>
      <c r="F670" s="14"/>
      <c r="G670" s="14"/>
      <c r="H670" s="14"/>
      <c r="I670" s="14"/>
      <c r="J670" s="15"/>
      <c r="K670" s="15"/>
    </row>
    <row r="671" spans="1:11">
      <c r="A671" s="14" t="str">
        <f>IF(B671="","",COUNTA($B$4:B671))</f>
        <v/>
      </c>
      <c r="B671" s="14"/>
      <c r="C671" s="14"/>
      <c r="D671" s="14"/>
      <c r="E671" s="14"/>
      <c r="F671" s="14"/>
      <c r="G671" s="14"/>
      <c r="H671" s="14"/>
      <c r="I671" s="14"/>
      <c r="J671" s="15"/>
      <c r="K671" s="127"/>
    </row>
    <row r="672" spans="1:11">
      <c r="A672" s="14" t="str">
        <f>IF(B672="","",COUNTA($B$4:B672))</f>
        <v/>
      </c>
      <c r="B672" s="14"/>
      <c r="C672" s="14"/>
      <c r="D672" s="14"/>
      <c r="E672" s="14"/>
      <c r="F672" s="14"/>
      <c r="G672" s="14"/>
      <c r="H672" s="14"/>
      <c r="I672" s="14"/>
      <c r="J672" s="15"/>
      <c r="K672" s="15"/>
    </row>
    <row r="673" spans="1:11">
      <c r="A673" s="14" t="str">
        <f>IF(B673="","",COUNTA($B$4:B673))</f>
        <v/>
      </c>
      <c r="B673" s="14"/>
      <c r="C673" s="14"/>
      <c r="D673" s="14"/>
      <c r="E673" s="14"/>
      <c r="F673" s="14"/>
      <c r="G673" s="14"/>
      <c r="H673" s="14"/>
      <c r="I673" s="14"/>
      <c r="J673" s="15"/>
      <c r="K673" s="127"/>
    </row>
    <row r="674" spans="1:11">
      <c r="A674" s="14" t="str">
        <f>IF(B674="","",COUNTA($B$4:B674))</f>
        <v/>
      </c>
      <c r="B674" s="14"/>
      <c r="C674" s="14"/>
      <c r="D674" s="14"/>
      <c r="E674" s="14"/>
      <c r="F674" s="14"/>
      <c r="G674" s="14"/>
      <c r="H674" s="14"/>
      <c r="I674" s="14"/>
      <c r="J674" s="15"/>
      <c r="K674" s="127"/>
    </row>
    <row r="675" spans="1:11">
      <c r="A675" s="14" t="str">
        <f>IF(B675="","",COUNTA($B$4:B675))</f>
        <v/>
      </c>
      <c r="B675" s="14"/>
      <c r="C675" s="14"/>
      <c r="D675" s="14"/>
      <c r="E675" s="14"/>
      <c r="F675" s="14"/>
      <c r="G675" s="14"/>
      <c r="H675" s="14"/>
      <c r="I675" s="14"/>
      <c r="J675" s="15"/>
      <c r="K675" s="15"/>
    </row>
    <row r="676" spans="1:11">
      <c r="A676" s="14" t="str">
        <f>IF(B676="","",COUNTA($B$4:B676))</f>
        <v/>
      </c>
      <c r="B676" s="14"/>
      <c r="C676" s="14"/>
      <c r="D676" s="14"/>
      <c r="E676" s="14"/>
      <c r="F676" s="14"/>
      <c r="G676" s="14"/>
      <c r="H676" s="14"/>
      <c r="I676" s="14"/>
      <c r="J676" s="15"/>
      <c r="K676" s="15"/>
    </row>
    <row r="677" spans="1:11">
      <c r="A677" s="14" t="str">
        <f>IF(B677="","",COUNTA($B$4:B677))</f>
        <v/>
      </c>
      <c r="B677" s="14"/>
      <c r="C677" s="14"/>
      <c r="D677" s="14"/>
      <c r="E677" s="14"/>
      <c r="F677" s="14"/>
      <c r="G677" s="14"/>
      <c r="H677" s="14"/>
      <c r="I677" s="14"/>
      <c r="J677" s="15"/>
      <c r="K677" s="15"/>
    </row>
    <row r="678" spans="1:11">
      <c r="A678" s="14" t="str">
        <f>IF(B678="","",COUNTA($B$4:B678))</f>
        <v/>
      </c>
      <c r="B678" s="14"/>
      <c r="C678" s="14"/>
      <c r="D678" s="14"/>
      <c r="E678" s="14"/>
      <c r="F678" s="14"/>
      <c r="G678" s="14"/>
      <c r="H678" s="14"/>
      <c r="I678" s="14"/>
      <c r="J678" s="15"/>
      <c r="K678" s="127"/>
    </row>
    <row r="679" spans="1:11">
      <c r="A679" s="14" t="str">
        <f>IF(B679="","",COUNTA($B$4:B679))</f>
        <v/>
      </c>
      <c r="B679" s="14"/>
      <c r="C679" s="14"/>
      <c r="D679" s="14"/>
      <c r="E679" s="14"/>
      <c r="F679" s="14"/>
      <c r="G679" s="14"/>
      <c r="H679" s="14"/>
      <c r="I679" s="14"/>
      <c r="J679" s="15"/>
      <c r="K679" s="15"/>
    </row>
    <row r="680" spans="1:11">
      <c r="A680" s="14" t="str">
        <f>IF(B680="","",COUNTA($B$4:B680))</f>
        <v/>
      </c>
      <c r="B680" s="14"/>
      <c r="C680" s="14"/>
      <c r="D680" s="14"/>
      <c r="E680" s="14"/>
      <c r="F680" s="14"/>
      <c r="G680" s="14"/>
      <c r="H680" s="14"/>
      <c r="I680" s="14"/>
      <c r="J680" s="15"/>
      <c r="K680" s="127"/>
    </row>
    <row r="681" spans="1:11">
      <c r="A681" s="14" t="str">
        <f>IF(B681="","",COUNTA($B$4:B681))</f>
        <v/>
      </c>
      <c r="B681" s="14"/>
      <c r="C681" s="14"/>
      <c r="D681" s="14"/>
      <c r="E681" s="14"/>
      <c r="F681" s="14"/>
      <c r="G681" s="14"/>
      <c r="H681" s="14"/>
      <c r="I681" s="14"/>
      <c r="J681" s="15"/>
      <c r="K681" s="15"/>
    </row>
    <row r="682" spans="1:11">
      <c r="A682" s="14" t="str">
        <f>IF(B682="","",COUNTA($B$4:B682))</f>
        <v/>
      </c>
      <c r="B682" s="14"/>
      <c r="C682" s="14"/>
      <c r="D682" s="14"/>
      <c r="E682" s="14"/>
      <c r="F682" s="14"/>
      <c r="G682" s="14"/>
      <c r="H682" s="14"/>
      <c r="I682" s="14"/>
      <c r="J682" s="15"/>
      <c r="K682" s="15"/>
    </row>
    <row r="683" spans="1:11">
      <c r="A683" s="14" t="str">
        <f>IF(B683="","",COUNTA($B$4:B683))</f>
        <v/>
      </c>
      <c r="B683" s="14"/>
      <c r="C683" s="14"/>
      <c r="D683" s="14"/>
      <c r="E683" s="14"/>
      <c r="F683" s="14"/>
      <c r="G683" s="14"/>
      <c r="H683" s="14"/>
      <c r="I683" s="14"/>
      <c r="J683" s="15"/>
      <c r="K683" s="15"/>
    </row>
    <row r="684" spans="1:11">
      <c r="A684" s="14" t="str">
        <f>IF(B684="","",COUNTA($B$4:B684))</f>
        <v/>
      </c>
      <c r="B684" s="14"/>
      <c r="C684" s="14"/>
      <c r="D684" s="14"/>
      <c r="E684" s="14"/>
      <c r="F684" s="14"/>
      <c r="G684" s="14"/>
      <c r="H684" s="14"/>
      <c r="I684" s="14"/>
      <c r="J684" s="15"/>
      <c r="K684" s="127"/>
    </row>
    <row r="685" spans="1:11">
      <c r="A685" s="14" t="str">
        <f>IF(B685="","",COUNTA($B$4:B685))</f>
        <v/>
      </c>
      <c r="B685" s="14"/>
      <c r="C685" s="14"/>
      <c r="D685" s="14"/>
      <c r="E685" s="14"/>
      <c r="F685" s="14"/>
      <c r="G685" s="14"/>
      <c r="H685" s="14"/>
      <c r="I685" s="14"/>
      <c r="J685" s="15"/>
      <c r="K685" s="127"/>
    </row>
    <row r="686" spans="1:11">
      <c r="A686" s="14" t="str">
        <f>IF(B686="","",COUNTA($B$4:B686))</f>
        <v/>
      </c>
      <c r="B686" s="14"/>
      <c r="C686" s="14"/>
      <c r="D686" s="14"/>
      <c r="E686" s="14"/>
      <c r="F686" s="14"/>
      <c r="G686" s="14"/>
      <c r="H686" s="14"/>
      <c r="I686" s="14"/>
      <c r="J686" s="15"/>
      <c r="K686" s="127"/>
    </row>
    <row r="687" spans="1:11">
      <c r="A687" s="14" t="str">
        <f>IF(B687="","",COUNTA($B$4:B687))</f>
        <v/>
      </c>
      <c r="B687" s="14"/>
      <c r="C687" s="14"/>
      <c r="D687" s="14"/>
      <c r="E687" s="14"/>
      <c r="F687" s="14"/>
      <c r="G687" s="14"/>
      <c r="H687" s="14"/>
      <c r="I687" s="14"/>
      <c r="J687" s="15"/>
      <c r="K687" s="127"/>
    </row>
    <row r="688" spans="1:11">
      <c r="A688" s="14" t="str">
        <f>IF(B688="","",COUNTA($B$4:B688))</f>
        <v/>
      </c>
      <c r="B688" s="14"/>
      <c r="C688" s="14"/>
      <c r="D688" s="14"/>
      <c r="E688" s="14"/>
      <c r="F688" s="14"/>
      <c r="G688" s="14"/>
      <c r="H688" s="14"/>
      <c r="I688" s="14"/>
      <c r="J688" s="15"/>
      <c r="K688" s="127"/>
    </row>
    <row r="689" spans="1:11">
      <c r="A689" s="14" t="str">
        <f>IF(B689="","",COUNTA($B$4:B689))</f>
        <v/>
      </c>
      <c r="B689" s="14"/>
      <c r="C689" s="14"/>
      <c r="D689" s="14"/>
      <c r="E689" s="14"/>
      <c r="F689" s="14"/>
      <c r="G689" s="14"/>
      <c r="H689" s="14"/>
      <c r="I689" s="14"/>
      <c r="J689" s="15"/>
      <c r="K689" s="127"/>
    </row>
    <row r="690" spans="1:11">
      <c r="A690" s="14" t="str">
        <f>IF(B690="","",COUNTA($B$4:B690))</f>
        <v/>
      </c>
      <c r="B690" s="14"/>
      <c r="C690" s="14"/>
      <c r="D690" s="14"/>
      <c r="E690" s="14"/>
      <c r="F690" s="14"/>
      <c r="G690" s="14"/>
      <c r="H690" s="14"/>
      <c r="I690" s="14"/>
      <c r="J690" s="15"/>
      <c r="K690" s="127"/>
    </row>
    <row r="691" spans="1:11">
      <c r="A691" s="14" t="str">
        <f>IF(B691="","",COUNTA($B$4:B691))</f>
        <v/>
      </c>
      <c r="B691" s="14"/>
      <c r="C691" s="14"/>
      <c r="D691" s="14"/>
      <c r="E691" s="14"/>
      <c r="F691" s="14"/>
      <c r="G691" s="14"/>
      <c r="H691" s="14"/>
      <c r="I691" s="14"/>
      <c r="J691" s="15"/>
      <c r="K691" s="127"/>
    </row>
    <row r="692" spans="1:11">
      <c r="A692" s="14" t="str">
        <f>IF(B692="","",COUNTA($B$4:B692))</f>
        <v/>
      </c>
      <c r="B692" s="14"/>
      <c r="C692" s="14"/>
      <c r="D692" s="14"/>
      <c r="E692" s="14"/>
      <c r="F692" s="14"/>
      <c r="G692" s="14"/>
      <c r="H692" s="14"/>
      <c r="I692" s="14"/>
      <c r="J692" s="15"/>
      <c r="K692" s="127"/>
    </row>
    <row r="693" spans="1:11">
      <c r="A693" s="14" t="str">
        <f>IF(B693="","",COUNTA($B$4:B693))</f>
        <v/>
      </c>
      <c r="B693" s="14"/>
      <c r="C693" s="14"/>
      <c r="D693" s="14"/>
      <c r="E693" s="14"/>
      <c r="F693" s="14"/>
      <c r="G693" s="14"/>
      <c r="H693" s="14"/>
      <c r="I693" s="14"/>
      <c r="J693" s="15"/>
      <c r="K693" s="127"/>
    </row>
    <row r="694" spans="1:11">
      <c r="A694" s="14" t="str">
        <f>IF(B694="","",COUNTA($B$4:B694))</f>
        <v/>
      </c>
      <c r="B694" s="14"/>
      <c r="C694" s="14"/>
      <c r="D694" s="14"/>
      <c r="E694" s="14"/>
      <c r="F694" s="14"/>
      <c r="G694" s="14"/>
      <c r="H694" s="14"/>
      <c r="I694" s="14"/>
      <c r="J694" s="15"/>
      <c r="K694" s="127"/>
    </row>
    <row r="695" spans="1:11">
      <c r="A695" s="14" t="str">
        <f>IF(B695="","",COUNTA($B$4:B695))</f>
        <v/>
      </c>
      <c r="B695" s="14"/>
      <c r="C695" s="14"/>
      <c r="D695" s="14"/>
      <c r="E695" s="14"/>
      <c r="F695" s="14"/>
      <c r="G695" s="14"/>
      <c r="H695" s="14"/>
      <c r="I695" s="14"/>
      <c r="J695" s="15"/>
      <c r="K695" s="127"/>
    </row>
    <row r="696" spans="1:11">
      <c r="A696" s="14" t="str">
        <f>IF(B696="","",COUNTA($B$4:B696))</f>
        <v/>
      </c>
      <c r="B696" s="14"/>
      <c r="C696" s="14"/>
      <c r="D696" s="14"/>
      <c r="E696" s="14"/>
      <c r="F696" s="14"/>
      <c r="G696" s="14"/>
      <c r="H696" s="14"/>
      <c r="I696" s="14"/>
      <c r="J696" s="15"/>
      <c r="K696" s="127"/>
    </row>
    <row r="697" spans="1:11">
      <c r="A697" s="14" t="str">
        <f>IF(B697="","",COUNTA($B$4:B697))</f>
        <v/>
      </c>
      <c r="B697" s="14"/>
      <c r="C697" s="14"/>
      <c r="D697" s="14"/>
      <c r="E697" s="14"/>
      <c r="F697" s="14"/>
      <c r="G697" s="14"/>
      <c r="H697" s="14"/>
      <c r="I697" s="14"/>
      <c r="J697" s="15"/>
      <c r="K697" s="127"/>
    </row>
    <row r="698" spans="1:11">
      <c r="A698" s="14" t="str">
        <f>IF(B698="","",COUNTA($B$4:B698))</f>
        <v/>
      </c>
      <c r="B698" s="14"/>
      <c r="C698" s="14"/>
      <c r="D698" s="14"/>
      <c r="E698" s="14"/>
      <c r="F698" s="14"/>
      <c r="G698" s="14"/>
      <c r="H698" s="14"/>
      <c r="I698" s="14"/>
      <c r="J698" s="15"/>
      <c r="K698" s="127"/>
    </row>
    <row r="699" spans="1:11">
      <c r="A699" s="14" t="str">
        <f>IF(B699="","",COUNTA($B$4:B699))</f>
        <v/>
      </c>
      <c r="B699" s="14"/>
      <c r="C699" s="14"/>
      <c r="D699" s="14"/>
      <c r="E699" s="14"/>
      <c r="F699" s="14"/>
      <c r="G699" s="14"/>
      <c r="H699" s="14"/>
      <c r="I699" s="14"/>
      <c r="J699" s="15"/>
      <c r="K699" s="127"/>
    </row>
    <row r="700" spans="1:11">
      <c r="A700" s="14" t="str">
        <f>IF(B700="","",COUNTA($B$4:B700))</f>
        <v/>
      </c>
      <c r="B700" s="14"/>
      <c r="C700" s="14"/>
      <c r="D700" s="14"/>
      <c r="E700" s="14"/>
      <c r="F700" s="14"/>
      <c r="G700" s="14"/>
      <c r="H700" s="14"/>
      <c r="I700" s="14"/>
      <c r="J700" s="15"/>
      <c r="K700" s="127"/>
    </row>
    <row r="701" spans="1:11">
      <c r="A701" s="14" t="str">
        <f>IF(B701="","",COUNTA($B$4:B701))</f>
        <v/>
      </c>
      <c r="B701" s="14"/>
      <c r="C701" s="14"/>
      <c r="D701" s="14"/>
      <c r="E701" s="14"/>
      <c r="F701" s="14"/>
      <c r="G701" s="14"/>
      <c r="H701" s="14"/>
      <c r="I701" s="14"/>
      <c r="J701" s="15"/>
      <c r="K701" s="127"/>
    </row>
    <row r="702" spans="1:11">
      <c r="A702" s="14" t="str">
        <f>IF(B702="","",COUNTA($B$4:B702))</f>
        <v/>
      </c>
      <c r="B702" s="14"/>
      <c r="C702" s="14"/>
      <c r="D702" s="14"/>
      <c r="E702" s="14"/>
      <c r="F702" s="14"/>
      <c r="G702" s="14"/>
      <c r="H702" s="14"/>
      <c r="I702" s="14"/>
      <c r="J702" s="15"/>
      <c r="K702" s="127"/>
    </row>
    <row r="703" spans="1:11">
      <c r="A703" s="14" t="str">
        <f>IF(B703="","",COUNTA($B$4:B703))</f>
        <v/>
      </c>
      <c r="B703" s="14"/>
      <c r="C703" s="14"/>
      <c r="D703" s="14"/>
      <c r="E703" s="14"/>
      <c r="F703" s="14"/>
      <c r="G703" s="14"/>
      <c r="H703" s="14"/>
      <c r="I703" s="14"/>
      <c r="J703" s="15"/>
      <c r="K703" s="127"/>
    </row>
    <row r="704" spans="1:11">
      <c r="A704" s="14" t="str">
        <f>IF(B704="","",COUNTA($B$4:B704))</f>
        <v/>
      </c>
      <c r="B704" s="14"/>
      <c r="C704" s="14"/>
      <c r="D704" s="14"/>
      <c r="E704" s="14"/>
      <c r="F704" s="14"/>
      <c r="G704" s="14"/>
      <c r="H704" s="14"/>
      <c r="I704" s="14"/>
      <c r="J704" s="15"/>
      <c r="K704" s="127"/>
    </row>
    <row r="705" spans="1:11">
      <c r="A705" s="14" t="str">
        <f>IF(B705="","",COUNTA($B$4:B705))</f>
        <v/>
      </c>
      <c r="B705" s="14"/>
      <c r="C705" s="14"/>
      <c r="D705" s="14"/>
      <c r="E705" s="14"/>
      <c r="F705" s="14"/>
      <c r="G705" s="14"/>
      <c r="H705" s="14"/>
      <c r="I705" s="14"/>
      <c r="J705" s="15"/>
      <c r="K705" s="127"/>
    </row>
    <row r="706" spans="1:11">
      <c r="A706" s="14" t="str">
        <f>IF(B706="","",COUNTA($B$4:B706))</f>
        <v/>
      </c>
      <c r="B706" s="14"/>
      <c r="C706" s="14"/>
      <c r="D706" s="14"/>
      <c r="E706" s="14"/>
      <c r="F706" s="14"/>
      <c r="G706" s="14"/>
      <c r="H706" s="14"/>
      <c r="I706" s="14"/>
      <c r="J706" s="15"/>
      <c r="K706" s="127"/>
    </row>
    <row r="707" spans="1:11">
      <c r="A707" s="14" t="str">
        <f>IF(B707="","",COUNTA($B$4:B707))</f>
        <v/>
      </c>
      <c r="B707" s="14"/>
      <c r="C707" s="14"/>
      <c r="D707" s="14"/>
      <c r="E707" s="14"/>
      <c r="F707" s="14"/>
      <c r="G707" s="14"/>
      <c r="H707" s="14"/>
      <c r="I707" s="14"/>
      <c r="J707" s="15"/>
      <c r="K707" s="127"/>
    </row>
    <row r="708" spans="1:11">
      <c r="A708" s="14" t="str">
        <f>IF(B708="","",COUNTA($B$4:B708))</f>
        <v/>
      </c>
      <c r="B708" s="14"/>
      <c r="C708" s="14"/>
      <c r="D708" s="14"/>
      <c r="E708" s="14"/>
      <c r="F708" s="14"/>
      <c r="G708" s="14"/>
      <c r="H708" s="14"/>
      <c r="I708" s="14"/>
      <c r="J708" s="15"/>
      <c r="K708" s="127"/>
    </row>
    <row r="709" spans="1:11">
      <c r="A709" s="14" t="str">
        <f>IF(B709="","",COUNTA($B$4:B709))</f>
        <v/>
      </c>
      <c r="B709" s="14"/>
      <c r="C709" s="14"/>
      <c r="D709" s="14"/>
      <c r="E709" s="14"/>
      <c r="F709" s="14"/>
      <c r="G709" s="14"/>
      <c r="H709" s="14"/>
      <c r="I709" s="14"/>
      <c r="J709" s="15"/>
      <c r="K709" s="127"/>
    </row>
    <row r="710" spans="1:11">
      <c r="A710" s="14" t="str">
        <f>IF(B710="","",COUNTA($B$4:B710))</f>
        <v/>
      </c>
      <c r="B710" s="14"/>
      <c r="C710" s="14"/>
      <c r="D710" s="14"/>
      <c r="E710" s="14"/>
      <c r="F710" s="14"/>
      <c r="G710" s="14"/>
      <c r="H710" s="14"/>
      <c r="I710" s="14"/>
      <c r="J710" s="15"/>
      <c r="K710" s="127"/>
    </row>
    <row r="711" spans="1:11">
      <c r="A711" s="14" t="str">
        <f>IF(B711="","",COUNTA($B$4:B711))</f>
        <v/>
      </c>
      <c r="B711" s="14"/>
      <c r="C711" s="14"/>
      <c r="D711" s="14"/>
      <c r="E711" s="14"/>
      <c r="F711" s="14"/>
      <c r="G711" s="14"/>
      <c r="H711" s="14"/>
      <c r="I711" s="14"/>
      <c r="J711" s="15"/>
      <c r="K711" s="127"/>
    </row>
    <row r="712" spans="1:11">
      <c r="A712" s="14" t="str">
        <f>IF(B712="","",COUNTA($B$4:B712))</f>
        <v/>
      </c>
      <c r="B712" s="14"/>
      <c r="C712" s="14"/>
      <c r="D712" s="14"/>
      <c r="E712" s="14"/>
      <c r="F712" s="14"/>
      <c r="G712" s="14"/>
      <c r="H712" s="14"/>
      <c r="I712" s="14"/>
      <c r="J712" s="15"/>
      <c r="K712" s="127"/>
    </row>
    <row r="713" spans="1:11">
      <c r="A713" s="14" t="str">
        <f>IF(B713="","",COUNTA($B$4:B713))</f>
        <v/>
      </c>
      <c r="B713" s="14"/>
      <c r="C713" s="14"/>
      <c r="D713" s="14"/>
      <c r="E713" s="14"/>
      <c r="F713" s="14"/>
      <c r="G713" s="14"/>
      <c r="H713" s="14"/>
      <c r="I713" s="14"/>
      <c r="J713" s="15"/>
      <c r="K713" s="127"/>
    </row>
    <row r="714" spans="1:11">
      <c r="A714" s="14" t="str">
        <f>IF(B714="","",COUNTA($B$4:B714))</f>
        <v/>
      </c>
      <c r="B714" s="14"/>
      <c r="C714" s="14"/>
      <c r="D714" s="14"/>
      <c r="E714" s="14"/>
      <c r="F714" s="14"/>
      <c r="G714" s="14"/>
      <c r="H714" s="14"/>
      <c r="I714" s="14"/>
      <c r="J714" s="15"/>
      <c r="K714" s="127"/>
    </row>
    <row r="715" spans="1:11">
      <c r="A715" s="14" t="str">
        <f>IF(B715="","",COUNTA($B$4:B715))</f>
        <v/>
      </c>
      <c r="B715" s="14"/>
      <c r="C715" s="14"/>
      <c r="D715" s="14"/>
      <c r="E715" s="14"/>
      <c r="F715" s="14"/>
      <c r="G715" s="14"/>
      <c r="H715" s="14"/>
      <c r="I715" s="14"/>
      <c r="J715" s="15"/>
      <c r="K715" s="127"/>
    </row>
    <row r="716" spans="1:11">
      <c r="A716" s="14" t="str">
        <f>IF(B716="","",COUNTA($B$4:B716))</f>
        <v/>
      </c>
      <c r="B716" s="14"/>
      <c r="C716" s="14"/>
      <c r="D716" s="14"/>
      <c r="E716" s="14"/>
      <c r="F716" s="14"/>
      <c r="G716" s="14"/>
      <c r="H716" s="14"/>
      <c r="I716" s="14"/>
      <c r="J716" s="15"/>
      <c r="K716" s="127"/>
    </row>
    <row r="717" spans="1:11">
      <c r="A717" s="14" t="str">
        <f>IF(B717="","",COUNTA($B$4:B717))</f>
        <v/>
      </c>
      <c r="B717" s="14"/>
      <c r="C717" s="14"/>
      <c r="D717" s="14"/>
      <c r="E717" s="14"/>
      <c r="F717" s="14"/>
      <c r="G717" s="14"/>
      <c r="H717" s="14"/>
      <c r="I717" s="14"/>
      <c r="J717" s="15"/>
      <c r="K717" s="127"/>
    </row>
    <row r="718" spans="1:11">
      <c r="A718" s="14" t="str">
        <f>IF(B718="","",COUNTA($B$4:B718))</f>
        <v/>
      </c>
      <c r="B718" s="14"/>
      <c r="C718" s="14"/>
      <c r="D718" s="14"/>
      <c r="E718" s="14"/>
      <c r="F718" s="14"/>
      <c r="G718" s="14"/>
      <c r="H718" s="14"/>
      <c r="I718" s="14"/>
      <c r="J718" s="15"/>
      <c r="K718" s="127"/>
    </row>
    <row r="719" spans="1:11">
      <c r="A719" s="14" t="str">
        <f>IF(B719="","",COUNTA($B$4:B719))</f>
        <v/>
      </c>
      <c r="B719" s="14"/>
      <c r="C719" s="14"/>
      <c r="D719" s="14"/>
      <c r="E719" s="14"/>
      <c r="F719" s="14"/>
      <c r="G719" s="14"/>
      <c r="H719" s="14"/>
      <c r="I719" s="14"/>
      <c r="J719" s="15"/>
      <c r="K719" s="127"/>
    </row>
    <row r="720" spans="1:11">
      <c r="A720" s="14" t="str">
        <f>IF(B720="","",COUNTA($B$4:B720))</f>
        <v/>
      </c>
      <c r="B720" s="14"/>
      <c r="C720" s="14"/>
      <c r="D720" s="14"/>
      <c r="E720" s="14"/>
      <c r="F720" s="14"/>
      <c r="G720" s="14"/>
      <c r="H720" s="14"/>
      <c r="I720" s="14"/>
      <c r="J720" s="15"/>
      <c r="K720" s="127"/>
    </row>
    <row r="721" spans="1:11">
      <c r="A721" s="14" t="str">
        <f>IF(B721="","",COUNTA($B$4:B721))</f>
        <v/>
      </c>
      <c r="B721" s="14"/>
      <c r="C721" s="14"/>
      <c r="D721" s="14"/>
      <c r="E721" s="14"/>
      <c r="F721" s="14"/>
      <c r="G721" s="14"/>
      <c r="H721" s="14"/>
      <c r="I721" s="14"/>
      <c r="J721" s="15"/>
      <c r="K721" s="127"/>
    </row>
    <row r="722" spans="1:11">
      <c r="A722" s="14" t="str">
        <f>IF(B722="","",COUNTA($B$4:B722))</f>
        <v/>
      </c>
      <c r="B722" s="14"/>
      <c r="C722" s="14"/>
      <c r="D722" s="14"/>
      <c r="E722" s="14"/>
      <c r="F722" s="14"/>
      <c r="G722" s="14"/>
      <c r="H722" s="14"/>
      <c r="I722" s="14"/>
      <c r="J722" s="15"/>
      <c r="K722" s="127"/>
    </row>
    <row r="723" spans="1:11">
      <c r="A723" s="14" t="str">
        <f>IF(B723="","",COUNTA($B$4:B723))</f>
        <v/>
      </c>
      <c r="B723" s="14"/>
      <c r="C723" s="14"/>
      <c r="D723" s="14"/>
      <c r="E723" s="14"/>
      <c r="F723" s="14"/>
      <c r="G723" s="14"/>
      <c r="H723" s="14"/>
      <c r="I723" s="14"/>
      <c r="J723" s="15"/>
      <c r="K723" s="127"/>
    </row>
    <row r="724" spans="1:11">
      <c r="A724" s="14" t="str">
        <f>IF(B724="","",COUNTA($B$4:B724))</f>
        <v/>
      </c>
      <c r="B724" s="14"/>
      <c r="C724" s="14"/>
      <c r="D724" s="14"/>
      <c r="E724" s="14"/>
      <c r="F724" s="14"/>
      <c r="G724" s="14"/>
      <c r="H724" s="14"/>
      <c r="I724" s="14"/>
      <c r="J724" s="15"/>
      <c r="K724" s="127"/>
    </row>
    <row r="725" spans="1:11">
      <c r="A725" s="14" t="str">
        <f>IF(B725="","",COUNTA($B$4:B725))</f>
        <v/>
      </c>
      <c r="B725" s="14"/>
      <c r="C725" s="14"/>
      <c r="D725" s="14"/>
      <c r="E725" s="14"/>
      <c r="F725" s="14"/>
      <c r="G725" s="14"/>
      <c r="H725" s="14"/>
      <c r="I725" s="14"/>
      <c r="J725" s="15"/>
      <c r="K725" s="127"/>
    </row>
    <row r="726" spans="1:11">
      <c r="A726" s="14" t="str">
        <f>IF(B726="","",COUNTA($B$4:B726))</f>
        <v/>
      </c>
      <c r="B726" s="14"/>
      <c r="C726" s="14"/>
      <c r="D726" s="14"/>
      <c r="E726" s="14"/>
      <c r="F726" s="14"/>
      <c r="G726" s="14"/>
      <c r="H726" s="14"/>
      <c r="I726" s="14"/>
      <c r="J726" s="15"/>
      <c r="K726" s="127"/>
    </row>
    <row r="727" spans="1:11">
      <c r="A727" s="14" t="str">
        <f>IF(B727="","",COUNTA($B$4:B727))</f>
        <v/>
      </c>
      <c r="B727" s="14"/>
      <c r="C727" s="14"/>
      <c r="D727" s="14"/>
      <c r="E727" s="14"/>
      <c r="F727" s="14"/>
      <c r="G727" s="14"/>
      <c r="H727" s="14"/>
      <c r="I727" s="14"/>
      <c r="J727" s="15"/>
      <c r="K727" s="127"/>
    </row>
    <row r="728" spans="1:11">
      <c r="A728" s="14" t="str">
        <f>IF(B728="","",COUNTA($B$4:B728))</f>
        <v/>
      </c>
      <c r="B728" s="14"/>
      <c r="C728" s="14"/>
      <c r="D728" s="14"/>
      <c r="E728" s="14"/>
      <c r="F728" s="14"/>
      <c r="G728" s="14"/>
      <c r="H728" s="14"/>
      <c r="I728" s="14"/>
      <c r="J728" s="15"/>
      <c r="K728" s="127"/>
    </row>
    <row r="729" spans="1:11">
      <c r="A729" s="14" t="str">
        <f>IF(B729="","",COUNTA($B$4:B729))</f>
        <v/>
      </c>
      <c r="B729" s="14"/>
      <c r="C729" s="14"/>
      <c r="D729" s="14"/>
      <c r="E729" s="14"/>
      <c r="F729" s="14"/>
      <c r="G729" s="14"/>
      <c r="H729" s="14"/>
      <c r="I729" s="14"/>
      <c r="J729" s="15"/>
      <c r="K729" s="127"/>
    </row>
    <row r="730" spans="1:11">
      <c r="A730" s="14" t="str">
        <f>IF(B730="","",COUNTA($B$4:B730))</f>
        <v/>
      </c>
      <c r="B730" s="14"/>
      <c r="C730" s="14"/>
      <c r="D730" s="14"/>
      <c r="E730" s="14"/>
      <c r="F730" s="14"/>
      <c r="G730" s="14"/>
      <c r="H730" s="14"/>
      <c r="I730" s="14"/>
      <c r="J730" s="15"/>
      <c r="K730" s="127"/>
    </row>
    <row r="731" spans="1:11">
      <c r="A731" s="14" t="str">
        <f>IF(B731="","",COUNTA($B$4:B731))</f>
        <v/>
      </c>
      <c r="B731" s="14"/>
      <c r="C731" s="14"/>
      <c r="D731" s="14"/>
      <c r="E731" s="14"/>
      <c r="F731" s="14"/>
      <c r="G731" s="14"/>
      <c r="H731" s="14"/>
      <c r="I731" s="14"/>
      <c r="J731" s="15"/>
      <c r="K731" s="127"/>
    </row>
    <row r="732" spans="1:11">
      <c r="A732" s="14" t="str">
        <f>IF(B732="","",COUNTA($B$4:B732))</f>
        <v/>
      </c>
      <c r="B732" s="14"/>
      <c r="C732" s="14"/>
      <c r="D732" s="14"/>
      <c r="E732" s="14"/>
      <c r="F732" s="14"/>
      <c r="G732" s="14"/>
      <c r="H732" s="14"/>
      <c r="I732" s="14"/>
      <c r="J732" s="15"/>
      <c r="K732" s="127"/>
    </row>
    <row r="733" spans="1:11">
      <c r="A733" s="14" t="str">
        <f>IF(B733="","",COUNTA($B$4:B733))</f>
        <v/>
      </c>
      <c r="B733" s="14"/>
      <c r="C733" s="14"/>
      <c r="D733" s="14"/>
      <c r="E733" s="14"/>
      <c r="F733" s="14"/>
      <c r="G733" s="14"/>
      <c r="H733" s="14"/>
      <c r="I733" s="14"/>
      <c r="J733" s="15"/>
      <c r="K733" s="127"/>
    </row>
    <row r="734" spans="1:11">
      <c r="A734" s="14" t="str">
        <f>IF(B734="","",COUNTA($B$4:B734))</f>
        <v/>
      </c>
      <c r="B734" s="14"/>
      <c r="C734" s="14"/>
      <c r="D734" s="14"/>
      <c r="E734" s="14"/>
      <c r="F734" s="14"/>
      <c r="G734" s="14"/>
      <c r="H734" s="14"/>
      <c r="I734" s="14"/>
      <c r="J734" s="15"/>
      <c r="K734" s="127"/>
    </row>
    <row r="735" spans="1:11">
      <c r="A735" s="14" t="str">
        <f>IF(B735="","",COUNTA($B$4:B735))</f>
        <v/>
      </c>
      <c r="B735" s="14"/>
      <c r="C735" s="14"/>
      <c r="D735" s="14"/>
      <c r="E735" s="14"/>
      <c r="F735" s="14"/>
      <c r="G735" s="14"/>
      <c r="H735" s="14"/>
      <c r="I735" s="14"/>
      <c r="J735" s="15"/>
      <c r="K735" s="127"/>
    </row>
    <row r="736" spans="1:11">
      <c r="A736" s="14" t="str">
        <f>IF(B736="","",COUNTA($B$4:B736))</f>
        <v/>
      </c>
      <c r="B736" s="14"/>
      <c r="C736" s="14"/>
      <c r="D736" s="14"/>
      <c r="E736" s="14"/>
      <c r="F736" s="14"/>
      <c r="G736" s="14"/>
      <c r="H736" s="14"/>
      <c r="I736" s="14"/>
      <c r="J736" s="15"/>
      <c r="K736" s="127"/>
    </row>
    <row r="737" spans="1:11">
      <c r="A737" s="14" t="str">
        <f>IF(B737="","",COUNTA($B$4:B737))</f>
        <v/>
      </c>
      <c r="B737" s="14"/>
      <c r="C737" s="14"/>
      <c r="D737" s="14"/>
      <c r="E737" s="14"/>
      <c r="F737" s="14"/>
      <c r="G737" s="14"/>
      <c r="H737" s="14"/>
      <c r="I737" s="14"/>
      <c r="J737" s="15"/>
      <c r="K737" s="127"/>
    </row>
    <row r="738" spans="1:11">
      <c r="A738" s="14" t="str">
        <f>IF(B738="","",COUNTA($B$4:B738))</f>
        <v/>
      </c>
      <c r="B738" s="14"/>
      <c r="C738" s="14"/>
      <c r="D738" s="14"/>
      <c r="E738" s="14"/>
      <c r="F738" s="14"/>
      <c r="G738" s="14"/>
      <c r="H738" s="14"/>
      <c r="I738" s="14"/>
      <c r="J738" s="15"/>
      <c r="K738" s="127"/>
    </row>
    <row r="739" spans="1:11">
      <c r="A739" s="14" t="str">
        <f>IF(B739="","",COUNTA($B$4:B739))</f>
        <v/>
      </c>
      <c r="B739" s="14"/>
      <c r="C739" s="14"/>
      <c r="D739" s="14"/>
      <c r="E739" s="14"/>
      <c r="F739" s="14"/>
      <c r="G739" s="14"/>
      <c r="H739" s="14"/>
      <c r="I739" s="14"/>
      <c r="J739" s="15"/>
      <c r="K739" s="127"/>
    </row>
    <row r="740" spans="1:11">
      <c r="A740" s="14" t="str">
        <f>IF(B740="","",COUNTA($B$4:B740))</f>
        <v/>
      </c>
      <c r="B740" s="14"/>
      <c r="C740" s="14"/>
      <c r="D740" s="14"/>
      <c r="E740" s="14"/>
      <c r="F740" s="14"/>
      <c r="G740" s="14"/>
      <c r="H740" s="14"/>
      <c r="I740" s="14"/>
      <c r="J740" s="15"/>
      <c r="K740" s="127"/>
    </row>
    <row r="741" spans="1:11">
      <c r="A741" s="14" t="str">
        <f>IF(B741="","",COUNTA($B$4:B741))</f>
        <v/>
      </c>
      <c r="B741" s="14"/>
      <c r="C741" s="14"/>
      <c r="D741" s="14"/>
      <c r="E741" s="14"/>
      <c r="F741" s="14"/>
      <c r="G741" s="14"/>
      <c r="H741" s="14"/>
      <c r="I741" s="14"/>
      <c r="J741" s="15"/>
      <c r="K741" s="127"/>
    </row>
    <row r="742" spans="1:11">
      <c r="A742" s="14" t="str">
        <f>IF(B742="","",COUNTA($B$4:B742))</f>
        <v/>
      </c>
      <c r="B742" s="14"/>
      <c r="C742" s="14"/>
      <c r="D742" s="14"/>
      <c r="E742" s="14"/>
      <c r="F742" s="14"/>
      <c r="G742" s="14"/>
      <c r="H742" s="14"/>
      <c r="I742" s="14"/>
      <c r="J742" s="15"/>
      <c r="K742" s="127"/>
    </row>
    <row r="743" spans="1:11">
      <c r="A743" s="14" t="str">
        <f>IF(B743="","",COUNTA($B$4:B743))</f>
        <v/>
      </c>
      <c r="B743" s="14"/>
      <c r="C743" s="14"/>
      <c r="D743" s="14"/>
      <c r="E743" s="14"/>
      <c r="F743" s="14"/>
      <c r="G743" s="14"/>
      <c r="H743" s="14"/>
      <c r="I743" s="14"/>
      <c r="J743" s="15"/>
      <c r="K743" s="127"/>
    </row>
    <row r="744" spans="1:11">
      <c r="A744" s="14" t="str">
        <f>IF(B744="","",COUNTA($B$4:B744))</f>
        <v/>
      </c>
      <c r="B744" s="14"/>
      <c r="C744" s="14"/>
      <c r="D744" s="14"/>
      <c r="E744" s="14"/>
      <c r="F744" s="14"/>
      <c r="G744" s="14"/>
      <c r="H744" s="14"/>
      <c r="I744" s="14"/>
      <c r="J744" s="15"/>
      <c r="K744" s="127"/>
    </row>
    <row r="745" spans="1:11">
      <c r="A745" s="14" t="str">
        <f>IF(B745="","",COUNTA($B$4:B745))</f>
        <v/>
      </c>
      <c r="B745" s="14"/>
      <c r="C745" s="14"/>
      <c r="D745" s="14"/>
      <c r="E745" s="14"/>
      <c r="F745" s="14"/>
      <c r="G745" s="14"/>
      <c r="H745" s="14"/>
      <c r="I745" s="14"/>
      <c r="J745" s="15"/>
      <c r="K745" s="127"/>
    </row>
    <row r="746" spans="1:11">
      <c r="A746" s="14" t="str">
        <f>IF(B746="","",COUNTA($B$4:B746))</f>
        <v/>
      </c>
      <c r="B746" s="14"/>
      <c r="C746" s="14"/>
      <c r="D746" s="14"/>
      <c r="E746" s="14"/>
      <c r="F746" s="14"/>
      <c r="G746" s="14"/>
      <c r="H746" s="14"/>
      <c r="I746" s="14"/>
      <c r="J746" s="15"/>
      <c r="K746" s="127"/>
    </row>
    <row r="747" spans="1:11">
      <c r="A747" s="14" t="str">
        <f>IF(B747="","",COUNTA($B$4:B747))</f>
        <v/>
      </c>
      <c r="B747" s="14"/>
      <c r="C747" s="14"/>
      <c r="D747" s="14"/>
      <c r="E747" s="14"/>
      <c r="F747" s="14"/>
      <c r="G747" s="14"/>
      <c r="H747" s="14"/>
      <c r="I747" s="14"/>
      <c r="J747" s="15"/>
      <c r="K747" s="127"/>
    </row>
    <row r="748" spans="1:11">
      <c r="A748" s="14" t="str">
        <f>IF(B748="","",COUNTA($B$4:B748))</f>
        <v/>
      </c>
      <c r="B748" s="14"/>
      <c r="C748" s="14"/>
      <c r="D748" s="14"/>
      <c r="E748" s="14"/>
      <c r="F748" s="14"/>
      <c r="G748" s="14"/>
      <c r="H748" s="14"/>
      <c r="I748" s="14"/>
      <c r="J748" s="15"/>
      <c r="K748" s="127"/>
    </row>
    <row r="749" spans="1:11">
      <c r="A749" s="14" t="str">
        <f>IF(B749="","",COUNTA($B$4:B749))</f>
        <v/>
      </c>
      <c r="B749" s="14"/>
      <c r="C749" s="14"/>
      <c r="D749" s="14"/>
      <c r="E749" s="14"/>
      <c r="F749" s="14"/>
      <c r="G749" s="14"/>
      <c r="H749" s="14"/>
      <c r="I749" s="14"/>
      <c r="J749" s="15"/>
      <c r="K749" s="127"/>
    </row>
    <row r="750" spans="1:11">
      <c r="A750" s="14" t="str">
        <f>IF(B750="","",COUNTA($B$4:B750))</f>
        <v/>
      </c>
      <c r="B750" s="14"/>
      <c r="C750" s="14"/>
      <c r="D750" s="14"/>
      <c r="E750" s="14"/>
      <c r="F750" s="14"/>
      <c r="G750" s="14"/>
      <c r="H750" s="14"/>
      <c r="I750" s="14"/>
      <c r="J750" s="15"/>
      <c r="K750" s="127"/>
    </row>
    <row r="751" spans="1:11">
      <c r="A751" s="14" t="str">
        <f>IF(B751="","",COUNTA($B$4:B751))</f>
        <v/>
      </c>
      <c r="B751" s="14"/>
      <c r="C751" s="14"/>
      <c r="D751" s="14"/>
      <c r="E751" s="14"/>
      <c r="F751" s="14"/>
      <c r="G751" s="14"/>
      <c r="H751" s="14"/>
      <c r="I751" s="14"/>
      <c r="J751" s="15"/>
      <c r="K751" s="127"/>
    </row>
    <row r="752" spans="1:11">
      <c r="A752" s="14" t="str">
        <f>IF(B752="","",COUNTA($B$4:B752))</f>
        <v/>
      </c>
      <c r="B752" s="14"/>
      <c r="C752" s="14"/>
      <c r="D752" s="14"/>
      <c r="E752" s="14"/>
      <c r="F752" s="14"/>
      <c r="G752" s="14"/>
      <c r="H752" s="14"/>
      <c r="I752" s="14"/>
      <c r="J752" s="15"/>
      <c r="K752" s="127"/>
    </row>
    <row r="753" spans="1:11">
      <c r="A753" s="14" t="str">
        <f>IF(B753="","",COUNTA($B$4:B753))</f>
        <v/>
      </c>
      <c r="B753" s="14"/>
      <c r="C753" s="14"/>
      <c r="D753" s="14"/>
      <c r="E753" s="14"/>
      <c r="F753" s="14"/>
      <c r="G753" s="14"/>
      <c r="H753" s="14"/>
      <c r="I753" s="14"/>
      <c r="J753" s="15"/>
      <c r="K753" s="127"/>
    </row>
    <row r="754" spans="1:11">
      <c r="A754" s="14" t="str">
        <f>IF(B754="","",COUNTA($B$4:B754))</f>
        <v/>
      </c>
      <c r="B754" s="14"/>
      <c r="C754" s="14"/>
      <c r="D754" s="14"/>
      <c r="E754" s="14"/>
      <c r="F754" s="14"/>
      <c r="G754" s="14"/>
      <c r="H754" s="14"/>
      <c r="I754" s="14"/>
      <c r="J754" s="15"/>
      <c r="K754" s="127"/>
    </row>
    <row r="755" spans="1:11">
      <c r="A755" s="14" t="str">
        <f>IF(B755="","",COUNTA($B$4:B755))</f>
        <v/>
      </c>
      <c r="B755" s="14"/>
      <c r="C755" s="14"/>
      <c r="D755" s="14"/>
      <c r="E755" s="14"/>
      <c r="F755" s="14"/>
      <c r="G755" s="14"/>
      <c r="H755" s="14"/>
      <c r="I755" s="14"/>
      <c r="J755" s="15"/>
      <c r="K755" s="127"/>
    </row>
    <row r="756" spans="1:11">
      <c r="A756" s="14" t="str">
        <f>IF(B756="","",COUNTA($B$4:B756))</f>
        <v/>
      </c>
      <c r="B756" s="14"/>
      <c r="C756" s="14"/>
      <c r="D756" s="14"/>
      <c r="E756" s="14"/>
      <c r="F756" s="14"/>
      <c r="G756" s="14"/>
      <c r="H756" s="14"/>
      <c r="I756" s="14"/>
      <c r="J756" s="15"/>
      <c r="K756" s="127"/>
    </row>
    <row r="757" spans="1:11">
      <c r="A757" s="14" t="str">
        <f>IF(B757="","",COUNTA($B$4:B757))</f>
        <v/>
      </c>
      <c r="B757" s="14"/>
      <c r="C757" s="14"/>
      <c r="D757" s="14"/>
      <c r="E757" s="14"/>
      <c r="F757" s="14"/>
      <c r="G757" s="14"/>
      <c r="H757" s="14"/>
      <c r="I757" s="14"/>
      <c r="J757" s="15"/>
      <c r="K757" s="127"/>
    </row>
    <row r="758" spans="1:11">
      <c r="A758" s="14" t="str">
        <f>IF(B758="","",COUNTA($B$4:B758))</f>
        <v/>
      </c>
      <c r="B758" s="14"/>
      <c r="C758" s="14"/>
      <c r="D758" s="14"/>
      <c r="E758" s="14"/>
      <c r="F758" s="14"/>
      <c r="G758" s="14"/>
      <c r="H758" s="14"/>
      <c r="I758" s="14"/>
      <c r="J758" s="15"/>
      <c r="K758" s="127"/>
    </row>
    <row r="759" spans="1:11">
      <c r="A759" s="14" t="str">
        <f>IF(B759="","",COUNTA($B$4:B759))</f>
        <v/>
      </c>
      <c r="B759" s="14"/>
      <c r="C759" s="14"/>
      <c r="D759" s="14"/>
      <c r="E759" s="14"/>
      <c r="F759" s="14"/>
      <c r="G759" s="14"/>
      <c r="H759" s="14"/>
      <c r="I759" s="14"/>
      <c r="J759" s="15"/>
      <c r="K759" s="127"/>
    </row>
    <row r="760" spans="1:11">
      <c r="A760" s="14" t="str">
        <f>IF(B760="","",COUNTA($B$4:B760))</f>
        <v/>
      </c>
      <c r="B760" s="14"/>
      <c r="C760" s="14"/>
      <c r="D760" s="14"/>
      <c r="E760" s="14"/>
      <c r="F760" s="14"/>
      <c r="G760" s="14"/>
      <c r="H760" s="14"/>
      <c r="I760" s="14"/>
      <c r="J760" s="15"/>
      <c r="K760" s="127"/>
    </row>
    <row r="761" spans="1:11">
      <c r="A761" s="14" t="str">
        <f>IF(B761="","",COUNTA($B$4:B761))</f>
        <v/>
      </c>
      <c r="B761" s="14"/>
      <c r="C761" s="14"/>
      <c r="D761" s="14"/>
      <c r="E761" s="14"/>
      <c r="F761" s="14"/>
      <c r="G761" s="14"/>
      <c r="H761" s="14"/>
      <c r="I761" s="14"/>
      <c r="J761" s="15"/>
      <c r="K761" s="127"/>
    </row>
    <row r="762" spans="1:11">
      <c r="A762" s="14" t="str">
        <f>IF(B762="","",COUNTA($B$4:B762))</f>
        <v/>
      </c>
      <c r="B762" s="14"/>
      <c r="C762" s="14"/>
      <c r="D762" s="14"/>
      <c r="E762" s="14"/>
      <c r="F762" s="14"/>
      <c r="G762" s="14"/>
      <c r="H762" s="14"/>
      <c r="I762" s="14"/>
      <c r="J762" s="15"/>
      <c r="K762" s="127"/>
    </row>
    <row r="763" spans="1:11">
      <c r="A763" s="14" t="str">
        <f>IF(B763="","",COUNTA($B$4:B763))</f>
        <v/>
      </c>
      <c r="B763" s="14"/>
      <c r="C763" s="14"/>
      <c r="D763" s="14"/>
      <c r="E763" s="14"/>
      <c r="F763" s="14"/>
      <c r="G763" s="14"/>
      <c r="H763" s="14"/>
      <c r="I763" s="14"/>
      <c r="J763" s="15"/>
      <c r="K763" s="127"/>
    </row>
    <row r="764" spans="1:11">
      <c r="A764" s="14" t="str">
        <f>IF(B764="","",COUNTA($B$4:B764))</f>
        <v/>
      </c>
      <c r="B764" s="14"/>
      <c r="C764" s="14"/>
      <c r="D764" s="14"/>
      <c r="E764" s="14"/>
      <c r="F764" s="14"/>
      <c r="G764" s="14"/>
      <c r="H764" s="14"/>
      <c r="I764" s="14"/>
      <c r="J764" s="15"/>
      <c r="K764" s="127"/>
    </row>
    <row r="765" spans="1:11">
      <c r="A765" s="14" t="str">
        <f>IF(B765="","",COUNTA($B$4:B765))</f>
        <v/>
      </c>
      <c r="B765" s="14"/>
      <c r="C765" s="14"/>
      <c r="D765" s="14"/>
      <c r="E765" s="14"/>
      <c r="F765" s="14"/>
      <c r="G765" s="14"/>
      <c r="H765" s="14"/>
      <c r="I765" s="14"/>
      <c r="J765" s="15"/>
      <c r="K765" s="127"/>
    </row>
    <row r="766" spans="1:11">
      <c r="A766" s="14" t="str">
        <f>IF(B766="","",COUNTA($B$4:B766))</f>
        <v/>
      </c>
      <c r="B766" s="14"/>
      <c r="C766" s="14"/>
      <c r="D766" s="14"/>
      <c r="E766" s="14"/>
      <c r="F766" s="14"/>
      <c r="G766" s="14"/>
      <c r="H766" s="14"/>
      <c r="I766" s="14"/>
      <c r="J766" s="15"/>
      <c r="K766" s="127"/>
    </row>
    <row r="767" spans="1:11">
      <c r="A767" s="14" t="str">
        <f>IF(B767="","",COUNTA($B$4:B767))</f>
        <v/>
      </c>
      <c r="B767" s="14"/>
      <c r="C767" s="14"/>
      <c r="D767" s="14"/>
      <c r="E767" s="14"/>
      <c r="F767" s="14"/>
      <c r="G767" s="14"/>
      <c r="H767" s="14"/>
      <c r="I767" s="14"/>
      <c r="J767" s="15"/>
      <c r="K767" s="127"/>
    </row>
    <row r="768" spans="1:11">
      <c r="A768" s="14" t="str">
        <f>IF(B768="","",COUNTA($B$4:B768))</f>
        <v/>
      </c>
      <c r="B768" s="14"/>
      <c r="C768" s="14"/>
      <c r="D768" s="14"/>
      <c r="E768" s="14"/>
      <c r="F768" s="14"/>
      <c r="G768" s="14"/>
      <c r="H768" s="14"/>
      <c r="I768" s="14"/>
      <c r="J768" s="15"/>
      <c r="K768" s="127"/>
    </row>
    <row r="769" spans="1:11">
      <c r="A769" s="14" t="str">
        <f>IF(B769="","",COUNTA($B$4:B769))</f>
        <v/>
      </c>
      <c r="B769" s="14"/>
      <c r="C769" s="14"/>
      <c r="D769" s="14"/>
      <c r="E769" s="14"/>
      <c r="F769" s="14"/>
      <c r="G769" s="14"/>
      <c r="H769" s="14"/>
      <c r="I769" s="14"/>
      <c r="J769" s="15"/>
      <c r="K769" s="127"/>
    </row>
    <row r="770" spans="1:11">
      <c r="A770" s="14" t="str">
        <f>IF(B770="","",COUNTA($B$4:B770))</f>
        <v/>
      </c>
      <c r="B770" s="14"/>
      <c r="C770" s="14"/>
      <c r="D770" s="14"/>
      <c r="E770" s="14"/>
      <c r="F770" s="14"/>
      <c r="G770" s="14"/>
      <c r="H770" s="14"/>
      <c r="I770" s="14"/>
      <c r="J770" s="15"/>
      <c r="K770" s="127"/>
    </row>
    <row r="771" spans="1:11">
      <c r="A771" s="14" t="str">
        <f>IF(B771="","",COUNTA($B$4:B771))</f>
        <v/>
      </c>
      <c r="B771" s="14"/>
      <c r="C771" s="14"/>
      <c r="D771" s="14"/>
      <c r="E771" s="14"/>
      <c r="F771" s="14"/>
      <c r="G771" s="14"/>
      <c r="H771" s="14"/>
      <c r="I771" s="14"/>
      <c r="J771" s="15"/>
      <c r="K771" s="127"/>
    </row>
    <row r="772" spans="1:11">
      <c r="A772" s="14" t="str">
        <f>IF(B772="","",COUNTA($B$4:B772))</f>
        <v/>
      </c>
      <c r="B772" s="14"/>
      <c r="C772" s="14"/>
      <c r="D772" s="14"/>
      <c r="E772" s="14"/>
      <c r="F772" s="14"/>
      <c r="G772" s="14"/>
      <c r="H772" s="14"/>
      <c r="I772" s="14"/>
      <c r="J772" s="15"/>
      <c r="K772" s="127"/>
    </row>
    <row r="773" spans="1:11">
      <c r="A773" s="14" t="str">
        <f>IF(B773="","",COUNTA($B$4:B773))</f>
        <v/>
      </c>
      <c r="B773" s="14"/>
      <c r="C773" s="14"/>
      <c r="D773" s="14"/>
      <c r="E773" s="14"/>
      <c r="F773" s="14"/>
      <c r="G773" s="14"/>
      <c r="H773" s="14"/>
      <c r="I773" s="14"/>
      <c r="J773" s="15"/>
      <c r="K773" s="127"/>
    </row>
    <row r="774" spans="1:11">
      <c r="A774" s="14" t="str">
        <f>IF(B774="","",COUNTA($B$4:B774))</f>
        <v/>
      </c>
      <c r="B774" s="14"/>
      <c r="C774" s="14"/>
      <c r="D774" s="14"/>
      <c r="E774" s="14"/>
      <c r="F774" s="14"/>
      <c r="G774" s="14"/>
      <c r="H774" s="14"/>
      <c r="I774" s="14"/>
      <c r="J774" s="15"/>
      <c r="K774" s="127"/>
    </row>
    <row r="775" spans="1:11">
      <c r="A775" s="14" t="str">
        <f>IF(B775="","",COUNTA($B$4:B775))</f>
        <v/>
      </c>
      <c r="B775" s="14"/>
      <c r="C775" s="14"/>
      <c r="D775" s="14"/>
      <c r="E775" s="14"/>
      <c r="F775" s="14"/>
      <c r="G775" s="14"/>
      <c r="H775" s="14"/>
      <c r="I775" s="14"/>
      <c r="J775" s="15"/>
      <c r="K775" s="127"/>
    </row>
    <row r="776" spans="1:11">
      <c r="A776" s="14" t="str">
        <f>IF(B776="","",COUNTA($B$4:B776))</f>
        <v/>
      </c>
      <c r="B776" s="14"/>
      <c r="C776" s="14"/>
      <c r="D776" s="14"/>
      <c r="E776" s="14"/>
      <c r="F776" s="14"/>
      <c r="G776" s="14"/>
      <c r="H776" s="14"/>
      <c r="I776" s="14"/>
      <c r="J776" s="15"/>
      <c r="K776" s="127"/>
    </row>
    <row r="777" spans="1:11">
      <c r="A777" s="14" t="str">
        <f>IF(B777="","",COUNTA($B$4:B777))</f>
        <v/>
      </c>
      <c r="B777" s="14"/>
      <c r="C777" s="14"/>
      <c r="D777" s="14"/>
      <c r="E777" s="14"/>
      <c r="F777" s="14"/>
      <c r="G777" s="14"/>
      <c r="H777" s="14"/>
      <c r="I777" s="14"/>
      <c r="J777" s="15"/>
      <c r="K777" s="127"/>
    </row>
    <row r="778" spans="1:11">
      <c r="A778" s="14" t="str">
        <f>IF(B778="","",COUNTA($B$4:B778))</f>
        <v/>
      </c>
      <c r="B778" s="14"/>
      <c r="C778" s="14"/>
      <c r="D778" s="14"/>
      <c r="E778" s="14"/>
      <c r="F778" s="14"/>
      <c r="G778" s="14"/>
      <c r="H778" s="14"/>
      <c r="I778" s="14"/>
      <c r="J778" s="15"/>
      <c r="K778" s="127"/>
    </row>
    <row r="779" spans="1:11">
      <c r="A779" s="14" t="str">
        <f>IF(B779="","",COUNTA($B$4:B779))</f>
        <v/>
      </c>
      <c r="B779" s="14"/>
      <c r="C779" s="14"/>
      <c r="D779" s="14"/>
      <c r="E779" s="14"/>
      <c r="F779" s="14"/>
      <c r="G779" s="14"/>
      <c r="H779" s="14"/>
      <c r="I779" s="14"/>
      <c r="J779" s="15"/>
      <c r="K779" s="127"/>
    </row>
    <row r="780" spans="1:11">
      <c r="A780" s="14" t="str">
        <f>IF(B780="","",COUNTA($B$4:B780))</f>
        <v/>
      </c>
      <c r="B780" s="14"/>
      <c r="C780" s="14"/>
      <c r="D780" s="14"/>
      <c r="E780" s="14"/>
      <c r="F780" s="14"/>
      <c r="G780" s="14"/>
      <c r="H780" s="14"/>
      <c r="I780" s="14"/>
      <c r="J780" s="15"/>
      <c r="K780" s="127"/>
    </row>
    <row r="781" spans="1:11">
      <c r="A781" s="14" t="str">
        <f>IF(B781="","",COUNTA($B$4:B781))</f>
        <v/>
      </c>
      <c r="B781" s="14"/>
      <c r="C781" s="14"/>
      <c r="D781" s="14"/>
      <c r="E781" s="14"/>
      <c r="F781" s="14"/>
      <c r="G781" s="14"/>
      <c r="H781" s="14"/>
      <c r="I781" s="14"/>
      <c r="J781" s="15"/>
      <c r="K781" s="127"/>
    </row>
    <row r="782" spans="1:11">
      <c r="A782" s="14" t="str">
        <f>IF(B782="","",COUNTA($B$4:B782))</f>
        <v/>
      </c>
      <c r="B782" s="14"/>
      <c r="C782" s="14"/>
      <c r="D782" s="14"/>
      <c r="E782" s="14"/>
      <c r="F782" s="14"/>
      <c r="G782" s="14"/>
      <c r="H782" s="14"/>
      <c r="I782" s="14"/>
      <c r="J782" s="15"/>
      <c r="K782" s="127"/>
    </row>
    <row r="783" spans="1:11">
      <c r="A783" s="14" t="str">
        <f>IF(B783="","",COUNTA($B$4:B783))</f>
        <v/>
      </c>
      <c r="B783" s="14"/>
      <c r="C783" s="14"/>
      <c r="D783" s="14"/>
      <c r="E783" s="14"/>
      <c r="F783" s="14"/>
      <c r="G783" s="14"/>
      <c r="H783" s="14"/>
      <c r="I783" s="14"/>
      <c r="J783" s="15"/>
      <c r="K783" s="127"/>
    </row>
    <row r="784" spans="1:11">
      <c r="A784" s="14" t="str">
        <f>IF(B784="","",COUNTA($B$4:B784))</f>
        <v/>
      </c>
      <c r="B784" s="14"/>
      <c r="C784" s="14"/>
      <c r="D784" s="14"/>
      <c r="E784" s="14"/>
      <c r="F784" s="14"/>
      <c r="G784" s="14"/>
      <c r="H784" s="14"/>
      <c r="I784" s="14"/>
      <c r="J784" s="15"/>
      <c r="K784" s="127"/>
    </row>
    <row r="785" spans="1:11">
      <c r="A785" s="14" t="str">
        <f>IF(B785="","",COUNTA($B$4:B785))</f>
        <v/>
      </c>
      <c r="B785" s="14"/>
      <c r="C785" s="14"/>
      <c r="D785" s="14"/>
      <c r="E785" s="14"/>
      <c r="F785" s="14"/>
      <c r="G785" s="14"/>
      <c r="H785" s="14"/>
      <c r="I785" s="14"/>
      <c r="J785" s="15"/>
      <c r="K785" s="127"/>
    </row>
    <row r="786" spans="1:11">
      <c r="A786" s="14" t="str">
        <f>IF(B786="","",COUNTA($B$4:B786))</f>
        <v/>
      </c>
      <c r="B786" s="14"/>
      <c r="C786" s="14"/>
      <c r="D786" s="14"/>
      <c r="E786" s="14"/>
      <c r="F786" s="14"/>
      <c r="G786" s="14"/>
      <c r="H786" s="14"/>
      <c r="I786" s="14"/>
      <c r="J786" s="15"/>
      <c r="K786" s="127"/>
    </row>
    <row r="787" spans="1:11">
      <c r="A787" s="14" t="str">
        <f>IF(B787="","",COUNTA($B$4:B787))</f>
        <v/>
      </c>
      <c r="B787" s="14"/>
      <c r="C787" s="14"/>
      <c r="D787" s="14"/>
      <c r="E787" s="14"/>
      <c r="F787" s="14"/>
      <c r="G787" s="14"/>
      <c r="H787" s="14"/>
      <c r="I787" s="14"/>
      <c r="J787" s="15"/>
      <c r="K787" s="127"/>
    </row>
    <row r="788" spans="1:11">
      <c r="A788" s="14" t="str">
        <f>IF(B788="","",COUNTA($B$4:B788))</f>
        <v/>
      </c>
      <c r="B788" s="14"/>
      <c r="C788" s="14"/>
      <c r="D788" s="14"/>
      <c r="E788" s="14"/>
      <c r="F788" s="14"/>
      <c r="G788" s="14"/>
      <c r="H788" s="14"/>
      <c r="I788" s="14"/>
      <c r="J788" s="15"/>
      <c r="K788" s="127"/>
    </row>
    <row r="789" spans="1:11">
      <c r="A789" s="14" t="str">
        <f>IF(B789="","",COUNTA($B$4:B789))</f>
        <v/>
      </c>
      <c r="B789" s="14"/>
      <c r="C789" s="14"/>
      <c r="D789" s="14"/>
      <c r="E789" s="14"/>
      <c r="F789" s="14"/>
      <c r="G789" s="14"/>
      <c r="H789" s="14"/>
      <c r="I789" s="14"/>
      <c r="J789" s="15"/>
      <c r="K789" s="127"/>
    </row>
    <row r="790" spans="1:11">
      <c r="A790" s="14" t="str">
        <f>IF(B790="","",COUNTA($B$4:B790))</f>
        <v/>
      </c>
      <c r="B790" s="14"/>
      <c r="C790" s="14"/>
      <c r="D790" s="14"/>
      <c r="E790" s="14"/>
      <c r="F790" s="14"/>
      <c r="G790" s="14"/>
      <c r="H790" s="14"/>
      <c r="I790" s="14"/>
      <c r="J790" s="15"/>
      <c r="K790" s="127"/>
    </row>
    <row r="791" spans="1:11">
      <c r="A791" s="14" t="str">
        <f>IF(B791="","",COUNTA($B$4:B791))</f>
        <v/>
      </c>
      <c r="B791" s="14"/>
      <c r="C791" s="14"/>
      <c r="D791" s="14"/>
      <c r="E791" s="14"/>
      <c r="F791" s="14"/>
      <c r="G791" s="14"/>
      <c r="H791" s="14"/>
      <c r="I791" s="14"/>
      <c r="J791" s="15"/>
      <c r="K791" s="127"/>
    </row>
    <row r="792" spans="1:11">
      <c r="A792" s="14" t="str">
        <f>IF(B792="","",COUNTA($B$4:B792))</f>
        <v/>
      </c>
      <c r="B792" s="14"/>
      <c r="C792" s="14"/>
      <c r="D792" s="14"/>
      <c r="E792" s="14"/>
      <c r="F792" s="14"/>
      <c r="G792" s="14"/>
      <c r="H792" s="14"/>
      <c r="I792" s="14"/>
      <c r="J792" s="15"/>
      <c r="K792" s="127"/>
    </row>
    <row r="793" spans="1:11">
      <c r="A793" s="14" t="str">
        <f>IF(B793="","",COUNTA($B$4:B793))</f>
        <v/>
      </c>
      <c r="B793" s="14"/>
      <c r="C793" s="14"/>
      <c r="D793" s="14"/>
      <c r="E793" s="14"/>
      <c r="F793" s="14"/>
      <c r="G793" s="14"/>
      <c r="H793" s="14"/>
      <c r="I793" s="14"/>
      <c r="J793" s="15"/>
      <c r="K793" s="127"/>
    </row>
    <row r="794" spans="1:11">
      <c r="A794" s="14" t="str">
        <f>IF(B794="","",COUNTA($B$4:B794))</f>
        <v/>
      </c>
      <c r="B794" s="14"/>
      <c r="C794" s="14"/>
      <c r="D794" s="14"/>
      <c r="E794" s="14"/>
      <c r="F794" s="14"/>
      <c r="G794" s="14"/>
      <c r="H794" s="14"/>
      <c r="I794" s="14"/>
      <c r="J794" s="15"/>
      <c r="K794" s="127"/>
    </row>
    <row r="795" spans="1:11">
      <c r="A795" s="14" t="str">
        <f>IF(B795="","",COUNTA($B$4:B795))</f>
        <v/>
      </c>
      <c r="B795" s="14"/>
      <c r="C795" s="14"/>
      <c r="D795" s="14"/>
      <c r="E795" s="14"/>
      <c r="F795" s="14"/>
      <c r="G795" s="14"/>
      <c r="H795" s="14"/>
      <c r="I795" s="14"/>
      <c r="J795" s="15"/>
      <c r="K795" s="127"/>
    </row>
    <row r="796" spans="1:11">
      <c r="A796" s="14" t="str">
        <f>IF(B796="","",COUNTA($B$4:B796))</f>
        <v/>
      </c>
      <c r="B796" s="14"/>
      <c r="C796" s="14"/>
      <c r="D796" s="14"/>
      <c r="E796" s="14"/>
      <c r="F796" s="14"/>
      <c r="G796" s="14"/>
      <c r="H796" s="14"/>
      <c r="I796" s="14"/>
      <c r="J796" s="15"/>
      <c r="K796" s="127"/>
    </row>
    <row r="797" spans="1:11">
      <c r="A797" s="14" t="str">
        <f>IF(B797="","",COUNTA($B$4:B797))</f>
        <v/>
      </c>
      <c r="B797" s="14"/>
      <c r="C797" s="14"/>
      <c r="D797" s="14"/>
      <c r="E797" s="14"/>
      <c r="F797" s="14"/>
      <c r="G797" s="14"/>
      <c r="H797" s="14"/>
      <c r="I797" s="14"/>
      <c r="J797" s="15"/>
      <c r="K797" s="127"/>
    </row>
    <row r="798" spans="1:11">
      <c r="A798" s="14" t="str">
        <f>IF(B798="","",COUNTA($B$4:B798))</f>
        <v/>
      </c>
      <c r="B798" s="14"/>
      <c r="C798" s="14"/>
      <c r="D798" s="14"/>
      <c r="E798" s="14"/>
      <c r="F798" s="14"/>
      <c r="G798" s="14"/>
      <c r="H798" s="14"/>
      <c r="I798" s="14"/>
      <c r="J798" s="15"/>
      <c r="K798" s="127"/>
    </row>
    <row r="799" spans="1:11">
      <c r="A799" s="14" t="str">
        <f>IF(B799="","",COUNTA($B$4:B799))</f>
        <v/>
      </c>
      <c r="B799" s="14"/>
      <c r="C799" s="14"/>
      <c r="D799" s="14"/>
      <c r="E799" s="14"/>
      <c r="F799" s="14"/>
      <c r="G799" s="14"/>
      <c r="H799" s="14"/>
      <c r="I799" s="14"/>
      <c r="J799" s="15"/>
      <c r="K799" s="127"/>
    </row>
    <row r="800" spans="1:11">
      <c r="A800" s="14" t="str">
        <f>IF(B800="","",COUNTA($B$4:B800))</f>
        <v/>
      </c>
      <c r="B800" s="14"/>
      <c r="C800" s="14"/>
      <c r="D800" s="14"/>
      <c r="E800" s="14"/>
      <c r="F800" s="14"/>
      <c r="G800" s="14"/>
      <c r="H800" s="14"/>
      <c r="I800" s="14"/>
      <c r="J800" s="15"/>
      <c r="K800" s="127"/>
    </row>
    <row r="801" spans="1:11">
      <c r="A801" s="14" t="str">
        <f>IF(B801="","",COUNTA($B$4:B801))</f>
        <v/>
      </c>
      <c r="B801" s="14"/>
      <c r="C801" s="14"/>
      <c r="D801" s="14"/>
      <c r="E801" s="14"/>
      <c r="F801" s="14"/>
      <c r="G801" s="14"/>
      <c r="H801" s="14"/>
      <c r="I801" s="14"/>
      <c r="J801" s="15"/>
      <c r="K801" s="127"/>
    </row>
    <row r="802" spans="1:11">
      <c r="A802" s="14" t="str">
        <f>IF(B802="","",COUNTA($B$4:B802))</f>
        <v/>
      </c>
      <c r="B802" s="14"/>
      <c r="C802" s="14"/>
      <c r="D802" s="14"/>
      <c r="E802" s="14"/>
      <c r="F802" s="14"/>
      <c r="G802" s="14"/>
      <c r="H802" s="14"/>
      <c r="I802" s="14"/>
      <c r="J802" s="15"/>
      <c r="K802" s="127"/>
    </row>
    <row r="803" spans="1:11">
      <c r="A803" s="14" t="str">
        <f>IF(B803="","",COUNTA($B$4:B803))</f>
        <v/>
      </c>
      <c r="B803" s="14"/>
      <c r="C803" s="14"/>
      <c r="D803" s="14"/>
      <c r="E803" s="14"/>
      <c r="F803" s="14"/>
      <c r="G803" s="14"/>
      <c r="H803" s="14"/>
      <c r="I803" s="14"/>
      <c r="J803" s="15"/>
      <c r="K803" s="127"/>
    </row>
    <row r="804" spans="1:11">
      <c r="A804" s="14" t="str">
        <f>IF(B804="","",COUNTA($B$4:B804))</f>
        <v/>
      </c>
      <c r="B804" s="14"/>
      <c r="C804" s="14"/>
      <c r="D804" s="14"/>
      <c r="E804" s="14"/>
      <c r="F804" s="14"/>
      <c r="G804" s="14"/>
      <c r="H804" s="14"/>
      <c r="I804" s="14"/>
      <c r="J804" s="15"/>
      <c r="K804" s="127"/>
    </row>
    <row r="805" spans="1:11">
      <c r="A805" s="14" t="str">
        <f>IF(B805="","",COUNTA($B$4:B805))</f>
        <v/>
      </c>
      <c r="B805" s="14"/>
      <c r="C805" s="14"/>
      <c r="D805" s="14"/>
      <c r="E805" s="14"/>
      <c r="F805" s="14"/>
      <c r="G805" s="14"/>
      <c r="H805" s="14"/>
      <c r="I805" s="14"/>
      <c r="J805" s="15"/>
      <c r="K805" s="127"/>
    </row>
    <row r="806" spans="1:11">
      <c r="A806" s="14" t="str">
        <f>IF(B806="","",COUNTA($B$4:B806))</f>
        <v/>
      </c>
      <c r="B806" s="14"/>
      <c r="C806" s="14"/>
      <c r="D806" s="14"/>
      <c r="E806" s="14"/>
      <c r="F806" s="14"/>
      <c r="G806" s="14"/>
      <c r="H806" s="14"/>
      <c r="I806" s="14"/>
      <c r="J806" s="15"/>
      <c r="K806" s="127"/>
    </row>
    <row r="807" spans="1:11">
      <c r="A807" s="14" t="str">
        <f>IF(B807="","",COUNTA($B$4:B807))</f>
        <v/>
      </c>
      <c r="B807" s="14"/>
      <c r="C807" s="14"/>
      <c r="D807" s="14"/>
      <c r="E807" s="14"/>
      <c r="F807" s="14"/>
      <c r="G807" s="14"/>
      <c r="H807" s="14"/>
      <c r="I807" s="14"/>
      <c r="J807" s="15"/>
      <c r="K807" s="127"/>
    </row>
    <row r="808" spans="1:11">
      <c r="A808" s="14" t="str">
        <f>IF(B808="","",COUNTA($B$4:B808))</f>
        <v/>
      </c>
      <c r="B808" s="14"/>
      <c r="C808" s="14"/>
      <c r="D808" s="14"/>
      <c r="E808" s="14"/>
      <c r="F808" s="14"/>
      <c r="G808" s="14"/>
      <c r="H808" s="14"/>
      <c r="I808" s="14"/>
      <c r="J808" s="15"/>
      <c r="K808" s="127"/>
    </row>
    <row r="809" spans="1:11">
      <c r="A809" s="14" t="str">
        <f>IF(B809="","",COUNTA($B$4:B809))</f>
        <v/>
      </c>
      <c r="B809" s="14"/>
      <c r="C809" s="14"/>
      <c r="D809" s="14"/>
      <c r="E809" s="14"/>
      <c r="F809" s="14"/>
      <c r="G809" s="14"/>
      <c r="H809" s="14"/>
      <c r="I809" s="14"/>
      <c r="J809" s="15"/>
      <c r="K809" s="127"/>
    </row>
    <row r="810" spans="1:11">
      <c r="A810" s="14" t="str">
        <f>IF(B810="","",COUNTA($B$4:B810))</f>
        <v/>
      </c>
      <c r="B810" s="14"/>
      <c r="C810" s="14"/>
      <c r="D810" s="14"/>
      <c r="E810" s="14"/>
      <c r="F810" s="14"/>
      <c r="G810" s="14"/>
      <c r="H810" s="14"/>
      <c r="I810" s="14"/>
      <c r="J810" s="15"/>
      <c r="K810" s="127"/>
    </row>
    <row r="811" spans="1:11">
      <c r="A811" s="14" t="str">
        <f>IF(B811="","",COUNTA($B$4:B811))</f>
        <v/>
      </c>
      <c r="B811" s="14"/>
      <c r="C811" s="14"/>
      <c r="D811" s="14"/>
      <c r="E811" s="14"/>
      <c r="F811" s="14"/>
      <c r="G811" s="14"/>
      <c r="H811" s="14"/>
      <c r="I811" s="14"/>
      <c r="J811" s="15"/>
      <c r="K811" s="127"/>
    </row>
    <row r="812" spans="1:11">
      <c r="A812" s="14" t="str">
        <f>IF(B812="","",COUNTA($B$4:B812))</f>
        <v/>
      </c>
      <c r="B812" s="14"/>
      <c r="C812" s="14"/>
      <c r="D812" s="14"/>
      <c r="E812" s="14"/>
      <c r="F812" s="14"/>
      <c r="G812" s="14"/>
      <c r="H812" s="14"/>
      <c r="I812" s="14"/>
      <c r="J812" s="15"/>
      <c r="K812" s="127"/>
    </row>
    <row r="813" spans="1:11">
      <c r="A813" s="14" t="str">
        <f>IF(B813="","",COUNTA($B$4:B813))</f>
        <v/>
      </c>
      <c r="B813" s="14"/>
      <c r="C813" s="14"/>
      <c r="D813" s="14"/>
      <c r="E813" s="14"/>
      <c r="F813" s="14"/>
      <c r="G813" s="14"/>
      <c r="H813" s="14"/>
      <c r="I813" s="14"/>
      <c r="J813" s="15"/>
      <c r="K813" s="127"/>
    </row>
  </sheetData>
  <autoFilter ref="A3:K813">
    <sortState ref="A4:K813">
      <sortCondition ref="C4:C813"/>
    </sortState>
  </autoFilter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503"/>
  <sheetViews>
    <sheetView zoomScale="130" zoomScaleNormal="130" workbookViewId="0">
      <selection activeCell="B302" sqref="B302"/>
    </sheetView>
  </sheetViews>
  <sheetFormatPr defaultColWidth="8.7265625" defaultRowHeight="18"/>
  <cols>
    <col min="1" max="1" width="27.90625" style="85" customWidth="1"/>
    <col min="2" max="2" width="25.453125" style="85" bestFit="1" customWidth="1"/>
    <col min="3" max="3" width="9.7265625" customWidth="1"/>
    <col min="4" max="16384" width="8.7265625" style="85"/>
  </cols>
  <sheetData>
    <row r="1" spans="1:5">
      <c r="A1" s="86" t="s">
        <v>456</v>
      </c>
      <c r="B1" s="86" t="s">
        <v>457</v>
      </c>
      <c r="C1" s="93" t="s">
        <v>458</v>
      </c>
      <c r="D1" s="87"/>
      <c r="E1" s="91"/>
    </row>
    <row r="2" spans="1:5">
      <c r="A2" s="87" t="s">
        <v>459</v>
      </c>
      <c r="B2" s="87" t="s">
        <v>460</v>
      </c>
      <c r="C2" s="14"/>
      <c r="D2" s="87">
        <f t="shared" ref="D2:D65" si="0">IF(B2&lt;&gt;C2,1,0)</f>
        <v>1</v>
      </c>
      <c r="E2" s="91"/>
    </row>
    <row r="3" spans="1:5">
      <c r="A3" s="87" t="s">
        <v>461</v>
      </c>
      <c r="B3" s="87" t="s">
        <v>462</v>
      </c>
      <c r="C3" s="14"/>
      <c r="D3" s="87">
        <f t="shared" si="0"/>
        <v>1</v>
      </c>
      <c r="E3" s="91"/>
    </row>
    <row r="4" spans="1:5">
      <c r="A4" s="87" t="s">
        <v>463</v>
      </c>
      <c r="B4" s="87" t="s">
        <v>464</v>
      </c>
      <c r="C4" s="14"/>
      <c r="D4" s="87">
        <f t="shared" si="0"/>
        <v>1</v>
      </c>
      <c r="E4" s="91"/>
    </row>
    <row r="5" spans="1:5">
      <c r="A5" s="87" t="s">
        <v>420</v>
      </c>
      <c r="B5" s="87" t="s">
        <v>465</v>
      </c>
      <c r="C5" s="14"/>
      <c r="D5" s="87">
        <f t="shared" si="0"/>
        <v>1</v>
      </c>
      <c r="E5" s="91"/>
    </row>
    <row r="6" spans="1:5">
      <c r="A6" s="94" t="s">
        <v>466</v>
      </c>
      <c r="B6" s="88" t="s">
        <v>467</v>
      </c>
      <c r="C6" s="14" t="s">
        <v>468</v>
      </c>
      <c r="D6" s="87">
        <f t="shared" si="0"/>
        <v>1</v>
      </c>
      <c r="E6" s="91"/>
    </row>
    <row r="7" spans="1:5">
      <c r="A7" s="94" t="s">
        <v>469</v>
      </c>
      <c r="B7" s="95" t="s">
        <v>470</v>
      </c>
      <c r="C7" s="14" t="s">
        <v>468</v>
      </c>
      <c r="D7" s="87">
        <f t="shared" si="0"/>
        <v>1</v>
      </c>
      <c r="E7" s="91"/>
    </row>
    <row r="8" spans="1:5">
      <c r="A8" s="87" t="s">
        <v>471</v>
      </c>
      <c r="B8" s="95" t="s">
        <v>472</v>
      </c>
      <c r="C8" s="14"/>
      <c r="D8" s="87">
        <f t="shared" si="0"/>
        <v>1</v>
      </c>
      <c r="E8" s="91"/>
    </row>
    <row r="9" spans="1:5">
      <c r="A9" s="87" t="s">
        <v>473</v>
      </c>
      <c r="B9" s="87" t="s">
        <v>474</v>
      </c>
      <c r="C9" s="14"/>
      <c r="D9" s="87">
        <f t="shared" si="0"/>
        <v>1</v>
      </c>
      <c r="E9" s="91"/>
    </row>
    <row r="10" spans="1:5">
      <c r="A10" s="87" t="s">
        <v>475</v>
      </c>
      <c r="B10" s="87" t="s">
        <v>476</v>
      </c>
      <c r="C10" s="14"/>
      <c r="D10" s="87">
        <f t="shared" si="0"/>
        <v>1</v>
      </c>
      <c r="E10" s="91"/>
    </row>
    <row r="11" spans="1:5">
      <c r="A11" s="87" t="s">
        <v>477</v>
      </c>
      <c r="B11" s="88" t="s">
        <v>478</v>
      </c>
      <c r="C11" s="14"/>
      <c r="D11" s="87">
        <f t="shared" si="0"/>
        <v>1</v>
      </c>
      <c r="E11" s="91"/>
    </row>
    <row r="12" spans="1:5">
      <c r="A12" s="87" t="s">
        <v>479</v>
      </c>
      <c r="B12" s="87" t="s">
        <v>480</v>
      </c>
      <c r="C12" s="14"/>
      <c r="D12" s="87">
        <f t="shared" si="0"/>
        <v>1</v>
      </c>
      <c r="E12" s="91"/>
    </row>
    <row r="13" spans="1:5">
      <c r="A13" s="87" t="s">
        <v>481</v>
      </c>
      <c r="B13" s="88" t="s">
        <v>482</v>
      </c>
      <c r="C13" s="14"/>
      <c r="D13" s="87">
        <f t="shared" si="0"/>
        <v>1</v>
      </c>
      <c r="E13" s="91"/>
    </row>
    <row r="14" spans="1:5">
      <c r="A14" s="87" t="s">
        <v>483</v>
      </c>
      <c r="B14" s="87" t="s">
        <v>484</v>
      </c>
      <c r="C14" s="14"/>
      <c r="D14" s="87">
        <f t="shared" si="0"/>
        <v>1</v>
      </c>
      <c r="E14" s="91"/>
    </row>
    <row r="15" spans="1:5">
      <c r="A15" s="87" t="s">
        <v>485</v>
      </c>
      <c r="B15" s="87" t="s">
        <v>486</v>
      </c>
      <c r="C15" s="14"/>
      <c r="D15" s="87">
        <f t="shared" si="0"/>
        <v>1</v>
      </c>
      <c r="E15" s="91"/>
    </row>
    <row r="16" spans="1:5">
      <c r="A16" s="87" t="s">
        <v>487</v>
      </c>
      <c r="B16" s="87" t="s">
        <v>488</v>
      </c>
      <c r="C16" s="14"/>
      <c r="D16" s="87">
        <f t="shared" si="0"/>
        <v>1</v>
      </c>
      <c r="E16" s="91"/>
    </row>
    <row r="17" spans="1:5">
      <c r="A17" s="87" t="s">
        <v>489</v>
      </c>
      <c r="B17" s="87" t="s">
        <v>490</v>
      </c>
      <c r="C17" s="14"/>
      <c r="D17" s="87">
        <f t="shared" si="0"/>
        <v>1</v>
      </c>
      <c r="E17" s="91"/>
    </row>
    <row r="18" spans="1:5">
      <c r="A18" s="87" t="s">
        <v>491</v>
      </c>
      <c r="B18" s="87" t="s">
        <v>492</v>
      </c>
      <c r="C18" s="14"/>
      <c r="D18" s="87">
        <f t="shared" si="0"/>
        <v>1</v>
      </c>
      <c r="E18" s="91"/>
    </row>
    <row r="19" spans="1:5">
      <c r="A19" s="87" t="s">
        <v>493</v>
      </c>
      <c r="B19" s="87" t="s">
        <v>494</v>
      </c>
      <c r="C19" s="14"/>
      <c r="D19" s="87">
        <f t="shared" si="0"/>
        <v>1</v>
      </c>
      <c r="E19" s="91"/>
    </row>
    <row r="20" spans="1:5">
      <c r="A20" s="87" t="s">
        <v>495</v>
      </c>
      <c r="B20" s="87" t="s">
        <v>496</v>
      </c>
      <c r="C20" s="14"/>
      <c r="D20" s="87">
        <f t="shared" si="0"/>
        <v>1</v>
      </c>
      <c r="E20" s="91"/>
    </row>
    <row r="21" spans="1:5">
      <c r="A21" s="87" t="s">
        <v>497</v>
      </c>
      <c r="B21" s="87" t="s">
        <v>498</v>
      </c>
      <c r="C21" s="14"/>
      <c r="D21" s="87">
        <f t="shared" si="0"/>
        <v>1</v>
      </c>
      <c r="E21" s="91"/>
    </row>
    <row r="22" spans="1:5">
      <c r="A22" s="87" t="s">
        <v>499</v>
      </c>
      <c r="B22" s="87" t="s">
        <v>500</v>
      </c>
      <c r="C22" s="14"/>
      <c r="D22" s="87">
        <f t="shared" si="0"/>
        <v>1</v>
      </c>
      <c r="E22" s="91"/>
    </row>
    <row r="23" spans="1:5">
      <c r="A23" s="87" t="s">
        <v>501</v>
      </c>
      <c r="B23" s="87" t="s">
        <v>502</v>
      </c>
      <c r="C23" s="14"/>
      <c r="D23" s="87">
        <f t="shared" si="0"/>
        <v>1</v>
      </c>
      <c r="E23" s="91"/>
    </row>
    <row r="24" spans="1:5">
      <c r="A24" s="87" t="s">
        <v>503</v>
      </c>
      <c r="B24" s="87" t="s">
        <v>504</v>
      </c>
      <c r="C24" s="14"/>
      <c r="D24" s="87">
        <f t="shared" si="0"/>
        <v>1</v>
      </c>
      <c r="E24" s="91"/>
    </row>
    <row r="25" spans="1:5">
      <c r="A25" s="87" t="s">
        <v>505</v>
      </c>
      <c r="B25" s="88" t="s">
        <v>506</v>
      </c>
      <c r="C25" s="14"/>
      <c r="D25" s="87">
        <f t="shared" si="0"/>
        <v>1</v>
      </c>
      <c r="E25" s="91"/>
    </row>
    <row r="26" spans="1:5">
      <c r="A26" s="87" t="s">
        <v>507</v>
      </c>
      <c r="B26" s="87" t="s">
        <v>508</v>
      </c>
      <c r="C26" s="14"/>
      <c r="D26" s="87">
        <f t="shared" si="0"/>
        <v>1</v>
      </c>
      <c r="E26" s="91"/>
    </row>
    <row r="27" spans="1:5">
      <c r="A27" s="96" t="s">
        <v>509</v>
      </c>
      <c r="B27" s="96" t="s">
        <v>510</v>
      </c>
      <c r="C27" s="14" t="s">
        <v>468</v>
      </c>
      <c r="D27" s="87">
        <f t="shared" si="0"/>
        <v>1</v>
      </c>
      <c r="E27" s="91"/>
    </row>
    <row r="28" spans="1:5">
      <c r="A28" s="87" t="s">
        <v>511</v>
      </c>
      <c r="B28" s="87" t="s">
        <v>512</v>
      </c>
      <c r="C28" s="14"/>
      <c r="D28" s="87">
        <f t="shared" si="0"/>
        <v>1</v>
      </c>
      <c r="E28" s="91"/>
    </row>
    <row r="29" spans="1:5">
      <c r="A29" s="87" t="s">
        <v>513</v>
      </c>
      <c r="B29" s="87" t="s">
        <v>514</v>
      </c>
      <c r="C29" s="14"/>
      <c r="D29" s="87">
        <f t="shared" si="0"/>
        <v>1</v>
      </c>
      <c r="E29" s="91"/>
    </row>
    <row r="30" spans="1:5">
      <c r="A30" s="87" t="s">
        <v>515</v>
      </c>
      <c r="B30" s="87" t="s">
        <v>516</v>
      </c>
      <c r="C30" s="14"/>
      <c r="D30" s="87">
        <f t="shared" si="0"/>
        <v>1</v>
      </c>
      <c r="E30" s="91"/>
    </row>
    <row r="31" spans="1:5">
      <c r="A31" s="94" t="s">
        <v>517</v>
      </c>
      <c r="B31" s="88" t="s">
        <v>518</v>
      </c>
      <c r="C31" s="14" t="s">
        <v>468</v>
      </c>
      <c r="D31" s="87">
        <f t="shared" si="0"/>
        <v>1</v>
      </c>
      <c r="E31" s="91"/>
    </row>
    <row r="32" spans="1:5">
      <c r="A32" s="94" t="s">
        <v>519</v>
      </c>
      <c r="B32" s="88" t="s">
        <v>520</v>
      </c>
      <c r="C32" s="14" t="s">
        <v>468</v>
      </c>
      <c r="D32" s="87">
        <f t="shared" si="0"/>
        <v>1</v>
      </c>
      <c r="E32" s="91"/>
    </row>
    <row r="33" spans="1:5">
      <c r="A33" s="87" t="s">
        <v>521</v>
      </c>
      <c r="B33" s="95" t="s">
        <v>522</v>
      </c>
      <c r="C33" s="14"/>
      <c r="D33" s="87">
        <f t="shared" si="0"/>
        <v>1</v>
      </c>
      <c r="E33" s="91"/>
    </row>
    <row r="34" spans="1:5">
      <c r="A34" s="87" t="s">
        <v>523</v>
      </c>
      <c r="B34" s="88" t="s">
        <v>524</v>
      </c>
      <c r="C34" s="14"/>
      <c r="D34" s="87">
        <f t="shared" si="0"/>
        <v>1</v>
      </c>
      <c r="E34" s="91"/>
    </row>
    <row r="35" spans="1:5">
      <c r="A35" s="87" t="s">
        <v>525</v>
      </c>
      <c r="B35" s="88" t="s">
        <v>526</v>
      </c>
      <c r="C35" s="14"/>
      <c r="D35" s="87">
        <f t="shared" si="0"/>
        <v>1</v>
      </c>
      <c r="E35" s="91"/>
    </row>
    <row r="36" spans="1:5">
      <c r="A36" s="87" t="s">
        <v>527</v>
      </c>
      <c r="B36" s="87" t="s">
        <v>528</v>
      </c>
      <c r="C36" s="14"/>
      <c r="D36" s="87">
        <f t="shared" si="0"/>
        <v>1</v>
      </c>
      <c r="E36" s="91"/>
    </row>
    <row r="37" spans="1:5">
      <c r="A37" s="87" t="s">
        <v>529</v>
      </c>
      <c r="B37" s="87" t="s">
        <v>530</v>
      </c>
      <c r="C37" s="14"/>
      <c r="D37" s="87">
        <f t="shared" si="0"/>
        <v>1</v>
      </c>
      <c r="E37" s="91"/>
    </row>
    <row r="38" spans="1:5">
      <c r="A38" s="87" t="s">
        <v>342</v>
      </c>
      <c r="B38" s="87" t="s">
        <v>531</v>
      </c>
      <c r="C38" s="14"/>
      <c r="D38" s="87">
        <f t="shared" si="0"/>
        <v>1</v>
      </c>
      <c r="E38" s="91"/>
    </row>
    <row r="39" spans="1:5">
      <c r="A39" s="87" t="s">
        <v>532</v>
      </c>
      <c r="B39" s="87" t="s">
        <v>533</v>
      </c>
      <c r="C39" s="14"/>
      <c r="D39" s="87">
        <f t="shared" si="0"/>
        <v>1</v>
      </c>
      <c r="E39" s="91"/>
    </row>
    <row r="40" spans="1:5">
      <c r="A40" s="87" t="s">
        <v>534</v>
      </c>
      <c r="B40" s="87" t="s">
        <v>535</v>
      </c>
      <c r="C40" s="14"/>
      <c r="D40" s="87">
        <f t="shared" si="0"/>
        <v>1</v>
      </c>
      <c r="E40" s="91"/>
    </row>
    <row r="41" spans="1:5">
      <c r="A41" s="87" t="s">
        <v>536</v>
      </c>
      <c r="B41" s="87" t="s">
        <v>537</v>
      </c>
      <c r="C41" s="14"/>
      <c r="D41" s="87">
        <f t="shared" si="0"/>
        <v>1</v>
      </c>
      <c r="E41" s="91"/>
    </row>
    <row r="42" spans="1:5">
      <c r="A42" s="87" t="s">
        <v>538</v>
      </c>
      <c r="B42" s="87" t="s">
        <v>539</v>
      </c>
      <c r="C42" s="14"/>
      <c r="D42" s="87">
        <f t="shared" si="0"/>
        <v>1</v>
      </c>
      <c r="E42" s="91"/>
    </row>
    <row r="43" spans="1:5">
      <c r="A43" s="87" t="s">
        <v>540</v>
      </c>
      <c r="B43" s="87" t="s">
        <v>541</v>
      </c>
      <c r="C43" s="14"/>
      <c r="D43" s="87">
        <f t="shared" si="0"/>
        <v>1</v>
      </c>
      <c r="E43" s="91"/>
    </row>
    <row r="44" spans="1:5">
      <c r="A44" s="87" t="s">
        <v>542</v>
      </c>
      <c r="B44" s="87" t="s">
        <v>543</v>
      </c>
      <c r="C44" s="14"/>
      <c r="D44" s="87">
        <f t="shared" si="0"/>
        <v>1</v>
      </c>
      <c r="E44" s="91"/>
    </row>
    <row r="45" spans="1:5">
      <c r="A45" s="87" t="s">
        <v>544</v>
      </c>
      <c r="B45" s="87" t="s">
        <v>545</v>
      </c>
      <c r="C45" s="14"/>
      <c r="D45" s="87">
        <f t="shared" si="0"/>
        <v>1</v>
      </c>
      <c r="E45" s="91"/>
    </row>
    <row r="46" spans="1:5">
      <c r="A46" s="87" t="s">
        <v>546</v>
      </c>
      <c r="B46" s="87" t="s">
        <v>547</v>
      </c>
      <c r="C46" s="14"/>
      <c r="D46" s="87">
        <f t="shared" si="0"/>
        <v>1</v>
      </c>
      <c r="E46" s="91"/>
    </row>
    <row r="47" spans="1:5">
      <c r="A47" s="87" t="s">
        <v>548</v>
      </c>
      <c r="B47" s="87" t="s">
        <v>549</v>
      </c>
      <c r="C47" s="14"/>
      <c r="D47" s="87">
        <f t="shared" si="0"/>
        <v>1</v>
      </c>
      <c r="E47" s="91"/>
    </row>
    <row r="48" spans="1:5">
      <c r="A48" s="87" t="s">
        <v>418</v>
      </c>
      <c r="B48" s="87" t="s">
        <v>550</v>
      </c>
      <c r="C48" s="14"/>
      <c r="D48" s="87">
        <f t="shared" si="0"/>
        <v>1</v>
      </c>
      <c r="E48" s="91"/>
    </row>
    <row r="49" spans="1:5">
      <c r="A49" s="87" t="s">
        <v>551</v>
      </c>
      <c r="B49" s="87" t="s">
        <v>552</v>
      </c>
      <c r="C49" s="14"/>
      <c r="D49" s="87">
        <f t="shared" si="0"/>
        <v>1</v>
      </c>
      <c r="E49" s="91"/>
    </row>
    <row r="50" spans="1:5">
      <c r="A50" s="87" t="s">
        <v>553</v>
      </c>
      <c r="B50" s="87" t="s">
        <v>554</v>
      </c>
      <c r="C50" s="14"/>
      <c r="D50" s="87">
        <f t="shared" si="0"/>
        <v>1</v>
      </c>
      <c r="E50" s="91"/>
    </row>
    <row r="51" spans="1:5">
      <c r="A51" s="87" t="s">
        <v>555</v>
      </c>
      <c r="B51" s="87" t="s">
        <v>556</v>
      </c>
      <c r="C51" s="14"/>
      <c r="D51" s="87">
        <f t="shared" si="0"/>
        <v>1</v>
      </c>
      <c r="E51" s="91"/>
    </row>
    <row r="52" spans="1:5">
      <c r="A52" s="87" t="s">
        <v>557</v>
      </c>
      <c r="B52" s="88" t="s">
        <v>558</v>
      </c>
      <c r="C52" s="14"/>
      <c r="D52" s="87">
        <f t="shared" si="0"/>
        <v>1</v>
      </c>
      <c r="E52" s="91"/>
    </row>
    <row r="53" spans="1:5">
      <c r="A53" s="87" t="s">
        <v>159</v>
      </c>
      <c r="B53" s="88" t="s">
        <v>559</v>
      </c>
      <c r="C53" s="14"/>
      <c r="D53" s="87">
        <f t="shared" si="0"/>
        <v>1</v>
      </c>
      <c r="E53" s="91"/>
    </row>
    <row r="54" spans="1:5">
      <c r="A54" s="87" t="s">
        <v>560</v>
      </c>
      <c r="B54" s="88" t="s">
        <v>561</v>
      </c>
      <c r="C54" s="14"/>
      <c r="D54" s="87">
        <f t="shared" si="0"/>
        <v>1</v>
      </c>
      <c r="E54" s="91"/>
    </row>
    <row r="55" spans="1:5">
      <c r="A55" s="87" t="s">
        <v>562</v>
      </c>
      <c r="B55" s="88" t="s">
        <v>563</v>
      </c>
      <c r="C55" s="14"/>
      <c r="D55" s="87">
        <f t="shared" si="0"/>
        <v>1</v>
      </c>
      <c r="E55" s="91"/>
    </row>
    <row r="56" spans="1:5">
      <c r="A56" s="87" t="s">
        <v>261</v>
      </c>
      <c r="B56" s="87" t="s">
        <v>564</v>
      </c>
      <c r="C56" s="14"/>
      <c r="D56" s="87">
        <f t="shared" si="0"/>
        <v>1</v>
      </c>
      <c r="E56" s="91"/>
    </row>
    <row r="57" spans="1:5">
      <c r="A57" s="87" t="s">
        <v>565</v>
      </c>
      <c r="B57" s="87" t="s">
        <v>566</v>
      </c>
      <c r="C57" s="14"/>
      <c r="D57" s="87">
        <f t="shared" si="0"/>
        <v>1</v>
      </c>
      <c r="E57" s="91"/>
    </row>
    <row r="58" spans="1:5">
      <c r="A58" s="87" t="s">
        <v>263</v>
      </c>
      <c r="B58" s="87" t="s">
        <v>454</v>
      </c>
      <c r="C58" s="14"/>
      <c r="D58" s="87">
        <f t="shared" si="0"/>
        <v>1</v>
      </c>
      <c r="E58" s="91"/>
    </row>
    <row r="59" spans="1:5">
      <c r="A59" s="87" t="s">
        <v>567</v>
      </c>
      <c r="B59" s="88" t="s">
        <v>568</v>
      </c>
      <c r="C59" s="14"/>
      <c r="D59" s="87">
        <f t="shared" si="0"/>
        <v>1</v>
      </c>
      <c r="E59" s="91"/>
    </row>
    <row r="60" spans="1:5">
      <c r="A60" s="87" t="s">
        <v>569</v>
      </c>
      <c r="B60" s="88" t="s">
        <v>570</v>
      </c>
      <c r="C60" s="14"/>
      <c r="D60" s="87">
        <f t="shared" si="0"/>
        <v>1</v>
      </c>
      <c r="E60" s="91"/>
    </row>
    <row r="61" spans="1:5">
      <c r="A61" s="87" t="s">
        <v>571</v>
      </c>
      <c r="B61" s="87" t="s">
        <v>572</v>
      </c>
      <c r="C61" s="14"/>
      <c r="D61" s="87">
        <f t="shared" si="0"/>
        <v>1</v>
      </c>
      <c r="E61" s="91"/>
    </row>
    <row r="62" spans="1:5">
      <c r="A62" s="87" t="s">
        <v>573</v>
      </c>
      <c r="B62" s="87" t="s">
        <v>574</v>
      </c>
      <c r="C62" s="14"/>
      <c r="D62" s="87">
        <f t="shared" si="0"/>
        <v>1</v>
      </c>
      <c r="E62" s="91"/>
    </row>
    <row r="63" spans="1:5">
      <c r="A63" s="87" t="s">
        <v>575</v>
      </c>
      <c r="B63" s="87" t="s">
        <v>576</v>
      </c>
      <c r="C63" s="14"/>
      <c r="D63" s="87">
        <f t="shared" si="0"/>
        <v>1</v>
      </c>
      <c r="E63" s="91"/>
    </row>
    <row r="64" spans="1:5">
      <c r="A64" s="87" t="s">
        <v>577</v>
      </c>
      <c r="B64" s="87" t="s">
        <v>578</v>
      </c>
      <c r="C64" s="14"/>
      <c r="D64" s="87">
        <f t="shared" si="0"/>
        <v>1</v>
      </c>
      <c r="E64" s="91"/>
    </row>
    <row r="65" spans="1:5">
      <c r="A65" s="87" t="s">
        <v>441</v>
      </c>
      <c r="B65" s="87" t="s">
        <v>579</v>
      </c>
      <c r="C65" s="14"/>
      <c r="D65" s="87">
        <f t="shared" si="0"/>
        <v>1</v>
      </c>
      <c r="E65" s="91"/>
    </row>
    <row r="66" spans="1:5">
      <c r="A66" s="87" t="s">
        <v>580</v>
      </c>
      <c r="B66" s="88" t="s">
        <v>581</v>
      </c>
      <c r="C66" s="14"/>
      <c r="D66" s="87">
        <f t="shared" ref="D66:D129" si="1">IF(B66&lt;&gt;C66,1,0)</f>
        <v>1</v>
      </c>
      <c r="E66" s="91"/>
    </row>
    <row r="67" spans="1:5">
      <c r="A67" s="87" t="s">
        <v>582</v>
      </c>
      <c r="B67" s="87" t="s">
        <v>583</v>
      </c>
      <c r="C67" s="14"/>
      <c r="D67" s="87">
        <f t="shared" si="1"/>
        <v>1</v>
      </c>
      <c r="E67" s="91"/>
    </row>
    <row r="68" spans="1:5">
      <c r="A68" s="89" t="s">
        <v>584</v>
      </c>
      <c r="B68" s="97" t="s">
        <v>585</v>
      </c>
      <c r="C68" s="14"/>
      <c r="D68" s="87">
        <f t="shared" si="1"/>
        <v>1</v>
      </c>
      <c r="E68" s="91"/>
    </row>
    <row r="69" spans="1:5">
      <c r="A69" s="87" t="s">
        <v>586</v>
      </c>
      <c r="B69" s="88" t="s">
        <v>587</v>
      </c>
      <c r="C69" s="14"/>
      <c r="D69" s="87">
        <f t="shared" si="1"/>
        <v>1</v>
      </c>
      <c r="E69" s="91"/>
    </row>
    <row r="70" spans="1:5">
      <c r="A70" s="87" t="s">
        <v>588</v>
      </c>
      <c r="B70" s="87" t="s">
        <v>589</v>
      </c>
      <c r="C70" s="14"/>
      <c r="D70" s="87">
        <f t="shared" si="1"/>
        <v>1</v>
      </c>
      <c r="E70" s="91"/>
    </row>
    <row r="71" spans="1:5">
      <c r="A71" s="87" t="s">
        <v>590</v>
      </c>
      <c r="B71" s="87" t="s">
        <v>591</v>
      </c>
      <c r="C71" s="14"/>
      <c r="D71" s="87">
        <f t="shared" si="1"/>
        <v>1</v>
      </c>
      <c r="E71" s="91"/>
    </row>
    <row r="72" spans="1:5">
      <c r="A72" s="87" t="s">
        <v>592</v>
      </c>
      <c r="B72" s="87" t="s">
        <v>593</v>
      </c>
      <c r="C72" s="14"/>
      <c r="D72" s="87">
        <f t="shared" si="1"/>
        <v>1</v>
      </c>
      <c r="E72" s="91"/>
    </row>
    <row r="73" spans="1:5">
      <c r="A73" s="87" t="s">
        <v>251</v>
      </c>
      <c r="B73" s="88" t="s">
        <v>594</v>
      </c>
      <c r="C73" s="14"/>
      <c r="D73" s="87">
        <f t="shared" si="1"/>
        <v>1</v>
      </c>
      <c r="E73" s="91"/>
    </row>
    <row r="74" spans="1:5">
      <c r="A74" s="87" t="s">
        <v>249</v>
      </c>
      <c r="B74" s="87" t="s">
        <v>595</v>
      </c>
      <c r="C74" s="14"/>
      <c r="D74" s="87">
        <f t="shared" si="1"/>
        <v>1</v>
      </c>
      <c r="E74" s="91"/>
    </row>
    <row r="75" spans="1:5">
      <c r="A75" s="87" t="s">
        <v>596</v>
      </c>
      <c r="B75" s="87" t="s">
        <v>597</v>
      </c>
      <c r="C75" s="14"/>
      <c r="D75" s="87">
        <f t="shared" si="1"/>
        <v>1</v>
      </c>
      <c r="E75" s="91"/>
    </row>
    <row r="76" spans="1:5">
      <c r="A76" s="87" t="s">
        <v>598</v>
      </c>
      <c r="B76" s="87" t="s">
        <v>599</v>
      </c>
      <c r="C76" s="14"/>
      <c r="D76" s="87">
        <f t="shared" si="1"/>
        <v>1</v>
      </c>
      <c r="E76" s="91"/>
    </row>
    <row r="77" spans="1:5">
      <c r="A77" s="87" t="s">
        <v>394</v>
      </c>
      <c r="B77" s="95" t="s">
        <v>600</v>
      </c>
      <c r="C77" s="14"/>
      <c r="D77" s="87">
        <f t="shared" si="1"/>
        <v>1</v>
      </c>
      <c r="E77" s="91"/>
    </row>
    <row r="78" spans="1:5">
      <c r="A78" s="87" t="s">
        <v>601</v>
      </c>
      <c r="B78" s="87" t="s">
        <v>602</v>
      </c>
      <c r="C78" s="14"/>
      <c r="D78" s="87">
        <f t="shared" si="1"/>
        <v>1</v>
      </c>
      <c r="E78" s="91"/>
    </row>
    <row r="79" spans="1:5">
      <c r="A79" s="87" t="s">
        <v>603</v>
      </c>
      <c r="B79" s="87" t="s">
        <v>604</v>
      </c>
      <c r="C79" s="14"/>
      <c r="D79" s="87">
        <f t="shared" si="1"/>
        <v>1</v>
      </c>
      <c r="E79" s="91"/>
    </row>
    <row r="80" spans="1:5">
      <c r="A80" s="87" t="s">
        <v>605</v>
      </c>
      <c r="B80" s="96" t="s">
        <v>606</v>
      </c>
      <c r="C80" s="14" t="s">
        <v>468</v>
      </c>
      <c r="D80" s="87">
        <f t="shared" si="1"/>
        <v>1</v>
      </c>
      <c r="E80" s="91"/>
    </row>
    <row r="81" spans="1:5">
      <c r="A81" s="87" t="s">
        <v>607</v>
      </c>
      <c r="B81" s="87" t="s">
        <v>608</v>
      </c>
      <c r="C81" s="14"/>
      <c r="D81" s="87">
        <f t="shared" si="1"/>
        <v>1</v>
      </c>
      <c r="E81" s="91"/>
    </row>
    <row r="82" spans="1:5">
      <c r="A82" s="96" t="s">
        <v>609</v>
      </c>
      <c r="B82" s="96" t="s">
        <v>610</v>
      </c>
      <c r="C82" s="14" t="s">
        <v>468</v>
      </c>
      <c r="D82" s="87">
        <f t="shared" si="1"/>
        <v>1</v>
      </c>
      <c r="E82" s="91"/>
    </row>
    <row r="83" spans="1:5">
      <c r="A83" s="87" t="s">
        <v>611</v>
      </c>
      <c r="B83" s="87" t="s">
        <v>612</v>
      </c>
      <c r="C83" s="14"/>
      <c r="D83" s="87">
        <f t="shared" si="1"/>
        <v>1</v>
      </c>
      <c r="E83" s="91"/>
    </row>
    <row r="84" spans="1:5">
      <c r="A84" s="87" t="s">
        <v>613</v>
      </c>
      <c r="B84" s="87" t="s">
        <v>614</v>
      </c>
      <c r="C84" s="14"/>
      <c r="D84" s="87">
        <f t="shared" si="1"/>
        <v>1</v>
      </c>
      <c r="E84" s="91"/>
    </row>
    <row r="85" spans="1:5">
      <c r="A85" s="87" t="s">
        <v>615</v>
      </c>
      <c r="B85" s="87" t="s">
        <v>616</v>
      </c>
      <c r="C85" s="14"/>
      <c r="D85" s="87">
        <f t="shared" si="1"/>
        <v>1</v>
      </c>
      <c r="E85" s="91"/>
    </row>
    <row r="86" spans="1:5">
      <c r="A86" s="87" t="s">
        <v>617</v>
      </c>
      <c r="B86" s="88" t="s">
        <v>618</v>
      </c>
      <c r="C86" s="14"/>
      <c r="D86" s="87">
        <f t="shared" si="1"/>
        <v>1</v>
      </c>
      <c r="E86" s="91"/>
    </row>
    <row r="87" spans="1:5">
      <c r="A87" s="87" t="s">
        <v>619</v>
      </c>
      <c r="B87" s="87" t="s">
        <v>620</v>
      </c>
      <c r="C87" s="14"/>
      <c r="D87" s="87">
        <f t="shared" si="1"/>
        <v>1</v>
      </c>
      <c r="E87" s="91"/>
    </row>
    <row r="88" spans="1:5">
      <c r="A88" s="87" t="s">
        <v>621</v>
      </c>
      <c r="B88" s="87" t="s">
        <v>622</v>
      </c>
      <c r="C88" s="14"/>
      <c r="D88" s="87">
        <f t="shared" si="1"/>
        <v>1</v>
      </c>
      <c r="E88" s="91"/>
    </row>
    <row r="89" spans="1:5">
      <c r="A89" s="87" t="s">
        <v>623</v>
      </c>
      <c r="B89" s="87" t="s">
        <v>624</v>
      </c>
      <c r="C89" s="14"/>
      <c r="D89" s="87">
        <f t="shared" si="1"/>
        <v>1</v>
      </c>
      <c r="E89" s="91"/>
    </row>
    <row r="90" spans="1:5">
      <c r="A90" s="87" t="s">
        <v>197</v>
      </c>
      <c r="B90" s="87" t="s">
        <v>625</v>
      </c>
      <c r="C90" s="14"/>
      <c r="D90" s="87">
        <f t="shared" si="1"/>
        <v>1</v>
      </c>
      <c r="E90" s="91"/>
    </row>
    <row r="91" spans="1:5">
      <c r="A91" s="87" t="s">
        <v>626</v>
      </c>
      <c r="B91" s="87" t="s">
        <v>627</v>
      </c>
      <c r="C91" s="14"/>
      <c r="D91" s="87">
        <f t="shared" si="1"/>
        <v>1</v>
      </c>
      <c r="E91" s="91"/>
    </row>
    <row r="92" spans="1:5">
      <c r="A92" s="87" t="s">
        <v>628</v>
      </c>
      <c r="B92" s="87" t="s">
        <v>629</v>
      </c>
      <c r="C92" s="14"/>
      <c r="D92" s="87">
        <f t="shared" si="1"/>
        <v>1</v>
      </c>
      <c r="E92" s="91"/>
    </row>
    <row r="93" spans="1:5">
      <c r="A93" s="87" t="s">
        <v>630</v>
      </c>
      <c r="B93" s="87" t="s">
        <v>631</v>
      </c>
      <c r="C93" s="14"/>
      <c r="D93" s="87">
        <f t="shared" si="1"/>
        <v>1</v>
      </c>
      <c r="E93" s="91"/>
    </row>
    <row r="94" spans="1:5">
      <c r="A94" s="87" t="s">
        <v>632</v>
      </c>
      <c r="B94" s="87" t="s">
        <v>633</v>
      </c>
      <c r="C94" s="14"/>
      <c r="D94" s="87">
        <f t="shared" si="1"/>
        <v>1</v>
      </c>
      <c r="E94" s="91"/>
    </row>
    <row r="95" spans="1:5">
      <c r="A95" s="87" t="s">
        <v>634</v>
      </c>
      <c r="B95" s="87" t="s">
        <v>635</v>
      </c>
      <c r="C95" s="14"/>
      <c r="D95" s="87">
        <f t="shared" si="1"/>
        <v>1</v>
      </c>
      <c r="E95" s="91"/>
    </row>
    <row r="96" spans="1:5">
      <c r="A96" s="87" t="s">
        <v>636</v>
      </c>
      <c r="B96" s="87" t="s">
        <v>637</v>
      </c>
      <c r="C96" s="14"/>
      <c r="D96" s="87">
        <f t="shared" si="1"/>
        <v>1</v>
      </c>
      <c r="E96" s="91"/>
    </row>
    <row r="97" spans="1:5">
      <c r="A97" s="87" t="s">
        <v>638</v>
      </c>
      <c r="B97" s="87" t="s">
        <v>639</v>
      </c>
      <c r="C97" s="14"/>
      <c r="D97" s="87">
        <f t="shared" si="1"/>
        <v>1</v>
      </c>
      <c r="E97" s="91"/>
    </row>
    <row r="98" spans="1:5">
      <c r="A98" s="87" t="s">
        <v>640</v>
      </c>
      <c r="B98" s="87" t="s">
        <v>641</v>
      </c>
      <c r="C98" s="14"/>
      <c r="D98" s="87">
        <f t="shared" si="1"/>
        <v>1</v>
      </c>
      <c r="E98" s="91"/>
    </row>
    <row r="99" spans="1:5">
      <c r="A99" s="87" t="s">
        <v>642</v>
      </c>
      <c r="B99" s="87" t="s">
        <v>643</v>
      </c>
      <c r="C99" s="14"/>
      <c r="D99" s="87">
        <f t="shared" si="1"/>
        <v>1</v>
      </c>
      <c r="E99" s="91"/>
    </row>
    <row r="100" spans="1:5">
      <c r="A100" s="87" t="s">
        <v>644</v>
      </c>
      <c r="B100" s="87" t="s">
        <v>645</v>
      </c>
      <c r="C100" s="14"/>
      <c r="D100" s="87">
        <f t="shared" si="1"/>
        <v>1</v>
      </c>
      <c r="E100" s="91"/>
    </row>
    <row r="101" spans="1:5">
      <c r="A101" s="87" t="s">
        <v>646</v>
      </c>
      <c r="B101" s="87" t="s">
        <v>647</v>
      </c>
      <c r="C101" s="14"/>
      <c r="D101" s="87">
        <f t="shared" si="1"/>
        <v>1</v>
      </c>
      <c r="E101" s="91"/>
    </row>
    <row r="102" spans="1:5">
      <c r="A102" s="87" t="s">
        <v>648</v>
      </c>
      <c r="B102" s="87" t="s">
        <v>649</v>
      </c>
      <c r="C102" s="14"/>
      <c r="D102" s="87">
        <f t="shared" si="1"/>
        <v>1</v>
      </c>
      <c r="E102" s="91"/>
    </row>
    <row r="103" spans="1:5">
      <c r="A103" s="87" t="s">
        <v>650</v>
      </c>
      <c r="B103" s="87" t="s">
        <v>651</v>
      </c>
      <c r="C103" s="14"/>
      <c r="D103" s="87">
        <f t="shared" si="1"/>
        <v>1</v>
      </c>
      <c r="E103" s="91"/>
    </row>
    <row r="104" spans="1:5">
      <c r="A104" s="87" t="s">
        <v>652</v>
      </c>
      <c r="B104" s="87" t="s">
        <v>653</v>
      </c>
      <c r="C104" s="14"/>
      <c r="D104" s="87">
        <f t="shared" si="1"/>
        <v>1</v>
      </c>
      <c r="E104" s="91"/>
    </row>
    <row r="105" spans="1:5">
      <c r="A105" s="87" t="s">
        <v>654</v>
      </c>
      <c r="B105" s="87" t="s">
        <v>655</v>
      </c>
      <c r="C105" s="14"/>
      <c r="D105" s="87">
        <f t="shared" si="1"/>
        <v>1</v>
      </c>
      <c r="E105" s="91"/>
    </row>
    <row r="106" spans="1:5">
      <c r="A106" s="87" t="s">
        <v>656</v>
      </c>
      <c r="B106" s="87" t="s">
        <v>657</v>
      </c>
      <c r="C106" s="14"/>
      <c r="D106" s="87">
        <f t="shared" si="1"/>
        <v>1</v>
      </c>
      <c r="E106" s="91"/>
    </row>
    <row r="107" spans="1:5">
      <c r="A107" s="87" t="s">
        <v>658</v>
      </c>
      <c r="B107" s="87" t="s">
        <v>659</v>
      </c>
      <c r="C107" s="14"/>
      <c r="D107" s="87">
        <f t="shared" si="1"/>
        <v>1</v>
      </c>
      <c r="E107" s="91"/>
    </row>
    <row r="108" spans="1:5">
      <c r="A108" s="87" t="s">
        <v>660</v>
      </c>
      <c r="B108" s="87" t="s">
        <v>661</v>
      </c>
      <c r="C108" s="14"/>
      <c r="D108" s="87">
        <f t="shared" si="1"/>
        <v>1</v>
      </c>
      <c r="E108" s="91"/>
    </row>
    <row r="109" spans="1:5">
      <c r="A109" s="87" t="s">
        <v>162</v>
      </c>
      <c r="B109" s="87" t="s">
        <v>662</v>
      </c>
      <c r="C109" s="14"/>
      <c r="D109" s="87">
        <f t="shared" si="1"/>
        <v>1</v>
      </c>
      <c r="E109" s="91"/>
    </row>
    <row r="110" spans="1:5">
      <c r="A110" s="87" t="s">
        <v>663</v>
      </c>
      <c r="B110" s="87" t="s">
        <v>664</v>
      </c>
      <c r="C110" s="14"/>
      <c r="D110" s="87">
        <f t="shared" si="1"/>
        <v>1</v>
      </c>
      <c r="E110" s="91"/>
    </row>
    <row r="111" spans="1:5">
      <c r="A111" s="87" t="s">
        <v>665</v>
      </c>
      <c r="B111" s="87" t="s">
        <v>666</v>
      </c>
      <c r="C111" s="14"/>
      <c r="D111" s="87">
        <f t="shared" si="1"/>
        <v>1</v>
      </c>
      <c r="E111" s="91"/>
    </row>
    <row r="112" spans="1:5">
      <c r="A112" s="87" t="s">
        <v>667</v>
      </c>
      <c r="B112" s="87" t="s">
        <v>668</v>
      </c>
      <c r="C112" s="14"/>
      <c r="D112" s="87">
        <f t="shared" si="1"/>
        <v>1</v>
      </c>
      <c r="E112" s="91"/>
    </row>
    <row r="113" spans="1:5">
      <c r="A113" s="87" t="s">
        <v>669</v>
      </c>
      <c r="B113" s="87" t="s">
        <v>670</v>
      </c>
      <c r="C113" s="14"/>
      <c r="D113" s="87">
        <f t="shared" si="1"/>
        <v>1</v>
      </c>
      <c r="E113" s="91"/>
    </row>
    <row r="114" spans="1:5">
      <c r="A114" s="88" t="s">
        <v>671</v>
      </c>
      <c r="B114" s="96" t="s">
        <v>672</v>
      </c>
      <c r="C114" s="14" t="s">
        <v>468</v>
      </c>
      <c r="D114" s="87">
        <f t="shared" si="1"/>
        <v>1</v>
      </c>
      <c r="E114" s="91"/>
    </row>
    <row r="115" spans="1:5">
      <c r="A115" s="87" t="s">
        <v>673</v>
      </c>
      <c r="B115" s="87" t="s">
        <v>674</v>
      </c>
      <c r="C115" s="14"/>
      <c r="D115" s="87">
        <f t="shared" si="1"/>
        <v>1</v>
      </c>
      <c r="E115" s="91"/>
    </row>
    <row r="116" spans="1:5">
      <c r="A116" s="87" t="s">
        <v>675</v>
      </c>
      <c r="B116" s="87" t="s">
        <v>676</v>
      </c>
      <c r="C116" s="14"/>
      <c r="D116" s="87">
        <f t="shared" si="1"/>
        <v>1</v>
      </c>
      <c r="E116" s="91"/>
    </row>
    <row r="117" spans="1:5">
      <c r="A117" s="87" t="s">
        <v>677</v>
      </c>
      <c r="B117" s="95" t="s">
        <v>678</v>
      </c>
      <c r="C117" s="14"/>
      <c r="D117" s="87">
        <f t="shared" si="1"/>
        <v>1</v>
      </c>
      <c r="E117" s="91"/>
    </row>
    <row r="118" spans="1:5">
      <c r="A118" s="87" t="s">
        <v>679</v>
      </c>
      <c r="B118" s="95" t="s">
        <v>680</v>
      </c>
      <c r="C118" s="14"/>
      <c r="D118" s="87">
        <f t="shared" si="1"/>
        <v>1</v>
      </c>
      <c r="E118" s="91"/>
    </row>
    <row r="119" spans="1:5">
      <c r="A119" s="87" t="s">
        <v>681</v>
      </c>
      <c r="B119" s="87" t="s">
        <v>682</v>
      </c>
      <c r="C119" s="14"/>
      <c r="D119" s="87">
        <f t="shared" si="1"/>
        <v>1</v>
      </c>
      <c r="E119" s="91"/>
    </row>
    <row r="120" spans="1:5">
      <c r="A120" s="87" t="s">
        <v>683</v>
      </c>
      <c r="B120" s="87" t="s">
        <v>684</v>
      </c>
      <c r="C120" s="14"/>
      <c r="D120" s="87">
        <f t="shared" si="1"/>
        <v>1</v>
      </c>
      <c r="E120" s="91"/>
    </row>
    <row r="121" spans="1:5">
      <c r="A121" s="87" t="s">
        <v>685</v>
      </c>
      <c r="B121" s="87" t="s">
        <v>686</v>
      </c>
      <c r="C121" s="14"/>
      <c r="D121" s="87">
        <f t="shared" si="1"/>
        <v>1</v>
      </c>
      <c r="E121" s="91"/>
    </row>
    <row r="122" spans="1:5">
      <c r="A122" s="87" t="s">
        <v>687</v>
      </c>
      <c r="B122" s="87" t="s">
        <v>688</v>
      </c>
      <c r="C122" s="14"/>
      <c r="D122" s="87">
        <f t="shared" si="1"/>
        <v>1</v>
      </c>
      <c r="E122" s="91"/>
    </row>
    <row r="123" spans="1:5">
      <c r="A123" s="87" t="s">
        <v>689</v>
      </c>
      <c r="B123" s="87" t="s">
        <v>690</v>
      </c>
      <c r="C123" s="14"/>
      <c r="D123" s="87">
        <f t="shared" si="1"/>
        <v>1</v>
      </c>
      <c r="E123" s="91"/>
    </row>
    <row r="124" spans="1:5">
      <c r="A124" s="87" t="s">
        <v>691</v>
      </c>
      <c r="B124" s="87" t="s">
        <v>692</v>
      </c>
      <c r="C124" s="14"/>
      <c r="D124" s="87">
        <f t="shared" si="1"/>
        <v>1</v>
      </c>
      <c r="E124" s="91"/>
    </row>
    <row r="125" spans="1:5">
      <c r="A125" s="88" t="s">
        <v>693</v>
      </c>
      <c r="B125" s="96" t="s">
        <v>694</v>
      </c>
      <c r="C125" s="14" t="s">
        <v>468</v>
      </c>
      <c r="D125" s="87">
        <f t="shared" si="1"/>
        <v>1</v>
      </c>
      <c r="E125" s="91"/>
    </row>
    <row r="126" spans="1:5">
      <c r="A126" s="87" t="s">
        <v>208</v>
      </c>
      <c r="B126" s="87" t="s">
        <v>695</v>
      </c>
      <c r="C126" s="14"/>
      <c r="D126" s="87">
        <f t="shared" si="1"/>
        <v>1</v>
      </c>
      <c r="E126" s="91"/>
    </row>
    <row r="127" spans="1:5">
      <c r="A127" s="87" t="s">
        <v>696</v>
      </c>
      <c r="B127" s="87" t="s">
        <v>697</v>
      </c>
      <c r="C127" s="14"/>
      <c r="D127" s="87">
        <f t="shared" si="1"/>
        <v>1</v>
      </c>
      <c r="E127" s="91"/>
    </row>
    <row r="128" spans="1:5">
      <c r="A128" s="87" t="s">
        <v>698</v>
      </c>
      <c r="B128" s="87" t="s">
        <v>699</v>
      </c>
      <c r="C128" s="14"/>
      <c r="D128" s="87">
        <f t="shared" si="1"/>
        <v>1</v>
      </c>
      <c r="E128" s="91"/>
    </row>
    <row r="129" spans="1:5">
      <c r="A129" s="87" t="s">
        <v>700</v>
      </c>
      <c r="B129" s="87" t="s">
        <v>701</v>
      </c>
      <c r="C129" s="14"/>
      <c r="D129" s="87">
        <f t="shared" si="1"/>
        <v>1</v>
      </c>
      <c r="E129" s="91"/>
    </row>
    <row r="130" spans="1:5">
      <c r="A130" s="87" t="s">
        <v>203</v>
      </c>
      <c r="B130" s="95" t="s">
        <v>702</v>
      </c>
      <c r="C130" s="14"/>
      <c r="D130" s="87">
        <f t="shared" ref="D130:D193" si="2">IF(B130&lt;&gt;C130,1,0)</f>
        <v>1</v>
      </c>
      <c r="E130" s="91"/>
    </row>
    <row r="131" spans="1:5">
      <c r="A131" s="87" t="s">
        <v>703</v>
      </c>
      <c r="B131" s="87" t="s">
        <v>704</v>
      </c>
      <c r="C131" s="14"/>
      <c r="D131" s="87">
        <f t="shared" si="2"/>
        <v>1</v>
      </c>
      <c r="E131" s="91"/>
    </row>
    <row r="132" spans="1:5">
      <c r="A132" s="94" t="s">
        <v>705</v>
      </c>
      <c r="B132" s="87" t="s">
        <v>706</v>
      </c>
      <c r="C132" s="14" t="s">
        <v>468</v>
      </c>
      <c r="D132" s="87">
        <f t="shared" si="2"/>
        <v>1</v>
      </c>
      <c r="E132" s="91"/>
    </row>
    <row r="133" spans="1:5">
      <c r="A133" s="87" t="s">
        <v>707</v>
      </c>
      <c r="B133" s="95" t="s">
        <v>708</v>
      </c>
      <c r="C133" s="14"/>
      <c r="D133" s="87">
        <f t="shared" si="2"/>
        <v>1</v>
      </c>
      <c r="E133" s="91"/>
    </row>
    <row r="134" spans="1:5">
      <c r="A134" s="87" t="s">
        <v>709</v>
      </c>
      <c r="B134" s="95" t="s">
        <v>710</v>
      </c>
      <c r="C134" s="14"/>
      <c r="D134" s="87">
        <f t="shared" si="2"/>
        <v>1</v>
      </c>
      <c r="E134" s="91"/>
    </row>
    <row r="135" spans="1:5">
      <c r="A135" s="87" t="s">
        <v>255</v>
      </c>
      <c r="B135" s="87" t="s">
        <v>711</v>
      </c>
      <c r="C135" s="14"/>
      <c r="D135" s="87">
        <f t="shared" si="2"/>
        <v>1</v>
      </c>
      <c r="E135" s="91"/>
    </row>
    <row r="136" spans="1:5">
      <c r="A136" s="87" t="s">
        <v>712</v>
      </c>
      <c r="B136" s="87" t="s">
        <v>713</v>
      </c>
      <c r="C136" s="14"/>
      <c r="D136" s="87">
        <f t="shared" si="2"/>
        <v>1</v>
      </c>
      <c r="E136" s="91"/>
    </row>
    <row r="137" spans="1:5">
      <c r="A137" s="87" t="s">
        <v>257</v>
      </c>
      <c r="B137" s="87" t="s">
        <v>714</v>
      </c>
      <c r="C137" s="14"/>
      <c r="D137" s="87">
        <f t="shared" si="2"/>
        <v>1</v>
      </c>
      <c r="E137" s="91"/>
    </row>
    <row r="138" spans="1:5">
      <c r="A138" s="87" t="s">
        <v>715</v>
      </c>
      <c r="B138" s="87" t="s">
        <v>716</v>
      </c>
      <c r="C138" s="14"/>
      <c r="D138" s="87">
        <f t="shared" si="2"/>
        <v>1</v>
      </c>
      <c r="E138" s="91"/>
    </row>
    <row r="139" spans="1:5">
      <c r="A139" s="87" t="s">
        <v>717</v>
      </c>
      <c r="B139" s="88" t="s">
        <v>718</v>
      </c>
      <c r="C139" s="14"/>
      <c r="D139" s="87">
        <f t="shared" si="2"/>
        <v>1</v>
      </c>
      <c r="E139" s="91"/>
    </row>
    <row r="140" spans="1:5">
      <c r="A140" s="87" t="s">
        <v>719</v>
      </c>
      <c r="B140" s="87" t="s">
        <v>720</v>
      </c>
      <c r="C140" s="14"/>
      <c r="D140" s="87">
        <f t="shared" si="2"/>
        <v>1</v>
      </c>
      <c r="E140" s="91"/>
    </row>
    <row r="141" spans="1:5">
      <c r="A141" s="87" t="s">
        <v>721</v>
      </c>
      <c r="B141" s="87" t="s">
        <v>722</v>
      </c>
      <c r="C141" s="14"/>
      <c r="D141" s="87">
        <f t="shared" si="2"/>
        <v>1</v>
      </c>
      <c r="E141" s="91"/>
    </row>
    <row r="142" spans="1:5">
      <c r="A142" s="87" t="s">
        <v>723</v>
      </c>
      <c r="B142" s="87" t="s">
        <v>724</v>
      </c>
      <c r="C142" s="14"/>
      <c r="D142" s="87">
        <f t="shared" si="2"/>
        <v>1</v>
      </c>
      <c r="E142" s="91"/>
    </row>
    <row r="143" spans="1:5">
      <c r="A143" s="87" t="s">
        <v>725</v>
      </c>
      <c r="B143" s="87" t="s">
        <v>726</v>
      </c>
      <c r="C143" s="14"/>
      <c r="D143" s="87">
        <f t="shared" si="2"/>
        <v>1</v>
      </c>
      <c r="E143" s="91"/>
    </row>
    <row r="144" spans="1:5">
      <c r="A144" s="87" t="s">
        <v>727</v>
      </c>
      <c r="B144" s="87" t="s">
        <v>728</v>
      </c>
      <c r="C144" s="14"/>
      <c r="D144" s="87">
        <f t="shared" si="2"/>
        <v>1</v>
      </c>
      <c r="E144" s="91"/>
    </row>
    <row r="145" spans="1:5">
      <c r="A145" s="87" t="s">
        <v>392</v>
      </c>
      <c r="B145" s="87" t="s">
        <v>729</v>
      </c>
      <c r="C145" s="14"/>
      <c r="D145" s="87">
        <f t="shared" si="2"/>
        <v>1</v>
      </c>
      <c r="E145" s="91"/>
    </row>
    <row r="146" spans="1:5">
      <c r="A146" s="87" t="s">
        <v>730</v>
      </c>
      <c r="B146" s="87" t="s">
        <v>731</v>
      </c>
      <c r="C146" s="14"/>
      <c r="D146" s="87">
        <f t="shared" si="2"/>
        <v>1</v>
      </c>
      <c r="E146" s="91"/>
    </row>
    <row r="147" spans="1:5">
      <c r="A147" s="87" t="s">
        <v>199</v>
      </c>
      <c r="B147" s="87" t="s">
        <v>732</v>
      </c>
      <c r="C147" s="14"/>
      <c r="D147" s="87">
        <f t="shared" si="2"/>
        <v>1</v>
      </c>
      <c r="E147" s="91"/>
    </row>
    <row r="148" spans="1:5">
      <c r="A148" s="87" t="s">
        <v>733</v>
      </c>
      <c r="B148" s="88" t="s">
        <v>734</v>
      </c>
      <c r="C148" s="14"/>
      <c r="D148" s="87">
        <f t="shared" si="2"/>
        <v>1</v>
      </c>
      <c r="E148" s="91"/>
    </row>
    <row r="149" spans="1:5">
      <c r="A149" s="87" t="s">
        <v>735</v>
      </c>
      <c r="B149" s="88" t="s">
        <v>736</v>
      </c>
      <c r="C149" s="14"/>
      <c r="D149" s="87">
        <f t="shared" si="2"/>
        <v>1</v>
      </c>
      <c r="E149" s="91"/>
    </row>
    <row r="150" spans="1:5">
      <c r="A150" s="87" t="s">
        <v>737</v>
      </c>
      <c r="B150" s="87" t="s">
        <v>738</v>
      </c>
      <c r="C150" s="14"/>
      <c r="D150" s="87">
        <f t="shared" si="2"/>
        <v>1</v>
      </c>
      <c r="E150" s="91"/>
    </row>
    <row r="151" spans="1:5">
      <c r="A151" s="87" t="s">
        <v>739</v>
      </c>
      <c r="B151" s="87" t="s">
        <v>740</v>
      </c>
      <c r="C151" s="14"/>
      <c r="D151" s="87">
        <f t="shared" si="2"/>
        <v>1</v>
      </c>
      <c r="E151" s="91"/>
    </row>
    <row r="152" spans="1:5">
      <c r="A152" s="87" t="s">
        <v>741</v>
      </c>
      <c r="B152" s="87" t="s">
        <v>742</v>
      </c>
      <c r="C152" s="14"/>
      <c r="D152" s="87">
        <f t="shared" si="2"/>
        <v>1</v>
      </c>
      <c r="E152" s="91"/>
    </row>
    <row r="153" spans="1:5">
      <c r="A153" s="87" t="s">
        <v>743</v>
      </c>
      <c r="B153" s="88" t="s">
        <v>744</v>
      </c>
      <c r="C153" s="14"/>
      <c r="D153" s="87">
        <f t="shared" si="2"/>
        <v>1</v>
      </c>
      <c r="E153" s="91"/>
    </row>
    <row r="154" spans="1:5">
      <c r="A154" s="87" t="s">
        <v>745</v>
      </c>
      <c r="B154" s="87" t="s">
        <v>746</v>
      </c>
      <c r="C154" s="14"/>
      <c r="D154" s="87">
        <f t="shared" si="2"/>
        <v>1</v>
      </c>
      <c r="E154" s="91"/>
    </row>
    <row r="155" spans="1:5">
      <c r="A155" s="87" t="s">
        <v>205</v>
      </c>
      <c r="B155" s="87" t="s">
        <v>747</v>
      </c>
      <c r="C155" s="14"/>
      <c r="D155" s="87">
        <f t="shared" si="2"/>
        <v>1</v>
      </c>
      <c r="E155" s="91"/>
    </row>
    <row r="156" spans="1:5">
      <c r="A156" s="87" t="s">
        <v>748</v>
      </c>
      <c r="B156" s="87" t="s">
        <v>749</v>
      </c>
      <c r="C156" s="14"/>
      <c r="D156" s="87">
        <f t="shared" si="2"/>
        <v>1</v>
      </c>
      <c r="E156" s="91"/>
    </row>
    <row r="157" spans="1:5">
      <c r="A157" s="87" t="s">
        <v>750</v>
      </c>
      <c r="B157" s="87" t="s">
        <v>751</v>
      </c>
      <c r="C157" s="14"/>
      <c r="D157" s="87">
        <f t="shared" si="2"/>
        <v>1</v>
      </c>
      <c r="E157" s="91"/>
    </row>
    <row r="158" spans="1:5">
      <c r="A158" s="87" t="s">
        <v>752</v>
      </c>
      <c r="B158" s="96" t="s">
        <v>753</v>
      </c>
      <c r="C158" s="14" t="s">
        <v>468</v>
      </c>
      <c r="D158" s="87">
        <f t="shared" si="2"/>
        <v>1</v>
      </c>
      <c r="E158" s="91"/>
    </row>
    <row r="159" spans="1:5">
      <c r="A159" s="87" t="s">
        <v>754</v>
      </c>
      <c r="B159" s="96" t="s">
        <v>755</v>
      </c>
      <c r="C159" s="14" t="s">
        <v>468</v>
      </c>
      <c r="D159" s="87">
        <f t="shared" si="2"/>
        <v>1</v>
      </c>
      <c r="E159" s="91"/>
    </row>
    <row r="160" spans="1:5">
      <c r="A160" s="87" t="s">
        <v>756</v>
      </c>
      <c r="B160" s="87" t="s">
        <v>757</v>
      </c>
      <c r="C160" s="14"/>
      <c r="D160" s="87">
        <f t="shared" si="2"/>
        <v>1</v>
      </c>
      <c r="E160" s="91"/>
    </row>
    <row r="161" spans="1:5">
      <c r="A161" s="87" t="s">
        <v>758</v>
      </c>
      <c r="B161" s="87" t="s">
        <v>759</v>
      </c>
      <c r="C161" s="14"/>
      <c r="D161" s="87">
        <f t="shared" si="2"/>
        <v>1</v>
      </c>
      <c r="E161" s="91"/>
    </row>
    <row r="162" spans="1:5">
      <c r="A162" s="87" t="s">
        <v>760</v>
      </c>
      <c r="B162" s="87" t="s">
        <v>761</v>
      </c>
      <c r="C162" s="14"/>
      <c r="D162" s="87">
        <f t="shared" si="2"/>
        <v>1</v>
      </c>
      <c r="E162" s="91"/>
    </row>
    <row r="163" spans="1:5">
      <c r="A163" s="87" t="s">
        <v>762</v>
      </c>
      <c r="B163" s="87" t="s">
        <v>763</v>
      </c>
      <c r="C163" s="14"/>
      <c r="D163" s="87">
        <f t="shared" si="2"/>
        <v>1</v>
      </c>
      <c r="E163" s="91"/>
    </row>
    <row r="164" spans="1:5">
      <c r="A164" s="87" t="s">
        <v>764</v>
      </c>
      <c r="B164" s="87" t="s">
        <v>765</v>
      </c>
      <c r="C164" s="14"/>
      <c r="D164" s="87">
        <f t="shared" si="2"/>
        <v>1</v>
      </c>
      <c r="E164" s="91"/>
    </row>
    <row r="165" spans="1:5">
      <c r="A165" s="87" t="s">
        <v>766</v>
      </c>
      <c r="B165" s="87" t="s">
        <v>767</v>
      </c>
      <c r="C165" s="14"/>
      <c r="D165" s="87">
        <f t="shared" si="2"/>
        <v>1</v>
      </c>
      <c r="E165" s="91"/>
    </row>
    <row r="166" spans="1:5">
      <c r="A166" s="87" t="s">
        <v>768</v>
      </c>
      <c r="B166" s="95" t="s">
        <v>769</v>
      </c>
      <c r="C166" s="14"/>
      <c r="D166" s="87">
        <f t="shared" si="2"/>
        <v>1</v>
      </c>
      <c r="E166" s="91"/>
    </row>
    <row r="167" spans="1:5">
      <c r="A167" s="87" t="s">
        <v>770</v>
      </c>
      <c r="B167" s="87" t="s">
        <v>771</v>
      </c>
      <c r="C167" s="14"/>
      <c r="D167" s="87">
        <f t="shared" si="2"/>
        <v>1</v>
      </c>
      <c r="E167" s="91"/>
    </row>
    <row r="168" spans="1:5">
      <c r="A168" s="87" t="s">
        <v>772</v>
      </c>
      <c r="B168" s="87" t="s">
        <v>773</v>
      </c>
      <c r="C168" s="14"/>
      <c r="D168" s="87">
        <f t="shared" si="2"/>
        <v>1</v>
      </c>
      <c r="E168" s="91"/>
    </row>
    <row r="169" spans="1:5">
      <c r="A169" s="96" t="s">
        <v>774</v>
      </c>
      <c r="B169" s="87" t="s">
        <v>775</v>
      </c>
      <c r="C169" s="14" t="s">
        <v>468</v>
      </c>
      <c r="D169" s="87">
        <f t="shared" si="2"/>
        <v>1</v>
      </c>
      <c r="E169" s="91"/>
    </row>
    <row r="170" spans="1:5">
      <c r="A170" s="98" t="s">
        <v>776</v>
      </c>
      <c r="B170" s="96" t="s">
        <v>777</v>
      </c>
      <c r="C170" s="14" t="s">
        <v>778</v>
      </c>
      <c r="D170" s="87">
        <f t="shared" si="2"/>
        <v>1</v>
      </c>
      <c r="E170" s="91"/>
    </row>
    <row r="171" spans="1:5">
      <c r="A171" s="90" t="s">
        <v>779</v>
      </c>
      <c r="B171" s="87" t="s">
        <v>780</v>
      </c>
      <c r="C171" s="14"/>
      <c r="D171" s="87">
        <f t="shared" si="2"/>
        <v>1</v>
      </c>
      <c r="E171" s="91"/>
    </row>
    <row r="172" spans="1:5">
      <c r="A172" s="99" t="s">
        <v>781</v>
      </c>
      <c r="B172" s="87" t="s">
        <v>782</v>
      </c>
      <c r="C172" s="14"/>
      <c r="D172" s="87">
        <f t="shared" si="2"/>
        <v>1</v>
      </c>
      <c r="E172" s="91"/>
    </row>
    <row r="173" spans="1:5">
      <c r="A173" s="99" t="s">
        <v>783</v>
      </c>
      <c r="B173" s="87" t="s">
        <v>784</v>
      </c>
      <c r="C173" s="14"/>
      <c r="D173" s="87">
        <f t="shared" si="2"/>
        <v>1</v>
      </c>
      <c r="E173" s="91"/>
    </row>
    <row r="174" spans="1:5">
      <c r="A174" s="87" t="s">
        <v>785</v>
      </c>
      <c r="B174" s="87" t="s">
        <v>786</v>
      </c>
      <c r="C174" s="14"/>
      <c r="D174" s="87">
        <f t="shared" si="2"/>
        <v>1</v>
      </c>
      <c r="E174" s="91"/>
    </row>
    <row r="175" spans="1:5">
      <c r="A175" s="87" t="s">
        <v>787</v>
      </c>
      <c r="B175" s="87" t="s">
        <v>788</v>
      </c>
      <c r="C175" s="14"/>
      <c r="D175" s="87">
        <f t="shared" si="2"/>
        <v>1</v>
      </c>
      <c r="E175" s="91"/>
    </row>
    <row r="176" spans="1:5">
      <c r="A176" s="87" t="s">
        <v>789</v>
      </c>
      <c r="B176" s="87" t="s">
        <v>790</v>
      </c>
      <c r="C176" s="14"/>
      <c r="D176" s="87">
        <f t="shared" si="2"/>
        <v>1</v>
      </c>
      <c r="E176" s="91"/>
    </row>
    <row r="177" spans="1:5">
      <c r="A177" s="87" t="s">
        <v>791</v>
      </c>
      <c r="B177" s="87" t="s">
        <v>792</v>
      </c>
      <c r="C177" s="14"/>
      <c r="D177" s="87">
        <f t="shared" si="2"/>
        <v>1</v>
      </c>
      <c r="E177" s="91"/>
    </row>
    <row r="178" spans="1:5">
      <c r="A178" s="87" t="s">
        <v>793</v>
      </c>
      <c r="B178" s="87" t="s">
        <v>794</v>
      </c>
      <c r="C178" s="14"/>
      <c r="D178" s="87">
        <f t="shared" si="2"/>
        <v>1</v>
      </c>
      <c r="E178" s="91"/>
    </row>
    <row r="179" spans="1:5">
      <c r="A179" s="87" t="s">
        <v>795</v>
      </c>
      <c r="B179" s="87" t="s">
        <v>796</v>
      </c>
      <c r="C179" s="14"/>
      <c r="D179" s="87">
        <f t="shared" si="2"/>
        <v>1</v>
      </c>
      <c r="E179" s="91"/>
    </row>
    <row r="180" spans="1:5">
      <c r="A180" s="87" t="s">
        <v>797</v>
      </c>
      <c r="B180" s="87" t="s">
        <v>798</v>
      </c>
      <c r="C180" s="14"/>
      <c r="D180" s="87">
        <f t="shared" si="2"/>
        <v>1</v>
      </c>
      <c r="E180" s="91"/>
    </row>
    <row r="181" spans="1:5">
      <c r="A181" s="87" t="s">
        <v>799</v>
      </c>
      <c r="B181" s="87" t="s">
        <v>800</v>
      </c>
      <c r="C181" s="14"/>
      <c r="D181" s="87">
        <f t="shared" si="2"/>
        <v>1</v>
      </c>
      <c r="E181" s="91"/>
    </row>
    <row r="182" spans="1:5">
      <c r="A182" s="87" t="s">
        <v>801</v>
      </c>
      <c r="B182" s="87" t="s">
        <v>802</v>
      </c>
      <c r="C182" s="14"/>
      <c r="D182" s="87">
        <f t="shared" si="2"/>
        <v>1</v>
      </c>
      <c r="E182" s="91"/>
    </row>
    <row r="183" spans="1:5">
      <c r="A183" s="87" t="s">
        <v>803</v>
      </c>
      <c r="B183" s="87" t="s">
        <v>804</v>
      </c>
      <c r="C183" s="14"/>
      <c r="D183" s="87">
        <f t="shared" si="2"/>
        <v>1</v>
      </c>
      <c r="E183" s="91"/>
    </row>
    <row r="184" spans="1:5">
      <c r="A184" s="87" t="s">
        <v>805</v>
      </c>
      <c r="B184" s="87" t="s">
        <v>806</v>
      </c>
      <c r="C184" s="14"/>
      <c r="D184" s="87">
        <f t="shared" si="2"/>
        <v>1</v>
      </c>
      <c r="E184" s="91"/>
    </row>
    <row r="185" spans="1:5">
      <c r="A185" s="87" t="s">
        <v>807</v>
      </c>
      <c r="B185" s="87" t="s">
        <v>808</v>
      </c>
      <c r="C185" s="14"/>
      <c r="D185" s="87">
        <f t="shared" si="2"/>
        <v>1</v>
      </c>
      <c r="E185" s="91"/>
    </row>
    <row r="186" spans="1:5">
      <c r="A186" s="87" t="s">
        <v>809</v>
      </c>
      <c r="B186" s="95" t="s">
        <v>810</v>
      </c>
      <c r="C186" s="14"/>
      <c r="D186" s="87">
        <f t="shared" si="2"/>
        <v>1</v>
      </c>
      <c r="E186" s="91"/>
    </row>
    <row r="187" spans="1:5">
      <c r="A187" s="87" t="s">
        <v>811</v>
      </c>
      <c r="B187" s="87" t="s">
        <v>812</v>
      </c>
      <c r="C187" s="14"/>
      <c r="D187" s="87">
        <f t="shared" si="2"/>
        <v>1</v>
      </c>
      <c r="E187" s="91"/>
    </row>
    <row r="188" spans="1:5">
      <c r="A188" s="87" t="s">
        <v>813</v>
      </c>
      <c r="B188" s="87" t="s">
        <v>814</v>
      </c>
      <c r="C188" s="14"/>
      <c r="D188" s="87">
        <f t="shared" si="2"/>
        <v>1</v>
      </c>
      <c r="E188" s="91"/>
    </row>
    <row r="189" spans="1:5">
      <c r="A189" s="87" t="s">
        <v>815</v>
      </c>
      <c r="B189" s="88" t="s">
        <v>816</v>
      </c>
      <c r="C189" s="14"/>
      <c r="D189" s="87">
        <f t="shared" si="2"/>
        <v>1</v>
      </c>
      <c r="E189" s="91"/>
    </row>
    <row r="190" spans="1:5">
      <c r="A190" s="87" t="s">
        <v>405</v>
      </c>
      <c r="B190" s="87" t="s">
        <v>817</v>
      </c>
      <c r="C190" s="14"/>
      <c r="D190" s="87">
        <f t="shared" si="2"/>
        <v>1</v>
      </c>
      <c r="E190" s="91"/>
    </row>
    <row r="191" spans="1:5">
      <c r="A191" s="87" t="s">
        <v>818</v>
      </c>
      <c r="B191" s="88" t="s">
        <v>819</v>
      </c>
      <c r="C191" s="14"/>
      <c r="D191" s="87">
        <f t="shared" si="2"/>
        <v>1</v>
      </c>
      <c r="E191" s="91"/>
    </row>
    <row r="192" spans="1:5">
      <c r="A192" s="87" t="s">
        <v>820</v>
      </c>
      <c r="B192" s="88" t="s">
        <v>821</v>
      </c>
      <c r="C192" s="14"/>
      <c r="D192" s="87">
        <f t="shared" si="2"/>
        <v>1</v>
      </c>
      <c r="E192" s="91"/>
    </row>
    <row r="193" spans="1:5">
      <c r="A193" s="87" t="s">
        <v>822</v>
      </c>
      <c r="B193" s="87" t="s">
        <v>823</v>
      </c>
      <c r="C193" s="14"/>
      <c r="D193" s="87">
        <f t="shared" si="2"/>
        <v>1</v>
      </c>
      <c r="E193" s="91"/>
    </row>
    <row r="194" spans="1:5">
      <c r="A194" s="87" t="s">
        <v>824</v>
      </c>
      <c r="B194" s="87" t="s">
        <v>825</v>
      </c>
      <c r="C194" s="14"/>
      <c r="D194" s="87">
        <f t="shared" ref="D194:D257" si="3">IF(B194&lt;&gt;C194,1,0)</f>
        <v>1</v>
      </c>
      <c r="E194" s="91"/>
    </row>
    <row r="195" spans="1:5">
      <c r="A195" s="87" t="s">
        <v>826</v>
      </c>
      <c r="B195" s="87" t="s">
        <v>827</v>
      </c>
      <c r="C195" s="14"/>
      <c r="D195" s="87">
        <f t="shared" si="3"/>
        <v>1</v>
      </c>
      <c r="E195" s="91"/>
    </row>
    <row r="196" spans="1:5">
      <c r="A196" s="87" t="s">
        <v>828</v>
      </c>
      <c r="B196" s="87" t="s">
        <v>829</v>
      </c>
      <c r="C196" s="14"/>
      <c r="D196" s="87">
        <f t="shared" si="3"/>
        <v>1</v>
      </c>
      <c r="E196" s="91"/>
    </row>
    <row r="197" spans="1:5">
      <c r="A197" s="87" t="s">
        <v>408</v>
      </c>
      <c r="B197" s="87" t="s">
        <v>830</v>
      </c>
      <c r="C197" s="14"/>
      <c r="D197" s="87">
        <f t="shared" si="3"/>
        <v>1</v>
      </c>
      <c r="E197" s="91"/>
    </row>
    <row r="198" spans="1:5">
      <c r="A198" s="87" t="s">
        <v>831</v>
      </c>
      <c r="B198" s="88" t="s">
        <v>832</v>
      </c>
      <c r="C198" s="14"/>
      <c r="D198" s="87">
        <f t="shared" si="3"/>
        <v>1</v>
      </c>
      <c r="E198" s="91"/>
    </row>
    <row r="199" spans="1:5">
      <c r="A199" s="87" t="s">
        <v>833</v>
      </c>
      <c r="B199" s="88" t="s">
        <v>834</v>
      </c>
      <c r="C199" s="14"/>
      <c r="D199" s="87">
        <f t="shared" si="3"/>
        <v>1</v>
      </c>
      <c r="E199" s="91"/>
    </row>
    <row r="200" spans="1:5">
      <c r="A200" s="87" t="s">
        <v>835</v>
      </c>
      <c r="B200" s="88" t="s">
        <v>836</v>
      </c>
      <c r="C200" s="14"/>
      <c r="D200" s="87">
        <f t="shared" si="3"/>
        <v>1</v>
      </c>
      <c r="E200" s="91"/>
    </row>
    <row r="201" spans="1:5">
      <c r="A201" s="87" t="s">
        <v>837</v>
      </c>
      <c r="B201" s="87" t="s">
        <v>838</v>
      </c>
      <c r="C201" s="14"/>
      <c r="D201" s="87">
        <f t="shared" si="3"/>
        <v>1</v>
      </c>
      <c r="E201" s="91"/>
    </row>
    <row r="202" spans="1:5">
      <c r="A202" s="87" t="s">
        <v>839</v>
      </c>
      <c r="B202" s="88" t="s">
        <v>840</v>
      </c>
      <c r="C202" s="14"/>
      <c r="D202" s="87">
        <f t="shared" si="3"/>
        <v>1</v>
      </c>
      <c r="E202" s="91"/>
    </row>
    <row r="203" spans="1:5">
      <c r="A203" s="87" t="s">
        <v>841</v>
      </c>
      <c r="B203" s="88" t="s">
        <v>842</v>
      </c>
      <c r="C203" s="14"/>
      <c r="D203" s="87">
        <f t="shared" si="3"/>
        <v>1</v>
      </c>
      <c r="E203" s="91"/>
    </row>
    <row r="204" spans="1:5">
      <c r="A204" s="87" t="s">
        <v>843</v>
      </c>
      <c r="B204" s="87" t="s">
        <v>844</v>
      </c>
      <c r="C204" s="14"/>
      <c r="D204" s="87">
        <f t="shared" si="3"/>
        <v>1</v>
      </c>
      <c r="E204" s="91"/>
    </row>
    <row r="205" spans="1:5">
      <c r="A205" s="87" t="s">
        <v>845</v>
      </c>
      <c r="B205" s="87" t="s">
        <v>846</v>
      </c>
      <c r="C205" s="14"/>
      <c r="D205" s="87">
        <f t="shared" si="3"/>
        <v>1</v>
      </c>
      <c r="E205" s="91"/>
    </row>
    <row r="206" spans="1:5">
      <c r="A206" s="87" t="s">
        <v>847</v>
      </c>
      <c r="B206" s="87" t="s">
        <v>848</v>
      </c>
      <c r="C206" s="14"/>
      <c r="D206" s="87">
        <f t="shared" si="3"/>
        <v>1</v>
      </c>
      <c r="E206" s="91"/>
    </row>
    <row r="207" spans="1:5">
      <c r="A207" s="87" t="s">
        <v>849</v>
      </c>
      <c r="B207" s="87" t="s">
        <v>850</v>
      </c>
      <c r="C207" s="14"/>
      <c r="D207" s="87">
        <f t="shared" si="3"/>
        <v>1</v>
      </c>
      <c r="E207" s="91"/>
    </row>
    <row r="208" spans="1:5">
      <c r="A208" s="87" t="s">
        <v>851</v>
      </c>
      <c r="B208" s="88" t="s">
        <v>852</v>
      </c>
      <c r="C208" s="14"/>
      <c r="D208" s="87">
        <f t="shared" si="3"/>
        <v>1</v>
      </c>
      <c r="E208" s="91"/>
    </row>
    <row r="209" spans="1:5">
      <c r="A209" s="87" t="s">
        <v>853</v>
      </c>
      <c r="B209" s="87" t="s">
        <v>854</v>
      </c>
      <c r="C209" s="14"/>
      <c r="D209" s="87">
        <f t="shared" si="3"/>
        <v>1</v>
      </c>
      <c r="E209" s="91"/>
    </row>
    <row r="210" spans="1:5">
      <c r="A210" s="87" t="s">
        <v>855</v>
      </c>
      <c r="B210" s="87" t="s">
        <v>856</v>
      </c>
      <c r="C210" s="14"/>
      <c r="D210" s="87">
        <f t="shared" si="3"/>
        <v>1</v>
      </c>
      <c r="E210" s="91"/>
    </row>
    <row r="211" spans="1:5">
      <c r="A211" s="87" t="s">
        <v>857</v>
      </c>
      <c r="B211" s="87" t="s">
        <v>858</v>
      </c>
      <c r="C211" s="14"/>
      <c r="D211" s="87">
        <f t="shared" si="3"/>
        <v>1</v>
      </c>
      <c r="E211" s="91"/>
    </row>
    <row r="212" spans="1:5">
      <c r="A212" s="87" t="s">
        <v>859</v>
      </c>
      <c r="B212" s="88" t="s">
        <v>860</v>
      </c>
      <c r="C212" s="14"/>
      <c r="D212" s="87">
        <f t="shared" si="3"/>
        <v>1</v>
      </c>
      <c r="E212" s="91"/>
    </row>
    <row r="213" spans="1:5">
      <c r="A213" s="87" t="s">
        <v>861</v>
      </c>
      <c r="B213" s="87" t="s">
        <v>862</v>
      </c>
      <c r="C213" s="14"/>
      <c r="D213" s="87">
        <f t="shared" si="3"/>
        <v>1</v>
      </c>
      <c r="E213" s="91"/>
    </row>
    <row r="214" spans="1:5">
      <c r="A214" s="87" t="s">
        <v>403</v>
      </c>
      <c r="B214" s="87" t="s">
        <v>863</v>
      </c>
      <c r="C214" s="14"/>
      <c r="D214" s="87">
        <f t="shared" si="3"/>
        <v>1</v>
      </c>
      <c r="E214" s="91"/>
    </row>
    <row r="215" spans="1:5">
      <c r="A215" s="87" t="s">
        <v>864</v>
      </c>
      <c r="B215" s="87" t="s">
        <v>865</v>
      </c>
      <c r="C215" s="14"/>
      <c r="D215" s="87">
        <f t="shared" si="3"/>
        <v>1</v>
      </c>
      <c r="E215" s="91"/>
    </row>
    <row r="216" spans="1:5">
      <c r="A216" s="87" t="s">
        <v>866</v>
      </c>
      <c r="B216" s="87" t="s">
        <v>867</v>
      </c>
      <c r="C216" s="14"/>
      <c r="D216" s="87">
        <f t="shared" si="3"/>
        <v>1</v>
      </c>
      <c r="E216" s="91"/>
    </row>
    <row r="217" spans="1:5">
      <c r="A217" s="87" t="s">
        <v>868</v>
      </c>
      <c r="B217" s="87" t="s">
        <v>869</v>
      </c>
      <c r="C217" s="14"/>
      <c r="D217" s="87">
        <f t="shared" si="3"/>
        <v>1</v>
      </c>
      <c r="E217" s="91"/>
    </row>
    <row r="218" spans="1:5">
      <c r="A218" s="87" t="s">
        <v>870</v>
      </c>
      <c r="B218" s="87" t="s">
        <v>871</v>
      </c>
      <c r="C218" s="14"/>
      <c r="D218" s="87">
        <f t="shared" si="3"/>
        <v>1</v>
      </c>
      <c r="E218" s="91"/>
    </row>
    <row r="219" spans="1:5">
      <c r="A219" s="87" t="s">
        <v>872</v>
      </c>
      <c r="B219" s="87" t="s">
        <v>873</v>
      </c>
      <c r="C219" s="14"/>
      <c r="D219" s="87">
        <f t="shared" si="3"/>
        <v>1</v>
      </c>
      <c r="E219" s="91"/>
    </row>
    <row r="220" spans="1:5">
      <c r="A220" s="87" t="s">
        <v>874</v>
      </c>
      <c r="B220" s="87" t="s">
        <v>395</v>
      </c>
      <c r="C220" s="14"/>
      <c r="D220" s="87">
        <f t="shared" si="3"/>
        <v>1</v>
      </c>
      <c r="E220" s="91"/>
    </row>
    <row r="221" spans="1:5">
      <c r="A221" s="87" t="s">
        <v>875</v>
      </c>
      <c r="B221" s="87" t="s">
        <v>400</v>
      </c>
      <c r="C221" s="14"/>
      <c r="D221" s="87">
        <f t="shared" si="3"/>
        <v>1</v>
      </c>
      <c r="E221" s="91"/>
    </row>
    <row r="222" spans="1:5">
      <c r="A222" s="87" t="s">
        <v>876</v>
      </c>
      <c r="B222" s="87" t="s">
        <v>398</v>
      </c>
      <c r="C222" s="14"/>
      <c r="D222" s="87">
        <f t="shared" si="3"/>
        <v>1</v>
      </c>
      <c r="E222" s="91"/>
    </row>
    <row r="223" spans="1:5">
      <c r="A223" s="87" t="s">
        <v>877</v>
      </c>
      <c r="B223" s="88" t="s">
        <v>878</v>
      </c>
      <c r="C223" s="14"/>
      <c r="D223" s="87">
        <f t="shared" si="3"/>
        <v>1</v>
      </c>
      <c r="E223" s="91"/>
    </row>
    <row r="224" spans="1:5">
      <c r="A224" s="87" t="s">
        <v>879</v>
      </c>
      <c r="B224" s="87" t="s">
        <v>880</v>
      </c>
      <c r="C224" s="14"/>
      <c r="D224" s="87">
        <f t="shared" si="3"/>
        <v>1</v>
      </c>
      <c r="E224" s="91"/>
    </row>
    <row r="225" spans="1:5">
      <c r="A225" s="87" t="s">
        <v>881</v>
      </c>
      <c r="B225" s="87" t="s">
        <v>380</v>
      </c>
      <c r="C225" s="14"/>
      <c r="D225" s="87">
        <f t="shared" si="3"/>
        <v>1</v>
      </c>
      <c r="E225" s="91"/>
    </row>
    <row r="226" spans="1:5">
      <c r="A226" s="87" t="s">
        <v>882</v>
      </c>
      <c r="B226" s="87" t="s">
        <v>883</v>
      </c>
      <c r="C226" s="14"/>
      <c r="D226" s="87">
        <f t="shared" si="3"/>
        <v>1</v>
      </c>
      <c r="E226" s="91"/>
    </row>
    <row r="227" spans="1:5">
      <c r="A227" s="87" t="s">
        <v>406</v>
      </c>
      <c r="B227" s="87" t="s">
        <v>884</v>
      </c>
      <c r="C227" s="14"/>
      <c r="D227" s="87">
        <f t="shared" si="3"/>
        <v>1</v>
      </c>
      <c r="E227" s="91"/>
    </row>
    <row r="228" spans="1:5">
      <c r="A228" s="87" t="s">
        <v>407</v>
      </c>
      <c r="B228" s="96" t="s">
        <v>885</v>
      </c>
      <c r="C228" s="14" t="s">
        <v>468</v>
      </c>
      <c r="D228" s="87">
        <f t="shared" si="3"/>
        <v>1</v>
      </c>
      <c r="E228" s="91"/>
    </row>
    <row r="229" spans="1:5">
      <c r="A229" s="87" t="s">
        <v>886</v>
      </c>
      <c r="B229" s="87" t="s">
        <v>887</v>
      </c>
      <c r="C229" s="14"/>
      <c r="D229" s="87">
        <f t="shared" si="3"/>
        <v>1</v>
      </c>
      <c r="E229" s="91"/>
    </row>
    <row r="230" spans="1:5">
      <c r="A230" s="87" t="s">
        <v>888</v>
      </c>
      <c r="B230" s="87" t="s">
        <v>889</v>
      </c>
      <c r="C230" s="14"/>
      <c r="D230" s="87">
        <f t="shared" si="3"/>
        <v>1</v>
      </c>
      <c r="E230" s="91"/>
    </row>
    <row r="231" spans="1:5">
      <c r="A231" s="100" t="s">
        <v>296</v>
      </c>
      <c r="B231" s="100" t="s">
        <v>890</v>
      </c>
      <c r="C231" s="101">
        <v>45071</v>
      </c>
      <c r="D231" s="87">
        <f t="shared" si="3"/>
        <v>1</v>
      </c>
      <c r="E231" s="91"/>
    </row>
    <row r="232" spans="1:5">
      <c r="A232" s="87" t="s">
        <v>891</v>
      </c>
      <c r="B232" s="87" t="s">
        <v>892</v>
      </c>
      <c r="C232" s="14"/>
      <c r="D232" s="87">
        <f t="shared" si="3"/>
        <v>1</v>
      </c>
      <c r="E232" s="91"/>
    </row>
    <row r="233" spans="1:5">
      <c r="A233" s="87" t="s">
        <v>893</v>
      </c>
      <c r="B233" s="87" t="s">
        <v>894</v>
      </c>
      <c r="C233" s="14"/>
      <c r="D233" s="87">
        <f t="shared" si="3"/>
        <v>1</v>
      </c>
      <c r="E233" s="91"/>
    </row>
    <row r="234" spans="1:5">
      <c r="A234" s="100" t="s">
        <v>895</v>
      </c>
      <c r="B234" s="100" t="s">
        <v>896</v>
      </c>
      <c r="C234" s="101">
        <v>45071</v>
      </c>
      <c r="D234" s="87">
        <f t="shared" si="3"/>
        <v>1</v>
      </c>
      <c r="E234" s="91"/>
    </row>
    <row r="235" spans="1:5">
      <c r="A235" s="14" t="s">
        <v>897</v>
      </c>
      <c r="B235" s="87" t="s">
        <v>898</v>
      </c>
      <c r="C235" s="14"/>
      <c r="D235" s="87">
        <f t="shared" si="3"/>
        <v>1</v>
      </c>
      <c r="E235" s="91"/>
    </row>
    <row r="236" spans="1:5">
      <c r="A236" s="102" t="s">
        <v>899</v>
      </c>
      <c r="B236" s="102" t="s">
        <v>900</v>
      </c>
      <c r="C236" s="101">
        <v>45071</v>
      </c>
      <c r="D236" s="87">
        <f t="shared" si="3"/>
        <v>1</v>
      </c>
      <c r="E236" s="91"/>
    </row>
    <row r="237" spans="1:5">
      <c r="A237" s="102" t="s">
        <v>901</v>
      </c>
      <c r="B237" s="103" t="s">
        <v>902</v>
      </c>
      <c r="C237" s="101">
        <v>45071</v>
      </c>
      <c r="D237" s="87">
        <f t="shared" si="3"/>
        <v>1</v>
      </c>
      <c r="E237" s="91"/>
    </row>
    <row r="238" spans="1:5">
      <c r="A238" s="103" t="s">
        <v>903</v>
      </c>
      <c r="B238" s="103" t="s">
        <v>904</v>
      </c>
      <c r="C238" s="101">
        <v>45071</v>
      </c>
      <c r="D238" s="87">
        <f t="shared" si="3"/>
        <v>1</v>
      </c>
      <c r="E238" s="91"/>
    </row>
    <row r="239" spans="1:5">
      <c r="A239" s="103" t="s">
        <v>905</v>
      </c>
      <c r="B239" s="103" t="s">
        <v>906</v>
      </c>
      <c r="C239" s="101">
        <v>45071</v>
      </c>
      <c r="D239" s="87">
        <f t="shared" si="3"/>
        <v>1</v>
      </c>
      <c r="E239" s="91"/>
    </row>
    <row r="240" spans="1:5">
      <c r="A240" s="100" t="s">
        <v>907</v>
      </c>
      <c r="B240" s="103" t="s">
        <v>908</v>
      </c>
      <c r="C240" s="101">
        <v>45071</v>
      </c>
      <c r="D240" s="87">
        <f t="shared" si="3"/>
        <v>1</v>
      </c>
      <c r="E240" s="91"/>
    </row>
    <row r="241" spans="1:5">
      <c r="A241" s="100" t="s">
        <v>909</v>
      </c>
      <c r="B241" s="103" t="s">
        <v>910</v>
      </c>
      <c r="C241" s="101">
        <v>45071</v>
      </c>
      <c r="D241" s="87">
        <f t="shared" si="3"/>
        <v>1</v>
      </c>
      <c r="E241" s="91"/>
    </row>
    <row r="242" spans="1:5">
      <c r="A242" s="14" t="s">
        <v>911</v>
      </c>
      <c r="B242" s="87" t="s">
        <v>912</v>
      </c>
      <c r="C242" s="14"/>
      <c r="D242" s="87">
        <f t="shared" si="3"/>
        <v>1</v>
      </c>
      <c r="E242" s="91"/>
    </row>
    <row r="243" spans="1:5">
      <c r="A243" s="14" t="s">
        <v>913</v>
      </c>
      <c r="B243" s="87" t="s">
        <v>914</v>
      </c>
      <c r="C243" s="14"/>
      <c r="D243" s="87">
        <f t="shared" si="3"/>
        <v>1</v>
      </c>
      <c r="E243" s="91"/>
    </row>
    <row r="244" spans="1:5">
      <c r="A244" s="14" t="s">
        <v>915</v>
      </c>
      <c r="B244" s="87" t="s">
        <v>916</v>
      </c>
      <c r="C244" s="14"/>
      <c r="D244" s="87">
        <f t="shared" si="3"/>
        <v>1</v>
      </c>
      <c r="E244" s="91"/>
    </row>
    <row r="245" spans="1:5">
      <c r="A245" s="103" t="s">
        <v>917</v>
      </c>
      <c r="B245" s="103" t="s">
        <v>918</v>
      </c>
      <c r="C245" s="101">
        <v>45071</v>
      </c>
      <c r="D245" s="87">
        <f t="shared" si="3"/>
        <v>1</v>
      </c>
      <c r="E245" s="91"/>
    </row>
    <row r="246" spans="1:5">
      <c r="A246" s="103" t="s">
        <v>919</v>
      </c>
      <c r="B246" s="103" t="s">
        <v>920</v>
      </c>
      <c r="C246" s="101">
        <v>45071</v>
      </c>
      <c r="D246" s="87">
        <f t="shared" si="3"/>
        <v>1</v>
      </c>
      <c r="E246" s="91"/>
    </row>
    <row r="247" spans="1:5">
      <c r="A247" s="87" t="s">
        <v>921</v>
      </c>
      <c r="B247" s="87" t="s">
        <v>922</v>
      </c>
      <c r="C247" s="14"/>
      <c r="D247" s="87">
        <f t="shared" si="3"/>
        <v>1</v>
      </c>
      <c r="E247" s="91"/>
    </row>
    <row r="248" spans="1:5">
      <c r="A248" s="87" t="s">
        <v>923</v>
      </c>
      <c r="B248" s="87" t="s">
        <v>924</v>
      </c>
      <c r="C248" s="14"/>
      <c r="D248" s="87">
        <f t="shared" si="3"/>
        <v>1</v>
      </c>
      <c r="E248" s="91"/>
    </row>
    <row r="249" spans="1:5">
      <c r="A249" s="87" t="s">
        <v>925</v>
      </c>
      <c r="B249" s="87" t="s">
        <v>926</v>
      </c>
      <c r="C249" s="14"/>
      <c r="D249" s="87">
        <f t="shared" si="3"/>
        <v>1</v>
      </c>
      <c r="E249" s="91"/>
    </row>
    <row r="250" spans="1:5">
      <c r="A250" s="87" t="s">
        <v>927</v>
      </c>
      <c r="B250" s="87" t="s">
        <v>928</v>
      </c>
      <c r="C250" s="14"/>
      <c r="D250" s="87">
        <f t="shared" si="3"/>
        <v>1</v>
      </c>
      <c r="E250" s="91"/>
    </row>
    <row r="251" spans="1:5">
      <c r="A251" s="87" t="s">
        <v>929</v>
      </c>
      <c r="B251" s="87" t="s">
        <v>930</v>
      </c>
      <c r="C251" s="14"/>
      <c r="D251" s="87">
        <f t="shared" si="3"/>
        <v>1</v>
      </c>
      <c r="E251" s="91"/>
    </row>
    <row r="252" spans="1:5">
      <c r="A252" s="87" t="s">
        <v>931</v>
      </c>
      <c r="B252" s="87" t="s">
        <v>932</v>
      </c>
      <c r="C252" s="14"/>
      <c r="D252" s="87">
        <f t="shared" si="3"/>
        <v>1</v>
      </c>
      <c r="E252" s="91" t="s">
        <v>933</v>
      </c>
    </row>
    <row r="253" spans="1:5">
      <c r="A253" s="87" t="s">
        <v>934</v>
      </c>
      <c r="B253" s="87" t="s">
        <v>935</v>
      </c>
      <c r="C253" s="14"/>
      <c r="D253" s="87">
        <f t="shared" si="3"/>
        <v>1</v>
      </c>
      <c r="E253" s="91" t="s">
        <v>933</v>
      </c>
    </row>
    <row r="254" spans="1:5">
      <c r="A254" s="87" t="s">
        <v>936</v>
      </c>
      <c r="B254" s="87" t="s">
        <v>937</v>
      </c>
      <c r="C254" s="14"/>
      <c r="D254" s="87">
        <f t="shared" si="3"/>
        <v>1</v>
      </c>
      <c r="E254" s="136" t="s">
        <v>938</v>
      </c>
    </row>
    <row r="255" spans="1:5">
      <c r="A255" s="87" t="s">
        <v>939</v>
      </c>
      <c r="B255" s="87" t="s">
        <v>188</v>
      </c>
      <c r="C255" s="14"/>
      <c r="D255" s="87">
        <f t="shared" si="3"/>
        <v>1</v>
      </c>
      <c r="E255" s="136" t="s">
        <v>940</v>
      </c>
    </row>
    <row r="256" spans="1:5">
      <c r="A256" s="87" t="s">
        <v>941</v>
      </c>
      <c r="B256" s="87" t="s">
        <v>212</v>
      </c>
      <c r="C256" s="14"/>
      <c r="D256" s="87">
        <f t="shared" si="3"/>
        <v>1</v>
      </c>
      <c r="E256" s="136" t="s">
        <v>942</v>
      </c>
    </row>
    <row r="257" spans="1:5">
      <c r="A257" s="87" t="s">
        <v>943</v>
      </c>
      <c r="B257" s="87" t="s">
        <v>944</v>
      </c>
      <c r="C257" s="14"/>
      <c r="D257" s="87">
        <f t="shared" si="3"/>
        <v>1</v>
      </c>
      <c r="E257" s="91" t="s">
        <v>933</v>
      </c>
    </row>
    <row r="258" spans="1:5">
      <c r="A258" s="87" t="s">
        <v>945</v>
      </c>
      <c r="B258" s="87" t="s">
        <v>946</v>
      </c>
      <c r="C258" s="14"/>
      <c r="D258" s="87">
        <f t="shared" ref="D258:D321" si="4">IF(B258&lt;&gt;C258,1,0)</f>
        <v>1</v>
      </c>
      <c r="E258" s="91" t="s">
        <v>933</v>
      </c>
    </row>
    <row r="259" spans="1:5">
      <c r="A259" s="87" t="s">
        <v>947</v>
      </c>
      <c r="B259" s="87" t="s">
        <v>948</v>
      </c>
      <c r="C259" s="14"/>
      <c r="D259" s="87">
        <f t="shared" si="4"/>
        <v>1</v>
      </c>
      <c r="E259" s="136" t="s">
        <v>949</v>
      </c>
    </row>
    <row r="260" spans="1:5">
      <c r="A260" s="87" t="s">
        <v>950</v>
      </c>
      <c r="B260" s="87" t="s">
        <v>951</v>
      </c>
      <c r="C260" s="14"/>
      <c r="D260" s="87">
        <f t="shared" si="4"/>
        <v>1</v>
      </c>
      <c r="E260" s="91" t="s">
        <v>933</v>
      </c>
    </row>
    <row r="261" spans="1:5">
      <c r="A261" s="87" t="s">
        <v>952</v>
      </c>
      <c r="B261" s="87" t="s">
        <v>953</v>
      </c>
      <c r="C261" s="14"/>
      <c r="D261" s="87">
        <f t="shared" si="4"/>
        <v>1</v>
      </c>
      <c r="E261" s="91" t="s">
        <v>933</v>
      </c>
    </row>
    <row r="262" spans="1:5">
      <c r="A262" s="87" t="s">
        <v>954</v>
      </c>
      <c r="B262" s="87" t="s">
        <v>955</v>
      </c>
      <c r="C262" s="14"/>
      <c r="D262" s="87">
        <f t="shared" si="4"/>
        <v>1</v>
      </c>
      <c r="E262" s="136" t="s">
        <v>956</v>
      </c>
    </row>
    <row r="263" spans="1:5">
      <c r="A263" s="87" t="s">
        <v>957</v>
      </c>
      <c r="B263" s="87" t="s">
        <v>958</v>
      </c>
      <c r="C263" s="14"/>
      <c r="D263" s="87">
        <f t="shared" si="4"/>
        <v>1</v>
      </c>
      <c r="E263" s="91" t="s">
        <v>933</v>
      </c>
    </row>
    <row r="264" spans="1:5">
      <c r="A264" s="87" t="s">
        <v>959</v>
      </c>
      <c r="B264" s="87" t="s">
        <v>960</v>
      </c>
      <c r="C264" s="14"/>
      <c r="D264" s="87">
        <f t="shared" si="4"/>
        <v>1</v>
      </c>
      <c r="E264" s="91" t="s">
        <v>933</v>
      </c>
    </row>
    <row r="265" spans="1:5">
      <c r="A265" s="87" t="s">
        <v>961</v>
      </c>
      <c r="B265" s="87" t="s">
        <v>962</v>
      </c>
      <c r="C265" s="14"/>
      <c r="D265" s="87">
        <f t="shared" si="4"/>
        <v>1</v>
      </c>
      <c r="E265" s="91" t="s">
        <v>963</v>
      </c>
    </row>
    <row r="266" spans="1:5">
      <c r="A266" s="87" t="s">
        <v>964</v>
      </c>
      <c r="B266" s="87" t="s">
        <v>965</v>
      </c>
      <c r="C266" s="14"/>
      <c r="D266" s="92">
        <f t="shared" si="4"/>
        <v>1</v>
      </c>
      <c r="E266" s="91" t="s">
        <v>966</v>
      </c>
    </row>
    <row r="267" spans="1:5">
      <c r="A267" s="87" t="s">
        <v>967</v>
      </c>
      <c r="B267" s="87" t="s">
        <v>968</v>
      </c>
      <c r="C267" s="14"/>
      <c r="D267" s="87">
        <f t="shared" si="4"/>
        <v>1</v>
      </c>
      <c r="E267" s="91" t="s">
        <v>933</v>
      </c>
    </row>
    <row r="268" spans="1:5">
      <c r="A268" s="87" t="s">
        <v>969</v>
      </c>
      <c r="B268" s="87" t="s">
        <v>970</v>
      </c>
      <c r="C268" s="14"/>
      <c r="D268" s="87">
        <f t="shared" si="4"/>
        <v>1</v>
      </c>
      <c r="E268" s="91" t="s">
        <v>933</v>
      </c>
    </row>
    <row r="269" spans="1:5">
      <c r="A269" s="87" t="s">
        <v>971</v>
      </c>
      <c r="B269" s="87" t="s">
        <v>972</v>
      </c>
      <c r="C269" s="14"/>
      <c r="D269" s="87">
        <f t="shared" si="4"/>
        <v>1</v>
      </c>
      <c r="E269" s="91" t="s">
        <v>933</v>
      </c>
    </row>
    <row r="270" spans="1:5">
      <c r="A270" s="87" t="s">
        <v>973</v>
      </c>
      <c r="B270" s="87" t="s">
        <v>974</v>
      </c>
      <c r="C270" s="14"/>
      <c r="D270" s="87">
        <f t="shared" si="4"/>
        <v>1</v>
      </c>
      <c r="E270" s="91" t="s">
        <v>933</v>
      </c>
    </row>
    <row r="271" spans="1:5">
      <c r="A271" s="87" t="s">
        <v>975</v>
      </c>
      <c r="B271" s="87" t="s">
        <v>976</v>
      </c>
      <c r="C271" s="14"/>
      <c r="D271" s="87">
        <f t="shared" si="4"/>
        <v>1</v>
      </c>
      <c r="E271" s="91" t="s">
        <v>933</v>
      </c>
    </row>
    <row r="272" spans="1:5">
      <c r="A272" s="87" t="s">
        <v>977</v>
      </c>
      <c r="B272" s="87" t="s">
        <v>978</v>
      </c>
      <c r="C272" s="14"/>
      <c r="D272" s="87">
        <f t="shared" si="4"/>
        <v>1</v>
      </c>
      <c r="E272" s="91" t="s">
        <v>979</v>
      </c>
    </row>
    <row r="273" spans="1:5">
      <c r="A273" s="88" t="s">
        <v>980</v>
      </c>
      <c r="B273" s="96" t="s">
        <v>981</v>
      </c>
      <c r="C273" s="14" t="s">
        <v>468</v>
      </c>
      <c r="D273" s="87">
        <f t="shared" si="4"/>
        <v>1</v>
      </c>
      <c r="E273" s="91" t="s">
        <v>979</v>
      </c>
    </row>
    <row r="274" spans="1:5">
      <c r="A274" s="87" t="s">
        <v>982</v>
      </c>
      <c r="B274" s="87" t="s">
        <v>983</v>
      </c>
      <c r="C274" s="14"/>
      <c r="D274" s="87">
        <f t="shared" si="4"/>
        <v>1</v>
      </c>
      <c r="E274" s="91" t="s">
        <v>979</v>
      </c>
    </row>
    <row r="275" spans="1:5">
      <c r="A275" s="87" t="s">
        <v>984</v>
      </c>
      <c r="B275" s="87" t="s">
        <v>985</v>
      </c>
      <c r="C275" s="14"/>
      <c r="D275" s="87">
        <f t="shared" si="4"/>
        <v>1</v>
      </c>
      <c r="E275" s="91" t="s">
        <v>979</v>
      </c>
    </row>
    <row r="276" spans="1:5">
      <c r="A276" s="87" t="s">
        <v>986</v>
      </c>
      <c r="B276" s="87" t="s">
        <v>987</v>
      </c>
      <c r="C276" s="14"/>
      <c r="D276" s="87">
        <f t="shared" si="4"/>
        <v>1</v>
      </c>
      <c r="E276" s="91" t="s">
        <v>979</v>
      </c>
    </row>
    <row r="277" spans="1:5">
      <c r="A277" s="87" t="s">
        <v>988</v>
      </c>
      <c r="B277" s="87" t="s">
        <v>989</v>
      </c>
      <c r="C277" s="14"/>
      <c r="D277" s="87">
        <f t="shared" si="4"/>
        <v>1</v>
      </c>
      <c r="E277" s="91" t="s">
        <v>979</v>
      </c>
    </row>
    <row r="278" spans="1:5">
      <c r="A278" s="87" t="s">
        <v>990</v>
      </c>
      <c r="B278" s="87" t="s">
        <v>991</v>
      </c>
      <c r="C278" s="14"/>
      <c r="D278" s="87">
        <f t="shared" si="4"/>
        <v>1</v>
      </c>
      <c r="E278" s="91" t="s">
        <v>979</v>
      </c>
    </row>
    <row r="279" spans="1:5">
      <c r="A279" s="87" t="s">
        <v>992</v>
      </c>
      <c r="B279" s="87" t="s">
        <v>558</v>
      </c>
      <c r="C279" s="14"/>
      <c r="D279" s="87">
        <f t="shared" si="4"/>
        <v>1</v>
      </c>
      <c r="E279" s="91" t="s">
        <v>979</v>
      </c>
    </row>
    <row r="280" spans="1:5">
      <c r="A280" s="87" t="s">
        <v>993</v>
      </c>
      <c r="B280" s="87" t="s">
        <v>994</v>
      </c>
      <c r="C280" s="14"/>
      <c r="D280" s="87">
        <f t="shared" si="4"/>
        <v>1</v>
      </c>
      <c r="E280" s="91" t="s">
        <v>979</v>
      </c>
    </row>
    <row r="281" spans="1:5">
      <c r="A281" s="87" t="s">
        <v>995</v>
      </c>
      <c r="B281" s="87" t="s">
        <v>996</v>
      </c>
      <c r="C281" s="14"/>
      <c r="D281" s="87">
        <f t="shared" si="4"/>
        <v>1</v>
      </c>
      <c r="E281" s="91" t="s">
        <v>979</v>
      </c>
    </row>
    <row r="282" spans="1:5">
      <c r="A282" s="87" t="s">
        <v>997</v>
      </c>
      <c r="B282" s="87" t="s">
        <v>998</v>
      </c>
      <c r="C282" s="14"/>
      <c r="D282" s="87">
        <f t="shared" si="4"/>
        <v>1</v>
      </c>
      <c r="E282" s="91" t="s">
        <v>979</v>
      </c>
    </row>
    <row r="283" spans="1:5">
      <c r="A283" s="87" t="s">
        <v>999</v>
      </c>
      <c r="B283" s="87" t="s">
        <v>1000</v>
      </c>
      <c r="C283" s="14"/>
      <c r="D283" s="87">
        <f t="shared" si="4"/>
        <v>1</v>
      </c>
      <c r="E283" s="91" t="s">
        <v>979</v>
      </c>
    </row>
    <row r="284" spans="1:5">
      <c r="A284" s="87" t="s">
        <v>1001</v>
      </c>
      <c r="B284" s="87" t="s">
        <v>1002</v>
      </c>
      <c r="C284" s="14"/>
      <c r="D284" s="87">
        <f t="shared" si="4"/>
        <v>1</v>
      </c>
      <c r="E284" s="91" t="s">
        <v>979</v>
      </c>
    </row>
    <row r="285" spans="1:5">
      <c r="A285" s="87" t="s">
        <v>1003</v>
      </c>
      <c r="B285" s="87" t="s">
        <v>1004</v>
      </c>
      <c r="C285" s="14"/>
      <c r="D285" s="87">
        <f t="shared" si="4"/>
        <v>1</v>
      </c>
      <c r="E285" s="91" t="s">
        <v>979</v>
      </c>
    </row>
    <row r="286" spans="1:5">
      <c r="A286" s="87" t="s">
        <v>1005</v>
      </c>
      <c r="B286" s="87" t="s">
        <v>1006</v>
      </c>
      <c r="C286" s="14"/>
      <c r="D286" s="87">
        <f t="shared" si="4"/>
        <v>1</v>
      </c>
      <c r="E286" s="91" t="s">
        <v>979</v>
      </c>
    </row>
    <row r="287" spans="1:5">
      <c r="A287" s="87" t="s">
        <v>1007</v>
      </c>
      <c r="B287" s="87" t="s">
        <v>996</v>
      </c>
      <c r="C287" s="14"/>
      <c r="D287" s="87">
        <f t="shared" si="4"/>
        <v>1</v>
      </c>
      <c r="E287" s="91" t="s">
        <v>979</v>
      </c>
    </row>
    <row r="288" spans="1:5">
      <c r="A288" s="87" t="s">
        <v>1008</v>
      </c>
      <c r="B288" s="87" t="s">
        <v>1009</v>
      </c>
      <c r="C288" s="14"/>
      <c r="D288" s="87">
        <f t="shared" si="4"/>
        <v>1</v>
      </c>
      <c r="E288" s="91" t="s">
        <v>979</v>
      </c>
    </row>
    <row r="289" spans="1:5">
      <c r="A289" s="87" t="s">
        <v>1010</v>
      </c>
      <c r="B289" s="87" t="s">
        <v>1011</v>
      </c>
      <c r="C289" s="14"/>
      <c r="D289" s="87">
        <f t="shared" si="4"/>
        <v>1</v>
      </c>
      <c r="E289" s="91" t="s">
        <v>979</v>
      </c>
    </row>
    <row r="290" spans="1:5">
      <c r="A290" s="87" t="s">
        <v>1012</v>
      </c>
      <c r="B290" s="87" t="s">
        <v>1013</v>
      </c>
      <c r="C290" s="14"/>
      <c r="D290" s="87">
        <f t="shared" si="4"/>
        <v>1</v>
      </c>
      <c r="E290" s="91" t="s">
        <v>979</v>
      </c>
    </row>
    <row r="291" spans="1:5">
      <c r="A291" s="87" t="s">
        <v>1014</v>
      </c>
      <c r="B291" s="87" t="s">
        <v>1015</v>
      </c>
      <c r="C291" s="14"/>
      <c r="D291" s="87">
        <f t="shared" si="4"/>
        <v>1</v>
      </c>
      <c r="E291" s="91" t="s">
        <v>979</v>
      </c>
    </row>
    <row r="292" spans="1:5">
      <c r="A292" s="87" t="s">
        <v>1016</v>
      </c>
      <c r="B292" s="87" t="s">
        <v>1017</v>
      </c>
      <c r="C292" s="14"/>
      <c r="D292" s="87">
        <f t="shared" si="4"/>
        <v>1</v>
      </c>
      <c r="E292" s="91" t="s">
        <v>979</v>
      </c>
    </row>
    <row r="293" spans="1:5">
      <c r="A293" s="87" t="s">
        <v>1018</v>
      </c>
      <c r="B293" s="87" t="s">
        <v>1019</v>
      </c>
      <c r="C293" s="14"/>
      <c r="D293" s="87">
        <f t="shared" si="4"/>
        <v>1</v>
      </c>
      <c r="E293" s="91" t="s">
        <v>979</v>
      </c>
    </row>
    <row r="294" spans="1:5">
      <c r="A294" s="87" t="s">
        <v>1020</v>
      </c>
      <c r="B294" s="87" t="s">
        <v>1021</v>
      </c>
      <c r="C294" s="14"/>
      <c r="D294" s="87">
        <f t="shared" si="4"/>
        <v>1</v>
      </c>
      <c r="E294" s="91" t="s">
        <v>979</v>
      </c>
    </row>
    <row r="295" spans="1:5">
      <c r="A295" s="87" t="s">
        <v>1022</v>
      </c>
      <c r="B295" s="87" t="s">
        <v>1023</v>
      </c>
      <c r="C295" s="14"/>
      <c r="D295" s="87">
        <f t="shared" si="4"/>
        <v>1</v>
      </c>
      <c r="E295" s="91" t="s">
        <v>979</v>
      </c>
    </row>
    <row r="296" spans="1:5">
      <c r="A296" s="87" t="s">
        <v>1024</v>
      </c>
      <c r="B296" s="87" t="s">
        <v>1025</v>
      </c>
      <c r="C296" s="14"/>
      <c r="D296" s="87">
        <f t="shared" si="4"/>
        <v>1</v>
      </c>
      <c r="E296" s="91" t="s">
        <v>979</v>
      </c>
    </row>
    <row r="297" spans="1:5">
      <c r="A297" s="87" t="s">
        <v>1026</v>
      </c>
      <c r="B297" s="87" t="s">
        <v>1027</v>
      </c>
      <c r="C297" s="14"/>
      <c r="D297" s="87">
        <f t="shared" si="4"/>
        <v>1</v>
      </c>
      <c r="E297" s="91" t="s">
        <v>979</v>
      </c>
    </row>
    <row r="298" spans="1:5">
      <c r="A298" s="87" t="s">
        <v>1028</v>
      </c>
      <c r="B298" s="87" t="s">
        <v>1029</v>
      </c>
      <c r="C298" s="14"/>
      <c r="D298" s="87">
        <f t="shared" si="4"/>
        <v>1</v>
      </c>
      <c r="E298" s="91" t="s">
        <v>979</v>
      </c>
    </row>
    <row r="299" spans="1:5">
      <c r="A299" s="87" t="s">
        <v>1030</v>
      </c>
      <c r="B299" s="87" t="s">
        <v>1031</v>
      </c>
      <c r="C299" s="14"/>
      <c r="D299" s="87">
        <f t="shared" si="4"/>
        <v>1</v>
      </c>
      <c r="E299" s="91" t="s">
        <v>979</v>
      </c>
    </row>
    <row r="300" spans="1:5">
      <c r="A300" s="87" t="s">
        <v>1032</v>
      </c>
      <c r="B300" s="87" t="s">
        <v>1033</v>
      </c>
      <c r="C300" s="14"/>
      <c r="D300" s="87">
        <f t="shared" si="4"/>
        <v>1</v>
      </c>
      <c r="E300" s="91" t="s">
        <v>979</v>
      </c>
    </row>
    <row r="301" spans="1:5">
      <c r="A301" s="87" t="s">
        <v>1034</v>
      </c>
      <c r="B301" s="87" t="s">
        <v>1035</v>
      </c>
      <c r="C301" s="14"/>
      <c r="D301" s="87">
        <f t="shared" si="4"/>
        <v>1</v>
      </c>
      <c r="E301" s="91" t="s">
        <v>979</v>
      </c>
    </row>
    <row r="302" spans="1:5">
      <c r="A302" s="87" t="s">
        <v>1036</v>
      </c>
      <c r="B302" s="87" t="s">
        <v>1037</v>
      </c>
      <c r="C302" s="14"/>
      <c r="D302" s="87">
        <f t="shared" si="4"/>
        <v>1</v>
      </c>
      <c r="E302" s="91" t="s">
        <v>979</v>
      </c>
    </row>
    <row r="303" spans="1:5">
      <c r="A303" s="87" t="s">
        <v>1038</v>
      </c>
      <c r="B303" s="87" t="s">
        <v>1039</v>
      </c>
      <c r="C303" s="14"/>
      <c r="D303" s="87">
        <f t="shared" si="4"/>
        <v>1</v>
      </c>
      <c r="E303" s="91" t="s">
        <v>979</v>
      </c>
    </row>
    <row r="304" spans="1:5">
      <c r="A304" s="87" t="s">
        <v>1040</v>
      </c>
      <c r="B304" s="87" t="s">
        <v>1041</v>
      </c>
      <c r="C304" s="14"/>
      <c r="D304" s="87">
        <f t="shared" si="4"/>
        <v>1</v>
      </c>
      <c r="E304" s="91" t="s">
        <v>979</v>
      </c>
    </row>
    <row r="305" spans="1:5">
      <c r="A305" s="87" t="s">
        <v>1042</v>
      </c>
      <c r="B305" s="87" t="s">
        <v>1043</v>
      </c>
      <c r="C305" s="14"/>
      <c r="D305" s="87">
        <f t="shared" si="4"/>
        <v>1</v>
      </c>
      <c r="E305" s="91" t="s">
        <v>979</v>
      </c>
    </row>
    <row r="306" spans="1:5">
      <c r="A306" s="87" t="s">
        <v>1044</v>
      </c>
      <c r="B306" s="87" t="s">
        <v>1045</v>
      </c>
      <c r="C306" s="14"/>
      <c r="D306" s="87">
        <f t="shared" si="4"/>
        <v>1</v>
      </c>
      <c r="E306" s="91" t="s">
        <v>979</v>
      </c>
    </row>
    <row r="307" spans="1:5">
      <c r="A307" s="87" t="s">
        <v>1046</v>
      </c>
      <c r="B307" s="87" t="s">
        <v>1047</v>
      </c>
      <c r="C307" s="14"/>
      <c r="D307" s="87">
        <f t="shared" si="4"/>
        <v>1</v>
      </c>
      <c r="E307" s="91" t="s">
        <v>979</v>
      </c>
    </row>
    <row r="308" spans="1:5">
      <c r="A308" s="87" t="s">
        <v>1048</v>
      </c>
      <c r="B308" s="87" t="s">
        <v>1049</v>
      </c>
      <c r="C308" s="14"/>
      <c r="D308" s="87">
        <f t="shared" si="4"/>
        <v>1</v>
      </c>
      <c r="E308" s="91" t="s">
        <v>979</v>
      </c>
    </row>
    <row r="309" spans="1:5">
      <c r="A309" s="87" t="s">
        <v>1050</v>
      </c>
      <c r="B309" s="87" t="s">
        <v>1051</v>
      </c>
      <c r="C309" s="14"/>
      <c r="D309" s="87">
        <f t="shared" si="4"/>
        <v>1</v>
      </c>
      <c r="E309" s="91" t="s">
        <v>979</v>
      </c>
    </row>
    <row r="310" spans="1:5">
      <c r="A310" s="87" t="s">
        <v>1052</v>
      </c>
      <c r="B310" s="87" t="s">
        <v>1053</v>
      </c>
      <c r="C310" s="14"/>
      <c r="D310" s="87">
        <f t="shared" si="4"/>
        <v>1</v>
      </c>
      <c r="E310" s="91" t="s">
        <v>979</v>
      </c>
    </row>
    <row r="311" spans="1:5">
      <c r="A311" s="87" t="s">
        <v>1054</v>
      </c>
      <c r="B311" s="87" t="s">
        <v>1055</v>
      </c>
      <c r="C311" s="14"/>
      <c r="D311" s="87">
        <f t="shared" si="4"/>
        <v>1</v>
      </c>
      <c r="E311" s="91" t="s">
        <v>979</v>
      </c>
    </row>
    <row r="312" spans="1:5">
      <c r="A312" s="87" t="s">
        <v>1056</v>
      </c>
      <c r="B312" s="87" t="s">
        <v>1057</v>
      </c>
      <c r="C312" s="14"/>
      <c r="D312" s="87">
        <f t="shared" si="4"/>
        <v>1</v>
      </c>
      <c r="E312" s="91" t="s">
        <v>979</v>
      </c>
    </row>
    <row r="313" spans="1:5">
      <c r="A313" s="87" t="s">
        <v>1058</v>
      </c>
      <c r="B313" s="87" t="s">
        <v>1059</v>
      </c>
      <c r="C313" s="14"/>
      <c r="D313" s="87">
        <f t="shared" si="4"/>
        <v>1</v>
      </c>
      <c r="E313" s="91" t="s">
        <v>979</v>
      </c>
    </row>
    <row r="314" spans="1:5">
      <c r="A314" s="87" t="s">
        <v>1060</v>
      </c>
      <c r="B314" s="87" t="s">
        <v>1061</v>
      </c>
      <c r="C314" s="14"/>
      <c r="D314" s="87">
        <f t="shared" si="4"/>
        <v>1</v>
      </c>
      <c r="E314" s="91" t="s">
        <v>979</v>
      </c>
    </row>
    <row r="315" spans="1:5">
      <c r="A315" s="87" t="s">
        <v>1062</v>
      </c>
      <c r="B315" s="87" t="s">
        <v>1063</v>
      </c>
      <c r="C315" s="14"/>
      <c r="D315" s="87">
        <f t="shared" si="4"/>
        <v>1</v>
      </c>
      <c r="E315" s="91" t="s">
        <v>979</v>
      </c>
    </row>
    <row r="316" spans="1:5">
      <c r="A316" s="87" t="s">
        <v>1064</v>
      </c>
      <c r="B316" s="87" t="s">
        <v>1065</v>
      </c>
      <c r="C316" s="14"/>
      <c r="D316" s="87">
        <f t="shared" si="4"/>
        <v>1</v>
      </c>
      <c r="E316" s="91" t="s">
        <v>979</v>
      </c>
    </row>
    <row r="317" spans="1:5">
      <c r="A317" s="87" t="s">
        <v>1066</v>
      </c>
      <c r="B317" s="87" t="s">
        <v>1067</v>
      </c>
      <c r="C317" s="14"/>
      <c r="D317" s="87">
        <f t="shared" si="4"/>
        <v>1</v>
      </c>
      <c r="E317" s="91" t="s">
        <v>979</v>
      </c>
    </row>
    <row r="318" spans="1:5">
      <c r="A318" s="87" t="s">
        <v>1068</v>
      </c>
      <c r="B318" s="87" t="s">
        <v>1069</v>
      </c>
      <c r="C318" s="14"/>
      <c r="D318" s="87">
        <f t="shared" si="4"/>
        <v>1</v>
      </c>
      <c r="E318" s="91" t="s">
        <v>979</v>
      </c>
    </row>
    <row r="319" spans="1:5">
      <c r="A319" s="104" t="s">
        <v>1070</v>
      </c>
      <c r="B319" s="87" t="s">
        <v>1071</v>
      </c>
      <c r="C319" s="14" t="s">
        <v>468</v>
      </c>
      <c r="D319" s="87">
        <f t="shared" si="4"/>
        <v>1</v>
      </c>
      <c r="E319" s="91" t="s">
        <v>979</v>
      </c>
    </row>
    <row r="320" spans="1:5">
      <c r="A320" s="87" t="s">
        <v>1072</v>
      </c>
      <c r="B320" s="87" t="s">
        <v>1073</v>
      </c>
      <c r="C320" s="14"/>
      <c r="D320" s="87">
        <f t="shared" si="4"/>
        <v>1</v>
      </c>
      <c r="E320" s="91" t="s">
        <v>979</v>
      </c>
    </row>
    <row r="321" spans="1:5">
      <c r="A321" s="87" t="s">
        <v>1074</v>
      </c>
      <c r="B321" s="87" t="s">
        <v>1075</v>
      </c>
      <c r="C321" s="14"/>
      <c r="D321" s="87">
        <f t="shared" si="4"/>
        <v>1</v>
      </c>
      <c r="E321" s="91" t="s">
        <v>979</v>
      </c>
    </row>
    <row r="322" spans="1:5">
      <c r="A322" s="87" t="s">
        <v>1076</v>
      </c>
      <c r="B322" s="87" t="s">
        <v>1077</v>
      </c>
      <c r="C322" s="14"/>
      <c r="D322" s="87">
        <f t="shared" ref="D322:D385" si="5">IF(B322&lt;&gt;C322,1,0)</f>
        <v>1</v>
      </c>
      <c r="E322" s="91" t="s">
        <v>979</v>
      </c>
    </row>
    <row r="323" spans="1:5">
      <c r="A323" s="87" t="s">
        <v>1078</v>
      </c>
      <c r="B323" s="87" t="s">
        <v>1079</v>
      </c>
      <c r="C323" s="14"/>
      <c r="D323" s="87">
        <f t="shared" si="5"/>
        <v>1</v>
      </c>
      <c r="E323" s="91" t="s">
        <v>979</v>
      </c>
    </row>
    <row r="324" spans="1:5">
      <c r="A324" s="87" t="s">
        <v>1080</v>
      </c>
      <c r="B324" s="87" t="s">
        <v>1081</v>
      </c>
      <c r="C324" s="14"/>
      <c r="D324" s="87">
        <f t="shared" si="5"/>
        <v>1</v>
      </c>
      <c r="E324" s="91" t="s">
        <v>979</v>
      </c>
    </row>
    <row r="325" spans="1:5">
      <c r="A325" s="87" t="s">
        <v>1082</v>
      </c>
      <c r="B325" s="87" t="s">
        <v>1083</v>
      </c>
      <c r="C325" s="14"/>
      <c r="D325" s="87">
        <f t="shared" si="5"/>
        <v>1</v>
      </c>
      <c r="E325" s="91" t="s">
        <v>979</v>
      </c>
    </row>
    <row r="326" spans="1:5">
      <c r="A326" s="87" t="s">
        <v>1084</v>
      </c>
      <c r="B326" s="87" t="s">
        <v>1085</v>
      </c>
      <c r="C326" s="14"/>
      <c r="D326" s="87">
        <f t="shared" si="5"/>
        <v>1</v>
      </c>
      <c r="E326" s="91" t="s">
        <v>979</v>
      </c>
    </row>
    <row r="327" spans="1:5">
      <c r="A327" s="87" t="s">
        <v>1086</v>
      </c>
      <c r="B327" s="87" t="s">
        <v>1087</v>
      </c>
      <c r="C327" s="14"/>
      <c r="D327" s="87">
        <f t="shared" si="5"/>
        <v>1</v>
      </c>
      <c r="E327" s="91" t="s">
        <v>979</v>
      </c>
    </row>
    <row r="328" spans="1:5">
      <c r="A328" s="87" t="s">
        <v>1088</v>
      </c>
      <c r="B328" s="87" t="s">
        <v>1089</v>
      </c>
      <c r="C328" s="14"/>
      <c r="D328" s="87">
        <f t="shared" si="5"/>
        <v>1</v>
      </c>
      <c r="E328" s="91" t="s">
        <v>979</v>
      </c>
    </row>
    <row r="329" spans="1:5">
      <c r="A329" s="87" t="s">
        <v>1090</v>
      </c>
      <c r="B329" s="87" t="s">
        <v>1091</v>
      </c>
      <c r="C329" s="14"/>
      <c r="D329" s="87">
        <f t="shared" si="5"/>
        <v>1</v>
      </c>
      <c r="E329" s="91" t="s">
        <v>979</v>
      </c>
    </row>
    <row r="330" spans="1:5">
      <c r="A330" s="87" t="s">
        <v>1092</v>
      </c>
      <c r="B330" s="87" t="s">
        <v>1093</v>
      </c>
      <c r="C330" s="14"/>
      <c r="D330" s="87">
        <f t="shared" si="5"/>
        <v>1</v>
      </c>
      <c r="E330" s="91" t="s">
        <v>979</v>
      </c>
    </row>
    <row r="331" spans="1:5">
      <c r="A331" s="87" t="s">
        <v>1094</v>
      </c>
      <c r="B331" s="87" t="s">
        <v>1095</v>
      </c>
      <c r="C331" s="14"/>
      <c r="D331" s="87">
        <f t="shared" si="5"/>
        <v>1</v>
      </c>
      <c r="E331" s="91" t="s">
        <v>979</v>
      </c>
    </row>
    <row r="332" spans="1:5">
      <c r="A332" s="87" t="s">
        <v>1096</v>
      </c>
      <c r="B332" s="87" t="s">
        <v>1097</v>
      </c>
      <c r="C332" s="14"/>
      <c r="D332" s="87">
        <f t="shared" si="5"/>
        <v>1</v>
      </c>
      <c r="E332" s="91" t="s">
        <v>979</v>
      </c>
    </row>
    <row r="333" spans="1:5">
      <c r="A333" s="87" t="s">
        <v>1098</v>
      </c>
      <c r="B333" s="87" t="s">
        <v>1099</v>
      </c>
      <c r="C333" s="14"/>
      <c r="D333" s="87">
        <f t="shared" si="5"/>
        <v>1</v>
      </c>
      <c r="E333" s="91" t="s">
        <v>979</v>
      </c>
    </row>
    <row r="334" spans="1:5">
      <c r="A334" s="87" t="s">
        <v>1100</v>
      </c>
      <c r="B334" s="87" t="s">
        <v>1101</v>
      </c>
      <c r="C334" s="14"/>
      <c r="D334" s="87">
        <f t="shared" si="5"/>
        <v>1</v>
      </c>
      <c r="E334" s="91" t="s">
        <v>979</v>
      </c>
    </row>
    <row r="335" spans="1:5">
      <c r="A335" s="87" t="s">
        <v>1102</v>
      </c>
      <c r="B335" s="87" t="s">
        <v>1103</v>
      </c>
      <c r="C335" s="14"/>
      <c r="D335" s="87">
        <f t="shared" si="5"/>
        <v>1</v>
      </c>
      <c r="E335" s="91" t="s">
        <v>979</v>
      </c>
    </row>
    <row r="336" spans="1:5">
      <c r="A336" s="87" t="s">
        <v>1104</v>
      </c>
      <c r="B336" s="87" t="s">
        <v>1105</v>
      </c>
      <c r="C336" s="14"/>
      <c r="D336" s="87">
        <f t="shared" si="5"/>
        <v>1</v>
      </c>
      <c r="E336" s="91" t="s">
        <v>979</v>
      </c>
    </row>
    <row r="337" spans="1:5">
      <c r="A337" s="87" t="s">
        <v>1106</v>
      </c>
      <c r="B337" s="87" t="s">
        <v>1107</v>
      </c>
      <c r="C337" s="14"/>
      <c r="D337" s="87">
        <f t="shared" si="5"/>
        <v>1</v>
      </c>
      <c r="E337" s="91" t="s">
        <v>979</v>
      </c>
    </row>
    <row r="338" spans="1:5">
      <c r="A338" s="87" t="s">
        <v>1108</v>
      </c>
      <c r="B338" s="87" t="s">
        <v>1109</v>
      </c>
      <c r="C338" s="14"/>
      <c r="D338" s="87">
        <f t="shared" si="5"/>
        <v>1</v>
      </c>
      <c r="E338" s="91" t="s">
        <v>979</v>
      </c>
    </row>
    <row r="339" spans="1:5">
      <c r="A339" s="87" t="s">
        <v>1110</v>
      </c>
      <c r="B339" s="87" t="s">
        <v>1111</v>
      </c>
      <c r="C339" s="14"/>
      <c r="D339" s="87">
        <f t="shared" si="5"/>
        <v>1</v>
      </c>
      <c r="E339" s="91" t="s">
        <v>979</v>
      </c>
    </row>
    <row r="340" spans="1:5">
      <c r="A340" s="87" t="s">
        <v>1112</v>
      </c>
      <c r="B340" s="87" t="s">
        <v>1113</v>
      </c>
      <c r="C340" s="14"/>
      <c r="D340" s="87">
        <f t="shared" si="5"/>
        <v>1</v>
      </c>
      <c r="E340" s="91" t="s">
        <v>979</v>
      </c>
    </row>
    <row r="341" spans="1:5">
      <c r="A341" s="87" t="s">
        <v>1114</v>
      </c>
      <c r="B341" s="87" t="s">
        <v>1115</v>
      </c>
      <c r="C341" s="14"/>
      <c r="D341" s="87">
        <f t="shared" si="5"/>
        <v>1</v>
      </c>
      <c r="E341" s="91" t="s">
        <v>979</v>
      </c>
    </row>
    <row r="342" spans="1:5">
      <c r="A342" s="87" t="s">
        <v>1116</v>
      </c>
      <c r="B342" s="87" t="s">
        <v>1117</v>
      </c>
      <c r="C342" s="14"/>
      <c r="D342" s="87">
        <f t="shared" si="5"/>
        <v>1</v>
      </c>
      <c r="E342" s="91" t="s">
        <v>979</v>
      </c>
    </row>
    <row r="343" spans="1:5">
      <c r="A343" s="87" t="s">
        <v>1118</v>
      </c>
      <c r="B343" s="87" t="s">
        <v>1119</v>
      </c>
      <c r="C343" s="14"/>
      <c r="D343" s="87">
        <f t="shared" si="5"/>
        <v>1</v>
      </c>
      <c r="E343" s="91" t="s">
        <v>979</v>
      </c>
    </row>
    <row r="344" spans="1:5">
      <c r="A344" s="87" t="s">
        <v>1120</v>
      </c>
      <c r="B344" s="87" t="s">
        <v>1121</v>
      </c>
      <c r="C344" s="14"/>
      <c r="D344" s="87">
        <f t="shared" si="5"/>
        <v>1</v>
      </c>
      <c r="E344" s="91" t="s">
        <v>979</v>
      </c>
    </row>
    <row r="345" spans="1:5">
      <c r="A345" s="87" t="s">
        <v>1122</v>
      </c>
      <c r="B345" s="87" t="s">
        <v>1123</v>
      </c>
      <c r="C345" s="14"/>
      <c r="D345" s="87">
        <f t="shared" si="5"/>
        <v>1</v>
      </c>
      <c r="E345" s="91" t="s">
        <v>979</v>
      </c>
    </row>
    <row r="346" spans="1:5">
      <c r="A346" s="87" t="s">
        <v>1124</v>
      </c>
      <c r="B346" s="87" t="s">
        <v>1125</v>
      </c>
      <c r="C346" s="14"/>
      <c r="D346" s="87">
        <f t="shared" si="5"/>
        <v>1</v>
      </c>
      <c r="E346" s="91" t="s">
        <v>979</v>
      </c>
    </row>
    <row r="347" spans="1:5">
      <c r="A347" s="87" t="s">
        <v>1126</v>
      </c>
      <c r="B347" s="87" t="s">
        <v>1127</v>
      </c>
      <c r="C347" s="14"/>
      <c r="D347" s="87">
        <f t="shared" si="5"/>
        <v>1</v>
      </c>
      <c r="E347" s="91" t="s">
        <v>979</v>
      </c>
    </row>
    <row r="348" spans="1:5">
      <c r="A348" s="87" t="s">
        <v>1128</v>
      </c>
      <c r="B348" s="87" t="s">
        <v>1129</v>
      </c>
      <c r="C348" s="14"/>
      <c r="D348" s="87">
        <f t="shared" si="5"/>
        <v>1</v>
      </c>
      <c r="E348" s="91" t="s">
        <v>1130</v>
      </c>
    </row>
    <row r="349" spans="1:5">
      <c r="A349" s="87" t="s">
        <v>1131</v>
      </c>
      <c r="B349" s="87" t="s">
        <v>1132</v>
      </c>
      <c r="C349" s="14"/>
      <c r="D349" s="87">
        <f t="shared" si="5"/>
        <v>1</v>
      </c>
      <c r="E349" s="91" t="s">
        <v>1130</v>
      </c>
    </row>
    <row r="350" spans="1:5">
      <c r="A350" s="87" t="s">
        <v>1133</v>
      </c>
      <c r="B350" s="87" t="s">
        <v>1134</v>
      </c>
      <c r="C350" s="14"/>
      <c r="D350" s="87">
        <f t="shared" si="5"/>
        <v>1</v>
      </c>
      <c r="E350" s="91" t="s">
        <v>1130</v>
      </c>
    </row>
    <row r="351" spans="1:5">
      <c r="A351" s="87" t="s">
        <v>1135</v>
      </c>
      <c r="B351" s="87" t="s">
        <v>1136</v>
      </c>
      <c r="C351" s="14"/>
      <c r="D351" s="87">
        <f t="shared" si="5"/>
        <v>1</v>
      </c>
      <c r="E351" s="91" t="s">
        <v>1130</v>
      </c>
    </row>
    <row r="352" spans="1:5">
      <c r="A352" s="87" t="s">
        <v>1137</v>
      </c>
      <c r="B352" s="87" t="s">
        <v>1138</v>
      </c>
      <c r="C352" s="14"/>
      <c r="D352" s="87">
        <f t="shared" si="5"/>
        <v>1</v>
      </c>
      <c r="E352" s="91" t="s">
        <v>1130</v>
      </c>
    </row>
    <row r="353" spans="1:5">
      <c r="A353" s="87" t="s">
        <v>1139</v>
      </c>
      <c r="B353" s="87" t="s">
        <v>1140</v>
      </c>
      <c r="C353" s="14"/>
      <c r="D353" s="87">
        <f t="shared" si="5"/>
        <v>1</v>
      </c>
      <c r="E353" s="91" t="s">
        <v>1130</v>
      </c>
    </row>
    <row r="354" spans="1:5">
      <c r="A354" s="87" t="s">
        <v>1141</v>
      </c>
      <c r="B354" s="87" t="s">
        <v>1142</v>
      </c>
      <c r="C354" s="14"/>
      <c r="D354" s="87">
        <f t="shared" si="5"/>
        <v>1</v>
      </c>
      <c r="E354" s="91" t="s">
        <v>1143</v>
      </c>
    </row>
    <row r="355" spans="1:5">
      <c r="A355" s="87" t="s">
        <v>1144</v>
      </c>
      <c r="B355" s="87" t="s">
        <v>1145</v>
      </c>
      <c r="C355" s="14"/>
      <c r="D355" s="87">
        <f t="shared" si="5"/>
        <v>1</v>
      </c>
      <c r="E355" s="91" t="s">
        <v>1143</v>
      </c>
    </row>
    <row r="356" spans="1:5">
      <c r="A356" s="87" t="s">
        <v>1146</v>
      </c>
      <c r="B356" s="87" t="s">
        <v>1147</v>
      </c>
      <c r="C356" s="14"/>
      <c r="D356" s="87">
        <f t="shared" si="5"/>
        <v>1</v>
      </c>
      <c r="E356" s="91" t="s">
        <v>1130</v>
      </c>
    </row>
    <row r="357" spans="1:5">
      <c r="A357" s="87" t="s">
        <v>1148</v>
      </c>
      <c r="B357" s="87" t="s">
        <v>1149</v>
      </c>
      <c r="C357" s="14"/>
      <c r="D357" s="87">
        <f t="shared" si="5"/>
        <v>1</v>
      </c>
      <c r="E357" s="91" t="s">
        <v>1130</v>
      </c>
    </row>
    <row r="358" spans="1:5">
      <c r="A358" s="87" t="s">
        <v>1150</v>
      </c>
      <c r="B358" s="87" t="s">
        <v>1151</v>
      </c>
      <c r="C358" s="14"/>
      <c r="D358" s="87">
        <f t="shared" si="5"/>
        <v>1</v>
      </c>
      <c r="E358" s="91" t="s">
        <v>1130</v>
      </c>
    </row>
    <row r="359" spans="1:5">
      <c r="A359" s="87" t="s">
        <v>1152</v>
      </c>
      <c r="B359" s="87" t="s">
        <v>1153</v>
      </c>
      <c r="C359" s="14"/>
      <c r="D359" s="87">
        <f t="shared" si="5"/>
        <v>1</v>
      </c>
      <c r="E359" s="91" t="s">
        <v>1130</v>
      </c>
    </row>
    <row r="360" spans="1:5">
      <c r="A360" s="87" t="s">
        <v>1154</v>
      </c>
      <c r="B360" s="87" t="s">
        <v>1155</v>
      </c>
      <c r="C360" s="14"/>
      <c r="D360" s="87">
        <f t="shared" si="5"/>
        <v>1</v>
      </c>
      <c r="E360" s="91" t="s">
        <v>1130</v>
      </c>
    </row>
    <row r="361" spans="1:5">
      <c r="A361" s="87" t="s">
        <v>1156</v>
      </c>
      <c r="B361" s="87" t="s">
        <v>1157</v>
      </c>
      <c r="C361" s="14"/>
      <c r="D361" s="87">
        <f t="shared" si="5"/>
        <v>1</v>
      </c>
      <c r="E361" s="91" t="s">
        <v>1130</v>
      </c>
    </row>
    <row r="362" spans="1:5">
      <c r="A362" s="87" t="s">
        <v>1158</v>
      </c>
      <c r="B362" s="87" t="s">
        <v>1159</v>
      </c>
      <c r="C362" s="14"/>
      <c r="D362" s="87">
        <f t="shared" si="5"/>
        <v>1</v>
      </c>
      <c r="E362" s="91" t="s">
        <v>1130</v>
      </c>
    </row>
    <row r="363" spans="1:5">
      <c r="A363" s="87" t="s">
        <v>1160</v>
      </c>
      <c r="B363" s="87" t="s">
        <v>1161</v>
      </c>
      <c r="C363" s="14"/>
      <c r="D363" s="87">
        <f t="shared" si="5"/>
        <v>1</v>
      </c>
      <c r="E363" s="91" t="s">
        <v>1130</v>
      </c>
    </row>
    <row r="364" spans="1:5">
      <c r="A364" s="87" t="s">
        <v>1162</v>
      </c>
      <c r="B364" s="87" t="s">
        <v>1163</v>
      </c>
      <c r="C364" s="14"/>
      <c r="D364" s="87">
        <f t="shared" si="5"/>
        <v>1</v>
      </c>
      <c r="E364" s="91" t="s">
        <v>1130</v>
      </c>
    </row>
    <row r="365" spans="1:5">
      <c r="A365" s="87" t="s">
        <v>1164</v>
      </c>
      <c r="B365" s="87" t="s">
        <v>1165</v>
      </c>
      <c r="C365" s="14"/>
      <c r="D365" s="87">
        <f t="shared" si="5"/>
        <v>1</v>
      </c>
      <c r="E365" s="91" t="s">
        <v>1130</v>
      </c>
    </row>
    <row r="366" spans="1:5">
      <c r="A366" s="87" t="s">
        <v>1166</v>
      </c>
      <c r="B366" s="87" t="s">
        <v>1167</v>
      </c>
      <c r="C366" s="14"/>
      <c r="D366" s="87">
        <f t="shared" si="5"/>
        <v>1</v>
      </c>
      <c r="E366" s="91" t="s">
        <v>1130</v>
      </c>
    </row>
    <row r="367" spans="1:5">
      <c r="A367" s="87" t="s">
        <v>1168</v>
      </c>
      <c r="B367" s="87" t="s">
        <v>1169</v>
      </c>
      <c r="C367" s="14"/>
      <c r="D367" s="87">
        <f t="shared" si="5"/>
        <v>1</v>
      </c>
      <c r="E367" s="91" t="s">
        <v>1130</v>
      </c>
    </row>
    <row r="368" spans="1:5">
      <c r="A368" s="87" t="s">
        <v>1170</v>
      </c>
      <c r="B368" s="87" t="s">
        <v>1171</v>
      </c>
      <c r="C368" s="14"/>
      <c r="D368" s="87">
        <f t="shared" si="5"/>
        <v>1</v>
      </c>
      <c r="E368" s="91" t="s">
        <v>1130</v>
      </c>
    </row>
    <row r="369" spans="1:5">
      <c r="A369" s="88" t="s">
        <v>1172</v>
      </c>
      <c r="B369" s="87" t="s">
        <v>1173</v>
      </c>
      <c r="C369" s="14"/>
      <c r="D369" s="87">
        <f t="shared" si="5"/>
        <v>1</v>
      </c>
      <c r="E369" s="91" t="s">
        <v>1130</v>
      </c>
    </row>
    <row r="370" spans="1:5">
      <c r="A370" s="87" t="s">
        <v>1174</v>
      </c>
      <c r="B370" s="87" t="s">
        <v>1175</v>
      </c>
      <c r="C370" s="14"/>
      <c r="D370" s="87">
        <f t="shared" si="5"/>
        <v>1</v>
      </c>
      <c r="E370" s="91" t="s">
        <v>1130</v>
      </c>
    </row>
    <row r="371" spans="1:5">
      <c r="A371" s="87" t="s">
        <v>1176</v>
      </c>
      <c r="B371" s="87" t="s">
        <v>1177</v>
      </c>
      <c r="C371" s="14"/>
      <c r="D371" s="87">
        <f t="shared" si="5"/>
        <v>1</v>
      </c>
      <c r="E371" s="91" t="s">
        <v>1130</v>
      </c>
    </row>
    <row r="372" spans="1:5">
      <c r="A372" s="87" t="s">
        <v>1178</v>
      </c>
      <c r="B372" s="87" t="s">
        <v>1179</v>
      </c>
      <c r="C372" s="14"/>
      <c r="D372" s="87">
        <f t="shared" si="5"/>
        <v>1</v>
      </c>
      <c r="E372" s="91" t="s">
        <v>1130</v>
      </c>
    </row>
    <row r="373" spans="1:5">
      <c r="A373" s="87" t="s">
        <v>1180</v>
      </c>
      <c r="B373" s="87" t="s">
        <v>1181</v>
      </c>
      <c r="C373" s="14"/>
      <c r="D373" s="87">
        <f t="shared" si="5"/>
        <v>1</v>
      </c>
      <c r="E373" s="91" t="s">
        <v>1130</v>
      </c>
    </row>
    <row r="374" spans="1:5">
      <c r="A374" s="87" t="s">
        <v>1182</v>
      </c>
      <c r="B374" s="87" t="s">
        <v>1183</v>
      </c>
      <c r="C374" s="14"/>
      <c r="D374" s="87">
        <f t="shared" si="5"/>
        <v>1</v>
      </c>
      <c r="E374" s="91" t="s">
        <v>1130</v>
      </c>
    </row>
    <row r="375" spans="1:5">
      <c r="A375" s="87" t="s">
        <v>1184</v>
      </c>
      <c r="B375" s="87" t="s">
        <v>1185</v>
      </c>
      <c r="C375" s="14"/>
      <c r="D375" s="87">
        <f t="shared" si="5"/>
        <v>1</v>
      </c>
      <c r="E375" s="91" t="s">
        <v>1130</v>
      </c>
    </row>
    <row r="376" spans="1:5">
      <c r="A376" s="87" t="s">
        <v>1186</v>
      </c>
      <c r="B376" s="87" t="s">
        <v>1187</v>
      </c>
      <c r="C376" s="14"/>
      <c r="D376" s="87">
        <f t="shared" si="5"/>
        <v>1</v>
      </c>
      <c r="E376" s="91" t="s">
        <v>1130</v>
      </c>
    </row>
    <row r="377" spans="1:5">
      <c r="A377" s="87" t="s">
        <v>1188</v>
      </c>
      <c r="B377" s="87" t="s">
        <v>1189</v>
      </c>
      <c r="C377" s="14"/>
      <c r="D377" s="87">
        <f t="shared" si="5"/>
        <v>1</v>
      </c>
      <c r="E377" s="91" t="s">
        <v>1130</v>
      </c>
    </row>
    <row r="378" spans="1:5">
      <c r="A378" s="87" t="s">
        <v>1190</v>
      </c>
      <c r="B378" s="87" t="s">
        <v>1191</v>
      </c>
      <c r="C378" s="14"/>
      <c r="D378" s="87">
        <f t="shared" si="5"/>
        <v>1</v>
      </c>
      <c r="E378" s="91" t="s">
        <v>1130</v>
      </c>
    </row>
    <row r="379" spans="1:5">
      <c r="A379" s="87" t="s">
        <v>1192</v>
      </c>
      <c r="B379" s="87" t="s">
        <v>1193</v>
      </c>
      <c r="C379" s="14"/>
      <c r="D379" s="87">
        <f t="shared" si="5"/>
        <v>1</v>
      </c>
      <c r="E379" s="91" t="s">
        <v>1130</v>
      </c>
    </row>
    <row r="380" spans="1:5">
      <c r="A380" s="87" t="s">
        <v>1194</v>
      </c>
      <c r="B380" s="87" t="s">
        <v>1195</v>
      </c>
      <c r="C380" s="14"/>
      <c r="D380" s="87">
        <f t="shared" si="5"/>
        <v>1</v>
      </c>
      <c r="E380" s="91" t="s">
        <v>1130</v>
      </c>
    </row>
    <row r="381" spans="1:5">
      <c r="A381" s="87" t="s">
        <v>1196</v>
      </c>
      <c r="B381" s="87" t="s">
        <v>1197</v>
      </c>
      <c r="C381" s="14"/>
      <c r="D381" s="87">
        <f t="shared" si="5"/>
        <v>1</v>
      </c>
      <c r="E381" s="91" t="s">
        <v>1130</v>
      </c>
    </row>
    <row r="382" spans="1:5">
      <c r="A382" s="87" t="s">
        <v>1198</v>
      </c>
      <c r="B382" s="87" t="s">
        <v>1199</v>
      </c>
      <c r="C382" s="14"/>
      <c r="D382" s="87">
        <f t="shared" si="5"/>
        <v>1</v>
      </c>
      <c r="E382" s="91" t="s">
        <v>1130</v>
      </c>
    </row>
    <row r="383" spans="1:5">
      <c r="A383" s="87" t="s">
        <v>1200</v>
      </c>
      <c r="B383" s="87" t="s">
        <v>1201</v>
      </c>
      <c r="C383" s="14"/>
      <c r="D383" s="87">
        <f t="shared" si="5"/>
        <v>1</v>
      </c>
      <c r="E383" s="91" t="s">
        <v>1130</v>
      </c>
    </row>
    <row r="384" spans="1:5">
      <c r="A384" s="87" t="s">
        <v>1202</v>
      </c>
      <c r="B384" s="87" t="s">
        <v>1203</v>
      </c>
      <c r="C384" s="14"/>
      <c r="D384" s="87">
        <f t="shared" si="5"/>
        <v>1</v>
      </c>
      <c r="E384" s="91" t="s">
        <v>1130</v>
      </c>
    </row>
    <row r="385" spans="1:5">
      <c r="A385" s="87" t="s">
        <v>1204</v>
      </c>
      <c r="B385" s="87" t="s">
        <v>1205</v>
      </c>
      <c r="C385" s="14"/>
      <c r="D385" s="87">
        <f t="shared" si="5"/>
        <v>1</v>
      </c>
      <c r="E385" s="91" t="s">
        <v>1130</v>
      </c>
    </row>
    <row r="386" spans="1:5">
      <c r="A386" s="87" t="s">
        <v>1206</v>
      </c>
      <c r="B386" s="87" t="s">
        <v>1207</v>
      </c>
      <c r="C386" s="14"/>
      <c r="D386" s="87">
        <f t="shared" ref="D386:D449" si="6">IF(B386&lt;&gt;C386,1,0)</f>
        <v>1</v>
      </c>
      <c r="E386" s="91" t="s">
        <v>1130</v>
      </c>
    </row>
    <row r="387" spans="1:5">
      <c r="A387" s="87" t="s">
        <v>1208</v>
      </c>
      <c r="B387" s="87" t="s">
        <v>1209</v>
      </c>
      <c r="C387" s="14"/>
      <c r="D387" s="87">
        <f t="shared" si="6"/>
        <v>1</v>
      </c>
      <c r="E387" s="91" t="s">
        <v>1130</v>
      </c>
    </row>
    <row r="388" spans="1:5">
      <c r="A388" s="87" t="s">
        <v>1210</v>
      </c>
      <c r="B388" s="87" t="s">
        <v>1211</v>
      </c>
      <c r="C388" s="14"/>
      <c r="D388" s="87">
        <f t="shared" si="6"/>
        <v>1</v>
      </c>
      <c r="E388" s="91" t="s">
        <v>1130</v>
      </c>
    </row>
    <row r="389" spans="1:5">
      <c r="A389" s="87" t="s">
        <v>1212</v>
      </c>
      <c r="B389" s="87" t="s">
        <v>1213</v>
      </c>
      <c r="C389" s="14"/>
      <c r="D389" s="87">
        <f t="shared" si="6"/>
        <v>1</v>
      </c>
      <c r="E389" s="91" t="s">
        <v>1130</v>
      </c>
    </row>
    <row r="390" spans="1:5">
      <c r="A390" s="87" t="s">
        <v>1214</v>
      </c>
      <c r="B390" s="87" t="s">
        <v>1215</v>
      </c>
      <c r="C390" s="14"/>
      <c r="D390" s="87">
        <f t="shared" si="6"/>
        <v>1</v>
      </c>
      <c r="E390" s="91" t="s">
        <v>1130</v>
      </c>
    </row>
    <row r="391" spans="1:5">
      <c r="A391" s="87" t="s">
        <v>1216</v>
      </c>
      <c r="B391" s="87" t="s">
        <v>1217</v>
      </c>
      <c r="C391" s="14"/>
      <c r="D391" s="87">
        <f t="shared" si="6"/>
        <v>1</v>
      </c>
      <c r="E391" s="91" t="s">
        <v>1130</v>
      </c>
    </row>
    <row r="392" spans="1:5">
      <c r="A392" s="87" t="s">
        <v>1218</v>
      </c>
      <c r="B392" s="87" t="s">
        <v>1219</v>
      </c>
      <c r="C392" s="14"/>
      <c r="D392" s="87">
        <f t="shared" si="6"/>
        <v>1</v>
      </c>
      <c r="E392" s="91" t="s">
        <v>1130</v>
      </c>
    </row>
    <row r="393" spans="1:5">
      <c r="A393" s="87" t="s">
        <v>1220</v>
      </c>
      <c r="B393" s="87" t="s">
        <v>1221</v>
      </c>
      <c r="C393" s="14"/>
      <c r="D393" s="87">
        <f t="shared" si="6"/>
        <v>1</v>
      </c>
      <c r="E393" s="91" t="s">
        <v>1130</v>
      </c>
    </row>
    <row r="394" spans="1:5">
      <c r="A394" s="87" t="s">
        <v>1222</v>
      </c>
      <c r="B394" s="87" t="s">
        <v>1223</v>
      </c>
      <c r="C394" s="14"/>
      <c r="D394" s="87">
        <f t="shared" si="6"/>
        <v>1</v>
      </c>
      <c r="E394" s="91" t="s">
        <v>1130</v>
      </c>
    </row>
    <row r="395" spans="1:5">
      <c r="A395" s="87" t="s">
        <v>1224</v>
      </c>
      <c r="B395" s="87" t="s">
        <v>1225</v>
      </c>
      <c r="C395" s="14"/>
      <c r="D395" s="87">
        <f t="shared" si="6"/>
        <v>1</v>
      </c>
      <c r="E395" s="91" t="s">
        <v>1130</v>
      </c>
    </row>
    <row r="396" spans="1:5">
      <c r="A396" s="87" t="s">
        <v>1226</v>
      </c>
      <c r="B396" s="87" t="s">
        <v>1227</v>
      </c>
      <c r="C396" s="14"/>
      <c r="D396" s="87">
        <f t="shared" si="6"/>
        <v>1</v>
      </c>
      <c r="E396" s="91" t="s">
        <v>1130</v>
      </c>
    </row>
    <row r="397" spans="1:5">
      <c r="A397" s="87" t="s">
        <v>1228</v>
      </c>
      <c r="B397" s="87" t="s">
        <v>1229</v>
      </c>
      <c r="C397" s="14"/>
      <c r="D397" s="87">
        <f t="shared" si="6"/>
        <v>1</v>
      </c>
      <c r="E397" s="91" t="s">
        <v>1130</v>
      </c>
    </row>
    <row r="398" spans="1:5">
      <c r="A398" s="87" t="s">
        <v>1230</v>
      </c>
      <c r="B398" s="87" t="s">
        <v>1231</v>
      </c>
      <c r="C398" s="14"/>
      <c r="D398" s="87">
        <f t="shared" si="6"/>
        <v>1</v>
      </c>
      <c r="E398" s="91" t="s">
        <v>1130</v>
      </c>
    </row>
    <row r="399" spans="1:5">
      <c r="A399" s="87" t="s">
        <v>1232</v>
      </c>
      <c r="B399" s="87" t="s">
        <v>1233</v>
      </c>
      <c r="C399" s="14"/>
      <c r="D399" s="87">
        <f t="shared" si="6"/>
        <v>1</v>
      </c>
      <c r="E399" s="91" t="s">
        <v>1130</v>
      </c>
    </row>
    <row r="400" spans="1:5">
      <c r="A400" s="87" t="s">
        <v>1234</v>
      </c>
      <c r="B400" s="87" t="s">
        <v>1235</v>
      </c>
      <c r="C400" s="14"/>
      <c r="D400" s="87">
        <f t="shared" si="6"/>
        <v>1</v>
      </c>
      <c r="E400" s="91" t="s">
        <v>1130</v>
      </c>
    </row>
    <row r="401" spans="1:5">
      <c r="A401" s="87" t="s">
        <v>1236</v>
      </c>
      <c r="B401" s="87" t="s">
        <v>1237</v>
      </c>
      <c r="C401" s="14"/>
      <c r="D401" s="87">
        <f t="shared" si="6"/>
        <v>1</v>
      </c>
      <c r="E401" s="91" t="s">
        <v>1130</v>
      </c>
    </row>
    <row r="402" spans="1:5">
      <c r="A402" s="87" t="s">
        <v>1238</v>
      </c>
      <c r="B402" s="87" t="s">
        <v>1239</v>
      </c>
      <c r="C402" s="14"/>
      <c r="D402" s="87">
        <f t="shared" si="6"/>
        <v>1</v>
      </c>
      <c r="E402" s="136" t="s">
        <v>1240</v>
      </c>
    </row>
    <row r="403" spans="1:5">
      <c r="A403" s="87" t="s">
        <v>1241</v>
      </c>
      <c r="B403" s="87" t="s">
        <v>1242</v>
      </c>
      <c r="C403" s="14"/>
      <c r="D403" s="87">
        <f t="shared" si="6"/>
        <v>1</v>
      </c>
      <c r="E403" s="91" t="s">
        <v>1130</v>
      </c>
    </row>
    <row r="404" spans="1:5">
      <c r="A404" s="87" t="s">
        <v>1243</v>
      </c>
      <c r="B404" s="87" t="s">
        <v>1244</v>
      </c>
      <c r="C404" s="14"/>
      <c r="D404" s="87">
        <f t="shared" si="6"/>
        <v>1</v>
      </c>
      <c r="E404" s="91" t="s">
        <v>1130</v>
      </c>
    </row>
    <row r="405" spans="1:5">
      <c r="A405" s="87" t="s">
        <v>1245</v>
      </c>
      <c r="B405" s="87" t="s">
        <v>1246</v>
      </c>
      <c r="C405" s="14"/>
      <c r="D405" s="87">
        <f t="shared" si="6"/>
        <v>1</v>
      </c>
      <c r="E405" s="91" t="s">
        <v>1130</v>
      </c>
    </row>
    <row r="406" spans="1:5">
      <c r="A406" s="87" t="s">
        <v>1247</v>
      </c>
      <c r="B406" s="87" t="s">
        <v>1248</v>
      </c>
      <c r="C406" s="14"/>
      <c r="D406" s="87">
        <f t="shared" si="6"/>
        <v>1</v>
      </c>
      <c r="E406" s="91" t="s">
        <v>1130</v>
      </c>
    </row>
    <row r="407" spans="1:5">
      <c r="A407" s="87" t="s">
        <v>1249</v>
      </c>
      <c r="B407" s="87" t="s">
        <v>1250</v>
      </c>
      <c r="C407" s="14"/>
      <c r="D407" s="87">
        <f t="shared" si="6"/>
        <v>1</v>
      </c>
      <c r="E407" s="91" t="s">
        <v>1130</v>
      </c>
    </row>
    <row r="408" spans="1:5">
      <c r="A408" s="87" t="s">
        <v>1251</v>
      </c>
      <c r="B408" s="87" t="s">
        <v>1252</v>
      </c>
      <c r="C408" s="14"/>
      <c r="D408" s="87">
        <f t="shared" si="6"/>
        <v>1</v>
      </c>
      <c r="E408" s="91" t="s">
        <v>1130</v>
      </c>
    </row>
    <row r="409" spans="1:5">
      <c r="A409" s="87" t="s">
        <v>1253</v>
      </c>
      <c r="B409" s="87" t="s">
        <v>1254</v>
      </c>
      <c r="C409" s="14"/>
      <c r="D409" s="87">
        <f t="shared" si="6"/>
        <v>1</v>
      </c>
      <c r="E409" s="91" t="s">
        <v>1130</v>
      </c>
    </row>
    <row r="410" spans="1:5">
      <c r="A410" s="87" t="s">
        <v>1255</v>
      </c>
      <c r="B410" s="87" t="s">
        <v>1256</v>
      </c>
      <c r="C410" s="14"/>
      <c r="D410" s="87">
        <f t="shared" si="6"/>
        <v>1</v>
      </c>
      <c r="E410" s="91" t="s">
        <v>1130</v>
      </c>
    </row>
    <row r="411" spans="1:5">
      <c r="A411" s="87" t="s">
        <v>1257</v>
      </c>
      <c r="B411" s="87" t="s">
        <v>1258</v>
      </c>
      <c r="C411" s="14"/>
      <c r="D411" s="87">
        <f t="shared" si="6"/>
        <v>1</v>
      </c>
      <c r="E411" s="91" t="s">
        <v>1130</v>
      </c>
    </row>
    <row r="412" spans="1:5">
      <c r="A412" s="87" t="s">
        <v>1259</v>
      </c>
      <c r="B412" s="87" t="s">
        <v>1260</v>
      </c>
      <c r="C412" s="14"/>
      <c r="D412" s="87">
        <f t="shared" si="6"/>
        <v>1</v>
      </c>
      <c r="E412" s="91" t="s">
        <v>1130</v>
      </c>
    </row>
    <row r="413" spans="1:5">
      <c r="A413" s="87" t="s">
        <v>1261</v>
      </c>
      <c r="B413" s="87" t="s">
        <v>1262</v>
      </c>
      <c r="C413" s="14"/>
      <c r="D413" s="87">
        <f t="shared" si="6"/>
        <v>1</v>
      </c>
      <c r="E413" s="91" t="s">
        <v>1130</v>
      </c>
    </row>
    <row r="414" spans="1:5">
      <c r="A414" s="87" t="s">
        <v>1263</v>
      </c>
      <c r="B414" s="87" t="s">
        <v>1264</v>
      </c>
      <c r="C414" s="14"/>
      <c r="D414" s="87">
        <f t="shared" si="6"/>
        <v>1</v>
      </c>
      <c r="E414" s="91" t="s">
        <v>1130</v>
      </c>
    </row>
    <row r="415" spans="1:5">
      <c r="A415" s="87" t="s">
        <v>1265</v>
      </c>
      <c r="B415" s="87" t="s">
        <v>1266</v>
      </c>
      <c r="C415" s="14"/>
      <c r="D415" s="87">
        <f t="shared" si="6"/>
        <v>1</v>
      </c>
      <c r="E415" s="91" t="s">
        <v>1130</v>
      </c>
    </row>
    <row r="416" spans="1:5">
      <c r="A416" s="87" t="s">
        <v>1267</v>
      </c>
      <c r="B416" s="87" t="s">
        <v>1268</v>
      </c>
      <c r="C416" s="14"/>
      <c r="D416" s="87">
        <f t="shared" si="6"/>
        <v>1</v>
      </c>
      <c r="E416" s="91" t="s">
        <v>1130</v>
      </c>
    </row>
    <row r="417" spans="1:5">
      <c r="A417" s="87" t="s">
        <v>1269</v>
      </c>
      <c r="B417" s="87" t="s">
        <v>1270</v>
      </c>
      <c r="C417" s="14"/>
      <c r="D417" s="87">
        <f t="shared" si="6"/>
        <v>1</v>
      </c>
      <c r="E417" s="91" t="s">
        <v>1130</v>
      </c>
    </row>
    <row r="418" spans="1:5">
      <c r="A418" s="87" t="s">
        <v>1271</v>
      </c>
      <c r="B418" s="87" t="s">
        <v>1272</v>
      </c>
      <c r="C418" s="14"/>
      <c r="D418" s="87">
        <f t="shared" si="6"/>
        <v>1</v>
      </c>
      <c r="E418" s="91" t="s">
        <v>1130</v>
      </c>
    </row>
    <row r="419" spans="1:5">
      <c r="A419" s="87" t="s">
        <v>1273</v>
      </c>
      <c r="B419" s="87" t="s">
        <v>1274</v>
      </c>
      <c r="C419" s="14"/>
      <c r="D419" s="87">
        <f t="shared" si="6"/>
        <v>1</v>
      </c>
      <c r="E419" s="91" t="s">
        <v>1130</v>
      </c>
    </row>
    <row r="420" spans="1:5">
      <c r="A420" s="87" t="s">
        <v>1275</v>
      </c>
      <c r="B420" s="87" t="s">
        <v>1276</v>
      </c>
      <c r="C420" s="14"/>
      <c r="D420" s="87">
        <f t="shared" si="6"/>
        <v>1</v>
      </c>
      <c r="E420" s="91" t="s">
        <v>1130</v>
      </c>
    </row>
    <row r="421" spans="1:5">
      <c r="A421" s="87" t="s">
        <v>1277</v>
      </c>
      <c r="B421" s="87" t="s">
        <v>1278</v>
      </c>
      <c r="C421" s="14"/>
      <c r="D421" s="87">
        <f t="shared" si="6"/>
        <v>1</v>
      </c>
      <c r="E421" s="91" t="s">
        <v>1130</v>
      </c>
    </row>
    <row r="422" spans="1:5">
      <c r="A422" s="87" t="s">
        <v>1279</v>
      </c>
      <c r="B422" s="87" t="s">
        <v>1280</v>
      </c>
      <c r="C422" s="14"/>
      <c r="D422" s="87">
        <f t="shared" si="6"/>
        <v>1</v>
      </c>
      <c r="E422" s="91" t="s">
        <v>1130</v>
      </c>
    </row>
    <row r="423" spans="1:5">
      <c r="A423" s="87" t="s">
        <v>1281</v>
      </c>
      <c r="B423" s="87" t="s">
        <v>1282</v>
      </c>
      <c r="C423" s="14"/>
      <c r="D423" s="87">
        <f t="shared" si="6"/>
        <v>1</v>
      </c>
      <c r="E423" s="91" t="s">
        <v>1130</v>
      </c>
    </row>
    <row r="424" spans="1:5">
      <c r="A424" s="87" t="s">
        <v>1283</v>
      </c>
      <c r="B424" s="87" t="s">
        <v>1284</v>
      </c>
      <c r="C424" s="14"/>
      <c r="D424" s="87">
        <f t="shared" si="6"/>
        <v>1</v>
      </c>
      <c r="E424" s="91" t="s">
        <v>1130</v>
      </c>
    </row>
    <row r="425" spans="1:5">
      <c r="A425" s="87" t="s">
        <v>1285</v>
      </c>
      <c r="B425" s="87" t="s">
        <v>1286</v>
      </c>
      <c r="C425" s="14"/>
      <c r="D425" s="87">
        <f t="shared" si="6"/>
        <v>1</v>
      </c>
      <c r="E425" s="91" t="s">
        <v>1130</v>
      </c>
    </row>
    <row r="426" spans="1:5">
      <c r="A426" s="87" t="s">
        <v>1287</v>
      </c>
      <c r="B426" s="87" t="s">
        <v>1288</v>
      </c>
      <c r="C426" s="14"/>
      <c r="D426" s="87">
        <f t="shared" si="6"/>
        <v>1</v>
      </c>
      <c r="E426" s="91" t="s">
        <v>1130</v>
      </c>
    </row>
    <row r="427" spans="1:5">
      <c r="A427" s="87" t="s">
        <v>1289</v>
      </c>
      <c r="B427" s="87" t="s">
        <v>1290</v>
      </c>
      <c r="C427" s="14"/>
      <c r="D427" s="87">
        <f t="shared" si="6"/>
        <v>1</v>
      </c>
      <c r="E427" s="91" t="s">
        <v>1130</v>
      </c>
    </row>
    <row r="428" spans="1:5">
      <c r="A428" s="87" t="s">
        <v>1291</v>
      </c>
      <c r="B428" s="87" t="s">
        <v>1292</v>
      </c>
      <c r="C428" s="14"/>
      <c r="D428" s="87">
        <f t="shared" si="6"/>
        <v>1</v>
      </c>
      <c r="E428" s="91" t="s">
        <v>1130</v>
      </c>
    </row>
    <row r="429" spans="1:5">
      <c r="A429" s="87" t="s">
        <v>1293</v>
      </c>
      <c r="B429" s="87" t="s">
        <v>1294</v>
      </c>
      <c r="C429" s="14"/>
      <c r="D429" s="87">
        <f t="shared" si="6"/>
        <v>1</v>
      </c>
      <c r="E429" s="91" t="s">
        <v>1130</v>
      </c>
    </row>
    <row r="430" spans="1:5">
      <c r="A430" s="87" t="s">
        <v>1295</v>
      </c>
      <c r="B430" s="87" t="s">
        <v>1296</v>
      </c>
      <c r="C430" s="14"/>
      <c r="D430" s="87">
        <f t="shared" si="6"/>
        <v>1</v>
      </c>
      <c r="E430" s="91" t="s">
        <v>1130</v>
      </c>
    </row>
    <row r="431" spans="1:5">
      <c r="A431" s="87" t="s">
        <v>1297</v>
      </c>
      <c r="B431" s="87" t="s">
        <v>1298</v>
      </c>
      <c r="C431" s="14"/>
      <c r="D431" s="87">
        <f t="shared" si="6"/>
        <v>1</v>
      </c>
      <c r="E431" s="91" t="s">
        <v>1130</v>
      </c>
    </row>
    <row r="432" spans="1:5">
      <c r="A432" s="87" t="s">
        <v>1299</v>
      </c>
      <c r="B432" s="87" t="s">
        <v>1300</v>
      </c>
      <c r="C432" s="14"/>
      <c r="D432" s="87">
        <f t="shared" si="6"/>
        <v>1</v>
      </c>
      <c r="E432" s="91" t="s">
        <v>1130</v>
      </c>
    </row>
    <row r="433" spans="1:5">
      <c r="A433" s="87" t="s">
        <v>1301</v>
      </c>
      <c r="B433" s="87" t="s">
        <v>1302</v>
      </c>
      <c r="C433" s="14"/>
      <c r="D433" s="87">
        <f t="shared" si="6"/>
        <v>1</v>
      </c>
      <c r="E433" s="91" t="s">
        <v>1130</v>
      </c>
    </row>
    <row r="434" spans="1:5">
      <c r="A434" s="87" t="s">
        <v>1303</v>
      </c>
      <c r="B434" s="87" t="s">
        <v>1304</v>
      </c>
      <c r="C434" s="14"/>
      <c r="D434" s="87">
        <f t="shared" si="6"/>
        <v>1</v>
      </c>
      <c r="E434" s="91" t="s">
        <v>1130</v>
      </c>
    </row>
    <row r="435" spans="1:5">
      <c r="A435" s="87" t="s">
        <v>1305</v>
      </c>
      <c r="B435" s="87" t="s">
        <v>1306</v>
      </c>
      <c r="C435" s="14"/>
      <c r="D435" s="87">
        <f t="shared" si="6"/>
        <v>1</v>
      </c>
      <c r="E435" s="91" t="s">
        <v>1130</v>
      </c>
    </row>
    <row r="436" spans="1:5">
      <c r="A436" s="87" t="s">
        <v>1307</v>
      </c>
      <c r="B436" s="87" t="s">
        <v>816</v>
      </c>
      <c r="C436" s="14"/>
      <c r="D436" s="87">
        <f t="shared" si="6"/>
        <v>1</v>
      </c>
      <c r="E436" s="91" t="s">
        <v>1130</v>
      </c>
    </row>
    <row r="437" spans="1:5">
      <c r="A437" s="94" t="s">
        <v>1308</v>
      </c>
      <c r="B437" s="87" t="s">
        <v>1309</v>
      </c>
      <c r="C437" s="14" t="s">
        <v>468</v>
      </c>
      <c r="D437" s="87">
        <f t="shared" si="6"/>
        <v>1</v>
      </c>
      <c r="E437" s="91" t="s">
        <v>1130</v>
      </c>
    </row>
    <row r="438" spans="1:5">
      <c r="A438" s="105" t="s">
        <v>1310</v>
      </c>
      <c r="B438" s="105" t="s">
        <v>1311</v>
      </c>
      <c r="C438" s="14" t="s">
        <v>468</v>
      </c>
      <c r="D438" s="87">
        <f t="shared" si="6"/>
        <v>1</v>
      </c>
      <c r="E438" s="91" t="s">
        <v>1130</v>
      </c>
    </row>
    <row r="439" spans="1:5">
      <c r="A439" s="87" t="s">
        <v>1312</v>
      </c>
      <c r="B439" s="87" t="s">
        <v>1313</v>
      </c>
      <c r="C439" s="14"/>
      <c r="D439" s="87">
        <f t="shared" si="6"/>
        <v>1</v>
      </c>
      <c r="E439" s="91" t="s">
        <v>1130</v>
      </c>
    </row>
    <row r="440" spans="1:5">
      <c r="A440" s="87" t="s">
        <v>1314</v>
      </c>
      <c r="B440" s="95" t="s">
        <v>1315</v>
      </c>
      <c r="C440" s="14"/>
      <c r="D440" s="87">
        <f t="shared" si="6"/>
        <v>1</v>
      </c>
      <c r="E440" s="91" t="s">
        <v>1130</v>
      </c>
    </row>
    <row r="441" spans="1:5">
      <c r="A441" s="87" t="s">
        <v>1316</v>
      </c>
      <c r="B441" s="87" t="s">
        <v>1317</v>
      </c>
      <c r="C441" s="14"/>
      <c r="D441" s="87">
        <f t="shared" si="6"/>
        <v>1</v>
      </c>
      <c r="E441" s="91" t="s">
        <v>1130</v>
      </c>
    </row>
    <row r="442" spans="1:5">
      <c r="A442" s="87" t="s">
        <v>1318</v>
      </c>
      <c r="B442" s="87" t="s">
        <v>1319</v>
      </c>
      <c r="C442" s="14"/>
      <c r="D442" s="87">
        <f t="shared" si="6"/>
        <v>1</v>
      </c>
      <c r="E442" s="91" t="s">
        <v>1130</v>
      </c>
    </row>
    <row r="443" spans="1:5">
      <c r="A443" s="87" t="s">
        <v>1320</v>
      </c>
      <c r="B443" s="87" t="s">
        <v>1321</v>
      </c>
      <c r="C443" s="14"/>
      <c r="D443" s="87">
        <f t="shared" si="6"/>
        <v>1</v>
      </c>
      <c r="E443" s="91" t="s">
        <v>1130</v>
      </c>
    </row>
    <row r="444" spans="1:5">
      <c r="A444" s="87" t="s">
        <v>1322</v>
      </c>
      <c r="B444" s="87" t="s">
        <v>1323</v>
      </c>
      <c r="C444" s="14"/>
      <c r="D444" s="87">
        <f t="shared" si="6"/>
        <v>1</v>
      </c>
      <c r="E444" s="91" t="s">
        <v>1130</v>
      </c>
    </row>
    <row r="445" spans="1:5">
      <c r="A445" s="87" t="s">
        <v>1324</v>
      </c>
      <c r="B445" s="87" t="s">
        <v>1325</v>
      </c>
      <c r="C445" s="14"/>
      <c r="D445" s="87">
        <f t="shared" si="6"/>
        <v>1</v>
      </c>
      <c r="E445" s="91" t="s">
        <v>1130</v>
      </c>
    </row>
    <row r="446" spans="1:5">
      <c r="A446" s="87" t="s">
        <v>1326</v>
      </c>
      <c r="B446" s="87" t="s">
        <v>1327</v>
      </c>
      <c r="C446" s="14"/>
      <c r="D446" s="87">
        <f t="shared" si="6"/>
        <v>1</v>
      </c>
      <c r="E446" s="91" t="s">
        <v>1130</v>
      </c>
    </row>
    <row r="447" spans="1:5">
      <c r="A447" s="87" t="s">
        <v>1328</v>
      </c>
      <c r="B447" s="87" t="s">
        <v>1329</v>
      </c>
      <c r="C447" s="14"/>
      <c r="D447" s="87">
        <f t="shared" si="6"/>
        <v>1</v>
      </c>
      <c r="E447" s="91" t="s">
        <v>1130</v>
      </c>
    </row>
    <row r="448" spans="1:5">
      <c r="A448" s="87" t="s">
        <v>1330</v>
      </c>
      <c r="B448" s="87" t="s">
        <v>1331</v>
      </c>
      <c r="C448" s="14"/>
      <c r="D448" s="87">
        <f t="shared" si="6"/>
        <v>1</v>
      </c>
      <c r="E448" s="91" t="s">
        <v>1130</v>
      </c>
    </row>
    <row r="449" spans="1:5">
      <c r="A449" s="87" t="s">
        <v>1332</v>
      </c>
      <c r="B449" s="87" t="s">
        <v>1333</v>
      </c>
      <c r="C449" s="14"/>
      <c r="D449" s="87">
        <f t="shared" si="6"/>
        <v>1</v>
      </c>
      <c r="E449" s="91" t="s">
        <v>1130</v>
      </c>
    </row>
    <row r="450" spans="1:5">
      <c r="A450" s="87" t="s">
        <v>1334</v>
      </c>
      <c r="B450" s="87" t="s">
        <v>1335</v>
      </c>
      <c r="C450" s="14"/>
      <c r="D450" s="87">
        <f t="shared" ref="D450:D503" si="7">IF(B450&lt;&gt;C450,1,0)</f>
        <v>1</v>
      </c>
      <c r="E450" s="91" t="s">
        <v>1130</v>
      </c>
    </row>
    <row r="451" spans="1:5">
      <c r="A451" s="87" t="s">
        <v>1336</v>
      </c>
      <c r="B451" s="87" t="s">
        <v>1337</v>
      </c>
      <c r="C451" s="14"/>
      <c r="D451" s="87">
        <f t="shared" si="7"/>
        <v>1</v>
      </c>
      <c r="E451" s="91" t="s">
        <v>1130</v>
      </c>
    </row>
    <row r="452" spans="1:5">
      <c r="A452" s="87" t="s">
        <v>1338</v>
      </c>
      <c r="B452" s="87" t="s">
        <v>1339</v>
      </c>
      <c r="C452" s="14"/>
      <c r="D452" s="87">
        <f t="shared" si="7"/>
        <v>1</v>
      </c>
      <c r="E452" s="91" t="s">
        <v>1130</v>
      </c>
    </row>
    <row r="453" spans="1:5">
      <c r="A453" s="87" t="s">
        <v>1340</v>
      </c>
      <c r="B453" s="87" t="s">
        <v>1341</v>
      </c>
      <c r="C453" s="14"/>
      <c r="D453" s="87">
        <f t="shared" si="7"/>
        <v>1</v>
      </c>
      <c r="E453" s="91" t="s">
        <v>1130</v>
      </c>
    </row>
    <row r="454" spans="1:5">
      <c r="A454" s="87" t="s">
        <v>1342</v>
      </c>
      <c r="B454" s="87" t="s">
        <v>1343</v>
      </c>
      <c r="C454" s="14"/>
      <c r="D454" s="87">
        <f t="shared" si="7"/>
        <v>1</v>
      </c>
      <c r="E454" s="91" t="s">
        <v>1130</v>
      </c>
    </row>
    <row r="455" spans="1:5">
      <c r="A455" s="87" t="s">
        <v>1344</v>
      </c>
      <c r="B455" s="87" t="s">
        <v>1345</v>
      </c>
      <c r="C455" s="14"/>
      <c r="D455" s="87">
        <f t="shared" si="7"/>
        <v>1</v>
      </c>
      <c r="E455" s="91" t="s">
        <v>1130</v>
      </c>
    </row>
    <row r="456" spans="1:5">
      <c r="A456" s="87" t="s">
        <v>1346</v>
      </c>
      <c r="B456" s="87" t="s">
        <v>1347</v>
      </c>
      <c r="C456" s="14"/>
      <c r="D456" s="87">
        <f t="shared" si="7"/>
        <v>1</v>
      </c>
      <c r="E456" s="91" t="s">
        <v>1130</v>
      </c>
    </row>
    <row r="457" spans="1:5">
      <c r="A457" s="87" t="s">
        <v>1348</v>
      </c>
      <c r="B457" s="87" t="s">
        <v>1349</v>
      </c>
      <c r="C457" s="14"/>
      <c r="D457" s="87">
        <f t="shared" si="7"/>
        <v>1</v>
      </c>
      <c r="E457" s="91" t="s">
        <v>1130</v>
      </c>
    </row>
    <row r="458" spans="1:5">
      <c r="A458" s="87" t="s">
        <v>1350</v>
      </c>
      <c r="B458" s="87" t="s">
        <v>1351</v>
      </c>
      <c r="C458" s="14"/>
      <c r="D458" s="87">
        <f t="shared" si="7"/>
        <v>1</v>
      </c>
      <c r="E458" s="91" t="s">
        <v>1130</v>
      </c>
    </row>
    <row r="459" spans="1:5">
      <c r="A459" s="87" t="s">
        <v>1352</v>
      </c>
      <c r="B459" s="87" t="s">
        <v>1353</v>
      </c>
      <c r="C459" s="14"/>
      <c r="D459" s="87">
        <f t="shared" si="7"/>
        <v>1</v>
      </c>
      <c r="E459" s="91" t="s">
        <v>1130</v>
      </c>
    </row>
    <row r="460" spans="1:5">
      <c r="A460" s="87" t="s">
        <v>1354</v>
      </c>
      <c r="B460" s="87" t="s">
        <v>1355</v>
      </c>
      <c r="C460" s="14"/>
      <c r="D460" s="87">
        <f t="shared" si="7"/>
        <v>1</v>
      </c>
      <c r="E460" s="91" t="s">
        <v>1130</v>
      </c>
    </row>
    <row r="461" spans="1:5">
      <c r="A461" s="88" t="s">
        <v>1356</v>
      </c>
      <c r="B461" s="87" t="s">
        <v>1357</v>
      </c>
      <c r="C461" s="14"/>
      <c r="D461" s="87">
        <f t="shared" si="7"/>
        <v>1</v>
      </c>
      <c r="E461" s="91" t="s">
        <v>1130</v>
      </c>
    </row>
    <row r="462" spans="1:5">
      <c r="A462" s="88" t="s">
        <v>1358</v>
      </c>
      <c r="B462" s="88" t="s">
        <v>1359</v>
      </c>
      <c r="C462" s="14"/>
      <c r="D462" s="87">
        <f t="shared" si="7"/>
        <v>1</v>
      </c>
      <c r="E462" s="91" t="s">
        <v>1130</v>
      </c>
    </row>
    <row r="463" spans="1:5">
      <c r="A463" s="88" t="s">
        <v>1360</v>
      </c>
      <c r="B463" s="88" t="s">
        <v>1361</v>
      </c>
      <c r="C463" s="14"/>
      <c r="D463" s="87">
        <f t="shared" si="7"/>
        <v>1</v>
      </c>
      <c r="E463" s="91" t="s">
        <v>1130</v>
      </c>
    </row>
    <row r="464" spans="1:5">
      <c r="A464" s="88" t="s">
        <v>1362</v>
      </c>
      <c r="B464" s="88" t="s">
        <v>1363</v>
      </c>
      <c r="C464" s="14"/>
      <c r="D464" s="87">
        <f t="shared" si="7"/>
        <v>1</v>
      </c>
      <c r="E464" s="91" t="s">
        <v>1130</v>
      </c>
    </row>
    <row r="465" spans="1:5">
      <c r="A465" s="88" t="s">
        <v>1364</v>
      </c>
      <c r="B465" s="88" t="s">
        <v>1365</v>
      </c>
      <c r="C465" s="14"/>
      <c r="D465" s="87">
        <f t="shared" si="7"/>
        <v>1</v>
      </c>
      <c r="E465" s="91" t="s">
        <v>1130</v>
      </c>
    </row>
    <row r="466" spans="1:5">
      <c r="A466" s="88" t="s">
        <v>1366</v>
      </c>
      <c r="B466" s="88" t="s">
        <v>1367</v>
      </c>
      <c r="C466" s="14"/>
      <c r="D466" s="87">
        <f t="shared" si="7"/>
        <v>1</v>
      </c>
      <c r="E466" s="91" t="s">
        <v>1130</v>
      </c>
    </row>
    <row r="467" spans="1:5">
      <c r="A467" s="88" t="s">
        <v>1368</v>
      </c>
      <c r="B467" s="88" t="s">
        <v>1369</v>
      </c>
      <c r="C467" s="14"/>
      <c r="D467" s="87">
        <f t="shared" si="7"/>
        <v>1</v>
      </c>
      <c r="E467" s="91" t="s">
        <v>1130</v>
      </c>
    </row>
    <row r="468" spans="1:5">
      <c r="A468" s="88" t="s">
        <v>1370</v>
      </c>
      <c r="B468" s="88" t="s">
        <v>1371</v>
      </c>
      <c r="C468" s="14"/>
      <c r="D468" s="87">
        <f t="shared" si="7"/>
        <v>1</v>
      </c>
      <c r="E468" s="91" t="s">
        <v>1130</v>
      </c>
    </row>
    <row r="469" spans="1:5">
      <c r="A469" s="88" t="s">
        <v>1372</v>
      </c>
      <c r="B469" s="88" t="s">
        <v>1373</v>
      </c>
      <c r="C469" s="14"/>
      <c r="D469" s="87">
        <f t="shared" si="7"/>
        <v>1</v>
      </c>
      <c r="E469" s="91" t="s">
        <v>1130</v>
      </c>
    </row>
    <row r="470" spans="1:5">
      <c r="A470" s="88" t="s">
        <v>1374</v>
      </c>
      <c r="B470" s="88" t="s">
        <v>1375</v>
      </c>
      <c r="C470" s="14"/>
      <c r="D470" s="87">
        <f t="shared" si="7"/>
        <v>1</v>
      </c>
      <c r="E470" s="91" t="s">
        <v>1130</v>
      </c>
    </row>
    <row r="471" spans="1:5">
      <c r="A471" s="88" t="s">
        <v>1376</v>
      </c>
      <c r="B471" s="88" t="s">
        <v>1377</v>
      </c>
      <c r="C471" s="14"/>
      <c r="D471" s="87">
        <f t="shared" si="7"/>
        <v>1</v>
      </c>
      <c r="E471" s="91" t="s">
        <v>1130</v>
      </c>
    </row>
    <row r="472" spans="1:5">
      <c r="B472" s="106"/>
      <c r="D472" s="87">
        <f t="shared" si="7"/>
        <v>0</v>
      </c>
      <c r="E472" s="91" t="s">
        <v>1130</v>
      </c>
    </row>
    <row r="473" spans="1:5">
      <c r="D473" s="87">
        <f t="shared" si="7"/>
        <v>0</v>
      </c>
      <c r="E473" s="91" t="s">
        <v>1130</v>
      </c>
    </row>
    <row r="474" spans="1:5">
      <c r="D474" s="87">
        <f t="shared" si="7"/>
        <v>0</v>
      </c>
      <c r="E474" s="91" t="s">
        <v>1130</v>
      </c>
    </row>
    <row r="475" spans="1:5">
      <c r="D475" s="87">
        <f t="shared" si="7"/>
        <v>0</v>
      </c>
      <c r="E475" s="91" t="s">
        <v>1130</v>
      </c>
    </row>
    <row r="476" spans="1:5">
      <c r="D476" s="87">
        <f t="shared" si="7"/>
        <v>0</v>
      </c>
      <c r="E476" s="91" t="s">
        <v>1130</v>
      </c>
    </row>
    <row r="477" spans="1:5">
      <c r="D477" s="87">
        <f t="shared" si="7"/>
        <v>0</v>
      </c>
      <c r="E477" s="91" t="s">
        <v>1130</v>
      </c>
    </row>
    <row r="478" spans="1:5">
      <c r="D478" s="87">
        <f t="shared" si="7"/>
        <v>0</v>
      </c>
      <c r="E478" s="91" t="s">
        <v>1130</v>
      </c>
    </row>
    <row r="479" spans="1:5">
      <c r="D479" s="87">
        <f t="shared" si="7"/>
        <v>0</v>
      </c>
      <c r="E479" s="91" t="s">
        <v>1130</v>
      </c>
    </row>
    <row r="480" spans="1:5">
      <c r="D480" s="87">
        <f t="shared" si="7"/>
        <v>0</v>
      </c>
      <c r="E480" s="91" t="s">
        <v>1130</v>
      </c>
    </row>
    <row r="481" spans="4:5">
      <c r="D481" s="87">
        <f t="shared" si="7"/>
        <v>0</v>
      </c>
      <c r="E481" s="91" t="s">
        <v>1130</v>
      </c>
    </row>
    <row r="482" spans="4:5">
      <c r="D482" s="87">
        <f t="shared" si="7"/>
        <v>0</v>
      </c>
      <c r="E482" s="91" t="s">
        <v>1130</v>
      </c>
    </row>
    <row r="483" spans="4:5">
      <c r="D483" s="87">
        <f t="shared" si="7"/>
        <v>0</v>
      </c>
      <c r="E483" s="91" t="s">
        <v>1130</v>
      </c>
    </row>
    <row r="484" spans="4:5">
      <c r="D484" s="87">
        <f t="shared" si="7"/>
        <v>0</v>
      </c>
      <c r="E484" s="91" t="s">
        <v>1130</v>
      </c>
    </row>
    <row r="485" spans="4:5">
      <c r="D485" s="87">
        <f t="shared" si="7"/>
        <v>0</v>
      </c>
      <c r="E485" s="91" t="s">
        <v>1130</v>
      </c>
    </row>
    <row r="486" spans="4:5">
      <c r="D486" s="87">
        <f t="shared" si="7"/>
        <v>0</v>
      </c>
    </row>
    <row r="487" spans="4:5">
      <c r="D487" s="87">
        <f t="shared" si="7"/>
        <v>0</v>
      </c>
    </row>
    <row r="488" spans="4:5">
      <c r="D488" s="87">
        <f t="shared" si="7"/>
        <v>0</v>
      </c>
    </row>
    <row r="489" spans="4:5">
      <c r="D489" s="87">
        <f t="shared" si="7"/>
        <v>0</v>
      </c>
    </row>
    <row r="490" spans="4:5">
      <c r="D490" s="87">
        <f t="shared" si="7"/>
        <v>0</v>
      </c>
    </row>
    <row r="491" spans="4:5">
      <c r="D491" s="87">
        <f t="shared" si="7"/>
        <v>0</v>
      </c>
    </row>
    <row r="492" spans="4:5">
      <c r="D492" s="87">
        <f t="shared" si="7"/>
        <v>0</v>
      </c>
    </row>
    <row r="493" spans="4:5">
      <c r="D493" s="87">
        <f t="shared" si="7"/>
        <v>0</v>
      </c>
    </row>
    <row r="494" spans="4:5">
      <c r="D494" s="87">
        <f t="shared" si="7"/>
        <v>0</v>
      </c>
    </row>
    <row r="495" spans="4:5">
      <c r="D495" s="87">
        <f t="shared" si="7"/>
        <v>0</v>
      </c>
    </row>
    <row r="496" spans="4:5">
      <c r="D496" s="87">
        <f t="shared" si="7"/>
        <v>0</v>
      </c>
    </row>
    <row r="497" spans="4:4">
      <c r="D497" s="87">
        <f t="shared" si="7"/>
        <v>0</v>
      </c>
    </row>
    <row r="498" spans="4:4">
      <c r="D498" s="87">
        <f t="shared" si="7"/>
        <v>0</v>
      </c>
    </row>
    <row r="499" spans="4:4">
      <c r="D499" s="87">
        <f t="shared" si="7"/>
        <v>0</v>
      </c>
    </row>
    <row r="500" spans="4:4">
      <c r="D500" s="87">
        <f t="shared" si="7"/>
        <v>0</v>
      </c>
    </row>
    <row r="501" spans="4:4">
      <c r="D501" s="87">
        <f t="shared" si="7"/>
        <v>0</v>
      </c>
    </row>
    <row r="502" spans="4:4">
      <c r="D502" s="87">
        <f t="shared" si="7"/>
        <v>0</v>
      </c>
    </row>
    <row r="503" spans="4:4">
      <c r="D503" s="87">
        <f t="shared" si="7"/>
        <v>0</v>
      </c>
    </row>
  </sheetData>
  <autoFilter ref="A1:C177"/>
  <phoneticPr fontId="5"/>
  <pageMargins left="0.7" right="0.7" top="0.75" bottom="0.75" header="0.3" footer="0.3"/>
  <pageSetup paperSize="9" orientation="portrait" r:id="rId1"/>
  <headerFooter>
    <oddFooter>&amp;C -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1" ma:contentTypeDescription="新しいドキュメントを作成します。" ma:contentTypeScope="" ma:versionID="e5ae636e02addc504cfb984afc9afa79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b4f014bae2b5c552562ade8b1ee15916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Props1.xml><?xml version="1.0" encoding="utf-8"?>
<ds:datastoreItem xmlns:ds="http://schemas.openxmlformats.org/officeDocument/2006/customXml" ds:itemID="{39827095-F4DC-40BC-87FD-822AB94057C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41A44EC-CE7F-4224-9C60-379FC181AC3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166708A-B621-4A65-8BAD-1D8564668064}">
  <ds:schemaRefs>
    <ds:schemaRef ds:uri="http://schemas.microsoft.com/office/2006/metadata/properties"/>
    <ds:schemaRef ds:uri="http://purl.org/dc/terms/"/>
    <ds:schemaRef ds:uri="44fe4817-1a8c-4f6d-9a7a-15a2f9c2ceea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2ad01a7e-b0cc-482e-be0b-d1161c9cb6d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28</vt:i4>
      </vt:variant>
      <vt:variant>
        <vt:lpstr>名前付き一覧</vt:lpstr>
      </vt:variant>
      <vt:variant>
        <vt:i4>25</vt:i4>
      </vt:variant>
    </vt:vector>
  </HeadingPairs>
  <TitlesOfParts>
    <vt:vector size="53" baseType="lpstr">
      <vt:lpstr>マクロ</vt:lpstr>
      <vt:lpstr>実行シート</vt:lpstr>
      <vt:lpstr>テーブル一覧</vt:lpstr>
      <vt:lpstr>生産計画情報（抄紙）</vt:lpstr>
      <vt:lpstr>生産計画情報（熱加工）</vt:lpstr>
      <vt:lpstr>生産計画情報（加工CM）</vt:lpstr>
      <vt:lpstr>生産計画情報（加工SC）</vt:lpstr>
      <vt:lpstr>生産計画情報（コーヒーフィルタ）</vt:lpstr>
      <vt:lpstr>生産計画情報（パッケージ工場）</vt:lpstr>
      <vt:lpstr>生産計画情報（WD工場）</vt:lpstr>
      <vt:lpstr>生産計画情報（外注加工）</vt:lpstr>
      <vt:lpstr>生産指示情報（原材料）</vt:lpstr>
      <vt:lpstr>生産指示明細情報（原材料）</vt:lpstr>
      <vt:lpstr>生産指示情報（薬品）</vt:lpstr>
      <vt:lpstr>生産指示明細情報（薬品）</vt:lpstr>
      <vt:lpstr>生産指示情報（調薬）</vt:lpstr>
      <vt:lpstr>生産指示明細情報（調薬）</vt:lpstr>
      <vt:lpstr>生産指示情報（原反）</vt:lpstr>
      <vt:lpstr>生産指示明細情報（原反）</vt:lpstr>
      <vt:lpstr>加工依頼情報</vt:lpstr>
      <vt:lpstr>加工依頼明細情報</vt:lpstr>
      <vt:lpstr>加工依頼明細情報（ロット指定）</vt:lpstr>
      <vt:lpstr>生産計画項目制御情報</vt:lpstr>
      <vt:lpstr>生産計画排他情報</vt:lpstr>
      <vt:lpstr>製造工程抄紙設備</vt:lpstr>
      <vt:lpstr>項目一覧</vt:lpstr>
      <vt:lpstr>項目一覧 (項目別)</vt:lpstr>
      <vt:lpstr>Sheet1</vt:lpstr>
      <vt:lpstr>テーブル一覧!Print_Titles</vt:lpstr>
      <vt:lpstr>加工依頼情報!Print_Titles</vt:lpstr>
      <vt:lpstr>加工依頼明細情報!Print_Titles</vt:lpstr>
      <vt:lpstr>'加工依頼明細情報（ロット指定）'!Print_Titles</vt:lpstr>
      <vt:lpstr>項目一覧!Print_Titles</vt:lpstr>
      <vt:lpstr>'項目一覧 (項目別)'!Print_Titles</vt:lpstr>
      <vt:lpstr>生産計画項目制御情報!Print_Titles</vt:lpstr>
      <vt:lpstr>'生産計画情報（WD工場）'!Print_Titles</vt:lpstr>
      <vt:lpstr>'生産計画情報（コーヒーフィルタ）'!Print_Titles</vt:lpstr>
      <vt:lpstr>'生産計画情報（パッケージ工場）'!Print_Titles</vt:lpstr>
      <vt:lpstr>'生産計画情報（加工CM）'!Print_Titles</vt:lpstr>
      <vt:lpstr>'生産計画情報（加工SC）'!Print_Titles</vt:lpstr>
      <vt:lpstr>'生産計画情報（外注加工）'!Print_Titles</vt:lpstr>
      <vt:lpstr>'生産計画情報（抄紙）'!Print_Titles</vt:lpstr>
      <vt:lpstr>'生産計画情報（熱加工）'!Print_Titles</vt:lpstr>
      <vt:lpstr>生産計画排他情報!Print_Titles</vt:lpstr>
      <vt:lpstr>'生産指示情報（原材料）'!Print_Titles</vt:lpstr>
      <vt:lpstr>'生産指示情報（原反）'!Print_Titles</vt:lpstr>
      <vt:lpstr>'生産指示情報（調薬）'!Print_Titles</vt:lpstr>
      <vt:lpstr>'生産指示情報（薬品）'!Print_Titles</vt:lpstr>
      <vt:lpstr>'生産指示明細情報（原材料）'!Print_Titles</vt:lpstr>
      <vt:lpstr>'生産指示明細情報（原反）'!Print_Titles</vt:lpstr>
      <vt:lpstr>'生産指示明細情報（調薬）'!Print_Titles</vt:lpstr>
      <vt:lpstr>'生産指示明細情報（薬品）'!Print_Titles</vt:lpstr>
      <vt:lpstr>製造工程抄紙設備!Print_Titles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末永 健治</cp:lastModifiedBy>
  <cp:revision/>
  <cp:lastPrinted>2023-12-20T03:58:12Z</cp:lastPrinted>
  <dcterms:created xsi:type="dcterms:W3CDTF">2020-07-03T02:02:56Z</dcterms:created>
  <dcterms:modified xsi:type="dcterms:W3CDTF">2023-12-20T08:04:38Z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