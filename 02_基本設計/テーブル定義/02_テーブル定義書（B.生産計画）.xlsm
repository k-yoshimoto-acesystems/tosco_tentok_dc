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comments3.xml" ContentType="application/vnd.openxmlformats-officedocument.spreadsheetml.comments+xml"/>
  <Override PartName="/xl/comments4.xml" ContentType="application/vnd.openxmlformats-officedocument.spreadsheetml.comments+xml"/>
  <Override PartName="/xl/comments5.xml" ContentType="application/vnd.openxmlformats-officedocument.spreadsheetml.comments+xml"/>
  <Override PartName="/xl/comments6.xml" ContentType="application/vnd.openxmlformats-officedocument.spreadsheetml.comments+xml"/>
  <Override PartName="/xl/comments7.xml" ContentType="application/vnd.openxmlformats-officedocument.spreadsheetml.comments+xml"/>
  <Override PartName="/xl/comments8.xml" ContentType="application/vnd.openxmlformats-officedocument.spreadsheetml.comments+xml"/>
  <Override PartName="/xl/comments9.xml" ContentType="application/vnd.openxmlformats-officedocument.spreadsheetml.comments+xml"/>
  <Override PartName="/xl/comments10.xml" ContentType="application/vnd.openxmlformats-officedocument.spreadsheetml.comments+xml"/>
  <Override PartName="/xl/comments11.xml" ContentType="application/vnd.openxmlformats-officedocument.spreadsheetml.comments+xml"/>
  <Override PartName="/xl/comments12.xml" ContentType="application/vnd.openxmlformats-officedocument.spreadsheetml.comments+xml"/>
  <Override PartName="/xl/comments13.xml" ContentType="application/vnd.openxmlformats-officedocument.spreadsheetml.comments+xml"/>
  <Override PartName="/xl/comments14.xml" ContentType="application/vnd.openxmlformats-officedocument.spreadsheetml.comments+xml"/>
  <Override PartName="/xl/comments15.xml" ContentType="application/vnd.openxmlformats-officedocument.spreadsheetml.comments+xml"/>
  <Override PartName="/xl/comments16.xml" ContentType="application/vnd.openxmlformats-officedocument.spreadsheetml.comments+xml"/>
  <Override PartName="/xl/comments17.xml" ContentType="application/vnd.openxmlformats-officedocument.spreadsheetml.comments+xml"/>
  <Override PartName="/xl/comments18.xml" ContentType="application/vnd.openxmlformats-officedocument.spreadsheetml.comments+xml"/>
  <Override PartName="/xl/drawings/drawing2.xml" ContentType="application/vnd.openxmlformats-officedocument.drawing+xml"/>
  <Override PartName="/xl/comments19.xml" ContentType="application/vnd.openxmlformats-officedocument.spreadsheetml.comments+xml"/>
  <Override PartName="/xl/comments20.xml" ContentType="application/vnd.openxmlformats-officedocument.spreadsheetml.comments+xml"/>
  <Override PartName="/xl/comments21.xml" ContentType="application/vnd.openxmlformats-officedocument.spreadsheetml.comments+xml"/>
  <Override PartName="/xl/comments22.xml" ContentType="application/vnd.openxmlformats-officedocument.spreadsheetml.comments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fileSharing readOnlyRecommended="1"/>
  <workbookPr codeName="ThisWorkbook" defaultThemeVersion="164011"/>
  <mc:AlternateContent xmlns:mc="http://schemas.openxmlformats.org/markup-compatibility/2006">
    <mc:Choice Requires="x15">
      <x15ac:absPath xmlns:x15ac="http://schemas.microsoft.com/office/spreadsheetml/2010/11/ac" url="\\t4fsv13\JOB\2021\開発\天間\2100747_天間特殊製紙／新基幹システム_2基本設計以降\31_基本設計\04.テーブル設計\"/>
    </mc:Choice>
  </mc:AlternateContent>
  <bookViews>
    <workbookView xWindow="-108" yWindow="-108" windowWidth="23256" windowHeight="12576" tabRatio="923" firstSheet="1" activeTab="1"/>
  </bookViews>
  <sheets>
    <sheet name="マクロ" sheetId="57" state="hidden" r:id="rId1"/>
    <sheet name="実行シート" sheetId="109" r:id="rId2"/>
    <sheet name="テーブル一覧" sheetId="58" r:id="rId3"/>
    <sheet name="生産計画情報（抄紙）" sheetId="43" r:id="rId4"/>
    <sheet name="生産計画情報（熱加工）" sheetId="75" r:id="rId5"/>
    <sheet name="生産計画情報（加工CM）" sheetId="85" r:id="rId6"/>
    <sheet name="生産計画情報（加工SC）" sheetId="102" r:id="rId7"/>
    <sheet name="生産計画情報（コーヒーフィルタ）" sheetId="103" r:id="rId8"/>
    <sheet name="生産計画情報（パッケージ工場）" sheetId="106" r:id="rId9"/>
    <sheet name="生産計画情報（WD工場）" sheetId="105" r:id="rId10"/>
    <sheet name="生産計画情報（外注加工）" sheetId="112" r:id="rId11"/>
    <sheet name="生産指示情報（原材料）" sheetId="62" r:id="rId12"/>
    <sheet name="生産指示明細情報（原材料）" sheetId="113" r:id="rId13"/>
    <sheet name="生産指示情報（薬品）" sheetId="107" r:id="rId14"/>
    <sheet name="生産指示明細情報（薬品）" sheetId="108" r:id="rId15"/>
    <sheet name="生産指示情報（調薬）" sheetId="99" r:id="rId16"/>
    <sheet name="生産指示明細情報（調薬）" sheetId="101" r:id="rId17"/>
    <sheet name="生産指示情報（原反）" sheetId="82" r:id="rId18"/>
    <sheet name="生産指示明細情報（原反）" sheetId="83" r:id="rId19"/>
    <sheet name="加工依頼情報" sheetId="114" r:id="rId20"/>
    <sheet name="加工依頼明細情報" sheetId="115" r:id="rId21"/>
    <sheet name="加工依頼明細情報（ロット指定）" sheetId="116" r:id="rId22"/>
    <sheet name="生産計画項目制御情報" sheetId="110" r:id="rId23"/>
    <sheet name="生産計画排他情報" sheetId="117" r:id="rId24"/>
    <sheet name="製造工程抄紙設備" sheetId="118" r:id="rId25"/>
    <sheet name="項目一覧" sheetId="60" r:id="rId26"/>
    <sheet name="項目一覧 (項目別)" sheetId="61" r:id="rId27"/>
    <sheet name="Sheet1" sheetId="104" r:id="rId28"/>
  </sheets>
  <functionGroups builtInGroupCount="18"/>
  <definedNames>
    <definedName name="_xlnm._FilterDatabase" localSheetId="27" hidden="1">Sheet1!$A$1:$C$177</definedName>
    <definedName name="_xlnm._FilterDatabase" localSheetId="2" hidden="1">テーブル一覧!#REF!</definedName>
    <definedName name="_xlnm._FilterDatabase" localSheetId="19" hidden="1">加工依頼情報!$A$7:$WXB$7</definedName>
    <definedName name="_xlnm._FilterDatabase" localSheetId="20" hidden="1">加工依頼明細情報!$A$7:$WWV$7</definedName>
    <definedName name="_xlnm._FilterDatabase" localSheetId="21" hidden="1">'加工依頼明細情報（ロット指定）'!$A$7:$WWV$7</definedName>
    <definedName name="_xlnm._FilterDatabase" localSheetId="25" hidden="1">項目一覧!$A$3:$J$813</definedName>
    <definedName name="_xlnm._FilterDatabase" localSheetId="26" hidden="1">'項目一覧 (項目別)'!$A$3:$K$813</definedName>
    <definedName name="_xlnm._FilterDatabase" localSheetId="22" hidden="1">生産計画項目制御情報!$A$7:$WWV$7</definedName>
    <definedName name="_xlnm._FilterDatabase" localSheetId="9" hidden="1">'生産計画情報（WD工場）'!$A$6:$BD$62</definedName>
    <definedName name="_xlnm._FilterDatabase" localSheetId="7" hidden="1">'生産計画情報（コーヒーフィルタ）'!$A$6:$BD$37</definedName>
    <definedName name="_xlnm._FilterDatabase" localSheetId="8" hidden="1">'生産計画情報（パッケージ工場）'!$A$6:$BD$40</definedName>
    <definedName name="_xlnm._FilterDatabase" localSheetId="5" hidden="1">'生産計画情報（加工CM）'!$A$6:$BD$42</definedName>
    <definedName name="_xlnm._FilterDatabase" localSheetId="6" hidden="1">'生産計画情報（加工SC）'!$A$6:$BD$41</definedName>
    <definedName name="_xlnm._FilterDatabase" localSheetId="10" hidden="1">'生産計画情報（外注加工）'!$A$6:$BD$66</definedName>
    <definedName name="_xlnm._FilterDatabase" localSheetId="3" hidden="1">'生産計画情報（抄紙）'!$A$6:$BD$42</definedName>
    <definedName name="_xlnm._FilterDatabase" localSheetId="4" hidden="1">'生産計画情報（熱加工）'!$A$6:$BD$44</definedName>
    <definedName name="_xlnm._FilterDatabase" localSheetId="23" hidden="1">生産計画排他情報!$A$7:$WWV$7</definedName>
    <definedName name="_xlnm._FilterDatabase" localSheetId="11" hidden="1">'生産指示情報（原材料）'!$A$7:$BD$7</definedName>
    <definedName name="_xlnm._FilterDatabase" localSheetId="17" hidden="1">'生産指示情報（原反）'!$A$7:$WXB$7</definedName>
    <definedName name="_xlnm._FilterDatabase" localSheetId="15" hidden="1">'生産指示情報（調薬）'!$A$7:$WWE$7</definedName>
    <definedName name="_xlnm._FilterDatabase" localSheetId="13" hidden="1">'生産指示情報（薬品）'!$A$7:$WWE$7</definedName>
    <definedName name="_xlnm._FilterDatabase" localSheetId="12" hidden="1">'生産指示明細情報（原材料）'!$A$7:$BD$7</definedName>
    <definedName name="_xlnm._FilterDatabase" localSheetId="18" hidden="1">'生産指示明細情報（原反）'!$A$7:$WWU$7</definedName>
    <definedName name="_xlnm._FilterDatabase" localSheetId="16" hidden="1">'生産指示明細情報（調薬）'!$A$7:$WWT$7</definedName>
    <definedName name="_xlnm._FilterDatabase" localSheetId="14" hidden="1">'生産指示明細情報（薬品）'!$A$7:$WWV$7</definedName>
    <definedName name="_xlnm._FilterDatabase" localSheetId="24" hidden="1">製造工程抄紙設備!$A$7:$WXB$7</definedName>
    <definedName name="_xlnm.Print_Titles" localSheetId="2">テーブル一覧!$1:$6</definedName>
    <definedName name="_xlnm.Print_Titles" localSheetId="19">加工依頼情報!$1:$7</definedName>
    <definedName name="_xlnm.Print_Titles" localSheetId="20">加工依頼明細情報!$1:$7</definedName>
    <definedName name="_xlnm.Print_Titles" localSheetId="21">'加工依頼明細情報（ロット指定）'!$1:$7</definedName>
    <definedName name="_xlnm.Print_Titles" localSheetId="25">項目一覧!$1:$3</definedName>
    <definedName name="_xlnm.Print_Titles" localSheetId="26">'項目一覧 (項目別)'!$1:$3</definedName>
    <definedName name="_xlnm.Print_Titles" localSheetId="22">生産計画項目制御情報!$1:$7</definedName>
    <definedName name="_xlnm.Print_Titles" localSheetId="9">'生産計画情報（WD工場）'!$1:$7</definedName>
    <definedName name="_xlnm.Print_Titles" localSheetId="7">'生産計画情報（コーヒーフィルタ）'!$1:$7</definedName>
    <definedName name="_xlnm.Print_Titles" localSheetId="8">'生産計画情報（パッケージ工場）'!$1:$7</definedName>
    <definedName name="_xlnm.Print_Titles" localSheetId="5">'生産計画情報（加工CM）'!$1:$7</definedName>
    <definedName name="_xlnm.Print_Titles" localSheetId="6">'生産計画情報（加工SC）'!$1:$7</definedName>
    <definedName name="_xlnm.Print_Titles" localSheetId="10">'生産計画情報（外注加工）'!$1:$7</definedName>
    <definedName name="_xlnm.Print_Titles" localSheetId="3">'生産計画情報（抄紙）'!$1:$7</definedName>
    <definedName name="_xlnm.Print_Titles" localSheetId="4">'生産計画情報（熱加工）'!$1:$7</definedName>
    <definedName name="_xlnm.Print_Titles" localSheetId="23">生産計画排他情報!$1:$7</definedName>
    <definedName name="_xlnm.Print_Titles" localSheetId="11">'生産指示情報（原材料）'!$1:$7</definedName>
    <definedName name="_xlnm.Print_Titles" localSheetId="17">'生産指示情報（原反）'!$1:$7</definedName>
    <definedName name="_xlnm.Print_Titles" localSheetId="15">'生産指示情報（調薬）'!$1:$7</definedName>
    <definedName name="_xlnm.Print_Titles" localSheetId="13">'生産指示情報（薬品）'!$1:$7</definedName>
    <definedName name="_xlnm.Print_Titles" localSheetId="12">'生産指示明細情報（原材料）'!$1:$7</definedName>
    <definedName name="_xlnm.Print_Titles" localSheetId="18">'生産指示明細情報（原反）'!$1:$7</definedName>
    <definedName name="_xlnm.Print_Titles" localSheetId="16">'生産指示明細情報（調薬）'!$1:$7</definedName>
    <definedName name="_xlnm.Print_Titles" localSheetId="14">'生産指示明細情報（薬品）'!$1:$7</definedName>
    <definedName name="_xlnm.Print_Titles" localSheetId="24">製造工程抄紙設備!$1:$7</definedName>
  </definedNames>
  <calcPr calcId="162913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A813" i="61" l="1"/>
  <c r="A812" i="61"/>
  <c r="A811" i="61"/>
  <c r="A810" i="61"/>
  <c r="A809" i="61"/>
  <c r="A808" i="61"/>
  <c r="A807" i="61"/>
  <c r="A806" i="61"/>
  <c r="A805" i="61"/>
  <c r="A804" i="61"/>
  <c r="A803" i="61"/>
  <c r="A802" i="61"/>
  <c r="A801" i="61"/>
  <c r="A800" i="61"/>
  <c r="A799" i="61"/>
  <c r="A798" i="61"/>
  <c r="A797" i="61"/>
  <c r="A796" i="61"/>
  <c r="A795" i="61"/>
  <c r="A794" i="61"/>
  <c r="A793" i="61"/>
  <c r="A792" i="61"/>
  <c r="A791" i="61"/>
  <c r="A790" i="61"/>
  <c r="A789" i="61"/>
  <c r="A788" i="61"/>
  <c r="A787" i="61"/>
  <c r="A786" i="61"/>
  <c r="A785" i="61"/>
  <c r="A784" i="61"/>
  <c r="A783" i="61"/>
  <c r="A782" i="61"/>
  <c r="A781" i="61"/>
  <c r="A780" i="61"/>
  <c r="A779" i="61"/>
  <c r="A778" i="61"/>
  <c r="A777" i="61"/>
  <c r="A776" i="61"/>
  <c r="A775" i="61"/>
  <c r="A774" i="61"/>
  <c r="A773" i="61"/>
  <c r="A772" i="61"/>
  <c r="A771" i="61"/>
  <c r="A770" i="61"/>
  <c r="A769" i="61"/>
  <c r="A768" i="61"/>
  <c r="A767" i="61"/>
  <c r="A766" i="61"/>
  <c r="A765" i="61"/>
  <c r="A764" i="61"/>
  <c r="A763" i="61"/>
  <c r="A762" i="61"/>
  <c r="A761" i="61"/>
  <c r="A760" i="61"/>
  <c r="A759" i="61"/>
  <c r="A758" i="61"/>
  <c r="A757" i="61"/>
  <c r="A756" i="61"/>
  <c r="A755" i="61"/>
  <c r="A754" i="61"/>
  <c r="A753" i="61"/>
  <c r="A752" i="61"/>
  <c r="A751" i="61"/>
  <c r="A750" i="61"/>
  <c r="A749" i="61"/>
  <c r="A748" i="61"/>
  <c r="A747" i="61"/>
  <c r="A746" i="61"/>
  <c r="A745" i="61"/>
  <c r="A744" i="61"/>
  <c r="A743" i="61"/>
  <c r="A742" i="61"/>
  <c r="A741" i="61"/>
  <c r="A740" i="61"/>
  <c r="A739" i="61"/>
  <c r="A738" i="61"/>
  <c r="A737" i="61"/>
  <c r="A736" i="61"/>
  <c r="A735" i="61"/>
  <c r="A734" i="61"/>
  <c r="A733" i="61"/>
  <c r="A732" i="61"/>
  <c r="A731" i="61"/>
  <c r="A730" i="61"/>
  <c r="A729" i="61"/>
  <c r="A728" i="61"/>
  <c r="A727" i="61"/>
  <c r="A726" i="61"/>
  <c r="A725" i="61"/>
  <c r="A724" i="61"/>
  <c r="A723" i="61"/>
  <c r="A722" i="61"/>
  <c r="A721" i="61"/>
  <c r="A720" i="61"/>
  <c r="A719" i="61"/>
  <c r="A718" i="61"/>
  <c r="A717" i="61"/>
  <c r="A716" i="61"/>
  <c r="A715" i="61"/>
  <c r="A714" i="61"/>
  <c r="A713" i="61"/>
  <c r="A712" i="61"/>
  <c r="A711" i="61"/>
  <c r="A710" i="61"/>
  <c r="A709" i="61"/>
  <c r="A708" i="61"/>
  <c r="A707" i="61"/>
  <c r="A706" i="61"/>
  <c r="A705" i="61"/>
  <c r="A704" i="61"/>
  <c r="A703" i="61"/>
  <c r="A702" i="61"/>
  <c r="A701" i="61"/>
  <c r="A700" i="61"/>
  <c r="A699" i="61"/>
  <c r="A698" i="61"/>
  <c r="A697" i="61"/>
  <c r="A696" i="61"/>
  <c r="A695" i="61"/>
  <c r="A694" i="61"/>
  <c r="A693" i="61"/>
  <c r="A692" i="61"/>
  <c r="A691" i="61"/>
  <c r="A690" i="61"/>
  <c r="A689" i="61"/>
  <c r="A688" i="61"/>
  <c r="A687" i="61"/>
  <c r="A686" i="61"/>
  <c r="A685" i="61"/>
  <c r="A684" i="61"/>
  <c r="A683" i="61"/>
  <c r="A682" i="61"/>
  <c r="A681" i="61"/>
  <c r="A680" i="61"/>
  <c r="A679" i="61"/>
  <c r="A678" i="61"/>
  <c r="A677" i="61"/>
  <c r="A676" i="61"/>
  <c r="A675" i="61"/>
  <c r="A674" i="61"/>
  <c r="A673" i="61"/>
  <c r="A672" i="61"/>
  <c r="A671" i="61"/>
  <c r="A670" i="61"/>
  <c r="A669" i="61"/>
  <c r="A668" i="61"/>
  <c r="A667" i="61"/>
  <c r="A666" i="61"/>
  <c r="A665" i="61"/>
  <c r="A664" i="61"/>
  <c r="A663" i="61"/>
  <c r="A662" i="61"/>
  <c r="A661" i="61"/>
  <c r="A660" i="61"/>
  <c r="A659" i="61"/>
  <c r="A658" i="61"/>
  <c r="A657" i="61"/>
  <c r="A656" i="61"/>
  <c r="A655" i="61"/>
  <c r="A654" i="61"/>
  <c r="A653" i="61"/>
  <c r="A652" i="61"/>
  <c r="A651" i="61"/>
  <c r="A650" i="61"/>
  <c r="A649" i="61"/>
  <c r="A648" i="61"/>
  <c r="A647" i="61"/>
  <c r="A646" i="61"/>
  <c r="A645" i="61"/>
  <c r="A644" i="61"/>
  <c r="A643" i="61"/>
  <c r="A642" i="61"/>
  <c r="A641" i="61"/>
  <c r="A640" i="61"/>
  <c r="A639" i="61"/>
  <c r="A638" i="61"/>
  <c r="A637" i="61"/>
  <c r="A636" i="61"/>
  <c r="A635" i="61"/>
  <c r="A634" i="61"/>
  <c r="A633" i="61"/>
  <c r="A239" i="61"/>
  <c r="A218" i="61"/>
  <c r="A530" i="61"/>
  <c r="A508" i="61"/>
  <c r="A558" i="61"/>
  <c r="A416" i="61"/>
  <c r="A374" i="61"/>
  <c r="A529" i="61"/>
  <c r="A86" i="61"/>
  <c r="A331" i="61"/>
  <c r="A415" i="61"/>
  <c r="A238" i="61"/>
  <c r="A217" i="61"/>
  <c r="A528" i="61"/>
  <c r="A507" i="61"/>
  <c r="A261" i="61"/>
  <c r="A258" i="61"/>
  <c r="A256" i="61"/>
  <c r="A257" i="61"/>
  <c r="A540" i="61"/>
  <c r="A107" i="61"/>
  <c r="A108" i="61"/>
  <c r="A45" i="61"/>
  <c r="A541" i="61"/>
  <c r="A375" i="61"/>
  <c r="A124" i="61"/>
  <c r="A535" i="61"/>
  <c r="A37" i="61"/>
  <c r="A100" i="61"/>
  <c r="A178" i="61"/>
  <c r="A237" i="61"/>
  <c r="A216" i="61"/>
  <c r="A197" i="61"/>
  <c r="A527" i="61"/>
  <c r="A506" i="61"/>
  <c r="A487" i="61"/>
  <c r="A300" i="61"/>
  <c r="A318" i="61"/>
  <c r="A414" i="61"/>
  <c r="A177" i="61"/>
  <c r="A273" i="61"/>
  <c r="A378" i="61"/>
  <c r="A242" i="61"/>
  <c r="A368" i="61"/>
  <c r="A236" i="61"/>
  <c r="A215" i="61"/>
  <c r="A196" i="61"/>
  <c r="A526" i="61"/>
  <c r="A505" i="61"/>
  <c r="A486" i="61"/>
  <c r="A299" i="61"/>
  <c r="A317" i="61"/>
  <c r="A616" i="61"/>
  <c r="A454" i="61"/>
  <c r="A607" i="61"/>
  <c r="A467" i="61"/>
  <c r="A594" i="61"/>
  <c r="A576" i="61"/>
  <c r="A399" i="61"/>
  <c r="A49" i="61"/>
  <c r="A379" i="61"/>
  <c r="A413" i="61"/>
  <c r="A176" i="61"/>
  <c r="A377" i="61"/>
  <c r="A536" i="61"/>
  <c r="A274" i="61"/>
  <c r="A48" i="61"/>
  <c r="A241" i="61"/>
  <c r="A630" i="61"/>
  <c r="A370" i="61"/>
  <c r="A367" i="61"/>
  <c r="A235" i="61"/>
  <c r="A214" i="61"/>
  <c r="A195" i="61"/>
  <c r="A525" i="61"/>
  <c r="A504" i="61"/>
  <c r="A485" i="61"/>
  <c r="A298" i="61"/>
  <c r="A316" i="61"/>
  <c r="A272" i="61"/>
  <c r="A453" i="61"/>
  <c r="A606" i="61"/>
  <c r="A466" i="61"/>
  <c r="A593" i="61"/>
  <c r="A575" i="61"/>
  <c r="A398" i="61"/>
  <c r="A136" i="61"/>
  <c r="A148" i="61"/>
  <c r="A412" i="61"/>
  <c r="A175" i="61"/>
  <c r="A369" i="61"/>
  <c r="A366" i="61"/>
  <c r="A234" i="61"/>
  <c r="A213" i="61"/>
  <c r="A194" i="61"/>
  <c r="A524" i="61"/>
  <c r="A503" i="61"/>
  <c r="A484" i="61"/>
  <c r="A297" i="61"/>
  <c r="A315" i="61"/>
  <c r="A411" i="61"/>
  <c r="A123" i="61"/>
  <c r="A452" i="61"/>
  <c r="A605" i="61"/>
  <c r="A465" i="61"/>
  <c r="A592" i="61"/>
  <c r="A574" i="61"/>
  <c r="A397" i="61"/>
  <c r="A629" i="61"/>
  <c r="A365" i="61"/>
  <c r="A233" i="61"/>
  <c r="A212" i="61"/>
  <c r="A193" i="61"/>
  <c r="A523" i="61"/>
  <c r="A502" i="61"/>
  <c r="A483" i="61"/>
  <c r="A296" i="61"/>
  <c r="A314" i="61"/>
  <c r="A271" i="61"/>
  <c r="A265" i="61"/>
  <c r="A557" i="61"/>
  <c r="A451" i="61"/>
  <c r="A604" i="61"/>
  <c r="A464" i="61"/>
  <c r="A591" i="61"/>
  <c r="A573" i="61"/>
  <c r="A396" i="61"/>
  <c r="A135" i="61"/>
  <c r="A147" i="61"/>
  <c r="A410" i="61"/>
  <c r="A174" i="61"/>
  <c r="A364" i="61"/>
  <c r="A232" i="61"/>
  <c r="A211" i="61"/>
  <c r="A192" i="61"/>
  <c r="A522" i="61"/>
  <c r="A501" i="61"/>
  <c r="A482" i="61"/>
  <c r="A295" i="61"/>
  <c r="A313" i="61"/>
  <c r="A556" i="61"/>
  <c r="A531" i="61"/>
  <c r="A631" i="61"/>
  <c r="A590" i="61"/>
  <c r="A572" i="61"/>
  <c r="A395" i="61"/>
  <c r="A628" i="61"/>
  <c r="A119" i="61"/>
  <c r="A363" i="61"/>
  <c r="A231" i="61"/>
  <c r="A210" i="61"/>
  <c r="A191" i="61"/>
  <c r="A521" i="61"/>
  <c r="A500" i="61"/>
  <c r="A481" i="61"/>
  <c r="A294" i="61"/>
  <c r="A312" i="61"/>
  <c r="A270" i="61"/>
  <c r="A264" i="61"/>
  <c r="A555" i="61"/>
  <c r="A450" i="61"/>
  <c r="A603" i="61"/>
  <c r="A463" i="61"/>
  <c r="A589" i="61"/>
  <c r="A571" i="61"/>
  <c r="A394" i="61"/>
  <c r="A134" i="61"/>
  <c r="A146" i="61"/>
  <c r="A409" i="61"/>
  <c r="A173" i="61"/>
  <c r="A362" i="61"/>
  <c r="A230" i="61"/>
  <c r="A209" i="61"/>
  <c r="A190" i="61"/>
  <c r="A520" i="61"/>
  <c r="A499" i="61"/>
  <c r="A480" i="61"/>
  <c r="A293" i="61"/>
  <c r="A311" i="61"/>
  <c r="A554" i="61"/>
  <c r="A468" i="61"/>
  <c r="A588" i="61"/>
  <c r="A570" i="61"/>
  <c r="A393" i="61"/>
  <c r="A627" i="61"/>
  <c r="A118" i="61"/>
  <c r="A361" i="61"/>
  <c r="A229" i="61"/>
  <c r="A208" i="61"/>
  <c r="A189" i="61"/>
  <c r="A519" i="61"/>
  <c r="A498" i="61"/>
  <c r="A479" i="61"/>
  <c r="A292" i="61"/>
  <c r="A310" i="61"/>
  <c r="A269" i="61"/>
  <c r="A420" i="61"/>
  <c r="A263" i="61"/>
  <c r="A553" i="61"/>
  <c r="A449" i="61"/>
  <c r="A602" i="61"/>
  <c r="A462" i="61"/>
  <c r="A587" i="61"/>
  <c r="A569" i="61"/>
  <c r="A392" i="61"/>
  <c r="A133" i="61"/>
  <c r="A145" i="61"/>
  <c r="A408" i="61"/>
  <c r="A172" i="61"/>
  <c r="A360" i="61"/>
  <c r="A228" i="61"/>
  <c r="A207" i="61"/>
  <c r="A188" i="61"/>
  <c r="A518" i="61"/>
  <c r="A497" i="61"/>
  <c r="A478" i="61"/>
  <c r="A291" i="61"/>
  <c r="A309" i="61"/>
  <c r="A552" i="61"/>
  <c r="A542" i="61"/>
  <c r="A423" i="61"/>
  <c r="A609" i="61"/>
  <c r="A608" i="61"/>
  <c r="A341" i="61"/>
  <c r="A586" i="61"/>
  <c r="A568" i="61"/>
  <c r="A391" i="61"/>
  <c r="A626" i="61"/>
  <c r="A117" i="61"/>
  <c r="A359" i="61"/>
  <c r="A227" i="61"/>
  <c r="A206" i="61"/>
  <c r="A187" i="61"/>
  <c r="A517" i="61"/>
  <c r="A496" i="61"/>
  <c r="A477" i="61"/>
  <c r="A290" i="61"/>
  <c r="A308" i="61"/>
  <c r="A268" i="61"/>
  <c r="A8" i="61"/>
  <c r="A6" i="61"/>
  <c r="A5" i="61"/>
  <c r="A7" i="61"/>
  <c r="A4" i="61"/>
  <c r="A262" i="61"/>
  <c r="A551" i="61"/>
  <c r="A448" i="61"/>
  <c r="A601" i="61"/>
  <c r="A461" i="61"/>
  <c r="A585" i="61"/>
  <c r="A567" i="61"/>
  <c r="A390" i="61"/>
  <c r="A132" i="61"/>
  <c r="A144" i="61"/>
  <c r="A407" i="61"/>
  <c r="A171" i="61"/>
  <c r="A358" i="61"/>
  <c r="A226" i="61"/>
  <c r="A205" i="61"/>
  <c r="A186" i="61"/>
  <c r="A516" i="61"/>
  <c r="A495" i="61"/>
  <c r="A476" i="61"/>
  <c r="A116" i="61"/>
  <c r="A68" i="61"/>
  <c r="A67" i="61"/>
  <c r="A266" i="61"/>
  <c r="A240" i="61"/>
  <c r="A243" i="61"/>
  <c r="A75" i="61"/>
  <c r="A76" i="61"/>
  <c r="A77" i="61"/>
  <c r="A41" i="61"/>
  <c r="A47" i="61"/>
  <c r="A44" i="61"/>
  <c r="A17" i="61"/>
  <c r="A25" i="61"/>
  <c r="A13" i="61"/>
  <c r="A23" i="61"/>
  <c r="A15" i="61"/>
  <c r="A21" i="61"/>
  <c r="A19" i="61"/>
  <c r="A11" i="61"/>
  <c r="A9" i="61"/>
  <c r="A550" i="61"/>
  <c r="A611" i="61"/>
  <c r="A632" i="61"/>
  <c r="A612" i="61"/>
  <c r="A615" i="61"/>
  <c r="A85" i="61"/>
  <c r="A74" i="61"/>
  <c r="A30" i="61"/>
  <c r="A422" i="61"/>
  <c r="A381" i="61"/>
  <c r="A447" i="61"/>
  <c r="A600" i="61"/>
  <c r="A460" i="61"/>
  <c r="A584" i="61"/>
  <c r="A566" i="61"/>
  <c r="A389" i="61"/>
  <c r="A131" i="61"/>
  <c r="A143" i="61"/>
  <c r="A441" i="61"/>
  <c r="A430" i="61"/>
  <c r="A376" i="61"/>
  <c r="A122" i="61"/>
  <c r="A121" i="61"/>
  <c r="A340" i="61"/>
  <c r="A51" i="61"/>
  <c r="A538" i="61"/>
  <c r="A120" i="61"/>
  <c r="A53" i="61"/>
  <c r="A87" i="61"/>
  <c r="A170" i="61"/>
  <c r="A349" i="61"/>
  <c r="A625" i="61"/>
  <c r="A357" i="61"/>
  <c r="A225" i="61"/>
  <c r="A204" i="61"/>
  <c r="A185" i="61"/>
  <c r="A515" i="61"/>
  <c r="A494" i="61"/>
  <c r="A475" i="61"/>
  <c r="A289" i="61"/>
  <c r="A307" i="61"/>
  <c r="A99" i="61"/>
  <c r="A93" i="61"/>
  <c r="A115" i="61"/>
  <c r="A106" i="61"/>
  <c r="A59" i="61"/>
  <c r="A162" i="61"/>
  <c r="A155" i="61"/>
  <c r="A40" i="61"/>
  <c r="A46" i="61"/>
  <c r="A66" i="61"/>
  <c r="A43" i="61"/>
  <c r="A275" i="61"/>
  <c r="A16" i="61"/>
  <c r="A24" i="61"/>
  <c r="A12" i="61"/>
  <c r="A22" i="61"/>
  <c r="A14" i="61"/>
  <c r="A20" i="61"/>
  <c r="A18" i="61"/>
  <c r="A10" i="61"/>
  <c r="A549" i="61"/>
  <c r="A614" i="61"/>
  <c r="A73" i="61"/>
  <c r="A29" i="61"/>
  <c r="A421" i="61"/>
  <c r="A446" i="61"/>
  <c r="A599" i="61"/>
  <c r="A459" i="61"/>
  <c r="A583" i="61"/>
  <c r="A565" i="61"/>
  <c r="A388" i="61"/>
  <c r="A130" i="61"/>
  <c r="A142" i="61"/>
  <c r="A435" i="61"/>
  <c r="A440" i="61"/>
  <c r="A249" i="61"/>
  <c r="A255" i="61"/>
  <c r="A339" i="61"/>
  <c r="A537" i="61"/>
  <c r="A50" i="61"/>
  <c r="A373" i="61"/>
  <c r="A282" i="61"/>
  <c r="A330" i="61"/>
  <c r="A84" i="61"/>
  <c r="A52" i="61"/>
  <c r="A406" i="61"/>
  <c r="A169" i="61"/>
  <c r="A348" i="61"/>
  <c r="A429" i="61"/>
  <c r="A371" i="61"/>
  <c r="A356" i="61"/>
  <c r="A224" i="61"/>
  <c r="A203" i="61"/>
  <c r="A184" i="61"/>
  <c r="A514" i="61"/>
  <c r="A493" i="61"/>
  <c r="A474" i="61"/>
  <c r="A288" i="61"/>
  <c r="A306" i="61"/>
  <c r="A98" i="61"/>
  <c r="A92" i="61"/>
  <c r="A114" i="61"/>
  <c r="A58" i="61"/>
  <c r="A161" i="61"/>
  <c r="A154" i="61"/>
  <c r="A548" i="61"/>
  <c r="A65" i="61"/>
  <c r="A36" i="61"/>
  <c r="A28" i="61"/>
  <c r="A27" i="61"/>
  <c r="A26" i="61"/>
  <c r="A267" i="61"/>
  <c r="A582" i="61"/>
  <c r="A564" i="61"/>
  <c r="A387" i="61"/>
  <c r="A260" i="61"/>
  <c r="A259" i="61"/>
  <c r="A338" i="61"/>
  <c r="A281" i="61"/>
  <c r="A329" i="61"/>
  <c r="A83" i="61"/>
  <c r="A405" i="61"/>
  <c r="A168" i="61"/>
  <c r="A347" i="61"/>
  <c r="A355" i="61"/>
  <c r="A223" i="61"/>
  <c r="A202" i="61"/>
  <c r="A183" i="61"/>
  <c r="A513" i="61"/>
  <c r="A492" i="61"/>
  <c r="A473" i="61"/>
  <c r="A287" i="61"/>
  <c r="A305" i="61"/>
  <c r="A97" i="61"/>
  <c r="A91" i="61"/>
  <c r="A113" i="61"/>
  <c r="A105" i="61"/>
  <c r="A57" i="61"/>
  <c r="A160" i="61"/>
  <c r="A153" i="61"/>
  <c r="A547" i="61"/>
  <c r="A64" i="61"/>
  <c r="A35" i="61"/>
  <c r="A39" i="61"/>
  <c r="A42" i="61"/>
  <c r="A534" i="61"/>
  <c r="A34" i="61"/>
  <c r="A532" i="61"/>
  <c r="A380" i="61"/>
  <c r="A581" i="61"/>
  <c r="A563" i="61"/>
  <c r="A386" i="61"/>
  <c r="A129" i="61"/>
  <c r="A141" i="61"/>
  <c r="A323" i="61"/>
  <c r="A248" i="61"/>
  <c r="A254" i="61"/>
  <c r="A337" i="61"/>
  <c r="A280" i="61"/>
  <c r="A328" i="61"/>
  <c r="A82" i="61"/>
  <c r="A404" i="61"/>
  <c r="A167" i="61"/>
  <c r="A346" i="61"/>
  <c r="A354" i="61"/>
  <c r="A222" i="61"/>
  <c r="A201" i="61"/>
  <c r="A182" i="61"/>
  <c r="A512" i="61"/>
  <c r="A491" i="61"/>
  <c r="A472" i="61"/>
  <c r="A286" i="61"/>
  <c r="A304" i="61"/>
  <c r="A33" i="61"/>
  <c r="A32" i="61"/>
  <c r="A31" i="61"/>
  <c r="A112" i="61"/>
  <c r="A104" i="61"/>
  <c r="A56" i="61"/>
  <c r="A159" i="61"/>
  <c r="A152" i="61"/>
  <c r="A546" i="61"/>
  <c r="A63" i="61"/>
  <c r="A419" i="61"/>
  <c r="A620" i="61"/>
  <c r="A624" i="61"/>
  <c r="A72" i="61"/>
  <c r="A445" i="61"/>
  <c r="A598" i="61"/>
  <c r="A458" i="61"/>
  <c r="A580" i="61"/>
  <c r="A562" i="61"/>
  <c r="A385" i="61"/>
  <c r="A128" i="61"/>
  <c r="A140" i="61"/>
  <c r="A434" i="61"/>
  <c r="A439" i="61"/>
  <c r="A322" i="61"/>
  <c r="A247" i="61"/>
  <c r="A253" i="61"/>
  <c r="A336" i="61"/>
  <c r="A279" i="61"/>
  <c r="A327" i="61"/>
  <c r="A81" i="61"/>
  <c r="A403" i="61"/>
  <c r="A166" i="61"/>
  <c r="A345" i="61"/>
  <c r="A428" i="61"/>
  <c r="A353" i="61"/>
  <c r="A221" i="61"/>
  <c r="A200" i="61"/>
  <c r="A181" i="61"/>
  <c r="A511" i="61"/>
  <c r="A490" i="61"/>
  <c r="A471" i="61"/>
  <c r="A285" i="61"/>
  <c r="A303" i="61"/>
  <c r="A96" i="61"/>
  <c r="A90" i="61"/>
  <c r="A111" i="61"/>
  <c r="A103" i="61"/>
  <c r="A55" i="61"/>
  <c r="A158" i="61"/>
  <c r="A151" i="61"/>
  <c r="A545" i="61"/>
  <c r="A62" i="61"/>
  <c r="A38" i="61"/>
  <c r="A418" i="61"/>
  <c r="A619" i="61"/>
  <c r="A623" i="61"/>
  <c r="A71" i="61"/>
  <c r="A444" i="61"/>
  <c r="A597" i="61"/>
  <c r="A457" i="61"/>
  <c r="A579" i="61"/>
  <c r="A561" i="61"/>
  <c r="A384" i="61"/>
  <c r="A127" i="61"/>
  <c r="A139" i="61"/>
  <c r="A433" i="61"/>
  <c r="A438" i="61"/>
  <c r="A321" i="61"/>
  <c r="A246" i="61"/>
  <c r="A252" i="61"/>
  <c r="A335" i="61"/>
  <c r="A278" i="61"/>
  <c r="A326" i="61"/>
  <c r="A80" i="61"/>
  <c r="A402" i="61"/>
  <c r="A165" i="61"/>
  <c r="A344" i="61"/>
  <c r="A427" i="61"/>
  <c r="A352" i="61"/>
  <c r="A220" i="61"/>
  <c r="A199" i="61"/>
  <c r="A180" i="61"/>
  <c r="A510" i="61"/>
  <c r="A489" i="61"/>
  <c r="A470" i="61"/>
  <c r="A284" i="61"/>
  <c r="A302" i="61"/>
  <c r="A95" i="61"/>
  <c r="A89" i="61"/>
  <c r="A110" i="61"/>
  <c r="A102" i="61"/>
  <c r="A54" i="61"/>
  <c r="A157" i="61"/>
  <c r="A150" i="61"/>
  <c r="A613" i="61"/>
  <c r="A424" i="61"/>
  <c r="A372" i="61"/>
  <c r="A544" i="61"/>
  <c r="A61" i="61"/>
  <c r="A533" i="61"/>
  <c r="A417" i="61"/>
  <c r="A618" i="61"/>
  <c r="A622" i="61"/>
  <c r="A70" i="61"/>
  <c r="A443" i="61"/>
  <c r="A596" i="61"/>
  <c r="A456" i="61"/>
  <c r="A578" i="61"/>
  <c r="A560" i="61"/>
  <c r="A383" i="61"/>
  <c r="A126" i="61"/>
  <c r="A138" i="61"/>
  <c r="A432" i="61"/>
  <c r="A437" i="61"/>
  <c r="A320" i="61"/>
  <c r="A245" i="61"/>
  <c r="A251" i="61"/>
  <c r="A334" i="61"/>
  <c r="A277" i="61"/>
  <c r="A325" i="61"/>
  <c r="A79" i="61"/>
  <c r="A401" i="61"/>
  <c r="A164" i="61"/>
  <c r="A343" i="61"/>
  <c r="A426" i="61"/>
  <c r="A351" i="61"/>
  <c r="A219" i="61"/>
  <c r="A198" i="61"/>
  <c r="A179" i="61"/>
  <c r="A509" i="61"/>
  <c r="A488" i="61"/>
  <c r="A469" i="61"/>
  <c r="A283" i="61"/>
  <c r="A301" i="61"/>
  <c r="A94" i="61"/>
  <c r="A88" i="61"/>
  <c r="A109" i="61"/>
  <c r="A101" i="61"/>
  <c r="A156" i="61"/>
  <c r="A149" i="61"/>
  <c r="A543" i="61"/>
  <c r="A60" i="61"/>
  <c r="A610" i="61"/>
  <c r="A539" i="61"/>
  <c r="A332" i="61"/>
  <c r="A617" i="61"/>
  <c r="A621" i="61"/>
  <c r="A69" i="61"/>
  <c r="A442" i="61"/>
  <c r="A595" i="61"/>
  <c r="A455" i="61"/>
  <c r="A577" i="61"/>
  <c r="A559" i="61"/>
  <c r="A382" i="61"/>
  <c r="A125" i="61"/>
  <c r="A137" i="61"/>
  <c r="A431" i="61"/>
  <c r="A436" i="61"/>
  <c r="A319" i="61"/>
  <c r="A244" i="61"/>
  <c r="A250" i="61"/>
  <c r="A333" i="61"/>
  <c r="A276" i="61"/>
  <c r="A324" i="61"/>
  <c r="A78" i="61"/>
  <c r="A400" i="61"/>
  <c r="A163" i="61"/>
  <c r="A342" i="61"/>
  <c r="A425" i="61"/>
  <c r="A350" i="61"/>
  <c r="A21" i="106" l="1"/>
  <c r="A25" i="115" l="1"/>
  <c r="A24" i="115"/>
  <c r="A23" i="115"/>
  <c r="A22" i="115"/>
  <c r="A21" i="115"/>
  <c r="A20" i="115"/>
  <c r="A19" i="115" l="1"/>
  <c r="A14" i="115"/>
  <c r="A12" i="115"/>
  <c r="A13" i="115"/>
  <c r="A10" i="115" l="1"/>
  <c r="A9" i="115"/>
  <c r="A9" i="114"/>
  <c r="A85" i="103" l="1"/>
  <c r="A84" i="103"/>
  <c r="A83" i="103"/>
  <c r="A82" i="103"/>
  <c r="A81" i="103"/>
  <c r="A80" i="103"/>
  <c r="A79" i="103"/>
  <c r="A78" i="103"/>
  <c r="A77" i="103"/>
  <c r="A76" i="103"/>
  <c r="A75" i="103"/>
  <c r="A74" i="103"/>
  <c r="A73" i="103"/>
  <c r="A72" i="103"/>
  <c r="A71" i="103"/>
  <c r="A70" i="103"/>
  <c r="A69" i="103"/>
  <c r="A68" i="103"/>
  <c r="A67" i="103"/>
  <c r="A66" i="103"/>
  <c r="A65" i="103"/>
  <c r="A64" i="103"/>
  <c r="A63" i="103"/>
  <c r="A62" i="103"/>
  <c r="A61" i="103"/>
  <c r="A60" i="103"/>
  <c r="A59" i="103"/>
  <c r="A58" i="103"/>
  <c r="A57" i="103"/>
  <c r="A56" i="103"/>
  <c r="A55" i="103"/>
  <c r="A54" i="103"/>
  <c r="A53" i="103"/>
  <c r="A52" i="103"/>
  <c r="A51" i="103"/>
  <c r="A50" i="103"/>
  <c r="A49" i="103"/>
  <c r="A48" i="103"/>
  <c r="A24" i="103" l="1"/>
  <c r="A24" i="110" l="1"/>
  <c r="A23" i="110"/>
  <c r="A22" i="110"/>
  <c r="A21" i="110"/>
  <c r="A16" i="106" l="1"/>
  <c r="A29" i="110" l="1"/>
  <c r="A28" i="110"/>
  <c r="A31" i="110" l="1"/>
  <c r="A30" i="110"/>
  <c r="A27" i="110" l="1"/>
  <c r="A26" i="110"/>
  <c r="A46" i="83" l="1"/>
  <c r="A46" i="108"/>
  <c r="A46" i="113"/>
  <c r="A45" i="113"/>
  <c r="A44" i="113"/>
  <c r="A43" i="113"/>
  <c r="A38" i="110"/>
  <c r="A37" i="110"/>
  <c r="A36" i="110"/>
  <c r="A35" i="110"/>
  <c r="A34" i="110"/>
  <c r="A33" i="110"/>
  <c r="A32" i="110"/>
  <c r="A25" i="110"/>
  <c r="A20" i="110"/>
  <c r="A19" i="110"/>
  <c r="A18" i="110"/>
  <c r="A17" i="110"/>
  <c r="A16" i="110"/>
  <c r="A15" i="110"/>
  <c r="A14" i="110"/>
  <c r="A13" i="110"/>
  <c r="A12" i="110"/>
  <c r="A11" i="110"/>
  <c r="A10" i="110"/>
  <c r="A9" i="110"/>
  <c r="A8" i="110"/>
  <c r="A25" i="116"/>
  <c r="A24" i="116"/>
  <c r="A23" i="116"/>
  <c r="A22" i="116"/>
  <c r="A21" i="116"/>
  <c r="A20" i="116"/>
  <c r="A19" i="116"/>
  <c r="A18" i="116"/>
  <c r="A17" i="116"/>
  <c r="A16" i="116"/>
  <c r="A15" i="116"/>
  <c r="A14" i="116"/>
  <c r="A13" i="116"/>
  <c r="A12" i="116"/>
  <c r="A11" i="116"/>
  <c r="A10" i="116"/>
  <c r="A9" i="116"/>
  <c r="A8" i="116"/>
  <c r="A37" i="115"/>
  <c r="A36" i="115"/>
  <c r="A35" i="115"/>
  <c r="A34" i="115"/>
  <c r="A33" i="115"/>
  <c r="A32" i="115"/>
  <c r="A31" i="115"/>
  <c r="A30" i="115"/>
  <c r="A29" i="115"/>
  <c r="A28" i="115"/>
  <c r="A27" i="115"/>
  <c r="A26" i="115"/>
  <c r="A18" i="115"/>
  <c r="A17" i="115"/>
  <c r="A16" i="115"/>
  <c r="A15" i="115"/>
  <c r="A11" i="115"/>
  <c r="A8" i="115"/>
  <c r="A31" i="114"/>
  <c r="A30" i="114"/>
  <c r="A29" i="114"/>
  <c r="A28" i="114"/>
  <c r="A27" i="114"/>
  <c r="A26" i="114"/>
  <c r="A25" i="114"/>
  <c r="A24" i="114"/>
  <c r="A23" i="114"/>
  <c r="A22" i="114"/>
  <c r="A21" i="114"/>
  <c r="A20" i="114"/>
  <c r="A19" i="114"/>
  <c r="A18" i="114"/>
  <c r="A17" i="114"/>
  <c r="A16" i="114"/>
  <c r="A15" i="114"/>
  <c r="A14" i="114"/>
  <c r="A13" i="114"/>
  <c r="A12" i="114"/>
  <c r="A11" i="114"/>
  <c r="A10" i="114"/>
  <c r="A8" i="114"/>
  <c r="A85" i="112"/>
  <c r="A84" i="112"/>
  <c r="A69" i="112"/>
  <c r="A68" i="112"/>
  <c r="A67" i="112"/>
  <c r="A66" i="112"/>
  <c r="A65" i="112"/>
  <c r="A64" i="112"/>
  <c r="A63" i="112"/>
  <c r="A62" i="112"/>
  <c r="A61" i="112"/>
  <c r="A60" i="112"/>
  <c r="A59" i="112"/>
  <c r="A58" i="112"/>
  <c r="A57" i="112"/>
  <c r="A56" i="112"/>
  <c r="A55" i="112"/>
  <c r="A54" i="112"/>
  <c r="A53" i="112"/>
  <c r="A52" i="112"/>
  <c r="A51" i="112"/>
  <c r="A50" i="112"/>
  <c r="A49" i="112"/>
  <c r="A48" i="112"/>
  <c r="A47" i="112"/>
  <c r="A46" i="112"/>
  <c r="A45" i="112"/>
  <c r="A44" i="112"/>
  <c r="A43" i="112"/>
  <c r="A42" i="112"/>
  <c r="A41" i="112"/>
  <c r="A40" i="112"/>
  <c r="A39" i="112"/>
  <c r="A38" i="112"/>
  <c r="A37" i="112"/>
  <c r="A36" i="112"/>
  <c r="A35" i="112"/>
  <c r="A34" i="112"/>
  <c r="A33" i="112"/>
  <c r="A32" i="112"/>
  <c r="A31" i="112"/>
  <c r="A30" i="112"/>
  <c r="A29" i="112"/>
  <c r="A28" i="112"/>
  <c r="A27" i="112"/>
  <c r="A26" i="112"/>
  <c r="A25" i="112"/>
  <c r="A24" i="112"/>
  <c r="A23" i="112"/>
  <c r="A22" i="112"/>
  <c r="A21" i="112"/>
  <c r="A20" i="112"/>
  <c r="A19" i="112"/>
  <c r="A18" i="112"/>
  <c r="A17" i="112"/>
  <c r="A16" i="112"/>
  <c r="A15" i="112"/>
  <c r="A14" i="112"/>
  <c r="A13" i="112"/>
  <c r="A12" i="112"/>
  <c r="A11" i="112"/>
  <c r="A10" i="112"/>
  <c r="A9" i="112"/>
  <c r="A8" i="112"/>
  <c r="A85" i="105"/>
  <c r="A84" i="105"/>
  <c r="A83" i="105"/>
  <c r="A82" i="105"/>
  <c r="A81" i="105"/>
  <c r="A68" i="105"/>
  <c r="A67" i="105"/>
  <c r="A66" i="105"/>
  <c r="A65" i="105"/>
  <c r="A64" i="105"/>
  <c r="A63" i="105"/>
  <c r="A62" i="105"/>
  <c r="A61" i="105"/>
  <c r="A60" i="105"/>
  <c r="A59" i="105"/>
  <c r="A58" i="105"/>
  <c r="A57" i="105"/>
  <c r="A56" i="105"/>
  <c r="A55" i="105"/>
  <c r="A54" i="105"/>
  <c r="A53" i="105"/>
  <c r="A52" i="105"/>
  <c r="A51" i="105"/>
  <c r="A50" i="105"/>
  <c r="A49" i="105"/>
  <c r="A48" i="105"/>
  <c r="A47" i="105"/>
  <c r="A46" i="105"/>
  <c r="A45" i="105"/>
  <c r="A44" i="105"/>
  <c r="A43" i="105"/>
  <c r="A42" i="105"/>
  <c r="A41" i="105"/>
  <c r="A40" i="105"/>
  <c r="A39" i="105"/>
  <c r="A38" i="105"/>
  <c r="A37" i="105"/>
  <c r="A36" i="105"/>
  <c r="A35" i="105"/>
  <c r="A34" i="105"/>
  <c r="A33" i="105"/>
  <c r="A32" i="105"/>
  <c r="A31" i="105"/>
  <c r="A30" i="105"/>
  <c r="A29" i="105"/>
  <c r="A28" i="105"/>
  <c r="A27" i="105"/>
  <c r="A26" i="105"/>
  <c r="A25" i="105"/>
  <c r="A24" i="105"/>
  <c r="A23" i="105"/>
  <c r="A22" i="105"/>
  <c r="A21" i="105"/>
  <c r="A20" i="105"/>
  <c r="A19" i="105"/>
  <c r="A18" i="105"/>
  <c r="A17" i="105"/>
  <c r="A16" i="105"/>
  <c r="A15" i="105"/>
  <c r="A14" i="105"/>
  <c r="A13" i="105"/>
  <c r="A12" i="105"/>
  <c r="A11" i="105"/>
  <c r="A10" i="105"/>
  <c r="A9" i="105"/>
  <c r="A8" i="105"/>
  <c r="A46" i="106"/>
  <c r="A42" i="106"/>
  <c r="A41" i="106"/>
  <c r="A40" i="106"/>
  <c r="A39" i="106"/>
  <c r="A38" i="106"/>
  <c r="A37" i="106"/>
  <c r="A36" i="106"/>
  <c r="A35" i="106"/>
  <c r="A34" i="106"/>
  <c r="A33" i="106"/>
  <c r="A32" i="106"/>
  <c r="A31" i="106"/>
  <c r="A30" i="106"/>
  <c r="A29" i="106"/>
  <c r="A28" i="106"/>
  <c r="A27" i="106"/>
  <c r="A26" i="106"/>
  <c r="A25" i="106"/>
  <c r="A24" i="106"/>
  <c r="A23" i="106"/>
  <c r="A22" i="106"/>
  <c r="A20" i="106"/>
  <c r="A19" i="106"/>
  <c r="A18" i="106"/>
  <c r="A17" i="106"/>
  <c r="A15" i="106"/>
  <c r="A14" i="106"/>
  <c r="A13" i="106"/>
  <c r="A12" i="106"/>
  <c r="A11" i="106"/>
  <c r="A10" i="106"/>
  <c r="A9" i="106"/>
  <c r="A8" i="106"/>
  <c r="A21" i="103"/>
  <c r="A20" i="103"/>
  <c r="A19" i="103"/>
  <c r="A18" i="103"/>
  <c r="A47" i="103"/>
  <c r="A46" i="103"/>
  <c r="A45" i="103"/>
  <c r="A44" i="103"/>
  <c r="A43" i="103"/>
  <c r="A42" i="103"/>
  <c r="A41" i="103"/>
  <c r="A40" i="103"/>
  <c r="A39" i="103"/>
  <c r="A38" i="103"/>
  <c r="A37" i="103"/>
  <c r="A36" i="103"/>
  <c r="A35" i="103"/>
  <c r="A34" i="103"/>
  <c r="A33" i="103"/>
  <c r="A32" i="103"/>
  <c r="A31" i="103"/>
  <c r="A30" i="103"/>
  <c r="A29" i="103"/>
  <c r="A28" i="103"/>
  <c r="A27" i="103"/>
  <c r="A26" i="103"/>
  <c r="A25" i="103"/>
  <c r="A23" i="103"/>
  <c r="A22" i="103"/>
  <c r="A17" i="103"/>
  <c r="A16" i="103"/>
  <c r="A15" i="103"/>
  <c r="A14" i="103"/>
  <c r="A13" i="103"/>
  <c r="A12" i="103"/>
  <c r="A11" i="103"/>
  <c r="A10" i="103"/>
  <c r="A9" i="103"/>
  <c r="A8" i="103"/>
  <c r="A85" i="102"/>
  <c r="A84" i="102"/>
  <c r="A83" i="102"/>
  <c r="A82" i="102"/>
  <c r="A81" i="102"/>
  <c r="A80" i="102"/>
  <c r="A79" i="102"/>
  <c r="A78" i="102"/>
  <c r="A77" i="102"/>
  <c r="A76" i="102"/>
  <c r="A75" i="102"/>
  <c r="A53" i="102"/>
  <c r="A52" i="102"/>
  <c r="A51" i="102"/>
  <c r="A50" i="102"/>
  <c r="A49" i="102"/>
  <c r="A48" i="102"/>
  <c r="A47" i="102"/>
  <c r="A46" i="102"/>
  <c r="A45" i="102"/>
  <c r="A44" i="102"/>
  <c r="A43" i="102"/>
  <c r="A42" i="102"/>
  <c r="A41" i="102"/>
  <c r="A40" i="102"/>
  <c r="A39" i="102"/>
  <c r="A38" i="102"/>
  <c r="A37" i="102"/>
  <c r="A36" i="102"/>
  <c r="A35" i="102"/>
  <c r="A34" i="102"/>
  <c r="A33" i="102"/>
  <c r="A32" i="102"/>
  <c r="A31" i="102"/>
  <c r="A30" i="102"/>
  <c r="A29" i="102"/>
  <c r="A28" i="102"/>
  <c r="A27" i="102"/>
  <c r="A26" i="102"/>
  <c r="A25" i="102"/>
  <c r="A24" i="102"/>
  <c r="A23" i="102"/>
  <c r="A22" i="102"/>
  <c r="A21" i="102"/>
  <c r="A20" i="102"/>
  <c r="A19" i="102"/>
  <c r="A18" i="102"/>
  <c r="A17" i="102"/>
  <c r="A16" i="102"/>
  <c r="A15" i="102"/>
  <c r="A14" i="102"/>
  <c r="A13" i="102"/>
  <c r="A12" i="102"/>
  <c r="A11" i="102"/>
  <c r="A10" i="102"/>
  <c r="A9" i="102"/>
  <c r="A8" i="102"/>
  <c r="A85" i="85"/>
  <c r="A84" i="85"/>
  <c r="A83" i="85"/>
  <c r="A82" i="85"/>
  <c r="A81" i="85"/>
  <c r="A80" i="85"/>
  <c r="A79" i="85"/>
  <c r="A78" i="85"/>
  <c r="A77" i="85"/>
  <c r="A76" i="85"/>
  <c r="A75" i="85"/>
  <c r="A53" i="85"/>
  <c r="A52" i="85"/>
  <c r="A51" i="85"/>
  <c r="A50" i="85"/>
  <c r="A49" i="85"/>
  <c r="A48" i="85"/>
  <c r="A47" i="85"/>
  <c r="A46" i="85"/>
  <c r="A45" i="85"/>
  <c r="A44" i="85"/>
  <c r="A43" i="85"/>
  <c r="A42" i="85"/>
  <c r="A41" i="85"/>
  <c r="A40" i="85"/>
  <c r="A39" i="85"/>
  <c r="A38" i="85"/>
  <c r="A37" i="85"/>
  <c r="A36" i="85"/>
  <c r="A35" i="85"/>
  <c r="A34" i="85"/>
  <c r="A33" i="85"/>
  <c r="A32" i="85"/>
  <c r="A31" i="85"/>
  <c r="A30" i="85"/>
  <c r="A29" i="85"/>
  <c r="A28" i="85"/>
  <c r="A27" i="85"/>
  <c r="A26" i="85"/>
  <c r="A25" i="85"/>
  <c r="A24" i="85"/>
  <c r="A23" i="85"/>
  <c r="A22" i="85"/>
  <c r="A21" i="85"/>
  <c r="A20" i="85"/>
  <c r="A19" i="85"/>
  <c r="A18" i="85"/>
  <c r="A17" i="85"/>
  <c r="A16" i="85"/>
  <c r="A15" i="85"/>
  <c r="A14" i="85"/>
  <c r="A13" i="85"/>
  <c r="A12" i="85"/>
  <c r="A11" i="85"/>
  <c r="A10" i="85"/>
  <c r="A9" i="85"/>
  <c r="A8" i="85"/>
  <c r="A85" i="75"/>
  <c r="A84" i="75"/>
  <c r="A83" i="75"/>
  <c r="A82" i="75"/>
  <c r="A81" i="75"/>
  <c r="A80" i="75"/>
  <c r="A79" i="75"/>
  <c r="A78" i="75"/>
  <c r="A77" i="75"/>
  <c r="A76" i="75"/>
  <c r="A75" i="75"/>
  <c r="A74" i="75"/>
  <c r="A73" i="75"/>
  <c r="A56" i="75"/>
  <c r="A55" i="75"/>
  <c r="A54" i="75"/>
  <c r="A53" i="75"/>
  <c r="A52" i="75"/>
  <c r="A51" i="75"/>
  <c r="A50" i="75"/>
  <c r="A49" i="75"/>
  <c r="A48" i="75"/>
  <c r="A47" i="75"/>
  <c r="A46" i="75"/>
  <c r="A45" i="75"/>
  <c r="A44" i="75"/>
  <c r="A43" i="75"/>
  <c r="A42" i="75"/>
  <c r="A41" i="75"/>
  <c r="A40" i="75"/>
  <c r="A39" i="75"/>
  <c r="A38" i="75"/>
  <c r="A37" i="75"/>
  <c r="A36" i="75"/>
  <c r="A35" i="75"/>
  <c r="A34" i="75"/>
  <c r="A33" i="75"/>
  <c r="A32" i="75"/>
  <c r="A31" i="75"/>
  <c r="A30" i="75"/>
  <c r="A29" i="75"/>
  <c r="A28" i="75"/>
  <c r="A27" i="75"/>
  <c r="A26" i="75"/>
  <c r="A25" i="75"/>
  <c r="A24" i="75"/>
  <c r="A23" i="75"/>
  <c r="A22" i="75"/>
  <c r="A21" i="75"/>
  <c r="A20" i="75"/>
  <c r="A19" i="75"/>
  <c r="A18" i="75"/>
  <c r="A17" i="75"/>
  <c r="A16" i="75"/>
  <c r="A15" i="75"/>
  <c r="A14" i="75"/>
  <c r="A13" i="75"/>
  <c r="A12" i="75"/>
  <c r="A11" i="75"/>
  <c r="A10" i="75"/>
  <c r="A9" i="75"/>
  <c r="A8" i="75"/>
  <c r="A85" i="43"/>
  <c r="A84" i="43"/>
  <c r="A83" i="43"/>
  <c r="A82" i="43"/>
  <c r="A81" i="43"/>
  <c r="A80" i="43"/>
  <c r="A79" i="43"/>
  <c r="A78" i="43"/>
  <c r="A77" i="43"/>
  <c r="A76" i="43"/>
  <c r="A75" i="43"/>
  <c r="A52" i="43"/>
  <c r="A51" i="43"/>
  <c r="A50" i="43"/>
  <c r="A49" i="43"/>
  <c r="A48" i="43"/>
  <c r="A47" i="43"/>
  <c r="A46" i="43"/>
  <c r="A45" i="43"/>
  <c r="A44" i="43"/>
  <c r="A43" i="43"/>
  <c r="A42" i="43"/>
  <c r="A41" i="43"/>
  <c r="A40" i="43"/>
  <c r="A39" i="43"/>
  <c r="A38" i="43"/>
  <c r="A37" i="43"/>
  <c r="A36" i="43"/>
  <c r="A35" i="43"/>
  <c r="A34" i="43"/>
  <c r="A33" i="43"/>
  <c r="A32" i="43"/>
  <c r="A31" i="43"/>
  <c r="A30" i="43"/>
  <c r="A29" i="43"/>
  <c r="A28" i="43"/>
  <c r="A27" i="43"/>
  <c r="A26" i="43"/>
  <c r="A25" i="43"/>
  <c r="A24" i="43"/>
  <c r="A23" i="43"/>
  <c r="A22" i="43"/>
  <c r="A21" i="43"/>
  <c r="A20" i="43"/>
  <c r="A19" i="43"/>
  <c r="A18" i="43"/>
  <c r="A17" i="43"/>
  <c r="A16" i="43"/>
  <c r="A15" i="43"/>
  <c r="A14" i="43"/>
  <c r="A13" i="43"/>
  <c r="A12" i="43"/>
  <c r="A11" i="43"/>
  <c r="A10" i="43"/>
  <c r="A9" i="43"/>
  <c r="A8" i="43"/>
  <c r="A83" i="112"/>
  <c r="A80" i="105"/>
  <c r="A79" i="105"/>
  <c r="A78" i="105"/>
  <c r="A77" i="105"/>
  <c r="A76" i="105"/>
  <c r="A45" i="106" l="1"/>
  <c r="A44" i="106"/>
  <c r="A74" i="102" l="1"/>
  <c r="A73" i="102"/>
  <c r="A72" i="102"/>
  <c r="A71" i="102"/>
  <c r="A70" i="102"/>
  <c r="A69" i="102"/>
  <c r="A68" i="102"/>
  <c r="A67" i="102"/>
  <c r="A66" i="102"/>
  <c r="A65" i="102"/>
  <c r="A64" i="102"/>
  <c r="A74" i="85"/>
  <c r="A73" i="85"/>
  <c r="A72" i="85"/>
  <c r="A71" i="85"/>
  <c r="A70" i="85"/>
  <c r="A69" i="85"/>
  <c r="A68" i="85"/>
  <c r="A67" i="85"/>
  <c r="A66" i="85"/>
  <c r="A65" i="85"/>
  <c r="A64" i="85"/>
  <c r="A72" i="75"/>
  <c r="A71" i="75"/>
  <c r="A70" i="75"/>
  <c r="A69" i="75"/>
  <c r="A68" i="75"/>
  <c r="A67" i="75"/>
  <c r="A66" i="75"/>
  <c r="A65" i="75"/>
  <c r="A64" i="75"/>
  <c r="A63" i="75"/>
  <c r="A62" i="75"/>
  <c r="A61" i="75"/>
  <c r="A60" i="75"/>
  <c r="A74" i="43"/>
  <c r="A73" i="43"/>
  <c r="A72" i="43"/>
  <c r="A71" i="43"/>
  <c r="A70" i="43"/>
  <c r="A69" i="43"/>
  <c r="A68" i="43"/>
  <c r="A67" i="43"/>
  <c r="A66" i="43"/>
  <c r="A65" i="43"/>
  <c r="A64" i="43"/>
  <c r="A8" i="118" l="1"/>
  <c r="A9" i="118"/>
  <c r="A10" i="118"/>
  <c r="A11" i="118"/>
  <c r="A12" i="118"/>
  <c r="A13" i="118"/>
  <c r="A14" i="118"/>
  <c r="A15" i="118"/>
  <c r="A16" i="118"/>
  <c r="A17" i="118"/>
  <c r="A18" i="118"/>
  <c r="A19" i="118"/>
  <c r="A20" i="118"/>
  <c r="A21" i="118"/>
  <c r="A22" i="118"/>
  <c r="A23" i="118"/>
  <c r="A24" i="118"/>
  <c r="A25" i="118"/>
  <c r="A26" i="118"/>
  <c r="A27" i="118"/>
  <c r="A28" i="118"/>
  <c r="A29" i="118"/>
  <c r="A30" i="118"/>
  <c r="A31" i="118"/>
  <c r="A32" i="118"/>
  <c r="A33" i="118"/>
  <c r="A34" i="118"/>
  <c r="A35" i="118"/>
  <c r="A36" i="118"/>
  <c r="A37" i="118"/>
  <c r="A38" i="118"/>
  <c r="A39" i="118"/>
  <c r="A40" i="118"/>
  <c r="A41" i="118"/>
  <c r="A42" i="118"/>
  <c r="A43" i="118"/>
  <c r="A44" i="118"/>
  <c r="A45" i="118"/>
  <c r="A46" i="118"/>
  <c r="A28" i="58" l="1"/>
  <c r="A21" i="107" l="1"/>
  <c r="A21" i="62" l="1"/>
  <c r="A25" i="62"/>
  <c r="A24" i="62"/>
  <c r="A23" i="62"/>
  <c r="A22" i="62"/>
  <c r="Y4" i="117"/>
  <c r="Y2" i="117"/>
  <c r="R2" i="117"/>
  <c r="A46" i="117" l="1"/>
  <c r="A45" i="117"/>
  <c r="A44" i="117"/>
  <c r="A43" i="117"/>
  <c r="A42" i="117"/>
  <c r="A41" i="117"/>
  <c r="A40" i="117"/>
  <c r="A39" i="117"/>
  <c r="A38" i="117"/>
  <c r="A37" i="117"/>
  <c r="A36" i="117"/>
  <c r="A35" i="117"/>
  <c r="A34" i="117"/>
  <c r="A33" i="117"/>
  <c r="A32" i="117"/>
  <c r="A31" i="117"/>
  <c r="A30" i="117"/>
  <c r="A29" i="117"/>
  <c r="A28" i="117"/>
  <c r="A27" i="117"/>
  <c r="A26" i="117"/>
  <c r="A25" i="117"/>
  <c r="A24" i="117"/>
  <c r="A23" i="117"/>
  <c r="A22" i="117"/>
  <c r="A21" i="117"/>
  <c r="A20" i="117"/>
  <c r="A19" i="117"/>
  <c r="A18" i="117"/>
  <c r="A17" i="117"/>
  <c r="A16" i="117"/>
  <c r="A15" i="117"/>
  <c r="A14" i="117"/>
  <c r="A13" i="117"/>
  <c r="A12" i="117"/>
  <c r="A11" i="117"/>
  <c r="A10" i="117"/>
  <c r="A9" i="117"/>
  <c r="A8" i="117"/>
  <c r="A27" i="58"/>
  <c r="A12" i="101" l="1"/>
  <c r="A12" i="108"/>
  <c r="A12" i="113"/>
  <c r="A46" i="82" l="1"/>
  <c r="A45" i="82"/>
  <c r="A20" i="82" l="1"/>
  <c r="A46" i="101"/>
  <c r="A45" i="101"/>
  <c r="A44" i="101"/>
  <c r="A43" i="101"/>
  <c r="A42" i="101"/>
  <c r="A41" i="101"/>
  <c r="A40" i="101"/>
  <c r="A39" i="101"/>
  <c r="A38" i="101"/>
  <c r="A37" i="101"/>
  <c r="A46" i="99" l="1"/>
  <c r="A45" i="99"/>
  <c r="A44" i="99"/>
  <c r="A21" i="99"/>
  <c r="A20" i="99"/>
  <c r="A45" i="108"/>
  <c r="A44" i="108"/>
  <c r="A20" i="107"/>
  <c r="A42" i="113"/>
  <c r="A41" i="113"/>
  <c r="A40" i="113"/>
  <c r="A39" i="113"/>
  <c r="A38" i="113"/>
  <c r="A51" i="62" l="1"/>
  <c r="A50" i="62"/>
  <c r="A20" i="62"/>
  <c r="A8" i="62" l="1"/>
  <c r="A9" i="62"/>
  <c r="A10" i="62"/>
  <c r="A11" i="62"/>
  <c r="A12" i="62"/>
  <c r="A13" i="62"/>
  <c r="A14" i="62"/>
  <c r="A15" i="62"/>
  <c r="A16" i="62"/>
  <c r="A17" i="62"/>
  <c r="A18" i="62"/>
  <c r="A19" i="62"/>
  <c r="A26" i="62"/>
  <c r="A27" i="62"/>
  <c r="A28" i="62"/>
  <c r="A29" i="62"/>
  <c r="A30" i="62"/>
  <c r="A31" i="62"/>
  <c r="A32" i="62"/>
  <c r="A33" i="62"/>
  <c r="A34" i="62"/>
  <c r="A35" i="62"/>
  <c r="A36" i="62"/>
  <c r="A37" i="62"/>
  <c r="A38" i="62"/>
  <c r="A39" i="62"/>
  <c r="A40" i="62"/>
  <c r="A41" i="62"/>
  <c r="A42" i="62"/>
  <c r="A43" i="62"/>
  <c r="A44" i="62"/>
  <c r="A45" i="62"/>
  <c r="A46" i="62"/>
  <c r="A47" i="62"/>
  <c r="A48" i="62"/>
  <c r="A49" i="62"/>
  <c r="A46" i="116" l="1"/>
  <c r="A45" i="116"/>
  <c r="A44" i="82"/>
  <c r="A43" i="82"/>
  <c r="A42" i="82"/>
  <c r="A36" i="101"/>
  <c r="A813" i="60" l="1"/>
  <c r="A812" i="60"/>
  <c r="A811" i="60"/>
  <c r="A810" i="60"/>
  <c r="A809" i="60"/>
  <c r="A808" i="60"/>
  <c r="A807" i="60"/>
  <c r="A806" i="60"/>
  <c r="A805" i="60"/>
  <c r="A804" i="60"/>
  <c r="A803" i="60"/>
  <c r="A802" i="60"/>
  <c r="A801" i="60"/>
  <c r="A800" i="60"/>
  <c r="A799" i="60"/>
  <c r="A798" i="60"/>
  <c r="A797" i="60"/>
  <c r="A796" i="60"/>
  <c r="A795" i="60"/>
  <c r="A794" i="60"/>
  <c r="A793" i="60"/>
  <c r="A792" i="60"/>
  <c r="A791" i="60"/>
  <c r="A790" i="60"/>
  <c r="A789" i="60"/>
  <c r="A788" i="60"/>
  <c r="A787" i="60"/>
  <c r="A786" i="60"/>
  <c r="A785" i="60"/>
  <c r="A784" i="60"/>
  <c r="A783" i="60"/>
  <c r="A782" i="60"/>
  <c r="A781" i="60"/>
  <c r="A780" i="60"/>
  <c r="A779" i="60"/>
  <c r="A778" i="60"/>
  <c r="A777" i="60"/>
  <c r="A776" i="60"/>
  <c r="A775" i="60"/>
  <c r="A774" i="60"/>
  <c r="A773" i="60"/>
  <c r="A772" i="60"/>
  <c r="A771" i="60"/>
  <c r="A770" i="60"/>
  <c r="A769" i="60"/>
  <c r="A768" i="60"/>
  <c r="A767" i="60"/>
  <c r="A766" i="60"/>
  <c r="A765" i="60"/>
  <c r="A764" i="60"/>
  <c r="A763" i="60"/>
  <c r="A762" i="60"/>
  <c r="A761" i="60"/>
  <c r="A760" i="60"/>
  <c r="A759" i="60"/>
  <c r="A758" i="60"/>
  <c r="A757" i="60"/>
  <c r="A756" i="60"/>
  <c r="A755" i="60"/>
  <c r="A754" i="60"/>
  <c r="A753" i="60"/>
  <c r="A752" i="60"/>
  <c r="A751" i="60"/>
  <c r="A750" i="60"/>
  <c r="A749" i="60"/>
  <c r="A748" i="60"/>
  <c r="A747" i="60"/>
  <c r="A746" i="60"/>
  <c r="A745" i="60"/>
  <c r="A744" i="60"/>
  <c r="A743" i="60"/>
  <c r="A742" i="60"/>
  <c r="A741" i="60"/>
  <c r="A740" i="60"/>
  <c r="A739" i="60"/>
  <c r="A738" i="60"/>
  <c r="A737" i="60"/>
  <c r="A736" i="60"/>
  <c r="A735" i="60"/>
  <c r="A734" i="60"/>
  <c r="A733" i="60"/>
  <c r="A732" i="60"/>
  <c r="A731" i="60"/>
  <c r="A730" i="60"/>
  <c r="A729" i="60"/>
  <c r="A728" i="60"/>
  <c r="A727" i="60"/>
  <c r="A726" i="60"/>
  <c r="A725" i="60"/>
  <c r="A724" i="60"/>
  <c r="A723" i="60"/>
  <c r="A722" i="60"/>
  <c r="A721" i="60"/>
  <c r="A720" i="60"/>
  <c r="A719" i="60"/>
  <c r="A718" i="60"/>
  <c r="A717" i="60"/>
  <c r="A716" i="60"/>
  <c r="A715" i="60"/>
  <c r="A714" i="60"/>
  <c r="A713" i="60"/>
  <c r="A712" i="60"/>
  <c r="A711" i="60"/>
  <c r="A710" i="60"/>
  <c r="A709" i="60"/>
  <c r="A708" i="60"/>
  <c r="A707" i="60"/>
  <c r="A706" i="60"/>
  <c r="A705" i="60"/>
  <c r="A704" i="60"/>
  <c r="A703" i="60"/>
  <c r="A702" i="60"/>
  <c r="A701" i="60"/>
  <c r="A700" i="60"/>
  <c r="A699" i="60"/>
  <c r="A698" i="60"/>
  <c r="A697" i="60"/>
  <c r="A696" i="60"/>
  <c r="A695" i="60"/>
  <c r="A694" i="60"/>
  <c r="A693" i="60"/>
  <c r="A692" i="60"/>
  <c r="A691" i="60"/>
  <c r="A690" i="60"/>
  <c r="A689" i="60"/>
  <c r="A688" i="60"/>
  <c r="A687" i="60"/>
  <c r="A686" i="60"/>
  <c r="A685" i="60"/>
  <c r="A684" i="60"/>
  <c r="A683" i="60"/>
  <c r="A682" i="60"/>
  <c r="A681" i="60"/>
  <c r="A680" i="60"/>
  <c r="A679" i="60"/>
  <c r="A678" i="60"/>
  <c r="A677" i="60"/>
  <c r="A676" i="60"/>
  <c r="A675" i="60"/>
  <c r="A674" i="60"/>
  <c r="A673" i="60"/>
  <c r="A672" i="60"/>
  <c r="A671" i="60"/>
  <c r="A670" i="60"/>
  <c r="A669" i="60"/>
  <c r="A668" i="60"/>
  <c r="A667" i="60"/>
  <c r="A666" i="60"/>
  <c r="A665" i="60"/>
  <c r="A664" i="60"/>
  <c r="A663" i="60"/>
  <c r="A662" i="60"/>
  <c r="A661" i="60"/>
  <c r="A660" i="60"/>
  <c r="A659" i="60"/>
  <c r="A658" i="60"/>
  <c r="A657" i="60"/>
  <c r="A656" i="60"/>
  <c r="A655" i="60"/>
  <c r="A654" i="60"/>
  <c r="A653" i="60"/>
  <c r="A652" i="60"/>
  <c r="A25" i="58"/>
  <c r="A44" i="116"/>
  <c r="A43" i="116"/>
  <c r="A42" i="116"/>
  <c r="A41" i="116"/>
  <c r="A40" i="116"/>
  <c r="A39" i="116"/>
  <c r="A38" i="116"/>
  <c r="A37" i="116"/>
  <c r="A36" i="116"/>
  <c r="A35" i="116"/>
  <c r="A34" i="116"/>
  <c r="A33" i="116"/>
  <c r="A32" i="116"/>
  <c r="A31" i="116"/>
  <c r="A30" i="116"/>
  <c r="A29" i="116"/>
  <c r="A28" i="116"/>
  <c r="A27" i="116"/>
  <c r="A26" i="116"/>
  <c r="Y4" i="116"/>
  <c r="Y2" i="116"/>
  <c r="R2" i="116"/>
  <c r="A46" i="114"/>
  <c r="A45" i="114"/>
  <c r="A44" i="114"/>
  <c r="A43" i="114"/>
  <c r="A42" i="114"/>
  <c r="A45" i="83"/>
  <c r="A46" i="115" l="1"/>
  <c r="A45" i="115"/>
  <c r="A44" i="115"/>
  <c r="A43" i="115"/>
  <c r="A42" i="115"/>
  <c r="A41" i="115"/>
  <c r="A40" i="115"/>
  <c r="A39" i="115"/>
  <c r="A38" i="115"/>
  <c r="Y4" i="115"/>
  <c r="Y2" i="115"/>
  <c r="R2" i="115"/>
  <c r="A41" i="114"/>
  <c r="A40" i="114"/>
  <c r="A39" i="114"/>
  <c r="A38" i="114"/>
  <c r="A37" i="114"/>
  <c r="A36" i="114"/>
  <c r="A35" i="114"/>
  <c r="A34" i="114"/>
  <c r="A33" i="114"/>
  <c r="A32" i="114"/>
  <c r="Y4" i="114"/>
  <c r="Y2" i="114"/>
  <c r="R2" i="114"/>
  <c r="A24" i="58"/>
  <c r="A651" i="60" l="1"/>
  <c r="A650" i="60"/>
  <c r="A649" i="60"/>
  <c r="A648" i="60"/>
  <c r="A647" i="60"/>
  <c r="A646" i="60"/>
  <c r="A645" i="60"/>
  <c r="A644" i="60"/>
  <c r="A643" i="60"/>
  <c r="A642" i="60"/>
  <c r="A641" i="60"/>
  <c r="A640" i="60"/>
  <c r="A639" i="60"/>
  <c r="A638" i="60"/>
  <c r="A637" i="60"/>
  <c r="A636" i="60"/>
  <c r="A635" i="60"/>
  <c r="A634" i="60"/>
  <c r="A633" i="60"/>
  <c r="A632" i="60"/>
  <c r="A631" i="60"/>
  <c r="A630" i="60"/>
  <c r="A629" i="60"/>
  <c r="A628" i="60"/>
  <c r="A627" i="60"/>
  <c r="A626" i="60"/>
  <c r="A625" i="60"/>
  <c r="A624" i="60"/>
  <c r="A623" i="60"/>
  <c r="A622" i="60"/>
  <c r="A621" i="60"/>
  <c r="A620" i="60"/>
  <c r="A619" i="60"/>
  <c r="A618" i="60"/>
  <c r="A617" i="60"/>
  <c r="A616" i="60"/>
  <c r="A615" i="60"/>
  <c r="A614" i="60"/>
  <c r="A613" i="60"/>
  <c r="A612" i="60"/>
  <c r="A611" i="60"/>
  <c r="A610" i="60"/>
  <c r="A609" i="60"/>
  <c r="A608" i="60"/>
  <c r="A607" i="60"/>
  <c r="A606" i="60"/>
  <c r="A605" i="60"/>
  <c r="A604" i="60"/>
  <c r="A603" i="60"/>
  <c r="A602" i="60"/>
  <c r="A601" i="60"/>
  <c r="A600" i="60"/>
  <c r="A599" i="60"/>
  <c r="A598" i="60"/>
  <c r="A597" i="60"/>
  <c r="A596" i="60"/>
  <c r="A595" i="60"/>
  <c r="A594" i="60"/>
  <c r="A593" i="60"/>
  <c r="A592" i="60"/>
  <c r="A591" i="60"/>
  <c r="A590" i="60"/>
  <c r="A589" i="60"/>
  <c r="A588" i="60"/>
  <c r="A587" i="60"/>
  <c r="A586" i="60"/>
  <c r="A585" i="60"/>
  <c r="A584" i="60"/>
  <c r="A583" i="60"/>
  <c r="A582" i="60"/>
  <c r="A581" i="60"/>
  <c r="A580" i="60"/>
  <c r="A579" i="60"/>
  <c r="A578" i="60"/>
  <c r="A577" i="60"/>
  <c r="A576" i="60"/>
  <c r="A575" i="60"/>
  <c r="A574" i="60"/>
  <c r="A573" i="60"/>
  <c r="A572" i="60"/>
  <c r="A571" i="60"/>
  <c r="A570" i="60"/>
  <c r="A569" i="60"/>
  <c r="A568" i="60"/>
  <c r="A567" i="60"/>
  <c r="A566" i="60"/>
  <c r="A565" i="60"/>
  <c r="A564" i="60"/>
  <c r="A563" i="60"/>
  <c r="A562" i="60"/>
  <c r="A561" i="60"/>
  <c r="A560" i="60"/>
  <c r="A559" i="60"/>
  <c r="A558" i="60"/>
  <c r="A557" i="60"/>
  <c r="A556" i="60"/>
  <c r="A555" i="60"/>
  <c r="A554" i="60"/>
  <c r="A553" i="60"/>
  <c r="A552" i="60"/>
  <c r="A551" i="60"/>
  <c r="A550" i="60"/>
  <c r="A549" i="60"/>
  <c r="A548" i="60"/>
  <c r="A547" i="60"/>
  <c r="A546" i="60"/>
  <c r="A545" i="60"/>
  <c r="A544" i="60"/>
  <c r="A543" i="60"/>
  <c r="A542" i="60"/>
  <c r="A541" i="60"/>
  <c r="A540" i="60"/>
  <c r="A539" i="60"/>
  <c r="A538" i="60"/>
  <c r="A537" i="60"/>
  <c r="A536" i="60"/>
  <c r="A535" i="60"/>
  <c r="A534" i="60"/>
  <c r="A533" i="60"/>
  <c r="A532" i="60"/>
  <c r="A531" i="60"/>
  <c r="A530" i="60"/>
  <c r="A529" i="60"/>
  <c r="A528" i="60"/>
  <c r="A527" i="60"/>
  <c r="A526" i="60"/>
  <c r="A525" i="60"/>
  <c r="A524" i="60"/>
  <c r="A523" i="60"/>
  <c r="A522" i="60"/>
  <c r="A521" i="60"/>
  <c r="A520" i="60"/>
  <c r="A519" i="60"/>
  <c r="A518" i="60"/>
  <c r="A517" i="60"/>
  <c r="A516" i="60"/>
  <c r="A515" i="60"/>
  <c r="A514" i="60"/>
  <c r="A513" i="60"/>
  <c r="A512" i="60"/>
  <c r="A511" i="60"/>
  <c r="A510" i="60"/>
  <c r="A509" i="60"/>
  <c r="A508" i="60"/>
  <c r="A507" i="60"/>
  <c r="A506" i="60"/>
  <c r="A505" i="60"/>
  <c r="A504" i="60"/>
  <c r="A503" i="60"/>
  <c r="A502" i="60"/>
  <c r="A501" i="60"/>
  <c r="A500" i="60"/>
  <c r="A499" i="60"/>
  <c r="A498" i="60"/>
  <c r="A497" i="60"/>
  <c r="A496" i="60"/>
  <c r="A495" i="60"/>
  <c r="A494" i="60"/>
  <c r="A493" i="60"/>
  <c r="A492" i="60"/>
  <c r="A491" i="60"/>
  <c r="A490" i="60"/>
  <c r="A293" i="60"/>
  <c r="A17" i="83"/>
  <c r="A11" i="83"/>
  <c r="I16" i="101" l="1"/>
  <c r="A16" i="101"/>
  <c r="A43" i="99" l="1"/>
  <c r="A42" i="99"/>
  <c r="A41" i="99"/>
  <c r="A40" i="99"/>
  <c r="A43" i="108" l="1"/>
  <c r="A47" i="107"/>
  <c r="A46" i="107"/>
  <c r="A37" i="113"/>
  <c r="A36" i="113"/>
  <c r="A35" i="113"/>
  <c r="A34" i="113"/>
  <c r="A33" i="113"/>
  <c r="A32" i="113"/>
  <c r="A31" i="113"/>
  <c r="A30" i="113"/>
  <c r="A29" i="113"/>
  <c r="A28" i="113"/>
  <c r="A27" i="113"/>
  <c r="A26" i="113"/>
  <c r="A25" i="113"/>
  <c r="A24" i="113"/>
  <c r="A23" i="113"/>
  <c r="A22" i="113"/>
  <c r="A21" i="113"/>
  <c r="A20" i="113"/>
  <c r="A19" i="113"/>
  <c r="A18" i="113"/>
  <c r="A17" i="113"/>
  <c r="A16" i="113"/>
  <c r="A15" i="113"/>
  <c r="A14" i="113"/>
  <c r="A13" i="113"/>
  <c r="A11" i="113"/>
  <c r="A10" i="113"/>
  <c r="A9" i="113"/>
  <c r="A8" i="113"/>
  <c r="Y4" i="113"/>
  <c r="Y2" i="113"/>
  <c r="R2" i="113"/>
  <c r="A82" i="112" l="1"/>
  <c r="A81" i="112"/>
  <c r="A80" i="112"/>
  <c r="A79" i="112"/>
  <c r="A78" i="112"/>
  <c r="A77" i="112"/>
  <c r="A76" i="112"/>
  <c r="A75" i="112"/>
  <c r="A74" i="112"/>
  <c r="A73" i="112"/>
  <c r="A72" i="112"/>
  <c r="A71" i="112"/>
  <c r="A70" i="112"/>
  <c r="A63" i="43" l="1"/>
  <c r="A62" i="43"/>
  <c r="A61" i="43"/>
  <c r="A60" i="43"/>
  <c r="A59" i="43"/>
  <c r="A58" i="43"/>
  <c r="A57" i="43"/>
  <c r="A56" i="43"/>
  <c r="A55" i="43"/>
  <c r="A54" i="43"/>
  <c r="A53" i="43"/>
  <c r="Y4" i="112" l="1"/>
  <c r="Y2" i="112"/>
  <c r="R2" i="112"/>
  <c r="A75" i="105" l="1"/>
  <c r="A74" i="105"/>
  <c r="A73" i="105"/>
  <c r="A72" i="105"/>
  <c r="A71" i="105"/>
  <c r="A70" i="105"/>
  <c r="A69" i="105"/>
  <c r="A59" i="75" l="1"/>
  <c r="A58" i="75"/>
  <c r="A57" i="75"/>
  <c r="A63" i="102" l="1"/>
  <c r="A62" i="102" l="1"/>
  <c r="A61" i="102"/>
  <c r="A60" i="102"/>
  <c r="A59" i="102"/>
  <c r="A58" i="102"/>
  <c r="A57" i="102"/>
  <c r="A56" i="102"/>
  <c r="A55" i="102"/>
  <c r="A54" i="102"/>
  <c r="A63" i="85"/>
  <c r="A62" i="85"/>
  <c r="A61" i="85"/>
  <c r="A60" i="85"/>
  <c r="A59" i="85"/>
  <c r="A58" i="85"/>
  <c r="A57" i="85"/>
  <c r="A56" i="85"/>
  <c r="A55" i="85"/>
  <c r="A54" i="85"/>
  <c r="A27" i="82" l="1"/>
  <c r="A26" i="82"/>
  <c r="A25" i="82"/>
  <c r="A24" i="82"/>
  <c r="A23" i="82"/>
  <c r="A22" i="82"/>
  <c r="A21" i="82"/>
  <c r="A19" i="82"/>
  <c r="A18" i="82"/>
  <c r="A17" i="82"/>
  <c r="A16" i="82"/>
  <c r="A15" i="82"/>
  <c r="A14" i="82"/>
  <c r="A13" i="82"/>
  <c r="A12" i="82"/>
  <c r="A11" i="82"/>
  <c r="A10" i="82"/>
  <c r="A9" i="82"/>
  <c r="A10" i="101" l="1"/>
  <c r="A9" i="101"/>
  <c r="A46" i="110" l="1"/>
  <c r="A45" i="110"/>
  <c r="A44" i="110"/>
  <c r="A43" i="110"/>
  <c r="A42" i="110"/>
  <c r="A41" i="110"/>
  <c r="A40" i="110"/>
  <c r="A39" i="110"/>
  <c r="Y4" i="110" l="1"/>
  <c r="Y2" i="110"/>
  <c r="R2" i="110"/>
  <c r="A42" i="108" l="1"/>
  <c r="A41" i="108"/>
  <c r="A40" i="108"/>
  <c r="A39" i="108"/>
  <c r="A38" i="108"/>
  <c r="A37" i="108"/>
  <c r="D503" i="104" l="1"/>
  <c r="D502" i="104"/>
  <c r="D501" i="104"/>
  <c r="D500" i="104"/>
  <c r="D499" i="104"/>
  <c r="D498" i="104"/>
  <c r="D497" i="104"/>
  <c r="D496" i="104"/>
  <c r="D495" i="104"/>
  <c r="D494" i="104"/>
  <c r="D493" i="104"/>
  <c r="D492" i="104"/>
  <c r="D491" i="104"/>
  <c r="D490" i="104"/>
  <c r="D489" i="104"/>
  <c r="D488" i="104"/>
  <c r="D487" i="104"/>
  <c r="D486" i="104"/>
  <c r="D485" i="104"/>
  <c r="D484" i="104"/>
  <c r="D483" i="104"/>
  <c r="D482" i="104"/>
  <c r="D481" i="104"/>
  <c r="D480" i="104"/>
  <c r="D479" i="104"/>
  <c r="D478" i="104"/>
  <c r="D477" i="104"/>
  <c r="D476" i="104"/>
  <c r="D475" i="104"/>
  <c r="D474" i="104"/>
  <c r="D473" i="104"/>
  <c r="D472" i="104"/>
  <c r="D471" i="104"/>
  <c r="D470" i="104"/>
  <c r="D469" i="104"/>
  <c r="D468" i="104"/>
  <c r="D467" i="104"/>
  <c r="D466" i="104"/>
  <c r="D465" i="104"/>
  <c r="D464" i="104"/>
  <c r="D463" i="104"/>
  <c r="D462" i="104"/>
  <c r="D461" i="104"/>
  <c r="D460" i="104"/>
  <c r="D459" i="104"/>
  <c r="D458" i="104"/>
  <c r="D457" i="104"/>
  <c r="D456" i="104"/>
  <c r="D455" i="104"/>
  <c r="D454" i="104"/>
  <c r="D453" i="104"/>
  <c r="D452" i="104"/>
  <c r="D451" i="104"/>
  <c r="D450" i="104"/>
  <c r="D449" i="104"/>
  <c r="D448" i="104"/>
  <c r="D447" i="104"/>
  <c r="D446" i="104"/>
  <c r="D445" i="104"/>
  <c r="D444" i="104"/>
  <c r="D443" i="104"/>
  <c r="D442" i="104"/>
  <c r="D441" i="104"/>
  <c r="D440" i="104"/>
  <c r="D439" i="104"/>
  <c r="D438" i="104"/>
  <c r="D437" i="104"/>
  <c r="D436" i="104"/>
  <c r="D435" i="104"/>
  <c r="D434" i="104"/>
  <c r="D433" i="104"/>
  <c r="D432" i="104"/>
  <c r="D431" i="104"/>
  <c r="D430" i="104"/>
  <c r="D429" i="104"/>
  <c r="D428" i="104"/>
  <c r="D427" i="104"/>
  <c r="D426" i="104"/>
  <c r="D425" i="104"/>
  <c r="D424" i="104"/>
  <c r="D423" i="104"/>
  <c r="D422" i="104"/>
  <c r="D421" i="104"/>
  <c r="D420" i="104"/>
  <c r="D419" i="104"/>
  <c r="D418" i="104"/>
  <c r="D417" i="104"/>
  <c r="D416" i="104"/>
  <c r="D415" i="104"/>
  <c r="D414" i="104"/>
  <c r="D413" i="104"/>
  <c r="D412" i="104"/>
  <c r="D411" i="104"/>
  <c r="D410" i="104"/>
  <c r="D409" i="104"/>
  <c r="D408" i="104"/>
  <c r="D407" i="104"/>
  <c r="D406" i="104"/>
  <c r="D405" i="104"/>
  <c r="D404" i="104"/>
  <c r="D403" i="104"/>
  <c r="D402" i="104"/>
  <c r="D401" i="104"/>
  <c r="D400" i="104"/>
  <c r="D399" i="104"/>
  <c r="D398" i="104"/>
  <c r="D397" i="104"/>
  <c r="D396" i="104"/>
  <c r="D395" i="104"/>
  <c r="D394" i="104"/>
  <c r="D393" i="104"/>
  <c r="D392" i="104"/>
  <c r="D391" i="104"/>
  <c r="D390" i="104"/>
  <c r="D389" i="104"/>
  <c r="D388" i="104"/>
  <c r="D387" i="104"/>
  <c r="D386" i="104"/>
  <c r="D385" i="104"/>
  <c r="D384" i="104"/>
  <c r="D383" i="104"/>
  <c r="D382" i="104"/>
  <c r="D381" i="104"/>
  <c r="D380" i="104"/>
  <c r="D379" i="104"/>
  <c r="D378" i="104"/>
  <c r="D377" i="104"/>
  <c r="D376" i="104"/>
  <c r="D375" i="104"/>
  <c r="D374" i="104"/>
  <c r="D373" i="104"/>
  <c r="D372" i="104"/>
  <c r="D371" i="104"/>
  <c r="D370" i="104"/>
  <c r="D369" i="104"/>
  <c r="D368" i="104"/>
  <c r="D367" i="104"/>
  <c r="D366" i="104"/>
  <c r="D365" i="104"/>
  <c r="D364" i="104"/>
  <c r="D363" i="104"/>
  <c r="D362" i="104"/>
  <c r="D361" i="104"/>
  <c r="D360" i="104"/>
  <c r="D359" i="104"/>
  <c r="D358" i="104"/>
  <c r="D357" i="104"/>
  <c r="D356" i="104"/>
  <c r="D355" i="104"/>
  <c r="D354" i="104"/>
  <c r="D353" i="104"/>
  <c r="D352" i="104"/>
  <c r="D351" i="104"/>
  <c r="D350" i="104"/>
  <c r="D349" i="104"/>
  <c r="D348" i="104"/>
  <c r="D347" i="104"/>
  <c r="D346" i="104"/>
  <c r="D345" i="104"/>
  <c r="D344" i="104"/>
  <c r="D343" i="104"/>
  <c r="D342" i="104"/>
  <c r="D341" i="104"/>
  <c r="D340" i="104"/>
  <c r="D339" i="104"/>
  <c r="D338" i="104"/>
  <c r="D337" i="104"/>
  <c r="D336" i="104"/>
  <c r="D335" i="104"/>
  <c r="D334" i="104"/>
  <c r="D333" i="104"/>
  <c r="D332" i="104"/>
  <c r="D331" i="104"/>
  <c r="D330" i="104"/>
  <c r="D329" i="104"/>
  <c r="D328" i="104"/>
  <c r="D327" i="104"/>
  <c r="D326" i="104"/>
  <c r="D325" i="104"/>
  <c r="D324" i="104"/>
  <c r="D323" i="104"/>
  <c r="D322" i="104"/>
  <c r="D321" i="104"/>
  <c r="D320" i="104"/>
  <c r="D319" i="104"/>
  <c r="D318" i="104"/>
  <c r="D317" i="104"/>
  <c r="D316" i="104"/>
  <c r="D315" i="104"/>
  <c r="D314" i="104"/>
  <c r="D313" i="104"/>
  <c r="D312" i="104"/>
  <c r="D311" i="104"/>
  <c r="D310" i="104"/>
  <c r="D309" i="104"/>
  <c r="D308" i="104"/>
  <c r="D307" i="104"/>
  <c r="D306" i="104"/>
  <c r="D305" i="104"/>
  <c r="D304" i="104"/>
  <c r="D303" i="104"/>
  <c r="D302" i="104"/>
  <c r="D301" i="104"/>
  <c r="D300" i="104"/>
  <c r="D299" i="104"/>
  <c r="D298" i="104"/>
  <c r="D297" i="104"/>
  <c r="D296" i="104"/>
  <c r="D295" i="104"/>
  <c r="D294" i="104"/>
  <c r="D293" i="104"/>
  <c r="D292" i="104"/>
  <c r="D291" i="104"/>
  <c r="D290" i="104"/>
  <c r="D289" i="104"/>
  <c r="D288" i="104"/>
  <c r="D287" i="104"/>
  <c r="D286" i="104"/>
  <c r="D285" i="104"/>
  <c r="D284" i="104"/>
  <c r="D283" i="104"/>
  <c r="D282" i="104"/>
  <c r="D281" i="104"/>
  <c r="D280" i="104"/>
  <c r="D279" i="104"/>
  <c r="D278" i="104"/>
  <c r="D277" i="104"/>
  <c r="D276" i="104"/>
  <c r="D275" i="104"/>
  <c r="D274" i="104"/>
  <c r="D273" i="104"/>
  <c r="D272" i="104"/>
  <c r="D271" i="104"/>
  <c r="D270" i="104"/>
  <c r="D269" i="104"/>
  <c r="D268" i="104"/>
  <c r="D267" i="104"/>
  <c r="D266" i="104"/>
  <c r="D265" i="104"/>
  <c r="D264" i="104"/>
  <c r="D263" i="104"/>
  <c r="D262" i="104"/>
  <c r="D261" i="104"/>
  <c r="D260" i="104"/>
  <c r="D259" i="104"/>
  <c r="D258" i="104"/>
  <c r="D257" i="104"/>
  <c r="D256" i="104"/>
  <c r="D255" i="104"/>
  <c r="D254" i="104"/>
  <c r="D253" i="104"/>
  <c r="D252" i="104"/>
  <c r="D251" i="104"/>
  <c r="D250" i="104"/>
  <c r="D249" i="104"/>
  <c r="D248" i="104"/>
  <c r="D247" i="104"/>
  <c r="D246" i="104"/>
  <c r="D245" i="104"/>
  <c r="D244" i="104"/>
  <c r="D243" i="104"/>
  <c r="D242" i="104"/>
  <c r="D241" i="104"/>
  <c r="D240" i="104"/>
  <c r="D239" i="104"/>
  <c r="D238" i="104"/>
  <c r="D237" i="104"/>
  <c r="D236" i="104"/>
  <c r="D235" i="104"/>
  <c r="D234" i="104"/>
  <c r="D233" i="104"/>
  <c r="D232" i="104"/>
  <c r="D231" i="104"/>
  <c r="D230" i="104"/>
  <c r="D229" i="104"/>
  <c r="D228" i="104"/>
  <c r="D227" i="104"/>
  <c r="D226" i="104"/>
  <c r="D225" i="104"/>
  <c r="D224" i="104"/>
  <c r="D223" i="104"/>
  <c r="D222" i="104"/>
  <c r="D221" i="104"/>
  <c r="D220" i="104"/>
  <c r="D219" i="104"/>
  <c r="D218" i="104"/>
  <c r="D217" i="104"/>
  <c r="D216" i="104"/>
  <c r="D215" i="104"/>
  <c r="D214" i="104"/>
  <c r="D213" i="104"/>
  <c r="D212" i="104"/>
  <c r="D211" i="104"/>
  <c r="D210" i="104"/>
  <c r="D209" i="104"/>
  <c r="D208" i="104"/>
  <c r="D207" i="104"/>
  <c r="D206" i="104"/>
  <c r="D205" i="104"/>
  <c r="D204" i="104"/>
  <c r="D203" i="104"/>
  <c r="D202" i="104"/>
  <c r="D201" i="104"/>
  <c r="D200" i="104"/>
  <c r="D199" i="104"/>
  <c r="D198" i="104"/>
  <c r="D197" i="104"/>
  <c r="D196" i="104"/>
  <c r="D195" i="104"/>
  <c r="D194" i="104"/>
  <c r="D193" i="104"/>
  <c r="D192" i="104"/>
  <c r="D191" i="104"/>
  <c r="D190" i="104"/>
  <c r="D189" i="104"/>
  <c r="D188" i="104"/>
  <c r="D187" i="104"/>
  <c r="D186" i="104"/>
  <c r="D185" i="104"/>
  <c r="D184" i="104"/>
  <c r="D183" i="104"/>
  <c r="D182" i="104"/>
  <c r="D181" i="104"/>
  <c r="D180" i="104"/>
  <c r="D179" i="104"/>
  <c r="D178" i="104"/>
  <c r="D177" i="104"/>
  <c r="D176" i="104"/>
  <c r="D175" i="104"/>
  <c r="D174" i="104"/>
  <c r="D173" i="104"/>
  <c r="D172" i="104"/>
  <c r="D171" i="104"/>
  <c r="D170" i="104"/>
  <c r="D169" i="104"/>
  <c r="D168" i="104"/>
  <c r="D167" i="104"/>
  <c r="D166" i="104"/>
  <c r="D165" i="104"/>
  <c r="D164" i="104"/>
  <c r="D163" i="104"/>
  <c r="D162" i="104"/>
  <c r="D161" i="104"/>
  <c r="D160" i="104"/>
  <c r="D159" i="104"/>
  <c r="D158" i="104"/>
  <c r="D157" i="104"/>
  <c r="D156" i="104"/>
  <c r="D155" i="104"/>
  <c r="D154" i="104"/>
  <c r="D153" i="104"/>
  <c r="D152" i="104"/>
  <c r="D151" i="104"/>
  <c r="D150" i="104"/>
  <c r="D149" i="104"/>
  <c r="D148" i="104"/>
  <c r="D147" i="104"/>
  <c r="D146" i="104"/>
  <c r="D145" i="104"/>
  <c r="D144" i="104"/>
  <c r="D143" i="104"/>
  <c r="D142" i="104"/>
  <c r="D141" i="104"/>
  <c r="D140" i="104"/>
  <c r="D139" i="104"/>
  <c r="D138" i="104"/>
  <c r="D137" i="104"/>
  <c r="D136" i="104"/>
  <c r="D135" i="104"/>
  <c r="D134" i="104"/>
  <c r="D133" i="104"/>
  <c r="D132" i="104"/>
  <c r="D131" i="104"/>
  <c r="D130" i="104"/>
  <c r="D129" i="104"/>
  <c r="D128" i="104"/>
  <c r="D127" i="104"/>
  <c r="D126" i="104"/>
  <c r="D125" i="104"/>
  <c r="D124" i="104"/>
  <c r="D123" i="104"/>
  <c r="D122" i="104"/>
  <c r="D121" i="104"/>
  <c r="D120" i="104"/>
  <c r="D119" i="104"/>
  <c r="D118" i="104"/>
  <c r="D117" i="104"/>
  <c r="D116" i="104"/>
  <c r="D115" i="104"/>
  <c r="D114" i="104"/>
  <c r="D113" i="104"/>
  <c r="D112" i="104"/>
  <c r="D111" i="104"/>
  <c r="D110" i="104"/>
  <c r="D109" i="104"/>
  <c r="D108" i="104"/>
  <c r="D107" i="104"/>
  <c r="D106" i="104"/>
  <c r="D105" i="104"/>
  <c r="D104" i="104"/>
  <c r="D103" i="104"/>
  <c r="D102" i="104"/>
  <c r="D101" i="104"/>
  <c r="D100" i="104"/>
  <c r="D99" i="104"/>
  <c r="D98" i="104"/>
  <c r="D97" i="104"/>
  <c r="D96" i="104"/>
  <c r="D95" i="104"/>
  <c r="D94" i="104"/>
  <c r="D93" i="104"/>
  <c r="D92" i="104"/>
  <c r="D91" i="104"/>
  <c r="D90" i="104"/>
  <c r="D89" i="104"/>
  <c r="D88" i="104"/>
  <c r="D87" i="104"/>
  <c r="D86" i="104"/>
  <c r="D85" i="104"/>
  <c r="D84" i="104"/>
  <c r="D83" i="104"/>
  <c r="D82" i="104"/>
  <c r="D81" i="104"/>
  <c r="D80" i="104"/>
  <c r="D79" i="104"/>
  <c r="D78" i="104"/>
  <c r="D77" i="104"/>
  <c r="D76" i="104"/>
  <c r="D75" i="104"/>
  <c r="D74" i="104"/>
  <c r="D73" i="104"/>
  <c r="D72" i="104"/>
  <c r="D71" i="104"/>
  <c r="D70" i="104"/>
  <c r="D69" i="104"/>
  <c r="D68" i="104"/>
  <c r="D67" i="104"/>
  <c r="D66" i="104"/>
  <c r="D65" i="104"/>
  <c r="D64" i="104"/>
  <c r="D63" i="104"/>
  <c r="D62" i="104"/>
  <c r="D61" i="104"/>
  <c r="D60" i="104"/>
  <c r="D59" i="104"/>
  <c r="D58" i="104"/>
  <c r="D57" i="104"/>
  <c r="D56" i="104"/>
  <c r="D55" i="104"/>
  <c r="D54" i="104"/>
  <c r="D53" i="104"/>
  <c r="D52" i="104"/>
  <c r="D51" i="104"/>
  <c r="D50" i="104"/>
  <c r="D49" i="104"/>
  <c r="D48" i="104"/>
  <c r="D47" i="104"/>
  <c r="D46" i="104"/>
  <c r="D45" i="104"/>
  <c r="D44" i="104"/>
  <c r="D43" i="104"/>
  <c r="D42" i="104"/>
  <c r="D41" i="104"/>
  <c r="D40" i="104"/>
  <c r="D39" i="104"/>
  <c r="D38" i="104"/>
  <c r="D37" i="104"/>
  <c r="D36" i="104"/>
  <c r="D35" i="104"/>
  <c r="D34" i="104"/>
  <c r="D33" i="104"/>
  <c r="D32" i="104"/>
  <c r="D31" i="104"/>
  <c r="D30" i="104"/>
  <c r="D29" i="104"/>
  <c r="D28" i="104"/>
  <c r="D27" i="104"/>
  <c r="D26" i="104"/>
  <c r="D25" i="104"/>
  <c r="D24" i="104"/>
  <c r="D23" i="104"/>
  <c r="D22" i="104"/>
  <c r="D21" i="104"/>
  <c r="D20" i="104"/>
  <c r="D19" i="104"/>
  <c r="D18" i="104"/>
  <c r="D17" i="104"/>
  <c r="D16" i="104"/>
  <c r="D15" i="104"/>
  <c r="D14" i="104"/>
  <c r="D13" i="104"/>
  <c r="D12" i="104"/>
  <c r="D11" i="104"/>
  <c r="D10" i="104"/>
  <c r="D9" i="104"/>
  <c r="D8" i="104"/>
  <c r="D7" i="104"/>
  <c r="D6" i="104"/>
  <c r="D5" i="104"/>
  <c r="D4" i="104"/>
  <c r="D3" i="104"/>
  <c r="D2" i="104"/>
  <c r="A22" i="107" l="1"/>
  <c r="A36" i="108" l="1"/>
  <c r="A35" i="108"/>
  <c r="A34" i="108"/>
  <c r="A33" i="108"/>
  <c r="A32" i="108"/>
  <c r="A31" i="108"/>
  <c r="A30" i="108"/>
  <c r="A29" i="108"/>
  <c r="A28" i="108"/>
  <c r="A27" i="108"/>
  <c r="A26" i="108"/>
  <c r="A25" i="108"/>
  <c r="A24" i="108"/>
  <c r="A23" i="108"/>
  <c r="A22" i="108"/>
  <c r="A21" i="108"/>
  <c r="A20" i="108"/>
  <c r="A19" i="108"/>
  <c r="A18" i="108"/>
  <c r="A17" i="108"/>
  <c r="A16" i="108"/>
  <c r="A15" i="108"/>
  <c r="A14" i="108"/>
  <c r="A13" i="108"/>
  <c r="A11" i="108"/>
  <c r="A10" i="108"/>
  <c r="A9" i="108"/>
  <c r="A8" i="108"/>
  <c r="Y4" i="108"/>
  <c r="Y2" i="108"/>
  <c r="R2" i="108"/>
  <c r="A45" i="107"/>
  <c r="A44" i="107"/>
  <c r="A43" i="107"/>
  <c r="A42" i="107"/>
  <c r="A41" i="107"/>
  <c r="A40" i="107"/>
  <c r="A39" i="107"/>
  <c r="A38" i="107"/>
  <c r="A37" i="107"/>
  <c r="A36" i="107"/>
  <c r="A35" i="107"/>
  <c r="A34" i="107"/>
  <c r="A33" i="107"/>
  <c r="A32" i="107"/>
  <c r="A31" i="107"/>
  <c r="A30" i="107"/>
  <c r="A29" i="107"/>
  <c r="A28" i="107"/>
  <c r="A27" i="107"/>
  <c r="A26" i="107"/>
  <c r="A25" i="107"/>
  <c r="A24" i="107"/>
  <c r="A23" i="107"/>
  <c r="A19" i="107"/>
  <c r="A18" i="107"/>
  <c r="A17" i="107"/>
  <c r="A16" i="107"/>
  <c r="A15" i="107"/>
  <c r="A14" i="107"/>
  <c r="A13" i="107"/>
  <c r="A12" i="107"/>
  <c r="A11" i="107"/>
  <c r="A10" i="107"/>
  <c r="A9" i="107"/>
  <c r="A8" i="107"/>
  <c r="Y4" i="107"/>
  <c r="Y2" i="107"/>
  <c r="R2" i="107"/>
  <c r="A18" i="58"/>
  <c r="A17" i="58"/>
  <c r="A14" i="83" l="1"/>
  <c r="A15" i="83"/>
  <c r="A16" i="83"/>
  <c r="A18" i="83"/>
  <c r="A43" i="106" l="1"/>
  <c r="Y4" i="106"/>
  <c r="Y2" i="106"/>
  <c r="R2" i="106"/>
  <c r="A12" i="58"/>
  <c r="I16" i="83" l="1"/>
  <c r="Y4" i="105" l="1"/>
  <c r="Y2" i="105"/>
  <c r="R2" i="105"/>
  <c r="I13" i="83" l="1"/>
  <c r="I14" i="83"/>
  <c r="I15" i="83"/>
  <c r="I11" i="101"/>
  <c r="I13" i="101"/>
  <c r="I14" i="101"/>
  <c r="I17" i="101"/>
  <c r="I18" i="101"/>
  <c r="I19" i="101"/>
  <c r="Y4" i="103" l="1"/>
  <c r="Y2" i="103"/>
  <c r="R2" i="103"/>
  <c r="Y4" i="102" l="1"/>
  <c r="Y2" i="102"/>
  <c r="R2" i="102"/>
  <c r="R2" i="83" l="1"/>
  <c r="R2" i="82"/>
  <c r="R2" i="101"/>
  <c r="R2" i="99"/>
  <c r="R2" i="62"/>
  <c r="R2" i="85"/>
  <c r="R2" i="75"/>
  <c r="R2" i="43"/>
  <c r="Y2" i="43"/>
  <c r="A38" i="58" l="1"/>
  <c r="A35" i="58"/>
  <c r="A32" i="58"/>
  <c r="A35" i="101" l="1"/>
  <c r="A34" i="101"/>
  <c r="A33" i="101"/>
  <c r="A32" i="101"/>
  <c r="A31" i="101"/>
  <c r="A30" i="101"/>
  <c r="A29" i="101"/>
  <c r="A28" i="101"/>
  <c r="A27" i="101"/>
  <c r="A26" i="101"/>
  <c r="A25" i="101"/>
  <c r="A24" i="101"/>
  <c r="A23" i="101"/>
  <c r="A22" i="101"/>
  <c r="A21" i="101"/>
  <c r="A20" i="101"/>
  <c r="A19" i="101"/>
  <c r="A18" i="101"/>
  <c r="A17" i="101"/>
  <c r="A15" i="101"/>
  <c r="A14" i="101"/>
  <c r="A13" i="101"/>
  <c r="A11" i="101"/>
  <c r="A8" i="101"/>
  <c r="Y4" i="101"/>
  <c r="Y2" i="101"/>
  <c r="A39" i="99"/>
  <c r="A38" i="99"/>
  <c r="A37" i="99"/>
  <c r="A36" i="99"/>
  <c r="A35" i="99"/>
  <c r="A34" i="99"/>
  <c r="A33" i="99"/>
  <c r="A32" i="99"/>
  <c r="A31" i="99"/>
  <c r="A30" i="99"/>
  <c r="A29" i="99"/>
  <c r="A28" i="99"/>
  <c r="A27" i="99"/>
  <c r="A26" i="99"/>
  <c r="A25" i="99"/>
  <c r="A24" i="99"/>
  <c r="A23" i="99"/>
  <c r="A22" i="99"/>
  <c r="A19" i="99"/>
  <c r="A18" i="99"/>
  <c r="A17" i="99"/>
  <c r="A16" i="99"/>
  <c r="A15" i="99"/>
  <c r="A14" i="99"/>
  <c r="A13" i="99"/>
  <c r="A12" i="99"/>
  <c r="A11" i="99"/>
  <c r="A10" i="99"/>
  <c r="A9" i="99"/>
  <c r="A8" i="99"/>
  <c r="Y4" i="99"/>
  <c r="Y2" i="99"/>
  <c r="A19" i="83" l="1"/>
  <c r="A30" i="58" l="1"/>
  <c r="A44" i="83" l="1"/>
  <c r="A43" i="83"/>
  <c r="A42" i="83"/>
  <c r="A41" i="83"/>
  <c r="A40" i="83"/>
  <c r="A39" i="83"/>
  <c r="A38" i="83"/>
  <c r="A44" i="58" l="1"/>
  <c r="A26" i="58" l="1"/>
  <c r="A39" i="58" l="1"/>
  <c r="Y4" i="85" l="1"/>
  <c r="Y2" i="85"/>
  <c r="A37" i="83" l="1"/>
  <c r="A36" i="83"/>
  <c r="A35" i="83"/>
  <c r="A34" i="83"/>
  <c r="A33" i="83"/>
  <c r="A32" i="83"/>
  <c r="A31" i="83"/>
  <c r="A30" i="83"/>
  <c r="A29" i="83"/>
  <c r="A28" i="83"/>
  <c r="A27" i="83"/>
  <c r="A26" i="83"/>
  <c r="A25" i="83"/>
  <c r="A24" i="83"/>
  <c r="A23" i="83"/>
  <c r="A22" i="83"/>
  <c r="A21" i="83"/>
  <c r="A20" i="83"/>
  <c r="A13" i="83"/>
  <c r="A12" i="83"/>
  <c r="A10" i="83"/>
  <c r="A9" i="83"/>
  <c r="A8" i="83"/>
  <c r="Y4" i="83"/>
  <c r="Y2" i="83"/>
  <c r="A41" i="82" l="1"/>
  <c r="A40" i="82"/>
  <c r="A39" i="82"/>
  <c r="A38" i="82"/>
  <c r="A37" i="82"/>
  <c r="A36" i="82"/>
  <c r="A35" i="82"/>
  <c r="A34" i="82"/>
  <c r="A33" i="82"/>
  <c r="A32" i="82"/>
  <c r="A31" i="82"/>
  <c r="A30" i="82"/>
  <c r="A29" i="82"/>
  <c r="A28" i="82"/>
  <c r="A8" i="82"/>
  <c r="Y4" i="82"/>
  <c r="Y2" i="82"/>
  <c r="Y4" i="75" l="1"/>
  <c r="Y2" i="75"/>
  <c r="A37" i="58" l="1"/>
  <c r="A36" i="58"/>
  <c r="Y4" i="62" l="1"/>
  <c r="Y2" i="62"/>
  <c r="Y4" i="43"/>
  <c r="A489" i="60" l="1"/>
  <c r="A488" i="60"/>
  <c r="A487" i="60"/>
  <c r="A486" i="60"/>
  <c r="A485" i="60"/>
  <c r="A484" i="60"/>
  <c r="A483" i="60"/>
  <c r="A482" i="60"/>
  <c r="A481" i="60"/>
  <c r="A480" i="60"/>
  <c r="A479" i="60"/>
  <c r="A478" i="60"/>
  <c r="A477" i="60"/>
  <c r="A476" i="60"/>
  <c r="A475" i="60"/>
  <c r="A474" i="60"/>
  <c r="A473" i="60"/>
  <c r="A472" i="60"/>
  <c r="A471" i="60"/>
  <c r="A470" i="60"/>
  <c r="A469" i="60"/>
  <c r="A468" i="60"/>
  <c r="A467" i="60"/>
  <c r="A466" i="60"/>
  <c r="A465" i="60"/>
  <c r="A464" i="60"/>
  <c r="A463" i="60"/>
  <c r="A462" i="60"/>
  <c r="A461" i="60"/>
  <c r="A460" i="60"/>
  <c r="A459" i="60"/>
  <c r="A458" i="60"/>
  <c r="A457" i="60"/>
  <c r="A456" i="60"/>
  <c r="A455" i="60"/>
  <c r="A454" i="60"/>
  <c r="A453" i="60"/>
  <c r="A452" i="60"/>
  <c r="A451" i="60"/>
  <c r="A450" i="60"/>
  <c r="A449" i="60"/>
  <c r="A448" i="60"/>
  <c r="A447" i="60"/>
  <c r="A446" i="60"/>
  <c r="A445" i="60"/>
  <c r="A444" i="60"/>
  <c r="A443" i="60"/>
  <c r="A442" i="60"/>
  <c r="A441" i="60"/>
  <c r="A440" i="60"/>
  <c r="A439" i="60"/>
  <c r="A438" i="60"/>
  <c r="A437" i="60"/>
  <c r="A436" i="60"/>
  <c r="A435" i="60"/>
  <c r="A434" i="60"/>
  <c r="A433" i="60"/>
  <c r="A432" i="60"/>
  <c r="A431" i="60"/>
  <c r="A430" i="60"/>
  <c r="A429" i="60"/>
  <c r="A428" i="60"/>
  <c r="A427" i="60"/>
  <c r="A426" i="60"/>
  <c r="A425" i="60"/>
  <c r="A424" i="60"/>
  <c r="A423" i="60"/>
  <c r="A422" i="60"/>
  <c r="A421" i="60"/>
  <c r="A420" i="60"/>
  <c r="A419" i="60"/>
  <c r="A418" i="60"/>
  <c r="A417" i="60"/>
  <c r="A416" i="60"/>
  <c r="A415" i="60"/>
  <c r="A414" i="60"/>
  <c r="A413" i="60"/>
  <c r="A412" i="60"/>
  <c r="A411" i="60"/>
  <c r="A410" i="60"/>
  <c r="A409" i="60"/>
  <c r="A408" i="60"/>
  <c r="A407" i="60"/>
  <c r="A406" i="60"/>
  <c r="A405" i="60"/>
  <c r="A404" i="60"/>
  <c r="A403" i="60"/>
  <c r="A402" i="60"/>
  <c r="A401" i="60"/>
  <c r="A400" i="60"/>
  <c r="A399" i="60"/>
  <c r="A398" i="60"/>
  <c r="A397" i="60"/>
  <c r="A396" i="60"/>
  <c r="A395" i="60"/>
  <c r="A394" i="60"/>
  <c r="A393" i="60"/>
  <c r="A392" i="60"/>
  <c r="A391" i="60"/>
  <c r="A390" i="60"/>
  <c r="A389" i="60"/>
  <c r="A388" i="60"/>
  <c r="A387" i="60"/>
  <c r="A386" i="60"/>
  <c r="A385" i="60"/>
  <c r="A384" i="60"/>
  <c r="A383" i="60"/>
  <c r="A382" i="60"/>
  <c r="A381" i="60"/>
  <c r="A380" i="60"/>
  <c r="A379" i="60"/>
  <c r="A378" i="60"/>
  <c r="A377" i="60"/>
  <c r="A376" i="60"/>
  <c r="A375" i="60"/>
  <c r="A374" i="60"/>
  <c r="A373" i="60"/>
  <c r="A372" i="60"/>
  <c r="A371" i="60"/>
  <c r="A370" i="60"/>
  <c r="A369" i="60"/>
  <c r="A368" i="60"/>
  <c r="A367" i="60"/>
  <c r="A366" i="60"/>
  <c r="A365" i="60"/>
  <c r="A364" i="60"/>
  <c r="A363" i="60"/>
  <c r="A362" i="60"/>
  <c r="A361" i="60"/>
  <c r="A360" i="60"/>
  <c r="A359" i="60"/>
  <c r="A358" i="60"/>
  <c r="A357" i="60"/>
  <c r="A356" i="60"/>
  <c r="A355" i="60"/>
  <c r="A354" i="60"/>
  <c r="A353" i="60"/>
  <c r="A352" i="60"/>
  <c r="A351" i="60"/>
  <c r="A350" i="60"/>
  <c r="A349" i="60"/>
  <c r="A348" i="60"/>
  <c r="A347" i="60"/>
  <c r="A346" i="60"/>
  <c r="A345" i="60"/>
  <c r="A344" i="60"/>
  <c r="A343" i="60"/>
  <c r="A342" i="60"/>
  <c r="A341" i="60"/>
  <c r="A340" i="60"/>
  <c r="A339" i="60"/>
  <c r="A338" i="60"/>
  <c r="A337" i="60"/>
  <c r="A336" i="60"/>
  <c r="A335" i="60"/>
  <c r="A334" i="60"/>
  <c r="A333" i="60"/>
  <c r="A332" i="60"/>
  <c r="A331" i="60"/>
  <c r="A330" i="60"/>
  <c r="A329" i="60"/>
  <c r="A328" i="60"/>
  <c r="A327" i="60"/>
  <c r="A326" i="60"/>
  <c r="A325" i="60"/>
  <c r="A324" i="60"/>
  <c r="A323" i="60"/>
  <c r="A322" i="60"/>
  <c r="A321" i="60"/>
  <c r="A320" i="60"/>
  <c r="A319" i="60"/>
  <c r="A318" i="60"/>
  <c r="A317" i="60"/>
  <c r="A316" i="60"/>
  <c r="A315" i="60"/>
  <c r="A314" i="60"/>
  <c r="A313" i="60"/>
  <c r="A312" i="60"/>
  <c r="A311" i="60"/>
  <c r="A310" i="60"/>
  <c r="A309" i="60"/>
  <c r="A308" i="60"/>
  <c r="A307" i="60"/>
  <c r="A306" i="60"/>
  <c r="A305" i="60"/>
  <c r="A304" i="60"/>
  <c r="A303" i="60"/>
  <c r="A302" i="60"/>
  <c r="A301" i="60"/>
  <c r="A300" i="60"/>
  <c r="A299" i="60"/>
  <c r="A298" i="60"/>
  <c r="A297" i="60"/>
  <c r="A296" i="60"/>
  <c r="A295" i="60"/>
  <c r="A294" i="60"/>
  <c r="A292" i="60"/>
  <c r="A291" i="60"/>
  <c r="A290" i="60"/>
  <c r="A289" i="60"/>
  <c r="A288" i="60"/>
  <c r="A287" i="60"/>
  <c r="A286" i="60"/>
  <c r="A285" i="60"/>
  <c r="A284" i="60"/>
  <c r="A283" i="60"/>
  <c r="A282" i="60"/>
  <c r="A281" i="60"/>
  <c r="A280" i="60"/>
  <c r="A279" i="60"/>
  <c r="A278" i="60"/>
  <c r="A277" i="60"/>
  <c r="A276" i="60"/>
  <c r="A275" i="60"/>
  <c r="A274" i="60"/>
  <c r="A273" i="60"/>
  <c r="A272" i="60"/>
  <c r="A271" i="60"/>
  <c r="A270" i="60"/>
  <c r="A269" i="60"/>
  <c r="A268" i="60"/>
  <c r="A267" i="60"/>
  <c r="A266" i="60"/>
  <c r="A265" i="60"/>
  <c r="A264" i="60"/>
  <c r="A263" i="60"/>
  <c r="A262" i="60"/>
  <c r="A261" i="60"/>
  <c r="A260" i="60"/>
  <c r="A259" i="60"/>
  <c r="A258" i="60"/>
  <c r="A257" i="60"/>
  <c r="A256" i="60"/>
  <c r="A255" i="60"/>
  <c r="A254" i="60"/>
  <c r="A253" i="60"/>
  <c r="A252" i="60"/>
  <c r="A251" i="60"/>
  <c r="A250" i="60"/>
  <c r="A249" i="60"/>
  <c r="A248" i="60"/>
  <c r="A247" i="60"/>
  <c r="A246" i="60"/>
  <c r="A245" i="60"/>
  <c r="A244" i="60"/>
  <c r="A243" i="60"/>
  <c r="A242" i="60"/>
  <c r="A241" i="60"/>
  <c r="A240" i="60"/>
  <c r="A239" i="60"/>
  <c r="A238" i="60"/>
  <c r="A237" i="60"/>
  <c r="A236" i="60"/>
  <c r="A235" i="60"/>
  <c r="A234" i="60"/>
  <c r="A233" i="60"/>
  <c r="A232" i="60"/>
  <c r="A231" i="60"/>
  <c r="A230" i="60"/>
  <c r="A229" i="60"/>
  <c r="A228" i="60"/>
  <c r="A227" i="60"/>
  <c r="A226" i="60"/>
  <c r="A225" i="60"/>
  <c r="A224" i="60"/>
  <c r="A223" i="60"/>
  <c r="A222" i="60"/>
  <c r="A221" i="60"/>
  <c r="A220" i="60"/>
  <c r="A219" i="60"/>
  <c r="A218" i="60"/>
  <c r="A217" i="60"/>
  <c r="A216" i="60"/>
  <c r="A215" i="60"/>
  <c r="A214" i="60"/>
  <c r="A213" i="60"/>
  <c r="A212" i="60"/>
  <c r="A211" i="60"/>
  <c r="A210" i="60"/>
  <c r="A209" i="60"/>
  <c r="A208" i="60"/>
  <c r="A207" i="60"/>
  <c r="A206" i="60"/>
  <c r="A205" i="60"/>
  <c r="A204" i="60"/>
  <c r="A203" i="60"/>
  <c r="A202" i="60"/>
  <c r="A201" i="60"/>
  <c r="A200" i="60"/>
  <c r="A199" i="60"/>
  <c r="A198" i="60"/>
  <c r="A197" i="60"/>
  <c r="A196" i="60"/>
  <c r="A195" i="60"/>
  <c r="A194" i="60"/>
  <c r="A193" i="60"/>
  <c r="A192" i="60"/>
  <c r="A191" i="60"/>
  <c r="A190" i="60"/>
  <c r="A189" i="60"/>
  <c r="A188" i="60"/>
  <c r="A187" i="60"/>
  <c r="A186" i="60"/>
  <c r="A185" i="60"/>
  <c r="A184" i="60"/>
  <c r="A183" i="60"/>
  <c r="A182" i="60"/>
  <c r="A181" i="60"/>
  <c r="A180" i="60"/>
  <c r="A179" i="60"/>
  <c r="A178" i="60"/>
  <c r="A177" i="60"/>
  <c r="A176" i="60"/>
  <c r="A175" i="60"/>
  <c r="A174" i="60"/>
  <c r="A173" i="60"/>
  <c r="A172" i="60"/>
  <c r="A171" i="60"/>
  <c r="A170" i="60"/>
  <c r="A169" i="60"/>
  <c r="A168" i="60"/>
  <c r="A167" i="60"/>
  <c r="A166" i="60"/>
  <c r="A165" i="60"/>
  <c r="A164" i="60"/>
  <c r="A163" i="60"/>
  <c r="A162" i="60"/>
  <c r="A161" i="60"/>
  <c r="A160" i="60"/>
  <c r="A159" i="60"/>
  <c r="A158" i="60"/>
  <c r="A157" i="60"/>
  <c r="A156" i="60"/>
  <c r="A155" i="60"/>
  <c r="A154" i="60"/>
  <c r="A153" i="60"/>
  <c r="A152" i="60"/>
  <c r="A151" i="60"/>
  <c r="A150" i="60"/>
  <c r="A149" i="60"/>
  <c r="A148" i="60"/>
  <c r="A147" i="60"/>
  <c r="A146" i="60"/>
  <c r="A145" i="60"/>
  <c r="A144" i="60"/>
  <c r="A143" i="60"/>
  <c r="A142" i="60"/>
  <c r="A141" i="60"/>
  <c r="A140" i="60"/>
  <c r="A139" i="60"/>
  <c r="A138" i="60"/>
  <c r="A137" i="60"/>
  <c r="A136" i="60"/>
  <c r="A135" i="60"/>
  <c r="A134" i="60"/>
  <c r="A133" i="60"/>
  <c r="A132" i="60"/>
  <c r="A131" i="60"/>
  <c r="A130" i="60"/>
  <c r="A129" i="60"/>
  <c r="A128" i="60"/>
  <c r="A127" i="60"/>
  <c r="A126" i="60"/>
  <c r="A125" i="60"/>
  <c r="A124" i="60"/>
  <c r="A123" i="60"/>
  <c r="A122" i="60"/>
  <c r="A121" i="60"/>
  <c r="A120" i="60"/>
  <c r="A119" i="60"/>
  <c r="A118" i="60"/>
  <c r="A117" i="60"/>
  <c r="A116" i="60"/>
  <c r="A115" i="60"/>
  <c r="A114" i="60"/>
  <c r="A113" i="60"/>
  <c r="A112" i="60"/>
  <c r="A111" i="60"/>
  <c r="A110" i="60"/>
  <c r="A109" i="60"/>
  <c r="A108" i="60"/>
  <c r="A107" i="60"/>
  <c r="A106" i="60"/>
  <c r="A105" i="60"/>
  <c r="A104" i="60"/>
  <c r="A103" i="60"/>
  <c r="A102" i="60"/>
  <c r="A101" i="60"/>
  <c r="A100" i="60"/>
  <c r="A99" i="60"/>
  <c r="A98" i="60"/>
  <c r="A97" i="60"/>
  <c r="A96" i="60"/>
  <c r="A95" i="60"/>
  <c r="A94" i="60"/>
  <c r="A93" i="60"/>
  <c r="A92" i="60"/>
  <c r="A91" i="60"/>
  <c r="A90" i="60"/>
  <c r="A89" i="60"/>
  <c r="A88" i="60"/>
  <c r="A87" i="60"/>
  <c r="A86" i="60"/>
  <c r="A85" i="60"/>
  <c r="A84" i="60"/>
  <c r="A83" i="60"/>
  <c r="A82" i="60"/>
  <c r="A81" i="60"/>
  <c r="A80" i="60"/>
  <c r="A79" i="60"/>
  <c r="A78" i="60"/>
  <c r="A77" i="60"/>
  <c r="A76" i="60"/>
  <c r="A75" i="60"/>
  <c r="A74" i="60"/>
  <c r="A73" i="60"/>
  <c r="A72" i="60"/>
  <c r="A71" i="60"/>
  <c r="A70" i="60"/>
  <c r="A69" i="60"/>
  <c r="A68" i="60"/>
  <c r="A67" i="60"/>
  <c r="A66" i="60"/>
  <c r="A65" i="60"/>
  <c r="A64" i="60"/>
  <c r="A63" i="60"/>
  <c r="A62" i="60"/>
  <c r="A61" i="60"/>
  <c r="A60" i="60"/>
  <c r="A59" i="60"/>
  <c r="A58" i="60"/>
  <c r="A57" i="60"/>
  <c r="A56" i="60"/>
  <c r="A55" i="60"/>
  <c r="A54" i="60"/>
  <c r="A53" i="60"/>
  <c r="A52" i="60"/>
  <c r="A51" i="60"/>
  <c r="A50" i="60"/>
  <c r="A49" i="60"/>
  <c r="A48" i="60"/>
  <c r="A47" i="60"/>
  <c r="A46" i="60"/>
  <c r="A45" i="60"/>
  <c r="A44" i="60"/>
  <c r="A43" i="60"/>
  <c r="A42" i="60"/>
  <c r="A41" i="60"/>
  <c r="A40" i="60"/>
  <c r="A39" i="60"/>
  <c r="A38" i="60"/>
  <c r="A37" i="60"/>
  <c r="A36" i="60"/>
  <c r="A35" i="60"/>
  <c r="A34" i="60"/>
  <c r="A33" i="60"/>
  <c r="A32" i="60"/>
  <c r="A31" i="60"/>
  <c r="A30" i="60"/>
  <c r="A29" i="60"/>
  <c r="A28" i="60"/>
  <c r="A27" i="60"/>
  <c r="A26" i="60"/>
  <c r="A25" i="60"/>
  <c r="A24" i="60"/>
  <c r="A23" i="60"/>
  <c r="A22" i="60"/>
  <c r="A21" i="60"/>
  <c r="A20" i="60"/>
  <c r="A19" i="60"/>
  <c r="A18" i="60"/>
  <c r="A17" i="60"/>
  <c r="A16" i="60"/>
  <c r="A15" i="60"/>
  <c r="A14" i="60"/>
  <c r="A13" i="60"/>
  <c r="A12" i="60"/>
  <c r="A11" i="60"/>
  <c r="A10" i="60"/>
  <c r="A9" i="60"/>
  <c r="A8" i="60"/>
  <c r="A7" i="60"/>
  <c r="A6" i="60"/>
  <c r="A5" i="60"/>
  <c r="A4" i="60"/>
  <c r="A7" i="58" l="1"/>
  <c r="A46" i="58"/>
  <c r="A45" i="58"/>
  <c r="A43" i="58"/>
  <c r="A42" i="58"/>
  <c r="A41" i="58"/>
  <c r="A40" i="58"/>
  <c r="A34" i="58"/>
  <c r="A33" i="58"/>
  <c r="A31" i="58"/>
  <c r="A29" i="58"/>
  <c r="A23" i="58"/>
  <c r="A22" i="58"/>
  <c r="A21" i="58"/>
  <c r="A20" i="58"/>
  <c r="A19" i="58"/>
  <c r="A16" i="58"/>
  <c r="A15" i="58"/>
  <c r="A14" i="58"/>
  <c r="A13" i="58"/>
  <c r="A11" i="58"/>
  <c r="A10" i="58"/>
  <c r="A9" i="58"/>
  <c r="A8" i="58"/>
  <c r="A1" i="61" l="1"/>
  <c r="A1" i="60"/>
</calcChain>
</file>

<file path=xl/comments1.xml><?xml version="1.0" encoding="utf-8"?>
<comments xmlns="http://schemas.openxmlformats.org/spreadsheetml/2006/main">
  <authors>
    <author>shida</author>
  </authors>
  <commentList>
    <comment ref="AD6" authorId="0" shapeId="0">
      <text>
        <r>
          <rPr>
            <sz val="9"/>
            <color indexed="81"/>
            <rFont val="ＭＳ Ｐゴシック"/>
            <family val="3"/>
            <charset val="128"/>
          </rPr>
          <t>整数：整数部の桁数を入力
文字型の時：文字数
数値型の時：バイト数</t>
        </r>
      </text>
    </comment>
    <comment ref="AE6" authorId="0" shapeId="0">
      <text>
        <r>
          <rPr>
            <sz val="9"/>
            <color indexed="81"/>
            <rFont val="ＭＳ Ｐゴシック"/>
            <family val="3"/>
            <charset val="128"/>
          </rPr>
          <t>小数：小数部を桁数を入力</t>
        </r>
      </text>
    </comment>
    <comment ref="AF6" authorId="0" shapeId="0">
      <text>
        <r>
          <rPr>
            <sz val="9"/>
            <color indexed="81"/>
            <rFont val="ＭＳ Ｐゴシック"/>
            <family val="3"/>
            <charset val="128"/>
          </rPr>
          <t>ＰＫ：プライマリキー
主キーを入力</t>
        </r>
      </text>
    </comment>
    <comment ref="AG6" authorId="0" shapeId="0">
      <text>
        <r>
          <rPr>
            <sz val="9"/>
            <color indexed="81"/>
            <rFont val="ＭＳ Ｐゴシック"/>
            <family val="3"/>
            <charset val="128"/>
          </rPr>
          <t>ＮＮ：Ｎｏｔ Ｎｕｌｌ
Ｎｕｌｌを許可しないものに「＊」を入力</t>
        </r>
      </text>
    </comment>
    <comment ref="AH6" authorId="0" shapeId="0">
      <text>
        <r>
          <rPr>
            <sz val="9"/>
            <color indexed="81"/>
            <rFont val="ＭＳ Ｐゴシック"/>
            <family val="3"/>
            <charset val="128"/>
          </rPr>
          <t>ＤＦ：デフォルト値
数値の時：０
文字の時：空白
を入力</t>
        </r>
      </text>
    </comment>
    <comment ref="AI6" authorId="0" shapeId="0">
      <text>
        <r>
          <rPr>
            <sz val="9"/>
            <color indexed="81"/>
            <rFont val="ＭＳ Ｐゴシック"/>
            <family val="3"/>
            <charset val="128"/>
          </rPr>
          <t xml:space="preserve">インデックス
（５個まで表示）
</t>
        </r>
      </text>
    </comment>
  </commentList>
</comments>
</file>

<file path=xl/comments2.xml><?xml version="1.0" encoding="utf-8"?>
<comments xmlns="http://schemas.openxmlformats.org/spreadsheetml/2006/main">
  <authors>
    <author>shida</author>
  </authors>
  <commentList>
    <comment ref="AD6" authorId="0" shapeId="0">
      <text>
        <r>
          <rPr>
            <sz val="9"/>
            <color indexed="81"/>
            <rFont val="ＭＳ Ｐゴシック"/>
            <family val="3"/>
            <charset val="128"/>
          </rPr>
          <t>整数：整数部の桁数を入力
文字型の時：文字数
数値型の時：バイト数</t>
        </r>
      </text>
    </comment>
    <comment ref="AE6" authorId="0" shapeId="0">
      <text>
        <r>
          <rPr>
            <sz val="9"/>
            <color indexed="81"/>
            <rFont val="ＭＳ Ｐゴシック"/>
            <family val="3"/>
            <charset val="128"/>
          </rPr>
          <t>小数：小数部を桁数を入力</t>
        </r>
      </text>
    </comment>
    <comment ref="AF6" authorId="0" shapeId="0">
      <text>
        <r>
          <rPr>
            <sz val="9"/>
            <color indexed="81"/>
            <rFont val="ＭＳ Ｐゴシック"/>
            <family val="3"/>
            <charset val="128"/>
          </rPr>
          <t>ＰＫ：プライマリキー
主キーを入力</t>
        </r>
      </text>
    </comment>
    <comment ref="AG6" authorId="0" shapeId="0">
      <text>
        <r>
          <rPr>
            <sz val="9"/>
            <color indexed="81"/>
            <rFont val="ＭＳ Ｐゴシック"/>
            <family val="3"/>
            <charset val="128"/>
          </rPr>
          <t>ＮＮ：Ｎｏｔ Ｎｕｌｌ
Ｎｕｌｌを許可しないものに「＊」を入力</t>
        </r>
      </text>
    </comment>
    <comment ref="AH6" authorId="0" shapeId="0">
      <text>
        <r>
          <rPr>
            <sz val="9"/>
            <color indexed="81"/>
            <rFont val="ＭＳ Ｐゴシック"/>
            <family val="3"/>
            <charset val="128"/>
          </rPr>
          <t>ＤＦ：デフォルト値
数値の時：０
文字の時：空白
を入力</t>
        </r>
      </text>
    </comment>
    <comment ref="AI6" authorId="0" shapeId="0">
      <text>
        <r>
          <rPr>
            <sz val="9"/>
            <color indexed="81"/>
            <rFont val="ＭＳ Ｐゴシック"/>
            <family val="3"/>
            <charset val="128"/>
          </rPr>
          <t xml:space="preserve">インデックス
（５個まで表示）
</t>
        </r>
      </text>
    </comment>
  </commentList>
</comments>
</file>

<file path=xl/comments3.xml><?xml version="1.0" encoding="utf-8"?>
<comments xmlns="http://schemas.openxmlformats.org/spreadsheetml/2006/main">
  <authors>
    <author>shida</author>
  </authors>
  <commentList>
    <comment ref="AD6" authorId="0" shapeId="0">
      <text>
        <r>
          <rPr>
            <sz val="9"/>
            <color indexed="81"/>
            <rFont val="ＭＳ Ｐゴシック"/>
            <family val="3"/>
            <charset val="128"/>
          </rPr>
          <t>整数：整数部の桁数を入力
文字型の時：文字数
数値型の時：バイト数</t>
        </r>
      </text>
    </comment>
    <comment ref="AE6" authorId="0" shapeId="0">
      <text>
        <r>
          <rPr>
            <sz val="9"/>
            <color indexed="81"/>
            <rFont val="ＭＳ Ｐゴシック"/>
            <family val="3"/>
            <charset val="128"/>
          </rPr>
          <t>小数：小数部を桁数を入力</t>
        </r>
      </text>
    </comment>
    <comment ref="AF6" authorId="0" shapeId="0">
      <text>
        <r>
          <rPr>
            <sz val="9"/>
            <color indexed="81"/>
            <rFont val="ＭＳ Ｐゴシック"/>
            <family val="3"/>
            <charset val="128"/>
          </rPr>
          <t>ＰＫ：プライマリキー
主キーを入力</t>
        </r>
      </text>
    </comment>
    <comment ref="AG6" authorId="0" shapeId="0">
      <text>
        <r>
          <rPr>
            <sz val="9"/>
            <color indexed="81"/>
            <rFont val="ＭＳ Ｐゴシック"/>
            <family val="3"/>
            <charset val="128"/>
          </rPr>
          <t>ＮＮ：Ｎｏｔ Ｎｕｌｌ
Ｎｕｌｌを許可しないものに「＊」を入力</t>
        </r>
      </text>
    </comment>
    <comment ref="AH6" authorId="0" shapeId="0">
      <text>
        <r>
          <rPr>
            <sz val="9"/>
            <color indexed="81"/>
            <rFont val="ＭＳ Ｐゴシック"/>
            <family val="3"/>
            <charset val="128"/>
          </rPr>
          <t>ＤＦ：デフォルト値
数値の時：０
文字の時：空白
を入力</t>
        </r>
      </text>
    </comment>
    <comment ref="AI6" authorId="0" shapeId="0">
      <text>
        <r>
          <rPr>
            <sz val="9"/>
            <color indexed="81"/>
            <rFont val="ＭＳ Ｐゴシック"/>
            <family val="3"/>
            <charset val="128"/>
          </rPr>
          <t xml:space="preserve">インデックス
（５個まで表示）
</t>
        </r>
      </text>
    </comment>
  </commentList>
</comments>
</file>

<file path=xl/comments4.xml><?xml version="1.0" encoding="utf-8"?>
<comments xmlns="http://schemas.openxmlformats.org/spreadsheetml/2006/main">
  <authors>
    <author>shida</author>
  </authors>
  <commentList>
    <comment ref="AD6" authorId="0" shapeId="0">
      <text>
        <r>
          <rPr>
            <sz val="9"/>
            <color indexed="81"/>
            <rFont val="ＭＳ Ｐゴシック"/>
            <family val="3"/>
            <charset val="128"/>
          </rPr>
          <t>整数：整数部の桁数を入力
文字型の時：文字数
数値型の時：バイト数</t>
        </r>
      </text>
    </comment>
    <comment ref="AE6" authorId="0" shapeId="0">
      <text>
        <r>
          <rPr>
            <sz val="9"/>
            <color indexed="81"/>
            <rFont val="ＭＳ Ｐゴシック"/>
            <family val="3"/>
            <charset val="128"/>
          </rPr>
          <t>小数：小数部を桁数を入力</t>
        </r>
      </text>
    </comment>
    <comment ref="AF6" authorId="0" shapeId="0">
      <text>
        <r>
          <rPr>
            <sz val="9"/>
            <color indexed="81"/>
            <rFont val="ＭＳ Ｐゴシック"/>
            <family val="3"/>
            <charset val="128"/>
          </rPr>
          <t>ＰＫ：プライマリキー
主キーを入力</t>
        </r>
      </text>
    </comment>
    <comment ref="AG6" authorId="0" shapeId="0">
      <text>
        <r>
          <rPr>
            <sz val="9"/>
            <color indexed="81"/>
            <rFont val="ＭＳ Ｐゴシック"/>
            <family val="3"/>
            <charset val="128"/>
          </rPr>
          <t>ＮＮ：Ｎｏｔ Ｎｕｌｌ
Ｎｕｌｌを許可しないものに「＊」を入力</t>
        </r>
      </text>
    </comment>
    <comment ref="AH6" authorId="0" shapeId="0">
      <text>
        <r>
          <rPr>
            <sz val="9"/>
            <color indexed="81"/>
            <rFont val="ＭＳ Ｐゴシック"/>
            <family val="3"/>
            <charset val="128"/>
          </rPr>
          <t>ＤＦ：デフォルト値
数値の時：０
文字の時：空白
を入力</t>
        </r>
      </text>
    </comment>
    <comment ref="AI6" authorId="0" shapeId="0">
      <text>
        <r>
          <rPr>
            <sz val="9"/>
            <color indexed="81"/>
            <rFont val="ＭＳ Ｐゴシック"/>
            <family val="3"/>
            <charset val="128"/>
          </rPr>
          <t xml:space="preserve">インデックス
（５個まで表示）
</t>
        </r>
      </text>
    </comment>
  </commentList>
</comments>
</file>

<file path=xl/comments5.xml><?xml version="1.0" encoding="utf-8"?>
<comments xmlns="http://schemas.openxmlformats.org/spreadsheetml/2006/main">
  <authors>
    <author>shida</author>
  </authors>
  <commentList>
    <comment ref="AD6" authorId="0" shapeId="0">
      <text>
        <r>
          <rPr>
            <sz val="9"/>
            <color indexed="81"/>
            <rFont val="ＭＳ Ｐゴシック"/>
            <family val="3"/>
            <charset val="128"/>
          </rPr>
          <t>整数：整数部の桁数を入力
文字型の時：文字数
数値型の時：バイト数</t>
        </r>
      </text>
    </comment>
    <comment ref="AE6" authorId="0" shapeId="0">
      <text>
        <r>
          <rPr>
            <sz val="9"/>
            <color indexed="81"/>
            <rFont val="ＭＳ Ｐゴシック"/>
            <family val="3"/>
            <charset val="128"/>
          </rPr>
          <t>小数：小数部を桁数を入力</t>
        </r>
      </text>
    </comment>
    <comment ref="AF6" authorId="0" shapeId="0">
      <text>
        <r>
          <rPr>
            <sz val="9"/>
            <color indexed="81"/>
            <rFont val="ＭＳ Ｐゴシック"/>
            <family val="3"/>
            <charset val="128"/>
          </rPr>
          <t>ＰＫ：プライマリキー
主キーを入力</t>
        </r>
      </text>
    </comment>
    <comment ref="AG6" authorId="0" shapeId="0">
      <text>
        <r>
          <rPr>
            <sz val="9"/>
            <color indexed="81"/>
            <rFont val="ＭＳ Ｐゴシック"/>
            <family val="3"/>
            <charset val="128"/>
          </rPr>
          <t>ＮＮ：Ｎｏｔ Ｎｕｌｌ
Ｎｕｌｌを許可しないものに「＊」を入力</t>
        </r>
      </text>
    </comment>
    <comment ref="AH6" authorId="0" shapeId="0">
      <text>
        <r>
          <rPr>
            <sz val="9"/>
            <color indexed="81"/>
            <rFont val="ＭＳ Ｐゴシック"/>
            <family val="3"/>
            <charset val="128"/>
          </rPr>
          <t>ＤＦ：デフォルト値
数値の時：０
文字の時：空白
を入力</t>
        </r>
      </text>
    </comment>
    <comment ref="AI6" authorId="0" shapeId="0">
      <text>
        <r>
          <rPr>
            <sz val="9"/>
            <color indexed="81"/>
            <rFont val="ＭＳ Ｐゴシック"/>
            <family val="3"/>
            <charset val="128"/>
          </rPr>
          <t xml:space="preserve">インデックス
（５個まで表示）
</t>
        </r>
      </text>
    </comment>
  </commentList>
</comments>
</file>

<file path=xl/comments6.xml><?xml version="1.0" encoding="utf-8"?>
<comments xmlns="http://schemas.openxmlformats.org/spreadsheetml/2006/main">
  <authors>
    <author>shida</author>
  </authors>
  <commentList>
    <comment ref="AD6" authorId="0" shapeId="0">
      <text>
        <r>
          <rPr>
            <sz val="9"/>
            <color indexed="81"/>
            <rFont val="ＭＳ Ｐゴシック"/>
            <family val="3"/>
            <charset val="128"/>
          </rPr>
          <t>整数：整数部の桁数を入力
文字型の時：文字数
数値型の時：バイト数</t>
        </r>
      </text>
    </comment>
    <comment ref="AE6" authorId="0" shapeId="0">
      <text>
        <r>
          <rPr>
            <sz val="9"/>
            <color indexed="81"/>
            <rFont val="ＭＳ Ｐゴシック"/>
            <family val="3"/>
            <charset val="128"/>
          </rPr>
          <t>小数：小数部を桁数を入力</t>
        </r>
      </text>
    </comment>
    <comment ref="AF6" authorId="0" shapeId="0">
      <text>
        <r>
          <rPr>
            <sz val="9"/>
            <color indexed="81"/>
            <rFont val="ＭＳ Ｐゴシック"/>
            <family val="3"/>
            <charset val="128"/>
          </rPr>
          <t>ＰＫ：プライマリキー
主キーを入力</t>
        </r>
      </text>
    </comment>
    <comment ref="AG6" authorId="0" shapeId="0">
      <text>
        <r>
          <rPr>
            <sz val="9"/>
            <color indexed="81"/>
            <rFont val="ＭＳ Ｐゴシック"/>
            <family val="3"/>
            <charset val="128"/>
          </rPr>
          <t>ＮＮ：Ｎｏｔ Ｎｕｌｌ
Ｎｕｌｌを許可しないものに「＊」を入力</t>
        </r>
      </text>
    </comment>
    <comment ref="AH6" authorId="0" shapeId="0">
      <text>
        <r>
          <rPr>
            <sz val="9"/>
            <color indexed="81"/>
            <rFont val="ＭＳ Ｐゴシック"/>
            <family val="3"/>
            <charset val="128"/>
          </rPr>
          <t>ＤＦ：デフォルト値
数値の時：０
文字の時：空白
を入力</t>
        </r>
      </text>
    </comment>
    <comment ref="AI6" authorId="0" shapeId="0">
      <text>
        <r>
          <rPr>
            <sz val="9"/>
            <color indexed="81"/>
            <rFont val="ＭＳ Ｐゴシック"/>
            <family val="3"/>
            <charset val="128"/>
          </rPr>
          <t xml:space="preserve">インデックス
（５個まで表示）
</t>
        </r>
      </text>
    </comment>
  </commentList>
</comments>
</file>

<file path=xl/comments7.xml><?xml version="1.0" encoding="utf-8"?>
<comments xmlns="http://schemas.openxmlformats.org/spreadsheetml/2006/main">
  <authors>
    <author>shida</author>
  </authors>
  <commentList>
    <comment ref="AD6" authorId="0" shapeId="0">
      <text>
        <r>
          <rPr>
            <sz val="9"/>
            <color indexed="81"/>
            <rFont val="ＭＳ Ｐゴシック"/>
            <family val="3"/>
            <charset val="128"/>
          </rPr>
          <t>整数：整数部の桁数を入力
文字型の時：文字数
数値型の時：バイト数</t>
        </r>
      </text>
    </comment>
    <comment ref="AE6" authorId="0" shapeId="0">
      <text>
        <r>
          <rPr>
            <sz val="9"/>
            <color indexed="81"/>
            <rFont val="ＭＳ Ｐゴシック"/>
            <family val="3"/>
            <charset val="128"/>
          </rPr>
          <t>小数：小数部を桁数を入力</t>
        </r>
      </text>
    </comment>
    <comment ref="AF6" authorId="0" shapeId="0">
      <text>
        <r>
          <rPr>
            <sz val="9"/>
            <color indexed="81"/>
            <rFont val="ＭＳ Ｐゴシック"/>
            <family val="3"/>
            <charset val="128"/>
          </rPr>
          <t>ＰＫ：プライマリキー
主キーを入力</t>
        </r>
      </text>
    </comment>
    <comment ref="AG6" authorId="0" shapeId="0">
      <text>
        <r>
          <rPr>
            <sz val="9"/>
            <color indexed="81"/>
            <rFont val="ＭＳ Ｐゴシック"/>
            <family val="3"/>
            <charset val="128"/>
          </rPr>
          <t>ＮＮ：Ｎｏｔ Ｎｕｌｌ
Ｎｕｌｌを許可しないものに「＊」を入力</t>
        </r>
      </text>
    </comment>
    <comment ref="AH6" authorId="0" shapeId="0">
      <text>
        <r>
          <rPr>
            <sz val="9"/>
            <color indexed="81"/>
            <rFont val="ＭＳ Ｐゴシック"/>
            <family val="3"/>
            <charset val="128"/>
          </rPr>
          <t>ＤＦ：デフォルト値
数値の時：０
文字の時：空白
を入力</t>
        </r>
      </text>
    </comment>
    <comment ref="AI6" authorId="0" shapeId="0">
      <text>
        <r>
          <rPr>
            <sz val="9"/>
            <color indexed="81"/>
            <rFont val="ＭＳ Ｐゴシック"/>
            <family val="3"/>
            <charset val="128"/>
          </rPr>
          <t xml:space="preserve">インデックス
（５個まで表示）
</t>
        </r>
      </text>
    </comment>
  </commentList>
</comments>
</file>

<file path=xl/comments8.xml><?xml version="1.0" encoding="utf-8"?>
<comments xmlns="http://schemas.openxmlformats.org/spreadsheetml/2006/main">
  <authors>
    <author>shida</author>
  </authors>
  <commentList>
    <comment ref="AD6" authorId="0" shapeId="0">
      <text>
        <r>
          <rPr>
            <sz val="9"/>
            <color indexed="81"/>
            <rFont val="ＭＳ Ｐゴシック"/>
            <family val="3"/>
            <charset val="128"/>
          </rPr>
          <t>整数：整数部の桁数を入力
文字型の時：文字数
数値型の時：バイト数</t>
        </r>
      </text>
    </comment>
    <comment ref="AE6" authorId="0" shapeId="0">
      <text>
        <r>
          <rPr>
            <sz val="9"/>
            <color indexed="81"/>
            <rFont val="ＭＳ Ｐゴシック"/>
            <family val="3"/>
            <charset val="128"/>
          </rPr>
          <t>小数：小数部を桁数を入力</t>
        </r>
      </text>
    </comment>
    <comment ref="AF6" authorId="0" shapeId="0">
      <text>
        <r>
          <rPr>
            <sz val="9"/>
            <color indexed="81"/>
            <rFont val="ＭＳ Ｐゴシック"/>
            <family val="3"/>
            <charset val="128"/>
          </rPr>
          <t>ＰＫ：プライマリキー
主キーを入力</t>
        </r>
      </text>
    </comment>
    <comment ref="AG6" authorId="0" shapeId="0">
      <text>
        <r>
          <rPr>
            <sz val="9"/>
            <color indexed="81"/>
            <rFont val="ＭＳ Ｐゴシック"/>
            <family val="3"/>
            <charset val="128"/>
          </rPr>
          <t>ＮＮ：Ｎｏｔ Ｎｕｌｌ
Ｎｕｌｌを許可しないものに「＊」を入力</t>
        </r>
      </text>
    </comment>
    <comment ref="AH6" authorId="0" shapeId="0">
      <text>
        <r>
          <rPr>
            <sz val="9"/>
            <color indexed="81"/>
            <rFont val="ＭＳ Ｐゴシック"/>
            <family val="3"/>
            <charset val="128"/>
          </rPr>
          <t>ＤＦ：デフォルト値
数値の時：０
文字の時：空白
を入力</t>
        </r>
      </text>
    </comment>
    <comment ref="AI6" authorId="0" shapeId="0">
      <text>
        <r>
          <rPr>
            <sz val="9"/>
            <color indexed="81"/>
            <rFont val="ＭＳ Ｐゴシック"/>
            <family val="3"/>
            <charset val="128"/>
          </rPr>
          <t xml:space="preserve">インデックス
（５個まで表示）
</t>
        </r>
      </text>
    </comment>
  </commentList>
</comments>
</file>

<file path=xl/comments9.xml><?xml version="1.0" encoding="utf-8"?>
<comments xmlns="http://schemas.openxmlformats.org/spreadsheetml/2006/main">
  <authors>
    <author>shida</author>
  </authors>
  <commentList>
    <comment ref="AD6" authorId="0" shapeId="0">
      <text>
        <r>
          <rPr>
            <sz val="9"/>
            <color indexed="81"/>
            <rFont val="ＭＳ Ｐゴシック"/>
            <family val="3"/>
            <charset val="128"/>
          </rPr>
          <t>整数：整数部の桁数を入力
文字型の時：文字数
数値型の時：バイト数</t>
        </r>
      </text>
    </comment>
    <comment ref="AE6" authorId="0" shapeId="0">
      <text>
        <r>
          <rPr>
            <sz val="9"/>
            <color indexed="81"/>
            <rFont val="ＭＳ Ｐゴシック"/>
            <family val="3"/>
            <charset val="128"/>
          </rPr>
          <t>小数：小数部を桁数を入力</t>
        </r>
      </text>
    </comment>
    <comment ref="AF6" authorId="0" shapeId="0">
      <text>
        <r>
          <rPr>
            <sz val="9"/>
            <color indexed="81"/>
            <rFont val="ＭＳ Ｐゴシック"/>
            <family val="3"/>
            <charset val="128"/>
          </rPr>
          <t>ＰＫ：プライマリキー
主キーを入力</t>
        </r>
      </text>
    </comment>
    <comment ref="AG6" authorId="0" shapeId="0">
      <text>
        <r>
          <rPr>
            <sz val="9"/>
            <color indexed="81"/>
            <rFont val="ＭＳ Ｐゴシック"/>
            <family val="3"/>
            <charset val="128"/>
          </rPr>
          <t>ＮＮ：Ｎｏｔ Ｎｕｌｌ
Ｎｕｌｌを許可しないものに「＊」を入力</t>
        </r>
      </text>
    </comment>
    <comment ref="AH6" authorId="0" shapeId="0">
      <text>
        <r>
          <rPr>
            <sz val="9"/>
            <color indexed="81"/>
            <rFont val="ＭＳ Ｐゴシック"/>
            <family val="3"/>
            <charset val="128"/>
          </rPr>
          <t>ＤＦ：デフォルト値
数値の時：０
文字の時：空白
を入力</t>
        </r>
      </text>
    </comment>
    <comment ref="AI6" authorId="0" shapeId="0">
      <text>
        <r>
          <rPr>
            <sz val="9"/>
            <color indexed="81"/>
            <rFont val="ＭＳ Ｐゴシック"/>
            <family val="3"/>
            <charset val="128"/>
          </rPr>
          <t xml:space="preserve">インデックス
（５個まで表示）
</t>
        </r>
      </text>
    </comment>
  </commentList>
</comments>
</file>

<file path=xl/comments10.xml><?xml version="1.0" encoding="utf-8"?>
<comments xmlns="http://schemas.openxmlformats.org/spreadsheetml/2006/main">
  <authors>
    <author>shida</author>
  </authors>
  <commentList>
    <comment ref="AD6" authorId="0" shapeId="0">
      <text>
        <r>
          <rPr>
            <sz val="9"/>
            <color indexed="81"/>
            <rFont val="ＭＳ Ｐゴシック"/>
            <family val="3"/>
            <charset val="128"/>
          </rPr>
          <t>整数：整数部の桁数を入力
文字型の時：文字数
数値型の時：バイト数</t>
        </r>
      </text>
    </comment>
    <comment ref="AE6" authorId="0" shapeId="0">
      <text>
        <r>
          <rPr>
            <sz val="9"/>
            <color indexed="81"/>
            <rFont val="ＭＳ Ｐゴシック"/>
            <family val="3"/>
            <charset val="128"/>
          </rPr>
          <t>小数：小数部を桁数を入力</t>
        </r>
      </text>
    </comment>
    <comment ref="AF6" authorId="0" shapeId="0">
      <text>
        <r>
          <rPr>
            <sz val="9"/>
            <color indexed="81"/>
            <rFont val="ＭＳ Ｐゴシック"/>
            <family val="3"/>
            <charset val="128"/>
          </rPr>
          <t>ＰＫ：プライマリキー
主キーを入力</t>
        </r>
      </text>
    </comment>
    <comment ref="AG6" authorId="0" shapeId="0">
      <text>
        <r>
          <rPr>
            <sz val="9"/>
            <color indexed="81"/>
            <rFont val="ＭＳ Ｐゴシック"/>
            <family val="3"/>
            <charset val="128"/>
          </rPr>
          <t>ＮＮ：Ｎｏｔ Ｎｕｌｌ
Ｎｕｌｌを許可しないものに「＊」を入力</t>
        </r>
      </text>
    </comment>
    <comment ref="AH6" authorId="0" shapeId="0">
      <text>
        <r>
          <rPr>
            <sz val="9"/>
            <color indexed="81"/>
            <rFont val="ＭＳ Ｐゴシック"/>
            <family val="3"/>
            <charset val="128"/>
          </rPr>
          <t>ＤＦ：デフォルト値
数値の時：０
文字の時：空白
を入力</t>
        </r>
      </text>
    </comment>
    <comment ref="AI6" authorId="0" shapeId="0">
      <text>
        <r>
          <rPr>
            <sz val="9"/>
            <color indexed="81"/>
            <rFont val="ＭＳ Ｐゴシック"/>
            <family val="3"/>
            <charset val="128"/>
          </rPr>
          <t xml:space="preserve">インデックス
（５個まで表示）
</t>
        </r>
      </text>
    </comment>
  </commentList>
</comments>
</file>

<file path=xl/comments11.xml><?xml version="1.0" encoding="utf-8"?>
<comments xmlns="http://schemas.openxmlformats.org/spreadsheetml/2006/main">
  <authors>
    <author>shida</author>
  </authors>
  <commentList>
    <comment ref="AD6" authorId="0" shapeId="0">
      <text>
        <r>
          <rPr>
            <sz val="9"/>
            <color indexed="81"/>
            <rFont val="ＭＳ Ｐゴシック"/>
            <family val="3"/>
            <charset val="128"/>
          </rPr>
          <t>整数：整数部の桁数を入力
文字型の時：文字数
数値型の時：バイト数</t>
        </r>
      </text>
    </comment>
    <comment ref="AE6" authorId="0" shapeId="0">
      <text>
        <r>
          <rPr>
            <sz val="9"/>
            <color indexed="81"/>
            <rFont val="ＭＳ Ｐゴシック"/>
            <family val="3"/>
            <charset val="128"/>
          </rPr>
          <t>小数：小数部を桁数を入力</t>
        </r>
      </text>
    </comment>
    <comment ref="AF6" authorId="0" shapeId="0">
      <text>
        <r>
          <rPr>
            <sz val="9"/>
            <color indexed="81"/>
            <rFont val="ＭＳ Ｐゴシック"/>
            <family val="3"/>
            <charset val="128"/>
          </rPr>
          <t>ＰＫ：プライマリキー
主キーを入力</t>
        </r>
      </text>
    </comment>
    <comment ref="AG6" authorId="0" shapeId="0">
      <text>
        <r>
          <rPr>
            <sz val="9"/>
            <color indexed="81"/>
            <rFont val="ＭＳ Ｐゴシック"/>
            <family val="3"/>
            <charset val="128"/>
          </rPr>
          <t>ＮＮ：Ｎｏｔ Ｎｕｌｌ
Ｎｕｌｌを許可しないものに「＊」を入力</t>
        </r>
      </text>
    </comment>
    <comment ref="AH6" authorId="0" shapeId="0">
      <text>
        <r>
          <rPr>
            <sz val="9"/>
            <color indexed="81"/>
            <rFont val="ＭＳ Ｐゴシック"/>
            <family val="3"/>
            <charset val="128"/>
          </rPr>
          <t>ＤＦ：デフォルト値
数値の時：０
文字の時：空白
を入力</t>
        </r>
      </text>
    </comment>
    <comment ref="AI6" authorId="0" shapeId="0">
      <text>
        <r>
          <rPr>
            <sz val="9"/>
            <color indexed="81"/>
            <rFont val="ＭＳ Ｐゴシック"/>
            <family val="3"/>
            <charset val="128"/>
          </rPr>
          <t xml:space="preserve">インデックス
（５個まで表示）
</t>
        </r>
      </text>
    </comment>
  </commentList>
</comments>
</file>

<file path=xl/comments12.xml><?xml version="1.0" encoding="utf-8"?>
<comments xmlns="http://schemas.openxmlformats.org/spreadsheetml/2006/main">
  <authors>
    <author>shida</author>
  </authors>
  <commentList>
    <comment ref="AD6" authorId="0" shapeId="0">
      <text>
        <r>
          <rPr>
            <sz val="9"/>
            <color indexed="81"/>
            <rFont val="ＭＳ Ｐゴシック"/>
            <family val="3"/>
            <charset val="128"/>
          </rPr>
          <t>整数：整数部の桁数を入力
文字型の時：文字数
数値型の時：バイト数</t>
        </r>
      </text>
    </comment>
    <comment ref="AE6" authorId="0" shapeId="0">
      <text>
        <r>
          <rPr>
            <sz val="9"/>
            <color indexed="81"/>
            <rFont val="ＭＳ Ｐゴシック"/>
            <family val="3"/>
            <charset val="128"/>
          </rPr>
          <t>小数：小数部を桁数を入力</t>
        </r>
      </text>
    </comment>
    <comment ref="AF6" authorId="0" shapeId="0">
      <text>
        <r>
          <rPr>
            <sz val="9"/>
            <color indexed="81"/>
            <rFont val="ＭＳ Ｐゴシック"/>
            <family val="3"/>
            <charset val="128"/>
          </rPr>
          <t>ＰＫ：プライマリキー
主キーを入力</t>
        </r>
      </text>
    </comment>
    <comment ref="AG6" authorId="0" shapeId="0">
      <text>
        <r>
          <rPr>
            <sz val="9"/>
            <color indexed="81"/>
            <rFont val="ＭＳ Ｐゴシック"/>
            <family val="3"/>
            <charset val="128"/>
          </rPr>
          <t>ＮＮ：Ｎｏｔ Ｎｕｌｌ
Ｎｕｌｌを許可しないものに「＊」を入力</t>
        </r>
      </text>
    </comment>
    <comment ref="AH6" authorId="0" shapeId="0">
      <text>
        <r>
          <rPr>
            <sz val="9"/>
            <color indexed="81"/>
            <rFont val="ＭＳ Ｐゴシック"/>
            <family val="3"/>
            <charset val="128"/>
          </rPr>
          <t>ＤＦ：デフォルト値
数値の時：０
文字の時：空白
を入力</t>
        </r>
      </text>
    </comment>
    <comment ref="AI6" authorId="0" shapeId="0">
      <text>
        <r>
          <rPr>
            <sz val="9"/>
            <color indexed="81"/>
            <rFont val="ＭＳ Ｐゴシック"/>
            <family val="3"/>
            <charset val="128"/>
          </rPr>
          <t xml:space="preserve">インデックス
（５個まで表示）
</t>
        </r>
      </text>
    </comment>
  </commentList>
</comments>
</file>

<file path=xl/comments13.xml><?xml version="1.0" encoding="utf-8"?>
<comments xmlns="http://schemas.openxmlformats.org/spreadsheetml/2006/main">
  <authors>
    <author>shida</author>
  </authors>
  <commentList>
    <comment ref="AD6" authorId="0" shapeId="0">
      <text>
        <r>
          <rPr>
            <sz val="9"/>
            <color indexed="81"/>
            <rFont val="ＭＳ Ｐゴシック"/>
            <family val="3"/>
            <charset val="128"/>
          </rPr>
          <t>整数：整数部の桁数を入力
文字型の時：文字数
数値型の時：バイト数</t>
        </r>
      </text>
    </comment>
    <comment ref="AE6" authorId="0" shapeId="0">
      <text>
        <r>
          <rPr>
            <sz val="9"/>
            <color indexed="81"/>
            <rFont val="ＭＳ Ｐゴシック"/>
            <family val="3"/>
            <charset val="128"/>
          </rPr>
          <t>小数：小数部を桁数を入力</t>
        </r>
      </text>
    </comment>
    <comment ref="AF6" authorId="0" shapeId="0">
      <text>
        <r>
          <rPr>
            <sz val="9"/>
            <color indexed="81"/>
            <rFont val="ＭＳ Ｐゴシック"/>
            <family val="3"/>
            <charset val="128"/>
          </rPr>
          <t>ＰＫ：プライマリキー
主キーを入力</t>
        </r>
      </text>
    </comment>
    <comment ref="AG6" authorId="0" shapeId="0">
      <text>
        <r>
          <rPr>
            <sz val="9"/>
            <color indexed="81"/>
            <rFont val="ＭＳ Ｐゴシック"/>
            <family val="3"/>
            <charset val="128"/>
          </rPr>
          <t>ＮＮ：Ｎｏｔ Ｎｕｌｌ
Ｎｕｌｌを許可しないものに「＊」を入力</t>
        </r>
      </text>
    </comment>
    <comment ref="AH6" authorId="0" shapeId="0">
      <text>
        <r>
          <rPr>
            <sz val="9"/>
            <color indexed="81"/>
            <rFont val="ＭＳ Ｐゴシック"/>
            <family val="3"/>
            <charset val="128"/>
          </rPr>
          <t>ＤＦ：デフォルト値
数値の時：０
文字の時：空白
を入力</t>
        </r>
      </text>
    </comment>
    <comment ref="AI6" authorId="0" shapeId="0">
      <text>
        <r>
          <rPr>
            <sz val="9"/>
            <color indexed="81"/>
            <rFont val="ＭＳ Ｐゴシック"/>
            <family val="3"/>
            <charset val="128"/>
          </rPr>
          <t xml:space="preserve">インデックス
（５個まで表示）
</t>
        </r>
      </text>
    </comment>
  </commentList>
</comments>
</file>

<file path=xl/comments14.xml><?xml version="1.0" encoding="utf-8"?>
<comments xmlns="http://schemas.openxmlformats.org/spreadsheetml/2006/main">
  <authors>
    <author>shida</author>
  </authors>
  <commentList>
    <comment ref="AD6" authorId="0" shapeId="0">
      <text>
        <r>
          <rPr>
            <sz val="9"/>
            <color indexed="81"/>
            <rFont val="ＭＳ Ｐゴシック"/>
            <family val="3"/>
            <charset val="128"/>
          </rPr>
          <t>整数：整数部の桁数を入力
文字型の時：文字数
数値型の時：バイト数</t>
        </r>
      </text>
    </comment>
    <comment ref="AE6" authorId="0" shapeId="0">
      <text>
        <r>
          <rPr>
            <sz val="9"/>
            <color indexed="81"/>
            <rFont val="ＭＳ Ｐゴシック"/>
            <family val="3"/>
            <charset val="128"/>
          </rPr>
          <t>小数：小数部を桁数を入力</t>
        </r>
      </text>
    </comment>
    <comment ref="AF6" authorId="0" shapeId="0">
      <text>
        <r>
          <rPr>
            <sz val="9"/>
            <color indexed="81"/>
            <rFont val="ＭＳ Ｐゴシック"/>
            <family val="3"/>
            <charset val="128"/>
          </rPr>
          <t>ＰＫ：プライマリキー
主キーを入力</t>
        </r>
      </text>
    </comment>
    <comment ref="AG6" authorId="0" shapeId="0">
      <text>
        <r>
          <rPr>
            <sz val="9"/>
            <color indexed="81"/>
            <rFont val="ＭＳ Ｐゴシック"/>
            <family val="3"/>
            <charset val="128"/>
          </rPr>
          <t>ＮＮ：Ｎｏｔ Ｎｕｌｌ
Ｎｕｌｌを許可しないものに「＊」を入力</t>
        </r>
      </text>
    </comment>
    <comment ref="AH6" authorId="0" shapeId="0">
      <text>
        <r>
          <rPr>
            <sz val="9"/>
            <color indexed="81"/>
            <rFont val="ＭＳ Ｐゴシック"/>
            <family val="3"/>
            <charset val="128"/>
          </rPr>
          <t>ＤＦ：デフォルト値
数値の時：０
文字の時：空白
を入力</t>
        </r>
      </text>
    </comment>
    <comment ref="AI6" authorId="0" shapeId="0">
      <text>
        <r>
          <rPr>
            <sz val="9"/>
            <color indexed="81"/>
            <rFont val="ＭＳ Ｐゴシック"/>
            <family val="3"/>
            <charset val="128"/>
          </rPr>
          <t xml:space="preserve">インデックス
（５個まで表示）
</t>
        </r>
      </text>
    </comment>
  </commentList>
</comments>
</file>

<file path=xl/comments15.xml><?xml version="1.0" encoding="utf-8"?>
<comments xmlns="http://schemas.openxmlformats.org/spreadsheetml/2006/main">
  <authors>
    <author>shida</author>
  </authors>
  <commentList>
    <comment ref="AD6" authorId="0" shapeId="0">
      <text>
        <r>
          <rPr>
            <sz val="9"/>
            <color indexed="81"/>
            <rFont val="ＭＳ Ｐゴシック"/>
            <family val="3"/>
            <charset val="128"/>
          </rPr>
          <t>整数：整数部の桁数を入力
文字型の時：文字数
数値型の時：バイト数</t>
        </r>
      </text>
    </comment>
    <comment ref="AE6" authorId="0" shapeId="0">
      <text>
        <r>
          <rPr>
            <sz val="9"/>
            <color indexed="81"/>
            <rFont val="ＭＳ Ｐゴシック"/>
            <family val="3"/>
            <charset val="128"/>
          </rPr>
          <t>小数：小数部を桁数を入力</t>
        </r>
      </text>
    </comment>
    <comment ref="AF6" authorId="0" shapeId="0">
      <text>
        <r>
          <rPr>
            <sz val="9"/>
            <color indexed="81"/>
            <rFont val="ＭＳ Ｐゴシック"/>
            <family val="3"/>
            <charset val="128"/>
          </rPr>
          <t>ＰＫ：プライマリキー
主キーを入力</t>
        </r>
      </text>
    </comment>
    <comment ref="AG6" authorId="0" shapeId="0">
      <text>
        <r>
          <rPr>
            <sz val="9"/>
            <color indexed="81"/>
            <rFont val="ＭＳ Ｐゴシック"/>
            <family val="3"/>
            <charset val="128"/>
          </rPr>
          <t>ＮＮ：Ｎｏｔ Ｎｕｌｌ
Ｎｕｌｌを許可しないものに「＊」を入力</t>
        </r>
      </text>
    </comment>
    <comment ref="AH6" authorId="0" shapeId="0">
      <text>
        <r>
          <rPr>
            <sz val="9"/>
            <color indexed="81"/>
            <rFont val="ＭＳ Ｐゴシック"/>
            <family val="3"/>
            <charset val="128"/>
          </rPr>
          <t>ＤＦ：デフォルト値
数値の時：０
文字の時：空白
を入力</t>
        </r>
      </text>
    </comment>
    <comment ref="AI6" authorId="0" shapeId="0">
      <text>
        <r>
          <rPr>
            <sz val="9"/>
            <color indexed="81"/>
            <rFont val="ＭＳ Ｐゴシック"/>
            <family val="3"/>
            <charset val="128"/>
          </rPr>
          <t xml:space="preserve">インデックス
（５個まで表示）
</t>
        </r>
      </text>
    </comment>
  </commentList>
</comments>
</file>

<file path=xl/comments16.xml><?xml version="1.0" encoding="utf-8"?>
<comments xmlns="http://schemas.openxmlformats.org/spreadsheetml/2006/main">
  <authors>
    <author>shida</author>
  </authors>
  <commentList>
    <comment ref="AD6" authorId="0" shapeId="0">
      <text>
        <r>
          <rPr>
            <sz val="9"/>
            <color indexed="81"/>
            <rFont val="ＭＳ Ｐゴシック"/>
            <family val="3"/>
            <charset val="128"/>
          </rPr>
          <t>整数：整数部の桁数を入力
文字型の時：文字数
数値型の時：バイト数</t>
        </r>
      </text>
    </comment>
    <comment ref="AE6" authorId="0" shapeId="0">
      <text>
        <r>
          <rPr>
            <sz val="9"/>
            <color indexed="81"/>
            <rFont val="ＭＳ Ｐゴシック"/>
            <family val="3"/>
            <charset val="128"/>
          </rPr>
          <t>小数：小数部を桁数を入力</t>
        </r>
      </text>
    </comment>
    <comment ref="AF6" authorId="0" shapeId="0">
      <text>
        <r>
          <rPr>
            <sz val="9"/>
            <color indexed="81"/>
            <rFont val="ＭＳ Ｐゴシック"/>
            <family val="3"/>
            <charset val="128"/>
          </rPr>
          <t>ＰＫ：プライマリキー
主キーを入力</t>
        </r>
      </text>
    </comment>
    <comment ref="AG6" authorId="0" shapeId="0">
      <text>
        <r>
          <rPr>
            <sz val="9"/>
            <color indexed="81"/>
            <rFont val="ＭＳ Ｐゴシック"/>
            <family val="3"/>
            <charset val="128"/>
          </rPr>
          <t>ＮＮ：Ｎｏｔ Ｎｕｌｌ
Ｎｕｌｌを許可しないものに「＊」を入力</t>
        </r>
      </text>
    </comment>
    <comment ref="AH6" authorId="0" shapeId="0">
      <text>
        <r>
          <rPr>
            <sz val="9"/>
            <color indexed="81"/>
            <rFont val="ＭＳ Ｐゴシック"/>
            <family val="3"/>
            <charset val="128"/>
          </rPr>
          <t>ＤＦ：デフォルト値
数値の時：０
文字の時：空白
を入力</t>
        </r>
      </text>
    </comment>
    <comment ref="AI6" authorId="0" shapeId="0">
      <text>
        <r>
          <rPr>
            <sz val="9"/>
            <color indexed="81"/>
            <rFont val="ＭＳ Ｐゴシック"/>
            <family val="3"/>
            <charset val="128"/>
          </rPr>
          <t xml:space="preserve">インデックス
（５個まで表示）
</t>
        </r>
      </text>
    </comment>
  </commentList>
</comments>
</file>

<file path=xl/comments17.xml><?xml version="1.0" encoding="utf-8"?>
<comments xmlns="http://schemas.openxmlformats.org/spreadsheetml/2006/main">
  <authors>
    <author>shida</author>
  </authors>
  <commentList>
    <comment ref="AD6" authorId="0" shapeId="0">
      <text>
        <r>
          <rPr>
            <sz val="9"/>
            <color indexed="81"/>
            <rFont val="ＭＳ Ｐゴシック"/>
            <family val="3"/>
            <charset val="128"/>
          </rPr>
          <t>整数：整数部の桁数を入力
文字型の時：文字数
数値型の時：バイト数</t>
        </r>
      </text>
    </comment>
    <comment ref="AE6" authorId="0" shapeId="0">
      <text>
        <r>
          <rPr>
            <sz val="9"/>
            <color indexed="81"/>
            <rFont val="ＭＳ Ｐゴシック"/>
            <family val="3"/>
            <charset val="128"/>
          </rPr>
          <t>小数：小数部を桁数を入力</t>
        </r>
      </text>
    </comment>
    <comment ref="AF6" authorId="0" shapeId="0">
      <text>
        <r>
          <rPr>
            <sz val="9"/>
            <color indexed="81"/>
            <rFont val="ＭＳ Ｐゴシック"/>
            <family val="3"/>
            <charset val="128"/>
          </rPr>
          <t>ＰＫ：プライマリキー
主キーを入力</t>
        </r>
      </text>
    </comment>
    <comment ref="AG6" authorId="0" shapeId="0">
      <text>
        <r>
          <rPr>
            <sz val="9"/>
            <color indexed="81"/>
            <rFont val="ＭＳ Ｐゴシック"/>
            <family val="3"/>
            <charset val="128"/>
          </rPr>
          <t>ＮＮ：Ｎｏｔ Ｎｕｌｌ
Ｎｕｌｌを許可しないものに「＊」を入力</t>
        </r>
      </text>
    </comment>
    <comment ref="AH6" authorId="0" shapeId="0">
      <text>
        <r>
          <rPr>
            <sz val="9"/>
            <color indexed="81"/>
            <rFont val="ＭＳ Ｐゴシック"/>
            <family val="3"/>
            <charset val="128"/>
          </rPr>
          <t>ＤＦ：デフォルト値
数値の時：０
文字の時：空白
を入力</t>
        </r>
      </text>
    </comment>
    <comment ref="AI6" authorId="0" shapeId="0">
      <text>
        <r>
          <rPr>
            <sz val="9"/>
            <color indexed="81"/>
            <rFont val="ＭＳ Ｐゴシック"/>
            <family val="3"/>
            <charset val="128"/>
          </rPr>
          <t xml:space="preserve">インデックス
（５個まで表示）
</t>
        </r>
      </text>
    </comment>
  </commentList>
</comments>
</file>

<file path=xl/comments18.xml><?xml version="1.0" encoding="utf-8"?>
<comments xmlns="http://schemas.openxmlformats.org/spreadsheetml/2006/main">
  <authors>
    <author>shida</author>
  </authors>
  <commentList>
    <comment ref="AD6" authorId="0" shapeId="0">
      <text>
        <r>
          <rPr>
            <sz val="9"/>
            <color indexed="81"/>
            <rFont val="ＭＳ Ｐゴシック"/>
            <family val="3"/>
            <charset val="128"/>
          </rPr>
          <t>整数：整数部の桁数を入力
文字型の時：文字数
数値型の時：バイト数</t>
        </r>
      </text>
    </comment>
    <comment ref="AE6" authorId="0" shapeId="0">
      <text>
        <r>
          <rPr>
            <sz val="9"/>
            <color indexed="81"/>
            <rFont val="ＭＳ Ｐゴシック"/>
            <family val="3"/>
            <charset val="128"/>
          </rPr>
          <t>小数：小数部を桁数を入力</t>
        </r>
      </text>
    </comment>
    <comment ref="AF6" authorId="0" shapeId="0">
      <text>
        <r>
          <rPr>
            <sz val="9"/>
            <color indexed="81"/>
            <rFont val="ＭＳ Ｐゴシック"/>
            <family val="3"/>
            <charset val="128"/>
          </rPr>
          <t>ＰＫ：プライマリキー
主キーを入力</t>
        </r>
      </text>
    </comment>
    <comment ref="AG6" authorId="0" shapeId="0">
      <text>
        <r>
          <rPr>
            <sz val="9"/>
            <color indexed="81"/>
            <rFont val="ＭＳ Ｐゴシック"/>
            <family val="3"/>
            <charset val="128"/>
          </rPr>
          <t>ＮＮ：Ｎｏｔ Ｎｕｌｌ
Ｎｕｌｌを許可しないものに「＊」を入力</t>
        </r>
      </text>
    </comment>
    <comment ref="AH6" authorId="0" shapeId="0">
      <text>
        <r>
          <rPr>
            <sz val="9"/>
            <color indexed="81"/>
            <rFont val="ＭＳ Ｐゴシック"/>
            <family val="3"/>
            <charset val="128"/>
          </rPr>
          <t>ＤＦ：デフォルト値
数値の時：０
文字の時：空白
を入力</t>
        </r>
      </text>
    </comment>
    <comment ref="AI6" authorId="0" shapeId="0">
      <text>
        <r>
          <rPr>
            <sz val="9"/>
            <color indexed="81"/>
            <rFont val="ＭＳ Ｐゴシック"/>
            <family val="3"/>
            <charset val="128"/>
          </rPr>
          <t xml:space="preserve">インデックス
（５個まで表示）
</t>
        </r>
      </text>
    </comment>
  </commentList>
</comments>
</file>

<file path=xl/comments19.xml><?xml version="1.0" encoding="utf-8"?>
<comments xmlns="http://schemas.openxmlformats.org/spreadsheetml/2006/main">
  <authors>
    <author>shida</author>
  </authors>
  <commentList>
    <comment ref="AD6" authorId="0" shapeId="0">
      <text>
        <r>
          <rPr>
            <sz val="9"/>
            <color indexed="81"/>
            <rFont val="ＭＳ Ｐゴシック"/>
            <family val="3"/>
            <charset val="128"/>
          </rPr>
          <t>整数：整数部の桁数を入力
文字型の時：文字数
数値型の時：バイト数</t>
        </r>
      </text>
    </comment>
    <comment ref="AE6" authorId="0" shapeId="0">
      <text>
        <r>
          <rPr>
            <sz val="9"/>
            <color indexed="81"/>
            <rFont val="ＭＳ Ｐゴシック"/>
            <family val="3"/>
            <charset val="128"/>
          </rPr>
          <t>小数：小数部を桁数を入力</t>
        </r>
      </text>
    </comment>
    <comment ref="AF6" authorId="0" shapeId="0">
      <text>
        <r>
          <rPr>
            <sz val="9"/>
            <color indexed="81"/>
            <rFont val="ＭＳ Ｐゴシック"/>
            <family val="3"/>
            <charset val="128"/>
          </rPr>
          <t>ＰＫ：プライマリキー
主キーを入力</t>
        </r>
      </text>
    </comment>
    <comment ref="AG6" authorId="0" shapeId="0">
      <text>
        <r>
          <rPr>
            <sz val="9"/>
            <color indexed="81"/>
            <rFont val="ＭＳ Ｐゴシック"/>
            <family val="3"/>
            <charset val="128"/>
          </rPr>
          <t>ＮＮ：Ｎｏｔ Ｎｕｌｌ
Ｎｕｌｌを許可しないものに「＊」を入力</t>
        </r>
      </text>
    </comment>
    <comment ref="AH6" authorId="0" shapeId="0">
      <text>
        <r>
          <rPr>
            <sz val="9"/>
            <color indexed="81"/>
            <rFont val="ＭＳ Ｐゴシック"/>
            <family val="3"/>
            <charset val="128"/>
          </rPr>
          <t>ＤＦ：デフォルト値
数値の時：０
文字の時：空白
を入力</t>
        </r>
      </text>
    </comment>
    <comment ref="AI6" authorId="0" shapeId="0">
      <text>
        <r>
          <rPr>
            <sz val="9"/>
            <color indexed="81"/>
            <rFont val="ＭＳ Ｐゴシック"/>
            <family val="3"/>
            <charset val="128"/>
          </rPr>
          <t xml:space="preserve">インデックス
（５個まで表示）
</t>
        </r>
      </text>
    </comment>
  </commentList>
</comments>
</file>

<file path=xl/comments20.xml><?xml version="1.0" encoding="utf-8"?>
<comments xmlns="http://schemas.openxmlformats.org/spreadsheetml/2006/main">
  <authors>
    <author>shida</author>
  </authors>
  <commentList>
    <comment ref="AD6" authorId="0" shapeId="0">
      <text>
        <r>
          <rPr>
            <sz val="9"/>
            <color indexed="81"/>
            <rFont val="ＭＳ Ｐゴシック"/>
            <family val="3"/>
            <charset val="128"/>
          </rPr>
          <t>整数：整数部の桁数を入力
文字型の時：文字数
数値型の時：バイト数</t>
        </r>
      </text>
    </comment>
    <comment ref="AE6" authorId="0" shapeId="0">
      <text>
        <r>
          <rPr>
            <sz val="9"/>
            <color indexed="81"/>
            <rFont val="ＭＳ Ｐゴシック"/>
            <family val="3"/>
            <charset val="128"/>
          </rPr>
          <t>小数：小数部を桁数を入力</t>
        </r>
      </text>
    </comment>
    <comment ref="AF6" authorId="0" shapeId="0">
      <text>
        <r>
          <rPr>
            <sz val="9"/>
            <color indexed="81"/>
            <rFont val="ＭＳ Ｐゴシック"/>
            <family val="3"/>
            <charset val="128"/>
          </rPr>
          <t>ＰＫ：プライマリキー
主キーを入力</t>
        </r>
      </text>
    </comment>
    <comment ref="AG6" authorId="0" shapeId="0">
      <text>
        <r>
          <rPr>
            <sz val="9"/>
            <color indexed="81"/>
            <rFont val="ＭＳ Ｐゴシック"/>
            <family val="3"/>
            <charset val="128"/>
          </rPr>
          <t>ＮＮ：Ｎｏｔ Ｎｕｌｌ
Ｎｕｌｌを許可しないものに「＊」を入力</t>
        </r>
      </text>
    </comment>
    <comment ref="AH6" authorId="0" shapeId="0">
      <text>
        <r>
          <rPr>
            <sz val="9"/>
            <color indexed="81"/>
            <rFont val="ＭＳ Ｐゴシック"/>
            <family val="3"/>
            <charset val="128"/>
          </rPr>
          <t>ＤＦ：デフォルト値
数値の時：０
文字の時：空白
を入力</t>
        </r>
      </text>
    </comment>
    <comment ref="AI6" authorId="0" shapeId="0">
      <text>
        <r>
          <rPr>
            <sz val="9"/>
            <color indexed="81"/>
            <rFont val="ＭＳ Ｐゴシック"/>
            <family val="3"/>
            <charset val="128"/>
          </rPr>
          <t xml:space="preserve">インデックス
（５個まで表示）
</t>
        </r>
      </text>
    </comment>
  </commentList>
</comments>
</file>

<file path=xl/comments21.xml><?xml version="1.0" encoding="utf-8"?>
<comments xmlns="http://schemas.openxmlformats.org/spreadsheetml/2006/main">
  <authors>
    <author>shida</author>
  </authors>
  <commentList>
    <comment ref="AD6" authorId="0" shapeId="0">
      <text>
        <r>
          <rPr>
            <sz val="9"/>
            <color indexed="81"/>
            <rFont val="ＭＳ Ｐゴシック"/>
            <family val="3"/>
            <charset val="128"/>
          </rPr>
          <t>整数：整数部の桁数を入力
文字型の時：文字数
数値型の時：バイト数</t>
        </r>
      </text>
    </comment>
    <comment ref="AE6" authorId="0" shapeId="0">
      <text>
        <r>
          <rPr>
            <sz val="9"/>
            <color indexed="81"/>
            <rFont val="ＭＳ Ｐゴシック"/>
            <family val="3"/>
            <charset val="128"/>
          </rPr>
          <t>小数：小数部を桁数を入力</t>
        </r>
      </text>
    </comment>
    <comment ref="AF6" authorId="0" shapeId="0">
      <text>
        <r>
          <rPr>
            <sz val="9"/>
            <color indexed="81"/>
            <rFont val="ＭＳ Ｐゴシック"/>
            <family val="3"/>
            <charset val="128"/>
          </rPr>
          <t>ＰＫ：プライマリキー
主キーを入力</t>
        </r>
      </text>
    </comment>
    <comment ref="AG6" authorId="0" shapeId="0">
      <text>
        <r>
          <rPr>
            <sz val="9"/>
            <color indexed="81"/>
            <rFont val="ＭＳ Ｐゴシック"/>
            <family val="3"/>
            <charset val="128"/>
          </rPr>
          <t>ＮＮ：Ｎｏｔ Ｎｕｌｌ
Ｎｕｌｌを許可しないものに「＊」を入力</t>
        </r>
      </text>
    </comment>
    <comment ref="AH6" authorId="0" shapeId="0">
      <text>
        <r>
          <rPr>
            <sz val="9"/>
            <color indexed="81"/>
            <rFont val="ＭＳ Ｐゴシック"/>
            <family val="3"/>
            <charset val="128"/>
          </rPr>
          <t>ＤＦ：デフォルト値
数値の時：０
文字の時：空白
を入力</t>
        </r>
      </text>
    </comment>
    <comment ref="AI6" authorId="0" shapeId="0">
      <text>
        <r>
          <rPr>
            <sz val="9"/>
            <color indexed="81"/>
            <rFont val="ＭＳ Ｐゴシック"/>
            <family val="3"/>
            <charset val="128"/>
          </rPr>
          <t xml:space="preserve">インデックス
（５個まで表示）
</t>
        </r>
      </text>
    </comment>
  </commentList>
</comments>
</file>

<file path=xl/comments22.xml><?xml version="1.0" encoding="utf-8"?>
<comments xmlns="http://schemas.openxmlformats.org/spreadsheetml/2006/main">
  <authors>
    <author>shida</author>
  </authors>
  <commentList>
    <comment ref="AD6" authorId="0" shapeId="0">
      <text>
        <r>
          <rPr>
            <sz val="9"/>
            <color indexed="81"/>
            <rFont val="ＭＳ Ｐゴシック"/>
            <family val="3"/>
            <charset val="128"/>
          </rPr>
          <t>整数：整数部の桁数を入力
文字型の時：文字数
数値型の時：バイト数</t>
        </r>
      </text>
    </comment>
    <comment ref="AE6" authorId="0" shapeId="0">
      <text>
        <r>
          <rPr>
            <sz val="9"/>
            <color indexed="81"/>
            <rFont val="ＭＳ Ｐゴシック"/>
            <family val="3"/>
            <charset val="128"/>
          </rPr>
          <t>小数：小数部を桁数を入力</t>
        </r>
      </text>
    </comment>
    <comment ref="AF6" authorId="0" shapeId="0">
      <text>
        <r>
          <rPr>
            <sz val="9"/>
            <color indexed="81"/>
            <rFont val="ＭＳ Ｐゴシック"/>
            <family val="3"/>
            <charset val="128"/>
          </rPr>
          <t>ＰＫ：プライマリキー
主キーを入力</t>
        </r>
      </text>
    </comment>
    <comment ref="AG6" authorId="0" shapeId="0">
      <text>
        <r>
          <rPr>
            <sz val="9"/>
            <color indexed="81"/>
            <rFont val="ＭＳ Ｐゴシック"/>
            <family val="3"/>
            <charset val="128"/>
          </rPr>
          <t>ＮＮ：Ｎｏｔ Ｎｕｌｌ
Ｎｕｌｌを許可しないものに「＊」を入力</t>
        </r>
      </text>
    </comment>
    <comment ref="AH6" authorId="0" shapeId="0">
      <text>
        <r>
          <rPr>
            <sz val="9"/>
            <color indexed="81"/>
            <rFont val="ＭＳ Ｐゴシック"/>
            <family val="3"/>
            <charset val="128"/>
          </rPr>
          <t>ＤＦ：デフォルト値
数値の時：０
文字の時：空白
を入力</t>
        </r>
      </text>
    </comment>
    <comment ref="AI6" authorId="0" shapeId="0">
      <text>
        <r>
          <rPr>
            <sz val="9"/>
            <color indexed="81"/>
            <rFont val="ＭＳ Ｐゴシック"/>
            <family val="3"/>
            <charset val="128"/>
          </rPr>
          <t xml:space="preserve">インデックス
（５個まで表示）
</t>
        </r>
      </text>
    </comment>
  </commentList>
</comments>
</file>

<file path=xl/sharedStrings.xml><?xml version="1.0" encoding="utf-8"?>
<sst xmlns="http://schemas.openxmlformats.org/spreadsheetml/2006/main" count="13301" uniqueCount="1601">
  <si>
    <t>Sub 項目生成()</t>
  </si>
  <si>
    <t>Dim iSheet  As Integer</t>
  </si>
  <si>
    <t>Dim i       As Integer</t>
  </si>
  <si>
    <t>Dim j       As Integer</t>
  </si>
  <si>
    <t>Dim flg     As Boolean</t>
  </si>
  <si>
    <t>Dim wsheet1 As Worksheet</t>
  </si>
  <si>
    <t>Dim wsheet2 As Worksheet</t>
  </si>
  <si>
    <t>Dim iRow    As Integer</t>
  </si>
  <si>
    <t>Dim MaxRow  As Integer</t>
  </si>
  <si>
    <t>Set wsheet1 = Sheets("項目一覧")</t>
  </si>
  <si>
    <t>iRow = 3</t>
  </si>
  <si>
    <t>For i = 1 To Worksheets.Count  '</t>
  </si>
  <si>
    <t xml:space="preserve">    flg = False</t>
  </si>
  <si>
    <t xml:space="preserve">    If Worksheets(i).Name = "Salesforce連携一覧" Then</t>
  </si>
  <si>
    <t xml:space="preserve">        flg = True</t>
  </si>
  <si>
    <t xml:space="preserve">    End If</t>
  </si>
  <si>
    <t xml:space="preserve">    If Worksheets(i).Name = "施設担当者" Then</t>
  </si>
  <si>
    <t xml:space="preserve">    If Worksheets(i).Name = "ユーザ" Then</t>
  </si>
  <si>
    <t xml:space="preserve">    If Worksheets(i).Name = "項目一覧" Then</t>
  </si>
  <si>
    <t xml:space="preserve">    If Worksheets(i).Name = "項目一覧 (項目別)" Then</t>
  </si>
  <si>
    <t xml:space="preserve">    If Worksheets(i).Name = "マクロ" Then</t>
  </si>
  <si>
    <t xml:space="preserve">    If Worksheets(i).Name = "ＩＦマスタ一覧" Then</t>
  </si>
  <si>
    <t xml:space="preserve">    </t>
  </si>
  <si>
    <t xml:space="preserve">    If flg = False Then</t>
  </si>
  <si>
    <t xml:space="preserve">        Set wsheet2 = Sheets(Worksheets(i).Name)</t>
  </si>
  <si>
    <t xml:space="preserve">        MaxRow = wsheet2.Cells(Rows.Count, 1).End(xlUp).Row</t>
  </si>
  <si>
    <t xml:space="preserve">        For j = 8 To MaxRow</t>
  </si>
  <si>
    <t xml:space="preserve">            iRow = iRow + 1</t>
  </si>
  <si>
    <t xml:space="preserve">            wsheet1.Cells(iRow, 2) = Worksheets(i).Name</t>
  </si>
  <si>
    <t xml:space="preserve">            wsheet1.Cells(iRow, 3) = wsheet2.Cells(j, 3)</t>
  </si>
  <si>
    <t xml:space="preserve">            wsheet1.Cells(iRow, 4) = wsheet2.Cells(j, 13)</t>
  </si>
  <si>
    <t xml:space="preserve">            wsheet1.Cells(iRow, 5) = wsheet2.Cells(j, 27)</t>
  </si>
  <si>
    <t xml:space="preserve">            wsheet1.Cells(iRow, 6) = wsheet2.Cells(j, 31)</t>
  </si>
  <si>
    <t xml:space="preserve">            wsheet1.Cells(iRow, 7) = wsheet2.Cells(j, 38)</t>
  </si>
  <si>
    <t xml:space="preserve">            wsheet1.Cells(iRow, 8) = wsheet2.Cells(j, 39)</t>
  </si>
  <si>
    <t xml:space="preserve">            If wsheet2.Cells(j, 3).Interior.Color = RGB(191, 191, 191) Then</t>
  </si>
  <si>
    <t xml:space="preserve">                wsheet1.Cells(iRow, 9) = "×"</t>
  </si>
  <si>
    <t xml:space="preserve">            End If</t>
  </si>
  <si>
    <t xml:space="preserve">            If wsheet2.Cells(j, 3).Interior.Color = RGB(255, 204, 255) Then</t>
  </si>
  <si>
    <t xml:space="preserve">                wsheet1.Cells(iRow, 9) = "●"</t>
  </si>
  <si>
    <t xml:space="preserve">            If wsheet2.Cells(j, 3).Interior.Color = RGB(255, 255, 255) Then</t>
  </si>
  <si>
    <t xml:space="preserve">                wsheet1.Cells(iRow, 9) = "○"</t>
  </si>
  <si>
    <t xml:space="preserve">                </t>
  </si>
  <si>
    <t xml:space="preserve">        Next j</t>
  </si>
  <si>
    <t>Next i</t>
  </si>
  <si>
    <t>MsgBox ("完了")</t>
  </si>
  <si>
    <t>End Sub</t>
  </si>
  <si>
    <t>Sub 項目編集()</t>
  </si>
  <si>
    <t>Dim MaxRowj  As Integer</t>
  </si>
  <si>
    <t>Dim sSheetName As String</t>
  </si>
  <si>
    <t>Set wsheet1 = Sheets("項目一覧 (項目別)")</t>
  </si>
  <si>
    <t>MaxRow = wsheet1.Cells(Rows.Count, 1).End(xlUp).Row</t>
  </si>
  <si>
    <t>For i = 4 To MaxRow</t>
  </si>
  <si>
    <t xml:space="preserve">    sSheetName = wsheet1.Cells(i, 2)</t>
  </si>
  <si>
    <t xml:space="preserve">    Set wsheet2 = Sheets(sSheetName)</t>
  </si>
  <si>
    <t xml:space="preserve">    MaxRowj = wsheet2.Cells(Rows.Count, 1).End(xlUp).Row</t>
  </si>
  <si>
    <t xml:space="preserve">    For j = 1 To MaxRowj</t>
  </si>
  <si>
    <t xml:space="preserve">        If Trim(wsheet1.Cells(i, 3)) = Trim(wsheet2.Cells(j, 3)) Then</t>
  </si>
  <si>
    <t xml:space="preserve">            wsheet2.Cells(j, 13) = wsheet1.Cells(i, 4)</t>
  </si>
  <si>
    <t xml:space="preserve">            wsheet2.Cells(j, 27) = wsheet1.Cells(i, 5)</t>
  </si>
  <si>
    <t xml:space="preserve">            wsheet2.Cells(j, 31) = wsheet1.Cells(i, 6)</t>
  </si>
  <si>
    <t xml:space="preserve">            wsheet2.Cells(j, 38) = wsheet1.Cells(i, 7)</t>
  </si>
  <si>
    <t xml:space="preserve">            If wsheet1.Cells(i, 8) &lt;&gt; "" Then</t>
  </si>
  <si>
    <t xml:space="preserve">                wsheet2.Cells(j, 39) = wsheet1.Cells(i, 8)</t>
  </si>
  <si>
    <t xml:space="preserve">            Else</t>
  </si>
  <si>
    <t xml:space="preserve">                wsheet2.Cells(j, 39) = ""</t>
  </si>
  <si>
    <t xml:space="preserve">            Exit For</t>
  </si>
  <si>
    <t xml:space="preserve">        End If</t>
  </si>
  <si>
    <t xml:space="preserve">    Next j</t>
  </si>
  <si>
    <t>※</t>
    <phoneticPr fontId="5"/>
  </si>
  <si>
    <t>納品時には、シート「実行シート」　削除</t>
    <rPh sb="0" eb="3">
      <t>ノウヒンジ</t>
    </rPh>
    <rPh sb="10" eb="12">
      <t>ジッコウ</t>
    </rPh>
    <rPh sb="17" eb="19">
      <t>サクジョ</t>
    </rPh>
    <phoneticPr fontId="5"/>
  </si>
  <si>
    <t>フッター　右部　に　シート名＋頁　を設定する</t>
    <rPh sb="5" eb="6">
      <t>ミギ</t>
    </rPh>
    <rPh sb="6" eb="7">
      <t>ブ</t>
    </rPh>
    <rPh sb="13" eb="14">
      <t>メイ</t>
    </rPh>
    <rPh sb="15" eb="16">
      <t>ペイジ</t>
    </rPh>
    <rPh sb="18" eb="20">
      <t>セッテイ</t>
    </rPh>
    <phoneticPr fontId="5"/>
  </si>
  <si>
    <t>各テーブルの項目定義　を　シート「項目一覧」　に集計する</t>
    <rPh sb="0" eb="1">
      <t>カク</t>
    </rPh>
    <rPh sb="6" eb="8">
      <t>コウモク</t>
    </rPh>
    <rPh sb="8" eb="10">
      <t>テイギ</t>
    </rPh>
    <rPh sb="17" eb="19">
      <t>コウモク</t>
    </rPh>
    <rPh sb="19" eb="21">
      <t>イチラン</t>
    </rPh>
    <rPh sb="24" eb="26">
      <t>シュウケイ</t>
    </rPh>
    <phoneticPr fontId="5"/>
  </si>
  <si>
    <t>シート「項目一覧」　より　項目別にソートし、　シート「項目一覧（工程別）」　に　展開する</t>
    <rPh sb="4" eb="6">
      <t>コウモク</t>
    </rPh>
    <rPh sb="6" eb="8">
      <t>イチラン</t>
    </rPh>
    <rPh sb="13" eb="15">
      <t>コウモク</t>
    </rPh>
    <rPh sb="15" eb="16">
      <t>ベツ</t>
    </rPh>
    <rPh sb="27" eb="29">
      <t>コウモク</t>
    </rPh>
    <rPh sb="29" eb="31">
      <t>イチラン</t>
    </rPh>
    <rPh sb="32" eb="34">
      <t>コウテイ</t>
    </rPh>
    <rPh sb="34" eb="35">
      <t>ベツ</t>
    </rPh>
    <rPh sb="40" eb="42">
      <t>テンカイ</t>
    </rPh>
    <phoneticPr fontId="5"/>
  </si>
  <si>
    <t>シート「項目一覧（工程別）」　より　編集した設定値　を　各テーブル項目設定値　に　反映する</t>
    <rPh sb="18" eb="20">
      <t>ヘンシュウ</t>
    </rPh>
    <rPh sb="22" eb="24">
      <t>セッテイ</t>
    </rPh>
    <rPh sb="24" eb="25">
      <t>チ</t>
    </rPh>
    <rPh sb="28" eb="29">
      <t>カク</t>
    </rPh>
    <rPh sb="33" eb="35">
      <t>コウモク</t>
    </rPh>
    <rPh sb="35" eb="37">
      <t>セッテイ</t>
    </rPh>
    <rPh sb="37" eb="38">
      <t>チ</t>
    </rPh>
    <rPh sb="41" eb="43">
      <t>ハンエイ</t>
    </rPh>
    <phoneticPr fontId="5"/>
  </si>
  <si>
    <t>各テーブルのSQL作成</t>
    <rPh sb="0" eb="1">
      <t>カク</t>
    </rPh>
    <rPh sb="9" eb="11">
      <t>サクセイ</t>
    </rPh>
    <phoneticPr fontId="5"/>
  </si>
  <si>
    <t>生産指示情報（原反）</t>
    <rPh sb="7" eb="9">
      <t>ゲンタン</t>
    </rPh>
    <phoneticPr fontId="5"/>
  </si>
  <si>
    <t>テーブルのSQL作成前に　テーブルリスト（設定値）を確認すること</t>
    <rPh sb="10" eb="11">
      <t>マエ</t>
    </rPh>
    <rPh sb="21" eb="23">
      <t>セッテイ</t>
    </rPh>
    <rPh sb="23" eb="24">
      <t>チ</t>
    </rPh>
    <rPh sb="26" eb="28">
      <t>カクニン</t>
    </rPh>
    <phoneticPr fontId="5"/>
  </si>
  <si>
    <t>テーブル項目定義</t>
    <rPh sb="6" eb="8">
      <t>テイギ</t>
    </rPh>
    <phoneticPr fontId="6"/>
  </si>
  <si>
    <t>システム名</t>
    <rPh sb="4" eb="5">
      <t>メイ</t>
    </rPh>
    <phoneticPr fontId="6"/>
  </si>
  <si>
    <t>業務分類名</t>
    <rPh sb="0" eb="2">
      <t>ギョウム</t>
    </rPh>
    <rPh sb="2" eb="4">
      <t>ブンルイ</t>
    </rPh>
    <rPh sb="4" eb="5">
      <t>メイ</t>
    </rPh>
    <phoneticPr fontId="6"/>
  </si>
  <si>
    <t>テーブル分類名</t>
    <rPh sb="4" eb="6">
      <t>ブンルイ</t>
    </rPh>
    <rPh sb="6" eb="7">
      <t>メイ</t>
    </rPh>
    <phoneticPr fontId="6"/>
  </si>
  <si>
    <t>作成/修正日</t>
    <rPh sb="0" eb="2">
      <t>サクセイ</t>
    </rPh>
    <rPh sb="3" eb="5">
      <t>シュウセイ</t>
    </rPh>
    <rPh sb="5" eb="6">
      <t>ビ</t>
    </rPh>
    <phoneticPr fontId="6"/>
  </si>
  <si>
    <t>作成/修正者</t>
    <rPh sb="0" eb="2">
      <t>サクセイ</t>
    </rPh>
    <rPh sb="3" eb="5">
      <t>シュウセイ</t>
    </rPh>
    <rPh sb="5" eb="6">
      <t>シャ</t>
    </rPh>
    <phoneticPr fontId="6"/>
  </si>
  <si>
    <t>版数</t>
    <rPh sb="0" eb="2">
      <t>ハンスウ</t>
    </rPh>
    <phoneticPr fontId="6"/>
  </si>
  <si>
    <t>新基幹システム</t>
    <phoneticPr fontId="5"/>
  </si>
  <si>
    <t>B.生産計画</t>
    <phoneticPr fontId="5"/>
  </si>
  <si>
    <t>トランザクション</t>
    <phoneticPr fontId="5"/>
  </si>
  <si>
    <t>トスコ</t>
    <phoneticPr fontId="5"/>
  </si>
  <si>
    <t>1.0(初版)</t>
    <phoneticPr fontId="5"/>
  </si>
  <si>
    <t>№</t>
    <phoneticPr fontId="6"/>
  </si>
  <si>
    <t>テーブル名</t>
    <rPh sb="4" eb="5">
      <t>メイ</t>
    </rPh>
    <phoneticPr fontId="6"/>
  </si>
  <si>
    <t>テーブルID</t>
    <phoneticPr fontId="6"/>
  </si>
  <si>
    <t>業務分類</t>
    <rPh sb="0" eb="2">
      <t>ギョウム</t>
    </rPh>
    <rPh sb="2" eb="4">
      <t>ブンルイ</t>
    </rPh>
    <phoneticPr fontId="5"/>
  </si>
  <si>
    <t>テーブル概要</t>
    <rPh sb="4" eb="6">
      <t>ガイヨウ</t>
    </rPh>
    <phoneticPr fontId="5"/>
  </si>
  <si>
    <t>生産計画情報（抄紙）</t>
    <rPh sb="0" eb="2">
      <t>セイサン</t>
    </rPh>
    <rPh sb="2" eb="4">
      <t>ケイカク</t>
    </rPh>
    <rPh sb="4" eb="6">
      <t>ジョウホウ</t>
    </rPh>
    <rPh sb="7" eb="9">
      <t>ショウシ</t>
    </rPh>
    <phoneticPr fontId="5"/>
  </si>
  <si>
    <t>t_seisan_keikaku_pm</t>
    <phoneticPr fontId="5"/>
  </si>
  <si>
    <t>B.生産計画</t>
  </si>
  <si>
    <t>生産計画情報（熱加工）</t>
    <rPh sb="0" eb="2">
      <t>セイサン</t>
    </rPh>
    <rPh sb="2" eb="4">
      <t>ケイカク</t>
    </rPh>
    <rPh sb="4" eb="6">
      <t>ジョウホウ</t>
    </rPh>
    <rPh sb="7" eb="8">
      <t>ネツ</t>
    </rPh>
    <rPh sb="8" eb="10">
      <t>カコウ</t>
    </rPh>
    <phoneticPr fontId="5"/>
  </si>
  <si>
    <t>t_seisan_keikaku_hc</t>
    <phoneticPr fontId="5"/>
  </si>
  <si>
    <t>生産計画情報（加工CM）</t>
    <rPh sb="0" eb="2">
      <t>セイサン</t>
    </rPh>
    <rPh sb="2" eb="4">
      <t>ケイカク</t>
    </rPh>
    <rPh sb="4" eb="6">
      <t>ジョウホウ</t>
    </rPh>
    <rPh sb="7" eb="9">
      <t>カコウ</t>
    </rPh>
    <phoneticPr fontId="5"/>
  </si>
  <si>
    <t>t_seisan_keikaku_cm</t>
    <phoneticPr fontId="5"/>
  </si>
  <si>
    <t>生産計画情報（加工SC）</t>
    <rPh sb="0" eb="2">
      <t>セイサン</t>
    </rPh>
    <rPh sb="2" eb="4">
      <t>ケイカク</t>
    </rPh>
    <rPh sb="4" eb="6">
      <t>ジョウホウ</t>
    </rPh>
    <rPh sb="7" eb="9">
      <t>カコウ</t>
    </rPh>
    <phoneticPr fontId="5"/>
  </si>
  <si>
    <t>t_seisan_keikaku_sc</t>
    <phoneticPr fontId="5"/>
  </si>
  <si>
    <t>生産計画情報（コーヒーフィルタ）</t>
    <rPh sb="0" eb="2">
      <t>セイサン</t>
    </rPh>
    <rPh sb="2" eb="4">
      <t>ケイカク</t>
    </rPh>
    <rPh sb="4" eb="6">
      <t>ジョウホウ</t>
    </rPh>
    <phoneticPr fontId="5"/>
  </si>
  <si>
    <t>t_seisan_keikaku_cf</t>
    <phoneticPr fontId="5"/>
  </si>
  <si>
    <t>生産計画情報（パッケージ工場）</t>
    <rPh sb="0" eb="2">
      <t>セイサン</t>
    </rPh>
    <rPh sb="2" eb="4">
      <t>ケイカク</t>
    </rPh>
    <rPh sb="4" eb="6">
      <t>ジョウホウ</t>
    </rPh>
    <rPh sb="12" eb="14">
      <t>コウジョウ</t>
    </rPh>
    <phoneticPr fontId="5"/>
  </si>
  <si>
    <t>t_seisan_keikaku_pk</t>
    <phoneticPr fontId="5"/>
  </si>
  <si>
    <t>生産計画情報（WD工場）</t>
    <rPh sb="0" eb="2">
      <t>セイサン</t>
    </rPh>
    <rPh sb="2" eb="4">
      <t>ケイカク</t>
    </rPh>
    <rPh sb="4" eb="6">
      <t>ジョウホウ</t>
    </rPh>
    <rPh sb="9" eb="11">
      <t>コウジョウ</t>
    </rPh>
    <phoneticPr fontId="5"/>
  </si>
  <si>
    <t>t_seisan_keikaku_wd</t>
  </si>
  <si>
    <t>生産計画情報（外注加工）</t>
    <rPh sb="0" eb="2">
      <t>セイサン</t>
    </rPh>
    <rPh sb="2" eb="4">
      <t>ケイカク</t>
    </rPh>
    <rPh sb="4" eb="6">
      <t>ジョウホウ</t>
    </rPh>
    <rPh sb="7" eb="9">
      <t>ガイチュウ</t>
    </rPh>
    <rPh sb="9" eb="11">
      <t>カコウ</t>
    </rPh>
    <phoneticPr fontId="5"/>
  </si>
  <si>
    <t>t_seisan_keikaku_gk</t>
    <phoneticPr fontId="5"/>
  </si>
  <si>
    <t>生産指示情報（原材料）</t>
  </si>
  <si>
    <t>t_seisan_shiji_genzairyo</t>
  </si>
  <si>
    <t>生産指示明細情報（原材料）</t>
  </si>
  <si>
    <t>t_seisan_shiji_genzairyo_m</t>
  </si>
  <si>
    <t>生産指示情報（薬品）</t>
    <rPh sb="7" eb="9">
      <t>ヤクヒン</t>
    </rPh>
    <phoneticPr fontId="5"/>
  </si>
  <si>
    <t>t_seisan_shiji_yakuhin</t>
  </si>
  <si>
    <t>生産指示明細情報（薬品）</t>
    <rPh sb="9" eb="11">
      <t>ヤクヒン</t>
    </rPh>
    <phoneticPr fontId="5"/>
  </si>
  <si>
    <t>t_seisan_shiji_yakuhin_m</t>
  </si>
  <si>
    <t>生産指示情報（調薬）</t>
    <rPh sb="7" eb="9">
      <t>チョウヤク</t>
    </rPh>
    <phoneticPr fontId="5"/>
  </si>
  <si>
    <t>t_seisan_shiji_choyaku</t>
  </si>
  <si>
    <t>生産指示明細情報（調薬）</t>
    <rPh sb="9" eb="11">
      <t>チョウヤク</t>
    </rPh>
    <phoneticPr fontId="5"/>
  </si>
  <si>
    <t>t_seisan_shiji_choyaku_m</t>
  </si>
  <si>
    <t>t_seisan_shiji_gentan</t>
  </si>
  <si>
    <t>生産指示明細情報（原反）</t>
    <rPh sb="9" eb="11">
      <t>ゲンタン</t>
    </rPh>
    <phoneticPr fontId="5"/>
  </si>
  <si>
    <t>t_seisan_shiji_gentan_m</t>
  </si>
  <si>
    <t>加工依頼情報</t>
    <rPh sb="0" eb="6">
      <t>カコウイライジョウホウ</t>
    </rPh>
    <phoneticPr fontId="5"/>
  </si>
  <si>
    <t>t_kako_irai</t>
    <phoneticPr fontId="5"/>
  </si>
  <si>
    <t>加工依頼明細情報</t>
    <rPh sb="0" eb="2">
      <t>カコウ</t>
    </rPh>
    <rPh sb="2" eb="4">
      <t>イライ</t>
    </rPh>
    <rPh sb="4" eb="6">
      <t>メイサイ</t>
    </rPh>
    <rPh sb="6" eb="8">
      <t>ジョウホウ</t>
    </rPh>
    <phoneticPr fontId="5"/>
  </si>
  <si>
    <t>t_kako_irai_m</t>
    <phoneticPr fontId="5"/>
  </si>
  <si>
    <t>加工依頼明細情報（ロット指定）</t>
    <rPh sb="0" eb="2">
      <t>カコウ</t>
    </rPh>
    <rPh sb="2" eb="4">
      <t>イライ</t>
    </rPh>
    <rPh sb="4" eb="6">
      <t>メイサイ</t>
    </rPh>
    <rPh sb="6" eb="8">
      <t>ジョウホウ</t>
    </rPh>
    <rPh sb="12" eb="14">
      <t>シテイ</t>
    </rPh>
    <phoneticPr fontId="5"/>
  </si>
  <si>
    <t>t_kako_irai_lot</t>
    <phoneticPr fontId="5"/>
  </si>
  <si>
    <t>生産計画項目制御情報</t>
    <rPh sb="0" eb="2">
      <t>セイサン</t>
    </rPh>
    <rPh sb="2" eb="4">
      <t>ケイカク</t>
    </rPh>
    <rPh sb="4" eb="6">
      <t>コウモク</t>
    </rPh>
    <rPh sb="6" eb="8">
      <t>セイギョ</t>
    </rPh>
    <rPh sb="8" eb="10">
      <t>ジョウホウ</t>
    </rPh>
    <phoneticPr fontId="5"/>
  </si>
  <si>
    <t>t_seisan_itemcontrol</t>
    <phoneticPr fontId="5"/>
  </si>
  <si>
    <t>テーブル名／テーブルID</t>
    <rPh sb="4" eb="5">
      <t>メイ</t>
    </rPh>
    <phoneticPr fontId="6"/>
  </si>
  <si>
    <t>項目名</t>
    <rPh sb="0" eb="2">
      <t>コウモク</t>
    </rPh>
    <rPh sb="2" eb="3">
      <t>メイ</t>
    </rPh>
    <phoneticPr fontId="6"/>
  </si>
  <si>
    <t>項目ID</t>
    <rPh sb="0" eb="2">
      <t>コウモク</t>
    </rPh>
    <phoneticPr fontId="6"/>
  </si>
  <si>
    <t>項目コメント</t>
    <rPh sb="0" eb="2">
      <t>コウモク</t>
    </rPh>
    <phoneticPr fontId="5"/>
  </si>
  <si>
    <t>型名</t>
    <rPh sb="0" eb="2">
      <t>カタメイ</t>
    </rPh>
    <phoneticPr fontId="6"/>
  </si>
  <si>
    <t>型</t>
    <rPh sb="0" eb="1">
      <t>カタ</t>
    </rPh>
    <phoneticPr fontId="6"/>
  </si>
  <si>
    <t>整数</t>
    <rPh sb="0" eb="2">
      <t>セイスウ</t>
    </rPh>
    <phoneticPr fontId="6"/>
  </si>
  <si>
    <t>小数</t>
    <rPh sb="0" eb="2">
      <t>ショウスウ</t>
    </rPh>
    <phoneticPr fontId="6"/>
  </si>
  <si>
    <t>ＰＫ</t>
    <phoneticPr fontId="6"/>
  </si>
  <si>
    <t>ＮＮ</t>
    <phoneticPr fontId="6"/>
  </si>
  <si>
    <t>ＤＦ</t>
    <phoneticPr fontId="6"/>
  </si>
  <si>
    <t>インデックス</t>
    <phoneticPr fontId="8"/>
  </si>
  <si>
    <t>項目説明</t>
  </si>
  <si>
    <t>生産計画№</t>
    <phoneticPr fontId="5"/>
  </si>
  <si>
    <t>seisan_keikaku_no</t>
    <phoneticPr fontId="5"/>
  </si>
  <si>
    <t>文字</t>
    <phoneticPr fontId="5"/>
  </si>
  <si>
    <t>varchar</t>
    <phoneticPr fontId="5"/>
  </si>
  <si>
    <t>*</t>
    <phoneticPr fontId="5"/>
  </si>
  <si>
    <t>丁取№</t>
    <phoneticPr fontId="5"/>
  </si>
  <si>
    <t>chodori_no</t>
    <phoneticPr fontId="5"/>
  </si>
  <si>
    <t>数値</t>
    <phoneticPr fontId="5"/>
  </si>
  <si>
    <t>numeric</t>
    <phoneticPr fontId="5"/>
  </si>
  <si>
    <t>整理№</t>
    <phoneticPr fontId="5"/>
  </si>
  <si>
    <t>seiri_no</t>
    <phoneticPr fontId="5"/>
  </si>
  <si>
    <t>工程コード</t>
    <phoneticPr fontId="5"/>
  </si>
  <si>
    <t>kotei_cd</t>
    <phoneticPr fontId="5"/>
  </si>
  <si>
    <t>１</t>
    <phoneticPr fontId="5"/>
  </si>
  <si>
    <t>設備コード</t>
    <phoneticPr fontId="5"/>
  </si>
  <si>
    <t>setsubi_cd</t>
    <phoneticPr fontId="5"/>
  </si>
  <si>
    <t>設備</t>
    <phoneticPr fontId="5"/>
  </si>
  <si>
    <t>2</t>
    <phoneticPr fontId="5"/>
  </si>
  <si>
    <t>開始日時予定</t>
    <phoneticPr fontId="5"/>
  </si>
  <si>
    <t>start_yotei_datetime</t>
    <phoneticPr fontId="5"/>
  </si>
  <si>
    <t>作業日、開始時予定</t>
    <phoneticPr fontId="5"/>
  </si>
  <si>
    <t>日付</t>
    <phoneticPr fontId="5"/>
  </si>
  <si>
    <t>datetime</t>
    <phoneticPr fontId="5"/>
  </si>
  <si>
    <t>3</t>
    <phoneticPr fontId="5"/>
  </si>
  <si>
    <t>時間</t>
    <phoneticPr fontId="5"/>
  </si>
  <si>
    <t>4</t>
    <phoneticPr fontId="5"/>
  </si>
  <si>
    <t>終了日時予定</t>
    <phoneticPr fontId="5"/>
  </si>
  <si>
    <t>end_yotei_datetime</t>
    <phoneticPr fontId="5"/>
  </si>
  <si>
    <t>終了日予定、終了時予定</t>
    <phoneticPr fontId="5"/>
  </si>
  <si>
    <t>time</t>
    <phoneticPr fontId="5"/>
  </si>
  <si>
    <t>色</t>
    <phoneticPr fontId="5"/>
  </si>
  <si>
    <t>color</t>
    <phoneticPr fontId="5"/>
  </si>
  <si>
    <t>色コード登録</t>
    <rPh sb="0" eb="1">
      <t>イロ</t>
    </rPh>
    <rPh sb="4" eb="6">
      <t>トウロク</t>
    </rPh>
    <phoneticPr fontId="5"/>
  </si>
  <si>
    <t>作業区分</t>
    <phoneticPr fontId="5"/>
  </si>
  <si>
    <t>sagyo_kbn</t>
    <phoneticPr fontId="5"/>
  </si>
  <si>
    <t>作業コメント</t>
    <phoneticPr fontId="5"/>
  </si>
  <si>
    <t>sagyo_comment</t>
    <phoneticPr fontId="5"/>
  </si>
  <si>
    <t>受注№</t>
    <phoneticPr fontId="5"/>
  </si>
  <si>
    <t>juchu_no</t>
    <phoneticPr fontId="5"/>
  </si>
  <si>
    <t>丁取数</t>
    <phoneticPr fontId="5"/>
  </si>
  <si>
    <t>chodori_su</t>
    <phoneticPr fontId="5"/>
  </si>
  <si>
    <t>丁取情報</t>
    <phoneticPr fontId="5"/>
  </si>
  <si>
    <t>chodori_info</t>
    <phoneticPr fontId="5"/>
  </si>
  <si>
    <t>丁取行数を設定（丁取以外：0設定）</t>
    <rPh sb="0" eb="1">
      <t>チョウ</t>
    </rPh>
    <rPh sb="1" eb="2">
      <t>トリ</t>
    </rPh>
    <rPh sb="2" eb="4">
      <t>ギョウスウ</t>
    </rPh>
    <rPh sb="5" eb="7">
      <t>セッテイ</t>
    </rPh>
    <phoneticPr fontId="5"/>
  </si>
  <si>
    <t>生産実績一覧で使用</t>
  </si>
  <si>
    <t>顧客コード</t>
    <phoneticPr fontId="5"/>
  </si>
  <si>
    <t>kokyaku_cd</t>
    <phoneticPr fontId="5"/>
  </si>
  <si>
    <t>顧客</t>
    <phoneticPr fontId="5"/>
  </si>
  <si>
    <t>kokyaku_nm</t>
    <phoneticPr fontId="5"/>
  </si>
  <si>
    <t>製品番号</t>
    <phoneticPr fontId="5"/>
  </si>
  <si>
    <t>seihin_no</t>
    <phoneticPr fontId="5"/>
  </si>
  <si>
    <t>品種コード</t>
    <phoneticPr fontId="5"/>
  </si>
  <si>
    <t>hinshu_cd</t>
    <phoneticPr fontId="5"/>
  </si>
  <si>
    <t>品名</t>
    <phoneticPr fontId="5"/>
  </si>
  <si>
    <t>hinmei</t>
    <phoneticPr fontId="5"/>
  </si>
  <si>
    <t>坪量</t>
    <phoneticPr fontId="5"/>
  </si>
  <si>
    <t>paper_weight</t>
    <phoneticPr fontId="5"/>
  </si>
  <si>
    <t>幅</t>
    <phoneticPr fontId="5"/>
  </si>
  <si>
    <t>width</t>
    <phoneticPr fontId="5"/>
  </si>
  <si>
    <t>幅</t>
    <phoneticPr fontId="18"/>
  </si>
  <si>
    <t>長さ</t>
    <phoneticPr fontId="5"/>
  </si>
  <si>
    <t>length</t>
    <phoneticPr fontId="5"/>
  </si>
  <si>
    <t>長さ</t>
    <phoneticPr fontId="18"/>
  </si>
  <si>
    <t>卸数</t>
    <phoneticPr fontId="5"/>
  </si>
  <si>
    <t>oroshi_su</t>
    <phoneticPr fontId="5"/>
  </si>
  <si>
    <t>卸数</t>
    <phoneticPr fontId="18"/>
  </si>
  <si>
    <t>本数予定</t>
    <phoneticPr fontId="5"/>
  </si>
  <si>
    <t>honsu_yotei</t>
    <phoneticPr fontId="5"/>
  </si>
  <si>
    <t>本数（予定）</t>
    <phoneticPr fontId="18"/>
  </si>
  <si>
    <t>本数最低</t>
    <phoneticPr fontId="5"/>
  </si>
  <si>
    <t>honsu_saitei</t>
    <phoneticPr fontId="5"/>
  </si>
  <si>
    <t>本数（最低）</t>
    <phoneticPr fontId="5"/>
  </si>
  <si>
    <t>抄速</t>
    <phoneticPr fontId="5"/>
  </si>
  <si>
    <t>shosoku</t>
    <phoneticPr fontId="5"/>
  </si>
  <si>
    <t>白ラベル</t>
    <phoneticPr fontId="5"/>
  </si>
  <si>
    <t>white_label</t>
    <phoneticPr fontId="5"/>
  </si>
  <si>
    <t>分類番号</t>
    <phoneticPr fontId="5"/>
  </si>
  <si>
    <t>bunrui_bango</t>
    <phoneticPr fontId="5"/>
  </si>
  <si>
    <t>移動先倉庫コード</t>
    <phoneticPr fontId="5"/>
  </si>
  <si>
    <t>idosaki_soko_cd</t>
    <phoneticPr fontId="5"/>
  </si>
  <si>
    <t>備考</t>
    <phoneticPr fontId="5"/>
  </si>
  <si>
    <t>biko</t>
    <phoneticPr fontId="5"/>
  </si>
  <si>
    <t>公休日</t>
    <phoneticPr fontId="5"/>
  </si>
  <si>
    <t>kokyu_date</t>
    <phoneticPr fontId="5"/>
  </si>
  <si>
    <t>公休日（連続の場合、先頭公休日）</t>
    <rPh sb="0" eb="2">
      <t>コウキュウ</t>
    </rPh>
    <rPh sb="2" eb="3">
      <t>ヒ</t>
    </rPh>
    <rPh sb="4" eb="6">
      <t>レンゾク</t>
    </rPh>
    <rPh sb="7" eb="9">
      <t>バアイ</t>
    </rPh>
    <rPh sb="10" eb="12">
      <t>セントウ</t>
    </rPh>
    <rPh sb="12" eb="14">
      <t>コウキュウ</t>
    </rPh>
    <rPh sb="14" eb="15">
      <t>ヒ</t>
    </rPh>
    <phoneticPr fontId="5"/>
  </si>
  <si>
    <t>公休日数</t>
    <phoneticPr fontId="5"/>
  </si>
  <si>
    <t>kokyu_nisu</t>
    <phoneticPr fontId="5"/>
  </si>
  <si>
    <t>0.未作成　1.作成済</t>
    <rPh sb="2" eb="5">
      <t>ミサクセイ</t>
    </rPh>
    <rPh sb="8" eb="10">
      <t>サクセイ</t>
    </rPh>
    <rPh sb="10" eb="11">
      <t>スミ</t>
    </rPh>
    <phoneticPr fontId="5"/>
  </si>
  <si>
    <t>計画外フラグ</t>
    <phoneticPr fontId="5"/>
  </si>
  <si>
    <t>keikakugai_flg</t>
    <phoneticPr fontId="5"/>
  </si>
  <si>
    <t>0.計画内　1.計画外</t>
    <rPh sb="2" eb="5">
      <t>ケイカクナイ</t>
    </rPh>
    <rPh sb="8" eb="11">
      <t>ケイカクガイ</t>
    </rPh>
    <phoneticPr fontId="5"/>
  </si>
  <si>
    <t>計画表出力日</t>
    <phoneticPr fontId="5"/>
  </si>
  <si>
    <t>keikakuhyo_output_date</t>
    <phoneticPr fontId="5"/>
  </si>
  <si>
    <t>勤務開始時刻</t>
    <phoneticPr fontId="5"/>
  </si>
  <si>
    <t>work_start_time</t>
    <phoneticPr fontId="5"/>
  </si>
  <si>
    <t>datetime2</t>
    <phoneticPr fontId="5"/>
  </si>
  <si>
    <t/>
  </si>
  <si>
    <t>開始日の勤務開始時間（日付＋時間）</t>
    <rPh sb="0" eb="2">
      <t>カイシ</t>
    </rPh>
    <rPh sb="2" eb="3">
      <t>ヒ</t>
    </rPh>
    <rPh sb="4" eb="6">
      <t>キンム</t>
    </rPh>
    <rPh sb="6" eb="8">
      <t>カイシ</t>
    </rPh>
    <rPh sb="8" eb="10">
      <t>ジカン</t>
    </rPh>
    <rPh sb="11" eb="13">
      <t>ヒヅケ</t>
    </rPh>
    <rPh sb="14" eb="16">
      <t>ジカン</t>
    </rPh>
    <phoneticPr fontId="5"/>
  </si>
  <si>
    <t>勤務終了時刻</t>
    <phoneticPr fontId="5"/>
  </si>
  <si>
    <t>work_end_time</t>
    <phoneticPr fontId="5"/>
  </si>
  <si>
    <t>終了日の勤務開始時間（日付＋時間）</t>
    <rPh sb="0" eb="2">
      <t>シュウリョウ</t>
    </rPh>
    <rPh sb="2" eb="3">
      <t>ヒ</t>
    </rPh>
    <rPh sb="4" eb="6">
      <t>キンム</t>
    </rPh>
    <rPh sb="6" eb="8">
      <t>カイシ</t>
    </rPh>
    <rPh sb="8" eb="10">
      <t>ジカン</t>
    </rPh>
    <rPh sb="11" eb="13">
      <t>ヒヅケ</t>
    </rPh>
    <rPh sb="14" eb="16">
      <t>ジカン</t>
    </rPh>
    <phoneticPr fontId="5"/>
  </si>
  <si>
    <t>主幹部署コード</t>
    <phoneticPr fontId="5"/>
  </si>
  <si>
    <t>shukan_busho_cd</t>
    <phoneticPr fontId="5"/>
  </si>
  <si>
    <t>主幹工程コード</t>
    <phoneticPr fontId="5"/>
  </si>
  <si>
    <t>shukan_kotei_cd</t>
    <phoneticPr fontId="5"/>
  </si>
  <si>
    <t>登録機能コード</t>
    <phoneticPr fontId="5"/>
  </si>
  <si>
    <t>insert_func_cd</t>
    <phoneticPr fontId="5"/>
  </si>
  <si>
    <t>登録者コード</t>
    <phoneticPr fontId="5"/>
  </si>
  <si>
    <t>insert_user_cd</t>
    <phoneticPr fontId="5"/>
  </si>
  <si>
    <t>登録日</t>
    <phoneticPr fontId="5"/>
  </si>
  <si>
    <t>insert_datetime</t>
    <phoneticPr fontId="5"/>
  </si>
  <si>
    <t>更新機能コード</t>
    <phoneticPr fontId="5"/>
  </si>
  <si>
    <t>update_func_cd</t>
    <phoneticPr fontId="5"/>
  </si>
  <si>
    <t>更新者コード</t>
    <phoneticPr fontId="5"/>
  </si>
  <si>
    <t>update_user_cd</t>
    <phoneticPr fontId="5"/>
  </si>
  <si>
    <t>更新日</t>
    <phoneticPr fontId="5"/>
  </si>
  <si>
    <t>update_datetime</t>
    <phoneticPr fontId="5"/>
  </si>
  <si>
    <t>[h]:mm　形式</t>
    <rPh sb="7" eb="9">
      <t>ケイシキ</t>
    </rPh>
    <phoneticPr fontId="5"/>
  </si>
  <si>
    <t>速度</t>
    <phoneticPr fontId="5"/>
  </si>
  <si>
    <t>sokudo</t>
    <phoneticPr fontId="5"/>
  </si>
  <si>
    <t>日産量</t>
    <phoneticPr fontId="5"/>
  </si>
  <si>
    <t>nissan_ryo</t>
    <phoneticPr fontId="5"/>
  </si>
  <si>
    <t>生産出荷</t>
    <phoneticPr fontId="5"/>
  </si>
  <si>
    <t>seisan_shuka</t>
    <phoneticPr fontId="5"/>
  </si>
  <si>
    <t>注意事項</t>
    <phoneticPr fontId="5"/>
  </si>
  <si>
    <t>chui_jiko</t>
    <phoneticPr fontId="5"/>
  </si>
  <si>
    <t>包装仕様</t>
    <phoneticPr fontId="5"/>
  </si>
  <si>
    <t>houso_shiyo</t>
    <phoneticPr fontId="5"/>
  </si>
  <si>
    <t>移動指示フラグ</t>
    <phoneticPr fontId="5"/>
  </si>
  <si>
    <t>idoshiji_flg</t>
    <phoneticPr fontId="5"/>
  </si>
  <si>
    <t>スリッター</t>
    <phoneticPr fontId="5"/>
  </si>
  <si>
    <t>slitter</t>
    <phoneticPr fontId="5"/>
  </si>
  <si>
    <t>A時間帯</t>
    <phoneticPr fontId="5"/>
  </si>
  <si>
    <t>a_timezone</t>
    <phoneticPr fontId="5"/>
  </si>
  <si>
    <t>0.A時間帯　勤務無し　1.A時間帯　勤務</t>
    <rPh sb="3" eb="6">
      <t>ジカンタイ</t>
    </rPh>
    <rPh sb="7" eb="9">
      <t>キンム</t>
    </rPh>
    <rPh sb="9" eb="10">
      <t>ナシ</t>
    </rPh>
    <rPh sb="15" eb="18">
      <t>ジカンタイ</t>
    </rPh>
    <rPh sb="19" eb="21">
      <t>キンム</t>
    </rPh>
    <phoneticPr fontId="5"/>
  </si>
  <si>
    <t>B時間帯</t>
    <phoneticPr fontId="5"/>
  </si>
  <si>
    <t>b_timezone</t>
    <phoneticPr fontId="5"/>
  </si>
  <si>
    <t>0.B時間帯　勤務無し　1.B時間帯　勤務</t>
    <rPh sb="3" eb="6">
      <t>ジカンタイ</t>
    </rPh>
    <rPh sb="7" eb="9">
      <t>キンム</t>
    </rPh>
    <rPh sb="9" eb="10">
      <t>ナシ</t>
    </rPh>
    <rPh sb="15" eb="18">
      <t>ジカンタイ</t>
    </rPh>
    <rPh sb="19" eb="21">
      <t>キンム</t>
    </rPh>
    <phoneticPr fontId="5"/>
  </si>
  <si>
    <t>C時間帯</t>
    <phoneticPr fontId="5"/>
  </si>
  <si>
    <t>c_timezone</t>
    <phoneticPr fontId="5"/>
  </si>
  <si>
    <t>0.C時間帯　勤務無し　1.C時間帯　勤務</t>
    <rPh sb="3" eb="6">
      <t>ジカンタイ</t>
    </rPh>
    <rPh sb="7" eb="9">
      <t>キンム</t>
    </rPh>
    <rPh sb="9" eb="10">
      <t>ナシ</t>
    </rPh>
    <rPh sb="15" eb="18">
      <t>ジカンタイ</t>
    </rPh>
    <rPh sb="19" eb="21">
      <t>キンム</t>
    </rPh>
    <phoneticPr fontId="5"/>
  </si>
  <si>
    <t>内袋入パック数</t>
    <phoneticPr fontId="5"/>
  </si>
  <si>
    <t>uchifukuro_pakku_su</t>
    <phoneticPr fontId="5"/>
  </si>
  <si>
    <t>品名手動入力時、設定</t>
    <rPh sb="0" eb="2">
      <t>ヒンメイ</t>
    </rPh>
    <rPh sb="2" eb="4">
      <t>シュドウ</t>
    </rPh>
    <rPh sb="4" eb="6">
      <t>ニュウリョク</t>
    </rPh>
    <rPh sb="6" eb="7">
      <t>ジ</t>
    </rPh>
    <rPh sb="8" eb="10">
      <t>セッテイ</t>
    </rPh>
    <phoneticPr fontId="5"/>
  </si>
  <si>
    <t>ケースり入内袋数</t>
    <phoneticPr fontId="5"/>
  </si>
  <si>
    <t>case_uchifukuro_su</t>
    <phoneticPr fontId="5"/>
  </si>
  <si>
    <t>入数</t>
    <phoneticPr fontId="5"/>
  </si>
  <si>
    <t>irisu</t>
    <phoneticPr fontId="5"/>
  </si>
  <si>
    <t>パレット積載数</t>
    <phoneticPr fontId="5"/>
  </si>
  <si>
    <t>pallet_sekisai_su</t>
    <phoneticPr fontId="5"/>
  </si>
  <si>
    <t>パレット</t>
    <phoneticPr fontId="5"/>
  </si>
  <si>
    <t>pallet</t>
    <phoneticPr fontId="5"/>
  </si>
  <si>
    <t>ケース数</t>
    <phoneticPr fontId="5"/>
  </si>
  <si>
    <t>case_su</t>
    <phoneticPr fontId="5"/>
  </si>
  <si>
    <t>[半製品]製品番号</t>
    <phoneticPr fontId="5"/>
  </si>
  <si>
    <t>han_seihin_no</t>
    <phoneticPr fontId="5"/>
  </si>
  <si>
    <t>[半製品]品種コード</t>
    <phoneticPr fontId="5"/>
  </si>
  <si>
    <t>han_seihin_hinshu_cd</t>
    <phoneticPr fontId="5"/>
  </si>
  <si>
    <t>[半製品]品名</t>
    <phoneticPr fontId="5"/>
  </si>
  <si>
    <t>han_seihin_hinmei</t>
    <phoneticPr fontId="5"/>
  </si>
  <si>
    <t>依頼日</t>
    <phoneticPr fontId="5"/>
  </si>
  <si>
    <t>irai_date</t>
    <phoneticPr fontId="5"/>
  </si>
  <si>
    <t>４</t>
    <phoneticPr fontId="5"/>
  </si>
  <si>
    <t>５</t>
    <phoneticPr fontId="5"/>
  </si>
  <si>
    <t>生産予定日</t>
    <phoneticPr fontId="5"/>
  </si>
  <si>
    <t>seisan_yotei_date</t>
    <phoneticPr fontId="5"/>
  </si>
  <si>
    <t>依頼者コード</t>
    <phoneticPr fontId="5"/>
  </si>
  <si>
    <t>irai_user_cd</t>
    <phoneticPr fontId="5"/>
  </si>
  <si>
    <t>納期日</t>
    <phoneticPr fontId="5"/>
  </si>
  <si>
    <t>nohin_date</t>
    <phoneticPr fontId="5"/>
  </si>
  <si>
    <t>１包装当たり</t>
    <phoneticPr fontId="5"/>
  </si>
  <si>
    <t>hoso_atari</t>
    <phoneticPr fontId="5"/>
  </si>
  <si>
    <t>本数</t>
    <phoneticPr fontId="5"/>
  </si>
  <si>
    <t>honsu</t>
    <phoneticPr fontId="5"/>
  </si>
  <si>
    <t>本数</t>
    <phoneticPr fontId="18"/>
  </si>
  <si>
    <t>[原反]製品番号</t>
    <phoneticPr fontId="5"/>
  </si>
  <si>
    <t>gentan_seihin_no</t>
    <phoneticPr fontId="5"/>
  </si>
  <si>
    <t>[原反]品種コード</t>
    <phoneticPr fontId="5"/>
  </si>
  <si>
    <t>gentan_hinshu_cd</t>
    <phoneticPr fontId="5"/>
  </si>
  <si>
    <t>[原反]品名</t>
    <phoneticPr fontId="5"/>
  </si>
  <si>
    <t>gentan_hinmei</t>
    <phoneticPr fontId="5"/>
  </si>
  <si>
    <t>[原反]坪量</t>
    <phoneticPr fontId="5"/>
  </si>
  <si>
    <t>gentan_paper_weight</t>
    <phoneticPr fontId="5"/>
  </si>
  <si>
    <t>[原反]幅</t>
    <phoneticPr fontId="5"/>
  </si>
  <si>
    <t>gentan_width</t>
    <phoneticPr fontId="5"/>
  </si>
  <si>
    <t>[原反]長さ</t>
    <phoneticPr fontId="5"/>
  </si>
  <si>
    <t>gentan_length</t>
    <phoneticPr fontId="5"/>
  </si>
  <si>
    <t>[原反]本数</t>
    <phoneticPr fontId="5"/>
  </si>
  <si>
    <t>gentan_honsu</t>
    <phoneticPr fontId="5"/>
  </si>
  <si>
    <t>[原反]備考</t>
    <phoneticPr fontId="5"/>
  </si>
  <si>
    <t>gentan_biko</t>
    <phoneticPr fontId="5"/>
  </si>
  <si>
    <t>紙管</t>
    <phoneticPr fontId="5"/>
  </si>
  <si>
    <t>shikan</t>
    <phoneticPr fontId="5"/>
  </si>
  <si>
    <t>ラベル発行フラグ</t>
    <phoneticPr fontId="5"/>
  </si>
  <si>
    <t>label_print_flg</t>
    <phoneticPr fontId="5"/>
  </si>
  <si>
    <t>0.未発行　1.発行済</t>
    <rPh sb="2" eb="3">
      <t>ミ</t>
    </rPh>
    <rPh sb="3" eb="5">
      <t>ハッコウ</t>
    </rPh>
    <rPh sb="8" eb="10">
      <t>ハッコウ</t>
    </rPh>
    <rPh sb="10" eb="11">
      <t>スミ</t>
    </rPh>
    <phoneticPr fontId="5"/>
  </si>
  <si>
    <t>パレット№発行フラグ</t>
    <phoneticPr fontId="5"/>
  </si>
  <si>
    <t>pallet_no_print_flg</t>
    <phoneticPr fontId="5"/>
  </si>
  <si>
    <t>seihin_lot_no</t>
    <phoneticPr fontId="5"/>
  </si>
  <si>
    <t>明細SEQ</t>
    <phoneticPr fontId="5"/>
  </si>
  <si>
    <t>meisai_seq</t>
    <phoneticPr fontId="5"/>
  </si>
  <si>
    <t>３</t>
    <phoneticPr fontId="5"/>
  </si>
  <si>
    <t>明細行</t>
    <rPh sb="0" eb="2">
      <t>メイサイ</t>
    </rPh>
    <rPh sb="2" eb="3">
      <t>ギョウ</t>
    </rPh>
    <phoneticPr fontId="5"/>
  </si>
  <si>
    <t>業者コード</t>
    <phoneticPr fontId="5"/>
  </si>
  <si>
    <t>gyosha_cd</t>
    <phoneticPr fontId="5"/>
  </si>
  <si>
    <t>２</t>
    <phoneticPr fontId="5"/>
  </si>
  <si>
    <t>原紙納入日</t>
    <phoneticPr fontId="5"/>
  </si>
  <si>
    <t>genshi_nonyu_date</t>
    <phoneticPr fontId="5"/>
  </si>
  <si>
    <t>原反：製品</t>
    <phoneticPr fontId="5"/>
  </si>
  <si>
    <t>gentan_seihin_kbn</t>
    <phoneticPr fontId="5"/>
  </si>
  <si>
    <t>区分マスタ.区分：89</t>
    <rPh sb="0" eb="2">
      <t>クブン</t>
    </rPh>
    <rPh sb="6" eb="8">
      <t>クブン</t>
    </rPh>
    <phoneticPr fontId="5"/>
  </si>
  <si>
    <t>原反：製品情報</t>
    <phoneticPr fontId="5"/>
  </si>
  <si>
    <t>gentan_seihin_info</t>
    <phoneticPr fontId="5"/>
  </si>
  <si>
    <t>明細行数を設定（明細１行＝０）</t>
    <rPh sb="0" eb="2">
      <t>メイサイ</t>
    </rPh>
    <rPh sb="2" eb="4">
      <t>ギョウスウ</t>
    </rPh>
    <rPh sb="5" eb="7">
      <t>セッテイ</t>
    </rPh>
    <rPh sb="8" eb="10">
      <t>メイサイ</t>
    </rPh>
    <rPh sb="11" eb="12">
      <t>ギョウ</t>
    </rPh>
    <phoneticPr fontId="5"/>
  </si>
  <si>
    <t>製品№</t>
    <phoneticPr fontId="5"/>
  </si>
  <si>
    <t>seihin_seq</t>
    <phoneticPr fontId="5"/>
  </si>
  <si>
    <t>丁取№入力値（丁取以外：0設定）</t>
    <rPh sb="0" eb="1">
      <t>チョウ</t>
    </rPh>
    <rPh sb="1" eb="2">
      <t>トリ</t>
    </rPh>
    <rPh sb="3" eb="5">
      <t>ニュウリョク</t>
    </rPh>
    <rPh sb="5" eb="6">
      <t>チ</t>
    </rPh>
    <rPh sb="7" eb="8">
      <t>チョウ</t>
    </rPh>
    <rPh sb="8" eb="9">
      <t>トリ</t>
    </rPh>
    <rPh sb="9" eb="11">
      <t>イガイ</t>
    </rPh>
    <rPh sb="13" eb="15">
      <t>セッテイ</t>
    </rPh>
    <phoneticPr fontId="5"/>
  </si>
  <si>
    <t>巻取り付属</t>
    <phoneticPr fontId="5"/>
  </si>
  <si>
    <t>makitori_word</t>
    <phoneticPr fontId="5"/>
  </si>
  <si>
    <t>平判付属</t>
    <phoneticPr fontId="38"/>
  </si>
  <si>
    <t>hiraban_word</t>
    <phoneticPr fontId="5"/>
  </si>
  <si>
    <t>連数</t>
    <phoneticPr fontId="38"/>
  </si>
  <si>
    <t>rensu</t>
    <phoneticPr fontId="5"/>
  </si>
  <si>
    <t>平判の折り方</t>
    <phoneticPr fontId="38"/>
  </si>
  <si>
    <t>hiraban_fold</t>
    <phoneticPr fontId="5"/>
  </si>
  <si>
    <t>[原反]№</t>
    <phoneticPr fontId="5"/>
  </si>
  <si>
    <t>gentan_seq</t>
    <phoneticPr fontId="5"/>
  </si>
  <si>
    <t>加工指示日</t>
    <phoneticPr fontId="5"/>
  </si>
  <si>
    <t>kako_shiji_date</t>
    <phoneticPr fontId="5"/>
  </si>
  <si>
    <t>加工指示フラグ</t>
    <phoneticPr fontId="5"/>
  </si>
  <si>
    <t>kako_shiji_flg</t>
    <phoneticPr fontId="5"/>
  </si>
  <si>
    <t>加工依頼書示出力日</t>
    <phoneticPr fontId="5"/>
  </si>
  <si>
    <t>iraisyo_output_date</t>
    <phoneticPr fontId="5"/>
  </si>
  <si>
    <t>在庫指図書出力日</t>
    <phoneticPr fontId="5"/>
  </si>
  <si>
    <t>zaikosasizusyo_output_date</t>
    <phoneticPr fontId="5"/>
  </si>
  <si>
    <t>在庫移動日</t>
    <phoneticPr fontId="5"/>
  </si>
  <si>
    <t>zaikoido_date</t>
    <phoneticPr fontId="5"/>
  </si>
  <si>
    <t>仕上実績日</t>
    <phoneticPr fontId="5"/>
  </si>
  <si>
    <t>shiage_jisseki_date</t>
    <phoneticPr fontId="5"/>
  </si>
  <si>
    <t>引取指示日</t>
    <phoneticPr fontId="5"/>
  </si>
  <si>
    <t>hikitori_shiji_date</t>
    <phoneticPr fontId="5"/>
  </si>
  <si>
    <t>引取実績日</t>
    <phoneticPr fontId="5"/>
  </si>
  <si>
    <t>hikitori_jisseki_date</t>
    <phoneticPr fontId="5"/>
  </si>
  <si>
    <t>*1</t>
    <phoneticPr fontId="5"/>
  </si>
  <si>
    <t>指示確認日</t>
    <phoneticPr fontId="5"/>
  </si>
  <si>
    <t>shiji_kakunin_date</t>
    <phoneticPr fontId="5"/>
  </si>
  <si>
    <t>生産指示入力担当者　確認日</t>
    <rPh sb="0" eb="2">
      <t>セイサン</t>
    </rPh>
    <rPh sb="2" eb="4">
      <t>シジ</t>
    </rPh>
    <rPh sb="4" eb="6">
      <t>ニュウリョク</t>
    </rPh>
    <rPh sb="6" eb="9">
      <t>タントウシャ</t>
    </rPh>
    <rPh sb="10" eb="12">
      <t>カクニン</t>
    </rPh>
    <rPh sb="12" eb="13">
      <t>ヒ</t>
    </rPh>
    <phoneticPr fontId="5"/>
  </si>
  <si>
    <t>(*1)</t>
    <phoneticPr fontId="5"/>
  </si>
  <si>
    <t>生産指示情報の直近データ取得項目</t>
    <rPh sb="0" eb="2">
      <t>セイサン</t>
    </rPh>
    <rPh sb="2" eb="4">
      <t>シジ</t>
    </rPh>
    <rPh sb="4" eb="6">
      <t>ジョウホウ</t>
    </rPh>
    <rPh sb="7" eb="9">
      <t>チョッキン</t>
    </rPh>
    <rPh sb="12" eb="14">
      <t>シュトク</t>
    </rPh>
    <rPh sb="14" eb="16">
      <t>コウモク</t>
    </rPh>
    <phoneticPr fontId="5"/>
  </si>
  <si>
    <t>shiyo_kbn</t>
    <phoneticPr fontId="5"/>
  </si>
  <si>
    <t>原材料区分</t>
    <phoneticPr fontId="5"/>
  </si>
  <si>
    <t>genryo_kbn</t>
    <phoneticPr fontId="5"/>
  </si>
  <si>
    <t>区分マスタ.原材料区分</t>
    <rPh sb="0" eb="2">
      <t>クブン</t>
    </rPh>
    <rPh sb="6" eb="9">
      <t>ゲンザイリョウ</t>
    </rPh>
    <rPh sb="9" eb="11">
      <t>クブン</t>
    </rPh>
    <phoneticPr fontId="5"/>
  </si>
  <si>
    <t>01.パルプ配合 02.填料 03.化繊</t>
    <phoneticPr fontId="5"/>
  </si>
  <si>
    <t>１から連番</t>
    <rPh sb="3" eb="5">
      <t>レンバン</t>
    </rPh>
    <phoneticPr fontId="5"/>
  </si>
  <si>
    <t>数量</t>
    <phoneticPr fontId="5"/>
  </si>
  <si>
    <t>suryo</t>
    <phoneticPr fontId="5"/>
  </si>
  <si>
    <t>分子</t>
    <phoneticPr fontId="5"/>
  </si>
  <si>
    <t>bunshi</t>
    <phoneticPr fontId="5"/>
  </si>
  <si>
    <t>分母</t>
    <phoneticPr fontId="5"/>
  </si>
  <si>
    <t>bunbo</t>
    <phoneticPr fontId="5"/>
  </si>
  <si>
    <t>比率</t>
    <phoneticPr fontId="5"/>
  </si>
  <si>
    <t>hiritsu</t>
    <phoneticPr fontId="5"/>
  </si>
  <si>
    <t>重量</t>
    <phoneticPr fontId="5"/>
  </si>
  <si>
    <t>genryo_nodo</t>
    <phoneticPr fontId="5"/>
  </si>
  <si>
    <t>分入力</t>
    <rPh sb="0" eb="1">
      <t>フン</t>
    </rPh>
    <rPh sb="1" eb="3">
      <t>ニュウリョク</t>
    </rPh>
    <phoneticPr fontId="5"/>
  </si>
  <si>
    <t>損紙使用量</t>
    <phoneticPr fontId="5"/>
  </si>
  <si>
    <t>sonsi_shiyoryo</t>
    <phoneticPr fontId="5"/>
  </si>
  <si>
    <t>添加情報</t>
    <phoneticPr fontId="5"/>
  </si>
  <si>
    <t>tenka_joho</t>
    <phoneticPr fontId="5"/>
  </si>
  <si>
    <t>*1</t>
  </si>
  <si>
    <t>05.含浸液 06.コート液</t>
    <phoneticPr fontId="5"/>
  </si>
  <si>
    <t>明細SEQ</t>
    <rPh sb="0" eb="2">
      <t>メイサイ</t>
    </rPh>
    <phoneticPr fontId="5"/>
  </si>
  <si>
    <t>数値</t>
  </si>
  <si>
    <t>numeric</t>
  </si>
  <si>
    <t>行のSEQ（１から連番）</t>
  </si>
  <si>
    <t>品種コード</t>
    <rPh sb="0" eb="2">
      <t>ヒンシュ</t>
    </rPh>
    <phoneticPr fontId="5"/>
  </si>
  <si>
    <t>varchar</t>
  </si>
  <si>
    <t>品名</t>
    <rPh sb="0" eb="2">
      <t>ヒンメイ</t>
    </rPh>
    <phoneticPr fontId="5"/>
  </si>
  <si>
    <t>nvarchar</t>
  </si>
  <si>
    <t>幅</t>
    <rPh sb="0" eb="1">
      <t>ハバ</t>
    </rPh>
    <phoneticPr fontId="5"/>
  </si>
  <si>
    <t>長さ</t>
    <rPh sb="0" eb="1">
      <t>ナガ</t>
    </rPh>
    <phoneticPr fontId="5"/>
  </si>
  <si>
    <t>固形分</t>
    <rPh sb="0" eb="3">
      <t>コケイブン</t>
    </rPh>
    <phoneticPr fontId="5"/>
  </si>
  <si>
    <t>固形配合比</t>
    <rPh sb="0" eb="5">
      <t>コケイハイゴウヒ</t>
    </rPh>
    <phoneticPr fontId="5"/>
  </si>
  <si>
    <t>投入量</t>
    <rPh sb="0" eb="3">
      <t>トウニュウリョウ</t>
    </rPh>
    <phoneticPr fontId="5"/>
  </si>
  <si>
    <t>備考</t>
    <rPh sb="0" eb="2">
      <t>ビコウ</t>
    </rPh>
    <phoneticPr fontId="5"/>
  </si>
  <si>
    <t>主幹部署コード</t>
    <rPh sb="0" eb="2">
      <t>シュカン</t>
    </rPh>
    <rPh sb="2" eb="4">
      <t>ブショ</t>
    </rPh>
    <phoneticPr fontId="5"/>
  </si>
  <si>
    <t>主幹工程コード</t>
    <rPh sb="0" eb="2">
      <t>シュカン</t>
    </rPh>
    <rPh sb="2" eb="4">
      <t>コウテイ</t>
    </rPh>
    <phoneticPr fontId="5"/>
  </si>
  <si>
    <t>原材料区分=05.含浸液の場合、項目を登録 それ以外の場合項目=Null</t>
    <rPh sb="0" eb="3">
      <t>ゲンザイリョウ</t>
    </rPh>
    <rPh sb="3" eb="5">
      <t>クブン</t>
    </rPh>
    <rPh sb="9" eb="12">
      <t>ガンシンエキ</t>
    </rPh>
    <rPh sb="13" eb="15">
      <t>バアイ</t>
    </rPh>
    <rPh sb="16" eb="18">
      <t>コウモク</t>
    </rPh>
    <rPh sb="19" eb="21">
      <t>トウロク</t>
    </rPh>
    <rPh sb="24" eb="26">
      <t>イガイ</t>
    </rPh>
    <rPh sb="27" eb="29">
      <t>バアイ</t>
    </rPh>
    <rPh sb="29" eb="31">
      <t>コウモク</t>
    </rPh>
    <phoneticPr fontId="5"/>
  </si>
  <si>
    <t>坪量</t>
    <rPh sb="0" eb="2">
      <t>ツボリョウ</t>
    </rPh>
    <phoneticPr fontId="5"/>
  </si>
  <si>
    <t>原反本数</t>
    <rPh sb="0" eb="4">
      <t>ゲンタンホンスウ</t>
    </rPh>
    <phoneticPr fontId="5"/>
  </si>
  <si>
    <t>原反本数</t>
    <rPh sb="0" eb="4">
      <t>ゲンタンホンスウ</t>
    </rPh>
    <phoneticPr fontId="18"/>
  </si>
  <si>
    <t>熱加工のみ設定　以外Null</t>
    <rPh sb="0" eb="1">
      <t>ネツ</t>
    </rPh>
    <rPh sb="1" eb="3">
      <t>カコウ</t>
    </rPh>
    <rPh sb="5" eb="7">
      <t>セッテイ</t>
    </rPh>
    <rPh sb="8" eb="10">
      <t>イガイ</t>
    </rPh>
    <phoneticPr fontId="5"/>
  </si>
  <si>
    <t>加工依頼入力担当者　確認日</t>
    <rPh sb="0" eb="4">
      <t>カコウイライ</t>
    </rPh>
    <rPh sb="4" eb="6">
      <t>ニュウリョク</t>
    </rPh>
    <rPh sb="6" eb="9">
      <t>タントウシャ</t>
    </rPh>
    <rPh sb="10" eb="12">
      <t>カクニン</t>
    </rPh>
    <rPh sb="12" eb="13">
      <t>ヒ</t>
    </rPh>
    <phoneticPr fontId="5"/>
  </si>
  <si>
    <t>加工依頼情報の直近データ取得項目</t>
    <rPh sb="0" eb="2">
      <t>カコウ</t>
    </rPh>
    <rPh sb="2" eb="4">
      <t>イライ</t>
    </rPh>
    <rPh sb="4" eb="6">
      <t>ジョウホウ</t>
    </rPh>
    <rPh sb="7" eb="9">
      <t>チョッキン</t>
    </rPh>
    <rPh sb="12" eb="14">
      <t>シュトク</t>
    </rPh>
    <rPh sb="14" eb="16">
      <t>コウモク</t>
    </rPh>
    <phoneticPr fontId="5"/>
  </si>
  <si>
    <t>在庫区分</t>
    <rPh sb="0" eb="2">
      <t>ザイコ</t>
    </rPh>
    <rPh sb="2" eb="4">
      <t>クブン</t>
    </rPh>
    <phoneticPr fontId="5"/>
  </si>
  <si>
    <t>zaiko_kbn</t>
    <phoneticPr fontId="5"/>
  </si>
  <si>
    <t>1.原反移動 9.外注先在庫</t>
    <rPh sb="2" eb="4">
      <t>ゲンタン</t>
    </rPh>
    <rPh sb="4" eb="6">
      <t>イドウ</t>
    </rPh>
    <rPh sb="9" eb="11">
      <t>ガイチュウ</t>
    </rPh>
    <rPh sb="11" eb="12">
      <t>サキ</t>
    </rPh>
    <rPh sb="12" eb="14">
      <t>ザイコ</t>
    </rPh>
    <phoneticPr fontId="5"/>
  </si>
  <si>
    <t>製品ロット№</t>
    <rPh sb="0" eb="2">
      <t>セイヒン</t>
    </rPh>
    <phoneticPr fontId="5"/>
  </si>
  <si>
    <t>製品ロット区分</t>
    <rPh sb="0" eb="2">
      <t>セイヒン</t>
    </rPh>
    <rPh sb="5" eb="7">
      <t>クブン</t>
    </rPh>
    <phoneticPr fontId="5"/>
  </si>
  <si>
    <t>seihin_lot_kbn</t>
    <phoneticPr fontId="5"/>
  </si>
  <si>
    <t>0</t>
    <phoneticPr fontId="5"/>
  </si>
  <si>
    <t>0.空白　1.年月ロット指定 2.フルロット指定</t>
    <rPh sb="2" eb="4">
      <t>クウハク</t>
    </rPh>
    <rPh sb="7" eb="8">
      <t>ネン</t>
    </rPh>
    <rPh sb="8" eb="9">
      <t>ツキ</t>
    </rPh>
    <rPh sb="12" eb="14">
      <t>シテイ</t>
    </rPh>
    <rPh sb="22" eb="24">
      <t>シテイ</t>
    </rPh>
    <phoneticPr fontId="5"/>
  </si>
  <si>
    <t>ロット指定区分</t>
    <rPh sb="3" eb="5">
      <t>シテイ</t>
    </rPh>
    <rPh sb="5" eb="7">
      <t>クブン</t>
    </rPh>
    <phoneticPr fontId="5"/>
  </si>
  <si>
    <t>lotshitei_kbn</t>
    <phoneticPr fontId="5"/>
  </si>
  <si>
    <t>0.ロット指定無　1.ロット指定</t>
    <rPh sb="5" eb="7">
      <t>シテイ</t>
    </rPh>
    <rPh sb="7" eb="8">
      <t>ナシ</t>
    </rPh>
    <rPh sb="14" eb="16">
      <t>シテイ</t>
    </rPh>
    <phoneticPr fontId="5"/>
  </si>
  <si>
    <t>本数</t>
    <rPh sb="0" eb="2">
      <t>ホンスウ</t>
    </rPh>
    <phoneticPr fontId="5"/>
  </si>
  <si>
    <t>本数</t>
    <rPh sb="0" eb="2">
      <t>ホンスウ</t>
    </rPh>
    <phoneticPr fontId="18"/>
  </si>
  <si>
    <t>年月ロット</t>
    <rPh sb="0" eb="1">
      <t>ネン</t>
    </rPh>
    <rPh sb="1" eb="2">
      <t>ツキ</t>
    </rPh>
    <phoneticPr fontId="5"/>
  </si>
  <si>
    <t>指定ロット№</t>
    <rPh sb="0" eb="2">
      <t>シテイ</t>
    </rPh>
    <phoneticPr fontId="5"/>
  </si>
  <si>
    <t>shitei_lot_no</t>
    <phoneticPr fontId="5"/>
  </si>
  <si>
    <t>フル製品ロット№</t>
    <rPh sb="2" eb="4">
      <t>セイヒン</t>
    </rPh>
    <phoneticPr fontId="5"/>
  </si>
  <si>
    <t>区分</t>
    <phoneticPr fontId="5"/>
  </si>
  <si>
    <t>kbn</t>
    <phoneticPr fontId="5"/>
  </si>
  <si>
    <t>コード</t>
    <phoneticPr fontId="5"/>
  </si>
  <si>
    <t>code</t>
    <phoneticPr fontId="5"/>
  </si>
  <si>
    <t>入力制御</t>
    <phoneticPr fontId="5"/>
  </si>
  <si>
    <t>input_control</t>
    <phoneticPr fontId="5"/>
  </si>
  <si>
    <t>コード・区分に対する入力制御</t>
    <rPh sb="4" eb="6">
      <t>クブン</t>
    </rPh>
    <rPh sb="7" eb="8">
      <t>タイ</t>
    </rPh>
    <rPh sb="10" eb="12">
      <t>ニュウリョク</t>
    </rPh>
    <rPh sb="12" eb="14">
      <t>セイギョ</t>
    </rPh>
    <phoneticPr fontId="5"/>
  </si>
  <si>
    <t>0.入力不可 1.入力可能</t>
    <rPh sb="2" eb="4">
      <t>ニュウリョク</t>
    </rPh>
    <rPh sb="4" eb="6">
      <t>フカ</t>
    </rPh>
    <rPh sb="9" eb="11">
      <t>ニュウリョク</t>
    </rPh>
    <rPh sb="11" eb="13">
      <t>カノウ</t>
    </rPh>
    <phoneticPr fontId="5"/>
  </si>
  <si>
    <t>現場制御</t>
    <phoneticPr fontId="5"/>
  </si>
  <si>
    <t>genba_control</t>
    <phoneticPr fontId="5"/>
  </si>
  <si>
    <t>現場作業時のコード・区分　表示・入力制御</t>
    <rPh sb="0" eb="2">
      <t>ゲンバ</t>
    </rPh>
    <rPh sb="2" eb="4">
      <t>サギョウ</t>
    </rPh>
    <rPh sb="4" eb="5">
      <t>ジ</t>
    </rPh>
    <rPh sb="10" eb="12">
      <t>クブン</t>
    </rPh>
    <rPh sb="13" eb="15">
      <t>ヒョウジ</t>
    </rPh>
    <rPh sb="16" eb="18">
      <t>ニュウリョク</t>
    </rPh>
    <rPh sb="18" eb="20">
      <t>セイギョ</t>
    </rPh>
    <phoneticPr fontId="5"/>
  </si>
  <si>
    <t>0.入力・表示不可 1.入力・表示可能</t>
    <rPh sb="2" eb="4">
      <t>ニュウリョク</t>
    </rPh>
    <rPh sb="5" eb="7">
      <t>ヒョウジ</t>
    </rPh>
    <rPh sb="7" eb="9">
      <t>フカ</t>
    </rPh>
    <rPh sb="12" eb="14">
      <t>ニュウリョク</t>
    </rPh>
    <rPh sb="15" eb="17">
      <t>ヒョウジ</t>
    </rPh>
    <rPh sb="17" eb="19">
      <t>カノウ</t>
    </rPh>
    <phoneticPr fontId="5"/>
  </si>
  <si>
    <t>製造部制御</t>
    <phoneticPr fontId="5"/>
  </si>
  <si>
    <t>seizo_control</t>
    <phoneticPr fontId="5"/>
  </si>
  <si>
    <t>製造部作業時のコード・区分　表示・入力制御</t>
    <rPh sb="0" eb="2">
      <t>セイゾウ</t>
    </rPh>
    <rPh sb="2" eb="3">
      <t>ブ</t>
    </rPh>
    <rPh sb="3" eb="5">
      <t>サギョウ</t>
    </rPh>
    <rPh sb="5" eb="6">
      <t>ジ</t>
    </rPh>
    <rPh sb="11" eb="13">
      <t>クブン</t>
    </rPh>
    <rPh sb="14" eb="16">
      <t>ヒョウジ</t>
    </rPh>
    <rPh sb="17" eb="19">
      <t>ニュウリョク</t>
    </rPh>
    <rPh sb="19" eb="21">
      <t>セイギョ</t>
    </rPh>
    <phoneticPr fontId="5"/>
  </si>
  <si>
    <t>発番制御</t>
  </si>
  <si>
    <t>label_control</t>
    <phoneticPr fontId="5"/>
  </si>
  <si>
    <t>ラベル制御</t>
    <phoneticPr fontId="5"/>
  </si>
  <si>
    <t>0.発番不可 1.発番可能</t>
  </si>
  <si>
    <t>コード・区分に対するラベル発行制御</t>
    <rPh sb="4" eb="6">
      <t>クブン</t>
    </rPh>
    <rPh sb="7" eb="8">
      <t>タイ</t>
    </rPh>
    <rPh sb="13" eb="15">
      <t>ハッコウ</t>
    </rPh>
    <rPh sb="15" eb="17">
      <t>セイギョ</t>
    </rPh>
    <phoneticPr fontId="5"/>
  </si>
  <si>
    <t>0.発行不可 1.発行可能</t>
    <rPh sb="2" eb="4">
      <t>ハッコウ</t>
    </rPh>
    <rPh sb="4" eb="6">
      <t>フカ</t>
    </rPh>
    <rPh sb="9" eb="11">
      <t>ハッコウ</t>
    </rPh>
    <rPh sb="11" eb="13">
      <t>カノウ</t>
    </rPh>
    <phoneticPr fontId="5"/>
  </si>
  <si>
    <t>箱判定フラグ</t>
    <phoneticPr fontId="5"/>
  </si>
  <si>
    <t>box_flg</t>
    <phoneticPr fontId="5"/>
  </si>
  <si>
    <t>0:箱無し 1:箱入り 空白:対象外</t>
    <rPh sb="8" eb="10">
      <t>ハコイ</t>
    </rPh>
    <rPh sb="12" eb="14">
      <t>クウハク</t>
    </rPh>
    <rPh sb="15" eb="18">
      <t>タイショウガイ</t>
    </rPh>
    <phoneticPr fontId="5"/>
  </si>
  <si>
    <t>削除フラグ</t>
    <phoneticPr fontId="5"/>
  </si>
  <si>
    <t>delete_flg</t>
    <phoneticPr fontId="5"/>
  </si>
  <si>
    <t>0:有効 1:無効</t>
  </si>
  <si>
    <t>№</t>
    <phoneticPr fontId="5"/>
  </si>
  <si>
    <t>テーブル</t>
    <phoneticPr fontId="5"/>
  </si>
  <si>
    <t>項目名</t>
  </si>
  <si>
    <t>項目ID</t>
  </si>
  <si>
    <t>項目コメント</t>
    <phoneticPr fontId="5"/>
  </si>
  <si>
    <t>型名</t>
  </si>
  <si>
    <t>型</t>
  </si>
  <si>
    <t>整数</t>
  </si>
  <si>
    <t>小数</t>
  </si>
  <si>
    <t>必要/不要</t>
    <rPh sb="0" eb="2">
      <t>ヒツヨウ</t>
    </rPh>
    <rPh sb="3" eb="5">
      <t>フヨウ</t>
    </rPh>
    <phoneticPr fontId="5"/>
  </si>
  <si>
    <t>update_datetime</t>
  </si>
  <si>
    <t>変更</t>
    <rPh sb="0" eb="2">
      <t>ヘンコウ</t>
    </rPh>
    <phoneticPr fontId="5"/>
  </si>
  <si>
    <t>項目名</t>
    <rPh sb="0" eb="3">
      <t>コウモクメイ</t>
    </rPh>
    <phoneticPr fontId="5"/>
  </si>
  <si>
    <t>物理項目ID</t>
    <rPh sb="0" eb="2">
      <t>ブツリ</t>
    </rPh>
    <rPh sb="2" eb="4">
      <t>コウモク</t>
    </rPh>
    <phoneticPr fontId="5"/>
  </si>
  <si>
    <t>変更区分</t>
    <rPh sb="0" eb="2">
      <t>ヘンコウ</t>
    </rPh>
    <rPh sb="2" eb="4">
      <t>クブン</t>
    </rPh>
    <phoneticPr fontId="21"/>
  </si>
  <si>
    <t>ＦＡＸ番号</t>
    <phoneticPr fontId="5"/>
  </si>
  <si>
    <t>fax_no</t>
  </si>
  <si>
    <t>カテゴリ</t>
    <phoneticPr fontId="5"/>
  </si>
  <si>
    <t>category</t>
  </si>
  <si>
    <t>ケース入数</t>
    <phoneticPr fontId="5"/>
  </si>
  <si>
    <t>case_irisu</t>
  </si>
  <si>
    <t>code</t>
  </si>
  <si>
    <t>コート液濃度 (%)</t>
    <phoneticPr fontId="5"/>
  </si>
  <si>
    <t>coating_nodo</t>
  </si>
  <si>
    <t>変更</t>
    <rPh sb="0" eb="2">
      <t>ヘンコウ</t>
    </rPh>
    <phoneticPr fontId="21"/>
  </si>
  <si>
    <t>コート量 (g/㎡)</t>
    <phoneticPr fontId="5"/>
  </si>
  <si>
    <t>coating_amount</t>
  </si>
  <si>
    <t>システム権限フラグ</t>
    <phoneticPr fontId="5"/>
  </si>
  <si>
    <t>system_auth_flg</t>
    <phoneticPr fontId="5"/>
  </si>
  <si>
    <t>パスワード</t>
    <phoneticPr fontId="5"/>
  </si>
  <si>
    <t>password</t>
  </si>
  <si>
    <t>パック入数</t>
    <phoneticPr fontId="5"/>
  </si>
  <si>
    <t>pakku_irisu</t>
  </si>
  <si>
    <t>ベール数</t>
    <phoneticPr fontId="5"/>
  </si>
  <si>
    <t>bale_su</t>
  </si>
  <si>
    <t>メニュー名</t>
    <phoneticPr fontId="5"/>
  </si>
  <si>
    <t>menu_nm</t>
  </si>
  <si>
    <t>リップカット種</t>
    <phoneticPr fontId="5"/>
  </si>
  <si>
    <t>lip</t>
  </si>
  <si>
    <t>扱店フラグ</t>
    <phoneticPr fontId="5"/>
  </si>
  <si>
    <t>atsukaiten_flg</t>
  </si>
  <si>
    <t>委託販売区分</t>
    <phoneticPr fontId="5"/>
  </si>
  <si>
    <t>itaku_sales_kbn</t>
  </si>
  <si>
    <t>運送会社フラグ</t>
    <phoneticPr fontId="5"/>
  </si>
  <si>
    <t>unsokaisha_flg</t>
  </si>
  <si>
    <t>加巻長さ</t>
    <phoneticPr fontId="5"/>
  </si>
  <si>
    <t>kamaki_length</t>
  </si>
  <si>
    <t>加巻率</t>
    <phoneticPr fontId="5"/>
  </si>
  <si>
    <t>kamaki_rate</t>
  </si>
  <si>
    <t>回収サイト</t>
    <phoneticPr fontId="5"/>
  </si>
  <si>
    <t>kaishu_site</t>
  </si>
  <si>
    <t>回収境界金額</t>
    <phoneticPr fontId="5"/>
  </si>
  <si>
    <t>kaishu_amount</t>
  </si>
  <si>
    <t>回収区分</t>
    <phoneticPr fontId="5"/>
  </si>
  <si>
    <t>kaishu_kbn</t>
  </si>
  <si>
    <t>回収月数</t>
    <phoneticPr fontId="5"/>
  </si>
  <si>
    <t>kaishu_gessu</t>
  </si>
  <si>
    <t>回収日</t>
    <phoneticPr fontId="5"/>
  </si>
  <si>
    <t>kaishubi</t>
  </si>
  <si>
    <t>改定年月日</t>
    <phoneticPr fontId="5"/>
  </si>
  <si>
    <t>kaitei_date</t>
  </si>
  <si>
    <t>開始時間</t>
    <phoneticPr fontId="5"/>
  </si>
  <si>
    <t>kaishi_datetime</t>
  </si>
  <si>
    <t>外注加工先フラグ</t>
    <phoneticPr fontId="5"/>
  </si>
  <si>
    <t>gaichukakosaki_flg</t>
  </si>
  <si>
    <t>保管場所区分</t>
    <rPh sb="0" eb="4">
      <t>ホカンバショ</t>
    </rPh>
    <rPh sb="4" eb="6">
      <t>クブン</t>
    </rPh>
    <phoneticPr fontId="5"/>
  </si>
  <si>
    <t>hokan_basho_kbn</t>
    <phoneticPr fontId="21"/>
  </si>
  <si>
    <t>管轄コード</t>
    <phoneticPr fontId="5"/>
  </si>
  <si>
    <t>kankatsu_cd</t>
  </si>
  <si>
    <t>管轄名</t>
    <phoneticPr fontId="5"/>
  </si>
  <si>
    <t>kankatsu_nm</t>
  </si>
  <si>
    <t>丸め区分</t>
    <phoneticPr fontId="5"/>
  </si>
  <si>
    <t>marume_kbn</t>
  </si>
  <si>
    <t>含浸液濃度 (%)</t>
    <phoneticPr fontId="5"/>
  </si>
  <si>
    <t>ganshin_nodo</t>
  </si>
  <si>
    <t>含浸量 (g/㎡)</t>
    <phoneticPr fontId="5"/>
  </si>
  <si>
    <t>ganshin_ryo</t>
  </si>
  <si>
    <t>基準日</t>
    <phoneticPr fontId="5"/>
  </si>
  <si>
    <t>kijun_date</t>
    <phoneticPr fontId="5"/>
  </si>
  <si>
    <t>機能コード</t>
    <phoneticPr fontId="5"/>
  </si>
  <si>
    <t>kino_cd</t>
  </si>
  <si>
    <t>機能名</t>
    <phoneticPr fontId="5"/>
  </si>
  <si>
    <t>kino_nm</t>
  </si>
  <si>
    <t>起動アプリID</t>
    <phoneticPr fontId="5"/>
  </si>
  <si>
    <t>start_app_id</t>
  </si>
  <si>
    <t>休日フラグ</t>
    <phoneticPr fontId="5"/>
  </si>
  <si>
    <t>kyujitsu_flg</t>
  </si>
  <si>
    <t>gyosha_cd</t>
  </si>
  <si>
    <t>業者メイ</t>
    <phoneticPr fontId="5"/>
  </si>
  <si>
    <t>gyosha_kana_nm</t>
  </si>
  <si>
    <t>業者英名</t>
    <phoneticPr fontId="5"/>
  </si>
  <si>
    <t>gyosha_eng_nm</t>
  </si>
  <si>
    <t>業者区分</t>
    <phoneticPr fontId="5"/>
  </si>
  <si>
    <t>gyosha_kbn</t>
  </si>
  <si>
    <t>業者短縮メイ</t>
    <phoneticPr fontId="5"/>
  </si>
  <si>
    <t>gyosha_ryaku_kana_nm</t>
  </si>
  <si>
    <t>業者短縮名</t>
    <phoneticPr fontId="5"/>
  </si>
  <si>
    <t>gyosha_ryaku_nm</t>
  </si>
  <si>
    <t>業者名</t>
    <phoneticPr fontId="5"/>
  </si>
  <si>
    <t>gyosha_nm</t>
  </si>
  <si>
    <t>業務区分</t>
    <phoneticPr fontId="5"/>
  </si>
  <si>
    <t>gyomu_kbn</t>
  </si>
  <si>
    <t>業務識別コード</t>
    <phoneticPr fontId="5"/>
  </si>
  <si>
    <t>gyomu_shikibetsu_cd</t>
  </si>
  <si>
    <t>業務識別区分</t>
    <phoneticPr fontId="5"/>
  </si>
  <si>
    <t>gyomu_shikibetsu_kbn</t>
  </si>
  <si>
    <t>kbn</t>
  </si>
  <si>
    <t>経費コード</t>
    <phoneticPr fontId="5"/>
  </si>
  <si>
    <t>keihi_cd</t>
  </si>
  <si>
    <t>経費名</t>
    <phoneticPr fontId="5"/>
  </si>
  <si>
    <t>keihi_nm</t>
  </si>
  <si>
    <t>桁数</t>
    <phoneticPr fontId="5"/>
  </si>
  <si>
    <t>ketasu</t>
  </si>
  <si>
    <t>原反幅</t>
    <phoneticPr fontId="5"/>
  </si>
  <si>
    <t>gentan_width</t>
  </si>
  <si>
    <t>kotei_cd</t>
  </si>
  <si>
    <t>工程名</t>
    <phoneticPr fontId="5"/>
  </si>
  <si>
    <t>kotei_nm</t>
  </si>
  <si>
    <t>工程略称</t>
    <phoneticPr fontId="5"/>
  </si>
  <si>
    <t>kotei_ryaku_nm</t>
  </si>
  <si>
    <t>update_user_cd</t>
  </si>
  <si>
    <t>更新者名</t>
    <phoneticPr fontId="5"/>
  </si>
  <si>
    <t>update_user_nm</t>
  </si>
  <si>
    <t>購入単価</t>
    <phoneticPr fontId="5"/>
  </si>
  <si>
    <t>konyu_price</t>
  </si>
  <si>
    <t>購入単価単位</t>
    <phoneticPr fontId="5"/>
  </si>
  <si>
    <t>konyu_price_unit</t>
  </si>
  <si>
    <t>国内海外区分</t>
    <phoneticPr fontId="5"/>
  </si>
  <si>
    <t>kokunai_kaigai_kbn</t>
  </si>
  <si>
    <t>最終承認フラグ</t>
    <phoneticPr fontId="5"/>
  </si>
  <si>
    <t>saishu_shonin_flg</t>
  </si>
  <si>
    <t>最大幅</t>
    <phoneticPr fontId="5"/>
  </si>
  <si>
    <t>max_width</t>
  </si>
  <si>
    <t>在庫管理区分</t>
    <phoneticPr fontId="5"/>
  </si>
  <si>
    <t>zaiko_kanri_kbn</t>
  </si>
  <si>
    <t>delete_flg</t>
  </si>
  <si>
    <t>仕入先フラグ</t>
    <phoneticPr fontId="5"/>
  </si>
  <si>
    <t>shiiresaki_flg</t>
  </si>
  <si>
    <t>仕入締日</t>
    <phoneticPr fontId="5"/>
  </si>
  <si>
    <t>shiire_shimebi</t>
  </si>
  <si>
    <t>仕様枚数</t>
    <phoneticPr fontId="5"/>
  </si>
  <si>
    <t>spec_maisu</t>
  </si>
  <si>
    <t>支払月数</t>
    <phoneticPr fontId="5"/>
  </si>
  <si>
    <t>shiharai_tsukisu</t>
  </si>
  <si>
    <t>支払日</t>
    <phoneticPr fontId="5"/>
  </si>
  <si>
    <t>shiharaibi</t>
  </si>
  <si>
    <t>借方科目コード</t>
    <phoneticPr fontId="5"/>
  </si>
  <si>
    <t>karikata_cd</t>
  </si>
  <si>
    <t>借方補助科目コード</t>
    <phoneticPr fontId="5"/>
  </si>
  <si>
    <t>karikata_hojo_cd</t>
  </si>
  <si>
    <t>shukan_kotei_cd</t>
  </si>
  <si>
    <t>shukan_busho_cd</t>
  </si>
  <si>
    <t>住所</t>
    <phoneticPr fontId="5"/>
  </si>
  <si>
    <t>address</t>
  </si>
  <si>
    <t>住所英名</t>
    <phoneticPr fontId="5"/>
  </si>
  <si>
    <t>address_eng</t>
  </si>
  <si>
    <t>juryo</t>
  </si>
  <si>
    <t>承認権限フラグ</t>
    <phoneticPr fontId="5"/>
  </si>
  <si>
    <t>shonin_auth_flg</t>
  </si>
  <si>
    <t>承認順</t>
    <phoneticPr fontId="5"/>
  </si>
  <si>
    <t>shonin_order</t>
  </si>
  <si>
    <t>消費税計算区分</t>
    <phoneticPr fontId="5"/>
  </si>
  <si>
    <r>
      <t>tax_</t>
    </r>
    <r>
      <rPr>
        <sz val="11"/>
        <color rgb="FFFF0000"/>
        <rFont val="游ゴシック"/>
        <family val="3"/>
        <charset val="128"/>
        <scheme val="minor"/>
      </rPr>
      <t>calc</t>
    </r>
    <r>
      <rPr>
        <sz val="10"/>
        <color theme="1"/>
        <rFont val="Meiryo UI"/>
        <family val="2"/>
        <charset val="128"/>
      </rPr>
      <t>_kbn</t>
    </r>
    <phoneticPr fontId="21"/>
  </si>
  <si>
    <t>消費税率区分</t>
    <phoneticPr fontId="5"/>
  </si>
  <si>
    <t>tax_rate_kbn</t>
  </si>
  <si>
    <t>積込場所フラグ</t>
    <rPh sb="0" eb="2">
      <t>ツミコミ</t>
    </rPh>
    <rPh sb="2" eb="4">
      <t>バショ</t>
    </rPh>
    <phoneticPr fontId="5"/>
  </si>
  <si>
    <t>tsumikomi_basho_flg</t>
    <phoneticPr fontId="21"/>
  </si>
  <si>
    <t>森林認証対象区分</t>
    <phoneticPr fontId="5"/>
  </si>
  <si>
    <t>fsc_kbn</t>
  </si>
  <si>
    <t>数量計算区分</t>
    <phoneticPr fontId="5"/>
  </si>
  <si>
    <t>qty_calc_kbn</t>
  </si>
  <si>
    <t>数量単位</t>
    <phoneticPr fontId="5"/>
  </si>
  <si>
    <t>qty_unit</t>
  </si>
  <si>
    <t>生産管理区分</t>
    <phoneticPr fontId="5"/>
  </si>
  <si>
    <t>seisan_kanri_kbn</t>
  </si>
  <si>
    <t>生産状況権限フラグ</t>
    <phoneticPr fontId="5"/>
  </si>
  <si>
    <t>seisan_jokyo_auth_flg</t>
  </si>
  <si>
    <t>製品区分</t>
    <phoneticPr fontId="5"/>
  </si>
  <si>
    <t>seihin_kbn</t>
  </si>
  <si>
    <t>製品識別区分</t>
    <phoneticPr fontId="5"/>
  </si>
  <si>
    <t>seihin_shikibetsu_kbn</t>
  </si>
  <si>
    <t>seihin_no</t>
  </si>
  <si>
    <t>製品分類コード</t>
    <phoneticPr fontId="5"/>
  </si>
  <si>
    <t>seihin_bunrui_cd</t>
  </si>
  <si>
    <t>製品分類コード1</t>
    <phoneticPr fontId="5"/>
  </si>
  <si>
    <t>seihin_bunrui_cd_1</t>
  </si>
  <si>
    <t>製品分類コード2</t>
    <phoneticPr fontId="5"/>
  </si>
  <si>
    <t>seihin_bunrui_cd_2</t>
  </si>
  <si>
    <t>製品分類コード3</t>
    <phoneticPr fontId="5"/>
  </si>
  <si>
    <t>seihin_bunrui_cd_3</t>
  </si>
  <si>
    <t>製品分類コード4</t>
    <phoneticPr fontId="5"/>
  </si>
  <si>
    <t>seihin_bunrui_cd_4</t>
  </si>
  <si>
    <t>製品分類コード5</t>
    <phoneticPr fontId="5"/>
  </si>
  <si>
    <t>seihin_bunrui_cd_5</t>
  </si>
  <si>
    <t>製品分類コード6</t>
    <phoneticPr fontId="5"/>
  </si>
  <si>
    <t>seihin_bunrui_cd_6</t>
  </si>
  <si>
    <t>製品分類コード7</t>
    <phoneticPr fontId="5"/>
  </si>
  <si>
    <t>seihin_bunrui_cd_7</t>
  </si>
  <si>
    <t>製品分類フラグ1</t>
    <phoneticPr fontId="5"/>
  </si>
  <si>
    <t>seihin_bunrui_flg_1</t>
  </si>
  <si>
    <t>製品分類フラグ2</t>
    <phoneticPr fontId="5"/>
  </si>
  <si>
    <t>seihin_bunrui_flg_2</t>
  </si>
  <si>
    <t>製品分類フラグ3</t>
    <phoneticPr fontId="5"/>
  </si>
  <si>
    <t>seihin_bunrui_flg_3</t>
  </si>
  <si>
    <t>製品分類フラグ4</t>
    <phoneticPr fontId="5"/>
  </si>
  <si>
    <t>seihin_bunrui_flg_4</t>
  </si>
  <si>
    <t>製品分類フラグ5</t>
    <phoneticPr fontId="5"/>
  </si>
  <si>
    <t>seihin_bunrui_flg_5</t>
  </si>
  <si>
    <t>製品分類フラグ6</t>
    <phoneticPr fontId="5"/>
  </si>
  <si>
    <t>seihin_bunrui_flg_6</t>
  </si>
  <si>
    <t>製品分類フラグ7</t>
    <phoneticPr fontId="5"/>
  </si>
  <si>
    <t>seihin_bunrui_flg_7</t>
  </si>
  <si>
    <t>製品分類区分</t>
    <phoneticPr fontId="5"/>
  </si>
  <si>
    <t>seihin_bunrui_kbn</t>
  </si>
  <si>
    <t>製品分類名</t>
    <phoneticPr fontId="5"/>
  </si>
  <si>
    <t>seihin_bunrui_nm</t>
  </si>
  <si>
    <t>請求分類コード</t>
    <phoneticPr fontId="5"/>
  </si>
  <si>
    <t>seikyu_bunrui_cd</t>
  </si>
  <si>
    <t>setsubi_cd</t>
  </si>
  <si>
    <t>設備識別コード</t>
    <phoneticPr fontId="5"/>
  </si>
  <si>
    <t>setsubi_shikibetsu_cd</t>
  </si>
  <si>
    <t>袋数</t>
    <phoneticPr fontId="5"/>
  </si>
  <si>
    <t>fukuro_su</t>
  </si>
  <si>
    <t>貸方科目コード</t>
    <phoneticPr fontId="5"/>
  </si>
  <si>
    <t>kashikata_cd</t>
  </si>
  <si>
    <t>貸方補助科目コード</t>
    <phoneticPr fontId="5"/>
  </si>
  <si>
    <t>kashikata_hojo_cd</t>
  </si>
  <si>
    <t>品種大分類名</t>
    <rPh sb="0" eb="2">
      <t>ヒンシュ</t>
    </rPh>
    <phoneticPr fontId="5"/>
  </si>
  <si>
    <t>hinshu_daibunrui_nm</t>
    <phoneticPr fontId="21"/>
  </si>
  <si>
    <t>単位コード</t>
    <phoneticPr fontId="5"/>
  </si>
  <si>
    <t>unit_cd</t>
  </si>
  <si>
    <t>単位種別</t>
    <phoneticPr fontId="5"/>
  </si>
  <si>
    <t>unit_type</t>
  </si>
  <si>
    <t>単位重量</t>
    <phoneticPr fontId="5"/>
  </si>
  <si>
    <t>unit_juryo</t>
    <phoneticPr fontId="5"/>
  </si>
  <si>
    <t>単位重量コード</t>
    <phoneticPr fontId="5"/>
  </si>
  <si>
    <t>unit_juryo_cd</t>
    <phoneticPr fontId="5"/>
  </si>
  <si>
    <t>単位名</t>
    <phoneticPr fontId="5"/>
  </si>
  <si>
    <t>unit_nm</t>
  </si>
  <si>
    <t>担当者氏名１</t>
    <phoneticPr fontId="5"/>
  </si>
  <si>
    <t>tantosya_nm_1</t>
  </si>
  <si>
    <t>担当者氏名２</t>
    <phoneticPr fontId="5"/>
  </si>
  <si>
    <t>tantosya_nm_2</t>
  </si>
  <si>
    <t>担当者部課１</t>
    <phoneticPr fontId="5"/>
  </si>
  <si>
    <t>tantosya_buka_1</t>
  </si>
  <si>
    <t>担当者部課２</t>
    <phoneticPr fontId="5"/>
  </si>
  <si>
    <t>tantosya_buka_2</t>
  </si>
  <si>
    <t>担当者名</t>
    <phoneticPr fontId="5"/>
  </si>
  <si>
    <t>tantosya_nm</t>
  </si>
  <si>
    <t>品種中分類名</t>
    <rPh sb="0" eb="2">
      <t>ヒンシュ</t>
    </rPh>
    <phoneticPr fontId="5"/>
  </si>
  <si>
    <t>hinshu_chubunrui_nm</t>
    <phoneticPr fontId="21"/>
  </si>
  <si>
    <t>length</t>
  </si>
  <si>
    <t>通貨コード</t>
    <phoneticPr fontId="5"/>
  </si>
  <si>
    <t>currency_cd</t>
  </si>
  <si>
    <t>通貨記号</t>
    <phoneticPr fontId="5"/>
  </si>
  <si>
    <t>currency_symbol</t>
  </si>
  <si>
    <t>通貨名</t>
    <phoneticPr fontId="5"/>
  </si>
  <si>
    <t>currency_nm</t>
  </si>
  <si>
    <t>paper_weight</t>
  </si>
  <si>
    <t>摘要名</t>
    <phoneticPr fontId="5"/>
  </si>
  <si>
    <t>tekiyo_nm</t>
  </si>
  <si>
    <t>伝票NO</t>
    <phoneticPr fontId="5"/>
  </si>
  <si>
    <t>denpyo_no</t>
  </si>
  <si>
    <t>電話番号１</t>
    <phoneticPr fontId="5"/>
  </si>
  <si>
    <t>phone_no</t>
  </si>
  <si>
    <t>電話番号２</t>
    <phoneticPr fontId="5"/>
  </si>
  <si>
    <t>phone_no_eng</t>
  </si>
  <si>
    <t>insert_user_cd</t>
  </si>
  <si>
    <t>登録者名</t>
    <phoneticPr fontId="5"/>
  </si>
  <si>
    <t>insert_user_nm</t>
  </si>
  <si>
    <t>insert_datetime</t>
  </si>
  <si>
    <t>得意先フラグ</t>
    <phoneticPr fontId="5"/>
  </si>
  <si>
    <t>tokuisaki_flg</t>
  </si>
  <si>
    <t>年月日</t>
    <phoneticPr fontId="5"/>
  </si>
  <si>
    <t>calendar_date</t>
  </si>
  <si>
    <t>納入先フラグ</t>
    <phoneticPr fontId="5"/>
  </si>
  <si>
    <t>nounyusaki_flg</t>
  </si>
  <si>
    <t>売上締日</t>
    <phoneticPr fontId="5"/>
  </si>
  <si>
    <t>uriage_shimebi</t>
  </si>
  <si>
    <t>発番連番</t>
    <phoneticPr fontId="5"/>
  </si>
  <si>
    <t>hatsuban_renban</t>
  </si>
  <si>
    <t>販売単価</t>
    <phoneticPr fontId="5"/>
  </si>
  <si>
    <t>hanbai_price</t>
  </si>
  <si>
    <t>販売単価単位</t>
    <phoneticPr fontId="5"/>
  </si>
  <si>
    <t>hanbai_price_unit</t>
  </si>
  <si>
    <t>hiritsu</t>
  </si>
  <si>
    <t>表示順</t>
    <phoneticPr fontId="5"/>
  </si>
  <si>
    <t>disp_order</t>
  </si>
  <si>
    <t>hinshu_cd</t>
  </si>
  <si>
    <t>品種大分類コード</t>
    <phoneticPr fontId="5"/>
  </si>
  <si>
    <t>hinshu_daibunrui_cd</t>
    <phoneticPr fontId="21"/>
  </si>
  <si>
    <t>品種中分類コード</t>
    <phoneticPr fontId="5"/>
  </si>
  <si>
    <t>hinshu_chubunrui_cd</t>
    <phoneticPr fontId="21"/>
  </si>
  <si>
    <t>品種名</t>
    <phoneticPr fontId="5"/>
  </si>
  <si>
    <t>hinshu_nm</t>
  </si>
  <si>
    <t>品種名英名</t>
    <phoneticPr fontId="5"/>
  </si>
  <si>
    <t>hinshu_eng_nm</t>
  </si>
  <si>
    <t>部署コード</t>
    <phoneticPr fontId="5"/>
  </si>
  <si>
    <t>busho_cd</t>
  </si>
  <si>
    <t>部署工程権限フラグ</t>
    <phoneticPr fontId="5"/>
  </si>
  <si>
    <t>busho_kotei_auth_flg</t>
  </si>
  <si>
    <t>部署名</t>
    <phoneticPr fontId="5"/>
  </si>
  <si>
    <t>busho_nm</t>
  </si>
  <si>
    <t>width</t>
  </si>
  <si>
    <t>分類明細コード</t>
    <phoneticPr fontId="5"/>
  </si>
  <si>
    <t>bunrui_meisai_cd</t>
  </si>
  <si>
    <t>編集権限フラグ</t>
    <phoneticPr fontId="5"/>
  </si>
  <si>
    <t>henshu_auth_flg</t>
  </si>
  <si>
    <t>保管場所コード</t>
    <phoneticPr fontId="5"/>
  </si>
  <si>
    <r>
      <t>hokan</t>
    </r>
    <r>
      <rPr>
        <sz val="11"/>
        <color rgb="FFFF0000"/>
        <rFont val="游ゴシック"/>
        <family val="3"/>
        <charset val="128"/>
        <scheme val="minor"/>
      </rPr>
      <t>_</t>
    </r>
    <r>
      <rPr>
        <sz val="10"/>
        <color theme="1"/>
        <rFont val="Meiryo UI"/>
        <family val="2"/>
        <charset val="128"/>
      </rPr>
      <t>basho_cd</t>
    </r>
    <phoneticPr fontId="21"/>
  </si>
  <si>
    <t>保管場所名</t>
    <phoneticPr fontId="5"/>
  </si>
  <si>
    <r>
      <t>hokan</t>
    </r>
    <r>
      <rPr>
        <sz val="11"/>
        <color rgb="FFFF0000"/>
        <rFont val="游ゴシック"/>
        <family val="3"/>
        <charset val="128"/>
        <scheme val="minor"/>
      </rPr>
      <t>_</t>
    </r>
    <r>
      <rPr>
        <sz val="10"/>
        <color theme="1"/>
        <rFont val="Meiryo UI"/>
        <family val="2"/>
        <charset val="128"/>
      </rPr>
      <t>basho_nm</t>
    </r>
    <phoneticPr fontId="21"/>
  </si>
  <si>
    <t>本体計算区分</t>
    <phoneticPr fontId="5"/>
  </si>
  <si>
    <t>hontai_calc_kbn</t>
  </si>
  <si>
    <t>名称</t>
    <phoneticPr fontId="5"/>
  </si>
  <si>
    <t>name</t>
  </si>
  <si>
    <t>薬品記号</t>
    <phoneticPr fontId="5"/>
  </si>
  <si>
    <t>yakuhin_kigo</t>
  </si>
  <si>
    <t>薬品固形分</t>
    <phoneticPr fontId="5"/>
  </si>
  <si>
    <t>yakuhin_koeibun</t>
  </si>
  <si>
    <t>薬品固形分区分</t>
    <phoneticPr fontId="5"/>
  </si>
  <si>
    <t>yakuhin_kokeibun_kbn</t>
  </si>
  <si>
    <t>有効期限</t>
    <phoneticPr fontId="5"/>
  </si>
  <si>
    <t>yukokigen</t>
  </si>
  <si>
    <t>郵便番号</t>
    <phoneticPr fontId="5"/>
  </si>
  <si>
    <t>post_no</t>
  </si>
  <si>
    <t>余尺</t>
    <phoneticPr fontId="5"/>
  </si>
  <si>
    <t>yosyaku</t>
  </si>
  <si>
    <t>利用者コード</t>
    <phoneticPr fontId="5"/>
  </si>
  <si>
    <t>user_cd</t>
  </si>
  <si>
    <r>
      <t>利用者</t>
    </r>
    <r>
      <rPr>
        <sz val="11"/>
        <color rgb="FFFF0000"/>
        <rFont val="游ゴシック"/>
        <family val="3"/>
        <charset val="128"/>
        <scheme val="minor"/>
      </rPr>
      <t>氏名</t>
    </r>
    <rPh sb="3" eb="5">
      <t>シメイ</t>
    </rPh>
    <phoneticPr fontId="5"/>
  </si>
  <si>
    <t>user_nm</t>
  </si>
  <si>
    <r>
      <t>利用者</t>
    </r>
    <r>
      <rPr>
        <sz val="11"/>
        <rFont val="游ゴシック"/>
        <family val="3"/>
        <charset val="128"/>
        <scheme val="minor"/>
      </rPr>
      <t>略称</t>
    </r>
    <rPh sb="3" eb="5">
      <t>リャクショウ</t>
    </rPh>
    <phoneticPr fontId="5"/>
  </si>
  <si>
    <r>
      <t>user_</t>
    </r>
    <r>
      <rPr>
        <sz val="10"/>
        <color theme="1"/>
        <rFont val="Meiryo UI"/>
        <family val="2"/>
        <charset val="128"/>
      </rPr>
      <t>short_</t>
    </r>
    <r>
      <rPr>
        <sz val="10"/>
        <color theme="1"/>
        <rFont val="Meiryo UI"/>
        <family val="2"/>
        <charset val="128"/>
      </rPr>
      <t>nm</t>
    </r>
    <phoneticPr fontId="21"/>
  </si>
  <si>
    <t>追加</t>
    <rPh sb="0" eb="2">
      <t>ツイカ</t>
    </rPh>
    <phoneticPr fontId="21"/>
  </si>
  <si>
    <t>連番</t>
    <phoneticPr fontId="5"/>
  </si>
  <si>
    <t>renban</t>
  </si>
  <si>
    <t>登録機能コード</t>
    <rPh sb="0" eb="2">
      <t>トウロク</t>
    </rPh>
    <rPh sb="2" eb="4">
      <t>キノウ</t>
    </rPh>
    <phoneticPr fontId="5"/>
  </si>
  <si>
    <t>insert_func_cd</t>
  </si>
  <si>
    <t>更新機能コード</t>
    <rPh sb="0" eb="2">
      <t>コウシン</t>
    </rPh>
    <rPh sb="2" eb="4">
      <t>キノウ</t>
    </rPh>
    <phoneticPr fontId="5"/>
  </si>
  <si>
    <t>update_func_cd</t>
  </si>
  <si>
    <t>生産計画№</t>
    <rPh sb="0" eb="2">
      <t>セイサン</t>
    </rPh>
    <rPh sb="2" eb="4">
      <t>ケイカク</t>
    </rPh>
    <phoneticPr fontId="5"/>
  </si>
  <si>
    <t>seisan_keikaku_no</t>
  </si>
  <si>
    <t>丁取</t>
    <rPh sb="0" eb="1">
      <t>チョウ</t>
    </rPh>
    <rPh sb="1" eb="2">
      <t>トリ</t>
    </rPh>
    <phoneticPr fontId="5"/>
  </si>
  <si>
    <t>chodori</t>
  </si>
  <si>
    <t>整理№</t>
    <rPh sb="0" eb="2">
      <t>セイリ</t>
    </rPh>
    <phoneticPr fontId="5"/>
  </si>
  <si>
    <t>seiri_no</t>
  </si>
  <si>
    <t>設備</t>
    <rPh sb="0" eb="2">
      <t>セツビ</t>
    </rPh>
    <phoneticPr fontId="5"/>
  </si>
  <si>
    <t>setsubi</t>
  </si>
  <si>
    <t>作業日</t>
    <rPh sb="0" eb="2">
      <t>サギョウ</t>
    </rPh>
    <rPh sb="2" eb="3">
      <t>ヒ</t>
    </rPh>
    <phoneticPr fontId="5"/>
  </si>
  <si>
    <t>sagyo_date</t>
  </si>
  <si>
    <t>開始時予定</t>
    <rPh sb="0" eb="2">
      <t>カイシ</t>
    </rPh>
    <rPh sb="2" eb="3">
      <t>ジ</t>
    </rPh>
    <rPh sb="3" eb="5">
      <t>ヨテイ</t>
    </rPh>
    <phoneticPr fontId="5"/>
  </si>
  <si>
    <t>start_yotei_time</t>
  </si>
  <si>
    <t>終了日予定</t>
    <rPh sb="0" eb="2">
      <t>シュウリョウ</t>
    </rPh>
    <rPh sb="2" eb="3">
      <t>ヒ</t>
    </rPh>
    <rPh sb="3" eb="5">
      <t>ヨテイ</t>
    </rPh>
    <phoneticPr fontId="5"/>
  </si>
  <si>
    <t>end_yotei_date</t>
  </si>
  <si>
    <t>終了時予定</t>
    <rPh sb="0" eb="2">
      <t>シュウリョウ</t>
    </rPh>
    <rPh sb="2" eb="3">
      <t>ジ</t>
    </rPh>
    <rPh sb="3" eb="5">
      <t>ヨテイ</t>
    </rPh>
    <phoneticPr fontId="5"/>
  </si>
  <si>
    <t>end_yotei_time</t>
  </si>
  <si>
    <t>時間</t>
    <rPh sb="0" eb="2">
      <t>ジカン</t>
    </rPh>
    <phoneticPr fontId="5"/>
  </si>
  <si>
    <t>time</t>
  </si>
  <si>
    <t>色</t>
    <rPh sb="0" eb="1">
      <t>イロ</t>
    </rPh>
    <phoneticPr fontId="5"/>
  </si>
  <si>
    <t>color</t>
  </si>
  <si>
    <t>作業区分</t>
    <rPh sb="0" eb="2">
      <t>サギョウ</t>
    </rPh>
    <rPh sb="2" eb="4">
      <t>クブン</t>
    </rPh>
    <phoneticPr fontId="5"/>
  </si>
  <si>
    <t>sagyo_kbn</t>
  </si>
  <si>
    <t>作業コメント</t>
    <rPh sb="0" eb="2">
      <t>サギョウ</t>
    </rPh>
    <phoneticPr fontId="5"/>
  </si>
  <si>
    <t>sagyo_comment</t>
  </si>
  <si>
    <t>受注№</t>
    <rPh sb="0" eb="2">
      <t>ジュチュウ</t>
    </rPh>
    <phoneticPr fontId="5"/>
  </si>
  <si>
    <t>juchu_no</t>
  </si>
  <si>
    <t>丁取区分</t>
    <rPh sb="0" eb="1">
      <t>チョウ</t>
    </rPh>
    <rPh sb="1" eb="2">
      <t>トリ</t>
    </rPh>
    <rPh sb="2" eb="4">
      <t>クブン</t>
    </rPh>
    <phoneticPr fontId="5"/>
  </si>
  <si>
    <t>chodori_kbn</t>
  </si>
  <si>
    <t>顧客コード</t>
    <rPh sb="0" eb="2">
      <t>コキャク</t>
    </rPh>
    <phoneticPr fontId="5"/>
  </si>
  <si>
    <t>kokyaku_cd</t>
  </si>
  <si>
    <t>顧客</t>
    <rPh sb="0" eb="2">
      <t>コキャク</t>
    </rPh>
    <phoneticPr fontId="5"/>
  </si>
  <si>
    <t>kokyaku_nm</t>
  </si>
  <si>
    <t>hinmei</t>
  </si>
  <si>
    <t>卸数予定</t>
  </si>
  <si>
    <t>oroshisu_yotei</t>
  </si>
  <si>
    <t>卸数最低</t>
  </si>
  <si>
    <t>oroshisu_saitei</t>
  </si>
  <si>
    <t>抄速</t>
    <rPh sb="0" eb="1">
      <t>ショウ</t>
    </rPh>
    <rPh sb="1" eb="2">
      <t>ソク</t>
    </rPh>
    <phoneticPr fontId="5"/>
  </si>
  <si>
    <t>shosoku</t>
  </si>
  <si>
    <t>白ラベル</t>
    <rPh sb="0" eb="1">
      <t>シロ</t>
    </rPh>
    <phoneticPr fontId="5"/>
  </si>
  <si>
    <t>white_label</t>
  </si>
  <si>
    <t>分類番号</t>
  </si>
  <si>
    <t>bunrui_bango</t>
  </si>
  <si>
    <t>移動先倉庫コード</t>
    <rPh sb="0" eb="2">
      <t>イドウ</t>
    </rPh>
    <rPh sb="2" eb="3">
      <t>サキ</t>
    </rPh>
    <rPh sb="3" eb="5">
      <t>ソウコ</t>
    </rPh>
    <phoneticPr fontId="5"/>
  </si>
  <si>
    <t>idosaki_soko_cd</t>
  </si>
  <si>
    <t>biko</t>
  </si>
  <si>
    <t>公休日</t>
    <rPh sb="0" eb="2">
      <t>コウキュウ</t>
    </rPh>
    <rPh sb="2" eb="3">
      <t>ヒ</t>
    </rPh>
    <phoneticPr fontId="5"/>
  </si>
  <si>
    <t>kokyu_date</t>
  </si>
  <si>
    <t>公休日数</t>
    <rPh sb="0" eb="2">
      <t>コウキュウ</t>
    </rPh>
    <rPh sb="2" eb="4">
      <t>ニッスウ</t>
    </rPh>
    <phoneticPr fontId="5"/>
  </si>
  <si>
    <t>kokyu_nisu</t>
  </si>
  <si>
    <t>生産指示フラグ</t>
    <rPh sb="0" eb="2">
      <t>セイサン</t>
    </rPh>
    <rPh sb="2" eb="4">
      <t>シジ</t>
    </rPh>
    <phoneticPr fontId="5"/>
  </si>
  <si>
    <t>seisan_shiji_flg</t>
  </si>
  <si>
    <t>計画外フラグ</t>
    <rPh sb="0" eb="3">
      <t>ケイカクガイ</t>
    </rPh>
    <phoneticPr fontId="5"/>
  </si>
  <si>
    <t>keikakugai_flg</t>
  </si>
  <si>
    <t>加工実績フラグ</t>
    <rPh sb="0" eb="2">
      <t>カコウ</t>
    </rPh>
    <rPh sb="2" eb="4">
      <t>ジッセキ</t>
    </rPh>
    <phoneticPr fontId="5"/>
  </si>
  <si>
    <t>kako_jisseki_flg</t>
  </si>
  <si>
    <t>仕上実績フラグ</t>
    <rPh sb="0" eb="4">
      <t>シアゲジッセキ</t>
    </rPh>
    <phoneticPr fontId="5"/>
  </si>
  <si>
    <t>shiage_jisseki_flg</t>
  </si>
  <si>
    <t>計画終了日</t>
    <rPh sb="0" eb="5">
      <t>ケイカクシュウリョウビ</t>
    </rPh>
    <phoneticPr fontId="5"/>
  </si>
  <si>
    <t>keikaku_end_date</t>
  </si>
  <si>
    <t>計画終了フラグ</t>
    <rPh sb="0" eb="4">
      <t>ケイカクシュウリョウ</t>
    </rPh>
    <phoneticPr fontId="5"/>
  </si>
  <si>
    <t>keikaku_end_flg</t>
  </si>
  <si>
    <t>変更理由日時</t>
    <rPh sb="0" eb="2">
      <t>ヘンコウ</t>
    </rPh>
    <rPh sb="2" eb="4">
      <t>リユウ</t>
    </rPh>
    <rPh sb="4" eb="6">
      <t>ニチジ</t>
    </rPh>
    <phoneticPr fontId="5"/>
  </si>
  <si>
    <t>henko_riyu_datetime</t>
  </si>
  <si>
    <t>変更理由</t>
    <rPh sb="0" eb="2">
      <t>ヘンコウ</t>
    </rPh>
    <rPh sb="2" eb="4">
      <t>リユウ</t>
    </rPh>
    <phoneticPr fontId="5"/>
  </si>
  <si>
    <t>henko_riyu</t>
  </si>
  <si>
    <t>加工基準</t>
    <rPh sb="0" eb="4">
      <t>カコウキジュン</t>
    </rPh>
    <phoneticPr fontId="5"/>
  </si>
  <si>
    <t>kako_kijun</t>
  </si>
  <si>
    <t>速度</t>
    <rPh sb="0" eb="2">
      <t>ソクド</t>
    </rPh>
    <phoneticPr fontId="5"/>
  </si>
  <si>
    <t>sokudo</t>
  </si>
  <si>
    <t>台数</t>
    <rPh sb="0" eb="2">
      <t>ダイスウ</t>
    </rPh>
    <phoneticPr fontId="5"/>
  </si>
  <si>
    <t>daisu</t>
  </si>
  <si>
    <t>包装基準</t>
    <rPh sb="0" eb="2">
      <t>ホウソウ</t>
    </rPh>
    <rPh sb="2" eb="4">
      <t>キジュン</t>
    </rPh>
    <phoneticPr fontId="5"/>
  </si>
  <si>
    <t>houso_kijun</t>
  </si>
  <si>
    <t>移動指示フラグ</t>
    <rPh sb="0" eb="2">
      <t>イドウ</t>
    </rPh>
    <rPh sb="2" eb="4">
      <t>シジ</t>
    </rPh>
    <phoneticPr fontId="5"/>
  </si>
  <si>
    <t>idosshiji_flg</t>
  </si>
  <si>
    <t>原材料区分</t>
    <rPh sb="0" eb="3">
      <t>ゲンザイリョウ</t>
    </rPh>
    <rPh sb="3" eb="5">
      <t>クブン</t>
    </rPh>
    <phoneticPr fontId="5"/>
  </si>
  <si>
    <t>genryo_kbn</t>
  </si>
  <si>
    <t>meisai_seq</t>
  </si>
  <si>
    <t>銘柄コード</t>
    <rPh sb="0" eb="2">
      <t>メイガラ</t>
    </rPh>
    <phoneticPr fontId="5"/>
  </si>
  <si>
    <t>meigara_cd</t>
  </si>
  <si>
    <t>銘柄</t>
    <rPh sb="0" eb="2">
      <t>メイガラ</t>
    </rPh>
    <phoneticPr fontId="5"/>
  </si>
  <si>
    <t>meigara</t>
  </si>
  <si>
    <t>数量</t>
    <rPh sb="0" eb="2">
      <t>スウリョウ</t>
    </rPh>
    <phoneticPr fontId="5"/>
  </si>
  <si>
    <t>suryo</t>
  </si>
  <si>
    <t>仕込み合計</t>
    <rPh sb="0" eb="2">
      <t>シコ</t>
    </rPh>
    <rPh sb="3" eb="5">
      <t>ゴウケイ</t>
    </rPh>
    <phoneticPr fontId="5"/>
  </si>
  <si>
    <t>sikomi_gokei</t>
  </si>
  <si>
    <t>タンクレベル</t>
  </si>
  <si>
    <t>tank_level</t>
  </si>
  <si>
    <t>原料濃度</t>
  </si>
  <si>
    <t>添加情報</t>
    <rPh sb="0" eb="2">
      <t>テンカ</t>
    </rPh>
    <rPh sb="2" eb="4">
      <t>ジョウホウ</t>
    </rPh>
    <phoneticPr fontId="5"/>
  </si>
  <si>
    <t>損紙使用量</t>
  </si>
  <si>
    <t>離解時間</t>
    <rPh sb="0" eb="2">
      <t>リカイ</t>
    </rPh>
    <rPh sb="2" eb="4">
      <t>ジカン</t>
    </rPh>
    <phoneticPr fontId="17"/>
  </si>
  <si>
    <t>rikai_time</t>
    <phoneticPr fontId="21"/>
  </si>
  <si>
    <t>毛髪ネット</t>
    <rPh sb="0" eb="1">
      <t>ケ</t>
    </rPh>
    <rPh sb="1" eb="2">
      <t>カミ</t>
    </rPh>
    <phoneticPr fontId="17"/>
  </si>
  <si>
    <t>mouhatsu_net</t>
  </si>
  <si>
    <t>使用区分</t>
    <rPh sb="0" eb="2">
      <t>シヨウ</t>
    </rPh>
    <rPh sb="2" eb="4">
      <t>クブン</t>
    </rPh>
    <phoneticPr fontId="5"/>
  </si>
  <si>
    <t>調薬区分</t>
    <rPh sb="0" eb="2">
      <t>チョウヤク</t>
    </rPh>
    <rPh sb="2" eb="4">
      <t>クブン</t>
    </rPh>
    <phoneticPr fontId="5"/>
  </si>
  <si>
    <t>chouyaku_kbn</t>
  </si>
  <si>
    <t>kokeibun</t>
  </si>
  <si>
    <r>
      <t>kokei_haigo</t>
    </r>
    <r>
      <rPr>
        <sz val="11"/>
        <color rgb="FFFF0000"/>
        <rFont val="游ゴシック"/>
        <family val="3"/>
        <charset val="128"/>
        <scheme val="minor"/>
      </rPr>
      <t>_</t>
    </r>
    <r>
      <rPr>
        <sz val="10"/>
        <color theme="1"/>
        <rFont val="Meiryo UI"/>
        <family val="2"/>
        <charset val="128"/>
      </rPr>
      <t>hi</t>
    </r>
    <phoneticPr fontId="5"/>
  </si>
  <si>
    <t>原反コード</t>
    <phoneticPr fontId="5"/>
  </si>
  <si>
    <t>gentan_cd</t>
  </si>
  <si>
    <t>原反</t>
    <rPh sb="0" eb="2">
      <t>ゲンタン</t>
    </rPh>
    <phoneticPr fontId="5"/>
  </si>
  <si>
    <t>gentan</t>
  </si>
  <si>
    <t>pallet</t>
    <phoneticPr fontId="21"/>
  </si>
  <si>
    <t>パレット№</t>
    <phoneticPr fontId="5"/>
  </si>
  <si>
    <t>pallet_no</t>
    <phoneticPr fontId="21"/>
  </si>
  <si>
    <t>ケース数</t>
    <rPh sb="3" eb="4">
      <t>スウ</t>
    </rPh>
    <phoneticPr fontId="5"/>
  </si>
  <si>
    <t>case_su</t>
  </si>
  <si>
    <t>仕入売上表示権限フラグ</t>
    <rPh sb="0" eb="2">
      <t>シイレ</t>
    </rPh>
    <rPh sb="2" eb="4">
      <t>ウリアゲ</t>
    </rPh>
    <rPh sb="4" eb="6">
      <t>ヒョウジ</t>
    </rPh>
    <rPh sb="6" eb="8">
      <t>ケンゲン</t>
    </rPh>
    <phoneticPr fontId="5"/>
  </si>
  <si>
    <t>disp_siireuriage_auth_flg</t>
    <phoneticPr fontId="21"/>
  </si>
  <si>
    <t>品種区分</t>
    <phoneticPr fontId="5"/>
  </si>
  <si>
    <t xml:space="preserve">hinshu_kbn </t>
  </si>
  <si>
    <t>貼り合せ数</t>
  </si>
  <si>
    <t>laminated_su</t>
  </si>
  <si>
    <t>設備対象フラグ</t>
    <phoneticPr fontId="5"/>
  </si>
  <si>
    <t>setsubi_flg</t>
  </si>
  <si>
    <t>CW品表示フラグ</t>
  </si>
  <si>
    <t>cw_prod_disp_flg</t>
  </si>
  <si>
    <t>CW品表示内容</t>
  </si>
  <si>
    <t>cw_prod_detail</t>
  </si>
  <si>
    <t>MIX品表示フラグ</t>
    <phoneticPr fontId="21"/>
  </si>
  <si>
    <t>mix_prod_disp_flg</t>
  </si>
  <si>
    <t>MIX品表示内容</t>
    <phoneticPr fontId="21"/>
  </si>
  <si>
    <t>mix_prod_detail</t>
  </si>
  <si>
    <t>略称</t>
    <phoneticPr fontId="5"/>
  </si>
  <si>
    <t>short_form</t>
  </si>
  <si>
    <t>年度</t>
    <phoneticPr fontId="5"/>
  </si>
  <si>
    <t>nendo</t>
  </si>
  <si>
    <t>連量丸め処理区分</t>
    <phoneticPr fontId="5"/>
  </si>
  <si>
    <t>renryo_marume_kbn</t>
  </si>
  <si>
    <t>セッションタイムアウト</t>
  </si>
  <si>
    <t>session_timeout</t>
  </si>
  <si>
    <t>原反色</t>
  </si>
  <si>
    <t>gentan_color 　</t>
  </si>
  <si>
    <t>仕様</t>
  </si>
  <si>
    <t xml:space="preserve">spec </t>
  </si>
  <si>
    <t>指示確認日</t>
    <rPh sb="0" eb="5">
      <t>シジカクニンビ</t>
    </rPh>
    <phoneticPr fontId="5"/>
  </si>
  <si>
    <t>shiji_kakunin_date</t>
  </si>
  <si>
    <t>[半製品]製品番号</t>
    <rPh sb="1" eb="4">
      <t>ハンセイヒン</t>
    </rPh>
    <rPh sb="5" eb="9">
      <t>セイヒンバンゴウ</t>
    </rPh>
    <phoneticPr fontId="5"/>
  </si>
  <si>
    <t>han_seihin_no</t>
  </si>
  <si>
    <t>[半製品]品種コード</t>
    <rPh sb="1" eb="4">
      <t>ハンセイヒン</t>
    </rPh>
    <rPh sb="5" eb="7">
      <t>ヒンシュ</t>
    </rPh>
    <phoneticPr fontId="5"/>
  </si>
  <si>
    <t>han_seihin_hinshu_cd</t>
  </si>
  <si>
    <t>[半製品]品名</t>
    <rPh sb="1" eb="4">
      <t>ハンセイヒン</t>
    </rPh>
    <rPh sb="5" eb="7">
      <t>ヒンメイ</t>
    </rPh>
    <phoneticPr fontId="5"/>
  </si>
  <si>
    <t>han_seihin_hinmei</t>
  </si>
  <si>
    <t>丁取№</t>
  </si>
  <si>
    <t>chodori_no</t>
  </si>
  <si>
    <t>ACE編集（大文字→小文字に変換）2023/5/15</t>
    <rPh sb="3" eb="5">
      <t>ヘンシュウ</t>
    </rPh>
    <rPh sb="6" eb="9">
      <t>オオモジ</t>
    </rPh>
    <rPh sb="10" eb="13">
      <t>コモジ</t>
    </rPh>
    <rPh sb="14" eb="16">
      <t>ヘンカン</t>
    </rPh>
    <phoneticPr fontId="5"/>
  </si>
  <si>
    <t>開始日時予定</t>
  </si>
  <si>
    <t>start_yotei_datetime</t>
  </si>
  <si>
    <t>終了日時予定</t>
  </si>
  <si>
    <t>end_yotei_datetime</t>
  </si>
  <si>
    <t>ACE編集（大文字→小文字に変換、genryo_nodo→genryo_noudo）2023/5/15</t>
    <rPh sb="3" eb="5">
      <t>ヘンシュウ</t>
    </rPh>
    <rPh sb="6" eb="9">
      <t>オオモジ</t>
    </rPh>
    <rPh sb="10" eb="13">
      <t>コモジ</t>
    </rPh>
    <rPh sb="14" eb="16">
      <t>ヘンカン</t>
    </rPh>
    <phoneticPr fontId="5"/>
  </si>
  <si>
    <t>丁取数</t>
  </si>
  <si>
    <t>ACE編集（大文字→小文字に変換、tenka_jouho→tenka_joho）2023/5/15</t>
    <rPh sb="3" eb="5">
      <t>ヘンシュウ</t>
    </rPh>
    <rPh sb="6" eb="9">
      <t>オオモジ</t>
    </rPh>
    <rPh sb="10" eb="13">
      <t>コモジ</t>
    </rPh>
    <rPh sb="14" eb="16">
      <t>ヘンカン</t>
    </rPh>
    <phoneticPr fontId="5"/>
  </si>
  <si>
    <t>卸数</t>
  </si>
  <si>
    <t>ACE編集（大文字→小文字に変換、sonsi_siyoryo→sonsi_shiyoryo）2023/5/15</t>
    <rPh sb="3" eb="5">
      <t>ヘンシュウ</t>
    </rPh>
    <rPh sb="6" eb="9">
      <t>オオモジ</t>
    </rPh>
    <rPh sb="10" eb="13">
      <t>コモジ</t>
    </rPh>
    <rPh sb="14" eb="16">
      <t>ヘンカン</t>
    </rPh>
    <phoneticPr fontId="5"/>
  </si>
  <si>
    <t>本数予定</t>
    <rPh sb="0" eb="2">
      <t>ホンスウ</t>
    </rPh>
    <phoneticPr fontId="5"/>
  </si>
  <si>
    <t>honsu_yotei</t>
  </si>
  <si>
    <t>本数最低</t>
    <rPh sb="0" eb="2">
      <t>ホンスウ</t>
    </rPh>
    <phoneticPr fontId="5"/>
  </si>
  <si>
    <t>honsu_saitei</t>
  </si>
  <si>
    <t>計画表出力日</t>
  </si>
  <si>
    <t>keikakuhyo_output_date</t>
  </si>
  <si>
    <t>ACE編集（大文字→小文字に変換、siyo_kbn→shiyo_kbn）2023/5/15</t>
    <rPh sb="3" eb="5">
      <t>ヘンシュウ</t>
    </rPh>
    <rPh sb="6" eb="9">
      <t>オオモジ</t>
    </rPh>
    <rPh sb="10" eb="13">
      <t>コモジ</t>
    </rPh>
    <rPh sb="14" eb="16">
      <t>ヘンカン</t>
    </rPh>
    <phoneticPr fontId="5"/>
  </si>
  <si>
    <t>日産量</t>
    <rPh sb="0" eb="2">
      <t>ニッサン</t>
    </rPh>
    <rPh sb="2" eb="3">
      <t>リョウ</t>
    </rPh>
    <phoneticPr fontId="5"/>
  </si>
  <si>
    <t>nissan_ryo</t>
  </si>
  <si>
    <t>生産出荷</t>
    <rPh sb="0" eb="4">
      <t>セイサンシュッカ</t>
    </rPh>
    <phoneticPr fontId="5"/>
  </si>
  <si>
    <t>seisan_shuka</t>
  </si>
  <si>
    <t>注意事項</t>
    <rPh sb="0" eb="4">
      <t>チュウイジコウ</t>
    </rPh>
    <phoneticPr fontId="5"/>
  </si>
  <si>
    <t>chui_jiko</t>
  </si>
  <si>
    <t>ACE編集（大文字→小文字に変換、kokei_haigouhi→kokei_haigohi）2023/5/15</t>
    <rPh sb="3" eb="5">
      <t>ヘンシュウ</t>
    </rPh>
    <rPh sb="6" eb="9">
      <t>オオモジ</t>
    </rPh>
    <rPh sb="10" eb="13">
      <t>コモジ</t>
    </rPh>
    <rPh sb="14" eb="16">
      <t>ヘンカン</t>
    </rPh>
    <phoneticPr fontId="5"/>
  </si>
  <si>
    <t>スリッター</t>
    <phoneticPr fontId="21"/>
  </si>
  <si>
    <t>slitter</t>
    <phoneticPr fontId="21"/>
  </si>
  <si>
    <t>パッケージ数</t>
    <rPh sb="5" eb="6">
      <t>スウ</t>
    </rPh>
    <phoneticPr fontId="22"/>
  </si>
  <si>
    <t>package_su</t>
    <phoneticPr fontId="21"/>
  </si>
  <si>
    <t>内袋入数</t>
    <rPh sb="0" eb="4">
      <t>ウチブクロイリスウ</t>
    </rPh>
    <phoneticPr fontId="22"/>
  </si>
  <si>
    <t>uchi_bukuro_irisu</t>
  </si>
  <si>
    <t>ACE編集（大文字→小文字に変換、palet_no→pallet_noに変更）2023/5/15</t>
    <rPh sb="3" eb="5">
      <t>ヘンシュウ</t>
    </rPh>
    <rPh sb="6" eb="9">
      <t>オオモジ</t>
    </rPh>
    <rPh sb="10" eb="13">
      <t>コモジ</t>
    </rPh>
    <rPh sb="14" eb="16">
      <t>ヘンカン</t>
    </rPh>
    <rPh sb="36" eb="38">
      <t>ヘンコウ</t>
    </rPh>
    <phoneticPr fontId="5"/>
  </si>
  <si>
    <t>入数</t>
    <rPh sb="0" eb="2">
      <t>イリスウ</t>
    </rPh>
    <phoneticPr fontId="22"/>
  </si>
  <si>
    <t>irisu</t>
  </si>
  <si>
    <t>ACE編集（既に同名の項目が存在したため削除（パレット：palet→空白に変更））2023/5/15</t>
    <rPh sb="3" eb="5">
      <t>ヘンシュウ</t>
    </rPh>
    <rPh sb="6" eb="7">
      <t>スデ</t>
    </rPh>
    <rPh sb="8" eb="10">
      <t>ドウメイ</t>
    </rPh>
    <rPh sb="11" eb="13">
      <t>コウモク</t>
    </rPh>
    <rPh sb="14" eb="16">
      <t>ソンザイ</t>
    </rPh>
    <rPh sb="20" eb="22">
      <t>サクジョ</t>
    </rPh>
    <rPh sb="34" eb="36">
      <t>クウハク</t>
    </rPh>
    <rPh sb="37" eb="39">
      <t>ヘンコウ</t>
    </rPh>
    <phoneticPr fontId="5"/>
  </si>
  <si>
    <t>パレット積載数</t>
    <rPh sb="4" eb="7">
      <t>セキサイスウ</t>
    </rPh>
    <phoneticPr fontId="22"/>
  </si>
  <si>
    <t>pallet_sekisai_su</t>
    <phoneticPr fontId="21"/>
  </si>
  <si>
    <t>作業者コード</t>
    <phoneticPr fontId="21"/>
  </si>
  <si>
    <t>sagyosha_cd</t>
    <phoneticPr fontId="21"/>
  </si>
  <si>
    <t>依頼日</t>
    <phoneticPr fontId="21"/>
  </si>
  <si>
    <t>irai_date</t>
    <phoneticPr fontId="21"/>
  </si>
  <si>
    <t>納期日</t>
    <rPh sb="0" eb="3">
      <t>ノウキビ</t>
    </rPh>
    <phoneticPr fontId="22"/>
  </si>
  <si>
    <t>nohin_date</t>
    <phoneticPr fontId="21"/>
  </si>
  <si>
    <t>生産予定日</t>
    <rPh sb="0" eb="5">
      <t>セイサンヨテイビ</t>
    </rPh>
    <phoneticPr fontId="22"/>
  </si>
  <si>
    <t>seisan_yotei_date</t>
    <phoneticPr fontId="21"/>
  </si>
  <si>
    <t>単位</t>
    <rPh sb="0" eb="2">
      <t>タンイ</t>
    </rPh>
    <phoneticPr fontId="22"/>
  </si>
  <si>
    <t>unit</t>
    <phoneticPr fontId="21"/>
  </si>
  <si>
    <t>ACE追加 2023/5/15</t>
    <rPh sb="3" eb="5">
      <t>ツイカ</t>
    </rPh>
    <phoneticPr fontId="5"/>
  </si>
  <si>
    <t>１包装当たり</t>
    <rPh sb="1" eb="3">
      <t>ホウソウ</t>
    </rPh>
    <rPh sb="3" eb="4">
      <t>ア</t>
    </rPh>
    <phoneticPr fontId="22"/>
  </si>
  <si>
    <t>hoso_atari</t>
    <phoneticPr fontId="21"/>
  </si>
  <si>
    <t>本数</t>
    <rPh sb="0" eb="2">
      <t>ホンスウ</t>
    </rPh>
    <phoneticPr fontId="22"/>
  </si>
  <si>
    <t>honsu</t>
  </si>
  <si>
    <t>[原反]製品番号</t>
    <rPh sb="1" eb="3">
      <t>ゲンタン</t>
    </rPh>
    <rPh sb="4" eb="8">
      <t>セイヒンバンゴウ</t>
    </rPh>
    <phoneticPr fontId="22"/>
  </si>
  <si>
    <t>gentan_seihin_no</t>
  </si>
  <si>
    <t>[原反]品種コード</t>
    <rPh sb="4" eb="6">
      <t>ヒンシュ</t>
    </rPh>
    <phoneticPr fontId="22"/>
  </si>
  <si>
    <t>gentan_hinshu_cd</t>
  </si>
  <si>
    <t>[原反]品名</t>
    <rPh sb="4" eb="6">
      <t>ヒンメイ</t>
    </rPh>
    <phoneticPr fontId="22"/>
  </si>
  <si>
    <t>gentan_hinmei</t>
  </si>
  <si>
    <t>[原反]坪量</t>
    <rPh sb="4" eb="5">
      <t>ツボ</t>
    </rPh>
    <rPh sb="5" eb="6">
      <t>リョウ</t>
    </rPh>
    <phoneticPr fontId="22"/>
  </si>
  <si>
    <t>gentan_paper_weight</t>
  </si>
  <si>
    <t>[原反]幅</t>
    <rPh sb="4" eb="5">
      <t>ハバ</t>
    </rPh>
    <phoneticPr fontId="22"/>
  </si>
  <si>
    <t>[原反]長さ</t>
    <rPh sb="4" eb="5">
      <t>ナガ</t>
    </rPh>
    <phoneticPr fontId="22"/>
  </si>
  <si>
    <t>gentan_length</t>
  </si>
  <si>
    <t>[原反]本数</t>
    <rPh sb="1" eb="3">
      <t>ゲンタン</t>
    </rPh>
    <rPh sb="4" eb="6">
      <t>ホンスウ</t>
    </rPh>
    <phoneticPr fontId="22"/>
  </si>
  <si>
    <t>gentan_honsu</t>
  </si>
  <si>
    <t>[原反]備考</t>
    <rPh sb="1" eb="3">
      <t>ゲンタン</t>
    </rPh>
    <rPh sb="4" eb="6">
      <t>ビコウ</t>
    </rPh>
    <phoneticPr fontId="22"/>
  </si>
  <si>
    <t>gentan_biko</t>
    <phoneticPr fontId="21"/>
  </si>
  <si>
    <t>紙管</t>
    <rPh sb="0" eb="2">
      <t>シカン</t>
    </rPh>
    <phoneticPr fontId="22"/>
  </si>
  <si>
    <t>shikan</t>
    <phoneticPr fontId="21"/>
  </si>
  <si>
    <t>製品ロット№</t>
    <rPh sb="0" eb="2">
      <t>セイヒン</t>
    </rPh>
    <phoneticPr fontId="22"/>
  </si>
  <si>
    <t>seihin_lot_no</t>
    <phoneticPr fontId="21"/>
  </si>
  <si>
    <t>分子</t>
    <rPh sb="0" eb="2">
      <t>ブンシ</t>
    </rPh>
    <phoneticPr fontId="5"/>
  </si>
  <si>
    <t>bunshi</t>
  </si>
  <si>
    <t>分母</t>
    <rPh sb="0" eb="2">
      <t>ブンボ</t>
    </rPh>
    <phoneticPr fontId="5"/>
  </si>
  <si>
    <t>bunbo</t>
  </si>
  <si>
    <t>原反本数</t>
    <rPh sb="0" eb="4">
      <t>ゲンタンホンスウ</t>
    </rPh>
    <phoneticPr fontId="13"/>
  </si>
  <si>
    <t>使用日</t>
    <rPh sb="0" eb="3">
      <t>シヨウビ</t>
    </rPh>
    <phoneticPr fontId="24"/>
  </si>
  <si>
    <t>shiyo_date</t>
    <phoneticPr fontId="21"/>
  </si>
  <si>
    <t>作業者</t>
    <rPh sb="0" eb="3">
      <t>サギョウシャ</t>
    </rPh>
    <phoneticPr fontId="24"/>
  </si>
  <si>
    <t>sagyosha</t>
    <phoneticPr fontId="21"/>
  </si>
  <si>
    <t>申し送り事項</t>
    <rPh sb="0" eb="1">
      <t>モウ</t>
    </rPh>
    <rPh sb="2" eb="3">
      <t>オク</t>
    </rPh>
    <rPh sb="4" eb="6">
      <t>ジコウ</t>
    </rPh>
    <phoneticPr fontId="24"/>
  </si>
  <si>
    <t>moshiokuri_jiko</t>
    <phoneticPr fontId="21"/>
  </si>
  <si>
    <t>一覧SEQ</t>
  </si>
  <si>
    <t>ichiran_seq</t>
  </si>
  <si>
    <t>投入回数</t>
  </si>
  <si>
    <t>tonyu_kaisu</t>
  </si>
  <si>
    <t>朝番</t>
    <rPh sb="0" eb="2">
      <t>アサバン</t>
    </rPh>
    <phoneticPr fontId="5"/>
  </si>
  <si>
    <t>asaban</t>
  </si>
  <si>
    <t>中番</t>
    <rPh sb="0" eb="2">
      <t>チュウバン</t>
    </rPh>
    <phoneticPr fontId="5"/>
  </si>
  <si>
    <t>nakaban</t>
  </si>
  <si>
    <t>夜番</t>
    <rPh sb="0" eb="2">
      <t>ヨルバン</t>
    </rPh>
    <phoneticPr fontId="5"/>
  </si>
  <si>
    <t>yoban</t>
  </si>
  <si>
    <t>回数</t>
    <rPh sb="0" eb="2">
      <t>カイスウ</t>
    </rPh>
    <phoneticPr fontId="23"/>
  </si>
  <si>
    <t>kaisu</t>
  </si>
  <si>
    <t>調合顔料名</t>
    <rPh sb="0" eb="2">
      <t>チョウゴウ</t>
    </rPh>
    <rPh sb="2" eb="5">
      <t>ガンリョウメイ</t>
    </rPh>
    <phoneticPr fontId="21"/>
  </si>
  <si>
    <t>chogo_ganryo_nm</t>
  </si>
  <si>
    <t>顔料コード</t>
    <rPh sb="0" eb="2">
      <t>ガンリョウ</t>
    </rPh>
    <phoneticPr fontId="21"/>
  </si>
  <si>
    <t>ganryo_cd</t>
  </si>
  <si>
    <t>顔料名</t>
    <rPh sb="0" eb="3">
      <t>ガンリョウメイ</t>
    </rPh>
    <phoneticPr fontId="21"/>
  </si>
  <si>
    <t>ganryo_nm</t>
  </si>
  <si>
    <t>配合比</t>
    <rPh sb="0" eb="2">
      <t>ハイゴウ</t>
    </rPh>
    <rPh sb="2" eb="3">
      <t>ヒ</t>
    </rPh>
    <phoneticPr fontId="21"/>
  </si>
  <si>
    <t>haigo_hi</t>
  </si>
  <si>
    <t>投入量</t>
    <rPh sb="0" eb="3">
      <t>トウニュウリョウ</t>
    </rPh>
    <phoneticPr fontId="21"/>
  </si>
  <si>
    <t>tonyu_ryo</t>
  </si>
  <si>
    <t>パルプ配合区分</t>
    <phoneticPr fontId="5"/>
  </si>
  <si>
    <t>pulp_haigo_kbn</t>
    <phoneticPr fontId="5"/>
  </si>
  <si>
    <t>個数　整数</t>
    <rPh sb="0" eb="2">
      <t>コスウ</t>
    </rPh>
    <rPh sb="3" eb="5">
      <t>セイスウ</t>
    </rPh>
    <phoneticPr fontId="21"/>
  </si>
  <si>
    <t>kosu_seisu</t>
  </si>
  <si>
    <t>個数　分子</t>
    <rPh sb="0" eb="2">
      <t>コスウ</t>
    </rPh>
    <rPh sb="3" eb="5">
      <t>ブンシ</t>
    </rPh>
    <phoneticPr fontId="21"/>
  </si>
  <si>
    <t>kosu_bunshi</t>
  </si>
  <si>
    <t>個数　分母</t>
    <rPh sb="0" eb="2">
      <t>コスウ</t>
    </rPh>
    <rPh sb="3" eb="5">
      <t>ブンボ</t>
    </rPh>
    <phoneticPr fontId="21"/>
  </si>
  <si>
    <t>kosu_bunbo</t>
  </si>
  <si>
    <t>配合</t>
    <rPh sb="0" eb="2">
      <t>ハイゴウ</t>
    </rPh>
    <phoneticPr fontId="21"/>
  </si>
  <si>
    <t>haigo</t>
  </si>
  <si>
    <t>開始日時</t>
    <rPh sb="0" eb="4">
      <t>カイシニチジ</t>
    </rPh>
    <phoneticPr fontId="5"/>
  </si>
  <si>
    <t>start_datetime</t>
    <phoneticPr fontId="5"/>
  </si>
  <si>
    <t>加工実績日</t>
    <rPh sb="0" eb="2">
      <t>カコウ</t>
    </rPh>
    <rPh sb="2" eb="4">
      <t>ジッセキ</t>
    </rPh>
    <rPh sb="4" eb="5">
      <t>ヒ</t>
    </rPh>
    <phoneticPr fontId="5"/>
  </si>
  <si>
    <t>kako_jisseki_date</t>
  </si>
  <si>
    <t>加工作業者</t>
    <rPh sb="0" eb="2">
      <t>カコウ</t>
    </rPh>
    <rPh sb="2" eb="4">
      <t>サギョウ</t>
    </rPh>
    <rPh sb="4" eb="5">
      <t>シャ</t>
    </rPh>
    <phoneticPr fontId="5"/>
  </si>
  <si>
    <t>kako_sagyosha</t>
  </si>
  <si>
    <t>仕上実績日</t>
    <rPh sb="0" eb="4">
      <t>シアゲジッセキ</t>
    </rPh>
    <rPh sb="4" eb="5">
      <t>ヒ</t>
    </rPh>
    <phoneticPr fontId="5"/>
  </si>
  <si>
    <t>shiage_jisseki_date</t>
  </si>
  <si>
    <t>仕上作業者</t>
    <rPh sb="0" eb="2">
      <t>シアゲ</t>
    </rPh>
    <rPh sb="2" eb="4">
      <t>サギョウ</t>
    </rPh>
    <rPh sb="4" eb="5">
      <t>シャ</t>
    </rPh>
    <phoneticPr fontId="5"/>
  </si>
  <si>
    <t>shiage_sagyosha</t>
  </si>
  <si>
    <t>枠№</t>
    <rPh sb="0" eb="1">
      <t>ワク</t>
    </rPh>
    <phoneticPr fontId="5"/>
  </si>
  <si>
    <t>waku_no</t>
  </si>
  <si>
    <t>抄紙実績日時</t>
    <rPh sb="0" eb="5">
      <t>ショウシジッセキビ</t>
    </rPh>
    <rPh sb="5" eb="6">
      <t>ジ</t>
    </rPh>
    <phoneticPr fontId="23"/>
  </si>
  <si>
    <t>shoshi_jisseki_datetime</t>
  </si>
  <si>
    <t>終了日時</t>
    <rPh sb="0" eb="2">
      <t>シュウリョウ</t>
    </rPh>
    <rPh sb="2" eb="3">
      <t>ヒ</t>
    </rPh>
    <rPh sb="3" eb="4">
      <t>ジ</t>
    </rPh>
    <phoneticPr fontId="23"/>
  </si>
  <si>
    <t>end_datetime</t>
    <phoneticPr fontId="5"/>
  </si>
  <si>
    <t>抄紙区分</t>
    <rPh sb="0" eb="2">
      <t>ショウシ</t>
    </rPh>
    <rPh sb="2" eb="4">
      <t>クブン</t>
    </rPh>
    <phoneticPr fontId="23"/>
  </si>
  <si>
    <t>shoshi_kbn</t>
  </si>
  <si>
    <t>定坪量</t>
    <rPh sb="0" eb="1">
      <t>テイ</t>
    </rPh>
    <rPh sb="1" eb="2">
      <t>ツボ</t>
    </rPh>
    <rPh sb="2" eb="3">
      <t>リョウ</t>
    </rPh>
    <phoneticPr fontId="23"/>
  </si>
  <si>
    <t>tei_paper_weight</t>
  </si>
  <si>
    <t>実坪量</t>
    <rPh sb="0" eb="1">
      <t>ジツ</t>
    </rPh>
    <rPh sb="1" eb="2">
      <t>ツボ</t>
    </rPh>
    <rPh sb="2" eb="3">
      <t>リョウ</t>
    </rPh>
    <phoneticPr fontId="23"/>
  </si>
  <si>
    <t>jitsu_paper_weight</t>
  </si>
  <si>
    <t>抄幅</t>
  </si>
  <si>
    <t>paper_width</t>
  </si>
  <si>
    <t>抄造</t>
    <phoneticPr fontId="21"/>
  </si>
  <si>
    <t>paper_making</t>
  </si>
  <si>
    <t>原紙分類</t>
    <rPh sb="0" eb="2">
      <t>ゲンシ</t>
    </rPh>
    <rPh sb="2" eb="4">
      <t>ブンルイ</t>
    </rPh>
    <phoneticPr fontId="23"/>
  </si>
  <si>
    <t>genshi_bunrui</t>
  </si>
  <si>
    <t>原因詳細</t>
    <rPh sb="0" eb="4">
      <t>ゲンインショウサイ</t>
    </rPh>
    <phoneticPr fontId="23"/>
  </si>
  <si>
    <t>genin_shosai</t>
  </si>
  <si>
    <t>仕上区分</t>
    <rPh sb="0" eb="2">
      <t>シアゲ</t>
    </rPh>
    <rPh sb="2" eb="4">
      <t>クブン</t>
    </rPh>
    <phoneticPr fontId="5"/>
  </si>
  <si>
    <t>shiage_kbn</t>
  </si>
  <si>
    <t>ジョイント回数</t>
    <rPh sb="5" eb="7">
      <t>カイスウ</t>
    </rPh>
    <phoneticPr fontId="5"/>
  </si>
  <si>
    <t>joint_kaisu</t>
    <phoneticPr fontId="5"/>
  </si>
  <si>
    <t>継目</t>
    <rPh sb="0" eb="2">
      <t>ツギメ</t>
    </rPh>
    <phoneticPr fontId="5"/>
  </si>
  <si>
    <t>tsugime</t>
  </si>
  <si>
    <t>実量</t>
    <rPh sb="0" eb="1">
      <t>ジツ</t>
    </rPh>
    <rPh sb="1" eb="2">
      <t>リョウ</t>
    </rPh>
    <phoneticPr fontId="5"/>
  </si>
  <si>
    <t>jitsu_ryo</t>
  </si>
  <si>
    <t>巻径</t>
  </si>
  <si>
    <t>makikei</t>
  </si>
  <si>
    <t>仕上明細変更フラグ</t>
    <rPh sb="0" eb="4">
      <t>シアゲメイサイ</t>
    </rPh>
    <rPh sb="4" eb="6">
      <t>ヘンコウ</t>
    </rPh>
    <phoneticPr fontId="5"/>
  </si>
  <si>
    <t>shiage_meisai_henko_flg</t>
  </si>
  <si>
    <t>枠№使用ｍ</t>
    <rPh sb="0" eb="1">
      <t>ワク</t>
    </rPh>
    <rPh sb="2" eb="4">
      <t>シヨウ</t>
    </rPh>
    <phoneticPr fontId="27"/>
  </si>
  <si>
    <t>waku_no_shiyo</t>
    <phoneticPr fontId="21"/>
  </si>
  <si>
    <t>枠№使用残ｍ</t>
    <rPh sb="0" eb="1">
      <t>ワク</t>
    </rPh>
    <rPh sb="2" eb="4">
      <t>シヨウ</t>
    </rPh>
    <rPh sb="4" eb="5">
      <t>ザン</t>
    </rPh>
    <phoneticPr fontId="27"/>
  </si>
  <si>
    <t>waku_no_shiyo_zan</t>
    <phoneticPr fontId="21"/>
  </si>
  <si>
    <t>加工実績日時</t>
    <rPh sb="0" eb="6">
      <t>カコウジッセキニチジ</t>
    </rPh>
    <phoneticPr fontId="25"/>
  </si>
  <si>
    <t>kako_jisseki_datetime</t>
    <phoneticPr fontId="21"/>
  </si>
  <si>
    <t>合否</t>
    <rPh sb="0" eb="2">
      <t>ゴウヒ</t>
    </rPh>
    <phoneticPr fontId="27"/>
  </si>
  <si>
    <t>gohi</t>
    <phoneticPr fontId="21"/>
  </si>
  <si>
    <t>加工区分</t>
    <rPh sb="0" eb="4">
      <t>カコウクブン</t>
    </rPh>
    <phoneticPr fontId="27"/>
  </si>
  <si>
    <t>kako_kbn</t>
    <phoneticPr fontId="21"/>
  </si>
  <si>
    <t>[原反1]№</t>
  </si>
  <si>
    <t>gentan1_no</t>
    <phoneticPr fontId="21"/>
  </si>
  <si>
    <t>[原反1]製品ロット№</t>
    <rPh sb="5" eb="7">
      <t>セイヒン</t>
    </rPh>
    <phoneticPr fontId="27"/>
  </si>
  <si>
    <t>gentan1_seihin_lot_no</t>
    <phoneticPr fontId="21"/>
  </si>
  <si>
    <t>[原反1]銘柄</t>
    <rPh sb="5" eb="7">
      <t>メイガラ</t>
    </rPh>
    <phoneticPr fontId="27"/>
  </si>
  <si>
    <t>gentan1_hinshu_cd</t>
    <phoneticPr fontId="21"/>
  </si>
  <si>
    <t>[原反1]坪量</t>
    <rPh sb="5" eb="7">
      <t>ツボリョウ</t>
    </rPh>
    <phoneticPr fontId="27"/>
  </si>
  <si>
    <t>gentan1_paper_weight</t>
    <phoneticPr fontId="21"/>
  </si>
  <si>
    <t>[原反1]幅</t>
    <rPh sb="5" eb="6">
      <t>ハバ</t>
    </rPh>
    <phoneticPr fontId="27"/>
  </si>
  <si>
    <t>gentan1_width</t>
    <phoneticPr fontId="21"/>
  </si>
  <si>
    <t>[原反1]長さ</t>
    <rPh sb="5" eb="6">
      <t>ナガ</t>
    </rPh>
    <phoneticPr fontId="27"/>
  </si>
  <si>
    <t>gentan1_length</t>
    <phoneticPr fontId="21"/>
  </si>
  <si>
    <t>[原反1]使用残ｍ</t>
    <rPh sb="1" eb="3">
      <t>ゲンタン</t>
    </rPh>
    <rPh sb="5" eb="7">
      <t>シヨウ</t>
    </rPh>
    <rPh sb="7" eb="8">
      <t>ザン</t>
    </rPh>
    <phoneticPr fontId="27"/>
  </si>
  <si>
    <t>gentan1_shiyo_zan</t>
    <phoneticPr fontId="21"/>
  </si>
  <si>
    <t>[原反1]継続</t>
    <rPh sb="1" eb="3">
      <t>ゲンタン</t>
    </rPh>
    <rPh sb="5" eb="7">
      <t>ケイゾク</t>
    </rPh>
    <phoneticPr fontId="27"/>
  </si>
  <si>
    <t>gentan1_kezoku</t>
    <phoneticPr fontId="21"/>
  </si>
  <si>
    <t>[原反1]備考</t>
    <rPh sb="1" eb="3">
      <t>ゲンタン</t>
    </rPh>
    <rPh sb="5" eb="7">
      <t>ビコウ</t>
    </rPh>
    <phoneticPr fontId="27"/>
  </si>
  <si>
    <t>gentan1_biko</t>
    <phoneticPr fontId="21"/>
  </si>
  <si>
    <t>[原反2]№</t>
  </si>
  <si>
    <t>gentan2_no</t>
    <phoneticPr fontId="21"/>
  </si>
  <si>
    <t>[原反2]製品ロット№</t>
    <rPh sb="5" eb="7">
      <t>セイヒン</t>
    </rPh>
    <phoneticPr fontId="27"/>
  </si>
  <si>
    <t>gentan2_seihin_lot_no</t>
    <phoneticPr fontId="21"/>
  </si>
  <si>
    <t>[原反2]銘柄</t>
    <rPh sb="5" eb="7">
      <t>メイガラ</t>
    </rPh>
    <phoneticPr fontId="27"/>
  </si>
  <si>
    <t>gentan2_hinshu_cd</t>
    <phoneticPr fontId="21"/>
  </si>
  <si>
    <t>[原反2]坪量</t>
    <rPh sb="5" eb="7">
      <t>ツボリョウ</t>
    </rPh>
    <phoneticPr fontId="27"/>
  </si>
  <si>
    <t>gentan2_paper_weight</t>
    <phoneticPr fontId="21"/>
  </si>
  <si>
    <t>[原反2]幅</t>
    <rPh sb="5" eb="6">
      <t>ハバ</t>
    </rPh>
    <phoneticPr fontId="27"/>
  </si>
  <si>
    <t>gentan2_width</t>
    <phoneticPr fontId="21"/>
  </si>
  <si>
    <t>[原反2]長さ</t>
    <rPh sb="5" eb="6">
      <t>ナガ</t>
    </rPh>
    <phoneticPr fontId="27"/>
  </si>
  <si>
    <t>gentan2_length</t>
    <phoneticPr fontId="21"/>
  </si>
  <si>
    <t>[原反2]使用残ｍ</t>
    <rPh sb="1" eb="3">
      <t>ゲンタン</t>
    </rPh>
    <rPh sb="5" eb="7">
      <t>シヨウ</t>
    </rPh>
    <rPh sb="7" eb="8">
      <t>ザン</t>
    </rPh>
    <phoneticPr fontId="27"/>
  </si>
  <si>
    <t>gentan2_shiyo_zan</t>
    <phoneticPr fontId="21"/>
  </si>
  <si>
    <t>ACE追加 2023/5/16</t>
    <rPh sb="3" eb="5">
      <t>ツイカ</t>
    </rPh>
    <phoneticPr fontId="5"/>
  </si>
  <si>
    <t>[原反2]継続</t>
    <rPh sb="1" eb="3">
      <t>ゲンタン</t>
    </rPh>
    <rPh sb="5" eb="7">
      <t>ケイゾク</t>
    </rPh>
    <phoneticPr fontId="27"/>
  </si>
  <si>
    <t>gentan2_kezoku</t>
    <phoneticPr fontId="21"/>
  </si>
  <si>
    <t>[原反2]備考</t>
    <rPh sb="5" eb="7">
      <t>ビコウ</t>
    </rPh>
    <phoneticPr fontId="27"/>
  </si>
  <si>
    <t>gentan2_biko</t>
    <phoneticPr fontId="21"/>
  </si>
  <si>
    <t>[原反3]№</t>
  </si>
  <si>
    <t>gentan3_no</t>
  </si>
  <si>
    <t>[原反3]製品ロット№</t>
    <rPh sb="5" eb="7">
      <t>セイヒン</t>
    </rPh>
    <phoneticPr fontId="27"/>
  </si>
  <si>
    <t>gentan3_seihin_lot_no</t>
    <phoneticPr fontId="5"/>
  </si>
  <si>
    <t>[原反3]銘柄</t>
    <rPh sb="5" eb="7">
      <t>メイガラ</t>
    </rPh>
    <phoneticPr fontId="27"/>
  </si>
  <si>
    <t>gentan3_hinshu_cd</t>
  </si>
  <si>
    <t>[原反3]坪量</t>
    <rPh sb="5" eb="7">
      <t>ツボリョウ</t>
    </rPh>
    <phoneticPr fontId="27"/>
  </si>
  <si>
    <t>gentan3_paper_weight</t>
  </si>
  <si>
    <t>ACE追加（同名の項目が存在するが、ｍの大文字、小文字で別の論理名として判定されている） 2023/5/16</t>
    <rPh sb="3" eb="5">
      <t>ツイカ</t>
    </rPh>
    <rPh sb="6" eb="8">
      <t>ドウメイ</t>
    </rPh>
    <rPh sb="9" eb="11">
      <t>コウモク</t>
    </rPh>
    <rPh sb="12" eb="14">
      <t>ソンザイ</t>
    </rPh>
    <rPh sb="20" eb="23">
      <t>オオモジ</t>
    </rPh>
    <rPh sb="24" eb="27">
      <t>コモジ</t>
    </rPh>
    <rPh sb="28" eb="29">
      <t>ベツ</t>
    </rPh>
    <rPh sb="30" eb="33">
      <t>ロンリメイ</t>
    </rPh>
    <rPh sb="36" eb="38">
      <t>ハンテイ</t>
    </rPh>
    <phoneticPr fontId="5"/>
  </si>
  <si>
    <t>[原反3]幅</t>
    <rPh sb="5" eb="6">
      <t>ハバ</t>
    </rPh>
    <phoneticPr fontId="27"/>
  </si>
  <si>
    <t>gentan3_width</t>
  </si>
  <si>
    <t>[原反3]長さ</t>
    <rPh sb="5" eb="6">
      <t>ナガ</t>
    </rPh>
    <phoneticPr fontId="27"/>
  </si>
  <si>
    <t>gentan3_length</t>
  </si>
  <si>
    <t>[原反3]使用残ｍ</t>
    <rPh sb="1" eb="3">
      <t>ゲンタン</t>
    </rPh>
    <rPh sb="5" eb="7">
      <t>シヨウ</t>
    </rPh>
    <phoneticPr fontId="27"/>
  </si>
  <si>
    <t>gentan3_shiyo_zan</t>
  </si>
  <si>
    <t>[原反3]継続</t>
    <rPh sb="1" eb="3">
      <t>ゲンタン</t>
    </rPh>
    <rPh sb="5" eb="7">
      <t>ケイゾク</t>
    </rPh>
    <phoneticPr fontId="27"/>
  </si>
  <si>
    <t>gentan3_kezoku</t>
  </si>
  <si>
    <t>[原反3]備考</t>
    <rPh sb="5" eb="7">
      <t>ビコウ</t>
    </rPh>
    <phoneticPr fontId="27"/>
  </si>
  <si>
    <t>gentan3_biko</t>
  </si>
  <si>
    <t>実績SEQ</t>
    <rPh sb="0" eb="2">
      <t>ジッセキ</t>
    </rPh>
    <phoneticPr fontId="5"/>
  </si>
  <si>
    <t>jisseki_seq</t>
    <phoneticPr fontId="5"/>
  </si>
  <si>
    <t>使用枠№</t>
    <rPh sb="0" eb="2">
      <t>シヨウ</t>
    </rPh>
    <rPh sb="2" eb="4">
      <t>ワクナンバー</t>
    </rPh>
    <phoneticPr fontId="5"/>
  </si>
  <si>
    <t>shiyo_waku_no</t>
  </si>
  <si>
    <t>使用製品ロット№</t>
    <rPh sb="0" eb="2">
      <t>シヨウ</t>
    </rPh>
    <rPh sb="2" eb="4">
      <t>セイヒン</t>
    </rPh>
    <phoneticPr fontId="5"/>
  </si>
  <si>
    <t>shiyo_seihin_lot_no</t>
  </si>
  <si>
    <t>使用ｍ</t>
    <rPh sb="0" eb="2">
      <t>シヨウ</t>
    </rPh>
    <phoneticPr fontId="5"/>
  </si>
  <si>
    <t>shiyo</t>
  </si>
  <si>
    <t>製品フラグ</t>
    <rPh sb="0" eb="2">
      <t>セイヒン</t>
    </rPh>
    <phoneticPr fontId="5"/>
  </si>
  <si>
    <t>seihin_flg</t>
  </si>
  <si>
    <t>含浸率</t>
    <rPh sb="0" eb="2">
      <t>ガンシン</t>
    </rPh>
    <rPh sb="2" eb="3">
      <t>リツ</t>
    </rPh>
    <phoneticPr fontId="6"/>
  </si>
  <si>
    <t>ganshin_ritsu</t>
  </si>
  <si>
    <t>ライン速度</t>
    <rPh sb="3" eb="5">
      <t>ソクド</t>
    </rPh>
    <phoneticPr fontId="6"/>
  </si>
  <si>
    <t>line_sokudo</t>
    <phoneticPr fontId="5"/>
  </si>
  <si>
    <t>欠点数</t>
    <rPh sb="0" eb="3">
      <t>ケッテンスウ</t>
    </rPh>
    <phoneticPr fontId="6"/>
  </si>
  <si>
    <t>ketten_su</t>
  </si>
  <si>
    <t>合否コメント</t>
    <rPh sb="0" eb="2">
      <t>ゴウヒ</t>
    </rPh>
    <phoneticPr fontId="6"/>
  </si>
  <si>
    <t>gohi_comment</t>
    <phoneticPr fontId="5"/>
  </si>
  <si>
    <t>残ｍ</t>
    <rPh sb="0" eb="1">
      <t>ザン</t>
    </rPh>
    <phoneticPr fontId="27"/>
  </si>
  <si>
    <t>zan</t>
    <phoneticPr fontId="21"/>
  </si>
  <si>
    <t>成型実績日</t>
    <rPh sb="0" eb="2">
      <t>セイケイ</t>
    </rPh>
    <rPh sb="2" eb="4">
      <t>ジッセキ</t>
    </rPh>
    <rPh sb="4" eb="5">
      <t>ヒ</t>
    </rPh>
    <phoneticPr fontId="27"/>
  </si>
  <si>
    <t>seikei_jisseki_date</t>
    <phoneticPr fontId="21"/>
  </si>
  <si>
    <t>成型作業者</t>
    <rPh sb="0" eb="2">
      <t>セイケイ</t>
    </rPh>
    <rPh sb="2" eb="4">
      <t>サギョウ</t>
    </rPh>
    <rPh sb="4" eb="5">
      <t>シャ</t>
    </rPh>
    <phoneticPr fontId="27"/>
  </si>
  <si>
    <t>seikei_sagyosha</t>
    <phoneticPr fontId="21"/>
  </si>
  <si>
    <t>包装実績日</t>
    <rPh sb="0" eb="2">
      <t>ホウソウ</t>
    </rPh>
    <rPh sb="2" eb="4">
      <t>ジッセキ</t>
    </rPh>
    <rPh sb="4" eb="5">
      <t>ヒ</t>
    </rPh>
    <phoneticPr fontId="27"/>
  </si>
  <si>
    <t>hoso_jisseki_date</t>
    <phoneticPr fontId="21"/>
  </si>
  <si>
    <t>包装作業者</t>
    <rPh sb="0" eb="2">
      <t>ホウソウ</t>
    </rPh>
    <rPh sb="2" eb="4">
      <t>サギョウ</t>
    </rPh>
    <rPh sb="4" eb="5">
      <t>シャ</t>
    </rPh>
    <phoneticPr fontId="27"/>
  </si>
  <si>
    <t>hoso_sagyosha</t>
    <phoneticPr fontId="21"/>
  </si>
  <si>
    <t>作業開始日時</t>
    <rPh sb="0" eb="6">
      <t>サギョウカイシニチジ</t>
    </rPh>
    <phoneticPr fontId="27"/>
  </si>
  <si>
    <t>sagyo_start_datetime</t>
    <phoneticPr fontId="21"/>
  </si>
  <si>
    <t>休憩時間</t>
    <rPh sb="0" eb="4">
      <t>キュウケイジカン</t>
    </rPh>
    <phoneticPr fontId="27"/>
  </si>
  <si>
    <t>kyukei_time</t>
    <phoneticPr fontId="5"/>
  </si>
  <si>
    <t>内訳</t>
    <rPh sb="0" eb="2">
      <t>ウチワケ</t>
    </rPh>
    <phoneticPr fontId="27"/>
  </si>
  <si>
    <t>uchiwake</t>
    <phoneticPr fontId="21"/>
  </si>
  <si>
    <t>稼働情報</t>
    <rPh sb="0" eb="4">
      <t>カドウジョウホウ</t>
    </rPh>
    <phoneticPr fontId="27"/>
  </si>
  <si>
    <t>kado_joho</t>
    <phoneticPr fontId="21"/>
  </si>
  <si>
    <t>[原反]製品ロット№</t>
    <rPh sb="4" eb="6">
      <t>セイヒン</t>
    </rPh>
    <phoneticPr fontId="27"/>
  </si>
  <si>
    <t>gentan_seihin_lot_no</t>
  </si>
  <si>
    <t>マーキング</t>
  </si>
  <si>
    <t>marking</t>
    <phoneticPr fontId="21"/>
  </si>
  <si>
    <t>温度</t>
    <rPh sb="0" eb="2">
      <t>オンド</t>
    </rPh>
    <phoneticPr fontId="27"/>
  </si>
  <si>
    <t>ondo</t>
    <phoneticPr fontId="21"/>
  </si>
  <si>
    <t>湿度</t>
    <rPh sb="0" eb="2">
      <t>シツド</t>
    </rPh>
    <phoneticPr fontId="27"/>
  </si>
  <si>
    <t>shitsudo</t>
    <phoneticPr fontId="21"/>
  </si>
  <si>
    <t>shot</t>
  </si>
  <si>
    <t>shot</t>
    <phoneticPr fontId="21"/>
  </si>
  <si>
    <t>ロット№印字順</t>
    <rPh sb="4" eb="7">
      <t>インジジュン</t>
    </rPh>
    <phoneticPr fontId="5"/>
  </si>
  <si>
    <t>lot_no_injijun</t>
  </si>
  <si>
    <t>包装機カウンタ</t>
    <rPh sb="0" eb="3">
      <t>ホウソウキ</t>
    </rPh>
    <phoneticPr fontId="5"/>
  </si>
  <si>
    <t>hosoki_counter</t>
  </si>
  <si>
    <t>使用フィルム長</t>
    <rPh sb="0" eb="2">
      <t>シヨウ</t>
    </rPh>
    <rPh sb="6" eb="7">
      <t>チョウ</t>
    </rPh>
    <phoneticPr fontId="5"/>
  </si>
  <si>
    <t>shiyo_film_cho</t>
  </si>
  <si>
    <t>完了日時</t>
    <rPh sb="0" eb="4">
      <t>カンリョウニチジ</t>
    </rPh>
    <phoneticPr fontId="5"/>
  </si>
  <si>
    <t>kanryo_datetime</t>
  </si>
  <si>
    <t>状態</t>
    <rPh sb="0" eb="2">
      <t>ジョウタイ</t>
    </rPh>
    <phoneticPr fontId="5"/>
  </si>
  <si>
    <t>jotai</t>
  </si>
  <si>
    <t>生産ケース数</t>
    <rPh sb="0" eb="2">
      <t>セイサン</t>
    </rPh>
    <rPh sb="5" eb="6">
      <t>スウ</t>
    </rPh>
    <phoneticPr fontId="5"/>
  </si>
  <si>
    <t>seisan_case_su</t>
  </si>
  <si>
    <t>仕掛入数</t>
    <rPh sb="0" eb="2">
      <t>シカカリ</t>
    </rPh>
    <rPh sb="2" eb="4">
      <t>イリスウ</t>
    </rPh>
    <phoneticPr fontId="5"/>
  </si>
  <si>
    <t>shikakari_irisu</t>
  </si>
  <si>
    <t>使用ケース数</t>
    <rPh sb="0" eb="2">
      <t>シヨウ</t>
    </rPh>
    <rPh sb="5" eb="6">
      <t>スウ</t>
    </rPh>
    <phoneticPr fontId="5"/>
  </si>
  <si>
    <t>shiyo_case_su</t>
  </si>
  <si>
    <t>使用端数</t>
    <rPh sb="0" eb="2">
      <t>シヨウ</t>
    </rPh>
    <rPh sb="2" eb="4">
      <t>ハスウ</t>
    </rPh>
    <phoneticPr fontId="5"/>
  </si>
  <si>
    <t>shiyo_hasu</t>
  </si>
  <si>
    <t>使用数</t>
    <rPh sb="0" eb="3">
      <t>シヨウスウ</t>
    </rPh>
    <phoneticPr fontId="5"/>
  </si>
  <si>
    <t>shiyo_su</t>
  </si>
  <si>
    <t>作業実施区分</t>
    <rPh sb="0" eb="6">
      <t>サギョウジッシクブン</t>
    </rPh>
    <phoneticPr fontId="5"/>
  </si>
  <si>
    <t>sagyo_jisshi_kbn</t>
  </si>
  <si>
    <t>指導員</t>
    <rPh sb="0" eb="3">
      <t>シドウイン</t>
    </rPh>
    <phoneticPr fontId="5"/>
  </si>
  <si>
    <t>shidoin</t>
  </si>
  <si>
    <t>作業者人数</t>
    <rPh sb="0" eb="5">
      <t>サギョウシャニンズウ</t>
    </rPh>
    <phoneticPr fontId="5"/>
  </si>
  <si>
    <t>sagyosha_ninzu</t>
  </si>
  <si>
    <t>生産品備考</t>
    <rPh sb="0" eb="3">
      <t>セイサンヒン</t>
    </rPh>
    <rPh sb="3" eb="5">
      <t>ビコウ</t>
    </rPh>
    <phoneticPr fontId="5"/>
  </si>
  <si>
    <t>seisanhin_biko</t>
  </si>
  <si>
    <t>仕上パレット№</t>
    <rPh sb="0" eb="2">
      <t>シアゲ</t>
    </rPh>
    <phoneticPr fontId="5"/>
  </si>
  <si>
    <t>shiage_pallet_no</t>
    <phoneticPr fontId="5"/>
  </si>
  <si>
    <t>生産入数</t>
    <rPh sb="0" eb="4">
      <t>セイサンイリスウ</t>
    </rPh>
    <phoneticPr fontId="5"/>
  </si>
  <si>
    <t>seisan_irisu</t>
  </si>
  <si>
    <t>生産仕掛個数</t>
    <rPh sb="0" eb="6">
      <t>セイサンシカカリコスウ</t>
    </rPh>
    <phoneticPr fontId="5"/>
  </si>
  <si>
    <t>seisan_shikakari_kosu</t>
  </si>
  <si>
    <t>生産個数</t>
    <rPh sb="0" eb="2">
      <t>セイサン</t>
    </rPh>
    <rPh sb="2" eb="4">
      <t>コスウ</t>
    </rPh>
    <phoneticPr fontId="5"/>
  </si>
  <si>
    <t>seisan_kosu</t>
  </si>
  <si>
    <t>原反ロット№</t>
    <rPh sb="0" eb="2">
      <t>ゲンタン</t>
    </rPh>
    <phoneticPr fontId="5"/>
  </si>
  <si>
    <t>gentan_lot_no</t>
  </si>
  <si>
    <t>包装</t>
    <rPh sb="0" eb="2">
      <t>ホウソウ</t>
    </rPh>
    <phoneticPr fontId="25"/>
  </si>
  <si>
    <t>hoso</t>
    <phoneticPr fontId="21"/>
  </si>
  <si>
    <t>形式が不明のため末尾につける文字列の判断ができない</t>
    <rPh sb="0" eb="2">
      <t>ケイシキ</t>
    </rPh>
    <rPh sb="3" eb="5">
      <t>フメイ</t>
    </rPh>
    <rPh sb="8" eb="10">
      <t>マツビ</t>
    </rPh>
    <rPh sb="14" eb="17">
      <t>モジレツ</t>
    </rPh>
    <rPh sb="18" eb="20">
      <t>ハンダン</t>
    </rPh>
    <phoneticPr fontId="5"/>
  </si>
  <si>
    <t>ラベル数</t>
    <rPh sb="3" eb="4">
      <t>スウ</t>
    </rPh>
    <phoneticPr fontId="27"/>
  </si>
  <si>
    <t>label_su</t>
    <phoneticPr fontId="21"/>
  </si>
  <si>
    <t>移動指示№</t>
    <rPh sb="0" eb="4">
      <t>イドウシジ</t>
    </rPh>
    <phoneticPr fontId="27"/>
  </si>
  <si>
    <t>ido_shiji_no</t>
    <phoneticPr fontId="21"/>
  </si>
  <si>
    <t>生産分類</t>
    <rPh sb="0" eb="2">
      <t>セイサン</t>
    </rPh>
    <rPh sb="2" eb="4">
      <t>ブンルイ</t>
    </rPh>
    <phoneticPr fontId="27"/>
  </si>
  <si>
    <t>seisan_bunrui</t>
    <phoneticPr fontId="21"/>
  </si>
  <si>
    <t>移動分類</t>
    <rPh sb="0" eb="4">
      <t>イドウブンルイ</t>
    </rPh>
    <phoneticPr fontId="27"/>
  </si>
  <si>
    <t>ido_bunrui</t>
    <phoneticPr fontId="21"/>
  </si>
  <si>
    <t>コード分類</t>
    <rPh sb="3" eb="5">
      <t>ブンルイ</t>
    </rPh>
    <phoneticPr fontId="27"/>
  </si>
  <si>
    <t>code_bunrui</t>
    <phoneticPr fontId="21"/>
  </si>
  <si>
    <t>移動先保管場所コード</t>
    <rPh sb="0" eb="3">
      <t>イドウサキ</t>
    </rPh>
    <rPh sb="3" eb="7">
      <t>ホカンバショ</t>
    </rPh>
    <phoneticPr fontId="27"/>
  </si>
  <si>
    <t>idosaki_hokan_basho_cd</t>
  </si>
  <si>
    <t>移動先保管場所名称</t>
    <rPh sb="0" eb="2">
      <t>イドウ</t>
    </rPh>
    <rPh sb="2" eb="3">
      <t>サキ</t>
    </rPh>
    <rPh sb="3" eb="5">
      <t>ホカン</t>
    </rPh>
    <rPh sb="5" eb="7">
      <t>バショ</t>
    </rPh>
    <rPh sb="7" eb="9">
      <t>メイショウ</t>
    </rPh>
    <phoneticPr fontId="27"/>
  </si>
  <si>
    <t>idosaki_hokan_basho_nm</t>
  </si>
  <si>
    <t>ロット指定区分</t>
    <rPh sb="3" eb="5">
      <t>シテイ</t>
    </rPh>
    <rPh sb="5" eb="7">
      <t>クブン</t>
    </rPh>
    <phoneticPr fontId="27"/>
  </si>
  <si>
    <t>lot_shitei_kbn</t>
    <phoneticPr fontId="21"/>
  </si>
  <si>
    <t>移動予定日</t>
    <rPh sb="0" eb="2">
      <t>イドウ</t>
    </rPh>
    <rPh sb="2" eb="4">
      <t>ヨテイ</t>
    </rPh>
    <rPh sb="4" eb="5">
      <t>ビ</t>
    </rPh>
    <phoneticPr fontId="27"/>
  </si>
  <si>
    <t>ido_yotei_date</t>
    <phoneticPr fontId="21"/>
  </si>
  <si>
    <t>移動完了日付</t>
    <rPh sb="0" eb="4">
      <t>イドウカンリョウ</t>
    </rPh>
    <rPh sb="4" eb="6">
      <t>ヒヅケ</t>
    </rPh>
    <phoneticPr fontId="27"/>
  </si>
  <si>
    <t>ido_kanryo_date</t>
    <phoneticPr fontId="21"/>
  </si>
  <si>
    <t>依頼者コード</t>
    <rPh sb="0" eb="3">
      <t>イライシャ</t>
    </rPh>
    <phoneticPr fontId="27"/>
  </si>
  <si>
    <t>iraisha_cd</t>
    <phoneticPr fontId="21"/>
  </si>
  <si>
    <t>依頼者名</t>
    <rPh sb="0" eb="3">
      <t>イライシャ</t>
    </rPh>
    <rPh sb="3" eb="4">
      <t>メイ</t>
    </rPh>
    <phoneticPr fontId="27"/>
  </si>
  <si>
    <t>iraisha_nm</t>
    <phoneticPr fontId="21"/>
  </si>
  <si>
    <t>運搬業者コード</t>
    <rPh sb="0" eb="4">
      <t>ウンパンギョウシャ</t>
    </rPh>
    <phoneticPr fontId="27"/>
  </si>
  <si>
    <t>unpan_gyosha_cd</t>
    <phoneticPr fontId="21"/>
  </si>
  <si>
    <t>運搬業者名</t>
    <rPh sb="4" eb="5">
      <t>メイ</t>
    </rPh>
    <phoneticPr fontId="27"/>
  </si>
  <si>
    <t>unpan_gyosha_nm</t>
    <phoneticPr fontId="21"/>
  </si>
  <si>
    <t>運搬業者担当者名</t>
    <rPh sb="0" eb="2">
      <t>ウンパン</t>
    </rPh>
    <rPh sb="2" eb="4">
      <t>ギョウシャ</t>
    </rPh>
    <rPh sb="4" eb="8">
      <t>タントウシャメイ</t>
    </rPh>
    <phoneticPr fontId="27"/>
  </si>
  <si>
    <t>unpan_gyosha_tantosha_nm</t>
    <phoneticPr fontId="21"/>
  </si>
  <si>
    <t>移動先業者コード</t>
    <rPh sb="0" eb="3">
      <t>イドウサキ</t>
    </rPh>
    <rPh sb="3" eb="5">
      <t>ギョウシャ</t>
    </rPh>
    <phoneticPr fontId="27"/>
  </si>
  <si>
    <t>idosaki_gyosha_cd</t>
    <phoneticPr fontId="21"/>
  </si>
  <si>
    <t>移動先業者名</t>
    <rPh sb="0" eb="3">
      <t>イドウサキ</t>
    </rPh>
    <rPh sb="3" eb="5">
      <t>ギョウシャ</t>
    </rPh>
    <rPh sb="5" eb="6">
      <t>メイ</t>
    </rPh>
    <phoneticPr fontId="27"/>
  </si>
  <si>
    <t>idosaki_gyosha_nm</t>
    <phoneticPr fontId="21"/>
  </si>
  <si>
    <t>移動先担当者名</t>
    <rPh sb="0" eb="3">
      <t>イドウサキ</t>
    </rPh>
    <rPh sb="3" eb="7">
      <t>タントウシャメイ</t>
    </rPh>
    <phoneticPr fontId="27"/>
  </si>
  <si>
    <t>idosaki_tantosha_nm</t>
    <phoneticPr fontId="21"/>
  </si>
  <si>
    <t>移動指示明細№</t>
    <rPh sb="0" eb="6">
      <t>イドウシジメイサイ</t>
    </rPh>
    <phoneticPr fontId="5"/>
  </si>
  <si>
    <t>ido_shiji_meisai_no</t>
  </si>
  <si>
    <t>指定ロットフラグ</t>
    <phoneticPr fontId="5"/>
  </si>
  <si>
    <t>shitei_lot_flg</t>
    <phoneticPr fontId="5"/>
  </si>
  <si>
    <t>移動元保管場所コード</t>
    <rPh sb="0" eb="3">
      <t>イドウモト</t>
    </rPh>
    <rPh sb="3" eb="5">
      <t>ホカン</t>
    </rPh>
    <rPh sb="5" eb="7">
      <t>バショ</t>
    </rPh>
    <phoneticPr fontId="5"/>
  </si>
  <si>
    <t>idomoto_hokan_basho_cd</t>
    <phoneticPr fontId="5"/>
  </si>
  <si>
    <t>移動元保管場所名称</t>
    <rPh sb="0" eb="3">
      <t>イドウモト</t>
    </rPh>
    <rPh sb="3" eb="5">
      <t>ホカン</t>
    </rPh>
    <rPh sb="5" eb="7">
      <t>バショ</t>
    </rPh>
    <rPh sb="7" eb="9">
      <t>メイショウ</t>
    </rPh>
    <phoneticPr fontId="5"/>
  </si>
  <si>
    <t>idomoto_hokan_basho_nm</t>
    <phoneticPr fontId="5"/>
  </si>
  <si>
    <t>製品フルロット№</t>
    <rPh sb="0" eb="2">
      <t>セイヒン</t>
    </rPh>
    <phoneticPr fontId="5"/>
  </si>
  <si>
    <t>seihin_full_lot_no</t>
  </si>
  <si>
    <t>フルパレット№</t>
  </si>
  <si>
    <t>full_pallet_no</t>
  </si>
  <si>
    <t>連量</t>
    <rPh sb="0" eb="2">
      <t>レンリョウ</t>
    </rPh>
    <phoneticPr fontId="5"/>
  </si>
  <si>
    <t>renryo</t>
  </si>
  <si>
    <t>移動数</t>
    <rPh sb="0" eb="2">
      <t>イドウ</t>
    </rPh>
    <rPh sb="2" eb="3">
      <t>スウ</t>
    </rPh>
    <phoneticPr fontId="5"/>
  </si>
  <si>
    <t>ido_su</t>
  </si>
  <si>
    <t>移動実績№</t>
    <rPh sb="0" eb="2">
      <t>イドウ</t>
    </rPh>
    <rPh sb="2" eb="4">
      <t>ジッセキ</t>
    </rPh>
    <phoneticPr fontId="5"/>
  </si>
  <si>
    <t>ido_jisseki_no</t>
  </si>
  <si>
    <t>移動実施日</t>
    <rPh sb="0" eb="2">
      <t>イドウ</t>
    </rPh>
    <rPh sb="2" eb="4">
      <t>ジッシ</t>
    </rPh>
    <rPh sb="4" eb="5">
      <t>ヒ</t>
    </rPh>
    <phoneticPr fontId="5"/>
  </si>
  <si>
    <t>ido_jisshi_date</t>
  </si>
  <si>
    <t>ハンディエラーデータフラグ</t>
    <phoneticPr fontId="5"/>
  </si>
  <si>
    <t>handy_error_data_flg</t>
  </si>
  <si>
    <t>PC版登録フラグ</t>
    <rPh sb="2" eb="3">
      <t>バン</t>
    </rPh>
    <rPh sb="3" eb="5">
      <t>トウロク</t>
    </rPh>
    <phoneticPr fontId="5"/>
  </si>
  <si>
    <t>pc_ban_toroku_flg</t>
    <phoneticPr fontId="5"/>
  </si>
  <si>
    <t>引取指示№</t>
    <rPh sb="0" eb="2">
      <t>ヒキトリ</t>
    </rPh>
    <rPh sb="2" eb="4">
      <t>シジ</t>
    </rPh>
    <phoneticPr fontId="5"/>
  </si>
  <si>
    <t>hikitori_shiji_no</t>
  </si>
  <si>
    <t>外注加工業者コード</t>
  </si>
  <si>
    <t>gaichu_kako_gyosha_cd</t>
  </si>
  <si>
    <t>外注加工業者名</t>
  </si>
  <si>
    <t>gaichu_kako_gyosha_nm</t>
  </si>
  <si>
    <t>顧客名</t>
  </si>
  <si>
    <t>連数(R)</t>
    <rPh sb="0" eb="1">
      <t>レン</t>
    </rPh>
    <rPh sb="1" eb="2">
      <t>スウ</t>
    </rPh>
    <phoneticPr fontId="28"/>
  </si>
  <si>
    <t>rensu</t>
  </si>
  <si>
    <r>
      <rPr>
        <sz val="11"/>
        <color rgb="FFFF0000"/>
        <rFont val="游ゴシック"/>
        <family val="3"/>
        <charset val="128"/>
        <scheme val="minor"/>
      </rPr>
      <t>１</t>
    </r>
    <r>
      <rPr>
        <sz val="10"/>
        <color theme="1"/>
        <rFont val="Meiryo UI"/>
        <family val="2"/>
        <charset val="128"/>
      </rPr>
      <t>包の連数</t>
    </r>
    <rPh sb="1" eb="2">
      <t>ツツミ</t>
    </rPh>
    <rPh sb="3" eb="4">
      <t>レン</t>
    </rPh>
    <rPh sb="4" eb="5">
      <t>スウ</t>
    </rPh>
    <phoneticPr fontId="28"/>
  </si>
  <si>
    <r>
      <rPr>
        <sz val="11"/>
        <color rgb="FFFF0000"/>
        <rFont val="游ゴシック"/>
        <family val="3"/>
        <charset val="128"/>
        <scheme val="minor"/>
      </rPr>
      <t>hoso_</t>
    </r>
    <r>
      <rPr>
        <sz val="10"/>
        <color theme="1"/>
        <rFont val="Meiryo UI"/>
        <family val="2"/>
        <charset val="128"/>
      </rPr>
      <t>rensu</t>
    </r>
    <phoneticPr fontId="21"/>
  </si>
  <si>
    <t>納品数</t>
    <rPh sb="0" eb="3">
      <t>ノウヒンスウ</t>
    </rPh>
    <phoneticPr fontId="28"/>
  </si>
  <si>
    <t>nohin_su</t>
  </si>
  <si>
    <t>平判の折り方</t>
  </si>
  <si>
    <t>hiraban</t>
    <phoneticPr fontId="5"/>
  </si>
  <si>
    <t>生産計画登録者</t>
    <rPh sb="0" eb="2">
      <t>セイサン</t>
    </rPh>
    <rPh sb="2" eb="4">
      <t>ケイカク</t>
    </rPh>
    <rPh sb="4" eb="7">
      <t>トウロクシャ</t>
    </rPh>
    <phoneticPr fontId="29"/>
  </si>
  <si>
    <t>seisan_keikaku_torokusha</t>
  </si>
  <si>
    <t>発行日</t>
    <rPh sb="0" eb="3">
      <t>ハッコウビヒ</t>
    </rPh>
    <phoneticPr fontId="30"/>
  </si>
  <si>
    <t>hakko_date</t>
  </si>
  <si>
    <t>引取先業者コード</t>
    <rPh sb="3" eb="5">
      <t>ギョウシャ</t>
    </rPh>
    <phoneticPr fontId="31"/>
  </si>
  <si>
    <t>hikitorisaki_gyosha_cd</t>
  </si>
  <si>
    <t>引取先業者名</t>
    <rPh sb="3" eb="5">
      <t>ギョウシャ</t>
    </rPh>
    <rPh sb="5" eb="6">
      <t>メイ</t>
    </rPh>
    <phoneticPr fontId="31"/>
  </si>
  <si>
    <t>hikitorisaki_gyosha_nm</t>
  </si>
  <si>
    <t>引取先担当者名</t>
    <rPh sb="3" eb="6">
      <t>タントウシャ</t>
    </rPh>
    <rPh sb="6" eb="7">
      <t>メイ</t>
    </rPh>
    <phoneticPr fontId="31"/>
  </si>
  <si>
    <t>hikitorisaki_tantosha_nm</t>
  </si>
  <si>
    <t>引取先件名</t>
    <rPh sb="3" eb="5">
      <t>ケンメイ</t>
    </rPh>
    <phoneticPr fontId="31"/>
  </si>
  <si>
    <t>hikitorisaki_kenmei</t>
  </si>
  <si>
    <t>引取日</t>
    <rPh sb="0" eb="2">
      <t>ヒキトリ</t>
    </rPh>
    <rPh sb="2" eb="3">
      <t>ヒ</t>
    </rPh>
    <phoneticPr fontId="30"/>
  </si>
  <si>
    <t>hikitori_date</t>
  </si>
  <si>
    <t>入庫場所コード</t>
    <rPh sb="0" eb="2">
      <t>ニュウコ</t>
    </rPh>
    <rPh sb="2" eb="4">
      <t>バショ</t>
    </rPh>
    <phoneticPr fontId="30"/>
  </si>
  <si>
    <t>nyuko_basho_cd</t>
  </si>
  <si>
    <t>入庫場所名</t>
    <rPh sb="0" eb="2">
      <t>ニュウコ</t>
    </rPh>
    <rPh sb="2" eb="4">
      <t>バショ</t>
    </rPh>
    <rPh sb="4" eb="5">
      <t>メイ</t>
    </rPh>
    <phoneticPr fontId="30"/>
  </si>
  <si>
    <t>nyuko_basho_nm</t>
  </si>
  <si>
    <t>運搬業者件名</t>
    <rPh sb="2" eb="4">
      <t>ギョウシャ</t>
    </rPh>
    <rPh sb="4" eb="6">
      <t>ケンメイ</t>
    </rPh>
    <phoneticPr fontId="30"/>
  </si>
  <si>
    <t>unpan_gyosha_kenmei</t>
  </si>
  <si>
    <t>入庫予定数</t>
    <rPh sb="0" eb="2">
      <t>ニュウコ</t>
    </rPh>
    <rPh sb="2" eb="4">
      <t>ヨテイ</t>
    </rPh>
    <rPh sb="4" eb="5">
      <t>スウ</t>
    </rPh>
    <phoneticPr fontId="30"/>
  </si>
  <si>
    <t>nyuko_yotei_su</t>
  </si>
  <si>
    <t>包装フラグ</t>
    <phoneticPr fontId="26"/>
  </si>
  <si>
    <t>hoso_flg</t>
    <phoneticPr fontId="26"/>
  </si>
  <si>
    <t>包装数</t>
    <phoneticPr fontId="26"/>
  </si>
  <si>
    <t>hoso_su</t>
    <phoneticPr fontId="26"/>
  </si>
  <si>
    <t>引取実績№</t>
    <rPh sb="0" eb="2">
      <t>ヒキトリ</t>
    </rPh>
    <rPh sb="2" eb="4">
      <t>ジッセキ</t>
    </rPh>
    <phoneticPr fontId="27"/>
  </si>
  <si>
    <t>hikitori_jisseki_no</t>
    <phoneticPr fontId="26"/>
  </si>
  <si>
    <t>入庫合計数</t>
    <rPh sb="0" eb="2">
      <t>ニュウコ</t>
    </rPh>
    <rPh sb="2" eb="5">
      <t>ゴウケイスウ</t>
    </rPh>
    <phoneticPr fontId="27"/>
  </si>
  <si>
    <t>nyuko_gokei_su</t>
    <phoneticPr fontId="26"/>
  </si>
  <si>
    <t>登録フラグ</t>
    <rPh sb="0" eb="2">
      <t>トウロク</t>
    </rPh>
    <phoneticPr fontId="27"/>
  </si>
  <si>
    <t>toroku_flg</t>
    <phoneticPr fontId="26"/>
  </si>
  <si>
    <t>入庫日</t>
    <rPh sb="0" eb="2">
      <t>ニュウコ</t>
    </rPh>
    <rPh sb="2" eb="3">
      <t>ビ</t>
    </rPh>
    <phoneticPr fontId="27"/>
  </si>
  <si>
    <t>nyuko_date</t>
    <phoneticPr fontId="26"/>
  </si>
  <si>
    <t>原反継目</t>
    <rPh sb="0" eb="2">
      <t>ゲンタン</t>
    </rPh>
    <rPh sb="2" eb="4">
      <t>ツギメ</t>
    </rPh>
    <phoneticPr fontId="5"/>
  </si>
  <si>
    <t>gentan_tsugime</t>
    <phoneticPr fontId="5"/>
  </si>
  <si>
    <t>断紙回数</t>
    <rPh sb="0" eb="2">
      <t>ダンシ</t>
    </rPh>
    <rPh sb="2" eb="4">
      <t>カイスウ</t>
    </rPh>
    <phoneticPr fontId="5"/>
  </si>
  <si>
    <t>danshi_kaisu</t>
    <phoneticPr fontId="5"/>
  </si>
  <si>
    <t>S/C巻</t>
    <rPh sb="3" eb="4">
      <t>マキ</t>
    </rPh>
    <phoneticPr fontId="5"/>
  </si>
  <si>
    <t>sc_maki</t>
    <phoneticPr fontId="5"/>
  </si>
  <si>
    <t>使用残ｍ</t>
    <phoneticPr fontId="21"/>
  </si>
  <si>
    <t>shiyo_zan</t>
  </si>
  <si>
    <t>製品品種コード</t>
    <rPh sb="0" eb="2">
      <t>セイヒン</t>
    </rPh>
    <rPh sb="2" eb="4">
      <t>ヒンシュ</t>
    </rPh>
    <phoneticPr fontId="21"/>
  </si>
  <si>
    <r>
      <t>s</t>
    </r>
    <r>
      <rPr>
        <sz val="10"/>
        <color theme="1"/>
        <rFont val="Meiryo UI"/>
        <family val="2"/>
        <charset val="128"/>
      </rPr>
      <t>eihin_hinshu_cd</t>
    </r>
    <phoneticPr fontId="21"/>
  </si>
  <si>
    <t>原反品種コード</t>
    <rPh sb="0" eb="2">
      <t>ゲンタン</t>
    </rPh>
    <rPh sb="2" eb="4">
      <t>ヒンシュ</t>
    </rPh>
    <phoneticPr fontId="21"/>
  </si>
  <si>
    <t>gentan_hinshu_cd</t>
    <phoneticPr fontId="21"/>
  </si>
  <si>
    <t>最終承認権限フラグ</t>
    <rPh sb="4" eb="6">
      <t>ケンゲン</t>
    </rPh>
    <phoneticPr fontId="5"/>
  </si>
  <si>
    <t>saishu_shonin_auth_flg</t>
    <phoneticPr fontId="21"/>
  </si>
  <si>
    <t>開始時刻</t>
    <rPh sb="0" eb="2">
      <t>カイシ</t>
    </rPh>
    <rPh sb="2" eb="4">
      <t>ジコク</t>
    </rPh>
    <phoneticPr fontId="5"/>
  </si>
  <si>
    <t>start_time</t>
    <phoneticPr fontId="21"/>
  </si>
  <si>
    <t>終了時刻</t>
    <rPh sb="0" eb="2">
      <t>シュウリョウ</t>
    </rPh>
    <rPh sb="2" eb="4">
      <t>ジコク</t>
    </rPh>
    <phoneticPr fontId="5"/>
  </si>
  <si>
    <t>end_time</t>
    <phoneticPr fontId="21"/>
  </si>
  <si>
    <t>勤務A</t>
    <rPh sb="0" eb="2">
      <t>キンム</t>
    </rPh>
    <phoneticPr fontId="5"/>
  </si>
  <si>
    <t>kinmu_a</t>
    <phoneticPr fontId="21"/>
  </si>
  <si>
    <t>勤務B</t>
    <rPh sb="0" eb="2">
      <t>キンム</t>
    </rPh>
    <phoneticPr fontId="5"/>
  </si>
  <si>
    <t>kinmu_b</t>
    <phoneticPr fontId="21"/>
  </si>
  <si>
    <t>勤務C</t>
    <rPh sb="0" eb="2">
      <t>キンム</t>
    </rPh>
    <phoneticPr fontId="5"/>
  </si>
  <si>
    <t>kinmu_c</t>
    <phoneticPr fontId="21"/>
  </si>
  <si>
    <t>土曜日フラグ</t>
    <rPh sb="0" eb="3">
      <t>ドヨウビ</t>
    </rPh>
    <phoneticPr fontId="5"/>
  </si>
  <si>
    <t>saturday_flg</t>
    <phoneticPr fontId="21"/>
  </si>
  <si>
    <t>日曜日フラグ</t>
    <rPh sb="0" eb="3">
      <t>ニチヨウビ</t>
    </rPh>
    <phoneticPr fontId="5"/>
  </si>
  <si>
    <t>sunday_flg</t>
    <phoneticPr fontId="21"/>
  </si>
  <si>
    <t>参照元生産計画№</t>
    <rPh sb="0" eb="2">
      <t>サンショウ</t>
    </rPh>
    <rPh sb="2" eb="3">
      <t>モト</t>
    </rPh>
    <phoneticPr fontId="5"/>
  </si>
  <si>
    <t>base_seisan_keikaku_no</t>
    <phoneticPr fontId="5"/>
  </si>
  <si>
    <t>単位コード</t>
  </si>
  <si>
    <t>文字</t>
  </si>
  <si>
    <t>04.薬品</t>
    <phoneticPr fontId="5"/>
  </si>
  <si>
    <t>薬品タンク</t>
    <rPh sb="0" eb="2">
      <t>ヤクヒン</t>
    </rPh>
    <phoneticPr fontId="5"/>
  </si>
  <si>
    <t>yakuhin_tank</t>
    <phoneticPr fontId="5"/>
  </si>
  <si>
    <t>薬品コード</t>
    <rPh sb="0" eb="2">
      <t>ヤクヒン</t>
    </rPh>
    <phoneticPr fontId="5"/>
  </si>
  <si>
    <t>薬品</t>
    <rPh sb="0" eb="2">
      <t>ヤクヒン</t>
    </rPh>
    <phoneticPr fontId="5"/>
  </si>
  <si>
    <t>生産計画排他情報</t>
    <rPh sb="0" eb="2">
      <t>セイサン</t>
    </rPh>
    <rPh sb="2" eb="4">
      <t>ケイカク</t>
    </rPh>
    <rPh sb="4" eb="6">
      <t>ハイタ</t>
    </rPh>
    <rPh sb="6" eb="8">
      <t>ジョウホウ</t>
    </rPh>
    <phoneticPr fontId="5"/>
  </si>
  <si>
    <t>t_seisan_haita</t>
    <phoneticPr fontId="5"/>
  </si>
  <si>
    <t>処理担当者</t>
    <rPh sb="0" eb="2">
      <t>ショリ</t>
    </rPh>
    <rPh sb="2" eb="5">
      <t>タントウシャ</t>
    </rPh>
    <phoneticPr fontId="5"/>
  </si>
  <si>
    <t>process_user_cd</t>
    <phoneticPr fontId="5"/>
  </si>
  <si>
    <t>機能コード</t>
  </si>
  <si>
    <t>機能ID</t>
    <rPh sb="0" eb="2">
      <t>キノウ</t>
    </rPh>
    <phoneticPr fontId="5"/>
  </si>
  <si>
    <t>[パルプ]離解時間</t>
    <phoneticPr fontId="17"/>
  </si>
  <si>
    <t>[化繊]仕込み合計</t>
    <rPh sb="1" eb="3">
      <t>カセン</t>
    </rPh>
    <phoneticPr fontId="5"/>
  </si>
  <si>
    <t>[化繊]タンクレベル</t>
    <phoneticPr fontId="5"/>
  </si>
  <si>
    <t>[化繊]原料濃度</t>
    <phoneticPr fontId="5"/>
  </si>
  <si>
    <t>[化繊]離解時間</t>
    <phoneticPr fontId="17"/>
  </si>
  <si>
    <t>pulp_rikai_time</t>
  </si>
  <si>
    <t>kasen_sikomi_gokei</t>
    <phoneticPr fontId="6"/>
  </si>
  <si>
    <t>kasen_tank_level</t>
    <phoneticPr fontId="6"/>
  </si>
  <si>
    <t>kasen_genryo_nodo</t>
    <phoneticPr fontId="6"/>
  </si>
  <si>
    <t>kasen_rikai_time</t>
    <phoneticPr fontId="6"/>
  </si>
  <si>
    <t>2023/08/22 追加</t>
    <rPh sb="11" eb="13">
      <t>ツイカ</t>
    </rPh>
    <phoneticPr fontId="5"/>
  </si>
  <si>
    <t>2023/08/24 追加</t>
    <rPh sb="11" eb="13">
      <t>ツイカ</t>
    </rPh>
    <phoneticPr fontId="5"/>
  </si>
  <si>
    <t>作業者</t>
    <phoneticPr fontId="5"/>
  </si>
  <si>
    <t>sagyosha</t>
    <phoneticPr fontId="5"/>
  </si>
  <si>
    <t>表示順</t>
    <rPh sb="0" eb="2">
      <t>ヒョウジ</t>
    </rPh>
    <rPh sb="2" eb="3">
      <t>ジュン</t>
    </rPh>
    <phoneticPr fontId="5"/>
  </si>
  <si>
    <t>製造工程</t>
    <rPh sb="0" eb="2">
      <t>セイゾウ</t>
    </rPh>
    <rPh sb="2" eb="4">
      <t>コウテイ</t>
    </rPh>
    <phoneticPr fontId="5"/>
  </si>
  <si>
    <t>seizo_kotei</t>
  </si>
  <si>
    <t>１から連番</t>
  </si>
  <si>
    <t>生産計画SEQ</t>
    <phoneticPr fontId="5"/>
  </si>
  <si>
    <t>seisan_keikaku_seq</t>
    <phoneticPr fontId="5"/>
  </si>
  <si>
    <t>製品区分</t>
    <rPh sb="0" eb="2">
      <t>セイヒン</t>
    </rPh>
    <rPh sb="2" eb="4">
      <t>クブン</t>
    </rPh>
    <phoneticPr fontId="5"/>
  </si>
  <si>
    <t>区分マスタ.区分：12</t>
    <rPh sb="0" eb="2">
      <t>クブン</t>
    </rPh>
    <rPh sb="6" eb="8">
      <t>クブン</t>
    </rPh>
    <phoneticPr fontId="5"/>
  </si>
  <si>
    <t>seihin_kbn</t>
    <phoneticPr fontId="5"/>
  </si>
  <si>
    <t>区分マスタ.区分：102GK</t>
    <rPh sb="0" eb="2">
      <t>クブン</t>
    </rPh>
    <rPh sb="6" eb="8">
      <t>クブン</t>
    </rPh>
    <phoneticPr fontId="5"/>
  </si>
  <si>
    <t>区分マスタ.区分：102WD</t>
    <rPh sb="0" eb="2">
      <t>クブン</t>
    </rPh>
    <rPh sb="6" eb="8">
      <t>クブン</t>
    </rPh>
    <phoneticPr fontId="5"/>
  </si>
  <si>
    <t>unit_cd</t>
    <phoneticPr fontId="5"/>
  </si>
  <si>
    <t>9/4追加</t>
    <rPh sb="3" eb="5">
      <t>ツイカ</t>
    </rPh>
    <phoneticPr fontId="5"/>
  </si>
  <si>
    <t>9/15追加</t>
    <rPh sb="4" eb="6">
      <t>ツイカ</t>
    </rPh>
    <phoneticPr fontId="5"/>
  </si>
  <si>
    <t>9/15修正</t>
    <rPh sb="4" eb="6">
      <t>シュウセイ</t>
    </rPh>
    <phoneticPr fontId="5"/>
  </si>
  <si>
    <t>製造工程抄紙設備</t>
  </si>
  <si>
    <t>t_seizou_syousi_setubi</t>
  </si>
  <si>
    <t>区分マスタ.区分：02PM</t>
    <rPh sb="0" eb="2">
      <t>クブン</t>
    </rPh>
    <rPh sb="6" eb="8">
      <t>クブン</t>
    </rPh>
    <phoneticPr fontId="5"/>
  </si>
  <si>
    <t>複数コード指定あり（1件＝15桁）</t>
    <rPh sb="0" eb="2">
      <t>フクスウ</t>
    </rPh>
    <rPh sb="5" eb="7">
      <t>シテイ</t>
    </rPh>
    <rPh sb="11" eb="12">
      <t>ケン</t>
    </rPh>
    <rPh sb="15" eb="16">
      <t>ケタ</t>
    </rPh>
    <phoneticPr fontId="5"/>
  </si>
  <si>
    <t>複数コード指定あり（1件＝5桁）</t>
    <rPh sb="0" eb="2">
      <t>フクスウ</t>
    </rPh>
    <rPh sb="5" eb="7">
      <t>シテイ</t>
    </rPh>
    <rPh sb="11" eb="12">
      <t>ケン</t>
    </rPh>
    <rPh sb="14" eb="15">
      <t>ケタ</t>
    </rPh>
    <phoneticPr fontId="5"/>
  </si>
  <si>
    <t>区分マスタ.区分：02HC</t>
    <rPh sb="0" eb="2">
      <t>クブン</t>
    </rPh>
    <rPh sb="6" eb="8">
      <t>クブン</t>
    </rPh>
    <phoneticPr fontId="5"/>
  </si>
  <si>
    <t>複数コード指定あり（1件＝20桁）</t>
    <rPh sb="0" eb="2">
      <t>フクスウ</t>
    </rPh>
    <rPh sb="5" eb="7">
      <t>シテイ</t>
    </rPh>
    <rPh sb="11" eb="12">
      <t>ケン</t>
    </rPh>
    <rPh sb="15" eb="16">
      <t>ケタ</t>
    </rPh>
    <phoneticPr fontId="5"/>
  </si>
  <si>
    <t>？？？</t>
    <phoneticPr fontId="5"/>
  </si>
  <si>
    <t>区分マスタ.区分：02CM</t>
    <rPh sb="0" eb="2">
      <t>クブン</t>
    </rPh>
    <rPh sb="6" eb="8">
      <t>クブン</t>
    </rPh>
    <phoneticPr fontId="5"/>
  </si>
  <si>
    <t>？？？</t>
    <phoneticPr fontId="5"/>
  </si>
  <si>
    <t>区分マスタ.区分：02SC</t>
    <rPh sb="0" eb="2">
      <t>クブン</t>
    </rPh>
    <rPh sb="6" eb="8">
      <t>クブン</t>
    </rPh>
    <phoneticPr fontId="5"/>
  </si>
  <si>
    <t>区分マスタ.区分：02CF</t>
    <rPh sb="0" eb="2">
      <t>クブン</t>
    </rPh>
    <rPh sb="6" eb="8">
      <t>クブン</t>
    </rPh>
    <phoneticPr fontId="5"/>
  </si>
  <si>
    <t>10/05　修正</t>
    <rPh sb="6" eb="8">
      <t>シュウセイ</t>
    </rPh>
    <phoneticPr fontId="5"/>
  </si>
  <si>
    <t>区分マスタ.区分：88</t>
    <rPh sb="0" eb="2">
      <t>クブン</t>
    </rPh>
    <rPh sb="6" eb="8">
      <t>クブン</t>
    </rPh>
    <phoneticPr fontId="5"/>
  </si>
  <si>
    <t>区分マスタ.区分：02WD</t>
    <rPh sb="0" eb="2">
      <t>クブン</t>
    </rPh>
    <rPh sb="6" eb="8">
      <t>クブン</t>
    </rPh>
    <phoneticPr fontId="5"/>
  </si>
  <si>
    <t>変更</t>
    <rPh sb="0" eb="2">
      <t>ヘンコウ</t>
    </rPh>
    <phoneticPr fontId="5"/>
  </si>
  <si>
    <t>hatsuban_control</t>
  </si>
  <si>
    <t>コード・区分に対する発番制御</t>
    <phoneticPr fontId="5"/>
  </si>
  <si>
    <t>修正</t>
    <rPh sb="0" eb="2">
      <t>シュウセイ</t>
    </rPh>
    <phoneticPr fontId="5"/>
  </si>
  <si>
    <t>10/05修正</t>
    <rPh sb="5" eb="7">
      <t>シュウセイ</t>
    </rPh>
    <phoneticPr fontId="5"/>
  </si>
  <si>
    <t>生産指示明細情報（原反）</t>
    <phoneticPr fontId="5"/>
  </si>
  <si>
    <t>10/5修正</t>
    <rPh sb="4" eb="6">
      <t>シュウセイ</t>
    </rPh>
    <phoneticPr fontId="5"/>
  </si>
  <si>
    <t>生産計画情報（抄紙）</t>
    <phoneticPr fontId="5"/>
  </si>
  <si>
    <t>本数（予定）</t>
    <phoneticPr fontId="5"/>
  </si>
  <si>
    <t>生産計画情報（熱加工）</t>
    <phoneticPr fontId="5"/>
  </si>
  <si>
    <t>×</t>
    <phoneticPr fontId="5"/>
  </si>
  <si>
    <t>生産計画情報（加工CM）</t>
    <phoneticPr fontId="5"/>
  </si>
  <si>
    <t>生産計画情報（加工SC）</t>
    <phoneticPr fontId="5"/>
  </si>
  <si>
    <t>生産計画情報（コーヒーフィルタ）</t>
    <phoneticPr fontId="5"/>
  </si>
  <si>
    <t>生産計画情報（パッケージ工場）</t>
    <phoneticPr fontId="5"/>
  </si>
  <si>
    <t>作業実績区分</t>
    <phoneticPr fontId="5"/>
  </si>
  <si>
    <t>sagyo_jisseki_kbn</t>
    <phoneticPr fontId="5"/>
  </si>
  <si>
    <t>生産計画情報（WD工場）</t>
    <phoneticPr fontId="5"/>
  </si>
  <si>
    <t>生産計画情報（外注加工）</t>
    <phoneticPr fontId="5"/>
  </si>
  <si>
    <t>平判付属</t>
    <phoneticPr fontId="5"/>
  </si>
  <si>
    <t>連数</t>
    <phoneticPr fontId="5"/>
  </si>
  <si>
    <t>平判の折り方</t>
    <phoneticPr fontId="5"/>
  </si>
  <si>
    <t>生産指示情報（原材料）</t>
    <phoneticPr fontId="5"/>
  </si>
  <si>
    <t>参照元生産計画№</t>
    <phoneticPr fontId="5"/>
  </si>
  <si>
    <t>[パルプ]離解時間</t>
    <phoneticPr fontId="5"/>
  </si>
  <si>
    <t>pulp_rikai_time</t>
    <phoneticPr fontId="5"/>
  </si>
  <si>
    <t>[化繊]仕込み合計</t>
    <phoneticPr fontId="5"/>
  </si>
  <si>
    <t>kasen_sikomi_gokei</t>
    <phoneticPr fontId="5"/>
  </si>
  <si>
    <t>kasen_tank_level</t>
    <phoneticPr fontId="5"/>
  </si>
  <si>
    <t>kasen_genryo_nodo</t>
    <phoneticPr fontId="5"/>
  </si>
  <si>
    <t>[化繊]離解時間</t>
    <phoneticPr fontId="5"/>
  </si>
  <si>
    <t>kasen_rikai_time</t>
    <phoneticPr fontId="5"/>
  </si>
  <si>
    <t>生産指示明細情報（原材料）</t>
    <phoneticPr fontId="5"/>
  </si>
  <si>
    <t>生産指示情報（薬品）</t>
    <phoneticPr fontId="5"/>
  </si>
  <si>
    <t>生産指示明細情報（薬品）</t>
    <phoneticPr fontId="5"/>
  </si>
  <si>
    <t>生産指示情報（調薬）</t>
    <phoneticPr fontId="5"/>
  </si>
  <si>
    <t>生産指示明細情報（調薬）</t>
    <phoneticPr fontId="5"/>
  </si>
  <si>
    <t>薬品コード</t>
    <phoneticPr fontId="5"/>
  </si>
  <si>
    <t>薬品</t>
    <phoneticPr fontId="5"/>
  </si>
  <si>
    <t>nvarchar</t>
    <phoneticPr fontId="5"/>
  </si>
  <si>
    <t>薬品タンク</t>
    <phoneticPr fontId="5"/>
  </si>
  <si>
    <t>投入量</t>
    <phoneticPr fontId="5"/>
  </si>
  <si>
    <t>tonyu_ryo</t>
    <phoneticPr fontId="5"/>
  </si>
  <si>
    <t>生産指示情報（原反）</t>
    <phoneticPr fontId="5"/>
  </si>
  <si>
    <t>原反本数</t>
    <phoneticPr fontId="5"/>
  </si>
  <si>
    <t>加工依頼情報</t>
    <phoneticPr fontId="5"/>
  </si>
  <si>
    <t>加工依頼明細情報</t>
    <phoneticPr fontId="5"/>
  </si>
  <si>
    <t>在庫区分</t>
    <phoneticPr fontId="5"/>
  </si>
  <si>
    <t>製品ロット№</t>
    <phoneticPr fontId="5"/>
  </si>
  <si>
    <t>製品ロット区分</t>
    <phoneticPr fontId="5"/>
  </si>
  <si>
    <t>ロット指定区分</t>
    <phoneticPr fontId="5"/>
  </si>
  <si>
    <t>加工依頼明細情報（ロット指定）</t>
    <phoneticPr fontId="5"/>
  </si>
  <si>
    <t>指定ロット№</t>
    <phoneticPr fontId="5"/>
  </si>
  <si>
    <t>フル製品ロット№</t>
    <phoneticPr fontId="5"/>
  </si>
  <si>
    <t>生産計画項目制御情報</t>
    <phoneticPr fontId="5"/>
  </si>
  <si>
    <t>発番制御</t>
    <phoneticPr fontId="5"/>
  </si>
  <si>
    <t>hatsuban_control</t>
    <phoneticPr fontId="5"/>
  </si>
  <si>
    <t>作業区分制御</t>
    <rPh sb="0" eb="2">
      <t>サギョウ</t>
    </rPh>
    <rPh sb="2" eb="4">
      <t>クブン</t>
    </rPh>
    <rPh sb="4" eb="6">
      <t>セイギョ</t>
    </rPh>
    <phoneticPr fontId="5"/>
  </si>
  <si>
    <t>sagyo_kbn_control</t>
    <phoneticPr fontId="5"/>
  </si>
  <si>
    <t>空白　■:停機等　□：試作テスト</t>
    <rPh sb="0" eb="2">
      <t>クウハク</t>
    </rPh>
    <rPh sb="5" eb="7">
      <t>テイキ</t>
    </rPh>
    <rPh sb="7" eb="8">
      <t>トウ</t>
    </rPh>
    <phoneticPr fontId="5"/>
  </si>
  <si>
    <t>コード・区分に対する出力制御</t>
    <rPh sb="4" eb="6">
      <t>クブン</t>
    </rPh>
    <rPh sb="7" eb="8">
      <t>タイ</t>
    </rPh>
    <rPh sb="10" eb="12">
      <t>シュツリョク</t>
    </rPh>
    <rPh sb="12" eb="14">
      <t>セイギョ</t>
    </rPh>
    <phoneticPr fontId="5"/>
  </si>
  <si>
    <t>0.対象外　1.対象</t>
    <rPh sb="2" eb="4">
      <t>タイショウ</t>
    </rPh>
    <rPh sb="4" eb="5">
      <t>ガイ</t>
    </rPh>
    <rPh sb="8" eb="10">
      <t>タイショウ</t>
    </rPh>
    <phoneticPr fontId="5"/>
  </si>
  <si>
    <t>作業区分記号</t>
    <rPh sb="0" eb="2">
      <t>サギョウ</t>
    </rPh>
    <rPh sb="2" eb="4">
      <t>クブン</t>
    </rPh>
    <phoneticPr fontId="5"/>
  </si>
  <si>
    <t>sagyo_kbn_symbol</t>
    <phoneticPr fontId="5"/>
  </si>
  <si>
    <t>コード・区分に対する作業区分記号</t>
    <rPh sb="4" eb="6">
      <t>クブン</t>
    </rPh>
    <rPh sb="7" eb="8">
      <t>タイ</t>
    </rPh>
    <phoneticPr fontId="5"/>
  </si>
  <si>
    <t>10/16追加</t>
    <rPh sb="5" eb="7">
      <t>ツイカ</t>
    </rPh>
    <phoneticPr fontId="5"/>
  </si>
  <si>
    <t>作業区分タイトル</t>
    <rPh sb="0" eb="2">
      <t>サギョウ</t>
    </rPh>
    <rPh sb="2" eb="4">
      <t>クブン</t>
    </rPh>
    <phoneticPr fontId="5"/>
  </si>
  <si>
    <t>空白　■　□</t>
    <rPh sb="0" eb="2">
      <t>クウハク</t>
    </rPh>
    <phoneticPr fontId="5"/>
  </si>
  <si>
    <t>コード・区分に対する作業区分タイトル</t>
    <rPh sb="4" eb="6">
      <t>クブン</t>
    </rPh>
    <rPh sb="7" eb="8">
      <t>タイ</t>
    </rPh>
    <phoneticPr fontId="5"/>
  </si>
  <si>
    <t>sagyo_kbn_title</t>
    <phoneticPr fontId="5"/>
  </si>
  <si>
    <t>作業実績区分</t>
  </si>
  <si>
    <t>10/23　修正</t>
    <rPh sb="6" eb="8">
      <t>シュウセイ</t>
    </rPh>
    <phoneticPr fontId="5"/>
  </si>
  <si>
    <t>11/7追加</t>
    <rPh sb="4" eb="6">
      <t>ツイカ</t>
    </rPh>
    <phoneticPr fontId="5"/>
  </si>
  <si>
    <t>作業区分記号</t>
    <phoneticPr fontId="5"/>
  </si>
  <si>
    <t>作業区分タイトル</t>
    <phoneticPr fontId="5"/>
  </si>
  <si>
    <t>作業区分制御</t>
    <phoneticPr fontId="5"/>
  </si>
  <si>
    <t>計画外発番制御</t>
  </si>
  <si>
    <t>keikakugai_hatsuban_control</t>
  </si>
  <si>
    <t>計画外発番制御</t>
    <phoneticPr fontId="5"/>
  </si>
  <si>
    <t>コード・区分に対する計画外発番制御</t>
  </si>
  <si>
    <t>0.発行不可 1.発番可能</t>
  </si>
  <si>
    <t>計画外ラベル制御</t>
  </si>
  <si>
    <t>keikakugai_label_control</t>
  </si>
  <si>
    <t>計画外ラベル制御</t>
    <phoneticPr fontId="5"/>
  </si>
  <si>
    <t>コード・区分に対する計画外ラベル制御</t>
  </si>
  <si>
    <t>0.発行不可 1.発行可能</t>
  </si>
  <si>
    <t>10/18追加</t>
  </si>
  <si>
    <t>10/18追加</t>
    <rPh sb="5" eb="7">
      <t>ツイカ</t>
    </rPh>
    <phoneticPr fontId="5"/>
  </si>
  <si>
    <t>keikakugai_hatsuban_control</t>
    <phoneticPr fontId="5"/>
  </si>
  <si>
    <t>keikakugai_label_control</t>
    <phoneticPr fontId="5"/>
  </si>
  <si>
    <t>区分マスタ.区分：10</t>
    <rPh sb="0" eb="2">
      <t>クブン</t>
    </rPh>
    <rPh sb="6" eb="8">
      <t>クブン</t>
    </rPh>
    <phoneticPr fontId="5"/>
  </si>
  <si>
    <t>追加</t>
    <rPh sb="0" eb="2">
      <t>ツイカ</t>
    </rPh>
    <phoneticPr fontId="5"/>
  </si>
  <si>
    <t>生産計画№SEQ</t>
    <phoneticPr fontId="5"/>
  </si>
  <si>
    <t>生産計画№単位に連番</t>
    <rPh sb="0" eb="4">
      <t>セイサンケイカク</t>
    </rPh>
    <rPh sb="5" eb="7">
      <t>タンイ</t>
    </rPh>
    <rPh sb="8" eb="10">
      <t>レンバン</t>
    </rPh>
    <phoneticPr fontId="5"/>
  </si>
  <si>
    <t>11/13追加</t>
    <rPh sb="4" eb="6">
      <t>ツイカ</t>
    </rPh>
    <phoneticPr fontId="5"/>
  </si>
  <si>
    <t>*</t>
    <phoneticPr fontId="5"/>
  </si>
  <si>
    <t>meisai_seq</t>
    <phoneticPr fontId="5"/>
  </si>
  <si>
    <t>0：指定ロット未データ　１:指定ロットデータ</t>
    <rPh sb="2" eb="4">
      <t>シテイ</t>
    </rPh>
    <rPh sb="7" eb="8">
      <t>ミ</t>
    </rPh>
    <rPh sb="14" eb="16">
      <t>シテイ</t>
    </rPh>
    <phoneticPr fontId="5"/>
  </si>
  <si>
    <t>lot_shitei_kbn</t>
    <phoneticPr fontId="5"/>
  </si>
  <si>
    <t>1:年月ロット指定　2:フルロット指定</t>
    <rPh sb="2" eb="4">
      <t>ネンゲツ</t>
    </rPh>
    <rPh sb="7" eb="9">
      <t>シテイ</t>
    </rPh>
    <rPh sb="17" eb="19">
      <t>シテイ</t>
    </rPh>
    <phoneticPr fontId="5"/>
  </si>
  <si>
    <t>年月ロット№</t>
    <rPh sb="0" eb="1">
      <t>ネン</t>
    </rPh>
    <rPh sb="1" eb="2">
      <t>ツキ</t>
    </rPh>
    <phoneticPr fontId="5"/>
  </si>
  <si>
    <t>ym_lot_no</t>
    <phoneticPr fontId="5"/>
  </si>
  <si>
    <t>11/13追加</t>
    <rPh sb="5" eb="7">
      <t>ツイカ</t>
    </rPh>
    <phoneticPr fontId="5"/>
  </si>
  <si>
    <t>坪量</t>
    <phoneticPr fontId="39"/>
  </si>
  <si>
    <t>×</t>
  </si>
  <si>
    <t>年月ロット№</t>
    <phoneticPr fontId="5"/>
  </si>
  <si>
    <t>使用半製品</t>
    <rPh sb="0" eb="2">
      <t>シヨウ</t>
    </rPh>
    <rPh sb="2" eb="5">
      <t>ハンセイヒン</t>
    </rPh>
    <phoneticPr fontId="5"/>
  </si>
  <si>
    <t>shiyo_han_seihin</t>
    <phoneticPr fontId="5"/>
  </si>
  <si>
    <t>11/28追加</t>
    <rPh sb="5" eb="7">
      <t>ツイカ</t>
    </rPh>
    <phoneticPr fontId="5"/>
  </si>
  <si>
    <t>使用半製品</t>
    <phoneticPr fontId="5"/>
  </si>
  <si>
    <t>生産計画排他情報</t>
    <phoneticPr fontId="5"/>
  </si>
  <si>
    <t>処理担当者</t>
    <phoneticPr fontId="5"/>
  </si>
  <si>
    <t>kino_cd</t>
    <phoneticPr fontId="5"/>
  </si>
  <si>
    <t>機能ID</t>
    <phoneticPr fontId="5"/>
  </si>
  <si>
    <t>製造工程抄紙設備</t>
    <phoneticPr fontId="5"/>
  </si>
  <si>
    <t>製造工程</t>
    <phoneticPr fontId="5"/>
  </si>
  <si>
    <t>seizo_kotei</t>
    <phoneticPr fontId="5"/>
  </si>
  <si>
    <t>disp_order</t>
    <phoneticPr fontId="5"/>
  </si>
  <si>
    <t>区分マスタ.区分：144</t>
    <rPh sb="0" eb="2">
      <t>クブン</t>
    </rPh>
    <rPh sb="6" eb="8">
      <t>クブン</t>
    </rPh>
    <phoneticPr fontId="5"/>
  </si>
  <si>
    <t>11/28削除</t>
    <rPh sb="5" eb="7">
      <t>サクジョ</t>
    </rPh>
    <phoneticPr fontId="5"/>
  </si>
  <si>
    <t>×</t>
    <phoneticPr fontId="5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</si>
</sst>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40">
    <font>
      <sz val="10"/>
      <color theme="1"/>
      <name val="Meiryo UI"/>
      <family val="2"/>
      <charset val="128"/>
    </font>
    <font>
      <sz val="11"/>
      <color theme="1"/>
      <name val="游ゴシック"/>
      <family val="2"/>
      <charset val="128"/>
      <scheme val="minor"/>
    </font>
    <font>
      <sz val="11"/>
      <color theme="1"/>
      <name val="游ゴシック"/>
      <family val="2"/>
      <charset val="128"/>
      <scheme val="minor"/>
    </font>
    <font>
      <sz val="11"/>
      <color theme="1"/>
      <name val="游ゴシック"/>
      <family val="2"/>
      <charset val="128"/>
      <scheme val="minor"/>
    </font>
    <font>
      <sz val="11"/>
      <name val="ＭＳ Ｐゴシック"/>
      <family val="3"/>
      <charset val="128"/>
    </font>
    <font>
      <sz val="6"/>
      <name val="Meiryo UI"/>
      <family val="2"/>
      <charset val="128"/>
    </font>
    <font>
      <sz val="6"/>
      <name val="ＭＳ Ｐゴシック"/>
      <family val="3"/>
      <charset val="128"/>
    </font>
    <font>
      <sz val="10"/>
      <name val="Meiryo UI"/>
      <family val="3"/>
      <charset val="128"/>
    </font>
    <font>
      <sz val="6"/>
      <name val="MS UI Gothic"/>
      <family val="3"/>
      <charset val="128"/>
    </font>
    <font>
      <sz val="10"/>
      <name val="MS UI Gothic"/>
      <family val="3"/>
      <charset val="128"/>
    </font>
    <font>
      <sz val="11"/>
      <color theme="1"/>
      <name val="游ゴシック"/>
      <family val="3"/>
      <charset val="128"/>
      <scheme val="minor"/>
    </font>
    <font>
      <sz val="9"/>
      <color indexed="81"/>
      <name val="ＭＳ Ｐゴシック"/>
      <family val="3"/>
      <charset val="128"/>
    </font>
    <font>
      <sz val="14"/>
      <color theme="1"/>
      <name val="Meiryo UI"/>
      <family val="2"/>
      <charset val="128"/>
    </font>
    <font>
      <sz val="10"/>
      <color theme="1"/>
      <name val="Meiryo UI"/>
      <family val="3"/>
      <charset val="128"/>
    </font>
    <font>
      <sz val="12"/>
      <color theme="1"/>
      <name val="Meiryo UI"/>
      <family val="3"/>
      <charset val="128"/>
    </font>
    <font>
      <sz val="10"/>
      <color theme="0"/>
      <name val="Meiryo UI"/>
      <family val="3"/>
      <charset val="128"/>
    </font>
    <font>
      <b/>
      <sz val="18"/>
      <color theme="0"/>
      <name val="Meiryo UI"/>
      <family val="3"/>
      <charset val="128"/>
    </font>
    <font>
      <sz val="10"/>
      <color rgb="FFFF0000"/>
      <name val="Meiryo UI"/>
      <family val="2"/>
      <charset val="128"/>
    </font>
    <font>
      <u/>
      <sz val="10"/>
      <color theme="11"/>
      <name val="Meiryo UI"/>
      <family val="2"/>
      <charset val="128"/>
    </font>
    <font>
      <b/>
      <sz val="16"/>
      <color theme="0"/>
      <name val="Meiryo UI"/>
      <family val="3"/>
      <charset val="128"/>
    </font>
    <font>
      <sz val="11"/>
      <name val="游ゴシック"/>
      <family val="3"/>
      <charset val="128"/>
      <scheme val="minor"/>
    </font>
    <font>
      <sz val="6"/>
      <name val="游ゴシック"/>
      <family val="2"/>
      <charset val="128"/>
      <scheme val="minor"/>
    </font>
    <font>
      <b/>
      <sz val="11"/>
      <color rgb="FFFA7D00"/>
      <name val="游ゴシック"/>
      <family val="2"/>
      <charset val="128"/>
      <scheme val="minor"/>
    </font>
    <font>
      <sz val="18"/>
      <color theme="3"/>
      <name val="游ゴシック Light"/>
      <family val="2"/>
      <charset val="128"/>
      <scheme val="major"/>
    </font>
    <font>
      <b/>
      <sz val="13"/>
      <color theme="3"/>
      <name val="游ゴシック"/>
      <family val="2"/>
      <charset val="128"/>
      <scheme val="minor"/>
    </font>
    <font>
      <sz val="11"/>
      <color rgb="FF006100"/>
      <name val="游ゴシック"/>
      <family val="2"/>
      <charset val="128"/>
      <scheme val="minor"/>
    </font>
    <font>
      <sz val="11"/>
      <color rgb="FF3F3F76"/>
      <name val="游ゴシック"/>
      <family val="2"/>
      <charset val="128"/>
      <scheme val="minor"/>
    </font>
    <font>
      <sz val="11"/>
      <color theme="1"/>
      <name val="游ゴシック"/>
      <family val="2"/>
      <charset val="128"/>
    </font>
    <font>
      <b/>
      <sz val="11"/>
      <color theme="1"/>
      <name val="Meiryo UI"/>
      <family val="2"/>
      <charset val="128"/>
    </font>
    <font>
      <sz val="11"/>
      <color rgb="FF006100"/>
      <name val="Meiryo UI"/>
      <family val="2"/>
      <charset val="128"/>
    </font>
    <font>
      <sz val="11"/>
      <color theme="0"/>
      <name val="Meiryo UI"/>
      <family val="2"/>
      <charset val="128"/>
    </font>
    <font>
      <sz val="10"/>
      <color theme="1"/>
      <name val="Meiryo UI"/>
      <family val="2"/>
      <charset val="128"/>
    </font>
    <font>
      <sz val="11"/>
      <color rgb="FFFF0000"/>
      <name val="游ゴシック"/>
      <family val="3"/>
      <charset val="128"/>
      <scheme val="minor"/>
    </font>
    <font>
      <sz val="11"/>
      <name val="游ゴシック"/>
      <family val="2"/>
      <charset val="128"/>
      <scheme val="minor"/>
    </font>
    <font>
      <sz val="11"/>
      <color rgb="FFFF0000"/>
      <name val="游ゴシック"/>
      <family val="2"/>
      <charset val="128"/>
      <scheme val="minor"/>
    </font>
    <font>
      <sz val="14"/>
      <color rgb="FFFF0000"/>
      <name val="Meiryo UI"/>
      <family val="2"/>
      <charset val="128"/>
    </font>
    <font>
      <sz val="14"/>
      <color rgb="FFFF0000"/>
      <name val="Meiryo UI"/>
      <family val="3"/>
      <charset val="128"/>
    </font>
    <font>
      <sz val="10"/>
      <color rgb="FFFF0000"/>
      <name val="Meiryo UI"/>
      <family val="3"/>
      <charset val="128"/>
    </font>
    <font>
      <sz val="10"/>
      <name val="Meiryo UI"/>
      <family val="2"/>
      <charset val="128"/>
    </font>
    <font>
      <sz val="11"/>
      <color rgb="FF9C5700"/>
      <name val="Meiryo UI"/>
      <family val="2"/>
      <charset val="128"/>
    </font>
  </fonts>
  <fills count="10">
    <fill>
      <patternFill patternType="none"/>
    </fill>
    <fill>
      <patternFill patternType="gray125"/>
    </fill>
    <fill>
      <patternFill patternType="solid">
        <fgColor rgb="FFCCFFCC"/>
        <bgColor indexed="64"/>
      </patternFill>
    </fill>
    <fill>
      <patternFill patternType="solid">
        <fgColor rgb="FF0066FF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0" tint="-0.499984740745262"/>
        <bgColor indexed="64"/>
      </patternFill>
    </fill>
    <fill>
      <patternFill patternType="solid">
        <fgColor rgb="FFCCFFFF"/>
        <bgColor indexed="64"/>
      </patternFill>
    </fill>
    <fill>
      <patternFill patternType="solid">
        <fgColor rgb="FFFFCCFF"/>
        <bgColor indexed="64"/>
      </patternFill>
    </fill>
  </fills>
  <borders count="16">
    <border>
      <left/>
      <right/>
      <top/>
      <bottom/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/>
      <diagonal/>
    </border>
  </borders>
  <cellStyleXfs count="9">
    <xf numFmtId="0" fontId="0" fillId="0" borderId="0">
      <alignment vertical="center"/>
    </xf>
    <xf numFmtId="0" fontId="4" fillId="0" borderId="0"/>
    <xf numFmtId="0" fontId="4" fillId="0" borderId="0"/>
    <xf numFmtId="0" fontId="9" fillId="0" borderId="0">
      <alignment vertical="center"/>
    </xf>
    <xf numFmtId="0" fontId="4" fillId="0" borderId="0"/>
    <xf numFmtId="0" fontId="4" fillId="0" borderId="0"/>
    <xf numFmtId="0" fontId="10" fillId="0" borderId="0">
      <alignment vertical="center"/>
    </xf>
    <xf numFmtId="0" fontId="3" fillId="0" borderId="0">
      <alignment vertical="center"/>
    </xf>
    <xf numFmtId="0" fontId="2" fillId="0" borderId="0">
      <alignment vertical="center"/>
    </xf>
  </cellStyleXfs>
  <cellXfs count="504">
    <xf numFmtId="0" fontId="0" fillId="0" borderId="0" xfId="0">
      <alignment vertical="center"/>
    </xf>
    <xf numFmtId="0" fontId="7" fillId="0" borderId="0" xfId="1" applyFont="1" applyAlignment="1">
      <alignment vertical="center"/>
    </xf>
    <xf numFmtId="49" fontId="7" fillId="0" borderId="4" xfId="5" applyNumberFormat="1" applyFont="1" applyBorder="1" applyAlignment="1">
      <alignment vertical="top"/>
    </xf>
    <xf numFmtId="49" fontId="7" fillId="0" borderId="1" xfId="5" applyNumberFormat="1" applyFont="1" applyBorder="1" applyAlignment="1">
      <alignment vertical="top"/>
    </xf>
    <xf numFmtId="0" fontId="7" fillId="0" borderId="3" xfId="1" applyFont="1" applyBorder="1" applyAlignment="1">
      <alignment vertical="center"/>
    </xf>
    <xf numFmtId="0" fontId="7" fillId="0" borderId="4" xfId="1" applyFont="1" applyBorder="1" applyAlignment="1">
      <alignment vertical="center"/>
    </xf>
    <xf numFmtId="0" fontId="7" fillId="0" borderId="1" xfId="1" applyFont="1" applyBorder="1" applyAlignment="1">
      <alignment vertical="center"/>
    </xf>
    <xf numFmtId="0" fontId="7" fillId="0" borderId="0" xfId="1" quotePrefix="1" applyFont="1" applyAlignment="1">
      <alignment vertical="center"/>
    </xf>
    <xf numFmtId="49" fontId="7" fillId="0" borderId="3" xfId="3" applyNumberFormat="1" applyFont="1" applyBorder="1" applyAlignment="1">
      <alignment vertical="top"/>
    </xf>
    <xf numFmtId="0" fontId="12" fillId="0" borderId="10" xfId="0" applyFont="1" applyBorder="1">
      <alignment vertical="center"/>
    </xf>
    <xf numFmtId="0" fontId="0" fillId="0" borderId="10" xfId="0" applyBorder="1">
      <alignment vertical="center"/>
    </xf>
    <xf numFmtId="0" fontId="0" fillId="0" borderId="10" xfId="0" applyBorder="1" applyAlignment="1">
      <alignment horizontal="center" vertical="center"/>
    </xf>
    <xf numFmtId="0" fontId="0" fillId="2" borderId="2" xfId="0" applyFill="1" applyBorder="1">
      <alignment vertical="center"/>
    </xf>
    <xf numFmtId="0" fontId="0" fillId="2" borderId="2" xfId="0" applyFill="1" applyBorder="1" applyAlignment="1">
      <alignment horizontal="center" vertical="center"/>
    </xf>
    <xf numFmtId="0" fontId="0" fillId="0" borderId="2" xfId="0" applyBorder="1">
      <alignment vertical="center"/>
    </xf>
    <xf numFmtId="0" fontId="0" fillId="0" borderId="2" xfId="0" applyBorder="1" applyAlignment="1">
      <alignment horizontal="center" vertical="center"/>
    </xf>
    <xf numFmtId="0" fontId="0" fillId="0" borderId="0" xfId="0" applyAlignment="1">
      <alignment horizontal="center" vertical="center"/>
    </xf>
    <xf numFmtId="0" fontId="13" fillId="0" borderId="0" xfId="1" applyFont="1" applyAlignment="1">
      <alignment horizontal="center" vertical="center"/>
    </xf>
    <xf numFmtId="0" fontId="13" fillId="0" borderId="0" xfId="1" applyFont="1" applyAlignment="1">
      <alignment vertical="center"/>
    </xf>
    <xf numFmtId="49" fontId="13" fillId="0" borderId="3" xfId="3" applyNumberFormat="1" applyFont="1" applyBorder="1" applyAlignment="1">
      <alignment vertical="top"/>
    </xf>
    <xf numFmtId="49" fontId="13" fillId="0" borderId="4" xfId="2" applyNumberFormat="1" applyFont="1" applyBorder="1" applyAlignment="1">
      <alignment vertical="top"/>
    </xf>
    <xf numFmtId="49" fontId="13" fillId="0" borderId="8" xfId="2" applyNumberFormat="1" applyFont="1" applyBorder="1" applyAlignment="1">
      <alignment vertical="top"/>
    </xf>
    <xf numFmtId="49" fontId="13" fillId="0" borderId="3" xfId="4" applyNumberFormat="1" applyFont="1" applyBorder="1" applyAlignment="1">
      <alignment vertical="top"/>
    </xf>
    <xf numFmtId="49" fontId="13" fillId="0" borderId="4" xfId="4" applyNumberFormat="1" applyFont="1" applyBorder="1" applyAlignment="1">
      <alignment vertical="top"/>
    </xf>
    <xf numFmtId="49" fontId="13" fillId="0" borderId="1" xfId="2" applyNumberFormat="1" applyFont="1" applyBorder="1" applyAlignment="1">
      <alignment vertical="top"/>
    </xf>
    <xf numFmtId="49" fontId="13" fillId="0" borderId="3" xfId="5" applyNumberFormat="1" applyFont="1" applyBorder="1" applyAlignment="1">
      <alignment vertical="top"/>
    </xf>
    <xf numFmtId="49" fontId="13" fillId="0" borderId="4" xfId="5" applyNumberFormat="1" applyFont="1" applyBorder="1" applyAlignment="1">
      <alignment vertical="top"/>
    </xf>
    <xf numFmtId="0" fontId="13" fillId="0" borderId="1" xfId="2" applyFont="1" applyBorder="1" applyAlignment="1">
      <alignment horizontal="right" vertical="top" shrinkToFit="1"/>
    </xf>
    <xf numFmtId="49" fontId="13" fillId="0" borderId="2" xfId="2" applyNumberFormat="1" applyFont="1" applyBorder="1" applyAlignment="1">
      <alignment horizontal="center" vertical="top" shrinkToFit="1"/>
    </xf>
    <xf numFmtId="0" fontId="13" fillId="0" borderId="2" xfId="2" applyFont="1" applyBorder="1" applyAlignment="1">
      <alignment horizontal="center" vertical="top" shrinkToFit="1"/>
    </xf>
    <xf numFmtId="0" fontId="13" fillId="0" borderId="3" xfId="2" applyFont="1" applyBorder="1" applyAlignment="1">
      <alignment vertical="top" shrinkToFit="1"/>
    </xf>
    <xf numFmtId="0" fontId="13" fillId="0" borderId="3" xfId="3" applyFont="1" applyBorder="1" applyAlignment="1">
      <alignment vertical="top"/>
    </xf>
    <xf numFmtId="0" fontId="13" fillId="0" borderId="4" xfId="3" applyFont="1" applyBorder="1" applyAlignment="1">
      <alignment vertical="top"/>
    </xf>
    <xf numFmtId="0" fontId="13" fillId="0" borderId="1" xfId="3" applyFont="1" applyBorder="1" applyAlignment="1">
      <alignment vertical="top"/>
    </xf>
    <xf numFmtId="0" fontId="13" fillId="0" borderId="3" xfId="4" applyFont="1" applyBorder="1" applyAlignment="1">
      <alignment vertical="top"/>
    </xf>
    <xf numFmtId="0" fontId="13" fillId="0" borderId="4" xfId="4" applyFont="1" applyBorder="1" applyAlignment="1">
      <alignment vertical="top"/>
    </xf>
    <xf numFmtId="0" fontId="13" fillId="0" borderId="1" xfId="4" applyFont="1" applyBorder="1" applyAlignment="1">
      <alignment vertical="top"/>
    </xf>
    <xf numFmtId="49" fontId="13" fillId="0" borderId="1" xfId="4" applyNumberFormat="1" applyFont="1" applyBorder="1" applyAlignment="1">
      <alignment vertical="top"/>
    </xf>
    <xf numFmtId="49" fontId="13" fillId="0" borderId="4" xfId="3" applyNumberFormat="1" applyFont="1" applyBorder="1" applyAlignment="1">
      <alignment vertical="top"/>
    </xf>
    <xf numFmtId="49" fontId="13" fillId="0" borderId="1" xfId="5" applyNumberFormat="1" applyFont="1" applyBorder="1" applyAlignment="1">
      <alignment vertical="top"/>
    </xf>
    <xf numFmtId="49" fontId="13" fillId="0" borderId="2" xfId="2" applyNumberFormat="1" applyFont="1" applyBorder="1" applyAlignment="1">
      <alignment horizontal="center" vertical="top"/>
    </xf>
    <xf numFmtId="0" fontId="13" fillId="0" borderId="2" xfId="2" applyFont="1" applyBorder="1" applyAlignment="1">
      <alignment horizontal="center" vertical="top"/>
    </xf>
    <xf numFmtId="0" fontId="13" fillId="0" borderId="3" xfId="3" applyFont="1" applyBorder="1" applyAlignment="1">
      <alignment horizontal="left" vertical="center"/>
    </xf>
    <xf numFmtId="0" fontId="13" fillId="0" borderId="4" xfId="1" applyFont="1" applyBorder="1" applyAlignment="1">
      <alignment horizontal="left" vertical="center"/>
    </xf>
    <xf numFmtId="0" fontId="13" fillId="0" borderId="4" xfId="2" applyFont="1" applyBorder="1" applyAlignment="1">
      <alignment vertical="top"/>
    </xf>
    <xf numFmtId="0" fontId="13" fillId="0" borderId="1" xfId="2" applyFont="1" applyBorder="1" applyAlignment="1">
      <alignment vertical="top"/>
    </xf>
    <xf numFmtId="0" fontId="13" fillId="0" borderId="0" xfId="1" applyFont="1" applyAlignment="1">
      <alignment vertical="top"/>
    </xf>
    <xf numFmtId="0" fontId="13" fillId="0" borderId="3" xfId="6" applyFont="1" applyBorder="1" applyAlignment="1">
      <alignment vertical="top"/>
    </xf>
    <xf numFmtId="0" fontId="13" fillId="0" borderId="4" xfId="6" applyFont="1" applyBorder="1" applyAlignment="1">
      <alignment vertical="top"/>
    </xf>
    <xf numFmtId="0" fontId="13" fillId="0" borderId="4" xfId="1" applyFont="1" applyBorder="1" applyAlignment="1">
      <alignment vertical="center"/>
    </xf>
    <xf numFmtId="0" fontId="13" fillId="0" borderId="3" xfId="2" quotePrefix="1" applyFont="1" applyBorder="1" applyAlignment="1">
      <alignment horizontal="center" vertical="top"/>
    </xf>
    <xf numFmtId="0" fontId="13" fillId="0" borderId="4" xfId="2" applyFont="1" applyBorder="1" applyAlignment="1">
      <alignment vertical="top" shrinkToFit="1"/>
    </xf>
    <xf numFmtId="0" fontId="15" fillId="3" borderId="2" xfId="2" applyFont="1" applyFill="1" applyBorder="1" applyAlignment="1">
      <alignment horizontal="center" vertical="center" shrinkToFit="1"/>
    </xf>
    <xf numFmtId="0" fontId="15" fillId="3" borderId="3" xfId="1" applyFont="1" applyFill="1" applyBorder="1" applyAlignment="1">
      <alignment vertical="center"/>
    </xf>
    <xf numFmtId="0" fontId="15" fillId="3" borderId="4" xfId="1" applyFont="1" applyFill="1" applyBorder="1" applyAlignment="1">
      <alignment vertical="center"/>
    </xf>
    <xf numFmtId="0" fontId="15" fillId="3" borderId="3" xfId="1" applyFont="1" applyFill="1" applyBorder="1" applyAlignment="1">
      <alignment vertical="top"/>
    </xf>
    <xf numFmtId="0" fontId="15" fillId="3" borderId="4" xfId="1" applyFont="1" applyFill="1" applyBorder="1" applyAlignment="1">
      <alignment vertical="top"/>
    </xf>
    <xf numFmtId="0" fontId="15" fillId="3" borderId="1" xfId="1" applyFont="1" applyFill="1" applyBorder="1" applyAlignment="1">
      <alignment vertical="top"/>
    </xf>
    <xf numFmtId="14" fontId="13" fillId="0" borderId="3" xfId="1" applyNumberFormat="1" applyFont="1" applyBorder="1" applyAlignment="1">
      <alignment vertical="top"/>
    </xf>
    <xf numFmtId="14" fontId="13" fillId="0" borderId="4" xfId="1" applyNumberFormat="1" applyFont="1" applyBorder="1" applyAlignment="1">
      <alignment vertical="top"/>
    </xf>
    <xf numFmtId="14" fontId="13" fillId="0" borderId="1" xfId="1" applyNumberFormat="1" applyFont="1" applyBorder="1" applyAlignment="1">
      <alignment vertical="top"/>
    </xf>
    <xf numFmtId="0" fontId="13" fillId="0" borderId="3" xfId="1" quotePrefix="1" applyFont="1" applyBorder="1" applyAlignment="1">
      <alignment vertical="top"/>
    </xf>
    <xf numFmtId="0" fontId="13" fillId="0" borderId="4" xfId="1" quotePrefix="1" applyFont="1" applyBorder="1" applyAlignment="1">
      <alignment vertical="top"/>
    </xf>
    <xf numFmtId="0" fontId="13" fillId="0" borderId="1" xfId="1" quotePrefix="1" applyFont="1" applyBorder="1" applyAlignment="1">
      <alignment vertical="top"/>
    </xf>
    <xf numFmtId="49" fontId="7" fillId="0" borderId="3" xfId="5" applyNumberFormat="1" applyFont="1" applyBorder="1" applyAlignment="1">
      <alignment vertical="top"/>
    </xf>
    <xf numFmtId="0" fontId="15" fillId="3" borderId="3" xfId="2" applyFont="1" applyFill="1" applyBorder="1" applyAlignment="1">
      <alignment horizontal="center" vertical="center"/>
    </xf>
    <xf numFmtId="0" fontId="13" fillId="0" borderId="1" xfId="6" applyFont="1" applyBorder="1" applyAlignment="1">
      <alignment vertical="top"/>
    </xf>
    <xf numFmtId="0" fontId="13" fillId="0" borderId="4" xfId="1" applyFont="1" applyBorder="1" applyAlignment="1">
      <alignment vertical="top"/>
    </xf>
    <xf numFmtId="0" fontId="13" fillId="0" borderId="1" xfId="1" applyFont="1" applyBorder="1" applyAlignment="1">
      <alignment vertical="top"/>
    </xf>
    <xf numFmtId="0" fontId="13" fillId="0" borderId="4" xfId="2" applyFont="1" applyBorder="1" applyAlignment="1">
      <alignment horizontal="right" vertical="top" shrinkToFit="1"/>
    </xf>
    <xf numFmtId="0" fontId="13" fillId="0" borderId="2" xfId="2" quotePrefix="1" applyFont="1" applyBorder="1" applyAlignment="1">
      <alignment horizontal="center" vertical="top"/>
    </xf>
    <xf numFmtId="49" fontId="13" fillId="0" borderId="7" xfId="4" applyNumberFormat="1" applyFont="1" applyBorder="1" applyAlignment="1">
      <alignment vertical="top"/>
    </xf>
    <xf numFmtId="0" fontId="13" fillId="0" borderId="8" xfId="2" applyFont="1" applyBorder="1" applyAlignment="1">
      <alignment horizontal="right" vertical="top" shrinkToFit="1"/>
    </xf>
    <xf numFmtId="49" fontId="13" fillId="0" borderId="12" xfId="2" applyNumberFormat="1" applyFont="1" applyBorder="1" applyAlignment="1">
      <alignment horizontal="center" vertical="top" shrinkToFit="1"/>
    </xf>
    <xf numFmtId="0" fontId="13" fillId="0" borderId="12" xfId="2" applyFont="1" applyBorder="1" applyAlignment="1">
      <alignment horizontal="center" vertical="top" shrinkToFit="1"/>
    </xf>
    <xf numFmtId="0" fontId="13" fillId="0" borderId="6" xfId="3" applyFont="1" applyBorder="1" applyAlignment="1">
      <alignment vertical="top"/>
    </xf>
    <xf numFmtId="0" fontId="13" fillId="0" borderId="7" xfId="1" applyFont="1" applyBorder="1" applyAlignment="1">
      <alignment vertical="top"/>
    </xf>
    <xf numFmtId="0" fontId="13" fillId="0" borderId="8" xfId="1" applyFont="1" applyBorder="1" applyAlignment="1">
      <alignment vertical="top"/>
    </xf>
    <xf numFmtId="49" fontId="13" fillId="0" borderId="7" xfId="2" applyNumberFormat="1" applyFont="1" applyBorder="1" applyAlignment="1">
      <alignment vertical="top"/>
    </xf>
    <xf numFmtId="0" fontId="13" fillId="0" borderId="12" xfId="2" quotePrefix="1" applyFont="1" applyBorder="1" applyAlignment="1">
      <alignment horizontal="center" vertical="top"/>
    </xf>
    <xf numFmtId="0" fontId="13" fillId="0" borderId="13" xfId="2" quotePrefix="1" applyFont="1" applyBorder="1" applyAlignment="1">
      <alignment horizontal="center" vertical="top"/>
    </xf>
    <xf numFmtId="49" fontId="13" fillId="0" borderId="8" xfId="4" applyNumberFormat="1" applyFont="1" applyBorder="1" applyAlignment="1">
      <alignment vertical="top"/>
    </xf>
    <xf numFmtId="0" fontId="15" fillId="3" borderId="3" xfId="2" applyFont="1" applyFill="1" applyBorder="1" applyAlignment="1">
      <alignment vertical="center"/>
    </xf>
    <xf numFmtId="0" fontId="15" fillId="3" borderId="4" xfId="2" applyFont="1" applyFill="1" applyBorder="1" applyAlignment="1">
      <alignment vertical="center"/>
    </xf>
    <xf numFmtId="0" fontId="15" fillId="3" borderId="1" xfId="2" applyFont="1" applyFill="1" applyBorder="1" applyAlignment="1">
      <alignment vertical="center"/>
    </xf>
    <xf numFmtId="0" fontId="3" fillId="0" borderId="0" xfId="7">
      <alignment vertical="center"/>
    </xf>
    <xf numFmtId="49" fontId="13" fillId="5" borderId="4" xfId="2" applyNumberFormat="1" applyFont="1" applyFill="1" applyBorder="1" applyAlignment="1">
      <alignment vertical="top"/>
    </xf>
    <xf numFmtId="49" fontId="13" fillId="5" borderId="1" xfId="2" applyNumberFormat="1" applyFont="1" applyFill="1" applyBorder="1" applyAlignment="1">
      <alignment vertical="top"/>
    </xf>
    <xf numFmtId="0" fontId="13" fillId="5" borderId="3" xfId="4" applyFont="1" applyFill="1" applyBorder="1" applyAlignment="1">
      <alignment vertical="top"/>
    </xf>
    <xf numFmtId="49" fontId="13" fillId="5" borderId="4" xfId="4" applyNumberFormat="1" applyFont="1" applyFill="1" applyBorder="1" applyAlignment="1">
      <alignment vertical="top"/>
    </xf>
    <xf numFmtId="49" fontId="13" fillId="5" borderId="1" xfId="4" applyNumberFormat="1" applyFont="1" applyFill="1" applyBorder="1" applyAlignment="1">
      <alignment vertical="top"/>
    </xf>
    <xf numFmtId="0" fontId="13" fillId="5" borderId="1" xfId="2" applyFont="1" applyFill="1" applyBorder="1" applyAlignment="1">
      <alignment horizontal="right" vertical="top" shrinkToFit="1"/>
    </xf>
    <xf numFmtId="49" fontId="13" fillId="5" borderId="2" xfId="2" applyNumberFormat="1" applyFont="1" applyFill="1" applyBorder="1" applyAlignment="1">
      <alignment horizontal="center" vertical="top" shrinkToFit="1"/>
    </xf>
    <xf numFmtId="0" fontId="13" fillId="5" borderId="2" xfId="2" applyFont="1" applyFill="1" applyBorder="1" applyAlignment="1">
      <alignment horizontal="center" vertical="top" shrinkToFit="1"/>
    </xf>
    <xf numFmtId="0" fontId="13" fillId="5" borderId="4" xfId="1" applyFont="1" applyFill="1" applyBorder="1" applyAlignment="1">
      <alignment vertical="top"/>
    </xf>
    <xf numFmtId="0" fontId="13" fillId="5" borderId="1" xfId="1" applyFont="1" applyFill="1" applyBorder="1" applyAlignment="1">
      <alignment vertical="top"/>
    </xf>
    <xf numFmtId="0" fontId="13" fillId="6" borderId="1" xfId="2" applyFont="1" applyFill="1" applyBorder="1" applyAlignment="1">
      <alignment horizontal="right" vertical="top" shrinkToFit="1"/>
    </xf>
    <xf numFmtId="0" fontId="13" fillId="6" borderId="2" xfId="2" applyFont="1" applyFill="1" applyBorder="1" applyAlignment="1">
      <alignment horizontal="center" vertical="top" shrinkToFit="1"/>
    </xf>
    <xf numFmtId="0" fontId="13" fillId="6" borderId="3" xfId="3" applyFont="1" applyFill="1" applyBorder="1" applyAlignment="1">
      <alignment vertical="top"/>
    </xf>
    <xf numFmtId="0" fontId="0" fillId="4" borderId="2" xfId="8" applyFont="1" applyFill="1" applyBorder="1">
      <alignment vertical="center"/>
    </xf>
    <xf numFmtId="0" fontId="2" fillId="0" borderId="2" xfId="8" applyBorder="1">
      <alignment vertical="center"/>
    </xf>
    <xf numFmtId="0" fontId="0" fillId="0" borderId="2" xfId="8" applyFont="1" applyBorder="1">
      <alignment vertical="center"/>
    </xf>
    <xf numFmtId="49" fontId="20" fillId="0" borderId="2" xfId="3" applyNumberFormat="1" applyFont="1" applyBorder="1" applyAlignment="1">
      <alignment vertical="top"/>
    </xf>
    <xf numFmtId="0" fontId="10" fillId="0" borderId="2" xfId="8" applyFont="1" applyBorder="1">
      <alignment vertical="center"/>
    </xf>
    <xf numFmtId="0" fontId="2" fillId="0" borderId="0" xfId="8">
      <alignment vertical="center"/>
    </xf>
    <xf numFmtId="0" fontId="2" fillId="7" borderId="2" xfId="8" applyFill="1" applyBorder="1">
      <alignment vertical="center"/>
    </xf>
    <xf numFmtId="0" fontId="0" fillId="4" borderId="2" xfId="0" applyFill="1" applyBorder="1" applyAlignment="1">
      <alignment vertical="center" wrapText="1"/>
    </xf>
    <xf numFmtId="0" fontId="2" fillId="8" borderId="2" xfId="8" applyFill="1" applyBorder="1">
      <alignment vertical="center"/>
    </xf>
    <xf numFmtId="0" fontId="1" fillId="0" borderId="2" xfId="8" applyFont="1" applyBorder="1">
      <alignment vertical="center"/>
    </xf>
    <xf numFmtId="0" fontId="0" fillId="8" borderId="2" xfId="8" applyFont="1" applyFill="1" applyBorder="1">
      <alignment vertical="center"/>
    </xf>
    <xf numFmtId="49" fontId="20" fillId="0" borderId="2" xfId="4" applyNumberFormat="1" applyFont="1" applyBorder="1" applyAlignment="1">
      <alignment vertical="top"/>
    </xf>
    <xf numFmtId="0" fontId="33" fillId="8" borderId="2" xfId="8" applyFont="1" applyFill="1" applyBorder="1">
      <alignment vertical="center"/>
    </xf>
    <xf numFmtId="49" fontId="10" fillId="0" borderId="2" xfId="3" applyNumberFormat="1" applyFont="1" applyBorder="1" applyAlignment="1">
      <alignment vertical="top"/>
    </xf>
    <xf numFmtId="0" fontId="0" fillId="9" borderId="2" xfId="8" applyFont="1" applyFill="1" applyBorder="1">
      <alignment vertical="center"/>
    </xf>
    <xf numFmtId="56" fontId="0" fillId="0" borderId="2" xfId="0" applyNumberFormat="1" applyBorder="1">
      <alignment vertical="center"/>
    </xf>
    <xf numFmtId="0" fontId="0" fillId="9" borderId="2" xfId="0" applyFill="1" applyBorder="1">
      <alignment vertical="center"/>
    </xf>
    <xf numFmtId="0" fontId="2" fillId="9" borderId="2" xfId="8" applyFill="1" applyBorder="1">
      <alignment vertical="center"/>
    </xf>
    <xf numFmtId="0" fontId="34" fillId="8" borderId="2" xfId="8" applyFont="1" applyFill="1" applyBorder="1">
      <alignment vertical="center"/>
    </xf>
    <xf numFmtId="0" fontId="10" fillId="8" borderId="2" xfId="8" applyFont="1" applyFill="1" applyBorder="1">
      <alignment vertical="center"/>
    </xf>
    <xf numFmtId="0" fontId="3" fillId="8" borderId="0" xfId="7" applyFill="1">
      <alignment vertical="center"/>
    </xf>
    <xf numFmtId="0" fontId="12" fillId="0" borderId="0" xfId="0" applyFont="1">
      <alignment vertical="center"/>
    </xf>
    <xf numFmtId="0" fontId="35" fillId="0" borderId="0" xfId="0" applyFont="1">
      <alignment vertical="center"/>
    </xf>
    <xf numFmtId="0" fontId="36" fillId="0" borderId="0" xfId="0" applyFont="1">
      <alignment vertical="center"/>
    </xf>
    <xf numFmtId="0" fontId="13" fillId="0" borderId="0" xfId="1" quotePrefix="1" applyFont="1" applyAlignment="1">
      <alignment vertical="center"/>
    </xf>
    <xf numFmtId="0" fontId="7" fillId="0" borderId="2" xfId="2" applyFont="1" applyBorder="1" applyAlignment="1">
      <alignment horizontal="center" vertical="top" shrinkToFit="1"/>
    </xf>
    <xf numFmtId="0" fontId="17" fillId="0" borderId="0" xfId="0" applyFont="1">
      <alignment vertical="center"/>
    </xf>
    <xf numFmtId="0" fontId="37" fillId="0" borderId="0" xfId="0" applyFont="1">
      <alignment vertical="center"/>
    </xf>
    <xf numFmtId="49" fontId="7" fillId="0" borderId="4" xfId="2" applyNumberFormat="1" applyFont="1" applyBorder="1" applyAlignment="1">
      <alignment vertical="top"/>
    </xf>
    <xf numFmtId="0" fontId="7" fillId="0" borderId="3" xfId="4" applyFont="1" applyBorder="1" applyAlignment="1">
      <alignment vertical="top"/>
    </xf>
    <xf numFmtId="49" fontId="7" fillId="0" borderId="4" xfId="4" applyNumberFormat="1" applyFont="1" applyBorder="1" applyAlignment="1">
      <alignment vertical="top"/>
    </xf>
    <xf numFmtId="0" fontId="7" fillId="0" borderId="4" xfId="2" applyFont="1" applyBorder="1" applyAlignment="1">
      <alignment vertical="top" shrinkToFit="1"/>
    </xf>
    <xf numFmtId="0" fontId="7" fillId="0" borderId="3" xfId="3" applyFont="1" applyBorder="1" applyAlignment="1">
      <alignment vertical="top"/>
    </xf>
    <xf numFmtId="49" fontId="7" fillId="0" borderId="1" xfId="3" applyNumberFormat="1" applyFont="1" applyBorder="1" applyAlignment="1">
      <alignment vertical="top"/>
    </xf>
    <xf numFmtId="49" fontId="7" fillId="0" borderId="2" xfId="2" applyNumberFormat="1" applyFont="1" applyBorder="1" applyAlignment="1">
      <alignment horizontal="center" vertical="top" shrinkToFit="1"/>
    </xf>
    <xf numFmtId="49" fontId="7" fillId="0" borderId="2" xfId="2" applyNumberFormat="1" applyFont="1" applyBorder="1" applyAlignment="1">
      <alignment horizontal="center" vertical="top"/>
    </xf>
    <xf numFmtId="0" fontId="7" fillId="0" borderId="2" xfId="2" applyFont="1" applyBorder="1" applyAlignment="1">
      <alignment horizontal="center" vertical="top"/>
    </xf>
    <xf numFmtId="0" fontId="7" fillId="0" borderId="3" xfId="3" applyFont="1" applyBorder="1" applyAlignment="1">
      <alignment horizontal="left" vertical="center"/>
    </xf>
    <xf numFmtId="0" fontId="7" fillId="0" borderId="4" xfId="1" applyFont="1" applyBorder="1" applyAlignment="1">
      <alignment vertical="top"/>
    </xf>
    <xf numFmtId="0" fontId="7" fillId="0" borderId="1" xfId="1" applyFont="1" applyBorder="1" applyAlignment="1">
      <alignment vertical="top"/>
    </xf>
    <xf numFmtId="0" fontId="7" fillId="0" borderId="1" xfId="2" applyFont="1" applyBorder="1" applyAlignment="1">
      <alignment horizontal="right" vertical="top" shrinkToFit="1"/>
    </xf>
    <xf numFmtId="14" fontId="0" fillId="0" borderId="2" xfId="0" applyNumberFormat="1" applyBorder="1" applyAlignment="1">
      <alignment horizontal="center" vertical="center"/>
    </xf>
    <xf numFmtId="14" fontId="13" fillId="0" borderId="3" xfId="1" applyNumberFormat="1" applyFont="1" applyBorder="1" applyAlignment="1">
      <alignment vertical="center"/>
    </xf>
    <xf numFmtId="14" fontId="13" fillId="0" borderId="4" xfId="1" applyNumberFormat="1" applyFont="1" applyBorder="1" applyAlignment="1">
      <alignment vertical="center"/>
    </xf>
    <xf numFmtId="14" fontId="13" fillId="0" borderId="1" xfId="1" applyNumberFormat="1" applyFont="1" applyBorder="1" applyAlignment="1">
      <alignment vertical="center"/>
    </xf>
    <xf numFmtId="0" fontId="7" fillId="9" borderId="3" xfId="1" applyFont="1" applyFill="1" applyBorder="1" applyAlignment="1">
      <alignment vertical="center"/>
    </xf>
    <xf numFmtId="0" fontId="7" fillId="0" borderId="2" xfId="2" quotePrefix="1" applyFont="1" applyBorder="1" applyAlignment="1">
      <alignment horizontal="center" vertical="top"/>
    </xf>
    <xf numFmtId="49" fontId="7" fillId="0" borderId="3" xfId="4" applyNumberFormat="1" applyFont="1" applyBorder="1" applyAlignment="1">
      <alignment vertical="top"/>
    </xf>
    <xf numFmtId="49" fontId="7" fillId="0" borderId="1" xfId="4" applyNumberFormat="1" applyFont="1" applyBorder="1" applyAlignment="1">
      <alignment vertical="top"/>
    </xf>
    <xf numFmtId="49" fontId="7" fillId="0" borderId="1" xfId="2" applyNumberFormat="1" applyFont="1" applyBorder="1" applyAlignment="1">
      <alignment vertical="top"/>
    </xf>
    <xf numFmtId="0" fontId="7" fillId="9" borderId="4" xfId="1" applyFont="1" applyFill="1" applyBorder="1" applyAlignment="1">
      <alignment vertical="center"/>
    </xf>
    <xf numFmtId="0" fontId="0" fillId="0" borderId="0" xfId="0" quotePrefix="1">
      <alignment vertical="center"/>
    </xf>
    <xf numFmtId="0" fontId="7" fillId="9" borderId="1" xfId="1" applyFont="1" applyFill="1" applyBorder="1" applyAlignment="1">
      <alignment vertical="center"/>
    </xf>
    <xf numFmtId="0" fontId="1" fillId="0" borderId="0" xfId="8" applyFont="1">
      <alignment vertical="center"/>
    </xf>
    <xf numFmtId="49" fontId="13" fillId="0" borderId="6" xfId="3" applyNumberFormat="1" applyFont="1" applyBorder="1" applyAlignment="1">
      <alignment vertical="top"/>
    </xf>
    <xf numFmtId="49" fontId="13" fillId="0" borderId="9" xfId="3" applyNumberFormat="1" applyFont="1" applyBorder="1" applyAlignment="1">
      <alignment vertical="top"/>
    </xf>
    <xf numFmtId="49" fontId="13" fillId="0" borderId="10" xfId="2" applyNumberFormat="1" applyFont="1" applyBorder="1" applyAlignment="1">
      <alignment vertical="top"/>
    </xf>
    <xf numFmtId="49" fontId="13" fillId="0" borderId="11" xfId="2" applyNumberFormat="1" applyFont="1" applyBorder="1" applyAlignment="1">
      <alignment vertical="top"/>
    </xf>
    <xf numFmtId="0" fontId="13" fillId="0" borderId="9" xfId="3" applyFont="1" applyBorder="1" applyAlignment="1">
      <alignment vertical="top"/>
    </xf>
    <xf numFmtId="49" fontId="13" fillId="0" borderId="10" xfId="4" applyNumberFormat="1" applyFont="1" applyBorder="1" applyAlignment="1">
      <alignment vertical="top"/>
    </xf>
    <xf numFmtId="49" fontId="13" fillId="0" borderId="11" xfId="4" applyNumberFormat="1" applyFont="1" applyBorder="1" applyAlignment="1">
      <alignment vertical="top"/>
    </xf>
    <xf numFmtId="49" fontId="13" fillId="0" borderId="11" xfId="3" applyNumberFormat="1" applyFont="1" applyBorder="1" applyAlignment="1">
      <alignment vertical="top"/>
    </xf>
    <xf numFmtId="0" fontId="13" fillId="0" borderId="11" xfId="2" applyFont="1" applyBorder="1" applyAlignment="1">
      <alignment horizontal="right" vertical="top" shrinkToFit="1"/>
    </xf>
    <xf numFmtId="0" fontId="13" fillId="0" borderId="13" xfId="2" applyFont="1" applyBorder="1" applyAlignment="1">
      <alignment horizontal="center" vertical="top" shrinkToFit="1"/>
    </xf>
    <xf numFmtId="49" fontId="13" fillId="0" borderId="13" xfId="2" applyNumberFormat="1" applyFont="1" applyBorder="1" applyAlignment="1">
      <alignment horizontal="center" vertical="top" shrinkToFit="1"/>
    </xf>
    <xf numFmtId="0" fontId="13" fillId="0" borderId="10" xfId="1" applyFont="1" applyBorder="1" applyAlignment="1">
      <alignment vertical="top"/>
    </xf>
    <xf numFmtId="0" fontId="13" fillId="0" borderId="11" xfId="1" applyFont="1" applyBorder="1" applyAlignment="1">
      <alignment vertical="top"/>
    </xf>
    <xf numFmtId="0" fontId="13" fillId="0" borderId="15" xfId="2" quotePrefix="1" applyFont="1" applyBorder="1" applyAlignment="1">
      <alignment horizontal="center" vertical="top"/>
    </xf>
    <xf numFmtId="0" fontId="13" fillId="0" borderId="14" xfId="1" applyFont="1" applyBorder="1" applyAlignment="1">
      <alignment vertical="top"/>
    </xf>
    <xf numFmtId="0" fontId="13" fillId="0" borderId="6" xfId="2" quotePrefix="1" applyFont="1" applyBorder="1" applyAlignment="1">
      <alignment horizontal="center" vertical="top"/>
    </xf>
    <xf numFmtId="49" fontId="7" fillId="0" borderId="4" xfId="3" applyNumberFormat="1" applyFont="1" applyBorder="1" applyAlignment="1">
      <alignment vertical="top"/>
    </xf>
    <xf numFmtId="49" fontId="7" fillId="5" borderId="4" xfId="2" applyNumberFormat="1" applyFont="1" applyFill="1" applyBorder="1" applyAlignment="1">
      <alignment vertical="top"/>
    </xf>
    <xf numFmtId="49" fontId="7" fillId="5" borderId="1" xfId="2" applyNumberFormat="1" applyFont="1" applyFill="1" applyBorder="1" applyAlignment="1">
      <alignment vertical="top"/>
    </xf>
    <xf numFmtId="49" fontId="7" fillId="5" borderId="4" xfId="4" applyNumberFormat="1" applyFont="1" applyFill="1" applyBorder="1" applyAlignment="1">
      <alignment vertical="top"/>
    </xf>
    <xf numFmtId="49" fontId="7" fillId="5" borderId="1" xfId="4" applyNumberFormat="1" applyFont="1" applyFill="1" applyBorder="1" applyAlignment="1">
      <alignment vertical="top"/>
    </xf>
    <xf numFmtId="0" fontId="7" fillId="5" borderId="1" xfId="2" applyFont="1" applyFill="1" applyBorder="1" applyAlignment="1">
      <alignment horizontal="right" vertical="top" shrinkToFit="1"/>
    </xf>
    <xf numFmtId="0" fontId="7" fillId="5" borderId="2" xfId="2" applyFont="1" applyFill="1" applyBorder="1" applyAlignment="1">
      <alignment horizontal="center" vertical="top" shrinkToFit="1"/>
    </xf>
    <xf numFmtId="49" fontId="7" fillId="5" borderId="2" xfId="2" applyNumberFormat="1" applyFont="1" applyFill="1" applyBorder="1" applyAlignment="1">
      <alignment horizontal="center" vertical="top" shrinkToFit="1"/>
    </xf>
    <xf numFmtId="0" fontId="7" fillId="5" borderId="3" xfId="3" applyFont="1" applyFill="1" applyBorder="1" applyAlignment="1">
      <alignment vertical="top"/>
    </xf>
    <xf numFmtId="0" fontId="7" fillId="5" borderId="4" xfId="1" applyFont="1" applyFill="1" applyBorder="1" applyAlignment="1">
      <alignment vertical="top"/>
    </xf>
    <xf numFmtId="0" fontId="7" fillId="5" borderId="1" xfId="1" applyFont="1" applyFill="1" applyBorder="1" applyAlignment="1">
      <alignment vertical="top"/>
    </xf>
    <xf numFmtId="49" fontId="13" fillId="5" borderId="3" xfId="3" applyNumberFormat="1" applyFont="1" applyFill="1" applyBorder="1" applyAlignment="1">
      <alignment vertical="top"/>
    </xf>
    <xf numFmtId="49" fontId="13" fillId="6" borderId="3" xfId="5" applyNumberFormat="1" applyFont="1" applyFill="1" applyBorder="1" applyAlignment="1">
      <alignment vertical="top"/>
    </xf>
    <xf numFmtId="49" fontId="7" fillId="5" borderId="3" xfId="3" applyNumberFormat="1" applyFont="1" applyFill="1" applyBorder="1" applyAlignment="1">
      <alignment vertical="top"/>
    </xf>
    <xf numFmtId="49" fontId="13" fillId="0" borderId="1" xfId="3" applyNumberFormat="1" applyFont="1" applyBorder="1" applyAlignment="1">
      <alignment vertical="top"/>
    </xf>
    <xf numFmtId="0" fontId="13" fillId="0" borderId="2" xfId="0" applyFont="1" applyBorder="1">
      <alignment vertical="center"/>
    </xf>
    <xf numFmtId="0" fontId="13" fillId="0" borderId="3" xfId="1" applyFont="1" applyBorder="1" applyAlignment="1">
      <alignment vertical="center"/>
    </xf>
    <xf numFmtId="0" fontId="7" fillId="0" borderId="4" xfId="3" applyFont="1" applyBorder="1" applyAlignment="1">
      <alignment vertical="top"/>
    </xf>
    <xf numFmtId="0" fontId="7" fillId="0" borderId="1" xfId="3" applyFont="1" applyBorder="1" applyAlignment="1">
      <alignment vertical="top"/>
    </xf>
    <xf numFmtId="0" fontId="7" fillId="0" borderId="3" xfId="2" applyFont="1" applyBorder="1" applyAlignment="1">
      <alignment vertical="top" shrinkToFit="1"/>
    </xf>
    <xf numFmtId="0" fontId="7" fillId="0" borderId="3" xfId="2" quotePrefix="1" applyFont="1" applyBorder="1" applyAlignment="1">
      <alignment horizontal="center" vertical="top"/>
    </xf>
    <xf numFmtId="0" fontId="7" fillId="0" borderId="4" xfId="1" applyFont="1" applyBorder="1" applyAlignment="1">
      <alignment horizontal="left" vertical="center"/>
    </xf>
    <xf numFmtId="0" fontId="7" fillId="6" borderId="1" xfId="2" applyFont="1" applyFill="1" applyBorder="1" applyAlignment="1">
      <alignment horizontal="right" vertical="top" shrinkToFit="1"/>
    </xf>
    <xf numFmtId="0" fontId="7" fillId="0" borderId="3" xfId="6" applyFont="1" applyBorder="1" applyAlignment="1">
      <alignment vertical="top"/>
    </xf>
    <xf numFmtId="0" fontId="7" fillId="0" borderId="4" xfId="6" applyFont="1" applyBorder="1" applyAlignment="1">
      <alignment vertical="top"/>
    </xf>
    <xf numFmtId="0" fontId="7" fillId="0" borderId="1" xfId="6" applyFont="1" applyBorder="1" applyAlignment="1">
      <alignment vertical="top"/>
    </xf>
    <xf numFmtId="0" fontId="7" fillId="0" borderId="2" xfId="0" applyFont="1" applyBorder="1">
      <alignment vertical="center"/>
    </xf>
    <xf numFmtId="0" fontId="7" fillId="5" borderId="3" xfId="4" applyFont="1" applyFill="1" applyBorder="1" applyAlignment="1">
      <alignment vertical="top"/>
    </xf>
    <xf numFmtId="0" fontId="7" fillId="0" borderId="4" xfId="2" applyFont="1" applyBorder="1" applyAlignment="1">
      <alignment horizontal="right" vertical="top" shrinkToFit="1"/>
    </xf>
    <xf numFmtId="0" fontId="7" fillId="0" borderId="4" xfId="0" applyFont="1" applyBorder="1">
      <alignment vertical="center"/>
    </xf>
    <xf numFmtId="49" fontId="13" fillId="6" borderId="4" xfId="5" applyNumberFormat="1" applyFont="1" applyFill="1" applyBorder="1" applyAlignment="1">
      <alignment vertical="top"/>
    </xf>
    <xf numFmtId="49" fontId="13" fillId="6" borderId="1" xfId="5" applyNumberFormat="1" applyFont="1" applyFill="1" applyBorder="1" applyAlignment="1">
      <alignment vertical="top"/>
    </xf>
    <xf numFmtId="49" fontId="13" fillId="6" borderId="4" xfId="4" applyNumberFormat="1" applyFont="1" applyFill="1" applyBorder="1" applyAlignment="1">
      <alignment vertical="top"/>
    </xf>
    <xf numFmtId="49" fontId="13" fillId="6" borderId="1" xfId="4" applyNumberFormat="1" applyFont="1" applyFill="1" applyBorder="1" applyAlignment="1">
      <alignment vertical="top"/>
    </xf>
    <xf numFmtId="49" fontId="13" fillId="6" borderId="1" xfId="2" applyNumberFormat="1" applyFont="1" applyFill="1" applyBorder="1" applyAlignment="1">
      <alignment vertical="top"/>
    </xf>
    <xf numFmtId="49" fontId="13" fillId="6" borderId="2" xfId="2" applyNumberFormat="1" applyFont="1" applyFill="1" applyBorder="1" applyAlignment="1">
      <alignment horizontal="center" vertical="top" shrinkToFit="1"/>
    </xf>
    <xf numFmtId="0" fontId="13" fillId="6" borderId="4" xfId="1" applyFont="1" applyFill="1" applyBorder="1" applyAlignment="1">
      <alignment vertical="top"/>
    </xf>
    <xf numFmtId="0" fontId="13" fillId="6" borderId="1" xfId="1" applyFont="1" applyFill="1" applyBorder="1" applyAlignment="1">
      <alignment vertical="top"/>
    </xf>
    <xf numFmtId="0" fontId="7" fillId="0" borderId="0" xfId="0" applyFont="1">
      <alignment vertical="center"/>
    </xf>
    <xf numFmtId="49" fontId="7" fillId="0" borderId="3" xfId="3" applyNumberFormat="1" applyFont="1" applyBorder="1" applyAlignment="1">
      <alignment vertical="top"/>
    </xf>
    <xf numFmtId="49" fontId="7" fillId="0" borderId="1" xfId="3" applyNumberFormat="1" applyFont="1" applyBorder="1" applyAlignment="1">
      <alignment vertical="top"/>
    </xf>
    <xf numFmtId="49" fontId="7" fillId="0" borderId="3" xfId="5" applyNumberFormat="1" applyFont="1" applyBorder="1" applyAlignment="1">
      <alignment vertical="top"/>
    </xf>
    <xf numFmtId="49" fontId="7" fillId="0" borderId="4" xfId="5" applyNumberFormat="1" applyFont="1" applyBorder="1" applyAlignment="1">
      <alignment vertical="top"/>
    </xf>
    <xf numFmtId="49" fontId="7" fillId="0" borderId="1" xfId="5" applyNumberFormat="1" applyFont="1" applyBorder="1" applyAlignment="1">
      <alignment vertical="top"/>
    </xf>
    <xf numFmtId="49" fontId="7" fillId="5" borderId="3" xfId="3" applyNumberFormat="1" applyFont="1" applyFill="1" applyBorder="1" applyAlignment="1">
      <alignment vertical="top"/>
    </xf>
    <xf numFmtId="49" fontId="13" fillId="6" borderId="3" xfId="5" applyNumberFormat="1" applyFont="1" applyFill="1" applyBorder="1" applyAlignment="1">
      <alignment vertical="top"/>
    </xf>
    <xf numFmtId="49" fontId="13" fillId="6" borderId="4" xfId="5" applyNumberFormat="1" applyFont="1" applyFill="1" applyBorder="1" applyAlignment="1">
      <alignment vertical="top"/>
    </xf>
    <xf numFmtId="49" fontId="13" fillId="6" borderId="1" xfId="5" applyNumberFormat="1" applyFont="1" applyFill="1" applyBorder="1" applyAlignment="1">
      <alignment vertical="top"/>
    </xf>
    <xf numFmtId="49" fontId="13" fillId="0" borderId="3" xfId="3" applyNumberFormat="1" applyFont="1" applyBorder="1" applyAlignment="1">
      <alignment vertical="top"/>
    </xf>
    <xf numFmtId="0" fontId="7" fillId="0" borderId="4" xfId="6" applyFont="1" applyFill="1" applyBorder="1" applyAlignment="1">
      <alignment vertical="top"/>
    </xf>
    <xf numFmtId="0" fontId="7" fillId="0" borderId="1" xfId="6" applyFont="1" applyFill="1" applyBorder="1" applyAlignment="1">
      <alignment vertical="top"/>
    </xf>
    <xf numFmtId="0" fontId="7" fillId="0" borderId="4" xfId="1" applyFont="1" applyFill="1" applyBorder="1" applyAlignment="1">
      <alignment vertical="top"/>
    </xf>
    <xf numFmtId="0" fontId="7" fillId="0" borderId="1" xfId="1" applyFont="1" applyFill="1" applyBorder="1" applyAlignment="1">
      <alignment vertical="top"/>
    </xf>
    <xf numFmtId="49" fontId="13" fillId="0" borderId="3" xfId="3" applyNumberFormat="1" applyFont="1" applyFill="1" applyBorder="1" applyAlignment="1">
      <alignment vertical="top"/>
    </xf>
    <xf numFmtId="49" fontId="13" fillId="0" borderId="4" xfId="2" applyNumberFormat="1" applyFont="1" applyFill="1" applyBorder="1" applyAlignment="1">
      <alignment vertical="top"/>
    </xf>
    <xf numFmtId="49" fontId="13" fillId="0" borderId="1" xfId="2" applyNumberFormat="1" applyFont="1" applyFill="1" applyBorder="1" applyAlignment="1">
      <alignment vertical="top"/>
    </xf>
    <xf numFmtId="0" fontId="13" fillId="0" borderId="3" xfId="3" applyFont="1" applyFill="1" applyBorder="1" applyAlignment="1">
      <alignment vertical="top"/>
    </xf>
    <xf numFmtId="49" fontId="13" fillId="0" borderId="4" xfId="4" applyNumberFormat="1" applyFont="1" applyFill="1" applyBorder="1" applyAlignment="1">
      <alignment vertical="top"/>
    </xf>
    <xf numFmtId="49" fontId="13" fillId="0" borderId="1" xfId="4" applyNumberFormat="1" applyFont="1" applyFill="1" applyBorder="1" applyAlignment="1">
      <alignment vertical="top"/>
    </xf>
    <xf numFmtId="0" fontId="13" fillId="0" borderId="1" xfId="2" applyFont="1" applyFill="1" applyBorder="1" applyAlignment="1">
      <alignment horizontal="right" vertical="top" shrinkToFit="1"/>
    </xf>
    <xf numFmtId="49" fontId="13" fillId="0" borderId="3" xfId="4" applyNumberFormat="1" applyFont="1" applyFill="1" applyBorder="1" applyAlignment="1">
      <alignment vertical="top"/>
    </xf>
    <xf numFmtId="49" fontId="7" fillId="0" borderId="3" xfId="3" applyNumberFormat="1" applyFont="1" applyFill="1" applyBorder="1" applyAlignment="1">
      <alignment vertical="top"/>
    </xf>
    <xf numFmtId="49" fontId="7" fillId="0" borderId="4" xfId="2" applyNumberFormat="1" applyFont="1" applyFill="1" applyBorder="1" applyAlignment="1">
      <alignment vertical="top"/>
    </xf>
    <xf numFmtId="49" fontId="7" fillId="0" borderId="1" xfId="2" applyNumberFormat="1" applyFont="1" applyFill="1" applyBorder="1" applyAlignment="1">
      <alignment vertical="top"/>
    </xf>
    <xf numFmtId="0" fontId="7" fillId="0" borderId="3" xfId="3" applyFont="1" applyFill="1" applyBorder="1" applyAlignment="1">
      <alignment vertical="top"/>
    </xf>
    <xf numFmtId="49" fontId="7" fillId="0" borderId="4" xfId="4" applyNumberFormat="1" applyFont="1" applyFill="1" applyBorder="1" applyAlignment="1">
      <alignment vertical="top"/>
    </xf>
    <xf numFmtId="49" fontId="7" fillId="0" borderId="1" xfId="4" applyNumberFormat="1" applyFont="1" applyFill="1" applyBorder="1" applyAlignment="1">
      <alignment vertical="top"/>
    </xf>
    <xf numFmtId="0" fontId="7" fillId="0" borderId="3" xfId="2" applyFont="1" applyFill="1" applyBorder="1" applyAlignment="1">
      <alignment vertical="top" shrinkToFit="1"/>
    </xf>
    <xf numFmtId="0" fontId="7" fillId="0" borderId="2" xfId="2" applyFont="1" applyFill="1" applyBorder="1" applyAlignment="1">
      <alignment horizontal="center" vertical="top" shrinkToFit="1"/>
    </xf>
    <xf numFmtId="49" fontId="7" fillId="0" borderId="2" xfId="2" applyNumberFormat="1" applyFont="1" applyFill="1" applyBorder="1" applyAlignment="1">
      <alignment horizontal="center" vertical="top" shrinkToFit="1"/>
    </xf>
    <xf numFmtId="49" fontId="7" fillId="0" borderId="3" xfId="4" applyNumberFormat="1" applyFont="1" applyFill="1" applyBorder="1" applyAlignment="1">
      <alignment vertical="top"/>
    </xf>
    <xf numFmtId="0" fontId="7" fillId="0" borderId="3" xfId="6" applyFont="1" applyFill="1" applyBorder="1" applyAlignment="1">
      <alignment vertical="top"/>
    </xf>
    <xf numFmtId="49" fontId="13" fillId="0" borderId="3" xfId="5" applyNumberFormat="1" applyFont="1" applyFill="1" applyBorder="1" applyAlignment="1">
      <alignment vertical="top"/>
    </xf>
    <xf numFmtId="49" fontId="13" fillId="0" borderId="4" xfId="5" applyNumberFormat="1" applyFont="1" applyFill="1" applyBorder="1" applyAlignment="1">
      <alignment vertical="top"/>
    </xf>
    <xf numFmtId="49" fontId="13" fillId="0" borderId="1" xfId="5" applyNumberFormat="1" applyFont="1" applyFill="1" applyBorder="1" applyAlignment="1">
      <alignment vertical="top"/>
    </xf>
    <xf numFmtId="49" fontId="7" fillId="0" borderId="1" xfId="3" applyNumberFormat="1" applyFont="1" applyFill="1" applyBorder="1" applyAlignment="1">
      <alignment vertical="top"/>
    </xf>
    <xf numFmtId="49" fontId="7" fillId="0" borderId="3" xfId="5" applyNumberFormat="1" applyFont="1" applyFill="1" applyBorder="1" applyAlignment="1">
      <alignment vertical="top"/>
    </xf>
    <xf numFmtId="49" fontId="7" fillId="0" borderId="4" xfId="5" applyNumberFormat="1" applyFont="1" applyFill="1" applyBorder="1" applyAlignment="1">
      <alignment vertical="top"/>
    </xf>
    <xf numFmtId="49" fontId="7" fillId="0" borderId="1" xfId="5" applyNumberFormat="1" applyFont="1" applyFill="1" applyBorder="1" applyAlignment="1">
      <alignment vertical="top"/>
    </xf>
    <xf numFmtId="0" fontId="7" fillId="0" borderId="3" xfId="4" applyFont="1" applyFill="1" applyBorder="1" applyAlignment="1">
      <alignment vertical="top"/>
    </xf>
    <xf numFmtId="0" fontId="7" fillId="0" borderId="1" xfId="2" applyFont="1" applyFill="1" applyBorder="1" applyAlignment="1">
      <alignment horizontal="right" vertical="top" shrinkToFit="1"/>
    </xf>
    <xf numFmtId="0" fontId="7" fillId="0" borderId="2" xfId="0" applyFont="1" applyFill="1" applyBorder="1">
      <alignment vertical="center"/>
    </xf>
    <xf numFmtId="0" fontId="7" fillId="0" borderId="0" xfId="1" applyFont="1" applyFill="1" applyAlignment="1">
      <alignment vertical="center"/>
    </xf>
    <xf numFmtId="0" fontId="7" fillId="0" borderId="2" xfId="2" applyFont="1" applyFill="1" applyBorder="1" applyAlignment="1">
      <alignment horizontal="center" vertical="top"/>
    </xf>
    <xf numFmtId="49" fontId="7" fillId="0" borderId="2" xfId="2" applyNumberFormat="1" applyFont="1" applyFill="1" applyBorder="1" applyAlignment="1">
      <alignment horizontal="center" vertical="top"/>
    </xf>
    <xf numFmtId="0" fontId="7" fillId="0" borderId="3" xfId="3" applyFont="1" applyFill="1" applyBorder="1" applyAlignment="1">
      <alignment horizontal="left" vertical="center"/>
    </xf>
    <xf numFmtId="0" fontId="7" fillId="0" borderId="4" xfId="2" applyFont="1" applyFill="1" applyBorder="1" applyAlignment="1">
      <alignment horizontal="right" vertical="top" shrinkToFit="1"/>
    </xf>
    <xf numFmtId="0" fontId="7" fillId="0" borderId="3" xfId="1" applyFont="1" applyFill="1" applyBorder="1" applyAlignment="1">
      <alignment vertical="center"/>
    </xf>
    <xf numFmtId="0" fontId="7" fillId="0" borderId="4" xfId="1" applyFont="1" applyFill="1" applyBorder="1" applyAlignment="1">
      <alignment vertical="center"/>
    </xf>
    <xf numFmtId="0" fontId="7" fillId="0" borderId="4" xfId="2" applyFont="1" applyFill="1" applyBorder="1" applyAlignment="1">
      <alignment vertical="top" shrinkToFit="1"/>
    </xf>
    <xf numFmtId="0" fontId="7" fillId="0" borderId="4" xfId="1" applyFont="1" applyFill="1" applyBorder="1" applyAlignment="1">
      <alignment horizontal="left" vertical="center"/>
    </xf>
    <xf numFmtId="0" fontId="7" fillId="0" borderId="4" xfId="3" applyFont="1" applyFill="1" applyBorder="1" applyAlignment="1">
      <alignment vertical="top"/>
    </xf>
    <xf numFmtId="0" fontId="13" fillId="0" borderId="2" xfId="2" applyFont="1" applyFill="1" applyBorder="1" applyAlignment="1">
      <alignment horizontal="center" vertical="top" shrinkToFit="1"/>
    </xf>
    <xf numFmtId="49" fontId="13" fillId="0" borderId="2" xfId="2" applyNumberFormat="1" applyFont="1" applyFill="1" applyBorder="1" applyAlignment="1">
      <alignment horizontal="center" vertical="top" shrinkToFit="1"/>
    </xf>
    <xf numFmtId="0" fontId="13" fillId="0" borderId="4" xfId="1" applyFont="1" applyFill="1" applyBorder="1" applyAlignment="1">
      <alignment vertical="top"/>
    </xf>
    <xf numFmtId="0" fontId="13" fillId="0" borderId="4" xfId="3" applyFont="1" applyFill="1" applyBorder="1" applyAlignment="1">
      <alignment vertical="top"/>
    </xf>
    <xf numFmtId="0" fontId="7" fillId="0" borderId="2" xfId="2" quotePrefix="1" applyFont="1" applyFill="1" applyBorder="1" applyAlignment="1">
      <alignment horizontal="center" vertical="top"/>
    </xf>
    <xf numFmtId="0" fontId="13" fillId="0" borderId="6" xfId="3" applyFont="1" applyFill="1" applyBorder="1" applyAlignment="1">
      <alignment vertical="top"/>
    </xf>
    <xf numFmtId="49" fontId="13" fillId="0" borderId="7" xfId="4" applyNumberFormat="1" applyFont="1" applyFill="1" applyBorder="1" applyAlignment="1">
      <alignment vertical="top"/>
    </xf>
    <xf numFmtId="49" fontId="13" fillId="0" borderId="8" xfId="4" applyNumberFormat="1" applyFont="1" applyFill="1" applyBorder="1" applyAlignment="1">
      <alignment vertical="top"/>
    </xf>
    <xf numFmtId="49" fontId="13" fillId="0" borderId="6" xfId="5" applyNumberFormat="1" applyFont="1" applyFill="1" applyBorder="1" applyAlignment="1">
      <alignment vertical="top"/>
    </xf>
    <xf numFmtId="49" fontId="13" fillId="0" borderId="8" xfId="2" applyNumberFormat="1" applyFont="1" applyFill="1" applyBorder="1" applyAlignment="1">
      <alignment vertical="top"/>
    </xf>
    <xf numFmtId="0" fontId="13" fillId="0" borderId="2" xfId="2" applyFont="1" applyFill="1" applyBorder="1" applyAlignment="1">
      <alignment horizontal="center" vertical="top"/>
    </xf>
    <xf numFmtId="49" fontId="13" fillId="0" borderId="2" xfId="2" applyNumberFormat="1" applyFont="1" applyFill="1" applyBorder="1" applyAlignment="1">
      <alignment horizontal="center" vertical="top"/>
    </xf>
    <xf numFmtId="0" fontId="13" fillId="0" borderId="3" xfId="3" applyFont="1" applyFill="1" applyBorder="1" applyAlignment="1">
      <alignment horizontal="left" vertical="center"/>
    </xf>
    <xf numFmtId="0" fontId="13" fillId="0" borderId="4" xfId="1" applyFont="1" applyFill="1" applyBorder="1" applyAlignment="1">
      <alignment horizontal="left" vertical="center"/>
    </xf>
    <xf numFmtId="0" fontId="13" fillId="0" borderId="1" xfId="1" applyFont="1" applyFill="1" applyBorder="1" applyAlignment="1">
      <alignment vertical="top"/>
    </xf>
    <xf numFmtId="0" fontId="7" fillId="0" borderId="1" xfId="3" applyFont="1" applyFill="1" applyBorder="1" applyAlignment="1">
      <alignment vertical="top"/>
    </xf>
    <xf numFmtId="0" fontId="7" fillId="0" borderId="6" xfId="3" applyFont="1" applyFill="1" applyBorder="1" applyAlignment="1">
      <alignment vertical="top"/>
    </xf>
    <xf numFmtId="49" fontId="7" fillId="0" borderId="7" xfId="4" applyNumberFormat="1" applyFont="1" applyFill="1" applyBorder="1" applyAlignment="1">
      <alignment vertical="top"/>
    </xf>
    <xf numFmtId="49" fontId="7" fillId="0" borderId="8" xfId="4" applyNumberFormat="1" applyFont="1" applyFill="1" applyBorder="1" applyAlignment="1">
      <alignment vertical="top"/>
    </xf>
    <xf numFmtId="49" fontId="7" fillId="0" borderId="6" xfId="5" applyNumberFormat="1" applyFont="1" applyFill="1" applyBorder="1" applyAlignment="1">
      <alignment vertical="top"/>
    </xf>
    <xf numFmtId="49" fontId="7" fillId="0" borderId="8" xfId="2" applyNumberFormat="1" applyFont="1" applyFill="1" applyBorder="1" applyAlignment="1">
      <alignment vertical="top"/>
    </xf>
    <xf numFmtId="0" fontId="13" fillId="0" borderId="3" xfId="6" applyFont="1" applyFill="1" applyBorder="1" applyAlignment="1">
      <alignment vertical="top"/>
    </xf>
    <xf numFmtId="0" fontId="13" fillId="0" borderId="4" xfId="6" applyFont="1" applyFill="1" applyBorder="1" applyAlignment="1">
      <alignment vertical="top"/>
    </xf>
    <xf numFmtId="0" fontId="13" fillId="0" borderId="1" xfId="6" applyFont="1" applyFill="1" applyBorder="1" applyAlignment="1">
      <alignment vertical="top"/>
    </xf>
    <xf numFmtId="49" fontId="13" fillId="0" borderId="6" xfId="3" applyNumberFormat="1" applyFont="1" applyFill="1" applyBorder="1" applyAlignment="1">
      <alignment vertical="top"/>
    </xf>
    <xf numFmtId="49" fontId="13" fillId="0" borderId="7" xfId="2" applyNumberFormat="1" applyFont="1" applyFill="1" applyBorder="1" applyAlignment="1">
      <alignment vertical="top"/>
    </xf>
    <xf numFmtId="0" fontId="13" fillId="0" borderId="8" xfId="2" applyFont="1" applyFill="1" applyBorder="1" applyAlignment="1">
      <alignment horizontal="right" vertical="top" shrinkToFit="1"/>
    </xf>
    <xf numFmtId="0" fontId="13" fillId="0" borderId="12" xfId="2" applyFont="1" applyFill="1" applyBorder="1" applyAlignment="1">
      <alignment horizontal="center" vertical="top" shrinkToFit="1"/>
    </xf>
    <xf numFmtId="49" fontId="13" fillId="0" borderId="12" xfId="2" applyNumberFormat="1" applyFont="1" applyFill="1" applyBorder="1" applyAlignment="1">
      <alignment horizontal="center" vertical="top" shrinkToFit="1"/>
    </xf>
    <xf numFmtId="0" fontId="13" fillId="0" borderId="7" xfId="1" applyFont="1" applyFill="1" applyBorder="1" applyAlignment="1">
      <alignment vertical="top"/>
    </xf>
    <xf numFmtId="0" fontId="13" fillId="0" borderId="8" xfId="1" applyFont="1" applyFill="1" applyBorder="1" applyAlignment="1">
      <alignment vertical="top"/>
    </xf>
    <xf numFmtId="49" fontId="13" fillId="0" borderId="5" xfId="3" applyNumberFormat="1" applyFont="1" applyFill="1" applyBorder="1" applyAlignment="1">
      <alignment vertical="top"/>
    </xf>
    <xf numFmtId="49" fontId="13" fillId="0" borderId="0" xfId="2" applyNumberFormat="1" applyFont="1" applyFill="1" applyAlignment="1">
      <alignment vertical="top"/>
    </xf>
    <xf numFmtId="49" fontId="13" fillId="0" borderId="14" xfId="2" applyNumberFormat="1" applyFont="1" applyFill="1" applyBorder="1" applyAlignment="1">
      <alignment vertical="top"/>
    </xf>
    <xf numFmtId="0" fontId="13" fillId="0" borderId="5" xfId="3" applyFont="1" applyFill="1" applyBorder="1" applyAlignment="1">
      <alignment vertical="top"/>
    </xf>
    <xf numFmtId="49" fontId="13" fillId="0" borderId="0" xfId="4" applyNumberFormat="1" applyFont="1" applyFill="1" applyAlignment="1">
      <alignment vertical="top"/>
    </xf>
    <xf numFmtId="49" fontId="13" fillId="0" borderId="14" xfId="4" applyNumberFormat="1" applyFont="1" applyFill="1" applyBorder="1" applyAlignment="1">
      <alignment vertical="top"/>
    </xf>
    <xf numFmtId="49" fontId="13" fillId="0" borderId="14" xfId="3" applyNumberFormat="1" applyFont="1" applyFill="1" applyBorder="1" applyAlignment="1">
      <alignment vertical="top"/>
    </xf>
    <xf numFmtId="0" fontId="13" fillId="0" borderId="14" xfId="2" applyFont="1" applyFill="1" applyBorder="1" applyAlignment="1">
      <alignment horizontal="right" vertical="top" shrinkToFit="1"/>
    </xf>
    <xf numFmtId="0" fontId="13" fillId="0" borderId="15" xfId="2" applyFont="1" applyFill="1" applyBorder="1" applyAlignment="1">
      <alignment horizontal="center" vertical="top" shrinkToFit="1"/>
    </xf>
    <xf numFmtId="49" fontId="13" fillId="0" borderId="15" xfId="2" applyNumberFormat="1" applyFont="1" applyFill="1" applyBorder="1" applyAlignment="1">
      <alignment horizontal="center" vertical="top" shrinkToFit="1"/>
    </xf>
    <xf numFmtId="0" fontId="13" fillId="0" borderId="0" xfId="1" applyFont="1" applyFill="1" applyAlignment="1">
      <alignment vertical="top"/>
    </xf>
    <xf numFmtId="0" fontId="13" fillId="0" borderId="14" xfId="1" applyFont="1" applyFill="1" applyBorder="1" applyAlignment="1">
      <alignment vertical="top"/>
    </xf>
    <xf numFmtId="49" fontId="13" fillId="0" borderId="7" xfId="5" applyNumberFormat="1" applyFont="1" applyFill="1" applyBorder="1" applyAlignment="1">
      <alignment vertical="top"/>
    </xf>
    <xf numFmtId="49" fontId="13" fillId="0" borderId="8" xfId="5" applyNumberFormat="1" applyFont="1" applyFill="1" applyBorder="1" applyAlignment="1">
      <alignment vertical="top"/>
    </xf>
    <xf numFmtId="49" fontId="13" fillId="0" borderId="4" xfId="3" applyNumberFormat="1" applyFont="1" applyFill="1" applyBorder="1" applyAlignment="1">
      <alignment vertical="top"/>
    </xf>
    <xf numFmtId="0" fontId="13" fillId="0" borderId="4" xfId="2" applyFont="1" applyFill="1" applyBorder="1" applyAlignment="1">
      <alignment vertical="top" shrinkToFit="1"/>
    </xf>
    <xf numFmtId="49" fontId="7" fillId="9" borderId="3" xfId="3" applyNumberFormat="1" applyFont="1" applyFill="1" applyBorder="1" applyAlignment="1">
      <alignment vertical="top"/>
    </xf>
    <xf numFmtId="49" fontId="7" fillId="9" borderId="4" xfId="2" applyNumberFormat="1" applyFont="1" applyFill="1" applyBorder="1" applyAlignment="1">
      <alignment vertical="top"/>
    </xf>
    <xf numFmtId="49" fontId="7" fillId="9" borderId="1" xfId="2" applyNumberFormat="1" applyFont="1" applyFill="1" applyBorder="1" applyAlignment="1">
      <alignment vertical="top"/>
    </xf>
    <xf numFmtId="0" fontId="7" fillId="9" borderId="3" xfId="4" applyFont="1" applyFill="1" applyBorder="1" applyAlignment="1">
      <alignment vertical="top"/>
    </xf>
    <xf numFmtId="49" fontId="7" fillId="9" borderId="4" xfId="4" applyNumberFormat="1" applyFont="1" applyFill="1" applyBorder="1" applyAlignment="1">
      <alignment vertical="top"/>
    </xf>
    <xf numFmtId="49" fontId="7" fillId="9" borderId="1" xfId="4" applyNumberFormat="1" applyFont="1" applyFill="1" applyBorder="1" applyAlignment="1">
      <alignment vertical="top"/>
    </xf>
    <xf numFmtId="0" fontId="7" fillId="9" borderId="1" xfId="2" applyFont="1" applyFill="1" applyBorder="1" applyAlignment="1">
      <alignment horizontal="right" vertical="top" shrinkToFit="1"/>
    </xf>
    <xf numFmtId="0" fontId="7" fillId="9" borderId="2" xfId="2" applyFont="1" applyFill="1" applyBorder="1" applyAlignment="1">
      <alignment horizontal="center" vertical="top" shrinkToFit="1"/>
    </xf>
    <xf numFmtId="49" fontId="7" fillId="9" borderId="2" xfId="2" applyNumberFormat="1" applyFont="1" applyFill="1" applyBorder="1" applyAlignment="1">
      <alignment horizontal="center" vertical="top" shrinkToFit="1"/>
    </xf>
    <xf numFmtId="0" fontId="7" fillId="9" borderId="3" xfId="3" applyFont="1" applyFill="1" applyBorder="1" applyAlignment="1">
      <alignment vertical="top"/>
    </xf>
    <xf numFmtId="0" fontId="7" fillId="9" borderId="4" xfId="1" applyFont="1" applyFill="1" applyBorder="1" applyAlignment="1">
      <alignment vertical="top"/>
    </xf>
    <xf numFmtId="0" fontId="7" fillId="9" borderId="1" xfId="1" applyFont="1" applyFill="1" applyBorder="1" applyAlignment="1">
      <alignment vertical="top"/>
    </xf>
    <xf numFmtId="49" fontId="13" fillId="5" borderId="3" xfId="3" applyNumberFormat="1" applyFont="1" applyFill="1" applyBorder="1" applyAlignment="1">
      <alignment vertical="top"/>
    </xf>
    <xf numFmtId="49" fontId="13" fillId="9" borderId="3" xfId="4" applyNumberFormat="1" applyFont="1" applyFill="1" applyBorder="1" applyAlignment="1">
      <alignment vertical="top"/>
    </xf>
    <xf numFmtId="49" fontId="13" fillId="9" borderId="4" xfId="4" applyNumberFormat="1" applyFont="1" applyFill="1" applyBorder="1" applyAlignment="1">
      <alignment vertical="top"/>
    </xf>
    <xf numFmtId="49" fontId="13" fillId="9" borderId="1" xfId="4" applyNumberFormat="1" applyFont="1" applyFill="1" applyBorder="1" applyAlignment="1">
      <alignment vertical="top"/>
    </xf>
    <xf numFmtId="0" fontId="13" fillId="9" borderId="3" xfId="4" applyFont="1" applyFill="1" applyBorder="1" applyAlignment="1">
      <alignment vertical="top"/>
    </xf>
    <xf numFmtId="49" fontId="13" fillId="9" borderId="1" xfId="2" applyNumberFormat="1" applyFont="1" applyFill="1" applyBorder="1" applyAlignment="1">
      <alignment vertical="top"/>
    </xf>
    <xf numFmtId="49" fontId="13" fillId="9" borderId="3" xfId="5" applyNumberFormat="1" applyFont="1" applyFill="1" applyBorder="1" applyAlignment="1">
      <alignment vertical="top"/>
    </xf>
    <xf numFmtId="49" fontId="13" fillId="9" borderId="4" xfId="5" applyNumberFormat="1" applyFont="1" applyFill="1" applyBorder="1" applyAlignment="1">
      <alignment vertical="top"/>
    </xf>
    <xf numFmtId="49" fontId="13" fillId="9" borderId="1" xfId="5" applyNumberFormat="1" applyFont="1" applyFill="1" applyBorder="1" applyAlignment="1">
      <alignment vertical="top"/>
    </xf>
    <xf numFmtId="0" fontId="13" fillId="9" borderId="1" xfId="2" applyFont="1" applyFill="1" applyBorder="1" applyAlignment="1">
      <alignment horizontal="right" vertical="top" shrinkToFit="1"/>
    </xf>
    <xf numFmtId="0" fontId="13" fillId="9" borderId="2" xfId="2" applyFont="1" applyFill="1" applyBorder="1" applyAlignment="1">
      <alignment horizontal="center" vertical="top" shrinkToFit="1"/>
    </xf>
    <xf numFmtId="49" fontId="13" fillId="9" borderId="2" xfId="2" applyNumberFormat="1" applyFont="1" applyFill="1" applyBorder="1" applyAlignment="1">
      <alignment horizontal="center" vertical="top" shrinkToFit="1"/>
    </xf>
    <xf numFmtId="0" fontId="13" fillId="9" borderId="3" xfId="3" applyFont="1" applyFill="1" applyBorder="1" applyAlignment="1">
      <alignment vertical="top"/>
    </xf>
    <xf numFmtId="0" fontId="13" fillId="9" borderId="4" xfId="1" applyFont="1" applyFill="1" applyBorder="1" applyAlignment="1">
      <alignment vertical="top"/>
    </xf>
    <xf numFmtId="0" fontId="13" fillId="9" borderId="1" xfId="1" applyFont="1" applyFill="1" applyBorder="1" applyAlignment="1">
      <alignment vertical="top"/>
    </xf>
    <xf numFmtId="49" fontId="13" fillId="9" borderId="3" xfId="3" applyNumberFormat="1" applyFont="1" applyFill="1" applyBorder="1" applyAlignment="1">
      <alignment vertical="top"/>
    </xf>
    <xf numFmtId="49" fontId="13" fillId="9" borderId="4" xfId="2" applyNumberFormat="1" applyFont="1" applyFill="1" applyBorder="1" applyAlignment="1">
      <alignment vertical="top"/>
    </xf>
    <xf numFmtId="49" fontId="13" fillId="9" borderId="4" xfId="3" applyNumberFormat="1" applyFont="1" applyFill="1" applyBorder="1" applyAlignment="1">
      <alignment vertical="top"/>
    </xf>
    <xf numFmtId="49" fontId="7" fillId="9" borderId="3" xfId="3" applyNumberFormat="1" applyFont="1" applyFill="1" applyBorder="1" applyAlignment="1">
      <alignment vertical="top"/>
    </xf>
    <xf numFmtId="0" fontId="13" fillId="9" borderId="3" xfId="2" applyFont="1" applyFill="1" applyBorder="1" applyAlignment="1">
      <alignment vertical="top" shrinkToFit="1"/>
    </xf>
    <xf numFmtId="0" fontId="13" fillId="5" borderId="3" xfId="3" applyFont="1" applyFill="1" applyBorder="1" applyAlignment="1">
      <alignment vertical="top"/>
    </xf>
    <xf numFmtId="49" fontId="13" fillId="5" borderId="4" xfId="3" applyNumberFormat="1" applyFont="1" applyFill="1" applyBorder="1" applyAlignment="1">
      <alignment vertical="top"/>
    </xf>
    <xf numFmtId="0" fontId="13" fillId="9" borderId="4" xfId="6" applyFont="1" applyFill="1" applyBorder="1" applyAlignment="1">
      <alignment vertical="top" shrinkToFit="1"/>
    </xf>
    <xf numFmtId="49" fontId="13" fillId="9" borderId="2" xfId="2" applyNumberFormat="1" applyFont="1" applyFill="1" applyBorder="1" applyAlignment="1">
      <alignment horizontal="center" vertical="top"/>
    </xf>
    <xf numFmtId="0" fontId="13" fillId="9" borderId="4" xfId="3" applyFont="1" applyFill="1" applyBorder="1" applyAlignment="1">
      <alignment vertical="top"/>
    </xf>
    <xf numFmtId="0" fontId="13" fillId="9" borderId="2" xfId="2" applyFont="1" applyFill="1" applyBorder="1" applyAlignment="1">
      <alignment horizontal="center" vertical="top"/>
    </xf>
    <xf numFmtId="0" fontId="13" fillId="9" borderId="3" xfId="3" applyFont="1" applyFill="1" applyBorder="1" applyAlignment="1">
      <alignment horizontal="left" vertical="center"/>
    </xf>
    <xf numFmtId="0" fontId="13" fillId="9" borderId="4" xfId="1" applyFont="1" applyFill="1" applyBorder="1" applyAlignment="1">
      <alignment horizontal="left" vertical="center"/>
    </xf>
    <xf numFmtId="0" fontId="13" fillId="9" borderId="1" xfId="3" applyFont="1" applyFill="1" applyBorder="1" applyAlignment="1">
      <alignment vertical="top"/>
    </xf>
    <xf numFmtId="49" fontId="7" fillId="5" borderId="3" xfId="3" applyNumberFormat="1" applyFont="1" applyFill="1" applyBorder="1" applyAlignment="1">
      <alignment vertical="top"/>
    </xf>
    <xf numFmtId="0" fontId="37" fillId="0" borderId="0" xfId="1" applyFont="1" applyAlignment="1">
      <alignment vertical="center"/>
    </xf>
    <xf numFmtId="0" fontId="38" fillId="0" borderId="3" xfId="0" applyFont="1" applyBorder="1">
      <alignment vertical="center"/>
    </xf>
    <xf numFmtId="0" fontId="7" fillId="0" borderId="4" xfId="0" applyFont="1" applyBorder="1">
      <alignment vertical="center"/>
    </xf>
    <xf numFmtId="0" fontId="7" fillId="0" borderId="1" xfId="0" applyFont="1" applyBorder="1">
      <alignment vertical="center"/>
    </xf>
    <xf numFmtId="0" fontId="15" fillId="3" borderId="3" xfId="1" applyFont="1" applyFill="1" applyBorder="1" applyAlignment="1">
      <alignment horizontal="center" vertical="center"/>
    </xf>
    <xf numFmtId="0" fontId="15" fillId="3" borderId="4" xfId="1" applyFont="1" applyFill="1" applyBorder="1" applyAlignment="1">
      <alignment horizontal="center" vertical="center"/>
    </xf>
    <xf numFmtId="0" fontId="15" fillId="3" borderId="1" xfId="1" applyFont="1" applyFill="1" applyBorder="1" applyAlignment="1">
      <alignment horizontal="center" vertical="center"/>
    </xf>
    <xf numFmtId="14" fontId="13" fillId="0" borderId="3" xfId="1" applyNumberFormat="1" applyFont="1" applyBorder="1" applyAlignment="1">
      <alignment horizontal="center" vertical="center"/>
    </xf>
    <xf numFmtId="14" fontId="13" fillId="0" borderId="4" xfId="1" applyNumberFormat="1" applyFont="1" applyBorder="1" applyAlignment="1">
      <alignment horizontal="center" vertical="center"/>
    </xf>
    <xf numFmtId="14" fontId="13" fillId="0" borderId="1" xfId="1" applyNumberFormat="1" applyFont="1" applyBorder="1" applyAlignment="1">
      <alignment horizontal="center" vertical="center"/>
    </xf>
    <xf numFmtId="14" fontId="13" fillId="0" borderId="3" xfId="1" applyNumberFormat="1" applyFont="1" applyBorder="1" applyAlignment="1">
      <alignment horizontal="center" vertical="top"/>
    </xf>
    <xf numFmtId="14" fontId="13" fillId="0" borderId="4" xfId="1" applyNumberFormat="1" applyFont="1" applyBorder="1" applyAlignment="1">
      <alignment horizontal="center" vertical="top"/>
    </xf>
    <xf numFmtId="14" fontId="13" fillId="0" borderId="1" xfId="1" applyNumberFormat="1" applyFont="1" applyBorder="1" applyAlignment="1">
      <alignment horizontal="center" vertical="top"/>
    </xf>
    <xf numFmtId="49" fontId="14" fillId="0" borderId="6" xfId="1" applyNumberFormat="1" applyFont="1" applyBorder="1" applyAlignment="1">
      <alignment horizontal="center" vertical="center" shrinkToFit="1"/>
    </xf>
    <xf numFmtId="49" fontId="14" fillId="0" borderId="7" xfId="1" applyNumberFormat="1" applyFont="1" applyBorder="1" applyAlignment="1">
      <alignment horizontal="center" vertical="center" shrinkToFit="1"/>
    </xf>
    <xf numFmtId="49" fontId="14" fillId="0" borderId="8" xfId="1" applyNumberFormat="1" applyFont="1" applyBorder="1" applyAlignment="1">
      <alignment horizontal="center" vertical="center" shrinkToFit="1"/>
    </xf>
    <xf numFmtId="49" fontId="14" fillId="0" borderId="5" xfId="1" applyNumberFormat="1" applyFont="1" applyBorder="1" applyAlignment="1">
      <alignment horizontal="center" vertical="center" shrinkToFit="1"/>
    </xf>
    <xf numFmtId="49" fontId="14" fillId="0" borderId="0" xfId="1" applyNumberFormat="1" applyFont="1" applyAlignment="1">
      <alignment horizontal="center" vertical="center" shrinkToFit="1"/>
    </xf>
    <xf numFmtId="49" fontId="14" fillId="0" borderId="14" xfId="1" applyNumberFormat="1" applyFont="1" applyBorder="1" applyAlignment="1">
      <alignment horizontal="center" vertical="center" shrinkToFit="1"/>
    </xf>
    <xf numFmtId="49" fontId="14" fillId="0" borderId="9" xfId="1" applyNumberFormat="1" applyFont="1" applyBorder="1" applyAlignment="1">
      <alignment horizontal="center" vertical="center" shrinkToFit="1"/>
    </xf>
    <xf numFmtId="49" fontId="14" fillId="0" borderId="10" xfId="1" applyNumberFormat="1" applyFont="1" applyBorder="1" applyAlignment="1">
      <alignment horizontal="center" vertical="center" shrinkToFit="1"/>
    </xf>
    <xf numFmtId="49" fontId="14" fillId="0" borderId="11" xfId="1" applyNumberFormat="1" applyFont="1" applyBorder="1" applyAlignment="1">
      <alignment horizontal="center" vertical="center" shrinkToFit="1"/>
    </xf>
    <xf numFmtId="0" fontId="15" fillId="3" borderId="3" xfId="2" applyFont="1" applyFill="1" applyBorder="1" applyAlignment="1">
      <alignment horizontal="center" vertical="center"/>
    </xf>
    <xf numFmtId="0" fontId="15" fillId="3" borderId="4" xfId="2" applyFont="1" applyFill="1" applyBorder="1" applyAlignment="1">
      <alignment horizontal="center" vertical="center"/>
    </xf>
    <xf numFmtId="0" fontId="15" fillId="3" borderId="1" xfId="2" applyFont="1" applyFill="1" applyBorder="1" applyAlignment="1">
      <alignment horizontal="center" vertical="center"/>
    </xf>
    <xf numFmtId="0" fontId="16" fillId="3" borderId="6" xfId="1" applyFont="1" applyFill="1" applyBorder="1" applyAlignment="1">
      <alignment horizontal="center" vertical="center"/>
    </xf>
    <xf numFmtId="0" fontId="16" fillId="3" borderId="7" xfId="1" applyFont="1" applyFill="1" applyBorder="1" applyAlignment="1">
      <alignment horizontal="center" vertical="center"/>
    </xf>
    <xf numFmtId="0" fontId="16" fillId="3" borderId="8" xfId="1" applyFont="1" applyFill="1" applyBorder="1" applyAlignment="1">
      <alignment horizontal="center" vertical="center"/>
    </xf>
    <xf numFmtId="0" fontId="16" fillId="3" borderId="5" xfId="1" applyFont="1" applyFill="1" applyBorder="1" applyAlignment="1">
      <alignment horizontal="center" vertical="center"/>
    </xf>
    <xf numFmtId="0" fontId="16" fillId="3" borderId="0" xfId="1" applyFont="1" applyFill="1" applyAlignment="1">
      <alignment horizontal="center" vertical="center"/>
    </xf>
    <xf numFmtId="0" fontId="16" fillId="3" borderId="14" xfId="1" applyFont="1" applyFill="1" applyBorder="1" applyAlignment="1">
      <alignment horizontal="center" vertical="center"/>
    </xf>
    <xf numFmtId="0" fontId="16" fillId="3" borderId="9" xfId="1" applyFont="1" applyFill="1" applyBorder="1" applyAlignment="1">
      <alignment horizontal="center" vertical="center"/>
    </xf>
    <xf numFmtId="0" fontId="16" fillId="3" borderId="10" xfId="1" applyFont="1" applyFill="1" applyBorder="1" applyAlignment="1">
      <alignment horizontal="center" vertical="center"/>
    </xf>
    <xf numFmtId="0" fontId="16" fillId="3" borderId="11" xfId="1" applyFont="1" applyFill="1" applyBorder="1" applyAlignment="1">
      <alignment horizontal="center" vertical="center"/>
    </xf>
    <xf numFmtId="0" fontId="14" fillId="0" borderId="6" xfId="1" applyFont="1" applyBorder="1" applyAlignment="1">
      <alignment horizontal="center" vertical="center" wrapText="1"/>
    </xf>
    <xf numFmtId="0" fontId="14" fillId="0" borderId="7" xfId="1" applyFont="1" applyBorder="1" applyAlignment="1">
      <alignment horizontal="center" vertical="center" wrapText="1"/>
    </xf>
    <xf numFmtId="0" fontId="14" fillId="0" borderId="8" xfId="1" applyFont="1" applyBorder="1" applyAlignment="1">
      <alignment horizontal="center" vertical="center" wrapText="1"/>
    </xf>
    <xf numFmtId="0" fontId="14" fillId="0" borderId="5" xfId="1" applyFont="1" applyBorder="1" applyAlignment="1">
      <alignment horizontal="center" vertical="center" wrapText="1"/>
    </xf>
    <xf numFmtId="0" fontId="14" fillId="0" borderId="0" xfId="1" applyFont="1" applyAlignment="1">
      <alignment horizontal="center" vertical="center" wrapText="1"/>
    </xf>
    <xf numFmtId="0" fontId="14" fillId="0" borderId="14" xfId="1" applyFont="1" applyBorder="1" applyAlignment="1">
      <alignment horizontal="center" vertical="center" wrapText="1"/>
    </xf>
    <xf numFmtId="0" fontId="14" fillId="0" borderId="9" xfId="1" applyFont="1" applyBorder="1" applyAlignment="1">
      <alignment horizontal="center" vertical="center" wrapText="1"/>
    </xf>
    <xf numFmtId="0" fontId="14" fillId="0" borderId="10" xfId="1" applyFont="1" applyBorder="1" applyAlignment="1">
      <alignment horizontal="center" vertical="center" wrapText="1"/>
    </xf>
    <xf numFmtId="0" fontId="14" fillId="0" borderId="11" xfId="1" applyFont="1" applyBorder="1" applyAlignment="1">
      <alignment horizontal="center" vertical="center" wrapText="1"/>
    </xf>
    <xf numFmtId="0" fontId="7" fillId="0" borderId="3" xfId="1" applyFont="1" applyBorder="1" applyAlignment="1">
      <alignment horizontal="center" vertical="center"/>
    </xf>
    <xf numFmtId="0" fontId="7" fillId="0" borderId="4" xfId="1" applyFont="1" applyBorder="1" applyAlignment="1">
      <alignment horizontal="center" vertical="center"/>
    </xf>
    <xf numFmtId="0" fontId="7" fillId="0" borderId="1" xfId="1" applyFont="1" applyBorder="1" applyAlignment="1">
      <alignment horizontal="center" vertical="center"/>
    </xf>
    <xf numFmtId="0" fontId="7" fillId="9" borderId="3" xfId="1" applyFont="1" applyFill="1" applyBorder="1" applyAlignment="1">
      <alignment horizontal="center" vertical="center"/>
    </xf>
    <xf numFmtId="0" fontId="7" fillId="9" borderId="4" xfId="1" applyFont="1" applyFill="1" applyBorder="1" applyAlignment="1">
      <alignment horizontal="center" vertical="center"/>
    </xf>
    <xf numFmtId="0" fontId="7" fillId="9" borderId="1" xfId="1" applyFont="1" applyFill="1" applyBorder="1" applyAlignment="1">
      <alignment horizontal="center" vertical="center"/>
    </xf>
    <xf numFmtId="49" fontId="7" fillId="0" borderId="3" xfId="3" applyNumberFormat="1" applyFont="1" applyFill="1" applyBorder="1" applyAlignment="1">
      <alignment vertical="top"/>
    </xf>
    <xf numFmtId="49" fontId="7" fillId="0" borderId="1" xfId="3" applyNumberFormat="1" applyFont="1" applyFill="1" applyBorder="1" applyAlignment="1">
      <alignment vertical="top"/>
    </xf>
    <xf numFmtId="49" fontId="7" fillId="0" borderId="3" xfId="5" applyNumberFormat="1" applyFont="1" applyFill="1" applyBorder="1" applyAlignment="1">
      <alignment vertical="top"/>
    </xf>
    <xf numFmtId="49" fontId="7" fillId="0" borderId="4" xfId="5" applyNumberFormat="1" applyFont="1" applyFill="1" applyBorder="1" applyAlignment="1">
      <alignment vertical="top"/>
    </xf>
    <xf numFmtId="49" fontId="7" fillId="0" borderId="1" xfId="5" applyNumberFormat="1" applyFont="1" applyFill="1" applyBorder="1" applyAlignment="1">
      <alignment vertical="top"/>
    </xf>
    <xf numFmtId="0" fontId="15" fillId="3" borderId="3" xfId="2" applyFont="1" applyFill="1" applyBorder="1" applyAlignment="1">
      <alignment horizontal="center" vertical="center" shrinkToFit="1"/>
    </xf>
    <xf numFmtId="0" fontId="15" fillId="3" borderId="4" xfId="2" applyFont="1" applyFill="1" applyBorder="1" applyAlignment="1">
      <alignment horizontal="center" vertical="center" shrinkToFit="1"/>
    </xf>
    <xf numFmtId="0" fontId="15" fillId="3" borderId="1" xfId="2" applyFont="1" applyFill="1" applyBorder="1" applyAlignment="1">
      <alignment horizontal="center" vertical="center" shrinkToFit="1"/>
    </xf>
    <xf numFmtId="0" fontId="15" fillId="3" borderId="6" xfId="2" applyFont="1" applyFill="1" applyBorder="1" applyAlignment="1">
      <alignment horizontal="center" vertical="center"/>
    </xf>
    <xf numFmtId="0" fontId="15" fillId="3" borderId="8" xfId="2" applyFont="1" applyFill="1" applyBorder="1" applyAlignment="1">
      <alignment horizontal="center" vertical="center"/>
    </xf>
    <xf numFmtId="0" fontId="15" fillId="3" borderId="9" xfId="2" applyFont="1" applyFill="1" applyBorder="1" applyAlignment="1">
      <alignment horizontal="center" vertical="center"/>
    </xf>
    <xf numFmtId="0" fontId="15" fillId="3" borderId="11" xfId="2" applyFont="1" applyFill="1" applyBorder="1" applyAlignment="1">
      <alignment horizontal="center" vertical="center"/>
    </xf>
    <xf numFmtId="0" fontId="15" fillId="3" borderId="12" xfId="2" applyFont="1" applyFill="1" applyBorder="1" applyAlignment="1">
      <alignment horizontal="center" vertical="center" shrinkToFit="1"/>
    </xf>
    <xf numFmtId="0" fontId="15" fillId="3" borderId="13" xfId="2" applyFont="1" applyFill="1" applyBorder="1" applyAlignment="1">
      <alignment horizontal="center" vertical="center" shrinkToFit="1"/>
    </xf>
    <xf numFmtId="0" fontId="15" fillId="3" borderId="12" xfId="2" applyFont="1" applyFill="1" applyBorder="1" applyAlignment="1">
      <alignment horizontal="center" vertical="center" textRotation="255" shrinkToFit="1"/>
    </xf>
    <xf numFmtId="0" fontId="15" fillId="3" borderId="13" xfId="2" applyFont="1" applyFill="1" applyBorder="1" applyAlignment="1">
      <alignment horizontal="center" vertical="center" textRotation="255" shrinkToFit="1"/>
    </xf>
    <xf numFmtId="0" fontId="15" fillId="3" borderId="7" xfId="2" applyFont="1" applyFill="1" applyBorder="1" applyAlignment="1">
      <alignment horizontal="center" vertical="center"/>
    </xf>
    <xf numFmtId="0" fontId="15" fillId="3" borderId="10" xfId="2" applyFont="1" applyFill="1" applyBorder="1" applyAlignment="1">
      <alignment horizontal="center" vertical="center"/>
    </xf>
    <xf numFmtId="0" fontId="19" fillId="3" borderId="6" xfId="1" applyFont="1" applyFill="1" applyBorder="1" applyAlignment="1">
      <alignment horizontal="center" vertical="center"/>
    </xf>
    <xf numFmtId="0" fontId="19" fillId="3" borderId="7" xfId="1" applyFont="1" applyFill="1" applyBorder="1" applyAlignment="1">
      <alignment horizontal="center" vertical="center"/>
    </xf>
    <xf numFmtId="0" fontId="19" fillId="3" borderId="8" xfId="1" applyFont="1" applyFill="1" applyBorder="1" applyAlignment="1">
      <alignment horizontal="center" vertical="center"/>
    </xf>
    <xf numFmtId="0" fontId="19" fillId="3" borderId="5" xfId="1" applyFont="1" applyFill="1" applyBorder="1" applyAlignment="1">
      <alignment horizontal="center" vertical="center"/>
    </xf>
    <xf numFmtId="0" fontId="19" fillId="3" borderId="0" xfId="1" applyFont="1" applyFill="1" applyAlignment="1">
      <alignment horizontal="center" vertical="center"/>
    </xf>
    <xf numFmtId="0" fontId="19" fillId="3" borderId="14" xfId="1" applyFont="1" applyFill="1" applyBorder="1" applyAlignment="1">
      <alignment horizontal="center" vertical="center"/>
    </xf>
    <xf numFmtId="0" fontId="19" fillId="3" borderId="9" xfId="1" applyFont="1" applyFill="1" applyBorder="1" applyAlignment="1">
      <alignment horizontal="center" vertical="center"/>
    </xf>
    <xf numFmtId="0" fontId="19" fillId="3" borderId="10" xfId="1" applyFont="1" applyFill="1" applyBorder="1" applyAlignment="1">
      <alignment horizontal="center" vertical="center"/>
    </xf>
    <xf numFmtId="0" fontId="19" fillId="3" borderId="11" xfId="1" applyFont="1" applyFill="1" applyBorder="1" applyAlignment="1">
      <alignment horizontal="center" vertical="center"/>
    </xf>
    <xf numFmtId="0" fontId="15" fillId="3" borderId="12" xfId="2" applyFont="1" applyFill="1" applyBorder="1" applyAlignment="1">
      <alignment horizontal="center" vertical="center"/>
    </xf>
    <xf numFmtId="0" fontId="15" fillId="3" borderId="13" xfId="2" applyFont="1" applyFill="1" applyBorder="1" applyAlignment="1">
      <alignment horizontal="center" vertical="center"/>
    </xf>
    <xf numFmtId="0" fontId="15" fillId="3" borderId="3" xfId="1" applyFont="1" applyFill="1" applyBorder="1" applyAlignment="1">
      <alignment horizontal="center" vertical="top"/>
    </xf>
    <xf numFmtId="0" fontId="15" fillId="3" borderId="4" xfId="1" applyFont="1" applyFill="1" applyBorder="1" applyAlignment="1">
      <alignment horizontal="center" vertical="top"/>
    </xf>
    <xf numFmtId="0" fontId="15" fillId="3" borderId="1" xfId="1" applyFont="1" applyFill="1" applyBorder="1" applyAlignment="1">
      <alignment horizontal="center" vertical="top"/>
    </xf>
    <xf numFmtId="14" fontId="13" fillId="0" borderId="3" xfId="1" applyNumberFormat="1" applyFont="1" applyBorder="1" applyAlignment="1">
      <alignment vertical="top"/>
    </xf>
    <xf numFmtId="14" fontId="13" fillId="0" borderId="4" xfId="1" applyNumberFormat="1" applyFont="1" applyBorder="1" applyAlignment="1">
      <alignment vertical="top"/>
    </xf>
    <xf numFmtId="14" fontId="13" fillId="0" borderId="1" xfId="1" applyNumberFormat="1" applyFont="1" applyBorder="1" applyAlignment="1">
      <alignment vertical="top"/>
    </xf>
    <xf numFmtId="0" fontId="13" fillId="0" borderId="3" xfId="1" quotePrefix="1" applyFont="1" applyBorder="1" applyAlignment="1">
      <alignment vertical="top"/>
    </xf>
    <xf numFmtId="0" fontId="13" fillId="0" borderId="4" xfId="1" quotePrefix="1" applyFont="1" applyBorder="1" applyAlignment="1">
      <alignment vertical="top"/>
    </xf>
    <xf numFmtId="0" fontId="13" fillId="0" borderId="1" xfId="1" quotePrefix="1" applyFont="1" applyBorder="1" applyAlignment="1">
      <alignment vertical="top"/>
    </xf>
    <xf numFmtId="0" fontId="14" fillId="0" borderId="3" xfId="1" applyFont="1" applyBorder="1" applyAlignment="1">
      <alignment horizontal="center" vertical="center" wrapText="1"/>
    </xf>
    <xf numFmtId="0" fontId="14" fillId="0" borderId="4" xfId="1" applyFont="1" applyBorder="1" applyAlignment="1">
      <alignment horizontal="center" vertical="center" wrapText="1"/>
    </xf>
    <xf numFmtId="0" fontId="14" fillId="0" borderId="1" xfId="1" applyFont="1" applyBorder="1" applyAlignment="1">
      <alignment horizontal="center" vertical="center" wrapText="1"/>
    </xf>
    <xf numFmtId="49" fontId="13" fillId="0" borderId="3" xfId="3" applyNumberFormat="1" applyFont="1" applyBorder="1" applyAlignment="1">
      <alignment vertical="top"/>
    </xf>
    <xf numFmtId="49" fontId="13" fillId="0" borderId="1" xfId="3" applyNumberFormat="1" applyFont="1" applyBorder="1" applyAlignment="1">
      <alignment vertical="top"/>
    </xf>
    <xf numFmtId="49" fontId="13" fillId="0" borderId="3" xfId="5" applyNumberFormat="1" applyFont="1" applyBorder="1" applyAlignment="1">
      <alignment vertical="top"/>
    </xf>
    <xf numFmtId="49" fontId="13" fillId="0" borderId="4" xfId="5" applyNumberFormat="1" applyFont="1" applyBorder="1" applyAlignment="1">
      <alignment vertical="top"/>
    </xf>
    <xf numFmtId="49" fontId="13" fillId="0" borderId="1" xfId="5" applyNumberFormat="1" applyFont="1" applyBorder="1" applyAlignment="1">
      <alignment vertical="top"/>
    </xf>
    <xf numFmtId="49" fontId="7" fillId="5" borderId="3" xfId="5" applyNumberFormat="1" applyFont="1" applyFill="1" applyBorder="1" applyAlignment="1">
      <alignment vertical="top"/>
    </xf>
    <xf numFmtId="49" fontId="7" fillId="5" borderId="4" xfId="5" applyNumberFormat="1" applyFont="1" applyFill="1" applyBorder="1" applyAlignment="1">
      <alignment vertical="top"/>
    </xf>
    <xf numFmtId="49" fontId="7" fillId="5" borderId="1" xfId="5" applyNumberFormat="1" applyFont="1" applyFill="1" applyBorder="1" applyAlignment="1">
      <alignment vertical="top"/>
    </xf>
    <xf numFmtId="49" fontId="7" fillId="0" borderId="3" xfId="5" applyNumberFormat="1" applyFont="1" applyBorder="1" applyAlignment="1">
      <alignment vertical="top"/>
    </xf>
    <xf numFmtId="49" fontId="7" fillId="0" borderId="4" xfId="5" applyNumberFormat="1" applyFont="1" applyBorder="1" applyAlignment="1">
      <alignment vertical="top"/>
    </xf>
    <xf numFmtId="49" fontId="7" fillId="0" borderId="1" xfId="5" applyNumberFormat="1" applyFont="1" applyBorder="1" applyAlignment="1">
      <alignment vertical="top"/>
    </xf>
    <xf numFmtId="49" fontId="7" fillId="0" borderId="3" xfId="3" applyNumberFormat="1" applyFont="1" applyBorder="1" applyAlignment="1">
      <alignment vertical="top"/>
    </xf>
    <xf numFmtId="49" fontId="7" fillId="0" borderId="1" xfId="3" applyNumberFormat="1" applyFont="1" applyBorder="1" applyAlignment="1">
      <alignment vertical="top"/>
    </xf>
    <xf numFmtId="14" fontId="13" fillId="0" borderId="3" xfId="1" applyNumberFormat="1" applyFont="1" applyBorder="1" applyAlignment="1">
      <alignment vertical="center"/>
    </xf>
    <xf numFmtId="14" fontId="13" fillId="0" borderId="4" xfId="1" applyNumberFormat="1" applyFont="1" applyBorder="1" applyAlignment="1">
      <alignment vertical="center"/>
    </xf>
    <xf numFmtId="14" fontId="13" fillId="0" borderId="1" xfId="1" applyNumberFormat="1" applyFont="1" applyBorder="1" applyAlignment="1">
      <alignment vertical="center"/>
    </xf>
    <xf numFmtId="0" fontId="13" fillId="0" borderId="3" xfId="1" quotePrefix="1" applyFont="1" applyBorder="1" applyAlignment="1">
      <alignment vertical="center"/>
    </xf>
    <xf numFmtId="0" fontId="13" fillId="0" borderId="4" xfId="1" quotePrefix="1" applyFont="1" applyBorder="1" applyAlignment="1">
      <alignment vertical="center"/>
    </xf>
    <xf numFmtId="0" fontId="13" fillId="0" borderId="1" xfId="1" quotePrefix="1" applyFont="1" applyBorder="1" applyAlignment="1">
      <alignment vertical="center"/>
    </xf>
    <xf numFmtId="49" fontId="7" fillId="5" borderId="3" xfId="3" applyNumberFormat="1" applyFont="1" applyFill="1" applyBorder="1" applyAlignment="1">
      <alignment vertical="top"/>
    </xf>
    <xf numFmtId="49" fontId="7" fillId="5" borderId="1" xfId="3" applyNumberFormat="1" applyFont="1" applyFill="1" applyBorder="1" applyAlignment="1">
      <alignment vertical="top"/>
    </xf>
    <xf numFmtId="49" fontId="7" fillId="9" borderId="3" xfId="5" applyNumberFormat="1" applyFont="1" applyFill="1" applyBorder="1" applyAlignment="1">
      <alignment vertical="top"/>
    </xf>
    <xf numFmtId="49" fontId="7" fillId="9" borderId="4" xfId="5" applyNumberFormat="1" applyFont="1" applyFill="1" applyBorder="1" applyAlignment="1">
      <alignment vertical="top"/>
    </xf>
    <xf numFmtId="49" fontId="7" fillId="9" borderId="1" xfId="5" applyNumberFormat="1" applyFont="1" applyFill="1" applyBorder="1" applyAlignment="1">
      <alignment vertical="top"/>
    </xf>
    <xf numFmtId="49" fontId="7" fillId="9" borderId="3" xfId="3" applyNumberFormat="1" applyFont="1" applyFill="1" applyBorder="1" applyAlignment="1">
      <alignment vertical="top"/>
    </xf>
    <xf numFmtId="49" fontId="7" fillId="9" borderId="1" xfId="3" applyNumberFormat="1" applyFont="1" applyFill="1" applyBorder="1" applyAlignment="1">
      <alignment vertical="top"/>
    </xf>
    <xf numFmtId="49" fontId="13" fillId="5" borderId="3" xfId="3" applyNumberFormat="1" applyFont="1" applyFill="1" applyBorder="1" applyAlignment="1">
      <alignment vertical="top"/>
    </xf>
    <xf numFmtId="49" fontId="13" fillId="5" borderId="1" xfId="3" applyNumberFormat="1" applyFont="1" applyFill="1" applyBorder="1" applyAlignment="1">
      <alignment vertical="top"/>
    </xf>
    <xf numFmtId="49" fontId="13" fillId="5" borderId="3" xfId="5" applyNumberFormat="1" applyFont="1" applyFill="1" applyBorder="1" applyAlignment="1">
      <alignment vertical="top"/>
    </xf>
    <xf numFmtId="49" fontId="13" fillId="5" borderId="4" xfId="5" applyNumberFormat="1" applyFont="1" applyFill="1" applyBorder="1" applyAlignment="1">
      <alignment vertical="top"/>
    </xf>
    <xf numFmtId="49" fontId="13" fillId="5" borderId="1" xfId="5" applyNumberFormat="1" applyFont="1" applyFill="1" applyBorder="1" applyAlignment="1">
      <alignment vertical="top"/>
    </xf>
    <xf numFmtId="49" fontId="7" fillId="0" borderId="6" xfId="3" applyNumberFormat="1" applyFont="1" applyFill="1" applyBorder="1" applyAlignment="1">
      <alignment vertical="top"/>
    </xf>
    <xf numFmtId="49" fontId="7" fillId="0" borderId="8" xfId="3" applyNumberFormat="1" applyFont="1" applyFill="1" applyBorder="1" applyAlignment="1">
      <alignment vertical="top"/>
    </xf>
    <xf numFmtId="49" fontId="13" fillId="0" borderId="9" xfId="5" applyNumberFormat="1" applyFont="1" applyBorder="1" applyAlignment="1">
      <alignment vertical="top"/>
    </xf>
    <xf numFmtId="49" fontId="13" fillId="0" borderId="10" xfId="5" applyNumberFormat="1" applyFont="1" applyBorder="1" applyAlignment="1">
      <alignment vertical="top"/>
    </xf>
    <xf numFmtId="49" fontId="13" fillId="0" borderId="11" xfId="5" applyNumberFormat="1" applyFont="1" applyBorder="1" applyAlignment="1">
      <alignment vertical="top"/>
    </xf>
    <xf numFmtId="49" fontId="13" fillId="0" borderId="6" xfId="3" applyNumberFormat="1" applyFont="1" applyBorder="1" applyAlignment="1">
      <alignment vertical="top"/>
    </xf>
    <xf numFmtId="49" fontId="13" fillId="0" borderId="8" xfId="3" applyNumberFormat="1" applyFont="1" applyBorder="1" applyAlignment="1">
      <alignment vertical="top"/>
    </xf>
    <xf numFmtId="49" fontId="13" fillId="0" borderId="6" xfId="5" applyNumberFormat="1" applyFont="1" applyBorder="1" applyAlignment="1">
      <alignment vertical="top"/>
    </xf>
    <xf numFmtId="49" fontId="13" fillId="0" borderId="7" xfId="5" applyNumberFormat="1" applyFont="1" applyBorder="1" applyAlignment="1">
      <alignment vertical="top"/>
    </xf>
    <xf numFmtId="49" fontId="13" fillId="0" borderId="8" xfId="5" applyNumberFormat="1" applyFont="1" applyBorder="1" applyAlignment="1">
      <alignment vertical="top"/>
    </xf>
    <xf numFmtId="49" fontId="13" fillId="0" borderId="3" xfId="3" applyNumberFormat="1" applyFont="1" applyFill="1" applyBorder="1" applyAlignment="1">
      <alignment vertical="top"/>
    </xf>
    <xf numFmtId="49" fontId="13" fillId="0" borderId="1" xfId="3" applyNumberFormat="1" applyFont="1" applyFill="1" applyBorder="1" applyAlignment="1">
      <alignment vertical="top"/>
    </xf>
    <xf numFmtId="49" fontId="13" fillId="0" borderId="3" xfId="5" applyNumberFormat="1" applyFont="1" applyFill="1" applyBorder="1" applyAlignment="1">
      <alignment vertical="top"/>
    </xf>
    <xf numFmtId="49" fontId="13" fillId="0" borderId="4" xfId="5" applyNumberFormat="1" applyFont="1" applyFill="1" applyBorder="1" applyAlignment="1">
      <alignment vertical="top"/>
    </xf>
    <xf numFmtId="49" fontId="13" fillId="0" borderId="1" xfId="5" applyNumberFormat="1" applyFont="1" applyFill="1" applyBorder="1" applyAlignment="1">
      <alignment vertical="top"/>
    </xf>
    <xf numFmtId="49" fontId="13" fillId="0" borderId="6" xfId="3" applyNumberFormat="1" applyFont="1" applyFill="1" applyBorder="1" applyAlignment="1">
      <alignment vertical="top"/>
    </xf>
    <xf numFmtId="49" fontId="13" fillId="0" borderId="8" xfId="3" applyNumberFormat="1" applyFont="1" applyFill="1" applyBorder="1" applyAlignment="1">
      <alignment vertical="top"/>
    </xf>
    <xf numFmtId="49" fontId="13" fillId="0" borderId="6" xfId="5" applyNumberFormat="1" applyFont="1" applyFill="1" applyBorder="1" applyAlignment="1">
      <alignment vertical="top"/>
    </xf>
    <xf numFmtId="49" fontId="13" fillId="0" borderId="7" xfId="5" applyNumberFormat="1" applyFont="1" applyFill="1" applyBorder="1" applyAlignment="1">
      <alignment vertical="top"/>
    </xf>
    <xf numFmtId="49" fontId="13" fillId="0" borderId="8" xfId="5" applyNumberFormat="1" applyFont="1" applyFill="1" applyBorder="1" applyAlignment="1">
      <alignment vertical="top"/>
    </xf>
    <xf numFmtId="49" fontId="13" fillId="0" borderId="5" xfId="5" applyNumberFormat="1" applyFont="1" applyFill="1" applyBorder="1" applyAlignment="1">
      <alignment vertical="top"/>
    </xf>
    <xf numFmtId="49" fontId="13" fillId="0" borderId="0" xfId="5" applyNumberFormat="1" applyFont="1" applyFill="1" applyAlignment="1">
      <alignment vertical="top"/>
    </xf>
    <xf numFmtId="49" fontId="13" fillId="0" borderId="14" xfId="5" applyNumberFormat="1" applyFont="1" applyFill="1" applyBorder="1" applyAlignment="1">
      <alignment vertical="top"/>
    </xf>
    <xf numFmtId="49" fontId="13" fillId="9" borderId="3" xfId="3" applyNumberFormat="1" applyFont="1" applyFill="1" applyBorder="1" applyAlignment="1">
      <alignment vertical="top"/>
    </xf>
    <xf numFmtId="49" fontId="13" fillId="9" borderId="1" xfId="3" applyNumberFormat="1" applyFont="1" applyFill="1" applyBorder="1" applyAlignment="1">
      <alignment vertical="top"/>
    </xf>
    <xf numFmtId="49" fontId="13" fillId="9" borderId="3" xfId="5" applyNumberFormat="1" applyFont="1" applyFill="1" applyBorder="1" applyAlignment="1">
      <alignment vertical="top"/>
    </xf>
    <xf numFmtId="49" fontId="13" fillId="9" borderId="4" xfId="5" applyNumberFormat="1" applyFont="1" applyFill="1" applyBorder="1" applyAlignment="1">
      <alignment vertical="top"/>
    </xf>
    <xf numFmtId="49" fontId="13" fillId="9" borderId="1" xfId="5" applyNumberFormat="1" applyFont="1" applyFill="1" applyBorder="1" applyAlignment="1">
      <alignment vertical="top"/>
    </xf>
    <xf numFmtId="49" fontId="7" fillId="6" borderId="3" xfId="3" applyNumberFormat="1" applyFont="1" applyFill="1" applyBorder="1" applyAlignment="1">
      <alignment vertical="top"/>
    </xf>
    <xf numFmtId="49" fontId="7" fillId="6" borderId="1" xfId="3" applyNumberFormat="1" applyFont="1" applyFill="1" applyBorder="1" applyAlignment="1">
      <alignment vertical="top"/>
    </xf>
    <xf numFmtId="49" fontId="13" fillId="6" borderId="3" xfId="5" applyNumberFormat="1" applyFont="1" applyFill="1" applyBorder="1" applyAlignment="1">
      <alignment vertical="top"/>
    </xf>
    <xf numFmtId="49" fontId="13" fillId="6" borderId="4" xfId="5" applyNumberFormat="1" applyFont="1" applyFill="1" applyBorder="1" applyAlignment="1">
      <alignment vertical="top"/>
    </xf>
    <xf numFmtId="49" fontId="13" fillId="6" borderId="1" xfId="5" applyNumberFormat="1" applyFont="1" applyFill="1" applyBorder="1" applyAlignment="1">
      <alignment vertical="top"/>
    </xf>
  </cellXfs>
  <cellStyles count="9">
    <cellStyle name="標準" xfId="0" builtinId="0"/>
    <cellStyle name="標準 2" xfId="1"/>
    <cellStyle name="標準 3" xfId="6"/>
    <cellStyle name="標準 4" xfId="7"/>
    <cellStyle name="標準 4 2" xfId="8"/>
    <cellStyle name="標準_01_ｼｽﾃﾑﾏｽﾀ(MSSYS)" xfId="4"/>
    <cellStyle name="標準_Sheet1" xfId="2"/>
    <cellStyle name="標準_コピー ～ テーブル項目説明書" xfId="3"/>
    <cellStyle name="標準_テーブルレイアウトひな型" xfId="5"/>
  </cellStyles>
  <dxfs count="0"/>
  <tableStyles count="0" defaultTableStyle="TableStyleMedium2" defaultPivotStyle="PivotStyleLight16"/>
  <colors>
    <mruColors>
      <color rgb="FFFFCCFF"/>
      <color rgb="FF0066FF"/>
      <color rgb="FFCCFFCC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" Type="http://schemas.openxmlformats.org/officeDocument/2006/relationships/worksheet" Target="worksheets/sheet3.xml"/><Relationship Id="rId21" Type="http://schemas.openxmlformats.org/officeDocument/2006/relationships/worksheet" Target="worksheets/sheet21.xml"/><Relationship Id="rId34" Type="http://schemas.openxmlformats.org/officeDocument/2006/relationships/customXml" Target="../customXml/item2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customXml" Target="../customXml/item1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calcChain" Target="calcChain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microsoft.com/office/2006/relationships/vbaProject" Target="vbaProject.bin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styles" Target="styles.xml"/><Relationship Id="rId35" Type="http://schemas.openxmlformats.org/officeDocument/2006/relationships/customXml" Target="../customXml/item3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activeX1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0</xdr:colOff>
      <xdr:row>3</xdr:row>
      <xdr:rowOff>0</xdr:rowOff>
    </xdr:from>
    <xdr:to>
      <xdr:col>10</xdr:col>
      <xdr:colOff>297180</xdr:colOff>
      <xdr:row>5</xdr:row>
      <xdr:rowOff>174240</xdr:rowOff>
    </xdr:to>
    <xdr:sp macro="[0]!AddFooterToAll" textlink="">
      <xdr:nvSpPr>
        <xdr:cNvPr id="3" name="額縁 2">
          <a:extLst>
            <a:ext uri="{FF2B5EF4-FFF2-40B4-BE49-F238E27FC236}">
              <a16:creationId xmlns:a16="http://schemas.microsoft.com/office/drawing/2014/main" id="{00000000-0008-0000-0100-000003000000}"/>
            </a:ext>
          </a:extLst>
        </xdr:cNvPr>
        <xdr:cNvSpPr/>
      </xdr:nvSpPr>
      <xdr:spPr>
        <a:xfrm>
          <a:off x="609600" y="601980"/>
          <a:ext cx="2735580" cy="540000"/>
        </a:xfrm>
        <a:prstGeom prst="bevel">
          <a:avLst/>
        </a:prstGeom>
      </xdr:spPr>
      <xdr:style>
        <a:lnRef idx="0">
          <a:schemeClr val="accent6"/>
        </a:lnRef>
        <a:fillRef idx="3">
          <a:schemeClr val="accent6"/>
        </a:fillRef>
        <a:effectRef idx="3">
          <a:schemeClr val="accent6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1400">
              <a:latin typeface="Meiryo UI" panose="020B0604030504040204" pitchFamily="50" charset="-128"/>
              <a:ea typeface="Meiryo UI" panose="020B0604030504040204" pitchFamily="50" charset="-128"/>
            </a:rPr>
            <a:t>フッター　シート名設定</a:t>
          </a:r>
        </a:p>
      </xdr:txBody>
    </xdr:sp>
    <xdr:clientData/>
  </xdr:twoCellAnchor>
  <xdr:twoCellAnchor>
    <xdr:from>
      <xdr:col>2</xdr:col>
      <xdr:colOff>0</xdr:colOff>
      <xdr:row>8</xdr:row>
      <xdr:rowOff>0</xdr:rowOff>
    </xdr:from>
    <xdr:to>
      <xdr:col>10</xdr:col>
      <xdr:colOff>297180</xdr:colOff>
      <xdr:row>10</xdr:row>
      <xdr:rowOff>174240</xdr:rowOff>
    </xdr:to>
    <xdr:sp macro="[0]!項目集計" textlink="">
      <xdr:nvSpPr>
        <xdr:cNvPr id="4" name="額縁 3">
          <a:extLst>
            <a:ext uri="{FF2B5EF4-FFF2-40B4-BE49-F238E27FC236}">
              <a16:creationId xmlns:a16="http://schemas.microsoft.com/office/drawing/2014/main" id="{00000000-0008-0000-0100-000004000000}"/>
            </a:ext>
          </a:extLst>
        </xdr:cNvPr>
        <xdr:cNvSpPr/>
      </xdr:nvSpPr>
      <xdr:spPr>
        <a:xfrm>
          <a:off x="609600" y="1516380"/>
          <a:ext cx="2735580" cy="540000"/>
        </a:xfrm>
        <a:prstGeom prst="bevel">
          <a:avLst/>
        </a:prstGeom>
      </xdr:spPr>
      <xdr:style>
        <a:lnRef idx="0">
          <a:schemeClr val="accent6"/>
        </a:lnRef>
        <a:fillRef idx="3">
          <a:schemeClr val="accent6"/>
        </a:fillRef>
        <a:effectRef idx="3">
          <a:schemeClr val="accent6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1400">
              <a:latin typeface="Meiryo UI" panose="020B0604030504040204" pitchFamily="50" charset="-128"/>
              <a:ea typeface="Meiryo UI" panose="020B0604030504040204" pitchFamily="50" charset="-128"/>
            </a:rPr>
            <a:t>項目一覧　集計</a:t>
          </a:r>
        </a:p>
      </xdr:txBody>
    </xdr:sp>
    <xdr:clientData/>
  </xdr:twoCellAnchor>
  <xdr:twoCellAnchor>
    <xdr:from>
      <xdr:col>2</xdr:col>
      <xdr:colOff>0</xdr:colOff>
      <xdr:row>13</xdr:row>
      <xdr:rowOff>0</xdr:rowOff>
    </xdr:from>
    <xdr:to>
      <xdr:col>10</xdr:col>
      <xdr:colOff>297180</xdr:colOff>
      <xdr:row>15</xdr:row>
      <xdr:rowOff>174240</xdr:rowOff>
    </xdr:to>
    <xdr:sp macro="[0]!項目別編集" textlink="">
      <xdr:nvSpPr>
        <xdr:cNvPr id="5" name="額縁 4">
          <a:extLst>
            <a:ext uri="{FF2B5EF4-FFF2-40B4-BE49-F238E27FC236}">
              <a16:creationId xmlns:a16="http://schemas.microsoft.com/office/drawing/2014/main" id="{00000000-0008-0000-0100-000005000000}"/>
            </a:ext>
          </a:extLst>
        </xdr:cNvPr>
        <xdr:cNvSpPr/>
      </xdr:nvSpPr>
      <xdr:spPr>
        <a:xfrm>
          <a:off x="609600" y="1516380"/>
          <a:ext cx="2735580" cy="540000"/>
        </a:xfrm>
        <a:prstGeom prst="bevel">
          <a:avLst/>
        </a:prstGeom>
      </xdr:spPr>
      <xdr:style>
        <a:lnRef idx="0">
          <a:schemeClr val="accent6"/>
        </a:lnRef>
        <a:fillRef idx="3">
          <a:schemeClr val="accent6"/>
        </a:fillRef>
        <a:effectRef idx="3">
          <a:schemeClr val="accent6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1400">
              <a:latin typeface="Meiryo UI" panose="020B0604030504040204" pitchFamily="50" charset="-128"/>
              <a:ea typeface="Meiryo UI" panose="020B0604030504040204" pitchFamily="50" charset="-128"/>
            </a:rPr>
            <a:t>項目一覧 </a:t>
          </a:r>
          <a:r>
            <a:rPr kumimoji="1" lang="en-US" altLang="ja-JP" sz="1400">
              <a:latin typeface="Meiryo UI" panose="020B0604030504040204" pitchFamily="50" charset="-128"/>
              <a:ea typeface="Meiryo UI" panose="020B0604030504040204" pitchFamily="50" charset="-128"/>
            </a:rPr>
            <a:t>(</a:t>
          </a:r>
          <a:r>
            <a:rPr kumimoji="1" lang="ja-JP" altLang="en-US" sz="1400">
              <a:latin typeface="Meiryo UI" panose="020B0604030504040204" pitchFamily="50" charset="-128"/>
              <a:ea typeface="Meiryo UI" panose="020B0604030504040204" pitchFamily="50" charset="-128"/>
            </a:rPr>
            <a:t>項目別</a:t>
          </a:r>
          <a:r>
            <a:rPr kumimoji="1" lang="en-US" altLang="ja-JP" sz="1400">
              <a:latin typeface="Meiryo UI" panose="020B0604030504040204" pitchFamily="50" charset="-128"/>
              <a:ea typeface="Meiryo UI" panose="020B0604030504040204" pitchFamily="50" charset="-128"/>
            </a:rPr>
            <a:t>)</a:t>
          </a:r>
          <a:r>
            <a:rPr kumimoji="1" lang="ja-JP" altLang="en-US" sz="1400">
              <a:latin typeface="Meiryo UI" panose="020B0604030504040204" pitchFamily="50" charset="-128"/>
              <a:ea typeface="Meiryo UI" panose="020B0604030504040204" pitchFamily="50" charset="-128"/>
            </a:rPr>
            <a:t>　ソート</a:t>
          </a:r>
        </a:p>
      </xdr:txBody>
    </xdr:sp>
    <xdr:clientData/>
  </xdr:twoCellAnchor>
  <xdr:twoCellAnchor>
    <xdr:from>
      <xdr:col>2</xdr:col>
      <xdr:colOff>0</xdr:colOff>
      <xdr:row>18</xdr:row>
      <xdr:rowOff>0</xdr:rowOff>
    </xdr:from>
    <xdr:to>
      <xdr:col>10</xdr:col>
      <xdr:colOff>297180</xdr:colOff>
      <xdr:row>20</xdr:row>
      <xdr:rowOff>174240</xdr:rowOff>
    </xdr:to>
    <xdr:sp macro="[0]!項目展開" textlink="">
      <xdr:nvSpPr>
        <xdr:cNvPr id="6" name="額縁 5">
          <a:extLst>
            <a:ext uri="{FF2B5EF4-FFF2-40B4-BE49-F238E27FC236}">
              <a16:creationId xmlns:a16="http://schemas.microsoft.com/office/drawing/2014/main" id="{00000000-0008-0000-0100-000006000000}"/>
            </a:ext>
          </a:extLst>
        </xdr:cNvPr>
        <xdr:cNvSpPr/>
      </xdr:nvSpPr>
      <xdr:spPr>
        <a:xfrm>
          <a:off x="609600" y="2430780"/>
          <a:ext cx="2735580" cy="540000"/>
        </a:xfrm>
        <a:prstGeom prst="bevel">
          <a:avLst/>
        </a:prstGeom>
      </xdr:spPr>
      <xdr:style>
        <a:lnRef idx="0">
          <a:schemeClr val="accent6"/>
        </a:lnRef>
        <a:fillRef idx="3">
          <a:schemeClr val="accent6"/>
        </a:fillRef>
        <a:effectRef idx="3">
          <a:schemeClr val="accent6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1400">
              <a:latin typeface="Meiryo UI" panose="020B0604030504040204" pitchFamily="50" charset="-128"/>
              <a:ea typeface="Meiryo UI" panose="020B0604030504040204" pitchFamily="50" charset="-128"/>
            </a:rPr>
            <a:t>項目値修正　反映</a:t>
          </a:r>
        </a:p>
      </xdr:txBody>
    </xdr:sp>
    <xdr:clientData/>
  </xdr:twoCellAnchor>
  <xdr:twoCellAnchor>
    <xdr:from>
      <xdr:col>2</xdr:col>
      <xdr:colOff>0</xdr:colOff>
      <xdr:row>23</xdr:row>
      <xdr:rowOff>0</xdr:rowOff>
    </xdr:from>
    <xdr:to>
      <xdr:col>10</xdr:col>
      <xdr:colOff>297180</xdr:colOff>
      <xdr:row>25</xdr:row>
      <xdr:rowOff>174240</xdr:rowOff>
    </xdr:to>
    <xdr:sp macro="[0]!テーブル作成SQL出力" textlink="">
      <xdr:nvSpPr>
        <xdr:cNvPr id="7" name="額縁 6">
          <a:extLst>
            <a:ext uri="{FF2B5EF4-FFF2-40B4-BE49-F238E27FC236}">
              <a16:creationId xmlns:a16="http://schemas.microsoft.com/office/drawing/2014/main" id="{00000000-0008-0000-0100-000007000000}"/>
            </a:ext>
          </a:extLst>
        </xdr:cNvPr>
        <xdr:cNvSpPr/>
      </xdr:nvSpPr>
      <xdr:spPr>
        <a:xfrm>
          <a:off x="609600" y="3345180"/>
          <a:ext cx="2735580" cy="540000"/>
        </a:xfrm>
        <a:prstGeom prst="bevel">
          <a:avLst/>
        </a:prstGeom>
      </xdr:spPr>
      <xdr:style>
        <a:lnRef idx="0">
          <a:schemeClr val="accent6"/>
        </a:lnRef>
        <a:fillRef idx="3">
          <a:schemeClr val="accent6"/>
        </a:fillRef>
        <a:effectRef idx="3">
          <a:schemeClr val="accent6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1400">
              <a:latin typeface="Meiryo UI" panose="020B0604030504040204" pitchFamily="50" charset="-128"/>
              <a:ea typeface="Meiryo UI" panose="020B0604030504040204" pitchFamily="50" charset="-128"/>
            </a:rPr>
            <a:t>テーブル</a:t>
          </a:r>
          <a:r>
            <a:rPr kumimoji="1" lang="en-US" altLang="ja-JP" sz="1400">
              <a:latin typeface="Meiryo UI" panose="020B0604030504040204" pitchFamily="50" charset="-128"/>
              <a:ea typeface="Meiryo UI" panose="020B0604030504040204" pitchFamily="50" charset="-128"/>
            </a:rPr>
            <a:t>SQL</a:t>
          </a:r>
          <a:r>
            <a:rPr kumimoji="1" lang="ja-JP" altLang="en-US" sz="1400">
              <a:latin typeface="Meiryo UI" panose="020B0604030504040204" pitchFamily="50" charset="-128"/>
              <a:ea typeface="Meiryo UI" panose="020B0604030504040204" pitchFamily="50" charset="-128"/>
            </a:rPr>
            <a:t>作成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68580</xdr:colOff>
          <xdr:row>23</xdr:row>
          <xdr:rowOff>175260</xdr:rowOff>
        </xdr:from>
        <xdr:to>
          <xdr:col>16</xdr:col>
          <xdr:colOff>114300</xdr:colOff>
          <xdr:row>25</xdr:row>
          <xdr:rowOff>7620</xdr:rowOff>
        </xdr:to>
        <xdr:sp macro="" textlink="">
          <xdr:nvSpPr>
            <xdr:cNvPr id="1027" name="CheckBox1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1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91440</xdr:colOff>
      <xdr:row>8</xdr:row>
      <xdr:rowOff>152400</xdr:rowOff>
    </xdr:from>
    <xdr:to>
      <xdr:col>51</xdr:col>
      <xdr:colOff>0</xdr:colOff>
      <xdr:row>30</xdr:row>
      <xdr:rowOff>175260</xdr:rowOff>
    </xdr:to>
    <xdr:sp macro="" textlink="">
      <xdr:nvSpPr>
        <xdr:cNvPr id="2" name="正方形/長方形 1">
          <a:extLst>
            <a:ext uri="{FF2B5EF4-FFF2-40B4-BE49-F238E27FC236}">
              <a16:creationId xmlns:a16="http://schemas.microsoft.com/office/drawing/2014/main" id="{00000000-0008-0000-0E00-000002000000}"/>
            </a:ext>
          </a:extLst>
        </xdr:cNvPr>
        <xdr:cNvSpPr/>
      </xdr:nvSpPr>
      <xdr:spPr>
        <a:xfrm>
          <a:off x="922020" y="1615440"/>
          <a:ext cx="11018520" cy="4046220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8000">
              <a:solidFill>
                <a:srgbClr val="FF0000"/>
              </a:solidFill>
              <a:latin typeface="Meiryo UI" panose="020B0604030504040204" pitchFamily="50" charset="-128"/>
              <a:ea typeface="Meiryo UI" panose="020B0604030504040204" pitchFamily="50" charset="-128"/>
            </a:rPr>
            <a:t>削除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2.vml"/><Relationship Id="rId1" Type="http://schemas.openxmlformats.org/officeDocument/2006/relationships/printerSettings" Target="../printerSettings/printerSettings3.bin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comments" Target="../comments2.xml"/><Relationship Id="rId2" Type="http://schemas.openxmlformats.org/officeDocument/2006/relationships/vmlDrawing" Target="../drawings/vmlDrawing3.vml"/><Relationship Id="rId1" Type="http://schemas.openxmlformats.org/officeDocument/2006/relationships/printerSettings" Target="../printerSettings/printerSettings4.bin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comments" Target="../comments3.xml"/><Relationship Id="rId2" Type="http://schemas.openxmlformats.org/officeDocument/2006/relationships/vmlDrawing" Target="../drawings/vmlDrawing4.vml"/><Relationship Id="rId1" Type="http://schemas.openxmlformats.org/officeDocument/2006/relationships/printerSettings" Target="../printerSettings/printerSettings5.bin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comments" Target="../comments4.xml"/><Relationship Id="rId2" Type="http://schemas.openxmlformats.org/officeDocument/2006/relationships/vmlDrawing" Target="../drawings/vmlDrawing5.vml"/><Relationship Id="rId1" Type="http://schemas.openxmlformats.org/officeDocument/2006/relationships/printerSettings" Target="../printerSettings/printerSettings6.bin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comments" Target="../comments5.xml"/><Relationship Id="rId2" Type="http://schemas.openxmlformats.org/officeDocument/2006/relationships/vmlDrawing" Target="../drawings/vmlDrawing6.vml"/><Relationship Id="rId1" Type="http://schemas.openxmlformats.org/officeDocument/2006/relationships/printerSettings" Target="../printerSettings/printerSettings7.bin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comments" Target="../comments6.xml"/><Relationship Id="rId2" Type="http://schemas.openxmlformats.org/officeDocument/2006/relationships/vmlDrawing" Target="../drawings/vmlDrawing7.vml"/><Relationship Id="rId1" Type="http://schemas.openxmlformats.org/officeDocument/2006/relationships/printerSettings" Target="../printerSettings/printerSettings8.bin"/></Relationships>
</file>

<file path=xl/worksheets/_rels/sheet10.xml.rels><?xml version="1.0" encoding="UTF-8" standalone="yes"?>
<Relationships xmlns="http://schemas.openxmlformats.org/package/2006/relationships"><Relationship Id="rId3" Type="http://schemas.openxmlformats.org/officeDocument/2006/relationships/comments" Target="../comments7.xml"/><Relationship Id="rId2" Type="http://schemas.openxmlformats.org/officeDocument/2006/relationships/vmlDrawing" Target="../drawings/vmlDrawing8.vml"/><Relationship Id="rId1" Type="http://schemas.openxmlformats.org/officeDocument/2006/relationships/printerSettings" Target="../printerSettings/printerSettings9.bin"/></Relationships>
</file>

<file path=xl/worksheets/_rels/sheet11.xml.rels><?xml version="1.0" encoding="UTF-8" standalone="yes"?>
<Relationships xmlns="http://schemas.openxmlformats.org/package/2006/relationships"><Relationship Id="rId3" Type="http://schemas.openxmlformats.org/officeDocument/2006/relationships/comments" Target="../comments8.xml"/><Relationship Id="rId2" Type="http://schemas.openxmlformats.org/officeDocument/2006/relationships/vmlDrawing" Target="../drawings/vmlDrawing9.vml"/><Relationship Id="rId1" Type="http://schemas.openxmlformats.org/officeDocument/2006/relationships/printerSettings" Target="../printerSettings/printerSettings10.bin"/></Relationships>
</file>

<file path=xl/worksheets/_rels/sheet12.xml.rels><?xml version="1.0" encoding="UTF-8" standalone="yes"?>
<Relationships xmlns="http://schemas.openxmlformats.org/package/2006/relationships"><Relationship Id="rId3" Type="http://schemas.openxmlformats.org/officeDocument/2006/relationships/comments" Target="../comments9.xml"/><Relationship Id="rId2" Type="http://schemas.openxmlformats.org/officeDocument/2006/relationships/vmlDrawing" Target="../drawings/vmlDrawing10.vml"/><Relationship Id="rId1" Type="http://schemas.openxmlformats.org/officeDocument/2006/relationships/printerSettings" Target="../printerSettings/printerSettings11.bin"/></Relationships>
</file>

<file path=xl/worksheets/_rels/sheet13.xml.rels><?xml version="1.0" encoding="UTF-8" standalone="yes"?>
<Relationships xmlns="http://schemas.openxmlformats.org/package/2006/relationships"><Relationship Id="rId3" Type="http://schemas.openxmlformats.org/officeDocument/2006/relationships/comments" Target="../comments10.xml"/><Relationship Id="rId2" Type="http://schemas.openxmlformats.org/officeDocument/2006/relationships/vmlDrawing" Target="../drawings/vmlDrawing11.vml"/><Relationship Id="rId1" Type="http://schemas.openxmlformats.org/officeDocument/2006/relationships/printerSettings" Target="../printerSettings/printerSettings12.bin"/></Relationships>
</file>

<file path=xl/worksheets/_rels/sheet14.xml.rels><?xml version="1.0" encoding="UTF-8" standalone="yes"?>
<Relationships xmlns="http://schemas.openxmlformats.org/package/2006/relationships"><Relationship Id="rId3" Type="http://schemas.openxmlformats.org/officeDocument/2006/relationships/comments" Target="../comments11.xml"/><Relationship Id="rId2" Type="http://schemas.openxmlformats.org/officeDocument/2006/relationships/vmlDrawing" Target="../drawings/vmlDrawing12.vml"/><Relationship Id="rId1" Type="http://schemas.openxmlformats.org/officeDocument/2006/relationships/printerSettings" Target="../printerSettings/printerSettings13.bin"/></Relationships>
</file>

<file path=xl/worksheets/_rels/sheet15.xml.rels><?xml version="1.0" encoding="UTF-8" standalone="yes"?>
<Relationships xmlns="http://schemas.openxmlformats.org/package/2006/relationships"><Relationship Id="rId3" Type="http://schemas.openxmlformats.org/officeDocument/2006/relationships/comments" Target="../comments12.xml"/><Relationship Id="rId2" Type="http://schemas.openxmlformats.org/officeDocument/2006/relationships/vmlDrawing" Target="../drawings/vmlDrawing13.vml"/><Relationship Id="rId1" Type="http://schemas.openxmlformats.org/officeDocument/2006/relationships/printerSettings" Target="../printerSettings/printerSettings14.bin"/></Relationships>
</file>

<file path=xl/worksheets/_rels/sheet16.xml.rels><?xml version="1.0" encoding="UTF-8" standalone="yes"?>
<Relationships xmlns="http://schemas.openxmlformats.org/package/2006/relationships"><Relationship Id="rId3" Type="http://schemas.openxmlformats.org/officeDocument/2006/relationships/comments" Target="../comments13.xml"/><Relationship Id="rId2" Type="http://schemas.openxmlformats.org/officeDocument/2006/relationships/vmlDrawing" Target="../drawings/vmlDrawing14.vml"/><Relationship Id="rId1" Type="http://schemas.openxmlformats.org/officeDocument/2006/relationships/printerSettings" Target="../printerSettings/printerSettings15.bin"/></Relationships>
</file>

<file path=xl/worksheets/_rels/sheet17.xml.rels><?xml version="1.0" encoding="UTF-8" standalone="yes"?>
<Relationships xmlns="http://schemas.openxmlformats.org/package/2006/relationships"><Relationship Id="rId3" Type="http://schemas.openxmlformats.org/officeDocument/2006/relationships/comments" Target="../comments14.xml"/><Relationship Id="rId2" Type="http://schemas.openxmlformats.org/officeDocument/2006/relationships/vmlDrawing" Target="../drawings/vmlDrawing15.vml"/><Relationship Id="rId1" Type="http://schemas.openxmlformats.org/officeDocument/2006/relationships/printerSettings" Target="../printerSettings/printerSettings16.bin"/></Relationships>
</file>

<file path=xl/worksheets/_rels/sheet18.xml.rels><?xml version="1.0" encoding="UTF-8" standalone="yes"?>
<Relationships xmlns="http://schemas.openxmlformats.org/package/2006/relationships"><Relationship Id="rId3" Type="http://schemas.openxmlformats.org/officeDocument/2006/relationships/comments" Target="../comments15.xml"/><Relationship Id="rId2" Type="http://schemas.openxmlformats.org/officeDocument/2006/relationships/vmlDrawing" Target="../drawings/vmlDrawing16.vml"/><Relationship Id="rId1" Type="http://schemas.openxmlformats.org/officeDocument/2006/relationships/printerSettings" Target="../printerSettings/printerSettings17.bin"/></Relationships>
</file>

<file path=xl/worksheets/_rels/sheet19.xml.rels><?xml version="1.0" encoding="UTF-8" standalone="yes"?>
<Relationships xmlns="http://schemas.openxmlformats.org/package/2006/relationships"><Relationship Id="rId3" Type="http://schemas.openxmlformats.org/officeDocument/2006/relationships/comments" Target="../comments16.xml"/><Relationship Id="rId2" Type="http://schemas.openxmlformats.org/officeDocument/2006/relationships/vmlDrawing" Target="../drawings/vmlDrawing17.vml"/><Relationship Id="rId1" Type="http://schemas.openxmlformats.org/officeDocument/2006/relationships/printerSettings" Target="../printerSettings/printerSettings18.bin"/></Relationships>
</file>

<file path=xl/worksheets/_rels/sheet20.xml.rels><?xml version="1.0" encoding="UTF-8" standalone="yes"?>
<Relationships xmlns="http://schemas.openxmlformats.org/package/2006/relationships"><Relationship Id="rId3" Type="http://schemas.openxmlformats.org/officeDocument/2006/relationships/comments" Target="../comments17.xml"/><Relationship Id="rId2" Type="http://schemas.openxmlformats.org/officeDocument/2006/relationships/vmlDrawing" Target="../drawings/vmlDrawing18.vml"/><Relationship Id="rId1" Type="http://schemas.openxmlformats.org/officeDocument/2006/relationships/printerSettings" Target="../printerSettings/printerSettings19.bin"/></Relationships>
</file>

<file path=xl/worksheets/_rels/sheet21.xml.rels><?xml version="1.0" encoding="UTF-8" standalone="yes"?>
<Relationships xmlns="http://schemas.openxmlformats.org/package/2006/relationships"><Relationship Id="rId3" Type="http://schemas.openxmlformats.org/officeDocument/2006/relationships/comments" Target="../comments18.xml"/><Relationship Id="rId2" Type="http://schemas.openxmlformats.org/officeDocument/2006/relationships/vmlDrawing" Target="../drawings/vmlDrawing19.vml"/><Relationship Id="rId1" Type="http://schemas.openxmlformats.org/officeDocument/2006/relationships/printerSettings" Target="../printerSettings/printerSettings20.bin"/></Relationships>
</file>

<file path=xl/worksheets/_rels/sheet2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0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1.bin"/><Relationship Id="rId4" Type="http://schemas.openxmlformats.org/officeDocument/2006/relationships/comments" Target="../comments19.xml"/></Relationships>
</file>

<file path=xl/worksheets/_rels/sheet23.xml.rels><?xml version="1.0" encoding="UTF-8" standalone="yes"?>
<Relationships xmlns="http://schemas.openxmlformats.org/package/2006/relationships"><Relationship Id="rId3" Type="http://schemas.openxmlformats.org/officeDocument/2006/relationships/comments" Target="../comments20.xml"/><Relationship Id="rId2" Type="http://schemas.openxmlformats.org/officeDocument/2006/relationships/vmlDrawing" Target="../drawings/vmlDrawing21.vml"/><Relationship Id="rId1" Type="http://schemas.openxmlformats.org/officeDocument/2006/relationships/printerSettings" Target="../printerSettings/printerSettings22.bin"/></Relationships>
</file>

<file path=xl/worksheets/_rels/sheet24.xml.rels><?xml version="1.0" encoding="UTF-8" standalone="yes"?>
<Relationships xmlns="http://schemas.openxmlformats.org/package/2006/relationships"><Relationship Id="rId3" Type="http://schemas.openxmlformats.org/officeDocument/2006/relationships/comments" Target="../comments21.xml"/><Relationship Id="rId2" Type="http://schemas.openxmlformats.org/officeDocument/2006/relationships/vmlDrawing" Target="../drawings/vmlDrawing22.vml"/><Relationship Id="rId1" Type="http://schemas.openxmlformats.org/officeDocument/2006/relationships/printerSettings" Target="../printerSettings/printerSettings23.bin"/></Relationships>
</file>

<file path=xl/worksheets/_rels/sheet25.xml.rels><?xml version="1.0" encoding="UTF-8" standalone="yes"?>
<Relationships xmlns="http://schemas.openxmlformats.org/package/2006/relationships"><Relationship Id="rId3" Type="http://schemas.openxmlformats.org/officeDocument/2006/relationships/comments" Target="../comments22.xml"/><Relationship Id="rId2" Type="http://schemas.openxmlformats.org/officeDocument/2006/relationships/vmlDrawing" Target="../drawings/vmlDrawing23.vml"/><Relationship Id="rId1" Type="http://schemas.openxmlformats.org/officeDocument/2006/relationships/printerSettings" Target="../printerSettings/printerSettings24.bin"/></Relationships>
</file>

<file path=xl/worksheets/_rels/sheet2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5.bin"/></Relationships>
</file>

<file path=xl/worksheets/_rels/sheet2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6.bin"/></Relationships>
</file>

<file path=xl/worksheets/_rels/sheet2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7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9"/>
  <dimension ref="B2:B109"/>
  <sheetViews>
    <sheetView topLeftCell="A97" workbookViewId="0">
      <selection activeCell="B2" sqref="B2:B109"/>
    </sheetView>
  </sheetViews>
  <sheetFormatPr defaultColWidth="3.6328125" defaultRowHeight="14.4"/>
  <sheetData>
    <row r="2" spans="2:2">
      <c r="B2" t="s">
        <v>0</v>
      </c>
    </row>
    <row r="3" spans="2:2">
      <c r="B3" t="s">
        <v>1</v>
      </c>
    </row>
    <row r="4" spans="2:2">
      <c r="B4" t="s">
        <v>2</v>
      </c>
    </row>
    <row r="5" spans="2:2">
      <c r="B5" t="s">
        <v>3</v>
      </c>
    </row>
    <row r="6" spans="2:2">
      <c r="B6" t="s">
        <v>4</v>
      </c>
    </row>
    <row r="7" spans="2:2">
      <c r="B7" t="s">
        <v>5</v>
      </c>
    </row>
    <row r="8" spans="2:2">
      <c r="B8" t="s">
        <v>6</v>
      </c>
    </row>
    <row r="9" spans="2:2">
      <c r="B9" t="s">
        <v>7</v>
      </c>
    </row>
    <row r="10" spans="2:2">
      <c r="B10" t="s">
        <v>8</v>
      </c>
    </row>
    <row r="12" spans="2:2">
      <c r="B12" t="s">
        <v>9</v>
      </c>
    </row>
    <row r="14" spans="2:2">
      <c r="B14" t="s">
        <v>10</v>
      </c>
    </row>
    <row r="15" spans="2:2">
      <c r="B15" t="s">
        <v>11</v>
      </c>
    </row>
    <row r="16" spans="2:2">
      <c r="B16" t="s">
        <v>12</v>
      </c>
    </row>
    <row r="17" spans="2:2">
      <c r="B17" t="s">
        <v>13</v>
      </c>
    </row>
    <row r="18" spans="2:2">
      <c r="B18" t="s">
        <v>14</v>
      </c>
    </row>
    <row r="19" spans="2:2">
      <c r="B19" t="s">
        <v>15</v>
      </c>
    </row>
    <row r="20" spans="2:2">
      <c r="B20" t="s">
        <v>16</v>
      </c>
    </row>
    <row r="21" spans="2:2">
      <c r="B21" t="s">
        <v>14</v>
      </c>
    </row>
    <row r="22" spans="2:2">
      <c r="B22" t="s">
        <v>15</v>
      </c>
    </row>
    <row r="23" spans="2:2">
      <c r="B23" t="s">
        <v>17</v>
      </c>
    </row>
    <row r="24" spans="2:2">
      <c r="B24" t="s">
        <v>14</v>
      </c>
    </row>
    <row r="25" spans="2:2">
      <c r="B25" t="s">
        <v>15</v>
      </c>
    </row>
    <row r="26" spans="2:2">
      <c r="B26" t="s">
        <v>18</v>
      </c>
    </row>
    <row r="27" spans="2:2">
      <c r="B27" t="s">
        <v>14</v>
      </c>
    </row>
    <row r="28" spans="2:2">
      <c r="B28" t="s">
        <v>15</v>
      </c>
    </row>
    <row r="29" spans="2:2">
      <c r="B29" t="s">
        <v>19</v>
      </c>
    </row>
    <row r="30" spans="2:2">
      <c r="B30" t="s">
        <v>14</v>
      </c>
    </row>
    <row r="31" spans="2:2">
      <c r="B31" t="s">
        <v>15</v>
      </c>
    </row>
    <row r="32" spans="2:2">
      <c r="B32" t="s">
        <v>20</v>
      </c>
    </row>
    <row r="33" spans="2:2">
      <c r="B33" t="s">
        <v>14</v>
      </c>
    </row>
    <row r="34" spans="2:2">
      <c r="B34" t="s">
        <v>15</v>
      </c>
    </row>
    <row r="35" spans="2:2">
      <c r="B35" t="s">
        <v>21</v>
      </c>
    </row>
    <row r="36" spans="2:2">
      <c r="B36" t="s">
        <v>14</v>
      </c>
    </row>
    <row r="37" spans="2:2">
      <c r="B37" t="s">
        <v>15</v>
      </c>
    </row>
    <row r="38" spans="2:2">
      <c r="B38" t="s">
        <v>22</v>
      </c>
    </row>
    <row r="39" spans="2:2">
      <c r="B39" t="s">
        <v>23</v>
      </c>
    </row>
    <row r="40" spans="2:2">
      <c r="B40" t="s">
        <v>24</v>
      </c>
    </row>
    <row r="41" spans="2:2">
      <c r="B41" t="s">
        <v>25</v>
      </c>
    </row>
    <row r="42" spans="2:2">
      <c r="B42" t="s">
        <v>26</v>
      </c>
    </row>
    <row r="43" spans="2:2">
      <c r="B43" t="s">
        <v>27</v>
      </c>
    </row>
    <row r="44" spans="2:2">
      <c r="B44" t="s">
        <v>28</v>
      </c>
    </row>
    <row r="45" spans="2:2">
      <c r="B45" t="s">
        <v>29</v>
      </c>
    </row>
    <row r="46" spans="2:2">
      <c r="B46" t="s">
        <v>30</v>
      </c>
    </row>
    <row r="47" spans="2:2">
      <c r="B47" t="s">
        <v>31</v>
      </c>
    </row>
    <row r="48" spans="2:2">
      <c r="B48" t="s">
        <v>32</v>
      </c>
    </row>
    <row r="49" spans="2:2">
      <c r="B49" t="s">
        <v>33</v>
      </c>
    </row>
    <row r="50" spans="2:2">
      <c r="B50" t="s">
        <v>34</v>
      </c>
    </row>
    <row r="51" spans="2:2">
      <c r="B51" t="s">
        <v>35</v>
      </c>
    </row>
    <row r="52" spans="2:2">
      <c r="B52" t="s">
        <v>36</v>
      </c>
    </row>
    <row r="53" spans="2:2">
      <c r="B53" t="s">
        <v>37</v>
      </c>
    </row>
    <row r="54" spans="2:2">
      <c r="B54" t="s">
        <v>38</v>
      </c>
    </row>
    <row r="55" spans="2:2">
      <c r="B55" t="s">
        <v>39</v>
      </c>
    </row>
    <row r="56" spans="2:2">
      <c r="B56" t="s">
        <v>37</v>
      </c>
    </row>
    <row r="57" spans="2:2">
      <c r="B57" t="s">
        <v>40</v>
      </c>
    </row>
    <row r="58" spans="2:2">
      <c r="B58" t="s">
        <v>41</v>
      </c>
    </row>
    <row r="59" spans="2:2">
      <c r="B59" t="s">
        <v>37</v>
      </c>
    </row>
    <row r="60" spans="2:2">
      <c r="B60" t="s">
        <v>42</v>
      </c>
    </row>
    <row r="61" spans="2:2">
      <c r="B61" t="s">
        <v>43</v>
      </c>
    </row>
    <row r="62" spans="2:2">
      <c r="B62" t="s">
        <v>15</v>
      </c>
    </row>
    <row r="63" spans="2:2">
      <c r="B63" t="s">
        <v>44</v>
      </c>
    </row>
    <row r="65" spans="2:2">
      <c r="B65" t="s">
        <v>45</v>
      </c>
    </row>
    <row r="67" spans="2:2">
      <c r="B67" t="s">
        <v>46</v>
      </c>
    </row>
    <row r="69" spans="2:2">
      <c r="B69" t="s">
        <v>47</v>
      </c>
    </row>
    <row r="70" spans="2:2">
      <c r="B70" t="s">
        <v>1</v>
      </c>
    </row>
    <row r="71" spans="2:2">
      <c r="B71" t="s">
        <v>2</v>
      </c>
    </row>
    <row r="72" spans="2:2">
      <c r="B72" t="s">
        <v>3</v>
      </c>
    </row>
    <row r="73" spans="2:2">
      <c r="B73" t="s">
        <v>4</v>
      </c>
    </row>
    <row r="74" spans="2:2">
      <c r="B74" t="s">
        <v>5</v>
      </c>
    </row>
    <row r="75" spans="2:2">
      <c r="B75" t="s">
        <v>6</v>
      </c>
    </row>
    <row r="76" spans="2:2">
      <c r="B76" t="s">
        <v>7</v>
      </c>
    </row>
    <row r="77" spans="2:2">
      <c r="B77" t="s">
        <v>8</v>
      </c>
    </row>
    <row r="78" spans="2:2">
      <c r="B78" t="s">
        <v>48</v>
      </c>
    </row>
    <row r="79" spans="2:2">
      <c r="B79" t="s">
        <v>49</v>
      </c>
    </row>
    <row r="81" spans="2:2">
      <c r="B81" t="s">
        <v>50</v>
      </c>
    </row>
    <row r="82" spans="2:2">
      <c r="B82" t="s">
        <v>51</v>
      </c>
    </row>
    <row r="84" spans="2:2">
      <c r="B84" t="s">
        <v>52</v>
      </c>
    </row>
    <row r="85" spans="2:2">
      <c r="B85" t="s">
        <v>53</v>
      </c>
    </row>
    <row r="86" spans="2:2">
      <c r="B86" t="s">
        <v>54</v>
      </c>
    </row>
    <row r="87" spans="2:2">
      <c r="B87" t="s">
        <v>55</v>
      </c>
    </row>
    <row r="88" spans="2:2">
      <c r="B88" t="s">
        <v>22</v>
      </c>
    </row>
    <row r="89" spans="2:2">
      <c r="B89" t="s">
        <v>56</v>
      </c>
    </row>
    <row r="90" spans="2:2">
      <c r="B90" t="s">
        <v>57</v>
      </c>
    </row>
    <row r="91" spans="2:2">
      <c r="B91" t="s">
        <v>58</v>
      </c>
    </row>
    <row r="92" spans="2:2">
      <c r="B92" t="s">
        <v>59</v>
      </c>
    </row>
    <row r="93" spans="2:2">
      <c r="B93" t="s">
        <v>60</v>
      </c>
    </row>
    <row r="94" spans="2:2">
      <c r="B94" t="s">
        <v>61</v>
      </c>
    </row>
    <row r="95" spans="2:2">
      <c r="B95" t="s">
        <v>62</v>
      </c>
    </row>
    <row r="96" spans="2:2">
      <c r="B96" t="s">
        <v>63</v>
      </c>
    </row>
    <row r="97" spans="2:2">
      <c r="B97" t="s">
        <v>64</v>
      </c>
    </row>
    <row r="98" spans="2:2">
      <c r="B98" t="s">
        <v>65</v>
      </c>
    </row>
    <row r="99" spans="2:2">
      <c r="B99" t="s">
        <v>37</v>
      </c>
    </row>
    <row r="100" spans="2:2">
      <c r="B100" t="s">
        <v>66</v>
      </c>
    </row>
    <row r="101" spans="2:2">
      <c r="B101" t="s">
        <v>67</v>
      </c>
    </row>
    <row r="102" spans="2:2">
      <c r="B102" t="s">
        <v>68</v>
      </c>
    </row>
    <row r="103" spans="2:2">
      <c r="B103" t="s">
        <v>22</v>
      </c>
    </row>
    <row r="104" spans="2:2">
      <c r="B104" t="s">
        <v>44</v>
      </c>
    </row>
    <row r="106" spans="2:2">
      <c r="B106" t="s">
        <v>45</v>
      </c>
    </row>
    <row r="109" spans="2:2">
      <c r="B109" t="s">
        <v>46</v>
      </c>
    </row>
  </sheetData>
  <phoneticPr fontId="5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5"/>
  <dimension ref="A2:W29"/>
  <sheetViews>
    <sheetView tabSelected="1" workbookViewId="0"/>
  </sheetViews>
  <sheetFormatPr defaultColWidth="3.6328125" defaultRowHeight="14.4"/>
  <sheetData>
    <row r="2" spans="2:14" s="120" customFormat="1" ht="18.600000000000001">
      <c r="B2" s="121" t="s">
        <v>69</v>
      </c>
      <c r="C2" s="122" t="s">
        <v>70</v>
      </c>
    </row>
    <row r="4" spans="2:14">
      <c r="N4" t="s">
        <v>71</v>
      </c>
    </row>
    <row r="9" spans="2:14">
      <c r="N9" t="s">
        <v>72</v>
      </c>
    </row>
    <row r="14" spans="2:14">
      <c r="N14" t="s">
        <v>73</v>
      </c>
    </row>
    <row r="19" spans="1:23">
      <c r="N19" t="s">
        <v>74</v>
      </c>
    </row>
    <row r="20" spans="1:23">
      <c r="N20" s="125"/>
    </row>
    <row r="24" spans="1:23">
      <c r="N24" t="s">
        <v>75</v>
      </c>
    </row>
    <row r="25" spans="1:23">
      <c r="N25" s="125"/>
      <c r="O25" s="125"/>
      <c r="P25" s="125"/>
      <c r="Q25" s="125"/>
      <c r="R25" s="125"/>
      <c r="S25" s="125"/>
      <c r="T25" s="125"/>
    </row>
    <row r="27" spans="1:23">
      <c r="N27" s="351" t="s">
        <v>104</v>
      </c>
      <c r="O27" s="352"/>
      <c r="P27" s="352"/>
      <c r="Q27" s="352"/>
      <c r="R27" s="352"/>
      <c r="S27" s="352"/>
      <c r="T27" s="353"/>
      <c r="V27" s="125" t="s">
        <v>69</v>
      </c>
      <c r="W27" s="126" t="s">
        <v>77</v>
      </c>
    </row>
    <row r="29" spans="1:23">
      <c r="A29" s="150"/>
      <c r="K29" s="150"/>
      <c r="L29" s="150"/>
      <c r="M29" s="150"/>
      <c r="N29" s="150"/>
    </row>
  </sheetData>
  <mergeCells count="1">
    <mergeCell ref="N27:T27"/>
  </mergeCells>
  <phoneticPr fontId="5"/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1027" r:id="rId4" name="CheckBox1">
          <controlPr defaultSize="0" autoLine="0" autoPict="0" r:id="rId5">
            <anchor moveWithCells="1">
              <from>
                <xdr:col>13</xdr:col>
                <xdr:colOff>68580</xdr:colOff>
                <xdr:row>23</xdr:row>
                <xdr:rowOff>175260</xdr:rowOff>
              </from>
              <to>
                <xdr:col>16</xdr:col>
                <xdr:colOff>114300</xdr:colOff>
                <xdr:row>25</xdr:row>
                <xdr:rowOff>7620</xdr:rowOff>
              </to>
            </anchor>
          </controlPr>
        </control>
      </mc:Choice>
      <mc:Fallback>
        <control shapeId="1027" r:id="rId4" name="CheckBox1"/>
      </mc:Fallback>
    </mc:AlternateContent>
  </controls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>
          <x14:formula1>
            <xm:f>テーブル一覧!$B$7:$B$27</xm:f>
          </x14:formula1>
          <xm:sqref>N27:T27</xm:sqref>
        </x14:dataValidation>
      </x14:dataValidation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BF46"/>
  <sheetViews>
    <sheetView showGridLines="0" zoomScaleNormal="100" zoomScaleSheetLayoutView="100" workbookViewId="0">
      <pane ySplit="6" topLeftCell="A7" activePane="bottomLeft" state="frozen"/>
      <selection activeCell="B12" sqref="B12:Q12"/>
      <selection pane="bottomLeft" sqref="A1:K4"/>
    </sheetView>
  </sheetViews>
  <sheetFormatPr defaultColWidth="2.6328125" defaultRowHeight="14.4" customHeight="1"/>
  <cols>
    <col min="1" max="1" width="4.6328125" style="1" customWidth="1"/>
    <col min="2" max="16384" width="2.6328125" style="1"/>
  </cols>
  <sheetData>
    <row r="1" spans="1:58" s="17" customFormat="1" ht="14.4" customHeight="1">
      <c r="A1" s="375" t="s">
        <v>78</v>
      </c>
      <c r="B1" s="376"/>
      <c r="C1" s="376"/>
      <c r="D1" s="376"/>
      <c r="E1" s="376"/>
      <c r="F1" s="376"/>
      <c r="G1" s="376"/>
      <c r="H1" s="376"/>
      <c r="I1" s="376"/>
      <c r="J1" s="376"/>
      <c r="K1" s="377"/>
      <c r="L1" s="354" t="s">
        <v>79</v>
      </c>
      <c r="M1" s="355"/>
      <c r="N1" s="355"/>
      <c r="O1" s="355"/>
      <c r="P1" s="355"/>
      <c r="Q1" s="355"/>
      <c r="R1" s="355"/>
      <c r="S1" s="355"/>
      <c r="T1" s="355"/>
      <c r="U1" s="355"/>
      <c r="V1" s="356"/>
      <c r="W1" s="354" t="s">
        <v>80</v>
      </c>
      <c r="X1" s="355"/>
      <c r="Y1" s="355"/>
      <c r="Z1" s="355"/>
      <c r="AA1" s="355"/>
      <c r="AB1" s="355"/>
      <c r="AC1" s="356"/>
      <c r="AD1" s="354" t="s">
        <v>81</v>
      </c>
      <c r="AE1" s="355"/>
      <c r="AF1" s="355"/>
      <c r="AG1" s="355"/>
      <c r="AH1" s="355"/>
      <c r="AI1" s="355"/>
      <c r="AJ1" s="355"/>
      <c r="AK1" s="355"/>
      <c r="AL1" s="355"/>
      <c r="AM1" s="355"/>
      <c r="AN1" s="355"/>
      <c r="AO1" s="355"/>
      <c r="AP1" s="355"/>
      <c r="AQ1" s="356"/>
      <c r="AR1" s="55" t="s">
        <v>82</v>
      </c>
      <c r="AS1" s="56"/>
      <c r="AT1" s="56"/>
      <c r="AU1" s="56"/>
      <c r="AV1" s="57"/>
      <c r="AW1" s="55" t="s">
        <v>83</v>
      </c>
      <c r="AX1" s="56"/>
      <c r="AY1" s="56"/>
      <c r="AZ1" s="56"/>
      <c r="BA1" s="56"/>
      <c r="BB1" s="57"/>
      <c r="BC1" s="55" t="s">
        <v>84</v>
      </c>
      <c r="BD1" s="56"/>
      <c r="BE1" s="56"/>
      <c r="BF1" s="57"/>
    </row>
    <row r="2" spans="1:58" s="17" customFormat="1" ht="14.4" customHeight="1">
      <c r="A2" s="378"/>
      <c r="B2" s="379"/>
      <c r="C2" s="379"/>
      <c r="D2" s="379"/>
      <c r="E2" s="379"/>
      <c r="F2" s="379"/>
      <c r="G2" s="379"/>
      <c r="H2" s="379"/>
      <c r="I2" s="379"/>
      <c r="J2" s="379"/>
      <c r="K2" s="380"/>
      <c r="L2" s="384" t="s">
        <v>85</v>
      </c>
      <c r="M2" s="385"/>
      <c r="N2" s="385"/>
      <c r="O2" s="385"/>
      <c r="P2" s="385"/>
      <c r="Q2" s="385"/>
      <c r="R2" s="385"/>
      <c r="S2" s="385"/>
      <c r="T2" s="385"/>
      <c r="U2" s="385"/>
      <c r="V2" s="386"/>
      <c r="W2" s="384" t="s">
        <v>86</v>
      </c>
      <c r="X2" s="385"/>
      <c r="Y2" s="385"/>
      <c r="Z2" s="385"/>
      <c r="AA2" s="385"/>
      <c r="AB2" s="385"/>
      <c r="AC2" s="386"/>
      <c r="AD2" s="363" t="s">
        <v>87</v>
      </c>
      <c r="AE2" s="364"/>
      <c r="AF2" s="364"/>
      <c r="AG2" s="364"/>
      <c r="AH2" s="364"/>
      <c r="AI2" s="364"/>
      <c r="AJ2" s="364"/>
      <c r="AK2" s="364"/>
      <c r="AL2" s="364"/>
      <c r="AM2" s="364"/>
      <c r="AN2" s="364"/>
      <c r="AO2" s="364"/>
      <c r="AP2" s="364"/>
      <c r="AQ2" s="365"/>
      <c r="AR2" s="357"/>
      <c r="AS2" s="358"/>
      <c r="AT2" s="358"/>
      <c r="AU2" s="358"/>
      <c r="AV2" s="359"/>
      <c r="AW2" s="58" t="s">
        <v>88</v>
      </c>
      <c r="AX2" s="59"/>
      <c r="AY2" s="59"/>
      <c r="AZ2" s="59"/>
      <c r="BA2" s="59"/>
      <c r="BB2" s="60"/>
      <c r="BC2" s="61" t="s">
        <v>89</v>
      </c>
      <c r="BD2" s="62"/>
      <c r="BE2" s="62"/>
      <c r="BF2" s="63"/>
    </row>
    <row r="3" spans="1:58" s="17" customFormat="1" ht="14.4" customHeight="1">
      <c r="A3" s="378"/>
      <c r="B3" s="379"/>
      <c r="C3" s="379"/>
      <c r="D3" s="379"/>
      <c r="E3" s="379"/>
      <c r="F3" s="379"/>
      <c r="G3" s="379"/>
      <c r="H3" s="379"/>
      <c r="I3" s="379"/>
      <c r="J3" s="379"/>
      <c r="K3" s="380"/>
      <c r="L3" s="387"/>
      <c r="M3" s="388"/>
      <c r="N3" s="388"/>
      <c r="O3" s="388"/>
      <c r="P3" s="388"/>
      <c r="Q3" s="388"/>
      <c r="R3" s="388"/>
      <c r="S3" s="388"/>
      <c r="T3" s="388"/>
      <c r="U3" s="388"/>
      <c r="V3" s="389"/>
      <c r="W3" s="387"/>
      <c r="X3" s="388"/>
      <c r="Y3" s="388"/>
      <c r="Z3" s="388"/>
      <c r="AA3" s="388"/>
      <c r="AB3" s="388"/>
      <c r="AC3" s="389"/>
      <c r="AD3" s="366"/>
      <c r="AE3" s="367"/>
      <c r="AF3" s="367"/>
      <c r="AG3" s="367"/>
      <c r="AH3" s="367"/>
      <c r="AI3" s="367"/>
      <c r="AJ3" s="367"/>
      <c r="AK3" s="367"/>
      <c r="AL3" s="367"/>
      <c r="AM3" s="367"/>
      <c r="AN3" s="367"/>
      <c r="AO3" s="367"/>
      <c r="AP3" s="367"/>
      <c r="AQ3" s="368"/>
      <c r="AR3" s="360"/>
      <c r="AS3" s="361"/>
      <c r="AT3" s="361"/>
      <c r="AU3" s="361"/>
      <c r="AV3" s="362"/>
      <c r="AW3" s="58"/>
      <c r="AX3" s="59"/>
      <c r="AY3" s="59"/>
      <c r="AZ3" s="59"/>
      <c r="BA3" s="59"/>
      <c r="BB3" s="60"/>
      <c r="BC3" s="61"/>
      <c r="BD3" s="62"/>
      <c r="BE3" s="62"/>
      <c r="BF3" s="63"/>
    </row>
    <row r="4" spans="1:58" s="17" customFormat="1" ht="14.4" customHeight="1">
      <c r="A4" s="381"/>
      <c r="B4" s="382"/>
      <c r="C4" s="382"/>
      <c r="D4" s="382"/>
      <c r="E4" s="382"/>
      <c r="F4" s="382"/>
      <c r="G4" s="382"/>
      <c r="H4" s="382"/>
      <c r="I4" s="382"/>
      <c r="J4" s="382"/>
      <c r="K4" s="383"/>
      <c r="L4" s="390"/>
      <c r="M4" s="391"/>
      <c r="N4" s="391"/>
      <c r="O4" s="391"/>
      <c r="P4" s="391"/>
      <c r="Q4" s="391"/>
      <c r="R4" s="391"/>
      <c r="S4" s="391"/>
      <c r="T4" s="391"/>
      <c r="U4" s="391"/>
      <c r="V4" s="392"/>
      <c r="W4" s="390"/>
      <c r="X4" s="391"/>
      <c r="Y4" s="391"/>
      <c r="Z4" s="391"/>
      <c r="AA4" s="391"/>
      <c r="AB4" s="391"/>
      <c r="AC4" s="392"/>
      <c r="AD4" s="369"/>
      <c r="AE4" s="370"/>
      <c r="AF4" s="370"/>
      <c r="AG4" s="370"/>
      <c r="AH4" s="370"/>
      <c r="AI4" s="370"/>
      <c r="AJ4" s="370"/>
      <c r="AK4" s="370"/>
      <c r="AL4" s="370"/>
      <c r="AM4" s="370"/>
      <c r="AN4" s="370"/>
      <c r="AO4" s="370"/>
      <c r="AP4" s="370"/>
      <c r="AQ4" s="371"/>
      <c r="AR4" s="360"/>
      <c r="AS4" s="361"/>
      <c r="AT4" s="361"/>
      <c r="AU4" s="361"/>
      <c r="AV4" s="362"/>
      <c r="AW4" s="58"/>
      <c r="AX4" s="59"/>
      <c r="AY4" s="59"/>
      <c r="AZ4" s="59"/>
      <c r="BA4" s="59"/>
      <c r="BB4" s="60"/>
      <c r="BC4" s="61"/>
      <c r="BD4" s="62"/>
      <c r="BE4" s="62"/>
      <c r="BF4" s="63"/>
    </row>
    <row r="5" spans="1:58" ht="14.4" customHeight="1">
      <c r="A5" s="7"/>
      <c r="B5" s="7"/>
      <c r="C5" s="7"/>
      <c r="D5" s="7"/>
      <c r="E5" s="7"/>
      <c r="F5" s="7"/>
      <c r="G5" s="7"/>
      <c r="H5" s="7"/>
      <c r="I5" s="7"/>
      <c r="J5" s="7"/>
      <c r="K5" s="7"/>
      <c r="L5" s="7"/>
      <c r="M5" s="7"/>
      <c r="N5" s="7"/>
      <c r="O5" s="7"/>
      <c r="P5" s="7"/>
      <c r="Q5" s="7"/>
      <c r="R5" s="7"/>
      <c r="S5" s="7"/>
      <c r="T5" s="7"/>
      <c r="U5" s="7"/>
      <c r="V5" s="7"/>
      <c r="W5" s="7"/>
      <c r="X5" s="7"/>
      <c r="Y5" s="7"/>
      <c r="Z5" s="7"/>
      <c r="AA5" s="7"/>
      <c r="AB5" s="7"/>
      <c r="AC5" s="7"/>
      <c r="AD5" s="7"/>
      <c r="AE5" s="7"/>
      <c r="AF5" s="7"/>
      <c r="AG5" s="7"/>
      <c r="AH5" s="7"/>
      <c r="AI5" s="7"/>
      <c r="AJ5" s="7"/>
      <c r="AK5" s="7"/>
      <c r="AL5" s="7"/>
    </row>
    <row r="6" spans="1:58" ht="14.4" customHeight="1">
      <c r="A6" s="65" t="s">
        <v>90</v>
      </c>
      <c r="B6" s="372" t="s">
        <v>91</v>
      </c>
      <c r="C6" s="373"/>
      <c r="D6" s="373"/>
      <c r="E6" s="373"/>
      <c r="F6" s="373"/>
      <c r="G6" s="373"/>
      <c r="H6" s="373"/>
      <c r="I6" s="373"/>
      <c r="J6" s="373"/>
      <c r="K6" s="374"/>
      <c r="L6" s="82" t="s">
        <v>92</v>
      </c>
      <c r="M6" s="83"/>
      <c r="N6" s="83"/>
      <c r="O6" s="83"/>
      <c r="P6" s="83"/>
      <c r="Q6" s="83"/>
      <c r="R6" s="83"/>
      <c r="S6" s="83"/>
      <c r="T6" s="83"/>
      <c r="U6" s="83"/>
      <c r="V6" s="83"/>
      <c r="W6" s="53" t="s">
        <v>93</v>
      </c>
      <c r="X6" s="54"/>
      <c r="Y6" s="54"/>
      <c r="Z6" s="54"/>
      <c r="AA6" s="54"/>
      <c r="AB6" s="83"/>
      <c r="AC6" s="84"/>
      <c r="AD6" s="354" t="s">
        <v>94</v>
      </c>
      <c r="AE6" s="355"/>
      <c r="AF6" s="355"/>
      <c r="AG6" s="355"/>
      <c r="AH6" s="355"/>
      <c r="AI6" s="355"/>
      <c r="AJ6" s="355"/>
      <c r="AK6" s="355"/>
      <c r="AL6" s="355"/>
      <c r="AM6" s="355"/>
      <c r="AN6" s="355"/>
      <c r="AO6" s="355"/>
      <c r="AP6" s="355"/>
      <c r="AQ6" s="355"/>
      <c r="AR6" s="355"/>
      <c r="AS6" s="355"/>
      <c r="AT6" s="355"/>
      <c r="AU6" s="355"/>
      <c r="AV6" s="355"/>
      <c r="AW6" s="355"/>
      <c r="AX6" s="355"/>
      <c r="AY6" s="355"/>
      <c r="AZ6" s="355"/>
      <c r="BA6" s="355"/>
      <c r="BB6" s="355"/>
      <c r="BC6" s="355"/>
      <c r="BD6" s="355"/>
      <c r="BE6" s="355"/>
      <c r="BF6" s="356"/>
    </row>
    <row r="7" spans="1:58" ht="14.4" customHeight="1">
      <c r="A7" s="4">
        <f>IF(B7="","",COUNTA($B$7:B7))</f>
        <v>1</v>
      </c>
      <c r="B7" s="64" t="s">
        <v>95</v>
      </c>
      <c r="C7" s="2"/>
      <c r="D7" s="2"/>
      <c r="E7" s="2"/>
      <c r="F7" s="2"/>
      <c r="G7" s="2"/>
      <c r="H7" s="2"/>
      <c r="I7" s="2"/>
      <c r="J7" s="2"/>
      <c r="K7" s="3"/>
      <c r="L7" s="64" t="s">
        <v>96</v>
      </c>
      <c r="M7" s="5"/>
      <c r="N7" s="5"/>
      <c r="O7" s="5"/>
      <c r="P7" s="5"/>
      <c r="Q7" s="5"/>
      <c r="R7" s="5"/>
      <c r="S7" s="5"/>
      <c r="T7" s="5"/>
      <c r="U7" s="5"/>
      <c r="V7" s="5"/>
      <c r="W7" s="393" t="s">
        <v>97</v>
      </c>
      <c r="X7" s="394"/>
      <c r="Y7" s="394"/>
      <c r="Z7" s="394"/>
      <c r="AA7" s="394"/>
      <c r="AB7" s="394"/>
      <c r="AC7" s="395"/>
      <c r="AD7" s="5"/>
      <c r="AE7" s="5"/>
      <c r="AF7" s="5"/>
      <c r="AG7" s="5"/>
      <c r="AH7" s="5"/>
      <c r="AI7" s="5"/>
      <c r="AJ7" s="5"/>
      <c r="AK7" s="5"/>
      <c r="AL7" s="5"/>
      <c r="AM7" s="5"/>
      <c r="AN7" s="5"/>
      <c r="AO7" s="5"/>
      <c r="AP7" s="5"/>
      <c r="AQ7" s="5"/>
      <c r="AR7" s="5"/>
      <c r="AS7" s="5"/>
      <c r="AT7" s="5"/>
      <c r="AU7" s="5"/>
      <c r="AV7" s="5"/>
      <c r="AW7" s="5"/>
      <c r="AX7" s="5"/>
      <c r="AY7" s="5"/>
      <c r="AZ7" s="5"/>
      <c r="BA7" s="5"/>
      <c r="BB7" s="5"/>
      <c r="BC7" s="5"/>
      <c r="BD7" s="5"/>
      <c r="BE7" s="5"/>
      <c r="BF7" s="6"/>
    </row>
    <row r="8" spans="1:58" ht="14.4" customHeight="1">
      <c r="A8" s="4">
        <f>IF(B8="","",COUNTA($B$7:B8))</f>
        <v>2</v>
      </c>
      <c r="B8" s="64" t="s">
        <v>98</v>
      </c>
      <c r="C8" s="2"/>
      <c r="D8" s="2"/>
      <c r="E8" s="2"/>
      <c r="F8" s="2"/>
      <c r="G8" s="2"/>
      <c r="H8" s="2"/>
      <c r="I8" s="2"/>
      <c r="J8" s="2"/>
      <c r="K8" s="3"/>
      <c r="L8" s="64" t="s">
        <v>99</v>
      </c>
      <c r="M8" s="5"/>
      <c r="N8" s="5"/>
      <c r="O8" s="5"/>
      <c r="P8" s="5"/>
      <c r="Q8" s="5"/>
      <c r="R8" s="5"/>
      <c r="S8" s="5"/>
      <c r="T8" s="5"/>
      <c r="U8" s="5"/>
      <c r="V8" s="5"/>
      <c r="W8" s="393" t="s">
        <v>97</v>
      </c>
      <c r="X8" s="394"/>
      <c r="Y8" s="394"/>
      <c r="Z8" s="394"/>
      <c r="AA8" s="394"/>
      <c r="AB8" s="394"/>
      <c r="AC8" s="395"/>
      <c r="AD8" s="5"/>
      <c r="AE8" s="5"/>
      <c r="AF8" s="5"/>
      <c r="AG8" s="5"/>
      <c r="AH8" s="5"/>
      <c r="AI8" s="5"/>
      <c r="AJ8" s="5"/>
      <c r="AK8" s="5"/>
      <c r="AL8" s="5"/>
      <c r="AM8" s="5"/>
      <c r="AN8" s="5"/>
      <c r="AO8" s="5"/>
      <c r="AP8" s="5"/>
      <c r="AQ8" s="5"/>
      <c r="AR8" s="5"/>
      <c r="AS8" s="5"/>
      <c r="AT8" s="5"/>
      <c r="AU8" s="5"/>
      <c r="AV8" s="5"/>
      <c r="AW8" s="5"/>
      <c r="AX8" s="5"/>
      <c r="AY8" s="5"/>
      <c r="AZ8" s="5"/>
      <c r="BA8" s="5"/>
      <c r="BB8" s="5"/>
      <c r="BC8" s="5"/>
      <c r="BD8" s="5"/>
      <c r="BE8" s="5"/>
      <c r="BF8" s="6"/>
    </row>
    <row r="9" spans="1:58" ht="14.4" customHeight="1">
      <c r="A9" s="4">
        <f>IF(B9="","",COUNTA($B$7:B9))</f>
        <v>3</v>
      </c>
      <c r="B9" s="64" t="s">
        <v>100</v>
      </c>
      <c r="C9" s="5"/>
      <c r="D9" s="5"/>
      <c r="E9" s="5"/>
      <c r="F9" s="5"/>
      <c r="G9" s="5"/>
      <c r="H9" s="5"/>
      <c r="I9" s="5"/>
      <c r="J9" s="5"/>
      <c r="K9" s="6"/>
      <c r="L9" s="64" t="s">
        <v>101</v>
      </c>
      <c r="M9" s="5"/>
      <c r="N9" s="5"/>
      <c r="O9" s="5"/>
      <c r="P9" s="5"/>
      <c r="Q9" s="5"/>
      <c r="R9" s="5"/>
      <c r="S9" s="5"/>
      <c r="T9" s="5"/>
      <c r="U9" s="5"/>
      <c r="V9" s="5"/>
      <c r="W9" s="393" t="s">
        <v>97</v>
      </c>
      <c r="X9" s="394"/>
      <c r="Y9" s="394"/>
      <c r="Z9" s="394"/>
      <c r="AA9" s="394"/>
      <c r="AB9" s="394"/>
      <c r="AC9" s="395"/>
      <c r="AD9" s="5"/>
      <c r="AE9" s="5"/>
      <c r="AF9" s="5"/>
      <c r="AG9" s="5"/>
      <c r="AH9" s="5"/>
      <c r="AI9" s="5"/>
      <c r="AJ9" s="5"/>
      <c r="AK9" s="5"/>
      <c r="AL9" s="5"/>
      <c r="AM9" s="5"/>
      <c r="AN9" s="5"/>
      <c r="AO9" s="5"/>
      <c r="AP9" s="5"/>
      <c r="AQ9" s="5"/>
      <c r="AR9" s="5"/>
      <c r="AS9" s="5"/>
      <c r="AT9" s="5"/>
      <c r="AU9" s="5"/>
      <c r="AV9" s="5"/>
      <c r="AW9" s="5"/>
      <c r="AX9" s="5"/>
      <c r="AY9" s="5"/>
      <c r="AZ9" s="5"/>
      <c r="BA9" s="5"/>
      <c r="BB9" s="5"/>
      <c r="BC9" s="5"/>
      <c r="BD9" s="5"/>
      <c r="BE9" s="5"/>
      <c r="BF9" s="6"/>
    </row>
    <row r="10" spans="1:58" ht="14.4" customHeight="1">
      <c r="A10" s="4">
        <f>IF(B10="","",COUNTA($B$7:B10))</f>
        <v>4</v>
      </c>
      <c r="B10" s="64" t="s">
        <v>102</v>
      </c>
      <c r="C10" s="5"/>
      <c r="D10" s="5"/>
      <c r="E10" s="5"/>
      <c r="F10" s="5"/>
      <c r="G10" s="5"/>
      <c r="H10" s="5"/>
      <c r="I10" s="5"/>
      <c r="J10" s="5"/>
      <c r="K10" s="6"/>
      <c r="L10" s="64" t="s">
        <v>103</v>
      </c>
      <c r="M10" s="5"/>
      <c r="N10" s="5"/>
      <c r="O10" s="5"/>
      <c r="P10" s="5"/>
      <c r="Q10" s="5"/>
      <c r="R10" s="5"/>
      <c r="S10" s="5"/>
      <c r="T10" s="5"/>
      <c r="U10" s="5"/>
      <c r="V10" s="5"/>
      <c r="W10" s="393" t="s">
        <v>97</v>
      </c>
      <c r="X10" s="394"/>
      <c r="Y10" s="394"/>
      <c r="Z10" s="394"/>
      <c r="AA10" s="394"/>
      <c r="AB10" s="394"/>
      <c r="AC10" s="395"/>
      <c r="AD10" s="5"/>
      <c r="AE10" s="5"/>
      <c r="AF10" s="5"/>
      <c r="AG10" s="5"/>
      <c r="AH10" s="5"/>
      <c r="AI10" s="5"/>
      <c r="AJ10" s="5"/>
      <c r="AK10" s="5"/>
      <c r="AL10" s="5"/>
      <c r="AM10" s="5"/>
      <c r="AN10" s="5"/>
      <c r="AO10" s="5"/>
      <c r="AP10" s="5"/>
      <c r="AQ10" s="5"/>
      <c r="AR10" s="5"/>
      <c r="AS10" s="5"/>
      <c r="AT10" s="5"/>
      <c r="AU10" s="5"/>
      <c r="AV10" s="5"/>
      <c r="AW10" s="5"/>
      <c r="AX10" s="5"/>
      <c r="AY10" s="5"/>
      <c r="AZ10" s="5"/>
      <c r="BA10" s="5"/>
      <c r="BB10" s="5"/>
      <c r="BC10" s="5"/>
      <c r="BD10" s="5"/>
      <c r="BE10" s="5"/>
      <c r="BF10" s="6"/>
    </row>
    <row r="11" spans="1:58" ht="14.4" customHeight="1">
      <c r="A11" s="4">
        <f>IF(B11="","",COUNTA($B$7:B11))</f>
        <v>5</v>
      </c>
      <c r="B11" s="64" t="s">
        <v>104</v>
      </c>
      <c r="C11" s="5"/>
      <c r="D11" s="5"/>
      <c r="E11" s="5"/>
      <c r="F11" s="5"/>
      <c r="G11" s="5"/>
      <c r="H11" s="5"/>
      <c r="I11" s="5"/>
      <c r="J11" s="5"/>
      <c r="K11" s="6"/>
      <c r="L11" s="64" t="s">
        <v>105</v>
      </c>
      <c r="M11" s="5"/>
      <c r="N11" s="5"/>
      <c r="O11" s="5"/>
      <c r="P11" s="5"/>
      <c r="Q11" s="5"/>
      <c r="R11" s="5"/>
      <c r="S11" s="5"/>
      <c r="T11" s="5"/>
      <c r="U11" s="5"/>
      <c r="V11" s="5"/>
      <c r="W11" s="393" t="s">
        <v>97</v>
      </c>
      <c r="X11" s="394"/>
      <c r="Y11" s="394"/>
      <c r="Z11" s="394"/>
      <c r="AA11" s="394"/>
      <c r="AB11" s="394"/>
      <c r="AC11" s="395"/>
      <c r="AD11" s="5"/>
      <c r="AE11" s="5"/>
      <c r="AF11" s="5"/>
      <c r="AG11" s="5"/>
      <c r="AH11" s="5"/>
      <c r="AI11" s="5"/>
      <c r="AJ11" s="5"/>
      <c r="AK11" s="5"/>
      <c r="AL11" s="5"/>
      <c r="AM11" s="5"/>
      <c r="AN11" s="5"/>
      <c r="AO11" s="5"/>
      <c r="AP11" s="5"/>
      <c r="AQ11" s="5"/>
      <c r="AR11" s="5"/>
      <c r="AS11" s="5"/>
      <c r="AT11" s="5"/>
      <c r="AU11" s="5"/>
      <c r="AV11" s="5"/>
      <c r="AW11" s="5"/>
      <c r="AX11" s="5"/>
      <c r="AY11" s="5"/>
      <c r="AZ11" s="5"/>
      <c r="BA11" s="5"/>
      <c r="BB11" s="5"/>
      <c r="BC11" s="5"/>
      <c r="BD11" s="5"/>
      <c r="BE11" s="5"/>
      <c r="BF11" s="6"/>
    </row>
    <row r="12" spans="1:58" ht="14.4" customHeight="1">
      <c r="A12" s="4">
        <f>IF(B12="","",COUNTA($B$7:B12))</f>
        <v>6</v>
      </c>
      <c r="B12" s="64" t="s">
        <v>106</v>
      </c>
      <c r="C12" s="5"/>
      <c r="D12" s="5"/>
      <c r="E12" s="5"/>
      <c r="F12" s="5"/>
      <c r="G12" s="5"/>
      <c r="H12" s="5"/>
      <c r="I12" s="5"/>
      <c r="J12" s="5"/>
      <c r="K12" s="6"/>
      <c r="L12" s="64" t="s">
        <v>107</v>
      </c>
      <c r="M12" s="5"/>
      <c r="N12" s="5"/>
      <c r="O12" s="5"/>
      <c r="P12" s="5"/>
      <c r="Q12" s="5"/>
      <c r="R12" s="5"/>
      <c r="S12" s="5"/>
      <c r="T12" s="5"/>
      <c r="U12" s="5"/>
      <c r="V12" s="5"/>
      <c r="W12" s="393" t="s">
        <v>97</v>
      </c>
      <c r="X12" s="394"/>
      <c r="Y12" s="394"/>
      <c r="Z12" s="394"/>
      <c r="AA12" s="394"/>
      <c r="AB12" s="394"/>
      <c r="AC12" s="395"/>
      <c r="AD12" s="5"/>
      <c r="AE12" s="5"/>
      <c r="AF12" s="5"/>
      <c r="AG12" s="5"/>
      <c r="AH12" s="5"/>
      <c r="AI12" s="5"/>
      <c r="AJ12" s="5"/>
      <c r="AK12" s="5"/>
      <c r="AL12" s="5"/>
      <c r="AM12" s="5"/>
      <c r="AN12" s="5"/>
      <c r="AO12" s="5"/>
      <c r="AP12" s="5"/>
      <c r="AQ12" s="5"/>
      <c r="AR12" s="5"/>
      <c r="AS12" s="5"/>
      <c r="AT12" s="5"/>
      <c r="AU12" s="5"/>
      <c r="AV12" s="5"/>
      <c r="AW12" s="5"/>
      <c r="AX12" s="5"/>
      <c r="AY12" s="5"/>
      <c r="AZ12" s="5"/>
      <c r="BA12" s="5"/>
      <c r="BB12" s="5"/>
      <c r="BC12" s="5"/>
      <c r="BD12" s="5"/>
      <c r="BE12" s="5"/>
      <c r="BF12" s="6"/>
    </row>
    <row r="13" spans="1:58" ht="14.4" customHeight="1">
      <c r="A13" s="4">
        <f>IF(B13="","",COUNTA($B$7:B13))</f>
        <v>7</v>
      </c>
      <c r="B13" s="64" t="s">
        <v>108</v>
      </c>
      <c r="C13" s="5"/>
      <c r="D13" s="5"/>
      <c r="E13" s="5"/>
      <c r="F13" s="5"/>
      <c r="G13" s="5"/>
      <c r="H13" s="5"/>
      <c r="I13" s="5"/>
      <c r="J13" s="5"/>
      <c r="K13" s="6"/>
      <c r="L13" s="64" t="s">
        <v>109</v>
      </c>
      <c r="M13" s="5"/>
      <c r="N13" s="5"/>
      <c r="O13" s="5"/>
      <c r="P13" s="5"/>
      <c r="Q13" s="5"/>
      <c r="R13" s="5"/>
      <c r="S13" s="5"/>
      <c r="T13" s="5"/>
      <c r="U13" s="5"/>
      <c r="V13" s="5"/>
      <c r="W13" s="393" t="s">
        <v>97</v>
      </c>
      <c r="X13" s="394"/>
      <c r="Y13" s="394"/>
      <c r="Z13" s="394"/>
      <c r="AA13" s="394"/>
      <c r="AB13" s="394"/>
      <c r="AC13" s="395"/>
      <c r="AD13" s="5"/>
      <c r="AE13" s="5"/>
      <c r="AF13" s="5"/>
      <c r="AG13" s="5"/>
      <c r="AH13" s="5"/>
      <c r="AI13" s="5"/>
      <c r="AJ13" s="5"/>
      <c r="AK13" s="5"/>
      <c r="AL13" s="5"/>
      <c r="AM13" s="5"/>
      <c r="AN13" s="5"/>
      <c r="AO13" s="5"/>
      <c r="AP13" s="5"/>
      <c r="AQ13" s="5"/>
      <c r="AR13" s="5"/>
      <c r="AS13" s="5"/>
      <c r="AT13" s="5"/>
      <c r="AU13" s="5"/>
      <c r="AV13" s="5"/>
      <c r="AW13" s="5"/>
      <c r="AX13" s="5"/>
      <c r="AY13" s="5"/>
      <c r="AZ13" s="5"/>
      <c r="BA13" s="5"/>
      <c r="BB13" s="5"/>
      <c r="BC13" s="5"/>
      <c r="BD13" s="5"/>
      <c r="BE13" s="5"/>
      <c r="BF13" s="6"/>
    </row>
    <row r="14" spans="1:58" ht="14.4" customHeight="1">
      <c r="A14" s="4">
        <f>IF(B14="","",COUNTA($B$7:B14))</f>
        <v>8</v>
      </c>
      <c r="B14" s="64" t="s">
        <v>110</v>
      </c>
      <c r="C14" s="5"/>
      <c r="D14" s="5"/>
      <c r="E14" s="5"/>
      <c r="F14" s="5"/>
      <c r="G14" s="5"/>
      <c r="H14" s="5"/>
      <c r="I14" s="5"/>
      <c r="J14" s="5"/>
      <c r="K14" s="6"/>
      <c r="L14" s="64" t="s">
        <v>111</v>
      </c>
      <c r="M14" s="5"/>
      <c r="N14" s="5"/>
      <c r="O14" s="5"/>
      <c r="P14" s="5"/>
      <c r="Q14" s="5"/>
      <c r="R14" s="5"/>
      <c r="S14" s="5"/>
      <c r="T14" s="5"/>
      <c r="U14" s="5"/>
      <c r="V14" s="5"/>
      <c r="W14" s="393" t="s">
        <v>97</v>
      </c>
      <c r="X14" s="394"/>
      <c r="Y14" s="394"/>
      <c r="Z14" s="394"/>
      <c r="AA14" s="394"/>
      <c r="AB14" s="394"/>
      <c r="AC14" s="395"/>
      <c r="AD14" s="5"/>
      <c r="AE14" s="5"/>
      <c r="AF14" s="5"/>
      <c r="AG14" s="5"/>
      <c r="AH14" s="5"/>
      <c r="AI14" s="5"/>
      <c r="AJ14" s="5"/>
      <c r="AK14" s="5"/>
      <c r="AL14" s="5"/>
      <c r="AM14" s="5"/>
      <c r="AN14" s="5"/>
      <c r="AO14" s="5"/>
      <c r="AP14" s="5"/>
      <c r="AQ14" s="5"/>
      <c r="AR14" s="5"/>
      <c r="AS14" s="5"/>
      <c r="AT14" s="5"/>
      <c r="AU14" s="5"/>
      <c r="AV14" s="5"/>
      <c r="AW14" s="5"/>
      <c r="AX14" s="5"/>
      <c r="AY14" s="5"/>
      <c r="AZ14" s="5"/>
      <c r="BA14" s="5"/>
      <c r="BB14" s="5"/>
      <c r="BC14" s="5"/>
      <c r="BD14" s="5"/>
      <c r="BE14" s="5"/>
      <c r="BF14" s="6"/>
    </row>
    <row r="15" spans="1:58" ht="14.4" customHeight="1">
      <c r="A15" s="4">
        <f>IF(B15="","",COUNTA($B$7:B15))</f>
        <v>9</v>
      </c>
      <c r="B15" s="64" t="s">
        <v>112</v>
      </c>
      <c r="C15" s="5"/>
      <c r="D15" s="5"/>
      <c r="E15" s="5"/>
      <c r="F15" s="5"/>
      <c r="G15" s="5"/>
      <c r="H15" s="5"/>
      <c r="I15" s="5"/>
      <c r="J15" s="5"/>
      <c r="K15" s="6"/>
      <c r="L15" s="4" t="s">
        <v>113</v>
      </c>
      <c r="M15" s="5"/>
      <c r="N15" s="5"/>
      <c r="O15" s="5"/>
      <c r="P15" s="5"/>
      <c r="Q15" s="5"/>
      <c r="R15" s="5"/>
      <c r="S15" s="5"/>
      <c r="T15" s="5"/>
      <c r="U15" s="5"/>
      <c r="V15" s="5"/>
      <c r="W15" s="393" t="s">
        <v>97</v>
      </c>
      <c r="X15" s="394"/>
      <c r="Y15" s="394"/>
      <c r="Z15" s="394"/>
      <c r="AA15" s="394"/>
      <c r="AB15" s="394"/>
      <c r="AC15" s="395"/>
      <c r="AD15" s="5"/>
      <c r="AE15" s="5"/>
      <c r="AF15" s="5"/>
      <c r="AG15" s="5"/>
      <c r="AH15" s="5"/>
      <c r="AI15" s="5"/>
      <c r="AJ15" s="5"/>
      <c r="AK15" s="5"/>
      <c r="AL15" s="5"/>
      <c r="AM15" s="5"/>
      <c r="AN15" s="5"/>
      <c r="AO15" s="5"/>
      <c r="AP15" s="5"/>
      <c r="AQ15" s="5"/>
      <c r="AR15" s="5"/>
      <c r="AS15" s="5"/>
      <c r="AT15" s="5"/>
      <c r="AU15" s="5"/>
      <c r="AV15" s="5"/>
      <c r="AW15" s="5"/>
      <c r="AX15" s="5"/>
      <c r="AY15" s="5"/>
      <c r="AZ15" s="5"/>
      <c r="BA15" s="5"/>
      <c r="BB15" s="5"/>
      <c r="BC15" s="5"/>
      <c r="BD15" s="5"/>
      <c r="BE15" s="5"/>
      <c r="BF15" s="6"/>
    </row>
    <row r="16" spans="1:58" ht="14.4" customHeight="1">
      <c r="A16" s="4">
        <f>IF(B16="","",COUNTA($B$7:B16))</f>
        <v>10</v>
      </c>
      <c r="B16" s="4" t="s">
        <v>114</v>
      </c>
      <c r="C16" s="5"/>
      <c r="D16" s="5"/>
      <c r="E16" s="5"/>
      <c r="F16" s="5"/>
      <c r="G16" s="5"/>
      <c r="H16" s="5"/>
      <c r="I16" s="5"/>
      <c r="J16" s="5"/>
      <c r="K16" s="6"/>
      <c r="L16" s="4" t="s">
        <v>115</v>
      </c>
      <c r="M16" s="5"/>
      <c r="N16" s="5"/>
      <c r="O16" s="5"/>
      <c r="P16" s="5"/>
      <c r="Q16" s="5"/>
      <c r="R16" s="5"/>
      <c r="S16" s="5"/>
      <c r="T16" s="5"/>
      <c r="U16" s="5"/>
      <c r="V16" s="5"/>
      <c r="W16" s="393" t="s">
        <v>97</v>
      </c>
      <c r="X16" s="394"/>
      <c r="Y16" s="394"/>
      <c r="Z16" s="394"/>
      <c r="AA16" s="394"/>
      <c r="AB16" s="394"/>
      <c r="AC16" s="395"/>
      <c r="AD16" s="5"/>
      <c r="AE16" s="5"/>
      <c r="AF16" s="5"/>
      <c r="AG16" s="5"/>
      <c r="AH16" s="5"/>
      <c r="AI16" s="5"/>
      <c r="AJ16" s="5"/>
      <c r="AK16" s="5"/>
      <c r="AL16" s="5"/>
      <c r="AM16" s="5"/>
      <c r="AN16" s="5"/>
      <c r="AO16" s="5"/>
      <c r="AP16" s="5"/>
      <c r="AQ16" s="5"/>
      <c r="AR16" s="5"/>
      <c r="AS16" s="5"/>
      <c r="AT16" s="5"/>
      <c r="AU16" s="5"/>
      <c r="AV16" s="5"/>
      <c r="AW16" s="5"/>
      <c r="AX16" s="5"/>
      <c r="AY16" s="5"/>
      <c r="AZ16" s="5"/>
      <c r="BA16" s="5"/>
      <c r="BB16" s="5"/>
      <c r="BC16" s="5"/>
      <c r="BD16" s="5"/>
      <c r="BE16" s="5"/>
      <c r="BF16" s="6"/>
    </row>
    <row r="17" spans="1:58" ht="14.4" customHeight="1">
      <c r="A17" s="4">
        <f>IF(B17="","",COUNTA($B$7:B17))</f>
        <v>11</v>
      </c>
      <c r="B17" s="64" t="s">
        <v>116</v>
      </c>
      <c r="C17" s="5"/>
      <c r="D17" s="5"/>
      <c r="E17" s="5"/>
      <c r="F17" s="5"/>
      <c r="G17" s="5"/>
      <c r="H17" s="5"/>
      <c r="I17" s="5"/>
      <c r="J17" s="5"/>
      <c r="K17" s="6"/>
      <c r="L17" s="4" t="s">
        <v>117</v>
      </c>
      <c r="M17" s="5"/>
      <c r="N17" s="5"/>
      <c r="O17" s="5"/>
      <c r="P17" s="5"/>
      <c r="Q17" s="5"/>
      <c r="R17" s="5"/>
      <c r="S17" s="5"/>
      <c r="T17" s="5"/>
      <c r="U17" s="5"/>
      <c r="V17" s="5"/>
      <c r="W17" s="393" t="s">
        <v>97</v>
      </c>
      <c r="X17" s="394"/>
      <c r="Y17" s="394"/>
      <c r="Z17" s="394"/>
      <c r="AA17" s="394"/>
      <c r="AB17" s="394"/>
      <c r="AC17" s="395"/>
      <c r="AD17" s="5"/>
      <c r="AE17" s="5"/>
      <c r="AF17" s="5"/>
      <c r="AG17" s="5"/>
      <c r="AH17" s="5"/>
      <c r="AI17" s="5"/>
      <c r="AJ17" s="5"/>
      <c r="AK17" s="5"/>
      <c r="AL17" s="5"/>
      <c r="AM17" s="5"/>
      <c r="AN17" s="5"/>
      <c r="AO17" s="5"/>
      <c r="AP17" s="5"/>
      <c r="AQ17" s="5"/>
      <c r="AR17" s="5"/>
      <c r="AS17" s="5"/>
      <c r="AT17" s="5"/>
      <c r="AU17" s="5"/>
      <c r="AV17" s="5"/>
      <c r="AW17" s="5"/>
      <c r="AX17" s="5"/>
      <c r="AY17" s="5"/>
      <c r="AZ17" s="5"/>
      <c r="BA17" s="5"/>
      <c r="BB17" s="5"/>
      <c r="BC17" s="5"/>
      <c r="BD17" s="5"/>
      <c r="BE17" s="5"/>
      <c r="BF17" s="6"/>
    </row>
    <row r="18" spans="1:58" ht="14.4" customHeight="1">
      <c r="A18" s="4">
        <f>IF(B18="","",COUNTA($B$7:B18))</f>
        <v>12</v>
      </c>
      <c r="B18" s="4" t="s">
        <v>118</v>
      </c>
      <c r="C18" s="5"/>
      <c r="D18" s="5"/>
      <c r="E18" s="5"/>
      <c r="F18" s="5"/>
      <c r="G18" s="5"/>
      <c r="H18" s="5"/>
      <c r="I18" s="5"/>
      <c r="J18" s="5"/>
      <c r="K18" s="6"/>
      <c r="L18" s="4" t="s">
        <v>119</v>
      </c>
      <c r="M18" s="5"/>
      <c r="N18" s="5"/>
      <c r="O18" s="5"/>
      <c r="P18" s="5"/>
      <c r="Q18" s="5"/>
      <c r="R18" s="5"/>
      <c r="S18" s="5"/>
      <c r="T18" s="5"/>
      <c r="U18" s="5"/>
      <c r="V18" s="5"/>
      <c r="W18" s="393" t="s">
        <v>97</v>
      </c>
      <c r="X18" s="394"/>
      <c r="Y18" s="394"/>
      <c r="Z18" s="394"/>
      <c r="AA18" s="394"/>
      <c r="AB18" s="394"/>
      <c r="AC18" s="395"/>
      <c r="AD18" s="5"/>
      <c r="AE18" s="5"/>
      <c r="AF18" s="5"/>
      <c r="AG18" s="5"/>
      <c r="AH18" s="5"/>
      <c r="AI18" s="5"/>
      <c r="AJ18" s="5"/>
      <c r="AK18" s="5"/>
      <c r="AL18" s="5"/>
      <c r="AM18" s="5"/>
      <c r="AN18" s="5"/>
      <c r="AO18" s="5"/>
      <c r="AP18" s="5"/>
      <c r="AQ18" s="5"/>
      <c r="AR18" s="5"/>
      <c r="AS18" s="5"/>
      <c r="AT18" s="5"/>
      <c r="AU18" s="5"/>
      <c r="AV18" s="5"/>
      <c r="AW18" s="5"/>
      <c r="AX18" s="5"/>
      <c r="AY18" s="5"/>
      <c r="AZ18" s="5"/>
      <c r="BA18" s="5"/>
      <c r="BB18" s="5"/>
      <c r="BC18" s="5"/>
      <c r="BD18" s="5"/>
      <c r="BE18" s="5"/>
      <c r="BF18" s="6"/>
    </row>
    <row r="19" spans="1:58" ht="14.4" customHeight="1">
      <c r="A19" s="4">
        <f>IF(B19="","",COUNTA($B$7:B19))</f>
        <v>13</v>
      </c>
      <c r="B19" s="64" t="s">
        <v>120</v>
      </c>
      <c r="C19" s="5"/>
      <c r="D19" s="5"/>
      <c r="E19" s="5"/>
      <c r="F19" s="5"/>
      <c r="G19" s="5"/>
      <c r="H19" s="5"/>
      <c r="I19" s="5"/>
      <c r="J19" s="5"/>
      <c r="K19" s="6"/>
      <c r="L19" s="4" t="s">
        <v>121</v>
      </c>
      <c r="M19" s="5"/>
      <c r="N19" s="5"/>
      <c r="O19" s="5"/>
      <c r="P19" s="5"/>
      <c r="Q19" s="5"/>
      <c r="R19" s="5"/>
      <c r="S19" s="5"/>
      <c r="T19" s="5"/>
      <c r="U19" s="5"/>
      <c r="V19" s="5"/>
      <c r="W19" s="393" t="s">
        <v>97</v>
      </c>
      <c r="X19" s="394"/>
      <c r="Y19" s="394"/>
      <c r="Z19" s="394"/>
      <c r="AA19" s="394"/>
      <c r="AB19" s="394"/>
      <c r="AC19" s="395"/>
      <c r="AD19" s="5"/>
      <c r="AE19" s="5"/>
      <c r="AF19" s="5"/>
      <c r="AG19" s="5"/>
      <c r="AH19" s="5"/>
      <c r="AI19" s="5"/>
      <c r="AJ19" s="5"/>
      <c r="AK19" s="5"/>
      <c r="AL19" s="5"/>
      <c r="AM19" s="5"/>
      <c r="AN19" s="5"/>
      <c r="AO19" s="5"/>
      <c r="AP19" s="5"/>
      <c r="AQ19" s="5"/>
      <c r="AR19" s="5"/>
      <c r="AS19" s="5"/>
      <c r="AT19" s="5"/>
      <c r="AU19" s="5"/>
      <c r="AV19" s="5"/>
      <c r="AW19" s="5"/>
      <c r="AX19" s="5"/>
      <c r="AY19" s="5"/>
      <c r="AZ19" s="5"/>
      <c r="BA19" s="5"/>
      <c r="BB19" s="5"/>
      <c r="BC19" s="5"/>
      <c r="BD19" s="5"/>
      <c r="BE19" s="5"/>
      <c r="BF19" s="6"/>
    </row>
    <row r="20" spans="1:58" ht="14.4" customHeight="1">
      <c r="A20" s="4">
        <f>IF(B20="","",COUNTA($B$7:B20))</f>
        <v>14</v>
      </c>
      <c r="B20" s="4" t="s">
        <v>122</v>
      </c>
      <c r="C20" s="5"/>
      <c r="D20" s="5"/>
      <c r="E20" s="5"/>
      <c r="F20" s="5"/>
      <c r="G20" s="5"/>
      <c r="H20" s="5"/>
      <c r="I20" s="5"/>
      <c r="J20" s="5"/>
      <c r="K20" s="6"/>
      <c r="L20" s="4" t="s">
        <v>123</v>
      </c>
      <c r="M20" s="5"/>
      <c r="N20" s="5"/>
      <c r="O20" s="5"/>
      <c r="P20" s="5"/>
      <c r="Q20" s="5"/>
      <c r="R20" s="5"/>
      <c r="S20" s="5"/>
      <c r="T20" s="5"/>
      <c r="U20" s="5"/>
      <c r="V20" s="5"/>
      <c r="W20" s="393" t="s">
        <v>97</v>
      </c>
      <c r="X20" s="394"/>
      <c r="Y20" s="394"/>
      <c r="Z20" s="394"/>
      <c r="AA20" s="394"/>
      <c r="AB20" s="394"/>
      <c r="AC20" s="395"/>
      <c r="AD20" s="5"/>
      <c r="AE20" s="5"/>
      <c r="AF20" s="5"/>
      <c r="AG20" s="5"/>
      <c r="AH20" s="5"/>
      <c r="AI20" s="5"/>
      <c r="AJ20" s="5"/>
      <c r="AK20" s="5"/>
      <c r="AL20" s="5"/>
      <c r="AM20" s="5"/>
      <c r="AN20" s="5"/>
      <c r="AO20" s="5"/>
      <c r="AP20" s="5"/>
      <c r="AQ20" s="5"/>
      <c r="AR20" s="5"/>
      <c r="AS20" s="5"/>
      <c r="AT20" s="5"/>
      <c r="AU20" s="5"/>
      <c r="AV20" s="5"/>
      <c r="AW20" s="5"/>
      <c r="AX20" s="5"/>
      <c r="AY20" s="5"/>
      <c r="AZ20" s="5"/>
      <c r="BA20" s="5"/>
      <c r="BB20" s="5"/>
      <c r="BC20" s="5"/>
      <c r="BD20" s="5"/>
      <c r="BE20" s="5"/>
      <c r="BF20" s="6"/>
    </row>
    <row r="21" spans="1:58" ht="14.4" customHeight="1">
      <c r="A21" s="4">
        <f>IF(B21="","",COUNTA($B$7:B21))</f>
        <v>15</v>
      </c>
      <c r="B21" s="64" t="s">
        <v>76</v>
      </c>
      <c r="C21" s="5"/>
      <c r="D21" s="5"/>
      <c r="E21" s="5"/>
      <c r="F21" s="5"/>
      <c r="G21" s="5"/>
      <c r="H21" s="5"/>
      <c r="I21" s="5"/>
      <c r="J21" s="5"/>
      <c r="K21" s="6"/>
      <c r="L21" s="4" t="s">
        <v>124</v>
      </c>
      <c r="M21" s="5"/>
      <c r="N21" s="5"/>
      <c r="O21" s="5"/>
      <c r="P21" s="5"/>
      <c r="Q21" s="5"/>
      <c r="R21" s="5"/>
      <c r="S21" s="5"/>
      <c r="T21" s="5"/>
      <c r="U21" s="5"/>
      <c r="V21" s="5"/>
      <c r="W21" s="393" t="s">
        <v>97</v>
      </c>
      <c r="X21" s="394"/>
      <c r="Y21" s="394"/>
      <c r="Z21" s="394"/>
      <c r="AA21" s="394"/>
      <c r="AB21" s="394"/>
      <c r="AC21" s="395"/>
      <c r="AD21" s="5"/>
      <c r="AE21" s="5"/>
      <c r="AF21" s="5"/>
      <c r="AG21" s="5"/>
      <c r="AH21" s="5"/>
      <c r="AI21" s="5"/>
      <c r="AJ21" s="5"/>
      <c r="AK21" s="5"/>
      <c r="AL21" s="5"/>
      <c r="AM21" s="5"/>
      <c r="AN21" s="5"/>
      <c r="AO21" s="5"/>
      <c r="AP21" s="5"/>
      <c r="AQ21" s="5"/>
      <c r="AR21" s="5"/>
      <c r="AS21" s="5"/>
      <c r="AT21" s="5"/>
      <c r="AU21" s="5"/>
      <c r="AV21" s="5"/>
      <c r="AW21" s="5"/>
      <c r="AX21" s="5"/>
      <c r="AY21" s="5"/>
      <c r="AZ21" s="5"/>
      <c r="BA21" s="5"/>
      <c r="BB21" s="5"/>
      <c r="BC21" s="5"/>
      <c r="BD21" s="5"/>
      <c r="BE21" s="5"/>
      <c r="BF21" s="6"/>
    </row>
    <row r="22" spans="1:58" ht="14.4" customHeight="1">
      <c r="A22" s="4">
        <f>IF(B22="","",COUNTA($B$7:B22))</f>
        <v>16</v>
      </c>
      <c r="B22" s="4" t="s">
        <v>125</v>
      </c>
      <c r="C22" s="5"/>
      <c r="D22" s="5"/>
      <c r="E22" s="5"/>
      <c r="F22" s="5"/>
      <c r="G22" s="5"/>
      <c r="H22" s="5"/>
      <c r="I22" s="5"/>
      <c r="J22" s="5"/>
      <c r="K22" s="6"/>
      <c r="L22" s="4" t="s">
        <v>126</v>
      </c>
      <c r="M22" s="5"/>
      <c r="N22" s="5"/>
      <c r="O22" s="5"/>
      <c r="P22" s="5"/>
      <c r="Q22" s="5"/>
      <c r="R22" s="5"/>
      <c r="S22" s="5"/>
      <c r="T22" s="5"/>
      <c r="U22" s="5"/>
      <c r="V22" s="5"/>
      <c r="W22" s="393" t="s">
        <v>97</v>
      </c>
      <c r="X22" s="394"/>
      <c r="Y22" s="394"/>
      <c r="Z22" s="394"/>
      <c r="AA22" s="394"/>
      <c r="AB22" s="394"/>
      <c r="AC22" s="395"/>
      <c r="AD22" s="5"/>
      <c r="AE22" s="5"/>
      <c r="AF22" s="5"/>
      <c r="AG22" s="5"/>
      <c r="AH22" s="5"/>
      <c r="AI22" s="5"/>
      <c r="AJ22" s="5"/>
      <c r="AK22" s="5"/>
      <c r="AL22" s="5"/>
      <c r="AM22" s="5"/>
      <c r="AN22" s="5"/>
      <c r="AO22" s="5"/>
      <c r="AP22" s="5"/>
      <c r="AQ22" s="5"/>
      <c r="AR22" s="5"/>
      <c r="AS22" s="5"/>
      <c r="AT22" s="5"/>
      <c r="AU22" s="5"/>
      <c r="AV22" s="5"/>
      <c r="AW22" s="5"/>
      <c r="AX22" s="5"/>
      <c r="AY22" s="5"/>
      <c r="AZ22" s="5"/>
      <c r="BA22" s="5"/>
      <c r="BB22" s="5"/>
      <c r="BC22" s="5"/>
      <c r="BD22" s="5"/>
      <c r="BE22" s="5"/>
      <c r="BF22" s="6"/>
    </row>
    <row r="23" spans="1:58" ht="14.4" customHeight="1">
      <c r="A23" s="4">
        <f>IF(B23="","",COUNTA($B$7:B23))</f>
        <v>17</v>
      </c>
      <c r="B23" s="144" t="s">
        <v>127</v>
      </c>
      <c r="C23" s="149"/>
      <c r="D23" s="149"/>
      <c r="E23" s="149"/>
      <c r="F23" s="149"/>
      <c r="G23" s="149"/>
      <c r="H23" s="149"/>
      <c r="I23" s="149"/>
      <c r="J23" s="149"/>
      <c r="K23" s="151"/>
      <c r="L23" s="144" t="s">
        <v>128</v>
      </c>
      <c r="M23" s="149"/>
      <c r="N23" s="149"/>
      <c r="O23" s="149"/>
      <c r="P23" s="149"/>
      <c r="Q23" s="149"/>
      <c r="R23" s="149"/>
      <c r="S23" s="149"/>
      <c r="T23" s="149"/>
      <c r="U23" s="149"/>
      <c r="V23" s="149"/>
      <c r="W23" s="396" t="s">
        <v>97</v>
      </c>
      <c r="X23" s="397"/>
      <c r="Y23" s="397"/>
      <c r="Z23" s="397"/>
      <c r="AA23" s="397"/>
      <c r="AB23" s="397"/>
      <c r="AC23" s="398"/>
      <c r="AD23" s="149"/>
      <c r="AE23" s="149"/>
      <c r="AF23" s="149"/>
      <c r="AG23" s="149"/>
      <c r="AH23" s="149"/>
      <c r="AI23" s="149"/>
      <c r="AJ23" s="149"/>
      <c r="AK23" s="149"/>
      <c r="AL23" s="149"/>
      <c r="AM23" s="149"/>
      <c r="AN23" s="149"/>
      <c r="AO23" s="149"/>
      <c r="AP23" s="149"/>
      <c r="AQ23" s="149"/>
      <c r="AR23" s="149"/>
      <c r="AS23" s="149"/>
      <c r="AT23" s="149"/>
      <c r="AU23" s="149"/>
      <c r="AV23" s="149"/>
      <c r="AW23" s="149"/>
      <c r="AX23" s="149"/>
      <c r="AY23" s="149"/>
      <c r="AZ23" s="149"/>
      <c r="BA23" s="149"/>
      <c r="BB23" s="149"/>
      <c r="BC23" s="149"/>
      <c r="BD23" s="149"/>
      <c r="BE23" s="149"/>
      <c r="BF23" s="151"/>
    </row>
    <row r="24" spans="1:58" ht="14.4" customHeight="1">
      <c r="A24" s="4">
        <f>IF(B24="","",COUNTA($B$7:B24))</f>
        <v>18</v>
      </c>
      <c r="B24" s="144" t="s">
        <v>129</v>
      </c>
      <c r="C24" s="149"/>
      <c r="D24" s="149"/>
      <c r="E24" s="149"/>
      <c r="F24" s="149"/>
      <c r="G24" s="149"/>
      <c r="H24" s="149"/>
      <c r="I24" s="149"/>
      <c r="J24" s="149"/>
      <c r="K24" s="151"/>
      <c r="L24" s="144" t="s">
        <v>130</v>
      </c>
      <c r="M24" s="149"/>
      <c r="N24" s="149"/>
      <c r="O24" s="149"/>
      <c r="P24" s="149"/>
      <c r="Q24" s="149"/>
      <c r="R24" s="149"/>
      <c r="S24" s="149"/>
      <c r="T24" s="149"/>
      <c r="U24" s="149"/>
      <c r="V24" s="149"/>
      <c r="W24" s="396" t="s">
        <v>97</v>
      </c>
      <c r="X24" s="397"/>
      <c r="Y24" s="397"/>
      <c r="Z24" s="397"/>
      <c r="AA24" s="397"/>
      <c r="AB24" s="397"/>
      <c r="AC24" s="398"/>
      <c r="AD24" s="149"/>
      <c r="AE24" s="149"/>
      <c r="AF24" s="149"/>
      <c r="AG24" s="149"/>
      <c r="AH24" s="149"/>
      <c r="AI24" s="149"/>
      <c r="AJ24" s="149"/>
      <c r="AK24" s="149"/>
      <c r="AL24" s="149"/>
      <c r="AM24" s="149"/>
      <c r="AN24" s="149"/>
      <c r="AO24" s="149"/>
      <c r="AP24" s="149"/>
      <c r="AQ24" s="149"/>
      <c r="AR24" s="149"/>
      <c r="AS24" s="149"/>
      <c r="AT24" s="149"/>
      <c r="AU24" s="149"/>
      <c r="AV24" s="149"/>
      <c r="AW24" s="149"/>
      <c r="AX24" s="149"/>
      <c r="AY24" s="149"/>
      <c r="AZ24" s="149"/>
      <c r="BA24" s="149"/>
      <c r="BB24" s="149"/>
      <c r="BC24" s="149"/>
      <c r="BD24" s="149"/>
      <c r="BE24" s="149"/>
      <c r="BF24" s="151"/>
    </row>
    <row r="25" spans="1:58" ht="14.4" customHeight="1">
      <c r="A25" s="4">
        <f>IF(B25="","",COUNTA($B$7:B25))</f>
        <v>19</v>
      </c>
      <c r="B25" s="144" t="s">
        <v>131</v>
      </c>
      <c r="C25" s="149"/>
      <c r="D25" s="149"/>
      <c r="E25" s="149"/>
      <c r="F25" s="149"/>
      <c r="G25" s="149"/>
      <c r="H25" s="149"/>
      <c r="I25" s="149"/>
      <c r="J25" s="149"/>
      <c r="K25" s="151"/>
      <c r="L25" s="144" t="s">
        <v>132</v>
      </c>
      <c r="M25" s="149"/>
      <c r="N25" s="149"/>
      <c r="O25" s="149"/>
      <c r="P25" s="149"/>
      <c r="Q25" s="149"/>
      <c r="R25" s="149"/>
      <c r="S25" s="149"/>
      <c r="T25" s="149"/>
      <c r="U25" s="149"/>
      <c r="V25" s="149"/>
      <c r="W25" s="396" t="s">
        <v>97</v>
      </c>
      <c r="X25" s="397"/>
      <c r="Y25" s="397"/>
      <c r="Z25" s="397"/>
      <c r="AA25" s="397"/>
      <c r="AB25" s="397"/>
      <c r="AC25" s="398"/>
      <c r="AD25" s="149"/>
      <c r="AE25" s="149"/>
      <c r="AF25" s="149"/>
      <c r="AG25" s="149"/>
      <c r="AH25" s="149"/>
      <c r="AI25" s="149"/>
      <c r="AJ25" s="149"/>
      <c r="AK25" s="149"/>
      <c r="AL25" s="149"/>
      <c r="AM25" s="149"/>
      <c r="AN25" s="149"/>
      <c r="AO25" s="149"/>
      <c r="AP25" s="149"/>
      <c r="AQ25" s="149"/>
      <c r="AR25" s="149"/>
      <c r="AS25" s="149"/>
      <c r="AT25" s="149"/>
      <c r="AU25" s="149"/>
      <c r="AV25" s="149"/>
      <c r="AW25" s="149"/>
      <c r="AX25" s="149"/>
      <c r="AY25" s="149"/>
      <c r="AZ25" s="149"/>
      <c r="BA25" s="149"/>
      <c r="BB25" s="149"/>
      <c r="BC25" s="149"/>
      <c r="BD25" s="149"/>
      <c r="BE25" s="149"/>
      <c r="BF25" s="151"/>
    </row>
    <row r="26" spans="1:58" ht="14.4" customHeight="1">
      <c r="A26" s="4">
        <f>IF(B26="","",COUNTA($B$7:B26))</f>
        <v>20</v>
      </c>
      <c r="B26" s="4" t="s">
        <v>133</v>
      </c>
      <c r="C26" s="5"/>
      <c r="D26" s="5"/>
      <c r="E26" s="5"/>
      <c r="F26" s="5"/>
      <c r="G26" s="5"/>
      <c r="H26" s="5"/>
      <c r="I26" s="5"/>
      <c r="J26" s="5"/>
      <c r="K26" s="6"/>
      <c r="L26" s="4" t="s">
        <v>134</v>
      </c>
      <c r="M26" s="5"/>
      <c r="N26" s="5"/>
      <c r="O26" s="5"/>
      <c r="P26" s="5"/>
      <c r="Q26" s="5"/>
      <c r="R26" s="5"/>
      <c r="S26" s="5"/>
      <c r="T26" s="5"/>
      <c r="U26" s="5"/>
      <c r="V26" s="5"/>
      <c r="W26" s="393" t="s">
        <v>97</v>
      </c>
      <c r="X26" s="394"/>
      <c r="Y26" s="394"/>
      <c r="Z26" s="394"/>
      <c r="AA26" s="394"/>
      <c r="AB26" s="394"/>
      <c r="AC26" s="395"/>
      <c r="AD26" s="5"/>
      <c r="AE26" s="5"/>
      <c r="AF26" s="5"/>
      <c r="AG26" s="5"/>
      <c r="AH26" s="5"/>
      <c r="AI26" s="5"/>
      <c r="AJ26" s="5"/>
      <c r="AK26" s="5"/>
      <c r="AL26" s="5"/>
      <c r="AM26" s="5"/>
      <c r="AN26" s="5"/>
      <c r="AO26" s="5"/>
      <c r="AP26" s="5"/>
      <c r="AQ26" s="5"/>
      <c r="AR26" s="5"/>
      <c r="AS26" s="5"/>
      <c r="AT26" s="5"/>
      <c r="AU26" s="5"/>
      <c r="AV26" s="5"/>
      <c r="AW26" s="5"/>
      <c r="AX26" s="5"/>
      <c r="AY26" s="5"/>
      <c r="AZ26" s="5"/>
      <c r="BA26" s="5"/>
      <c r="BB26" s="5"/>
      <c r="BC26" s="5"/>
      <c r="BD26" s="5"/>
      <c r="BE26" s="5"/>
      <c r="BF26" s="6"/>
    </row>
    <row r="27" spans="1:58" ht="14.4" customHeight="1">
      <c r="A27" s="4">
        <f>IF(B27="","",COUNTA($B$7:B27))</f>
        <v>21</v>
      </c>
      <c r="B27" s="64" t="s">
        <v>1430</v>
      </c>
      <c r="C27" s="2"/>
      <c r="D27" s="2"/>
      <c r="E27" s="2"/>
      <c r="F27" s="2"/>
      <c r="G27" s="2"/>
      <c r="H27" s="2"/>
      <c r="I27" s="2"/>
      <c r="J27" s="2"/>
      <c r="K27" s="3"/>
      <c r="L27" s="4" t="s">
        <v>1431</v>
      </c>
      <c r="M27" s="5"/>
      <c r="N27" s="5"/>
      <c r="O27" s="5"/>
      <c r="P27" s="5"/>
      <c r="Q27" s="5"/>
      <c r="R27" s="5"/>
      <c r="S27" s="5"/>
      <c r="T27" s="5"/>
      <c r="U27" s="5"/>
      <c r="V27" s="5"/>
      <c r="W27" s="393" t="s">
        <v>97</v>
      </c>
      <c r="X27" s="394"/>
      <c r="Y27" s="394"/>
      <c r="Z27" s="394"/>
      <c r="AA27" s="394"/>
      <c r="AB27" s="394"/>
      <c r="AC27" s="395"/>
      <c r="AD27" s="5"/>
      <c r="AE27" s="5"/>
      <c r="AF27" s="5"/>
      <c r="AG27" s="5"/>
      <c r="AH27" s="5"/>
      <c r="AI27" s="5"/>
      <c r="AJ27" s="5"/>
      <c r="AK27" s="5"/>
      <c r="AL27" s="5"/>
      <c r="AM27" s="5"/>
      <c r="AN27" s="5"/>
      <c r="AO27" s="5"/>
      <c r="AP27" s="5"/>
      <c r="AQ27" s="5"/>
      <c r="AR27" s="5"/>
      <c r="AS27" s="5"/>
      <c r="AT27" s="5"/>
      <c r="AU27" s="5"/>
      <c r="AV27" s="5"/>
      <c r="AW27" s="5"/>
      <c r="AX27" s="5"/>
      <c r="AY27" s="5"/>
      <c r="AZ27" s="5"/>
      <c r="BA27" s="5"/>
      <c r="BB27" s="5"/>
      <c r="BC27" s="5"/>
      <c r="BD27" s="5"/>
      <c r="BE27" s="5"/>
      <c r="BF27" s="6"/>
    </row>
    <row r="28" spans="1:58" ht="14.4" customHeight="1">
      <c r="A28" s="4" t="str">
        <f>IF(B28="","",COUNTA($B$7:B28))</f>
        <v/>
      </c>
      <c r="B28" s="64"/>
      <c r="C28" s="2"/>
      <c r="D28" s="2"/>
      <c r="E28" s="2"/>
      <c r="F28" s="2"/>
      <c r="G28" s="2"/>
      <c r="H28" s="2"/>
      <c r="I28" s="2"/>
      <c r="J28" s="2"/>
      <c r="K28" s="3"/>
      <c r="L28" s="4"/>
      <c r="M28" s="5"/>
      <c r="N28" s="5"/>
      <c r="O28" s="5"/>
      <c r="P28" s="5"/>
      <c r="Q28" s="5"/>
      <c r="R28" s="5"/>
      <c r="S28" s="5"/>
      <c r="T28" s="5"/>
      <c r="U28" s="5"/>
      <c r="V28" s="5"/>
      <c r="W28" s="393"/>
      <c r="X28" s="394"/>
      <c r="Y28" s="394"/>
      <c r="Z28" s="394"/>
      <c r="AA28" s="394"/>
      <c r="AB28" s="394"/>
      <c r="AC28" s="395"/>
      <c r="AD28" s="5"/>
      <c r="AE28" s="5"/>
      <c r="AF28" s="5"/>
      <c r="AG28" s="5"/>
      <c r="AH28" s="5"/>
      <c r="AI28" s="5"/>
      <c r="AJ28" s="5"/>
      <c r="AK28" s="5"/>
      <c r="AL28" s="5"/>
      <c r="AM28" s="5"/>
      <c r="AN28" s="5"/>
      <c r="AO28" s="5"/>
      <c r="AP28" s="5"/>
      <c r="AQ28" s="5"/>
      <c r="AR28" s="5"/>
      <c r="AS28" s="5"/>
      <c r="AT28" s="5"/>
      <c r="AU28" s="5"/>
      <c r="AV28" s="5"/>
      <c r="AW28" s="5"/>
      <c r="AX28" s="5"/>
      <c r="AY28" s="5"/>
      <c r="AZ28" s="5"/>
      <c r="BA28" s="5"/>
      <c r="BB28" s="5"/>
      <c r="BC28" s="5"/>
      <c r="BD28" s="5"/>
      <c r="BE28" s="5"/>
      <c r="BF28" s="6"/>
    </row>
    <row r="29" spans="1:58" ht="14.4" customHeight="1">
      <c r="A29" s="4" t="str">
        <f>IF(B29="","",COUNTA($B$7:B29))</f>
        <v/>
      </c>
      <c r="B29" s="4"/>
      <c r="C29" s="5"/>
      <c r="D29" s="5"/>
      <c r="E29" s="5"/>
      <c r="F29" s="5"/>
      <c r="G29" s="5"/>
      <c r="H29" s="5"/>
      <c r="I29" s="5"/>
      <c r="J29" s="5"/>
      <c r="K29" s="6"/>
      <c r="L29" s="4"/>
      <c r="M29" s="5"/>
      <c r="N29" s="5"/>
      <c r="O29" s="5"/>
      <c r="P29" s="5"/>
      <c r="Q29" s="5"/>
      <c r="R29" s="5"/>
      <c r="S29" s="5"/>
      <c r="T29" s="5"/>
      <c r="U29" s="5"/>
      <c r="V29" s="5"/>
      <c r="W29" s="393"/>
      <c r="X29" s="394"/>
      <c r="Y29" s="394"/>
      <c r="Z29" s="394"/>
      <c r="AA29" s="394"/>
      <c r="AB29" s="394"/>
      <c r="AC29" s="395"/>
      <c r="AD29" s="5"/>
      <c r="AE29" s="5"/>
      <c r="AF29" s="5"/>
      <c r="AG29" s="5"/>
      <c r="AH29" s="5"/>
      <c r="AI29" s="5"/>
      <c r="AJ29" s="5"/>
      <c r="AK29" s="5"/>
      <c r="AL29" s="5"/>
      <c r="AM29" s="5"/>
      <c r="AN29" s="5"/>
      <c r="AO29" s="5"/>
      <c r="AP29" s="5"/>
      <c r="AQ29" s="5"/>
      <c r="AR29" s="5"/>
      <c r="AS29" s="5"/>
      <c r="AT29" s="5"/>
      <c r="AU29" s="5"/>
      <c r="AV29" s="5"/>
      <c r="AW29" s="5"/>
      <c r="AX29" s="5"/>
      <c r="AY29" s="5"/>
      <c r="AZ29" s="5"/>
      <c r="BA29" s="5"/>
      <c r="BB29" s="5"/>
      <c r="BC29" s="5"/>
      <c r="BD29" s="5"/>
      <c r="BE29" s="5"/>
      <c r="BF29" s="6"/>
    </row>
    <row r="30" spans="1:58" ht="14.4" customHeight="1">
      <c r="A30" s="4" t="str">
        <f>IF(B30="","",COUNTA($B$7:B30))</f>
        <v/>
      </c>
      <c r="B30" s="4"/>
      <c r="C30" s="5"/>
      <c r="D30" s="5"/>
      <c r="E30" s="5"/>
      <c r="F30" s="5"/>
      <c r="G30" s="5"/>
      <c r="H30" s="5"/>
      <c r="I30" s="5"/>
      <c r="J30" s="5"/>
      <c r="K30" s="6"/>
      <c r="L30" s="4"/>
      <c r="M30" s="5"/>
      <c r="N30" s="5"/>
      <c r="O30" s="5"/>
      <c r="P30" s="5"/>
      <c r="Q30" s="5"/>
      <c r="R30" s="5"/>
      <c r="S30" s="5"/>
      <c r="T30" s="5"/>
      <c r="U30" s="5"/>
      <c r="V30" s="5"/>
      <c r="W30" s="393"/>
      <c r="X30" s="394"/>
      <c r="Y30" s="394"/>
      <c r="Z30" s="394"/>
      <c r="AA30" s="394"/>
      <c r="AB30" s="394"/>
      <c r="AC30" s="395"/>
      <c r="AD30" s="5"/>
      <c r="AE30" s="5"/>
      <c r="AF30" s="5"/>
      <c r="AG30" s="5"/>
      <c r="AH30" s="5"/>
      <c r="AI30" s="5"/>
      <c r="AJ30" s="5"/>
      <c r="AK30" s="5"/>
      <c r="AL30" s="5"/>
      <c r="AM30" s="5"/>
      <c r="AN30" s="5"/>
      <c r="AO30" s="5"/>
      <c r="AP30" s="5"/>
      <c r="AQ30" s="5"/>
      <c r="AR30" s="5"/>
      <c r="AS30" s="5"/>
      <c r="AT30" s="5"/>
      <c r="AU30" s="5"/>
      <c r="AV30" s="5"/>
      <c r="AW30" s="5"/>
      <c r="AX30" s="5"/>
      <c r="AY30" s="5"/>
      <c r="AZ30" s="5"/>
      <c r="BA30" s="5"/>
      <c r="BB30" s="5"/>
      <c r="BC30" s="5"/>
      <c r="BD30" s="5"/>
      <c r="BE30" s="5"/>
      <c r="BF30" s="6"/>
    </row>
    <row r="31" spans="1:58" ht="14.4" customHeight="1">
      <c r="A31" s="4" t="str">
        <f>IF(B31="","",COUNTA($B$7:B31))</f>
        <v/>
      </c>
      <c r="B31" s="4"/>
      <c r="C31" s="5"/>
      <c r="D31" s="5"/>
      <c r="E31" s="5"/>
      <c r="F31" s="5"/>
      <c r="G31" s="5"/>
      <c r="H31" s="5"/>
      <c r="I31" s="5"/>
      <c r="J31" s="5"/>
      <c r="K31" s="6"/>
      <c r="L31" s="4"/>
      <c r="M31" s="5"/>
      <c r="N31" s="5"/>
      <c r="O31" s="5"/>
      <c r="P31" s="5"/>
      <c r="Q31" s="5"/>
      <c r="R31" s="5"/>
      <c r="S31" s="5"/>
      <c r="T31" s="5"/>
      <c r="U31" s="5"/>
      <c r="V31" s="5"/>
      <c r="W31" s="393"/>
      <c r="X31" s="394"/>
      <c r="Y31" s="394"/>
      <c r="Z31" s="394"/>
      <c r="AA31" s="394"/>
      <c r="AB31" s="394"/>
      <c r="AC31" s="395"/>
      <c r="AD31" s="5"/>
      <c r="AE31" s="5"/>
      <c r="AF31" s="5"/>
      <c r="AG31" s="5"/>
      <c r="AH31" s="5"/>
      <c r="AI31" s="5"/>
      <c r="AJ31" s="5"/>
      <c r="AK31" s="5"/>
      <c r="AL31" s="5"/>
      <c r="AM31" s="5"/>
      <c r="AN31" s="5"/>
      <c r="AO31" s="5"/>
      <c r="AP31" s="5"/>
      <c r="AQ31" s="5"/>
      <c r="AR31" s="5"/>
      <c r="AS31" s="5"/>
      <c r="AT31" s="5"/>
      <c r="AU31" s="5"/>
      <c r="AV31" s="5"/>
      <c r="AW31" s="5"/>
      <c r="AX31" s="5"/>
      <c r="AY31" s="5"/>
      <c r="AZ31" s="5"/>
      <c r="BA31" s="5"/>
      <c r="BB31" s="5"/>
      <c r="BC31" s="5"/>
      <c r="BD31" s="5"/>
      <c r="BE31" s="5"/>
      <c r="BF31" s="6"/>
    </row>
    <row r="32" spans="1:58" ht="14.4" customHeight="1">
      <c r="A32" s="4" t="str">
        <f>IF(B32="","",COUNTA($B$7:B32))</f>
        <v/>
      </c>
      <c r="B32" s="4"/>
      <c r="C32" s="5"/>
      <c r="D32" s="5"/>
      <c r="E32" s="5"/>
      <c r="F32" s="5"/>
      <c r="G32" s="5"/>
      <c r="H32" s="5"/>
      <c r="I32" s="5"/>
      <c r="J32" s="5"/>
      <c r="K32" s="6"/>
      <c r="L32" s="4"/>
      <c r="M32" s="5"/>
      <c r="N32" s="5"/>
      <c r="O32" s="5"/>
      <c r="P32" s="5"/>
      <c r="Q32" s="5"/>
      <c r="R32" s="5"/>
      <c r="S32" s="5"/>
      <c r="T32" s="5"/>
      <c r="U32" s="5"/>
      <c r="V32" s="5"/>
      <c r="W32" s="393"/>
      <c r="X32" s="394"/>
      <c r="Y32" s="394"/>
      <c r="Z32" s="394"/>
      <c r="AA32" s="394"/>
      <c r="AB32" s="394"/>
      <c r="AC32" s="395"/>
      <c r="AD32" s="5"/>
      <c r="AE32" s="5"/>
      <c r="AF32" s="5"/>
      <c r="AG32" s="5"/>
      <c r="AH32" s="5"/>
      <c r="AI32" s="5"/>
      <c r="AJ32" s="5"/>
      <c r="AK32" s="5"/>
      <c r="AL32" s="5"/>
      <c r="AM32" s="5"/>
      <c r="AN32" s="5"/>
      <c r="AO32" s="5"/>
      <c r="AP32" s="5"/>
      <c r="AQ32" s="5"/>
      <c r="AR32" s="5"/>
      <c r="AS32" s="5"/>
      <c r="AT32" s="5"/>
      <c r="AU32" s="5"/>
      <c r="AV32" s="5"/>
      <c r="AW32" s="5"/>
      <c r="AX32" s="5"/>
      <c r="AY32" s="5"/>
      <c r="AZ32" s="5"/>
      <c r="BA32" s="5"/>
      <c r="BB32" s="5"/>
      <c r="BC32" s="5"/>
      <c r="BD32" s="5"/>
      <c r="BE32" s="5"/>
      <c r="BF32" s="6"/>
    </row>
    <row r="33" spans="1:58" ht="14.4" customHeight="1">
      <c r="A33" s="4" t="str">
        <f>IF(B33="","",COUNTA($B$7:B33))</f>
        <v/>
      </c>
      <c r="B33" s="4"/>
      <c r="C33" s="5"/>
      <c r="D33" s="5"/>
      <c r="E33" s="5"/>
      <c r="F33" s="5"/>
      <c r="G33" s="5"/>
      <c r="H33" s="5"/>
      <c r="I33" s="5"/>
      <c r="J33" s="5"/>
      <c r="K33" s="6"/>
      <c r="L33" s="4"/>
      <c r="M33" s="5"/>
      <c r="N33" s="5"/>
      <c r="O33" s="5"/>
      <c r="P33" s="5"/>
      <c r="Q33" s="5"/>
      <c r="R33" s="5"/>
      <c r="S33" s="5"/>
      <c r="T33" s="5"/>
      <c r="U33" s="5"/>
      <c r="V33" s="5"/>
      <c r="W33" s="393"/>
      <c r="X33" s="394"/>
      <c r="Y33" s="394"/>
      <c r="Z33" s="394"/>
      <c r="AA33" s="394"/>
      <c r="AB33" s="394"/>
      <c r="AC33" s="395"/>
      <c r="AD33" s="5"/>
      <c r="AE33" s="5"/>
      <c r="AF33" s="5"/>
      <c r="AG33" s="5"/>
      <c r="AH33" s="5"/>
      <c r="AI33" s="5"/>
      <c r="AJ33" s="5"/>
      <c r="AK33" s="5"/>
      <c r="AL33" s="5"/>
      <c r="AM33" s="5"/>
      <c r="AN33" s="5"/>
      <c r="AO33" s="5"/>
      <c r="AP33" s="5"/>
      <c r="AQ33" s="5"/>
      <c r="AR33" s="5"/>
      <c r="AS33" s="5"/>
      <c r="AT33" s="5"/>
      <c r="AU33" s="5"/>
      <c r="AV33" s="5"/>
      <c r="AW33" s="5"/>
      <c r="AX33" s="5"/>
      <c r="AY33" s="5"/>
      <c r="AZ33" s="5"/>
      <c r="BA33" s="5"/>
      <c r="BB33" s="5"/>
      <c r="BC33" s="5"/>
      <c r="BD33" s="5"/>
      <c r="BE33" s="5"/>
      <c r="BF33" s="6"/>
    </row>
    <row r="34" spans="1:58" ht="14.4" customHeight="1">
      <c r="A34" s="4" t="str">
        <f>IF(B34="","",COUNTA($B$7:B34))</f>
        <v/>
      </c>
      <c r="B34" s="4"/>
      <c r="C34" s="5"/>
      <c r="D34" s="5"/>
      <c r="E34" s="5"/>
      <c r="F34" s="5"/>
      <c r="G34" s="5"/>
      <c r="H34" s="5"/>
      <c r="I34" s="5"/>
      <c r="J34" s="5"/>
      <c r="K34" s="6"/>
      <c r="L34" s="4"/>
      <c r="M34" s="5"/>
      <c r="N34" s="5"/>
      <c r="O34" s="5"/>
      <c r="P34" s="5"/>
      <c r="Q34" s="5"/>
      <c r="R34" s="5"/>
      <c r="S34" s="5"/>
      <c r="T34" s="5"/>
      <c r="U34" s="5"/>
      <c r="V34" s="5"/>
      <c r="W34" s="393"/>
      <c r="X34" s="394"/>
      <c r="Y34" s="394"/>
      <c r="Z34" s="394"/>
      <c r="AA34" s="394"/>
      <c r="AB34" s="394"/>
      <c r="AC34" s="395"/>
      <c r="AD34" s="5"/>
      <c r="AE34" s="5"/>
      <c r="AF34" s="5"/>
      <c r="AG34" s="5"/>
      <c r="AH34" s="5"/>
      <c r="AI34" s="5"/>
      <c r="AJ34" s="5"/>
      <c r="AK34" s="5"/>
      <c r="AL34" s="5"/>
      <c r="AM34" s="5"/>
      <c r="AN34" s="5"/>
      <c r="AO34" s="5"/>
      <c r="AP34" s="5"/>
      <c r="AQ34" s="5"/>
      <c r="AR34" s="5"/>
      <c r="AS34" s="5"/>
      <c r="AT34" s="5"/>
      <c r="AU34" s="5"/>
      <c r="AV34" s="5"/>
      <c r="AW34" s="5"/>
      <c r="AX34" s="5"/>
      <c r="AY34" s="5"/>
      <c r="AZ34" s="5"/>
      <c r="BA34" s="5"/>
      <c r="BB34" s="5"/>
      <c r="BC34" s="5"/>
      <c r="BD34" s="5"/>
      <c r="BE34" s="5"/>
      <c r="BF34" s="6"/>
    </row>
    <row r="35" spans="1:58" ht="14.4" customHeight="1">
      <c r="A35" s="4" t="str">
        <f>IF(B35="","",COUNTA($B$7:B35))</f>
        <v/>
      </c>
      <c r="B35" s="4"/>
      <c r="C35" s="5"/>
      <c r="D35" s="5"/>
      <c r="E35" s="5"/>
      <c r="F35" s="5"/>
      <c r="G35" s="5"/>
      <c r="H35" s="5"/>
      <c r="I35" s="5"/>
      <c r="J35" s="5"/>
      <c r="K35" s="6"/>
      <c r="L35" s="4"/>
      <c r="M35" s="5"/>
      <c r="N35" s="5"/>
      <c r="O35" s="5"/>
      <c r="P35" s="5"/>
      <c r="Q35" s="5"/>
      <c r="R35" s="5"/>
      <c r="S35" s="5"/>
      <c r="T35" s="5"/>
      <c r="U35" s="5"/>
      <c r="V35" s="5"/>
      <c r="W35" s="393"/>
      <c r="X35" s="394"/>
      <c r="Y35" s="394"/>
      <c r="Z35" s="394"/>
      <c r="AA35" s="394"/>
      <c r="AB35" s="394"/>
      <c r="AC35" s="395"/>
      <c r="AD35" s="5"/>
      <c r="AE35" s="5"/>
      <c r="AF35" s="5"/>
      <c r="AG35" s="5"/>
      <c r="AH35" s="5"/>
      <c r="AI35" s="5"/>
      <c r="AJ35" s="5"/>
      <c r="AK35" s="5"/>
      <c r="AL35" s="5"/>
      <c r="AM35" s="5"/>
      <c r="AN35" s="5"/>
      <c r="AO35" s="5"/>
      <c r="AP35" s="5"/>
      <c r="AQ35" s="5"/>
      <c r="AR35" s="5"/>
      <c r="AS35" s="5"/>
      <c r="AT35" s="5"/>
      <c r="AU35" s="5"/>
      <c r="AV35" s="5"/>
      <c r="AW35" s="5"/>
      <c r="AX35" s="5"/>
      <c r="AY35" s="5"/>
      <c r="AZ35" s="5"/>
      <c r="BA35" s="5"/>
      <c r="BB35" s="5"/>
      <c r="BC35" s="5"/>
      <c r="BD35" s="5"/>
      <c r="BE35" s="5"/>
      <c r="BF35" s="6"/>
    </row>
    <row r="36" spans="1:58" ht="14.4" customHeight="1">
      <c r="A36" s="4" t="str">
        <f>IF(B36="","",COUNTA($B$7:B36))</f>
        <v/>
      </c>
      <c r="B36" s="4"/>
      <c r="C36" s="5"/>
      <c r="D36" s="5"/>
      <c r="E36" s="5"/>
      <c r="F36" s="5"/>
      <c r="G36" s="5"/>
      <c r="H36" s="5"/>
      <c r="I36" s="5"/>
      <c r="J36" s="5"/>
      <c r="K36" s="6"/>
      <c r="L36" s="4"/>
      <c r="M36" s="5"/>
      <c r="N36" s="5"/>
      <c r="O36" s="5"/>
      <c r="P36" s="5"/>
      <c r="Q36" s="5"/>
      <c r="R36" s="5"/>
      <c r="S36" s="5"/>
      <c r="T36" s="5"/>
      <c r="U36" s="5"/>
      <c r="V36" s="5"/>
      <c r="W36" s="393"/>
      <c r="X36" s="394"/>
      <c r="Y36" s="394"/>
      <c r="Z36" s="394"/>
      <c r="AA36" s="394"/>
      <c r="AB36" s="394"/>
      <c r="AC36" s="395"/>
      <c r="AD36" s="5"/>
      <c r="AE36" s="5"/>
      <c r="AF36" s="5"/>
      <c r="AG36" s="5"/>
      <c r="AH36" s="5"/>
      <c r="AI36" s="5"/>
      <c r="AJ36" s="5"/>
      <c r="AK36" s="5"/>
      <c r="AL36" s="5"/>
      <c r="AM36" s="5"/>
      <c r="AN36" s="5"/>
      <c r="AO36" s="5"/>
      <c r="AP36" s="5"/>
      <c r="AQ36" s="5"/>
      <c r="AR36" s="5"/>
      <c r="AS36" s="5"/>
      <c r="AT36" s="5"/>
      <c r="AU36" s="5"/>
      <c r="AV36" s="5"/>
      <c r="AW36" s="5"/>
      <c r="AX36" s="5"/>
      <c r="AY36" s="5"/>
      <c r="AZ36" s="5"/>
      <c r="BA36" s="5"/>
      <c r="BB36" s="5"/>
      <c r="BC36" s="5"/>
      <c r="BD36" s="5"/>
      <c r="BE36" s="5"/>
      <c r="BF36" s="6"/>
    </row>
    <row r="37" spans="1:58" ht="14.4" customHeight="1">
      <c r="A37" s="4" t="str">
        <f>IF(B37="","",COUNTA($B$7:B37))</f>
        <v/>
      </c>
      <c r="B37" s="4"/>
      <c r="C37" s="5"/>
      <c r="D37" s="5"/>
      <c r="E37" s="5"/>
      <c r="F37" s="5"/>
      <c r="G37" s="5"/>
      <c r="H37" s="5"/>
      <c r="I37" s="5"/>
      <c r="J37" s="5"/>
      <c r="K37" s="6"/>
      <c r="L37" s="4"/>
      <c r="M37" s="5"/>
      <c r="N37" s="5"/>
      <c r="O37" s="5"/>
      <c r="P37" s="5"/>
      <c r="Q37" s="5"/>
      <c r="R37" s="5"/>
      <c r="S37" s="5"/>
      <c r="T37" s="5"/>
      <c r="U37" s="5"/>
      <c r="V37" s="5"/>
      <c r="W37" s="393"/>
      <c r="X37" s="394"/>
      <c r="Y37" s="394"/>
      <c r="Z37" s="394"/>
      <c r="AA37" s="394"/>
      <c r="AB37" s="394"/>
      <c r="AC37" s="395"/>
      <c r="AD37" s="5"/>
      <c r="AE37" s="5"/>
      <c r="AF37" s="5"/>
      <c r="AG37" s="5"/>
      <c r="AH37" s="5"/>
      <c r="AI37" s="5"/>
      <c r="AJ37" s="5"/>
      <c r="AK37" s="5"/>
      <c r="AL37" s="5"/>
      <c r="AM37" s="5"/>
      <c r="AN37" s="5"/>
      <c r="AO37" s="5"/>
      <c r="AP37" s="5"/>
      <c r="AQ37" s="5"/>
      <c r="AR37" s="5"/>
      <c r="AS37" s="5"/>
      <c r="AT37" s="5"/>
      <c r="AU37" s="5"/>
      <c r="AV37" s="5"/>
      <c r="AW37" s="5"/>
      <c r="AX37" s="5"/>
      <c r="AY37" s="5"/>
      <c r="AZ37" s="5"/>
      <c r="BA37" s="5"/>
      <c r="BB37" s="5"/>
      <c r="BC37" s="5"/>
      <c r="BD37" s="5"/>
      <c r="BE37" s="5"/>
      <c r="BF37" s="6"/>
    </row>
    <row r="38" spans="1:58" ht="14.4" customHeight="1">
      <c r="A38" s="4" t="str">
        <f>IF(B38="","",COUNTA($B$7:B38))</f>
        <v/>
      </c>
      <c r="B38" s="4"/>
      <c r="C38" s="5"/>
      <c r="D38" s="5"/>
      <c r="E38" s="5"/>
      <c r="F38" s="5"/>
      <c r="G38" s="5"/>
      <c r="H38" s="5"/>
      <c r="I38" s="5"/>
      <c r="J38" s="5"/>
      <c r="K38" s="6"/>
      <c r="L38" s="4"/>
      <c r="M38" s="5"/>
      <c r="N38" s="5"/>
      <c r="O38" s="5"/>
      <c r="P38" s="5"/>
      <c r="Q38" s="5"/>
      <c r="R38" s="5"/>
      <c r="S38" s="5"/>
      <c r="T38" s="5"/>
      <c r="U38" s="5"/>
      <c r="V38" s="5"/>
      <c r="W38" s="393"/>
      <c r="X38" s="394"/>
      <c r="Y38" s="394"/>
      <c r="Z38" s="394"/>
      <c r="AA38" s="394"/>
      <c r="AB38" s="394"/>
      <c r="AC38" s="395"/>
      <c r="AD38" s="5"/>
      <c r="AE38" s="5"/>
      <c r="AF38" s="5"/>
      <c r="AG38" s="5"/>
      <c r="AH38" s="5"/>
      <c r="AI38" s="5"/>
      <c r="AJ38" s="5"/>
      <c r="AK38" s="5"/>
      <c r="AL38" s="5"/>
      <c r="AM38" s="5"/>
      <c r="AN38" s="5"/>
      <c r="AO38" s="5"/>
      <c r="AP38" s="5"/>
      <c r="AQ38" s="5"/>
      <c r="AR38" s="5"/>
      <c r="AS38" s="5"/>
      <c r="AT38" s="5"/>
      <c r="AU38" s="5"/>
      <c r="AV38" s="5"/>
      <c r="AW38" s="5"/>
      <c r="AX38" s="5"/>
      <c r="AY38" s="5"/>
      <c r="AZ38" s="5"/>
      <c r="BA38" s="5"/>
      <c r="BB38" s="5"/>
      <c r="BC38" s="5"/>
      <c r="BD38" s="5"/>
      <c r="BE38" s="5"/>
      <c r="BF38" s="6"/>
    </row>
    <row r="39" spans="1:58" ht="14.4" customHeight="1">
      <c r="A39" s="4" t="str">
        <f>IF(B39="","",COUNTA($B$7:B39))</f>
        <v/>
      </c>
      <c r="B39" s="4"/>
      <c r="C39" s="5"/>
      <c r="D39" s="5"/>
      <c r="E39" s="5"/>
      <c r="F39" s="5"/>
      <c r="G39" s="5"/>
      <c r="H39" s="5"/>
      <c r="I39" s="5"/>
      <c r="J39" s="5"/>
      <c r="K39" s="6"/>
      <c r="L39" s="4"/>
      <c r="M39" s="5"/>
      <c r="N39" s="5"/>
      <c r="O39" s="5"/>
      <c r="P39" s="5"/>
      <c r="Q39" s="5"/>
      <c r="R39" s="5"/>
      <c r="S39" s="5"/>
      <c r="T39" s="5"/>
      <c r="U39" s="5"/>
      <c r="V39" s="5"/>
      <c r="W39" s="393"/>
      <c r="X39" s="394"/>
      <c r="Y39" s="394"/>
      <c r="Z39" s="394"/>
      <c r="AA39" s="394"/>
      <c r="AB39" s="394"/>
      <c r="AC39" s="395"/>
      <c r="AD39" s="5"/>
      <c r="AE39" s="5"/>
      <c r="AF39" s="5"/>
      <c r="AG39" s="5"/>
      <c r="AH39" s="5"/>
      <c r="AI39" s="5"/>
      <c r="AJ39" s="5"/>
      <c r="AK39" s="5"/>
      <c r="AL39" s="5"/>
      <c r="AM39" s="5"/>
      <c r="AN39" s="5"/>
      <c r="AO39" s="5"/>
      <c r="AP39" s="5"/>
      <c r="AQ39" s="5"/>
      <c r="AR39" s="5"/>
      <c r="AS39" s="5"/>
      <c r="AT39" s="5"/>
      <c r="AU39" s="5"/>
      <c r="AV39" s="5"/>
      <c r="AW39" s="5"/>
      <c r="AX39" s="5"/>
      <c r="AY39" s="5"/>
      <c r="AZ39" s="5"/>
      <c r="BA39" s="5"/>
      <c r="BB39" s="5"/>
      <c r="BC39" s="5"/>
      <c r="BD39" s="5"/>
      <c r="BE39" s="5"/>
      <c r="BF39" s="6"/>
    </row>
    <row r="40" spans="1:58" ht="14.4" customHeight="1">
      <c r="A40" s="4" t="str">
        <f>IF(B40="","",COUNTA($B$7:B40))</f>
        <v/>
      </c>
      <c r="B40" s="4"/>
      <c r="C40" s="5"/>
      <c r="D40" s="5"/>
      <c r="E40" s="5"/>
      <c r="F40" s="5"/>
      <c r="G40" s="5"/>
      <c r="H40" s="5"/>
      <c r="I40" s="5"/>
      <c r="J40" s="5"/>
      <c r="K40" s="6"/>
      <c r="L40" s="4"/>
      <c r="M40" s="5"/>
      <c r="N40" s="5"/>
      <c r="O40" s="5"/>
      <c r="P40" s="5"/>
      <c r="Q40" s="5"/>
      <c r="R40" s="5"/>
      <c r="S40" s="5"/>
      <c r="T40" s="5"/>
      <c r="U40" s="5"/>
      <c r="V40" s="5"/>
      <c r="W40" s="393"/>
      <c r="X40" s="394"/>
      <c r="Y40" s="394"/>
      <c r="Z40" s="394"/>
      <c r="AA40" s="394"/>
      <c r="AB40" s="394"/>
      <c r="AC40" s="395"/>
      <c r="AD40" s="5"/>
      <c r="AE40" s="5"/>
      <c r="AF40" s="5"/>
      <c r="AG40" s="5"/>
      <c r="AH40" s="5"/>
      <c r="AI40" s="5"/>
      <c r="AJ40" s="5"/>
      <c r="AK40" s="5"/>
      <c r="AL40" s="5"/>
      <c r="AM40" s="5"/>
      <c r="AN40" s="5"/>
      <c r="AO40" s="5"/>
      <c r="AP40" s="5"/>
      <c r="AQ40" s="5"/>
      <c r="AR40" s="5"/>
      <c r="AS40" s="5"/>
      <c r="AT40" s="5"/>
      <c r="AU40" s="5"/>
      <c r="AV40" s="5"/>
      <c r="AW40" s="5"/>
      <c r="AX40" s="5"/>
      <c r="AY40" s="5"/>
      <c r="AZ40" s="5"/>
      <c r="BA40" s="5"/>
      <c r="BB40" s="5"/>
      <c r="BC40" s="5"/>
      <c r="BD40" s="5"/>
      <c r="BE40" s="5"/>
      <c r="BF40" s="6"/>
    </row>
    <row r="41" spans="1:58" ht="14.4" customHeight="1">
      <c r="A41" s="4" t="str">
        <f>IF(B41="","",COUNTA($B$7:B41))</f>
        <v/>
      </c>
      <c r="B41" s="4"/>
      <c r="C41" s="5"/>
      <c r="D41" s="5"/>
      <c r="E41" s="5"/>
      <c r="F41" s="5"/>
      <c r="G41" s="5"/>
      <c r="H41" s="5"/>
      <c r="I41" s="5"/>
      <c r="J41" s="5"/>
      <c r="K41" s="6"/>
      <c r="L41" s="4"/>
      <c r="M41" s="5"/>
      <c r="N41" s="5"/>
      <c r="O41" s="5"/>
      <c r="P41" s="5"/>
      <c r="Q41" s="5"/>
      <c r="R41" s="5"/>
      <c r="S41" s="5"/>
      <c r="T41" s="5"/>
      <c r="U41" s="5"/>
      <c r="V41" s="5"/>
      <c r="W41" s="393"/>
      <c r="X41" s="394"/>
      <c r="Y41" s="394"/>
      <c r="Z41" s="394"/>
      <c r="AA41" s="394"/>
      <c r="AB41" s="394"/>
      <c r="AC41" s="395"/>
      <c r="AD41" s="5"/>
      <c r="AE41" s="5"/>
      <c r="AF41" s="5"/>
      <c r="AG41" s="5"/>
      <c r="AH41" s="5"/>
      <c r="AI41" s="5"/>
      <c r="AJ41" s="5"/>
      <c r="AK41" s="5"/>
      <c r="AL41" s="5"/>
      <c r="AM41" s="5"/>
      <c r="AN41" s="5"/>
      <c r="AO41" s="5"/>
      <c r="AP41" s="5"/>
      <c r="AQ41" s="5"/>
      <c r="AR41" s="5"/>
      <c r="AS41" s="5"/>
      <c r="AT41" s="5"/>
      <c r="AU41" s="5"/>
      <c r="AV41" s="5"/>
      <c r="AW41" s="5"/>
      <c r="AX41" s="5"/>
      <c r="AY41" s="5"/>
      <c r="AZ41" s="5"/>
      <c r="BA41" s="5"/>
      <c r="BB41" s="5"/>
      <c r="BC41" s="5"/>
      <c r="BD41" s="5"/>
      <c r="BE41" s="5"/>
      <c r="BF41" s="6"/>
    </row>
    <row r="42" spans="1:58" ht="14.4" customHeight="1">
      <c r="A42" s="4" t="str">
        <f>IF(B42="","",COUNTA($B$7:B42))</f>
        <v/>
      </c>
      <c r="B42" s="4"/>
      <c r="C42" s="5"/>
      <c r="D42" s="5"/>
      <c r="E42" s="5"/>
      <c r="F42" s="5"/>
      <c r="G42" s="5"/>
      <c r="H42" s="5"/>
      <c r="I42" s="5"/>
      <c r="J42" s="5"/>
      <c r="K42" s="6"/>
      <c r="L42" s="4"/>
      <c r="M42" s="5"/>
      <c r="N42" s="5"/>
      <c r="O42" s="5"/>
      <c r="P42" s="5"/>
      <c r="Q42" s="5"/>
      <c r="R42" s="5"/>
      <c r="S42" s="5"/>
      <c r="T42" s="5"/>
      <c r="U42" s="5"/>
      <c r="V42" s="5"/>
      <c r="W42" s="393"/>
      <c r="X42" s="394"/>
      <c r="Y42" s="394"/>
      <c r="Z42" s="394"/>
      <c r="AA42" s="394"/>
      <c r="AB42" s="394"/>
      <c r="AC42" s="395"/>
      <c r="AD42" s="5"/>
      <c r="AE42" s="5"/>
      <c r="AF42" s="5"/>
      <c r="AG42" s="5"/>
      <c r="AH42" s="5"/>
      <c r="AI42" s="5"/>
      <c r="AJ42" s="5"/>
      <c r="AK42" s="5"/>
      <c r="AL42" s="5"/>
      <c r="AM42" s="5"/>
      <c r="AN42" s="5"/>
      <c r="AO42" s="5"/>
      <c r="AP42" s="5"/>
      <c r="AQ42" s="5"/>
      <c r="AR42" s="5"/>
      <c r="AS42" s="5"/>
      <c r="AT42" s="5"/>
      <c r="AU42" s="5"/>
      <c r="AV42" s="5"/>
      <c r="AW42" s="5"/>
      <c r="AX42" s="5"/>
      <c r="AY42" s="5"/>
      <c r="AZ42" s="5"/>
      <c r="BA42" s="5"/>
      <c r="BB42" s="5"/>
      <c r="BC42" s="5"/>
      <c r="BD42" s="5"/>
      <c r="BE42" s="5"/>
      <c r="BF42" s="6"/>
    </row>
    <row r="43" spans="1:58" ht="14.4" customHeight="1">
      <c r="A43" s="4" t="str">
        <f>IF(B43="","",COUNTA($B$7:B43))</f>
        <v/>
      </c>
      <c r="B43" s="4"/>
      <c r="C43" s="5"/>
      <c r="D43" s="5"/>
      <c r="E43" s="5"/>
      <c r="F43" s="5"/>
      <c r="G43" s="5"/>
      <c r="H43" s="5"/>
      <c r="I43" s="5"/>
      <c r="J43" s="5"/>
      <c r="K43" s="6"/>
      <c r="L43" s="4"/>
      <c r="M43" s="5"/>
      <c r="N43" s="5"/>
      <c r="O43" s="5"/>
      <c r="P43" s="5"/>
      <c r="Q43" s="5"/>
      <c r="R43" s="5"/>
      <c r="S43" s="5"/>
      <c r="T43" s="5"/>
      <c r="U43" s="5"/>
      <c r="V43" s="5"/>
      <c r="W43" s="393"/>
      <c r="X43" s="394"/>
      <c r="Y43" s="394"/>
      <c r="Z43" s="394"/>
      <c r="AA43" s="394"/>
      <c r="AB43" s="394"/>
      <c r="AC43" s="395"/>
      <c r="AD43" s="5"/>
      <c r="AE43" s="5"/>
      <c r="AF43" s="5"/>
      <c r="AG43" s="5"/>
      <c r="AH43" s="5"/>
      <c r="AI43" s="5"/>
      <c r="AJ43" s="5"/>
      <c r="AK43" s="5"/>
      <c r="AL43" s="5"/>
      <c r="AM43" s="5"/>
      <c r="AN43" s="5"/>
      <c r="AO43" s="5"/>
      <c r="AP43" s="5"/>
      <c r="AQ43" s="5"/>
      <c r="AR43" s="5"/>
      <c r="AS43" s="5"/>
      <c r="AT43" s="5"/>
      <c r="AU43" s="5"/>
      <c r="AV43" s="5"/>
      <c r="AW43" s="5"/>
      <c r="AX43" s="5"/>
      <c r="AY43" s="5"/>
      <c r="AZ43" s="5"/>
      <c r="BA43" s="5"/>
      <c r="BB43" s="5"/>
      <c r="BC43" s="5"/>
      <c r="BD43" s="5"/>
      <c r="BE43" s="5"/>
      <c r="BF43" s="6"/>
    </row>
    <row r="44" spans="1:58" ht="14.4" customHeight="1">
      <c r="A44" s="4" t="str">
        <f>IF(B44="","",COUNTA($B$7:B44))</f>
        <v/>
      </c>
      <c r="B44" s="4"/>
      <c r="C44" s="5"/>
      <c r="D44" s="5"/>
      <c r="E44" s="5"/>
      <c r="F44" s="5"/>
      <c r="G44" s="5"/>
      <c r="H44" s="5"/>
      <c r="I44" s="5"/>
      <c r="J44" s="5"/>
      <c r="K44" s="6"/>
      <c r="L44" s="4"/>
      <c r="M44" s="5"/>
      <c r="N44" s="5"/>
      <c r="O44" s="5"/>
      <c r="P44" s="5"/>
      <c r="Q44" s="5"/>
      <c r="R44" s="5"/>
      <c r="S44" s="5"/>
      <c r="T44" s="5"/>
      <c r="U44" s="5"/>
      <c r="V44" s="5"/>
      <c r="W44" s="393"/>
      <c r="X44" s="394"/>
      <c r="Y44" s="394"/>
      <c r="Z44" s="394"/>
      <c r="AA44" s="394"/>
      <c r="AB44" s="394"/>
      <c r="AC44" s="395"/>
      <c r="AD44" s="5"/>
      <c r="AE44" s="5"/>
      <c r="AF44" s="5"/>
      <c r="AG44" s="5"/>
      <c r="AH44" s="5"/>
      <c r="AI44" s="5"/>
      <c r="AJ44" s="5"/>
      <c r="AK44" s="5"/>
      <c r="AL44" s="5"/>
      <c r="AM44" s="5"/>
      <c r="AN44" s="5"/>
      <c r="AO44" s="5"/>
      <c r="AP44" s="5"/>
      <c r="AQ44" s="5"/>
      <c r="AR44" s="5"/>
      <c r="AS44" s="5"/>
      <c r="AT44" s="5"/>
      <c r="AU44" s="5"/>
      <c r="AV44" s="5"/>
      <c r="AW44" s="5"/>
      <c r="AX44" s="5"/>
      <c r="AY44" s="5"/>
      <c r="AZ44" s="5"/>
      <c r="BA44" s="5"/>
      <c r="BB44" s="5"/>
      <c r="BC44" s="5"/>
      <c r="BD44" s="5"/>
      <c r="BE44" s="5"/>
      <c r="BF44" s="6"/>
    </row>
    <row r="45" spans="1:58" ht="14.4" customHeight="1">
      <c r="A45" s="4" t="str">
        <f>IF(B45="","",COUNTA($B$7:B45))</f>
        <v/>
      </c>
      <c r="B45" s="4"/>
      <c r="C45" s="5"/>
      <c r="D45" s="5"/>
      <c r="E45" s="5"/>
      <c r="F45" s="5"/>
      <c r="G45" s="5"/>
      <c r="H45" s="5"/>
      <c r="I45" s="5"/>
      <c r="J45" s="5"/>
      <c r="K45" s="6"/>
      <c r="L45" s="4"/>
      <c r="M45" s="5"/>
      <c r="N45" s="5"/>
      <c r="O45" s="5"/>
      <c r="P45" s="5"/>
      <c r="Q45" s="5"/>
      <c r="R45" s="5"/>
      <c r="S45" s="5"/>
      <c r="T45" s="5"/>
      <c r="U45" s="5"/>
      <c r="V45" s="5"/>
      <c r="W45" s="393"/>
      <c r="X45" s="394"/>
      <c r="Y45" s="394"/>
      <c r="Z45" s="394"/>
      <c r="AA45" s="394"/>
      <c r="AB45" s="394"/>
      <c r="AC45" s="395"/>
      <c r="AD45" s="5"/>
      <c r="AE45" s="5"/>
      <c r="AF45" s="5"/>
      <c r="AG45" s="5"/>
      <c r="AH45" s="5"/>
      <c r="AI45" s="5"/>
      <c r="AJ45" s="5"/>
      <c r="AK45" s="5"/>
      <c r="AL45" s="5"/>
      <c r="AM45" s="5"/>
      <c r="AN45" s="5"/>
      <c r="AO45" s="5"/>
      <c r="AP45" s="5"/>
      <c r="AQ45" s="5"/>
      <c r="AR45" s="5"/>
      <c r="AS45" s="5"/>
      <c r="AT45" s="5"/>
      <c r="AU45" s="5"/>
      <c r="AV45" s="5"/>
      <c r="AW45" s="5"/>
      <c r="AX45" s="5"/>
      <c r="AY45" s="5"/>
      <c r="AZ45" s="5"/>
      <c r="BA45" s="5"/>
      <c r="BB45" s="5"/>
      <c r="BC45" s="5"/>
      <c r="BD45" s="5"/>
      <c r="BE45" s="5"/>
      <c r="BF45" s="6"/>
    </row>
    <row r="46" spans="1:58" ht="14.4" customHeight="1">
      <c r="A46" s="4" t="str">
        <f>IF(B46="","",COUNTA($B$7:B46))</f>
        <v/>
      </c>
      <c r="B46" s="4"/>
      <c r="C46" s="5"/>
      <c r="D46" s="5"/>
      <c r="E46" s="5"/>
      <c r="F46" s="5"/>
      <c r="G46" s="5"/>
      <c r="H46" s="5"/>
      <c r="I46" s="5"/>
      <c r="J46" s="5"/>
      <c r="K46" s="6"/>
      <c r="L46" s="4"/>
      <c r="M46" s="5"/>
      <c r="N46" s="5"/>
      <c r="O46" s="5"/>
      <c r="P46" s="5"/>
      <c r="Q46" s="5"/>
      <c r="R46" s="5"/>
      <c r="S46" s="5"/>
      <c r="T46" s="5"/>
      <c r="U46" s="5"/>
      <c r="V46" s="5"/>
      <c r="W46" s="393"/>
      <c r="X46" s="394"/>
      <c r="Y46" s="394"/>
      <c r="Z46" s="394"/>
      <c r="AA46" s="394"/>
      <c r="AB46" s="394"/>
      <c r="AC46" s="395"/>
      <c r="AD46" s="5"/>
      <c r="AE46" s="5"/>
      <c r="AF46" s="5"/>
      <c r="AG46" s="5"/>
      <c r="AH46" s="5"/>
      <c r="AI46" s="5"/>
      <c r="AJ46" s="5"/>
      <c r="AK46" s="5"/>
      <c r="AL46" s="5"/>
      <c r="AM46" s="5"/>
      <c r="AN46" s="5"/>
      <c r="AO46" s="5"/>
      <c r="AP46" s="5"/>
      <c r="AQ46" s="5"/>
      <c r="AR46" s="5"/>
      <c r="AS46" s="5"/>
      <c r="AT46" s="5"/>
      <c r="AU46" s="5"/>
      <c r="AV46" s="5"/>
      <c r="AW46" s="5"/>
      <c r="AX46" s="5"/>
      <c r="AY46" s="5"/>
      <c r="AZ46" s="5"/>
      <c r="BA46" s="5"/>
      <c r="BB46" s="5"/>
      <c r="BC46" s="5"/>
      <c r="BD46" s="5"/>
      <c r="BE46" s="5"/>
      <c r="BF46" s="6"/>
    </row>
  </sheetData>
  <mergeCells count="52">
    <mergeCell ref="W12:AC12"/>
    <mergeCell ref="W44:AC44"/>
    <mergeCell ref="W45:AC45"/>
    <mergeCell ref="W46:AC46"/>
    <mergeCell ref="W40:AC40"/>
    <mergeCell ref="W41:AC41"/>
    <mergeCell ref="W42:AC42"/>
    <mergeCell ref="W43:AC43"/>
    <mergeCell ref="W37:AC37"/>
    <mergeCell ref="W38:AC38"/>
    <mergeCell ref="W39:AC39"/>
    <mergeCell ref="W32:AC32"/>
    <mergeCell ref="W33:AC33"/>
    <mergeCell ref="W34:AC34"/>
    <mergeCell ref="W35:AC35"/>
    <mergeCell ref="W36:AC36"/>
    <mergeCell ref="W27:AC27"/>
    <mergeCell ref="W28:AC28"/>
    <mergeCell ref="W29:AC29"/>
    <mergeCell ref="W30:AC30"/>
    <mergeCell ref="W31:AC31"/>
    <mergeCell ref="W20:AC20"/>
    <mergeCell ref="W21:AC21"/>
    <mergeCell ref="W22:AC22"/>
    <mergeCell ref="W23:AC23"/>
    <mergeCell ref="W26:AC26"/>
    <mergeCell ref="W24:AC24"/>
    <mergeCell ref="W25:AC25"/>
    <mergeCell ref="W13:AC13"/>
    <mergeCell ref="W14:AC14"/>
    <mergeCell ref="W15:AC15"/>
    <mergeCell ref="W16:AC16"/>
    <mergeCell ref="W19:AC19"/>
    <mergeCell ref="W17:AC17"/>
    <mergeCell ref="W18:AC18"/>
    <mergeCell ref="W7:AC7"/>
    <mergeCell ref="W8:AC8"/>
    <mergeCell ref="W9:AC9"/>
    <mergeCell ref="W10:AC10"/>
    <mergeCell ref="W11:AC11"/>
    <mergeCell ref="B6:K6"/>
    <mergeCell ref="A1:K4"/>
    <mergeCell ref="L1:V1"/>
    <mergeCell ref="W1:AC1"/>
    <mergeCell ref="L2:V4"/>
    <mergeCell ref="W2:AC4"/>
    <mergeCell ref="AD6:BF6"/>
    <mergeCell ref="AR2:AV2"/>
    <mergeCell ref="AR3:AV3"/>
    <mergeCell ref="AR4:AV4"/>
    <mergeCell ref="AD1:AQ1"/>
    <mergeCell ref="AD2:AQ4"/>
  </mergeCells>
  <phoneticPr fontId="5"/>
  <dataValidations count="2">
    <dataValidation imeMode="hiragana" allowBlank="1" showInputMessage="1" showErrorMessage="1" sqref="FBY982719:FCJ982721 FLU982719:FMF982721 FVQ982719:FWB982721 GFM982719:GFX982721 GPI982719:GPT982721 GZE982719:GZP982721 HJA982719:HJL982721 HSW982719:HTH982721 ICS982719:IDD982721 IMO982719:IMZ982721 IWK982719:IWV982721 JGG982719:JGR982721 JQC982719:JQN982721 JZY982719:KAJ982721 KJU982719:KKF982721 KTQ982719:KUB982721 LDM982719:LDX982721 LNI982719:LNT982721 LXE982719:LXP982721 MHA982719:MHL982721 MQW982719:MRH982721 NAS982719:NBD982721 NKO982719:NKZ982721 NUK982719:NUV982721 OEG982719:OER982721 OOC982719:OON982721 OXY982719:OYJ982721 PHU982719:PIF982721 PRQ982719:PSB982721 QBM982719:QBX982721 QLI982719:QLT982721 QVE982719:QVP982721 RFA982719:RFL982721 ROW982719:RPH982721 RYS982719:RZD982721 SIO982719:SIZ982721 SSK982719:SSV982721 TCG982719:TCR982721 TMC982719:TMN982721 TVY982719:TWJ982721 UFU982719:UGF982721 UPQ982719:UQB982721 UZM982719:UZX982721 VJI982719:VJT982721 VTE982719:VTP982721 WDA982719:WDL982721 WMW982719:WNH982721 WWS982719:WXD982721 AK982719:AU982721 AK917183:AU917185 AK851647:AU851649 AK786111:AU786113 AK720575:AU720577 AK655039:AU655041 AK589503:AU589505 AK523967:AU523969 AK458431:AU458433 AK392895:AU392897 AK327359:AU327361 AK261823:AU261825 AK196287:AU196289 AK130751:AU130753 AK65215:AU65217 KG65215:KR65217 UC65215:UN65217 ADY65215:AEJ65217 ANU65215:AOF65217 AXQ65215:AYB65217 BHM65215:BHX65217 BRI65215:BRT65217 CBE65215:CBP65217 CLA65215:CLL65217 CUW65215:CVH65217 DES65215:DFD65217 DOO65215:DOZ65217 DYK65215:DYV65217 EIG65215:EIR65217 ESC65215:ESN65217 FBY65215:FCJ65217 FLU65215:FMF65217 FVQ65215:FWB65217 GFM65215:GFX65217 GPI65215:GPT65217 GZE65215:GZP65217 HJA65215:HJL65217 HSW65215:HTH65217 ICS65215:IDD65217 IMO65215:IMZ65217 IWK65215:IWV65217 JGG65215:JGR65217 JQC65215:JQN65217 JZY65215:KAJ65217 KJU65215:KKF65217 KTQ65215:KUB65217 LDM65215:LDX65217 LNI65215:LNT65217 LXE65215:LXP65217 MHA65215:MHL65217 MQW65215:MRH65217 NAS65215:NBD65217 NKO65215:NKZ65217 NUK65215:NUV65217 OEG65215:OER65217 OOC65215:OON65217 OXY65215:OYJ65217 PHU65215:PIF65217 PRQ65215:PSB65217 QBM65215:QBX65217 QLI65215:QLT65217 QVE65215:QVP65217 RFA65215:RFL65217 ROW65215:RPH65217 RYS65215:RZD65217 SIO65215:SIZ65217 SSK65215:SSV65217 TCG65215:TCR65217 TMC65215:TMN65217 TVY65215:TWJ65217 UFU65215:UGF65217 UPQ65215:UQB65217 UZM65215:UZX65217 VJI65215:VJT65217 VTE65215:VTP65217 WDA65215:WDL65217 WMW65215:WNH65217 WWS65215:WXD65217 KG130751:KR130753 UC130751:UN130753 ADY130751:AEJ130753 ANU130751:AOF130753 AXQ130751:AYB130753 BHM130751:BHX130753 BRI130751:BRT130753 CBE130751:CBP130753 CLA130751:CLL130753 CUW130751:CVH130753 DES130751:DFD130753 DOO130751:DOZ130753 DYK130751:DYV130753 EIG130751:EIR130753 ESC130751:ESN130753 FBY130751:FCJ130753 FLU130751:FMF130753 FVQ130751:FWB130753 GFM130751:GFX130753 GPI130751:GPT130753 GZE130751:GZP130753 HJA130751:HJL130753 HSW130751:HTH130753 ICS130751:IDD130753 IMO130751:IMZ130753 IWK130751:IWV130753 JGG130751:JGR130753 JQC130751:JQN130753 JZY130751:KAJ130753 KJU130751:KKF130753 KTQ130751:KUB130753 LDM130751:LDX130753 LNI130751:LNT130753 LXE130751:LXP130753 MHA130751:MHL130753 MQW130751:MRH130753 NAS130751:NBD130753 NKO130751:NKZ130753 NUK130751:NUV130753 OEG130751:OER130753 OOC130751:OON130753 OXY130751:OYJ130753 PHU130751:PIF130753 PRQ130751:PSB130753 QBM130751:QBX130753 QLI130751:QLT130753 QVE130751:QVP130753 RFA130751:RFL130753 ROW130751:RPH130753 RYS130751:RZD130753 SIO130751:SIZ130753 SSK130751:SSV130753 TCG130751:TCR130753 TMC130751:TMN130753 TVY130751:TWJ130753 UFU130751:UGF130753 UPQ130751:UQB130753 UZM130751:UZX130753 VJI130751:VJT130753 VTE130751:VTP130753 WDA130751:WDL130753 WMW130751:WNH130753 WWS130751:WXD130753 KG196287:KR196289 UC196287:UN196289 ADY196287:AEJ196289 ANU196287:AOF196289 AXQ196287:AYB196289 BHM196287:BHX196289 BRI196287:BRT196289 CBE196287:CBP196289 CLA196287:CLL196289 CUW196287:CVH196289 DES196287:DFD196289 DOO196287:DOZ196289 DYK196287:DYV196289 EIG196287:EIR196289 ESC196287:ESN196289 FBY196287:FCJ196289 FLU196287:FMF196289 FVQ196287:FWB196289 GFM196287:GFX196289 GPI196287:GPT196289 GZE196287:GZP196289 HJA196287:HJL196289 HSW196287:HTH196289 ICS196287:IDD196289 IMO196287:IMZ196289 IWK196287:IWV196289 JGG196287:JGR196289 JQC196287:JQN196289 JZY196287:KAJ196289 KJU196287:KKF196289 KTQ196287:KUB196289 LDM196287:LDX196289 LNI196287:LNT196289 LXE196287:LXP196289 MHA196287:MHL196289 MQW196287:MRH196289 NAS196287:NBD196289 NKO196287:NKZ196289 NUK196287:NUV196289 OEG196287:OER196289 OOC196287:OON196289 OXY196287:OYJ196289 PHU196287:PIF196289 PRQ196287:PSB196289 QBM196287:QBX196289 QLI196287:QLT196289 QVE196287:QVP196289 RFA196287:RFL196289 ROW196287:RPH196289 RYS196287:RZD196289 SIO196287:SIZ196289 SSK196287:SSV196289 TCG196287:TCR196289 TMC196287:TMN196289 TVY196287:TWJ196289 UFU196287:UGF196289 UPQ196287:UQB196289 UZM196287:UZX196289 VJI196287:VJT196289 VTE196287:VTP196289 WDA196287:WDL196289 WMW196287:WNH196289 WWS196287:WXD196289 KG261823:KR261825 UC261823:UN261825 ADY261823:AEJ261825 ANU261823:AOF261825 AXQ261823:AYB261825 BHM261823:BHX261825 BRI261823:BRT261825 CBE261823:CBP261825 CLA261823:CLL261825 CUW261823:CVH261825 DES261823:DFD261825 DOO261823:DOZ261825 DYK261823:DYV261825 EIG261823:EIR261825 ESC261823:ESN261825 FBY261823:FCJ261825 FLU261823:FMF261825 FVQ261823:FWB261825 GFM261823:GFX261825 GPI261823:GPT261825 GZE261823:GZP261825 HJA261823:HJL261825 HSW261823:HTH261825 ICS261823:IDD261825 IMO261823:IMZ261825 IWK261823:IWV261825 JGG261823:JGR261825 JQC261823:JQN261825 JZY261823:KAJ261825 KJU261823:KKF261825 KTQ261823:KUB261825 LDM261823:LDX261825 LNI261823:LNT261825 LXE261823:LXP261825 MHA261823:MHL261825 MQW261823:MRH261825 NAS261823:NBD261825 NKO261823:NKZ261825 NUK261823:NUV261825 OEG261823:OER261825 OOC261823:OON261825 OXY261823:OYJ261825 PHU261823:PIF261825 PRQ261823:PSB261825 QBM261823:QBX261825 QLI261823:QLT261825 QVE261823:QVP261825 RFA261823:RFL261825 ROW261823:RPH261825 RYS261823:RZD261825 SIO261823:SIZ261825 SSK261823:SSV261825 TCG261823:TCR261825 TMC261823:TMN261825 TVY261823:TWJ261825 UFU261823:UGF261825 UPQ261823:UQB261825 UZM261823:UZX261825 VJI261823:VJT261825 VTE261823:VTP261825 WDA261823:WDL261825 WMW261823:WNH261825 WWS261823:WXD261825 KG327359:KR327361 UC327359:UN327361 ADY327359:AEJ327361 ANU327359:AOF327361 AXQ327359:AYB327361 BHM327359:BHX327361 BRI327359:BRT327361 CBE327359:CBP327361 CLA327359:CLL327361 CUW327359:CVH327361 DES327359:DFD327361 DOO327359:DOZ327361 DYK327359:DYV327361 EIG327359:EIR327361 ESC327359:ESN327361 FBY327359:FCJ327361 FLU327359:FMF327361 FVQ327359:FWB327361 GFM327359:GFX327361 GPI327359:GPT327361 GZE327359:GZP327361 HJA327359:HJL327361 HSW327359:HTH327361 ICS327359:IDD327361 IMO327359:IMZ327361 IWK327359:IWV327361 JGG327359:JGR327361 JQC327359:JQN327361 JZY327359:KAJ327361 KJU327359:KKF327361 KTQ327359:KUB327361 LDM327359:LDX327361 LNI327359:LNT327361 LXE327359:LXP327361 MHA327359:MHL327361 MQW327359:MRH327361 NAS327359:NBD327361 NKO327359:NKZ327361 NUK327359:NUV327361 OEG327359:OER327361 OOC327359:OON327361 OXY327359:OYJ327361 PHU327359:PIF327361 PRQ327359:PSB327361 QBM327359:QBX327361 QLI327359:QLT327361 QVE327359:QVP327361 RFA327359:RFL327361 ROW327359:RPH327361 RYS327359:RZD327361 SIO327359:SIZ327361 SSK327359:SSV327361 TCG327359:TCR327361 TMC327359:TMN327361 TVY327359:TWJ327361 UFU327359:UGF327361 UPQ327359:UQB327361 UZM327359:UZX327361 VJI327359:VJT327361 VTE327359:VTP327361 WDA327359:WDL327361 WMW327359:WNH327361 WWS327359:WXD327361 KG392895:KR392897 UC392895:UN392897 ADY392895:AEJ392897 ANU392895:AOF392897 AXQ392895:AYB392897 BHM392895:BHX392897 BRI392895:BRT392897 CBE392895:CBP392897 CLA392895:CLL392897 CUW392895:CVH392897 DES392895:DFD392897 DOO392895:DOZ392897 DYK392895:DYV392897 EIG392895:EIR392897 ESC392895:ESN392897 FBY392895:FCJ392897 FLU392895:FMF392897 FVQ392895:FWB392897 GFM392895:GFX392897 GPI392895:GPT392897 GZE392895:GZP392897 HJA392895:HJL392897 HSW392895:HTH392897 ICS392895:IDD392897 IMO392895:IMZ392897 IWK392895:IWV392897 JGG392895:JGR392897 JQC392895:JQN392897 JZY392895:KAJ392897 KJU392895:KKF392897 KTQ392895:KUB392897 LDM392895:LDX392897 LNI392895:LNT392897 LXE392895:LXP392897 MHA392895:MHL392897 MQW392895:MRH392897 NAS392895:NBD392897 NKO392895:NKZ392897 NUK392895:NUV392897 OEG392895:OER392897 OOC392895:OON392897 OXY392895:OYJ392897 PHU392895:PIF392897 PRQ392895:PSB392897 QBM392895:QBX392897 QLI392895:QLT392897 QVE392895:QVP392897 RFA392895:RFL392897 ROW392895:RPH392897 RYS392895:RZD392897 SIO392895:SIZ392897 SSK392895:SSV392897 TCG392895:TCR392897 TMC392895:TMN392897 TVY392895:TWJ392897 UFU392895:UGF392897 UPQ392895:UQB392897 UZM392895:UZX392897 VJI392895:VJT392897 VTE392895:VTP392897 WDA392895:WDL392897 WMW392895:WNH392897 WWS392895:WXD392897 KG458431:KR458433 UC458431:UN458433 ADY458431:AEJ458433 ANU458431:AOF458433 AXQ458431:AYB458433 BHM458431:BHX458433 BRI458431:BRT458433 CBE458431:CBP458433 CLA458431:CLL458433 CUW458431:CVH458433 DES458431:DFD458433 DOO458431:DOZ458433 DYK458431:DYV458433 EIG458431:EIR458433 ESC458431:ESN458433 FBY458431:FCJ458433 FLU458431:FMF458433 FVQ458431:FWB458433 GFM458431:GFX458433 GPI458431:GPT458433 GZE458431:GZP458433 HJA458431:HJL458433 HSW458431:HTH458433 ICS458431:IDD458433 IMO458431:IMZ458433 IWK458431:IWV458433 JGG458431:JGR458433 JQC458431:JQN458433 JZY458431:KAJ458433 KJU458431:KKF458433 KTQ458431:KUB458433 LDM458431:LDX458433 LNI458431:LNT458433 LXE458431:LXP458433 MHA458431:MHL458433 MQW458431:MRH458433 NAS458431:NBD458433 NKO458431:NKZ458433 NUK458431:NUV458433 OEG458431:OER458433 OOC458431:OON458433 OXY458431:OYJ458433 PHU458431:PIF458433 PRQ458431:PSB458433 QBM458431:QBX458433 QLI458431:QLT458433 QVE458431:QVP458433 RFA458431:RFL458433 ROW458431:RPH458433 RYS458431:RZD458433 SIO458431:SIZ458433 SSK458431:SSV458433 TCG458431:TCR458433 TMC458431:TMN458433 TVY458431:TWJ458433 UFU458431:UGF458433 UPQ458431:UQB458433 UZM458431:UZX458433 VJI458431:VJT458433 VTE458431:VTP458433 WDA458431:WDL458433 WMW458431:WNH458433 WWS458431:WXD458433 KG523967:KR523969 UC523967:UN523969 ADY523967:AEJ523969 ANU523967:AOF523969 AXQ523967:AYB523969 BHM523967:BHX523969 BRI523967:BRT523969 CBE523967:CBP523969 CLA523967:CLL523969 CUW523967:CVH523969 DES523967:DFD523969 DOO523967:DOZ523969 DYK523967:DYV523969 EIG523967:EIR523969 ESC523967:ESN523969 FBY523967:FCJ523969 FLU523967:FMF523969 FVQ523967:FWB523969 GFM523967:GFX523969 GPI523967:GPT523969 GZE523967:GZP523969 HJA523967:HJL523969 HSW523967:HTH523969 ICS523967:IDD523969 IMO523967:IMZ523969 IWK523967:IWV523969 JGG523967:JGR523969 JQC523967:JQN523969 JZY523967:KAJ523969 KJU523967:KKF523969 KTQ523967:KUB523969 LDM523967:LDX523969 LNI523967:LNT523969 LXE523967:LXP523969 MHA523967:MHL523969 MQW523967:MRH523969 NAS523967:NBD523969 NKO523967:NKZ523969 NUK523967:NUV523969 OEG523967:OER523969 OOC523967:OON523969 OXY523967:OYJ523969 PHU523967:PIF523969 PRQ523967:PSB523969 QBM523967:QBX523969 QLI523967:QLT523969 QVE523967:QVP523969 RFA523967:RFL523969 ROW523967:RPH523969 RYS523967:RZD523969 SIO523967:SIZ523969 SSK523967:SSV523969 TCG523967:TCR523969 TMC523967:TMN523969 TVY523967:TWJ523969 UFU523967:UGF523969 UPQ523967:UQB523969 UZM523967:UZX523969 VJI523967:VJT523969 VTE523967:VTP523969 WDA523967:WDL523969 WMW523967:WNH523969 WWS523967:WXD523969 KG589503:KR589505 UC589503:UN589505 ADY589503:AEJ589505 ANU589503:AOF589505 AXQ589503:AYB589505 BHM589503:BHX589505 BRI589503:BRT589505 CBE589503:CBP589505 CLA589503:CLL589505 CUW589503:CVH589505 DES589503:DFD589505 DOO589503:DOZ589505 DYK589503:DYV589505 EIG589503:EIR589505 ESC589503:ESN589505 FBY589503:FCJ589505 FLU589503:FMF589505 FVQ589503:FWB589505 GFM589503:GFX589505 GPI589503:GPT589505 GZE589503:GZP589505 HJA589503:HJL589505 HSW589503:HTH589505 ICS589503:IDD589505 IMO589503:IMZ589505 IWK589503:IWV589505 JGG589503:JGR589505 JQC589503:JQN589505 JZY589503:KAJ589505 KJU589503:KKF589505 KTQ589503:KUB589505 LDM589503:LDX589505 LNI589503:LNT589505 LXE589503:LXP589505 MHA589503:MHL589505 MQW589503:MRH589505 NAS589503:NBD589505 NKO589503:NKZ589505 NUK589503:NUV589505 OEG589503:OER589505 OOC589503:OON589505 OXY589503:OYJ589505 PHU589503:PIF589505 PRQ589503:PSB589505 QBM589503:QBX589505 QLI589503:QLT589505 QVE589503:QVP589505 RFA589503:RFL589505 ROW589503:RPH589505 RYS589503:RZD589505 SIO589503:SIZ589505 SSK589503:SSV589505 TCG589503:TCR589505 TMC589503:TMN589505 TVY589503:TWJ589505 UFU589503:UGF589505 UPQ589503:UQB589505 UZM589503:UZX589505 VJI589503:VJT589505 VTE589503:VTP589505 WDA589503:WDL589505 WMW589503:WNH589505 WWS589503:WXD589505 KG655039:KR655041 UC655039:UN655041 ADY655039:AEJ655041 ANU655039:AOF655041 AXQ655039:AYB655041 BHM655039:BHX655041 BRI655039:BRT655041 CBE655039:CBP655041 CLA655039:CLL655041 CUW655039:CVH655041 DES655039:DFD655041 DOO655039:DOZ655041 DYK655039:DYV655041 EIG655039:EIR655041 ESC655039:ESN655041 FBY655039:FCJ655041 FLU655039:FMF655041 FVQ655039:FWB655041 GFM655039:GFX655041 GPI655039:GPT655041 GZE655039:GZP655041 HJA655039:HJL655041 HSW655039:HTH655041 ICS655039:IDD655041 IMO655039:IMZ655041 IWK655039:IWV655041 JGG655039:JGR655041 JQC655039:JQN655041 JZY655039:KAJ655041 KJU655039:KKF655041 KTQ655039:KUB655041 LDM655039:LDX655041 LNI655039:LNT655041 LXE655039:LXP655041 MHA655039:MHL655041 MQW655039:MRH655041 NAS655039:NBD655041 NKO655039:NKZ655041 NUK655039:NUV655041 OEG655039:OER655041 OOC655039:OON655041 OXY655039:OYJ655041 PHU655039:PIF655041 PRQ655039:PSB655041 QBM655039:QBX655041 QLI655039:QLT655041 QVE655039:QVP655041 RFA655039:RFL655041 ROW655039:RPH655041 RYS655039:RZD655041 SIO655039:SIZ655041 SSK655039:SSV655041 TCG655039:TCR655041 TMC655039:TMN655041 TVY655039:TWJ655041 UFU655039:UGF655041 UPQ655039:UQB655041 UZM655039:UZX655041 VJI655039:VJT655041 VTE655039:VTP655041 WDA655039:WDL655041 WMW655039:WNH655041 WWS655039:WXD655041 KG720575:KR720577 UC720575:UN720577 ADY720575:AEJ720577 ANU720575:AOF720577 AXQ720575:AYB720577 BHM720575:BHX720577 BRI720575:BRT720577 CBE720575:CBP720577 CLA720575:CLL720577 CUW720575:CVH720577 DES720575:DFD720577 DOO720575:DOZ720577 DYK720575:DYV720577 EIG720575:EIR720577 ESC720575:ESN720577 FBY720575:FCJ720577 FLU720575:FMF720577 FVQ720575:FWB720577 GFM720575:GFX720577 GPI720575:GPT720577 GZE720575:GZP720577 HJA720575:HJL720577 HSW720575:HTH720577 ICS720575:IDD720577 IMO720575:IMZ720577 IWK720575:IWV720577 JGG720575:JGR720577 JQC720575:JQN720577 JZY720575:KAJ720577 KJU720575:KKF720577 KTQ720575:KUB720577 LDM720575:LDX720577 LNI720575:LNT720577 LXE720575:LXP720577 MHA720575:MHL720577 MQW720575:MRH720577 NAS720575:NBD720577 NKO720575:NKZ720577 NUK720575:NUV720577 OEG720575:OER720577 OOC720575:OON720577 OXY720575:OYJ720577 PHU720575:PIF720577 PRQ720575:PSB720577 QBM720575:QBX720577 QLI720575:QLT720577 QVE720575:QVP720577 RFA720575:RFL720577 ROW720575:RPH720577 RYS720575:RZD720577 SIO720575:SIZ720577 SSK720575:SSV720577 TCG720575:TCR720577 TMC720575:TMN720577 TVY720575:TWJ720577 UFU720575:UGF720577 UPQ720575:UQB720577 UZM720575:UZX720577 VJI720575:VJT720577 VTE720575:VTP720577 WDA720575:WDL720577 WMW720575:WNH720577 WWS720575:WXD720577 KG786111:KR786113 UC786111:UN786113 ADY786111:AEJ786113 ANU786111:AOF786113 AXQ786111:AYB786113 BHM786111:BHX786113 BRI786111:BRT786113 CBE786111:CBP786113 CLA786111:CLL786113 CUW786111:CVH786113 DES786111:DFD786113 DOO786111:DOZ786113 DYK786111:DYV786113 EIG786111:EIR786113 ESC786111:ESN786113 FBY786111:FCJ786113 FLU786111:FMF786113 FVQ786111:FWB786113 GFM786111:GFX786113 GPI786111:GPT786113 GZE786111:GZP786113 HJA786111:HJL786113 HSW786111:HTH786113 ICS786111:IDD786113 IMO786111:IMZ786113 IWK786111:IWV786113 JGG786111:JGR786113 JQC786111:JQN786113 JZY786111:KAJ786113 KJU786111:KKF786113 KTQ786111:KUB786113 LDM786111:LDX786113 LNI786111:LNT786113 LXE786111:LXP786113 MHA786111:MHL786113 MQW786111:MRH786113 NAS786111:NBD786113 NKO786111:NKZ786113 NUK786111:NUV786113 OEG786111:OER786113 OOC786111:OON786113 OXY786111:OYJ786113 PHU786111:PIF786113 PRQ786111:PSB786113 QBM786111:QBX786113 QLI786111:QLT786113 QVE786111:QVP786113 RFA786111:RFL786113 ROW786111:RPH786113 RYS786111:RZD786113 SIO786111:SIZ786113 SSK786111:SSV786113 TCG786111:TCR786113 TMC786111:TMN786113 TVY786111:TWJ786113 UFU786111:UGF786113 UPQ786111:UQB786113 UZM786111:UZX786113 VJI786111:VJT786113 VTE786111:VTP786113 WDA786111:WDL786113 WMW786111:WNH786113 WWS786111:WXD786113 KG851647:KR851649 UC851647:UN851649 ADY851647:AEJ851649 ANU851647:AOF851649 AXQ851647:AYB851649 BHM851647:BHX851649 BRI851647:BRT851649 CBE851647:CBP851649 CLA851647:CLL851649 CUW851647:CVH851649 DES851647:DFD851649 DOO851647:DOZ851649 DYK851647:DYV851649 EIG851647:EIR851649 ESC851647:ESN851649 FBY851647:FCJ851649 FLU851647:FMF851649 FVQ851647:FWB851649 GFM851647:GFX851649 GPI851647:GPT851649 GZE851647:GZP851649 HJA851647:HJL851649 HSW851647:HTH851649 ICS851647:IDD851649 IMO851647:IMZ851649 IWK851647:IWV851649 JGG851647:JGR851649 JQC851647:JQN851649 JZY851647:KAJ851649 KJU851647:KKF851649 KTQ851647:KUB851649 LDM851647:LDX851649 LNI851647:LNT851649 LXE851647:LXP851649 MHA851647:MHL851649 MQW851647:MRH851649 NAS851647:NBD851649 NKO851647:NKZ851649 NUK851647:NUV851649 OEG851647:OER851649 OOC851647:OON851649 OXY851647:OYJ851649 PHU851647:PIF851649 PRQ851647:PSB851649 QBM851647:QBX851649 QLI851647:QLT851649 QVE851647:QVP851649 RFA851647:RFL851649 ROW851647:RPH851649 RYS851647:RZD851649 SIO851647:SIZ851649 SSK851647:SSV851649 TCG851647:TCR851649 TMC851647:TMN851649 TVY851647:TWJ851649 UFU851647:UGF851649 UPQ851647:UQB851649 UZM851647:UZX851649 VJI851647:VJT851649 VTE851647:VTP851649 WDA851647:WDL851649 WMW851647:WNH851649 WWS851647:WXD851649 KG917183:KR917185 UC917183:UN917185 ADY917183:AEJ917185 ANU917183:AOF917185 AXQ917183:AYB917185 BHM917183:BHX917185 BRI917183:BRT917185 CBE917183:CBP917185 CLA917183:CLL917185 CUW917183:CVH917185 DES917183:DFD917185 DOO917183:DOZ917185 DYK917183:DYV917185 EIG917183:EIR917185 ESC917183:ESN917185 FBY917183:FCJ917185 FLU917183:FMF917185 FVQ917183:FWB917185 GFM917183:GFX917185 GPI917183:GPT917185 GZE917183:GZP917185 HJA917183:HJL917185 HSW917183:HTH917185 ICS917183:IDD917185 IMO917183:IMZ917185 IWK917183:IWV917185 JGG917183:JGR917185 JQC917183:JQN917185 JZY917183:KAJ917185 KJU917183:KKF917185 KTQ917183:KUB917185 LDM917183:LDX917185 LNI917183:LNT917185 LXE917183:LXP917185 MHA917183:MHL917185 MQW917183:MRH917185 NAS917183:NBD917185 NKO917183:NKZ917185 NUK917183:NUV917185 OEG917183:OER917185 OOC917183:OON917185 OXY917183:OYJ917185 PHU917183:PIF917185 PRQ917183:PSB917185 QBM917183:QBX917185 QLI917183:QLT917185 QVE917183:QVP917185 RFA917183:RFL917185 ROW917183:RPH917185 RYS917183:RZD917185 SIO917183:SIZ917185 SSK917183:SSV917185 TCG917183:TCR917185 TMC917183:TMN917185 TVY917183:TWJ917185 UFU917183:UGF917185 UPQ917183:UQB917185 UZM917183:UZX917185 VJI917183:VJT917185 VTE917183:VTP917185 WDA917183:WDL917185 WMW917183:WNH917185 WWS917183:WXD917185 KG982719:KR982721 UC982719:UN982721 ADY982719:AEJ982721 ANU982719:AOF982721 AXQ982719:AYB982721 BHM982719:BHX982721 BRI982719:BRT982721 CBE982719:CBP982721 CLA982719:CLL982721 CUW982719:CVH982721 DES982719:DFD982721 DOO982719:DOZ982721 DYK982719:DYV982721 EIG982719:EIR982721 ESC982719:ESN982721 JP2:KA4 TL2:TW4 ADH2:ADS4 AND2:ANO4 AWZ2:AXK4 BGV2:BHG4 BQR2:BRC4 CAN2:CAY4 CKJ2:CKU4 CUF2:CUQ4 DEB2:DEM4 DNX2:DOI4 DXT2:DYE4 EHP2:EIA4 ERL2:ERW4 FBH2:FBS4 FLD2:FLO4 FUZ2:FVK4 GEV2:GFG4 GOR2:GPC4 GYN2:GYY4 HIJ2:HIU4 HSF2:HSQ4 ICB2:ICM4 ILX2:IMI4 IVT2:IWE4 JFP2:JGA4 JPL2:JPW4 JZH2:JZS4 KJD2:KJO4 KSZ2:KTK4 LCV2:LDG4 LMR2:LNC4 LWN2:LWY4 MGJ2:MGU4 MQF2:MQQ4 NAB2:NAM4 NJX2:NKI4 NTT2:NUE4 ODP2:OEA4 ONL2:ONW4 OXH2:OXS4 PHD2:PHO4 PQZ2:PRK4 QAV2:QBG4 QKR2:QLC4 QUN2:QUY4 REJ2:REU4 ROF2:ROQ4 RYB2:RYM4 SHX2:SII4 SRT2:SSE4 TBP2:TCA4 TLL2:TLW4 TVH2:TVS4 UFD2:UFO4 UOZ2:UPK4 UYV2:UZG4 VIR2:VJC4 VSN2:VSY4 WCJ2:WCU4 WMF2:WMQ4 WWB2:WWM4 W2"/>
    <dataValidation type="list" allowBlank="1" showInputMessage="1" showErrorMessage="1" sqref="W7:AC46">
      <formula1>"A.受注,B.生産計画,C.生産実績,D.出荷,E.資材,F.請求・入金,G.売上,H.支払,I.原価,J.製品棚卸,K.在庫,L.共通"</formula1>
    </dataValidation>
  </dataValidations>
  <pageMargins left="0.39370078740157483" right="0.39370078740157483" top="0.59055118110236227" bottom="0.39370078740157483" header="0.39370078740157483" footer="0.19685039370078741"/>
  <pageSetup paperSize="9" scale="80" fitToHeight="0" orientation="landscape" verticalDpi="300" r:id="rId1"/>
  <headerFooter alignWithMargins="0">
    <oddFooter>&amp;RB.生産計画 テーブル一覧 - &amp;P</oddFooter>
  </headerFooter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5"/>
  <dimension ref="A1:BD85"/>
  <sheetViews>
    <sheetView showGridLines="0" zoomScaleNormal="100" zoomScaleSheetLayoutView="100" workbookViewId="0">
      <pane ySplit="7" topLeftCell="A8" activePane="bottomLeft" state="frozen"/>
      <selection pane="bottomLeft" sqref="A1:H4"/>
    </sheetView>
  </sheetViews>
  <sheetFormatPr defaultColWidth="2.6328125" defaultRowHeight="14.4"/>
  <cols>
    <col min="1" max="1" width="4.6328125" style="18" customWidth="1"/>
    <col min="2" max="8" width="2.6328125" style="18"/>
    <col min="9" max="9" width="2.6328125" style="18" customWidth="1"/>
    <col min="10" max="29" width="2.6328125" style="18"/>
    <col min="30" max="30" width="4.6328125" style="18" customWidth="1"/>
    <col min="31" max="33" width="2.6328125" style="18"/>
    <col min="34" max="34" width="6.6328125" style="18" customWidth="1"/>
    <col min="35" max="44" width="2.6328125" style="18"/>
    <col min="45" max="56" width="2.6328125" style="46"/>
    <col min="57" max="16384" width="2.6328125" style="18"/>
  </cols>
  <sheetData>
    <row r="1" spans="1:56" s="17" customFormat="1" ht="14.4" customHeight="1">
      <c r="A1" s="417" t="s">
        <v>78</v>
      </c>
      <c r="B1" s="418"/>
      <c r="C1" s="418"/>
      <c r="D1" s="418"/>
      <c r="E1" s="418"/>
      <c r="F1" s="418"/>
      <c r="G1" s="418"/>
      <c r="H1" s="419"/>
      <c r="I1" s="354" t="s">
        <v>79</v>
      </c>
      <c r="J1" s="355"/>
      <c r="K1" s="355"/>
      <c r="L1" s="355"/>
      <c r="M1" s="355"/>
      <c r="N1" s="355"/>
      <c r="O1" s="355"/>
      <c r="P1" s="355"/>
      <c r="Q1" s="356"/>
      <c r="R1" s="354" t="s">
        <v>80</v>
      </c>
      <c r="S1" s="355"/>
      <c r="T1" s="355"/>
      <c r="U1" s="355"/>
      <c r="V1" s="355"/>
      <c r="W1" s="355"/>
      <c r="X1" s="356"/>
      <c r="Y1" s="354" t="s">
        <v>135</v>
      </c>
      <c r="Z1" s="355"/>
      <c r="AA1" s="355"/>
      <c r="AB1" s="355"/>
      <c r="AC1" s="355"/>
      <c r="AD1" s="355"/>
      <c r="AE1" s="355"/>
      <c r="AF1" s="355"/>
      <c r="AG1" s="355"/>
      <c r="AH1" s="355"/>
      <c r="AI1" s="355"/>
      <c r="AJ1" s="355"/>
      <c r="AK1" s="355"/>
      <c r="AL1" s="355"/>
      <c r="AM1" s="355"/>
      <c r="AN1" s="355"/>
      <c r="AO1" s="356"/>
      <c r="AP1" s="428" t="s">
        <v>82</v>
      </c>
      <c r="AQ1" s="429"/>
      <c r="AR1" s="429"/>
      <c r="AS1" s="429"/>
      <c r="AT1" s="430"/>
      <c r="AU1" s="428" t="s">
        <v>83</v>
      </c>
      <c r="AV1" s="429"/>
      <c r="AW1" s="429"/>
      <c r="AX1" s="429"/>
      <c r="AY1" s="430"/>
      <c r="AZ1" s="428" t="s">
        <v>84</v>
      </c>
      <c r="BA1" s="429"/>
      <c r="BB1" s="429"/>
      <c r="BC1" s="429"/>
      <c r="BD1" s="430"/>
    </row>
    <row r="2" spans="1:56" s="17" customFormat="1" ht="14.4" customHeight="1">
      <c r="A2" s="420"/>
      <c r="B2" s="421"/>
      <c r="C2" s="421"/>
      <c r="D2" s="421"/>
      <c r="E2" s="421"/>
      <c r="F2" s="421"/>
      <c r="G2" s="421"/>
      <c r="H2" s="422"/>
      <c r="I2" s="384" t="s">
        <v>85</v>
      </c>
      <c r="J2" s="385"/>
      <c r="K2" s="385"/>
      <c r="L2" s="385"/>
      <c r="M2" s="385"/>
      <c r="N2" s="385"/>
      <c r="O2" s="385"/>
      <c r="P2" s="385"/>
      <c r="Q2" s="386"/>
      <c r="R2" s="384" t="str">
        <f ca="1">VLOOKUP(RIGHT(CELL("filename",A2),LEN(CELL("filename",A2))-FIND("]",CELL("filename",A2))),テーブル一覧!B:AD,22,FALSE)</f>
        <v>B.生産計画</v>
      </c>
      <c r="S2" s="385"/>
      <c r="T2" s="385"/>
      <c r="U2" s="385"/>
      <c r="V2" s="385"/>
      <c r="W2" s="385"/>
      <c r="X2" s="386"/>
      <c r="Y2" s="384" t="str">
        <f ca="1">VLOOKUP(RIGHT(CELL("filename",A2),LEN(CELL("filename",A2))-FIND("]",CELL("filename",A2))),テーブル一覧!B:AD,1,FALSE)</f>
        <v>生産計画情報（抄紙）</v>
      </c>
      <c r="Z2" s="385"/>
      <c r="AA2" s="385"/>
      <c r="AB2" s="385"/>
      <c r="AC2" s="385"/>
      <c r="AD2" s="385"/>
      <c r="AE2" s="385"/>
      <c r="AF2" s="385"/>
      <c r="AG2" s="385"/>
      <c r="AH2" s="385"/>
      <c r="AI2" s="385"/>
      <c r="AJ2" s="385"/>
      <c r="AK2" s="385"/>
      <c r="AL2" s="385"/>
      <c r="AM2" s="385"/>
      <c r="AN2" s="385"/>
      <c r="AO2" s="386"/>
      <c r="AP2" s="357"/>
      <c r="AQ2" s="358"/>
      <c r="AR2" s="358"/>
      <c r="AS2" s="358"/>
      <c r="AT2" s="359"/>
      <c r="AU2" s="58" t="s">
        <v>88</v>
      </c>
      <c r="AV2" s="59"/>
      <c r="AW2" s="59"/>
      <c r="AX2" s="59"/>
      <c r="AY2" s="60"/>
      <c r="AZ2" s="434" t="s">
        <v>89</v>
      </c>
      <c r="BA2" s="435"/>
      <c r="BB2" s="435"/>
      <c r="BC2" s="435"/>
      <c r="BD2" s="436"/>
    </row>
    <row r="3" spans="1:56" s="17" customFormat="1" ht="14.4" customHeight="1">
      <c r="A3" s="420"/>
      <c r="B3" s="421"/>
      <c r="C3" s="421"/>
      <c r="D3" s="421"/>
      <c r="E3" s="421"/>
      <c r="F3" s="421"/>
      <c r="G3" s="421"/>
      <c r="H3" s="422"/>
      <c r="I3" s="387"/>
      <c r="J3" s="388"/>
      <c r="K3" s="388"/>
      <c r="L3" s="388"/>
      <c r="M3" s="388"/>
      <c r="N3" s="388"/>
      <c r="O3" s="388"/>
      <c r="P3" s="388"/>
      <c r="Q3" s="389"/>
      <c r="R3" s="387"/>
      <c r="S3" s="388"/>
      <c r="T3" s="388"/>
      <c r="U3" s="388"/>
      <c r="V3" s="388"/>
      <c r="W3" s="388"/>
      <c r="X3" s="389"/>
      <c r="Y3" s="390"/>
      <c r="Z3" s="391"/>
      <c r="AA3" s="391"/>
      <c r="AB3" s="391"/>
      <c r="AC3" s="391"/>
      <c r="AD3" s="391"/>
      <c r="AE3" s="391"/>
      <c r="AF3" s="391"/>
      <c r="AG3" s="391"/>
      <c r="AH3" s="391"/>
      <c r="AI3" s="391"/>
      <c r="AJ3" s="391"/>
      <c r="AK3" s="391"/>
      <c r="AL3" s="391"/>
      <c r="AM3" s="391"/>
      <c r="AN3" s="391"/>
      <c r="AO3" s="392"/>
      <c r="AP3" s="360"/>
      <c r="AQ3" s="361"/>
      <c r="AR3" s="361"/>
      <c r="AS3" s="361"/>
      <c r="AT3" s="362"/>
      <c r="AU3" s="431"/>
      <c r="AV3" s="432"/>
      <c r="AW3" s="432"/>
      <c r="AX3" s="432"/>
      <c r="AY3" s="433"/>
      <c r="AZ3" s="434"/>
      <c r="BA3" s="435"/>
      <c r="BB3" s="435"/>
      <c r="BC3" s="435"/>
      <c r="BD3" s="436"/>
    </row>
    <row r="4" spans="1:56" s="17" customFormat="1" ht="14.4" customHeight="1">
      <c r="A4" s="423"/>
      <c r="B4" s="424"/>
      <c r="C4" s="424"/>
      <c r="D4" s="424"/>
      <c r="E4" s="424"/>
      <c r="F4" s="424"/>
      <c r="G4" s="424"/>
      <c r="H4" s="425"/>
      <c r="I4" s="390"/>
      <c r="J4" s="391"/>
      <c r="K4" s="391"/>
      <c r="L4" s="391"/>
      <c r="M4" s="391"/>
      <c r="N4" s="391"/>
      <c r="O4" s="391"/>
      <c r="P4" s="391"/>
      <c r="Q4" s="392"/>
      <c r="R4" s="390"/>
      <c r="S4" s="391"/>
      <c r="T4" s="391"/>
      <c r="U4" s="391"/>
      <c r="V4" s="391"/>
      <c r="W4" s="391"/>
      <c r="X4" s="392"/>
      <c r="Y4" s="437" t="str">
        <f ca="1">IF(VLOOKUP(RIGHT(CELL("filename",A2),LEN(CELL("filename",A2))-FIND("]",CELL("filename",A2))),テーブル一覧!B:AD,11,FALSE)=0,"",VLOOKUP(RIGHT(CELL("filename",A2),LEN(CELL("filename",A2))-FIND("]",CELL("filename",A2))),テーブル一覧!B:AD,11,FALSE))</f>
        <v>t_seisan_keikaku_pm</v>
      </c>
      <c r="Z4" s="438"/>
      <c r="AA4" s="438"/>
      <c r="AB4" s="438"/>
      <c r="AC4" s="438"/>
      <c r="AD4" s="438"/>
      <c r="AE4" s="438"/>
      <c r="AF4" s="438"/>
      <c r="AG4" s="438"/>
      <c r="AH4" s="438"/>
      <c r="AI4" s="438"/>
      <c r="AJ4" s="438"/>
      <c r="AK4" s="438"/>
      <c r="AL4" s="438"/>
      <c r="AM4" s="438"/>
      <c r="AN4" s="438"/>
      <c r="AO4" s="439"/>
      <c r="AP4" s="360"/>
      <c r="AQ4" s="361"/>
      <c r="AR4" s="361"/>
      <c r="AS4" s="361"/>
      <c r="AT4" s="362"/>
      <c r="AU4" s="431"/>
      <c r="AV4" s="432"/>
      <c r="AW4" s="432"/>
      <c r="AX4" s="432"/>
      <c r="AY4" s="433"/>
      <c r="AZ4" s="434"/>
      <c r="BA4" s="435"/>
      <c r="BB4" s="435"/>
      <c r="BC4" s="435"/>
      <c r="BD4" s="436"/>
    </row>
    <row r="5" spans="1:56" ht="14.4" customHeight="1">
      <c r="A5" s="123"/>
      <c r="B5" s="123"/>
      <c r="C5" s="123"/>
      <c r="D5" s="123"/>
      <c r="E5" s="123"/>
      <c r="F5" s="123"/>
      <c r="G5" s="123"/>
      <c r="H5" s="123"/>
      <c r="I5" s="123"/>
      <c r="J5" s="123"/>
      <c r="K5" s="123"/>
      <c r="L5" s="123"/>
      <c r="M5" s="123"/>
      <c r="N5" s="123"/>
      <c r="O5" s="123"/>
      <c r="P5" s="123"/>
      <c r="Q5" s="123"/>
      <c r="R5" s="123"/>
      <c r="S5" s="123"/>
      <c r="T5" s="123"/>
      <c r="U5" s="123"/>
      <c r="V5" s="123"/>
      <c r="W5" s="123"/>
      <c r="X5" s="123"/>
      <c r="Y5" s="123"/>
      <c r="Z5" s="123"/>
      <c r="AA5" s="123"/>
      <c r="AB5" s="123"/>
      <c r="AC5" s="123"/>
      <c r="AD5" s="123"/>
      <c r="AE5" s="123"/>
      <c r="AF5" s="123"/>
      <c r="AG5" s="123"/>
      <c r="AH5" s="123"/>
      <c r="AI5" s="123"/>
      <c r="AJ5" s="123"/>
      <c r="AK5" s="123"/>
      <c r="AL5" s="123"/>
      <c r="AM5" s="123"/>
      <c r="AN5" s="123"/>
      <c r="AO5" s="123"/>
      <c r="AP5" s="123"/>
      <c r="AQ5" s="123"/>
      <c r="AR5" s="123"/>
    </row>
    <row r="6" spans="1:56" ht="14.4" customHeight="1">
      <c r="A6" s="426" t="s">
        <v>90</v>
      </c>
      <c r="B6" s="407" t="s">
        <v>136</v>
      </c>
      <c r="C6" s="415"/>
      <c r="D6" s="415"/>
      <c r="E6" s="415"/>
      <c r="F6" s="415"/>
      <c r="G6" s="415"/>
      <c r="H6" s="408"/>
      <c r="I6" s="407" t="s">
        <v>137</v>
      </c>
      <c r="J6" s="415"/>
      <c r="K6" s="415"/>
      <c r="L6" s="415"/>
      <c r="M6" s="415"/>
      <c r="N6" s="415"/>
      <c r="O6" s="415"/>
      <c r="P6" s="415"/>
      <c r="Q6" s="408"/>
      <c r="R6" s="407" t="s">
        <v>138</v>
      </c>
      <c r="S6" s="415"/>
      <c r="T6" s="415"/>
      <c r="U6" s="415"/>
      <c r="V6" s="415"/>
      <c r="W6" s="415"/>
      <c r="X6" s="408"/>
      <c r="Y6" s="407" t="s">
        <v>139</v>
      </c>
      <c r="Z6" s="408"/>
      <c r="AA6" s="407" t="s">
        <v>140</v>
      </c>
      <c r="AB6" s="415"/>
      <c r="AC6" s="408"/>
      <c r="AD6" s="411" t="s">
        <v>141</v>
      </c>
      <c r="AE6" s="413" t="s">
        <v>142</v>
      </c>
      <c r="AF6" s="411" t="s">
        <v>143</v>
      </c>
      <c r="AG6" s="411" t="s">
        <v>144</v>
      </c>
      <c r="AH6" s="411" t="s">
        <v>145</v>
      </c>
      <c r="AI6" s="404" t="s">
        <v>146</v>
      </c>
      <c r="AJ6" s="405"/>
      <c r="AK6" s="405"/>
      <c r="AL6" s="405"/>
      <c r="AM6" s="405"/>
      <c r="AN6" s="405"/>
      <c r="AO6" s="405"/>
      <c r="AP6" s="405"/>
      <c r="AQ6" s="405"/>
      <c r="AR6" s="406"/>
      <c r="AS6" s="407" t="s">
        <v>147</v>
      </c>
      <c r="AT6" s="415"/>
      <c r="AU6" s="415"/>
      <c r="AV6" s="415"/>
      <c r="AW6" s="415"/>
      <c r="AX6" s="415"/>
      <c r="AY6" s="415"/>
      <c r="AZ6" s="415"/>
      <c r="BA6" s="415"/>
      <c r="BB6" s="415"/>
      <c r="BC6" s="415"/>
      <c r="BD6" s="408"/>
    </row>
    <row r="7" spans="1:56" ht="14.4" customHeight="1">
      <c r="A7" s="427"/>
      <c r="B7" s="409"/>
      <c r="C7" s="416"/>
      <c r="D7" s="416"/>
      <c r="E7" s="416"/>
      <c r="F7" s="416"/>
      <c r="G7" s="416"/>
      <c r="H7" s="410"/>
      <c r="I7" s="409"/>
      <c r="J7" s="416"/>
      <c r="K7" s="416"/>
      <c r="L7" s="416"/>
      <c r="M7" s="416"/>
      <c r="N7" s="416"/>
      <c r="O7" s="416"/>
      <c r="P7" s="416"/>
      <c r="Q7" s="410"/>
      <c r="R7" s="409"/>
      <c r="S7" s="416"/>
      <c r="T7" s="416"/>
      <c r="U7" s="416"/>
      <c r="V7" s="416"/>
      <c r="W7" s="416"/>
      <c r="X7" s="410"/>
      <c r="Y7" s="409"/>
      <c r="Z7" s="410"/>
      <c r="AA7" s="409"/>
      <c r="AB7" s="416"/>
      <c r="AC7" s="410"/>
      <c r="AD7" s="412"/>
      <c r="AE7" s="414"/>
      <c r="AF7" s="412"/>
      <c r="AG7" s="412"/>
      <c r="AH7" s="412"/>
      <c r="AI7" s="52">
        <v>1</v>
      </c>
      <c r="AJ7" s="52">
        <v>2</v>
      </c>
      <c r="AK7" s="52">
        <v>3</v>
      </c>
      <c r="AL7" s="52">
        <v>4</v>
      </c>
      <c r="AM7" s="52">
        <v>5</v>
      </c>
      <c r="AN7" s="52">
        <v>6</v>
      </c>
      <c r="AO7" s="52">
        <v>7</v>
      </c>
      <c r="AP7" s="52">
        <v>8</v>
      </c>
      <c r="AQ7" s="52">
        <v>9</v>
      </c>
      <c r="AR7" s="52">
        <v>10</v>
      </c>
      <c r="AS7" s="409"/>
      <c r="AT7" s="416"/>
      <c r="AU7" s="416"/>
      <c r="AV7" s="416"/>
      <c r="AW7" s="416"/>
      <c r="AX7" s="416"/>
      <c r="AY7" s="416"/>
      <c r="AZ7" s="416"/>
      <c r="BA7" s="416"/>
      <c r="BB7" s="416"/>
      <c r="BC7" s="416"/>
      <c r="BD7" s="410"/>
    </row>
    <row r="8" spans="1:56" s="1" customFormat="1">
      <c r="A8" s="145">
        <f>IF(B8="","",COUNTA($B$8:B8))</f>
        <v>1</v>
      </c>
      <c r="B8" s="239" t="s">
        <v>148</v>
      </c>
      <c r="C8" s="234"/>
      <c r="D8" s="234"/>
      <c r="E8" s="234"/>
      <c r="F8" s="234"/>
      <c r="G8" s="234"/>
      <c r="H8" s="235"/>
      <c r="I8" s="248" t="s">
        <v>149</v>
      </c>
      <c r="J8" s="234"/>
      <c r="K8" s="234"/>
      <c r="L8" s="234"/>
      <c r="M8" s="234"/>
      <c r="N8" s="234"/>
      <c r="O8" s="234"/>
      <c r="P8" s="234"/>
      <c r="Q8" s="235"/>
      <c r="R8" s="239" t="s">
        <v>148</v>
      </c>
      <c r="S8" s="234"/>
      <c r="T8" s="234"/>
      <c r="U8" s="234"/>
      <c r="V8" s="234"/>
      <c r="W8" s="234"/>
      <c r="X8" s="232"/>
      <c r="Y8" s="399" t="s">
        <v>150</v>
      </c>
      <c r="Z8" s="400"/>
      <c r="AA8" s="401" t="s">
        <v>151</v>
      </c>
      <c r="AB8" s="402"/>
      <c r="AC8" s="403"/>
      <c r="AD8" s="249">
        <v>15</v>
      </c>
      <c r="AE8" s="237"/>
      <c r="AF8" s="237">
        <v>1</v>
      </c>
      <c r="AG8" s="238" t="s">
        <v>152</v>
      </c>
      <c r="AH8" s="238"/>
      <c r="AI8" s="238"/>
      <c r="AJ8" s="238"/>
      <c r="AK8" s="238"/>
      <c r="AL8" s="238"/>
      <c r="AM8" s="238"/>
      <c r="AN8" s="238"/>
      <c r="AO8" s="237"/>
      <c r="AP8" s="237"/>
      <c r="AQ8" s="237"/>
      <c r="AR8" s="237"/>
      <c r="AS8" s="240"/>
      <c r="AT8" s="193"/>
      <c r="AU8" s="193"/>
      <c r="AV8" s="193"/>
      <c r="AW8" s="193"/>
      <c r="AX8" s="193"/>
      <c r="AY8" s="193"/>
      <c r="AZ8" s="193"/>
      <c r="BA8" s="193"/>
      <c r="BB8" s="193"/>
      <c r="BC8" s="193"/>
      <c r="BD8" s="194"/>
    </row>
    <row r="9" spans="1:56" s="1" customFormat="1">
      <c r="A9" s="145">
        <f>IF(B9="","",COUNTA($B$8:B9))</f>
        <v>2</v>
      </c>
      <c r="B9" s="230" t="s">
        <v>153</v>
      </c>
      <c r="C9" s="231"/>
      <c r="D9" s="231"/>
      <c r="E9" s="231"/>
      <c r="F9" s="231"/>
      <c r="G9" s="231"/>
      <c r="H9" s="232"/>
      <c r="I9" s="248" t="s">
        <v>154</v>
      </c>
      <c r="J9" s="234"/>
      <c r="K9" s="234"/>
      <c r="L9" s="234"/>
      <c r="M9" s="234"/>
      <c r="N9" s="234"/>
      <c r="O9" s="234"/>
      <c r="P9" s="234"/>
      <c r="Q9" s="235"/>
      <c r="R9" s="230" t="s">
        <v>153</v>
      </c>
      <c r="S9" s="234"/>
      <c r="T9" s="234"/>
      <c r="U9" s="234"/>
      <c r="V9" s="234"/>
      <c r="W9" s="234"/>
      <c r="X9" s="232"/>
      <c r="Y9" s="399" t="s">
        <v>155</v>
      </c>
      <c r="Z9" s="400"/>
      <c r="AA9" s="401" t="s">
        <v>156</v>
      </c>
      <c r="AB9" s="402"/>
      <c r="AC9" s="403"/>
      <c r="AD9" s="249">
        <v>3</v>
      </c>
      <c r="AE9" s="237"/>
      <c r="AF9" s="237">
        <v>2</v>
      </c>
      <c r="AG9" s="238" t="s">
        <v>152</v>
      </c>
      <c r="AH9" s="238"/>
      <c r="AI9" s="238"/>
      <c r="AJ9" s="238"/>
      <c r="AK9" s="238"/>
      <c r="AL9" s="238"/>
      <c r="AM9" s="238"/>
      <c r="AN9" s="238"/>
      <c r="AO9" s="237"/>
      <c r="AP9" s="237"/>
      <c r="AQ9" s="237"/>
      <c r="AR9" s="237"/>
      <c r="AS9" s="233" t="s">
        <v>364</v>
      </c>
      <c r="AT9" s="137"/>
      <c r="AU9" s="137"/>
      <c r="AV9" s="137"/>
      <c r="AW9" s="137"/>
      <c r="AX9" s="137"/>
      <c r="AY9" s="137"/>
      <c r="AZ9" s="137"/>
      <c r="BA9" s="137"/>
      <c r="BB9" s="137"/>
      <c r="BC9" s="137"/>
      <c r="BD9" s="138"/>
    </row>
    <row r="10" spans="1:56" s="1" customFormat="1">
      <c r="A10" s="145">
        <f>IF(B10="","",COUNTA($B$8:B10))</f>
        <v>3</v>
      </c>
      <c r="B10" s="230" t="s">
        <v>157</v>
      </c>
      <c r="C10" s="231"/>
      <c r="D10" s="231"/>
      <c r="E10" s="231"/>
      <c r="F10" s="231"/>
      <c r="G10" s="231"/>
      <c r="H10" s="232"/>
      <c r="I10" s="248" t="s">
        <v>158</v>
      </c>
      <c r="J10" s="234"/>
      <c r="K10" s="234"/>
      <c r="L10" s="234"/>
      <c r="M10" s="234"/>
      <c r="N10" s="234"/>
      <c r="O10" s="234"/>
      <c r="P10" s="234"/>
      <c r="Q10" s="235"/>
      <c r="R10" s="230" t="s">
        <v>157</v>
      </c>
      <c r="S10" s="234"/>
      <c r="T10" s="234"/>
      <c r="U10" s="234"/>
      <c r="V10" s="234"/>
      <c r="W10" s="234"/>
      <c r="X10" s="232"/>
      <c r="Y10" s="399" t="s">
        <v>150</v>
      </c>
      <c r="Z10" s="400"/>
      <c r="AA10" s="401" t="s">
        <v>151</v>
      </c>
      <c r="AB10" s="402"/>
      <c r="AC10" s="403"/>
      <c r="AD10" s="249">
        <v>10</v>
      </c>
      <c r="AE10" s="237"/>
      <c r="AF10" s="237"/>
      <c r="AG10" s="238"/>
      <c r="AH10" s="238"/>
      <c r="AI10" s="238"/>
      <c r="AJ10" s="238"/>
      <c r="AK10" s="238"/>
      <c r="AL10" s="238"/>
      <c r="AM10" s="238"/>
      <c r="AN10" s="238"/>
      <c r="AO10" s="237"/>
      <c r="AP10" s="237"/>
      <c r="AQ10" s="237"/>
      <c r="AR10" s="237"/>
      <c r="AS10" s="233"/>
      <c r="AT10" s="137"/>
      <c r="AU10" s="137"/>
      <c r="AV10" s="137"/>
      <c r="AW10" s="137"/>
      <c r="AX10" s="137"/>
      <c r="AY10" s="137"/>
      <c r="AZ10" s="137"/>
      <c r="BA10" s="137"/>
      <c r="BB10" s="137"/>
      <c r="BC10" s="137"/>
      <c r="BD10" s="138"/>
    </row>
    <row r="11" spans="1:56" s="1" customFormat="1">
      <c r="A11" s="145">
        <f>IF(B11="","",COUNTA($B$8:B11))</f>
        <v>4</v>
      </c>
      <c r="B11" s="230" t="s">
        <v>159</v>
      </c>
      <c r="C11" s="231"/>
      <c r="D11" s="231"/>
      <c r="E11" s="231"/>
      <c r="F11" s="231"/>
      <c r="G11" s="231"/>
      <c r="H11" s="232"/>
      <c r="I11" s="248" t="s">
        <v>160</v>
      </c>
      <c r="J11" s="234"/>
      <c r="K11" s="234"/>
      <c r="L11" s="234"/>
      <c r="M11" s="234"/>
      <c r="N11" s="234"/>
      <c r="O11" s="234"/>
      <c r="P11" s="234"/>
      <c r="Q11" s="235"/>
      <c r="R11" s="230" t="s">
        <v>159</v>
      </c>
      <c r="S11" s="234"/>
      <c r="T11" s="234"/>
      <c r="U11" s="234"/>
      <c r="V11" s="234"/>
      <c r="W11" s="234"/>
      <c r="X11" s="232"/>
      <c r="Y11" s="399" t="s">
        <v>150</v>
      </c>
      <c r="Z11" s="400"/>
      <c r="AA11" s="401" t="s">
        <v>151</v>
      </c>
      <c r="AB11" s="402"/>
      <c r="AC11" s="403"/>
      <c r="AD11" s="249">
        <v>4</v>
      </c>
      <c r="AE11" s="237"/>
      <c r="AF11" s="237"/>
      <c r="AG11" s="238"/>
      <c r="AH11" s="238"/>
      <c r="AI11" s="238" t="s">
        <v>161</v>
      </c>
      <c r="AJ11" s="238"/>
      <c r="AK11" s="238"/>
      <c r="AL11" s="238"/>
      <c r="AM11" s="238"/>
      <c r="AN11" s="238"/>
      <c r="AO11" s="237"/>
      <c r="AP11" s="237"/>
      <c r="AQ11" s="237"/>
      <c r="AR11" s="237"/>
      <c r="AS11" s="233"/>
      <c r="AT11" s="137"/>
      <c r="AU11" s="137"/>
      <c r="AV11" s="137"/>
      <c r="AW11" s="137"/>
      <c r="AX11" s="137"/>
      <c r="AY11" s="137"/>
      <c r="AZ11" s="137"/>
      <c r="BA11" s="137"/>
      <c r="BB11" s="137"/>
      <c r="BC11" s="137"/>
      <c r="BD11" s="138"/>
    </row>
    <row r="12" spans="1:56" s="1" customFormat="1">
      <c r="A12" s="145">
        <f>IF(B12="","",COUNTA($B$8:B12))</f>
        <v>5</v>
      </c>
      <c r="B12" s="250" t="s">
        <v>162</v>
      </c>
      <c r="C12" s="251"/>
      <c r="D12" s="231"/>
      <c r="E12" s="231"/>
      <c r="F12" s="231"/>
      <c r="G12" s="231"/>
      <c r="H12" s="232"/>
      <c r="I12" s="250" t="s">
        <v>163</v>
      </c>
      <c r="J12" s="234"/>
      <c r="K12" s="234"/>
      <c r="L12" s="234"/>
      <c r="M12" s="234"/>
      <c r="N12" s="234"/>
      <c r="O12" s="234"/>
      <c r="P12" s="234"/>
      <c r="Q12" s="235"/>
      <c r="R12" s="230" t="s">
        <v>164</v>
      </c>
      <c r="S12" s="234"/>
      <c r="T12" s="234"/>
      <c r="U12" s="234"/>
      <c r="V12" s="234"/>
      <c r="W12" s="234"/>
      <c r="X12" s="232"/>
      <c r="Y12" s="399" t="s">
        <v>150</v>
      </c>
      <c r="Z12" s="400"/>
      <c r="AA12" s="401" t="s">
        <v>151</v>
      </c>
      <c r="AB12" s="402"/>
      <c r="AC12" s="403"/>
      <c r="AD12" s="249">
        <v>4</v>
      </c>
      <c r="AE12" s="237"/>
      <c r="AF12" s="237"/>
      <c r="AG12" s="238"/>
      <c r="AH12" s="238"/>
      <c r="AI12" s="238" t="s">
        <v>165</v>
      </c>
      <c r="AJ12" s="238"/>
      <c r="AK12" s="238"/>
      <c r="AL12" s="238"/>
      <c r="AM12" s="238"/>
      <c r="AN12" s="238"/>
      <c r="AO12" s="237"/>
      <c r="AP12" s="237"/>
      <c r="AQ12" s="237"/>
      <c r="AR12" s="237"/>
      <c r="AS12" s="233"/>
      <c r="AT12" s="137"/>
      <c r="AU12" s="137"/>
      <c r="AV12" s="137"/>
      <c r="AW12" s="137"/>
      <c r="AX12" s="137"/>
      <c r="AY12" s="137"/>
      <c r="AZ12" s="137"/>
      <c r="BA12" s="137"/>
      <c r="BB12" s="137"/>
      <c r="BC12" s="137"/>
      <c r="BD12" s="138"/>
    </row>
    <row r="13" spans="1:56" s="1" customFormat="1">
      <c r="A13" s="145">
        <f>IF(B13="","",COUNTA($B$8:B13))</f>
        <v>6</v>
      </c>
      <c r="B13" s="230" t="s">
        <v>166</v>
      </c>
      <c r="C13" s="231"/>
      <c r="D13" s="231"/>
      <c r="E13" s="231"/>
      <c r="F13" s="231"/>
      <c r="G13" s="231"/>
      <c r="H13" s="232"/>
      <c r="I13" s="248" t="s">
        <v>167</v>
      </c>
      <c r="J13" s="234"/>
      <c r="K13" s="234"/>
      <c r="L13" s="234"/>
      <c r="M13" s="234"/>
      <c r="N13" s="234"/>
      <c r="O13" s="234"/>
      <c r="P13" s="234"/>
      <c r="Q13" s="235"/>
      <c r="R13" s="230" t="s">
        <v>168</v>
      </c>
      <c r="S13" s="234"/>
      <c r="T13" s="234"/>
      <c r="U13" s="234"/>
      <c r="V13" s="234"/>
      <c r="W13" s="234"/>
      <c r="X13" s="232"/>
      <c r="Y13" s="230" t="s">
        <v>169</v>
      </c>
      <c r="Z13" s="244"/>
      <c r="AA13" s="401" t="s">
        <v>170</v>
      </c>
      <c r="AB13" s="402"/>
      <c r="AC13" s="403"/>
      <c r="AD13" s="249"/>
      <c r="AE13" s="237"/>
      <c r="AF13" s="237"/>
      <c r="AG13" s="238"/>
      <c r="AH13" s="238"/>
      <c r="AI13" s="238" t="s">
        <v>171</v>
      </c>
      <c r="AJ13" s="238"/>
      <c r="AK13" s="238"/>
      <c r="AL13" s="238"/>
      <c r="AM13" s="238"/>
      <c r="AN13" s="238"/>
      <c r="AO13" s="237"/>
      <c r="AP13" s="237"/>
      <c r="AQ13" s="237"/>
      <c r="AR13" s="237"/>
      <c r="AS13" s="233"/>
      <c r="AT13" s="137"/>
      <c r="AU13" s="137"/>
      <c r="AV13" s="137"/>
      <c r="AW13" s="137"/>
      <c r="AX13" s="137"/>
      <c r="AY13" s="137"/>
      <c r="AZ13" s="137"/>
      <c r="BA13" s="137"/>
      <c r="BB13" s="137"/>
      <c r="BC13" s="137"/>
      <c r="BD13" s="138"/>
    </row>
    <row r="14" spans="1:56" s="1" customFormat="1">
      <c r="A14" s="145">
        <f>IF(B14="","",COUNTA($B$8:B14))</f>
        <v>7</v>
      </c>
      <c r="B14" s="230" t="s">
        <v>174</v>
      </c>
      <c r="C14" s="231"/>
      <c r="D14" s="231"/>
      <c r="E14" s="231"/>
      <c r="F14" s="231"/>
      <c r="G14" s="231"/>
      <c r="H14" s="232"/>
      <c r="I14" s="248" t="s">
        <v>175</v>
      </c>
      <c r="J14" s="234"/>
      <c r="K14" s="234"/>
      <c r="L14" s="234"/>
      <c r="M14" s="234"/>
      <c r="N14" s="234"/>
      <c r="O14" s="234"/>
      <c r="P14" s="234"/>
      <c r="Q14" s="235"/>
      <c r="R14" s="230" t="s">
        <v>176</v>
      </c>
      <c r="S14" s="234"/>
      <c r="T14" s="234"/>
      <c r="U14" s="234"/>
      <c r="V14" s="234"/>
      <c r="W14" s="234"/>
      <c r="X14" s="232"/>
      <c r="Y14" s="230" t="s">
        <v>169</v>
      </c>
      <c r="Z14" s="244"/>
      <c r="AA14" s="401" t="s">
        <v>170</v>
      </c>
      <c r="AB14" s="402"/>
      <c r="AC14" s="403"/>
      <c r="AD14" s="236"/>
      <c r="AE14" s="237"/>
      <c r="AF14" s="237"/>
      <c r="AG14" s="238"/>
      <c r="AH14" s="238"/>
      <c r="AI14" s="238" t="s">
        <v>173</v>
      </c>
      <c r="AJ14" s="238"/>
      <c r="AK14" s="238"/>
      <c r="AL14" s="238"/>
      <c r="AM14" s="238"/>
      <c r="AN14" s="238"/>
      <c r="AO14" s="237"/>
      <c r="AP14" s="237"/>
      <c r="AQ14" s="237"/>
      <c r="AR14" s="237"/>
      <c r="AS14" s="233"/>
      <c r="AT14" s="137"/>
      <c r="AU14" s="137"/>
      <c r="AV14" s="137"/>
      <c r="AW14" s="137"/>
      <c r="AX14" s="137"/>
      <c r="AY14" s="137"/>
      <c r="AZ14" s="137"/>
      <c r="BA14" s="137"/>
      <c r="BB14" s="137"/>
      <c r="BC14" s="137"/>
      <c r="BD14" s="138"/>
    </row>
    <row r="15" spans="1:56" s="1" customFormat="1">
      <c r="A15" s="145">
        <f>IF(B15="","",COUNTA($B$8:B15))</f>
        <v>8</v>
      </c>
      <c r="B15" s="230" t="s">
        <v>172</v>
      </c>
      <c r="C15" s="231"/>
      <c r="D15" s="231"/>
      <c r="E15" s="231"/>
      <c r="F15" s="231"/>
      <c r="G15" s="231"/>
      <c r="H15" s="232"/>
      <c r="I15" s="248" t="s">
        <v>177</v>
      </c>
      <c r="J15" s="234"/>
      <c r="K15" s="234"/>
      <c r="L15" s="234"/>
      <c r="M15" s="234"/>
      <c r="N15" s="234"/>
      <c r="O15" s="234"/>
      <c r="P15" s="234"/>
      <c r="Q15" s="235"/>
      <c r="R15" s="230" t="s">
        <v>172</v>
      </c>
      <c r="S15" s="234"/>
      <c r="T15" s="234"/>
      <c r="U15" s="234"/>
      <c r="V15" s="234"/>
      <c r="W15" s="234"/>
      <c r="X15" s="232"/>
      <c r="Y15" s="230" t="s">
        <v>155</v>
      </c>
      <c r="Z15" s="244"/>
      <c r="AA15" s="401" t="s">
        <v>156</v>
      </c>
      <c r="AB15" s="402"/>
      <c r="AC15" s="403"/>
      <c r="AD15" s="236">
        <v>5</v>
      </c>
      <c r="AE15" s="237">
        <v>1</v>
      </c>
      <c r="AF15" s="237"/>
      <c r="AG15" s="238"/>
      <c r="AH15" s="238"/>
      <c r="AI15" s="238"/>
      <c r="AJ15" s="238"/>
      <c r="AK15" s="238"/>
      <c r="AL15" s="238"/>
      <c r="AM15" s="238"/>
      <c r="AN15" s="238"/>
      <c r="AO15" s="237"/>
      <c r="AP15" s="237"/>
      <c r="AQ15" s="237"/>
      <c r="AR15" s="237"/>
      <c r="AS15" s="233"/>
      <c r="AT15" s="137"/>
      <c r="AU15" s="137"/>
      <c r="AV15" s="137"/>
      <c r="AW15" s="137"/>
      <c r="AX15" s="137"/>
      <c r="AY15" s="137"/>
      <c r="AZ15" s="137"/>
      <c r="BA15" s="137"/>
      <c r="BB15" s="137"/>
      <c r="BC15" s="137"/>
      <c r="BD15" s="138"/>
    </row>
    <row r="16" spans="1:56" s="1" customFormat="1">
      <c r="A16" s="145">
        <f>IF(B16="","",COUNTA($B$8:B16))</f>
        <v>9</v>
      </c>
      <c r="B16" s="230" t="s">
        <v>178</v>
      </c>
      <c r="C16" s="231"/>
      <c r="D16" s="231"/>
      <c r="E16" s="231"/>
      <c r="F16" s="231"/>
      <c r="G16" s="231"/>
      <c r="H16" s="232"/>
      <c r="I16" s="248" t="s">
        <v>179</v>
      </c>
      <c r="J16" s="234"/>
      <c r="K16" s="234"/>
      <c r="L16" s="234"/>
      <c r="M16" s="234"/>
      <c r="N16" s="234"/>
      <c r="O16" s="234"/>
      <c r="P16" s="234"/>
      <c r="Q16" s="235"/>
      <c r="R16" s="230" t="s">
        <v>178</v>
      </c>
      <c r="S16" s="234"/>
      <c r="T16" s="234"/>
      <c r="U16" s="234"/>
      <c r="V16" s="234"/>
      <c r="W16" s="234"/>
      <c r="X16" s="232"/>
      <c r="Y16" s="399" t="s">
        <v>150</v>
      </c>
      <c r="Z16" s="400"/>
      <c r="AA16" s="401" t="s">
        <v>151</v>
      </c>
      <c r="AB16" s="402"/>
      <c r="AC16" s="403"/>
      <c r="AD16" s="249">
        <v>20</v>
      </c>
      <c r="AE16" s="237"/>
      <c r="AF16" s="237"/>
      <c r="AG16" s="238"/>
      <c r="AH16" s="238"/>
      <c r="AI16" s="238"/>
      <c r="AJ16" s="238"/>
      <c r="AK16" s="238"/>
      <c r="AL16" s="238"/>
      <c r="AM16" s="238"/>
      <c r="AN16" s="238"/>
      <c r="AO16" s="237"/>
      <c r="AP16" s="237"/>
      <c r="AQ16" s="237"/>
      <c r="AR16" s="237"/>
      <c r="AS16" s="233" t="s">
        <v>180</v>
      </c>
      <c r="AT16" s="137"/>
      <c r="AU16" s="137"/>
      <c r="AV16" s="137"/>
      <c r="AW16" s="137"/>
      <c r="AX16" s="137"/>
      <c r="AY16" s="137"/>
      <c r="AZ16" s="137"/>
      <c r="BA16" s="137"/>
      <c r="BB16" s="137"/>
      <c r="BC16" s="137"/>
      <c r="BD16" s="138"/>
    </row>
    <row r="17" spans="1:56" s="1" customFormat="1">
      <c r="A17" s="145">
        <f>IF(B17="","",COUNTA($B$8:B17))</f>
        <v>10</v>
      </c>
      <c r="B17" s="230" t="s">
        <v>181</v>
      </c>
      <c r="C17" s="231"/>
      <c r="D17" s="231"/>
      <c r="E17" s="231"/>
      <c r="F17" s="231"/>
      <c r="G17" s="231"/>
      <c r="H17" s="232"/>
      <c r="I17" s="248" t="s">
        <v>182</v>
      </c>
      <c r="J17" s="234"/>
      <c r="K17" s="234"/>
      <c r="L17" s="234"/>
      <c r="M17" s="234"/>
      <c r="N17" s="234"/>
      <c r="O17" s="234"/>
      <c r="P17" s="234"/>
      <c r="Q17" s="235"/>
      <c r="R17" s="230" t="s">
        <v>181</v>
      </c>
      <c r="S17" s="234"/>
      <c r="T17" s="234"/>
      <c r="U17" s="234"/>
      <c r="V17" s="234"/>
      <c r="W17" s="234"/>
      <c r="X17" s="235"/>
      <c r="Y17" s="399" t="s">
        <v>150</v>
      </c>
      <c r="Z17" s="400"/>
      <c r="AA17" s="401" t="s">
        <v>151</v>
      </c>
      <c r="AB17" s="402"/>
      <c r="AC17" s="403"/>
      <c r="AD17" s="249">
        <v>30</v>
      </c>
      <c r="AE17" s="237"/>
      <c r="AF17" s="237"/>
      <c r="AG17" s="238"/>
      <c r="AH17" s="238"/>
      <c r="AI17" s="238"/>
      <c r="AJ17" s="238"/>
      <c r="AK17" s="238"/>
      <c r="AL17" s="238"/>
      <c r="AM17" s="238"/>
      <c r="AN17" s="238"/>
      <c r="AO17" s="237"/>
      <c r="AP17" s="237"/>
      <c r="AQ17" s="237"/>
      <c r="AR17" s="237"/>
      <c r="AS17" s="233" t="s">
        <v>1467</v>
      </c>
      <c r="AT17" s="137"/>
      <c r="AU17" s="137"/>
      <c r="AV17" s="137"/>
      <c r="AW17" s="137"/>
      <c r="AX17" s="137"/>
      <c r="AY17" s="137"/>
      <c r="AZ17" s="137"/>
      <c r="BA17" s="137"/>
      <c r="BB17" s="137"/>
      <c r="BC17" s="137"/>
      <c r="BD17" s="138"/>
    </row>
    <row r="18" spans="1:56" s="1" customFormat="1">
      <c r="A18" s="145">
        <f>IF(B18="","",COUNTA($B$8:B18))</f>
        <v>11</v>
      </c>
      <c r="B18" s="230" t="s">
        <v>183</v>
      </c>
      <c r="C18" s="231"/>
      <c r="D18" s="231"/>
      <c r="E18" s="231"/>
      <c r="F18" s="231"/>
      <c r="G18" s="231"/>
      <c r="H18" s="232"/>
      <c r="I18" s="248" t="s">
        <v>184</v>
      </c>
      <c r="J18" s="234"/>
      <c r="K18" s="234"/>
      <c r="L18" s="234"/>
      <c r="M18" s="234"/>
      <c r="N18" s="234"/>
      <c r="O18" s="234"/>
      <c r="P18" s="234"/>
      <c r="Q18" s="235"/>
      <c r="R18" s="230" t="s">
        <v>183</v>
      </c>
      <c r="S18" s="234"/>
      <c r="T18" s="234"/>
      <c r="U18" s="234"/>
      <c r="V18" s="234"/>
      <c r="W18" s="234"/>
      <c r="X18" s="232"/>
      <c r="Y18" s="399" t="s">
        <v>150</v>
      </c>
      <c r="Z18" s="400"/>
      <c r="AA18" s="401" t="s">
        <v>151</v>
      </c>
      <c r="AB18" s="402"/>
      <c r="AC18" s="403"/>
      <c r="AD18" s="249">
        <v>1000</v>
      </c>
      <c r="AE18" s="237"/>
      <c r="AF18" s="237"/>
      <c r="AG18" s="238"/>
      <c r="AH18" s="238"/>
      <c r="AI18" s="238"/>
      <c r="AJ18" s="238"/>
      <c r="AK18" s="238"/>
      <c r="AL18" s="238"/>
      <c r="AM18" s="238"/>
      <c r="AN18" s="238"/>
      <c r="AO18" s="237"/>
      <c r="AP18" s="237"/>
      <c r="AQ18" s="237"/>
      <c r="AR18" s="237"/>
      <c r="AS18" s="233"/>
      <c r="AT18" s="137"/>
      <c r="AU18" s="137"/>
      <c r="AV18" s="137"/>
      <c r="AW18" s="137"/>
      <c r="AX18" s="137"/>
      <c r="AY18" s="137"/>
      <c r="AZ18" s="137"/>
      <c r="BA18" s="137"/>
      <c r="BB18" s="137"/>
      <c r="BC18" s="137"/>
      <c r="BD18" s="138"/>
    </row>
    <row r="19" spans="1:56" s="1" customFormat="1">
      <c r="A19" s="145">
        <f>IF(B19="","",COUNTA($B$8:B19))</f>
        <v>12</v>
      </c>
      <c r="B19" s="230" t="s">
        <v>185</v>
      </c>
      <c r="C19" s="231"/>
      <c r="D19" s="231"/>
      <c r="E19" s="231"/>
      <c r="F19" s="231"/>
      <c r="G19" s="231"/>
      <c r="H19" s="232"/>
      <c r="I19" s="248" t="s">
        <v>186</v>
      </c>
      <c r="J19" s="234"/>
      <c r="K19" s="234"/>
      <c r="L19" s="234"/>
      <c r="M19" s="234"/>
      <c r="N19" s="234"/>
      <c r="O19" s="234"/>
      <c r="P19" s="234"/>
      <c r="Q19" s="235"/>
      <c r="R19" s="230" t="s">
        <v>185</v>
      </c>
      <c r="S19" s="234"/>
      <c r="T19" s="234"/>
      <c r="U19" s="234"/>
      <c r="V19" s="234"/>
      <c r="W19" s="234"/>
      <c r="X19" s="232"/>
      <c r="Y19" s="399" t="s">
        <v>150</v>
      </c>
      <c r="Z19" s="400"/>
      <c r="AA19" s="401" t="s">
        <v>151</v>
      </c>
      <c r="AB19" s="402"/>
      <c r="AC19" s="403"/>
      <c r="AD19" s="249">
        <v>75</v>
      </c>
      <c r="AE19" s="237"/>
      <c r="AF19" s="237"/>
      <c r="AG19" s="238"/>
      <c r="AH19" s="238"/>
      <c r="AI19" s="238"/>
      <c r="AJ19" s="238" t="s">
        <v>161</v>
      </c>
      <c r="AK19" s="238"/>
      <c r="AL19" s="238"/>
      <c r="AM19" s="238"/>
      <c r="AN19" s="238"/>
      <c r="AO19" s="237"/>
      <c r="AP19" s="237"/>
      <c r="AQ19" s="237"/>
      <c r="AR19" s="237"/>
      <c r="AS19" s="233" t="s">
        <v>1468</v>
      </c>
      <c r="AT19" s="137"/>
      <c r="AU19" s="137"/>
      <c r="AV19" s="137"/>
      <c r="AW19" s="137"/>
      <c r="AX19" s="137"/>
      <c r="AY19" s="137"/>
      <c r="AZ19" s="137"/>
      <c r="BA19" s="137"/>
      <c r="BB19" s="137"/>
      <c r="BC19" s="137"/>
      <c r="BD19" s="138"/>
    </row>
    <row r="20" spans="1:56" s="1" customFormat="1">
      <c r="A20" s="145">
        <f>IF(B20="","",COUNTA($B$8:B20))</f>
        <v>13</v>
      </c>
      <c r="B20" s="230" t="s">
        <v>187</v>
      </c>
      <c r="C20" s="231"/>
      <c r="D20" s="231"/>
      <c r="E20" s="231"/>
      <c r="F20" s="231"/>
      <c r="G20" s="231"/>
      <c r="H20" s="232"/>
      <c r="I20" s="248" t="s">
        <v>188</v>
      </c>
      <c r="J20" s="234"/>
      <c r="K20" s="234"/>
      <c r="L20" s="234"/>
      <c r="M20" s="234"/>
      <c r="N20" s="234"/>
      <c r="O20" s="234"/>
      <c r="P20" s="234"/>
      <c r="Q20" s="235"/>
      <c r="R20" s="230" t="s">
        <v>187</v>
      </c>
      <c r="S20" s="234"/>
      <c r="T20" s="234"/>
      <c r="U20" s="234"/>
      <c r="V20" s="234"/>
      <c r="W20" s="234"/>
      <c r="X20" s="232"/>
      <c r="Y20" s="399" t="s">
        <v>155</v>
      </c>
      <c r="Z20" s="400"/>
      <c r="AA20" s="401" t="s">
        <v>156</v>
      </c>
      <c r="AB20" s="402"/>
      <c r="AC20" s="403"/>
      <c r="AD20" s="249">
        <v>3</v>
      </c>
      <c r="AE20" s="252"/>
      <c r="AF20" s="252"/>
      <c r="AG20" s="253"/>
      <c r="AH20" s="253"/>
      <c r="AI20" s="253"/>
      <c r="AJ20" s="253"/>
      <c r="AK20" s="253"/>
      <c r="AL20" s="253"/>
      <c r="AM20" s="253"/>
      <c r="AN20" s="253"/>
      <c r="AO20" s="252"/>
      <c r="AP20" s="252"/>
      <c r="AQ20" s="252"/>
      <c r="AR20" s="252"/>
      <c r="AS20" s="254"/>
      <c r="AT20" s="190"/>
      <c r="AU20" s="137"/>
      <c r="AV20" s="137"/>
      <c r="AW20" s="137"/>
      <c r="AX20" s="137"/>
      <c r="AY20" s="137"/>
      <c r="AZ20" s="137"/>
      <c r="BA20" s="137"/>
      <c r="BB20" s="137"/>
      <c r="BC20" s="137"/>
      <c r="BD20" s="138"/>
    </row>
    <row r="21" spans="1:56" s="1" customFormat="1">
      <c r="A21" s="145">
        <f>IF(B21="","",COUNTA($B$8:B21))</f>
        <v>14</v>
      </c>
      <c r="B21" s="230" t="s">
        <v>189</v>
      </c>
      <c r="C21" s="231"/>
      <c r="D21" s="231"/>
      <c r="E21" s="231"/>
      <c r="F21" s="231"/>
      <c r="G21" s="231"/>
      <c r="H21" s="232"/>
      <c r="I21" s="248" t="s">
        <v>190</v>
      </c>
      <c r="J21" s="234"/>
      <c r="K21" s="234"/>
      <c r="L21" s="234"/>
      <c r="M21" s="234"/>
      <c r="N21" s="234"/>
      <c r="O21" s="234"/>
      <c r="P21" s="234"/>
      <c r="Q21" s="235"/>
      <c r="R21" s="230" t="s">
        <v>189</v>
      </c>
      <c r="S21" s="234"/>
      <c r="T21" s="234"/>
      <c r="U21" s="234"/>
      <c r="V21" s="234"/>
      <c r="W21" s="234"/>
      <c r="X21" s="232"/>
      <c r="Y21" s="399" t="s">
        <v>155</v>
      </c>
      <c r="Z21" s="400"/>
      <c r="AA21" s="401" t="s">
        <v>156</v>
      </c>
      <c r="AB21" s="402"/>
      <c r="AC21" s="403"/>
      <c r="AD21" s="249">
        <v>3</v>
      </c>
      <c r="AE21" s="252"/>
      <c r="AF21" s="252"/>
      <c r="AG21" s="253"/>
      <c r="AH21" s="253">
        <v>0</v>
      </c>
      <c r="AI21" s="253"/>
      <c r="AJ21" s="253"/>
      <c r="AK21" s="253"/>
      <c r="AL21" s="253"/>
      <c r="AM21" s="253"/>
      <c r="AN21" s="253"/>
      <c r="AO21" s="252"/>
      <c r="AP21" s="252"/>
      <c r="AQ21" s="252"/>
      <c r="AR21" s="252"/>
      <c r="AS21" s="254" t="s">
        <v>191</v>
      </c>
      <c r="AT21" s="190"/>
      <c r="AU21" s="137"/>
      <c r="AV21" s="137"/>
      <c r="AW21" s="137"/>
      <c r="AX21" s="137"/>
      <c r="AY21" s="137"/>
      <c r="AZ21" s="137"/>
      <c r="BA21" s="137"/>
      <c r="BB21" s="137"/>
      <c r="BC21" s="137"/>
      <c r="BD21" s="138"/>
    </row>
    <row r="22" spans="1:56" s="1" customFormat="1">
      <c r="A22" s="145" t="str">
        <f>IF(B22="","",COUNTA($B$8:B22))</f>
        <v/>
      </c>
      <c r="B22" s="230"/>
      <c r="C22" s="231"/>
      <c r="D22" s="231"/>
      <c r="E22" s="231"/>
      <c r="F22" s="231"/>
      <c r="G22" s="231"/>
      <c r="H22" s="232"/>
      <c r="I22" s="248"/>
      <c r="J22" s="234"/>
      <c r="K22" s="234"/>
      <c r="L22" s="234"/>
      <c r="M22" s="234"/>
      <c r="N22" s="234"/>
      <c r="O22" s="234"/>
      <c r="P22" s="234"/>
      <c r="Q22" s="235"/>
      <c r="R22" s="230"/>
      <c r="S22" s="234"/>
      <c r="T22" s="234"/>
      <c r="U22" s="234"/>
      <c r="V22" s="234"/>
      <c r="W22" s="234"/>
      <c r="X22" s="232"/>
      <c r="Y22" s="399"/>
      <c r="Z22" s="400"/>
      <c r="AA22" s="401"/>
      <c r="AB22" s="402"/>
      <c r="AC22" s="403"/>
      <c r="AD22" s="249"/>
      <c r="AE22" s="252"/>
      <c r="AF22" s="252"/>
      <c r="AG22" s="253"/>
      <c r="AH22" s="253"/>
      <c r="AI22" s="253"/>
      <c r="AJ22" s="253"/>
      <c r="AK22" s="253"/>
      <c r="AL22" s="253"/>
      <c r="AM22" s="253"/>
      <c r="AN22" s="253"/>
      <c r="AO22" s="252"/>
      <c r="AP22" s="252"/>
      <c r="AQ22" s="252"/>
      <c r="AR22" s="252"/>
      <c r="AS22" s="254" t="s">
        <v>192</v>
      </c>
      <c r="AT22" s="190"/>
      <c r="AU22" s="137"/>
      <c r="AV22" s="137"/>
      <c r="AW22" s="137"/>
      <c r="AX22" s="137"/>
      <c r="AY22" s="137"/>
      <c r="AZ22" s="137"/>
      <c r="BA22" s="137"/>
      <c r="BB22" s="137"/>
      <c r="BC22" s="137"/>
      <c r="BD22" s="138"/>
    </row>
    <row r="23" spans="1:56" s="1" customFormat="1">
      <c r="A23" s="145">
        <f>IF(B23="","",COUNTA($B$8:B23))</f>
        <v>15</v>
      </c>
      <c r="B23" s="245" t="s">
        <v>193</v>
      </c>
      <c r="C23" s="246"/>
      <c r="D23" s="246"/>
      <c r="E23" s="246"/>
      <c r="F23" s="246"/>
      <c r="G23" s="246"/>
      <c r="H23" s="247"/>
      <c r="I23" s="248" t="s">
        <v>194</v>
      </c>
      <c r="J23" s="234"/>
      <c r="K23" s="234"/>
      <c r="L23" s="234"/>
      <c r="M23" s="234"/>
      <c r="N23" s="234"/>
      <c r="O23" s="234"/>
      <c r="P23" s="234"/>
      <c r="Q23" s="235"/>
      <c r="R23" s="245" t="s">
        <v>193</v>
      </c>
      <c r="S23" s="234"/>
      <c r="T23" s="234"/>
      <c r="U23" s="234"/>
      <c r="V23" s="234"/>
      <c r="W23" s="234"/>
      <c r="X23" s="232"/>
      <c r="Y23" s="399" t="s">
        <v>150</v>
      </c>
      <c r="Z23" s="400"/>
      <c r="AA23" s="401" t="s">
        <v>151</v>
      </c>
      <c r="AB23" s="402"/>
      <c r="AC23" s="403"/>
      <c r="AD23" s="249">
        <v>25</v>
      </c>
      <c r="AE23" s="237"/>
      <c r="AF23" s="237"/>
      <c r="AG23" s="238"/>
      <c r="AH23" s="238"/>
      <c r="AI23" s="238"/>
      <c r="AJ23" s="238"/>
      <c r="AK23" s="238"/>
      <c r="AL23" s="238"/>
      <c r="AM23" s="238"/>
      <c r="AN23" s="238"/>
      <c r="AO23" s="237"/>
      <c r="AP23" s="237"/>
      <c r="AQ23" s="237"/>
      <c r="AR23" s="237"/>
      <c r="AS23" s="233" t="s">
        <v>1469</v>
      </c>
      <c r="AT23" s="186"/>
      <c r="AU23" s="186"/>
      <c r="AV23" s="186"/>
      <c r="AW23" s="186"/>
      <c r="AX23" s="186"/>
      <c r="AY23" s="186"/>
      <c r="AZ23" s="186"/>
      <c r="BA23" s="186"/>
      <c r="BB23" s="186"/>
      <c r="BC23" s="186"/>
      <c r="BD23" s="187"/>
    </row>
    <row r="24" spans="1:56" s="1" customFormat="1">
      <c r="A24" s="145">
        <f>IF(B24="","",COUNTA($B$8:B24))</f>
        <v>16</v>
      </c>
      <c r="B24" s="230" t="s">
        <v>195</v>
      </c>
      <c r="C24" s="231"/>
      <c r="D24" s="231"/>
      <c r="E24" s="231"/>
      <c r="F24" s="231"/>
      <c r="G24" s="231"/>
      <c r="H24" s="232"/>
      <c r="I24" s="248" t="s">
        <v>196</v>
      </c>
      <c r="J24" s="234"/>
      <c r="K24" s="234"/>
      <c r="L24" s="234"/>
      <c r="M24" s="234"/>
      <c r="N24" s="234"/>
      <c r="O24" s="234"/>
      <c r="P24" s="234"/>
      <c r="Q24" s="235"/>
      <c r="R24" s="230" t="s">
        <v>195</v>
      </c>
      <c r="S24" s="234"/>
      <c r="T24" s="234"/>
      <c r="U24" s="234"/>
      <c r="V24" s="234"/>
      <c r="W24" s="234"/>
      <c r="X24" s="232"/>
      <c r="Y24" s="399" t="s">
        <v>150</v>
      </c>
      <c r="Z24" s="400"/>
      <c r="AA24" s="401" t="s">
        <v>151</v>
      </c>
      <c r="AB24" s="402"/>
      <c r="AC24" s="403"/>
      <c r="AD24" s="249">
        <v>30</v>
      </c>
      <c r="AE24" s="237"/>
      <c r="AF24" s="237"/>
      <c r="AG24" s="238"/>
      <c r="AH24" s="238"/>
      <c r="AI24" s="238"/>
      <c r="AJ24" s="238"/>
      <c r="AK24" s="238"/>
      <c r="AL24" s="238"/>
      <c r="AM24" s="238"/>
      <c r="AN24" s="238"/>
      <c r="AO24" s="237"/>
      <c r="AP24" s="237"/>
      <c r="AQ24" s="237"/>
      <c r="AR24" s="237"/>
      <c r="AS24" s="233"/>
      <c r="AT24" s="137"/>
      <c r="AU24" s="137"/>
      <c r="AV24" s="137"/>
      <c r="AW24" s="137"/>
      <c r="AX24" s="137"/>
      <c r="AY24" s="137"/>
      <c r="AZ24" s="137"/>
      <c r="BA24" s="137"/>
      <c r="BB24" s="137"/>
      <c r="BC24" s="137"/>
      <c r="BD24" s="138"/>
    </row>
    <row r="25" spans="1:56" s="1" customFormat="1">
      <c r="A25" s="145">
        <f>IF(B25="","",COUNTA($B$8:B25))</f>
        <v>17</v>
      </c>
      <c r="B25" s="230" t="s">
        <v>197</v>
      </c>
      <c r="C25" s="231"/>
      <c r="D25" s="231"/>
      <c r="E25" s="231"/>
      <c r="F25" s="231"/>
      <c r="G25" s="231"/>
      <c r="H25" s="232"/>
      <c r="I25" s="248" t="s">
        <v>198</v>
      </c>
      <c r="J25" s="234"/>
      <c r="K25" s="234"/>
      <c r="L25" s="234"/>
      <c r="M25" s="234"/>
      <c r="N25" s="234"/>
      <c r="O25" s="234"/>
      <c r="P25" s="234"/>
      <c r="Q25" s="235"/>
      <c r="R25" s="230" t="s">
        <v>197</v>
      </c>
      <c r="S25" s="234"/>
      <c r="T25" s="234"/>
      <c r="U25" s="234"/>
      <c r="V25" s="234"/>
      <c r="W25" s="234"/>
      <c r="X25" s="232"/>
      <c r="Y25" s="399" t="s">
        <v>150</v>
      </c>
      <c r="Z25" s="400"/>
      <c r="AA25" s="401" t="s">
        <v>151</v>
      </c>
      <c r="AB25" s="402"/>
      <c r="AC25" s="403"/>
      <c r="AD25" s="249">
        <v>5</v>
      </c>
      <c r="AE25" s="237"/>
      <c r="AF25" s="237"/>
      <c r="AG25" s="238"/>
      <c r="AH25" s="238"/>
      <c r="AI25" s="238"/>
      <c r="AJ25" s="238"/>
      <c r="AK25" s="238"/>
      <c r="AL25" s="238"/>
      <c r="AM25" s="238"/>
      <c r="AN25" s="238"/>
      <c r="AO25" s="237"/>
      <c r="AP25" s="237"/>
      <c r="AQ25" s="237"/>
      <c r="AR25" s="237"/>
      <c r="AS25" s="233"/>
      <c r="AT25" s="137"/>
      <c r="AU25" s="137"/>
      <c r="AV25" s="137"/>
      <c r="AW25" s="137"/>
      <c r="AX25" s="137"/>
      <c r="AY25" s="137"/>
      <c r="AZ25" s="137"/>
      <c r="BA25" s="137"/>
      <c r="BB25" s="137"/>
      <c r="BC25" s="137"/>
      <c r="BD25" s="138"/>
    </row>
    <row r="26" spans="1:56" s="1" customFormat="1">
      <c r="A26" s="145">
        <f>IF(B26="","",COUNTA($B$8:B26))</f>
        <v>18</v>
      </c>
      <c r="B26" s="230" t="s">
        <v>199</v>
      </c>
      <c r="C26" s="231"/>
      <c r="D26" s="231"/>
      <c r="E26" s="231"/>
      <c r="F26" s="231"/>
      <c r="G26" s="231"/>
      <c r="H26" s="232"/>
      <c r="I26" s="248" t="s">
        <v>200</v>
      </c>
      <c r="J26" s="234"/>
      <c r="K26" s="234"/>
      <c r="L26" s="234"/>
      <c r="M26" s="234"/>
      <c r="N26" s="234"/>
      <c r="O26" s="234"/>
      <c r="P26" s="234"/>
      <c r="Q26" s="235"/>
      <c r="R26" s="230" t="s">
        <v>199</v>
      </c>
      <c r="S26" s="234"/>
      <c r="T26" s="234"/>
      <c r="U26" s="234"/>
      <c r="V26" s="234"/>
      <c r="W26" s="234"/>
      <c r="X26" s="232"/>
      <c r="Y26" s="399" t="s">
        <v>150</v>
      </c>
      <c r="Z26" s="400"/>
      <c r="AA26" s="401" t="s">
        <v>151</v>
      </c>
      <c r="AB26" s="402"/>
      <c r="AC26" s="403"/>
      <c r="AD26" s="249">
        <v>20</v>
      </c>
      <c r="AE26" s="237"/>
      <c r="AF26" s="237"/>
      <c r="AG26" s="238"/>
      <c r="AH26" s="238"/>
      <c r="AI26" s="238"/>
      <c r="AJ26" s="238"/>
      <c r="AK26" s="238"/>
      <c r="AL26" s="238"/>
      <c r="AM26" s="238"/>
      <c r="AN26" s="238"/>
      <c r="AO26" s="237"/>
      <c r="AP26" s="237"/>
      <c r="AQ26" s="237"/>
      <c r="AR26" s="237"/>
      <c r="AS26" s="233"/>
      <c r="AT26" s="137"/>
      <c r="AU26" s="137"/>
      <c r="AV26" s="137"/>
      <c r="AW26" s="137"/>
      <c r="AX26" s="137"/>
      <c r="AY26" s="137"/>
      <c r="AZ26" s="137"/>
      <c r="BA26" s="137"/>
      <c r="BB26" s="137"/>
      <c r="BC26" s="137"/>
      <c r="BD26" s="138"/>
    </row>
    <row r="27" spans="1:56" s="1" customFormat="1">
      <c r="A27" s="145">
        <f>IF(B27="","",COUNTA($B$8:B27))</f>
        <v>19</v>
      </c>
      <c r="B27" s="230" t="s">
        <v>201</v>
      </c>
      <c r="C27" s="231"/>
      <c r="D27" s="231"/>
      <c r="E27" s="231"/>
      <c r="F27" s="231"/>
      <c r="G27" s="231"/>
      <c r="H27" s="232"/>
      <c r="I27" s="248" t="s">
        <v>202</v>
      </c>
      <c r="J27" s="234"/>
      <c r="K27" s="234"/>
      <c r="L27" s="234"/>
      <c r="M27" s="234"/>
      <c r="N27" s="234"/>
      <c r="O27" s="234"/>
      <c r="P27" s="234"/>
      <c r="Q27" s="235"/>
      <c r="R27" s="230" t="s">
        <v>201</v>
      </c>
      <c r="S27" s="234"/>
      <c r="T27" s="234"/>
      <c r="U27" s="234"/>
      <c r="V27" s="234"/>
      <c r="W27" s="234"/>
      <c r="X27" s="232"/>
      <c r="Y27" s="399" t="s">
        <v>150</v>
      </c>
      <c r="Z27" s="400"/>
      <c r="AA27" s="401" t="s">
        <v>151</v>
      </c>
      <c r="AB27" s="402"/>
      <c r="AC27" s="403"/>
      <c r="AD27" s="249">
        <v>30</v>
      </c>
      <c r="AE27" s="237"/>
      <c r="AF27" s="237"/>
      <c r="AG27" s="238"/>
      <c r="AH27" s="238"/>
      <c r="AI27" s="238"/>
      <c r="AJ27" s="238"/>
      <c r="AK27" s="238"/>
      <c r="AL27" s="238"/>
      <c r="AM27" s="238"/>
      <c r="AN27" s="238"/>
      <c r="AO27" s="237"/>
      <c r="AP27" s="237"/>
      <c r="AQ27" s="237"/>
      <c r="AR27" s="237"/>
      <c r="AS27" s="233"/>
      <c r="AT27" s="137"/>
      <c r="AU27" s="137"/>
      <c r="AV27" s="137"/>
      <c r="AW27" s="137"/>
      <c r="AX27" s="137"/>
      <c r="AY27" s="137"/>
      <c r="AZ27" s="137"/>
      <c r="BA27" s="137"/>
      <c r="BB27" s="137"/>
      <c r="BC27" s="137"/>
      <c r="BD27" s="138"/>
    </row>
    <row r="28" spans="1:56" s="1" customFormat="1">
      <c r="A28" s="145">
        <f>IF(B28="","",COUNTA($B$8:B28))</f>
        <v>20</v>
      </c>
      <c r="B28" s="239" t="s">
        <v>203</v>
      </c>
      <c r="C28" s="231"/>
      <c r="D28" s="231"/>
      <c r="E28" s="231"/>
      <c r="F28" s="231"/>
      <c r="G28" s="231"/>
      <c r="H28" s="232"/>
      <c r="I28" s="248" t="s">
        <v>204</v>
      </c>
      <c r="J28" s="234"/>
      <c r="K28" s="234"/>
      <c r="L28" s="234"/>
      <c r="M28" s="234"/>
      <c r="N28" s="234"/>
      <c r="O28" s="234"/>
      <c r="P28" s="234"/>
      <c r="Q28" s="235"/>
      <c r="R28" s="239" t="s">
        <v>203</v>
      </c>
      <c r="S28" s="234"/>
      <c r="T28" s="234"/>
      <c r="U28" s="234"/>
      <c r="V28" s="234"/>
      <c r="W28" s="234"/>
      <c r="X28" s="232"/>
      <c r="Y28" s="399" t="s">
        <v>155</v>
      </c>
      <c r="Z28" s="400"/>
      <c r="AA28" s="401" t="s">
        <v>156</v>
      </c>
      <c r="AB28" s="402"/>
      <c r="AC28" s="403"/>
      <c r="AD28" s="249">
        <v>5</v>
      </c>
      <c r="AE28" s="237">
        <v>2</v>
      </c>
      <c r="AF28" s="237"/>
      <c r="AG28" s="238"/>
      <c r="AH28" s="238"/>
      <c r="AI28" s="238"/>
      <c r="AJ28" s="238"/>
      <c r="AK28" s="238"/>
      <c r="AL28" s="238"/>
      <c r="AM28" s="238"/>
      <c r="AN28" s="238"/>
      <c r="AO28" s="237"/>
      <c r="AP28" s="237"/>
      <c r="AQ28" s="237"/>
      <c r="AR28" s="237"/>
      <c r="AS28" s="233"/>
      <c r="AT28" s="137"/>
      <c r="AU28" s="137"/>
      <c r="AV28" s="137"/>
      <c r="AW28" s="137"/>
      <c r="AX28" s="137"/>
      <c r="AY28" s="137"/>
      <c r="AZ28" s="137"/>
      <c r="BA28" s="137"/>
      <c r="BB28" s="137"/>
      <c r="BC28" s="137"/>
      <c r="BD28" s="138"/>
    </row>
    <row r="29" spans="1:56" s="1" customFormat="1">
      <c r="A29" s="145">
        <f>IF(B29="","",COUNTA($B$8:B29))</f>
        <v>21</v>
      </c>
      <c r="B29" s="239" t="s">
        <v>205</v>
      </c>
      <c r="C29" s="246"/>
      <c r="D29" s="246"/>
      <c r="E29" s="246"/>
      <c r="F29" s="246"/>
      <c r="G29" s="246"/>
      <c r="H29" s="247"/>
      <c r="I29" s="248" t="s">
        <v>206</v>
      </c>
      <c r="J29" s="234"/>
      <c r="K29" s="234"/>
      <c r="L29" s="234"/>
      <c r="M29" s="234"/>
      <c r="N29" s="234"/>
      <c r="O29" s="234"/>
      <c r="P29" s="234"/>
      <c r="Q29" s="235"/>
      <c r="R29" s="239" t="s">
        <v>207</v>
      </c>
      <c r="S29" s="234"/>
      <c r="T29" s="234"/>
      <c r="U29" s="234"/>
      <c r="V29" s="234"/>
      <c r="W29" s="234"/>
      <c r="X29" s="232"/>
      <c r="Y29" s="399" t="s">
        <v>155</v>
      </c>
      <c r="Z29" s="400"/>
      <c r="AA29" s="401" t="s">
        <v>156</v>
      </c>
      <c r="AB29" s="402"/>
      <c r="AC29" s="403"/>
      <c r="AD29" s="249">
        <v>4</v>
      </c>
      <c r="AE29" s="237"/>
      <c r="AF29" s="237"/>
      <c r="AG29" s="238"/>
      <c r="AH29" s="238"/>
      <c r="AI29" s="238"/>
      <c r="AJ29" s="238"/>
      <c r="AK29" s="238"/>
      <c r="AL29" s="238"/>
      <c r="AM29" s="238"/>
      <c r="AN29" s="238"/>
      <c r="AO29" s="237"/>
      <c r="AP29" s="237"/>
      <c r="AQ29" s="237"/>
      <c r="AR29" s="237"/>
      <c r="AS29" s="233"/>
      <c r="AT29" s="137"/>
      <c r="AU29" s="137"/>
      <c r="AV29" s="137"/>
      <c r="AW29" s="137"/>
      <c r="AX29" s="137"/>
      <c r="AY29" s="137"/>
      <c r="AZ29" s="137"/>
      <c r="BA29" s="137"/>
      <c r="BB29" s="137"/>
      <c r="BC29" s="137"/>
      <c r="BD29" s="138"/>
    </row>
    <row r="30" spans="1:56" s="1" customFormat="1">
      <c r="A30" s="145">
        <f>IF(B30="","",COUNTA($B$8:B30))</f>
        <v>22</v>
      </c>
      <c r="B30" s="239" t="s">
        <v>208</v>
      </c>
      <c r="C30" s="246"/>
      <c r="D30" s="246"/>
      <c r="E30" s="246"/>
      <c r="F30" s="246"/>
      <c r="G30" s="246"/>
      <c r="H30" s="247"/>
      <c r="I30" s="248" t="s">
        <v>209</v>
      </c>
      <c r="J30" s="234"/>
      <c r="K30" s="234"/>
      <c r="L30" s="234"/>
      <c r="M30" s="234"/>
      <c r="N30" s="234"/>
      <c r="O30" s="234"/>
      <c r="P30" s="234"/>
      <c r="Q30" s="235"/>
      <c r="R30" s="239" t="s">
        <v>210</v>
      </c>
      <c r="S30" s="234"/>
      <c r="T30" s="234"/>
      <c r="U30" s="234"/>
      <c r="V30" s="234"/>
      <c r="W30" s="234"/>
      <c r="X30" s="232"/>
      <c r="Y30" s="399" t="s">
        <v>155</v>
      </c>
      <c r="Z30" s="400"/>
      <c r="AA30" s="401" t="s">
        <v>156</v>
      </c>
      <c r="AB30" s="402"/>
      <c r="AC30" s="403"/>
      <c r="AD30" s="249">
        <v>5</v>
      </c>
      <c r="AE30" s="237"/>
      <c r="AF30" s="237"/>
      <c r="AG30" s="238"/>
      <c r="AH30" s="238"/>
      <c r="AI30" s="238"/>
      <c r="AJ30" s="238"/>
      <c r="AK30" s="238"/>
      <c r="AL30" s="238"/>
      <c r="AM30" s="238"/>
      <c r="AN30" s="238"/>
      <c r="AO30" s="237"/>
      <c r="AP30" s="237"/>
      <c r="AQ30" s="237"/>
      <c r="AR30" s="237"/>
      <c r="AS30" s="233"/>
      <c r="AT30" s="137"/>
      <c r="AU30" s="137"/>
      <c r="AV30" s="137"/>
      <c r="AW30" s="137"/>
      <c r="AX30" s="137"/>
      <c r="AY30" s="137"/>
      <c r="AZ30" s="137"/>
      <c r="BA30" s="137"/>
      <c r="BB30" s="137"/>
      <c r="BC30" s="137"/>
      <c r="BD30" s="138"/>
    </row>
    <row r="31" spans="1:56" s="1" customFormat="1">
      <c r="A31" s="145">
        <f>IF(B31="","",COUNTA($B$8:B31))</f>
        <v>23</v>
      </c>
      <c r="B31" s="239" t="s">
        <v>211</v>
      </c>
      <c r="C31" s="231"/>
      <c r="D31" s="231"/>
      <c r="E31" s="231"/>
      <c r="F31" s="231"/>
      <c r="G31" s="231"/>
      <c r="H31" s="232"/>
      <c r="I31" s="248" t="s">
        <v>212</v>
      </c>
      <c r="J31" s="234"/>
      <c r="K31" s="234"/>
      <c r="L31" s="234"/>
      <c r="M31" s="234"/>
      <c r="N31" s="234"/>
      <c r="O31" s="234"/>
      <c r="P31" s="234"/>
      <c r="Q31" s="235"/>
      <c r="R31" s="239" t="s">
        <v>213</v>
      </c>
      <c r="S31" s="234"/>
      <c r="T31" s="234"/>
      <c r="U31" s="234"/>
      <c r="V31" s="234"/>
      <c r="W31" s="234"/>
      <c r="X31" s="232"/>
      <c r="Y31" s="399" t="s">
        <v>155</v>
      </c>
      <c r="Z31" s="400"/>
      <c r="AA31" s="401" t="s">
        <v>156</v>
      </c>
      <c r="AB31" s="402"/>
      <c r="AC31" s="403"/>
      <c r="AD31" s="249">
        <v>5</v>
      </c>
      <c r="AE31" s="237"/>
      <c r="AF31" s="237"/>
      <c r="AG31" s="238"/>
      <c r="AH31" s="238"/>
      <c r="AI31" s="238"/>
      <c r="AJ31" s="238"/>
      <c r="AK31" s="238"/>
      <c r="AL31" s="238"/>
      <c r="AM31" s="238"/>
      <c r="AN31" s="238"/>
      <c r="AO31" s="237"/>
      <c r="AP31" s="237"/>
      <c r="AQ31" s="237"/>
      <c r="AR31" s="237"/>
      <c r="AS31" s="233"/>
      <c r="AT31" s="137"/>
      <c r="AU31" s="137"/>
      <c r="AV31" s="137"/>
      <c r="AW31" s="137"/>
      <c r="AX31" s="137"/>
      <c r="AY31" s="137"/>
      <c r="AZ31" s="137"/>
      <c r="BA31" s="137"/>
      <c r="BB31" s="137"/>
      <c r="BC31" s="137"/>
      <c r="BD31" s="138"/>
    </row>
    <row r="32" spans="1:56" s="1" customFormat="1">
      <c r="A32" s="145">
        <f>IF(B32="","",COUNTA($B$8:B32))</f>
        <v>24</v>
      </c>
      <c r="B32" s="239" t="s">
        <v>214</v>
      </c>
      <c r="C32" s="231"/>
      <c r="D32" s="231"/>
      <c r="E32" s="231"/>
      <c r="F32" s="231"/>
      <c r="G32" s="231"/>
      <c r="H32" s="232"/>
      <c r="I32" s="248" t="s">
        <v>215</v>
      </c>
      <c r="J32" s="234"/>
      <c r="K32" s="234"/>
      <c r="L32" s="234"/>
      <c r="M32" s="234"/>
      <c r="N32" s="234"/>
      <c r="O32" s="234"/>
      <c r="P32" s="234"/>
      <c r="Q32" s="235"/>
      <c r="R32" s="239" t="s">
        <v>216</v>
      </c>
      <c r="S32" s="234"/>
      <c r="T32" s="234"/>
      <c r="U32" s="234"/>
      <c r="V32" s="234"/>
      <c r="W32" s="234"/>
      <c r="X32" s="232"/>
      <c r="Y32" s="399" t="s">
        <v>155</v>
      </c>
      <c r="Z32" s="400"/>
      <c r="AA32" s="401" t="s">
        <v>156</v>
      </c>
      <c r="AB32" s="402"/>
      <c r="AC32" s="403"/>
      <c r="AD32" s="249">
        <v>5</v>
      </c>
      <c r="AE32" s="237"/>
      <c r="AF32" s="237"/>
      <c r="AG32" s="238"/>
      <c r="AH32" s="238"/>
      <c r="AI32" s="238"/>
      <c r="AJ32" s="238"/>
      <c r="AK32" s="238"/>
      <c r="AL32" s="238"/>
      <c r="AM32" s="238"/>
      <c r="AN32" s="238"/>
      <c r="AO32" s="237"/>
      <c r="AP32" s="237"/>
      <c r="AQ32" s="237"/>
      <c r="AR32" s="237"/>
      <c r="AS32" s="233"/>
      <c r="AT32" s="137"/>
      <c r="AU32" s="137"/>
      <c r="AV32" s="137"/>
      <c r="AW32" s="137"/>
      <c r="AX32" s="137"/>
      <c r="AY32" s="137"/>
      <c r="AZ32" s="137"/>
      <c r="BA32" s="137"/>
      <c r="BB32" s="137"/>
      <c r="BC32" s="137"/>
      <c r="BD32" s="138"/>
    </row>
    <row r="33" spans="1:56" s="1" customFormat="1">
      <c r="A33" s="145">
        <f>IF(B33="","",COUNTA($B$8:B33))</f>
        <v>25</v>
      </c>
      <c r="B33" s="239" t="s">
        <v>217</v>
      </c>
      <c r="C33" s="231"/>
      <c r="D33" s="231"/>
      <c r="E33" s="231"/>
      <c r="F33" s="231"/>
      <c r="G33" s="231"/>
      <c r="H33" s="232"/>
      <c r="I33" s="248" t="s">
        <v>218</v>
      </c>
      <c r="J33" s="234"/>
      <c r="K33" s="234"/>
      <c r="L33" s="234"/>
      <c r="M33" s="234"/>
      <c r="N33" s="234"/>
      <c r="O33" s="234"/>
      <c r="P33" s="234"/>
      <c r="Q33" s="235"/>
      <c r="R33" s="239" t="s">
        <v>219</v>
      </c>
      <c r="S33" s="234"/>
      <c r="T33" s="234"/>
      <c r="U33" s="234"/>
      <c r="V33" s="234"/>
      <c r="W33" s="234"/>
      <c r="X33" s="232"/>
      <c r="Y33" s="399" t="s">
        <v>155</v>
      </c>
      <c r="Z33" s="400"/>
      <c r="AA33" s="401" t="s">
        <v>156</v>
      </c>
      <c r="AB33" s="402"/>
      <c r="AC33" s="403"/>
      <c r="AD33" s="255">
        <v>5</v>
      </c>
      <c r="AE33" s="237"/>
      <c r="AF33" s="237"/>
      <c r="AG33" s="238"/>
      <c r="AH33" s="238"/>
      <c r="AI33" s="238"/>
      <c r="AJ33" s="238"/>
      <c r="AK33" s="238"/>
      <c r="AL33" s="238"/>
      <c r="AM33" s="238"/>
      <c r="AN33" s="238"/>
      <c r="AO33" s="237"/>
      <c r="AP33" s="237"/>
      <c r="AQ33" s="237"/>
      <c r="AR33" s="237"/>
      <c r="AS33" s="233"/>
      <c r="AT33" s="137"/>
      <c r="AU33" s="137"/>
      <c r="AV33" s="137"/>
      <c r="AW33" s="137"/>
      <c r="AX33" s="137"/>
      <c r="AY33" s="137"/>
      <c r="AZ33" s="137"/>
      <c r="BA33" s="137"/>
      <c r="BB33" s="137"/>
      <c r="BC33" s="137"/>
      <c r="BD33" s="138"/>
    </row>
    <row r="34" spans="1:56" s="1" customFormat="1">
      <c r="A34" s="145">
        <f>IF(B34="","",COUNTA($B$8:B34))</f>
        <v>26</v>
      </c>
      <c r="B34" s="230" t="s">
        <v>220</v>
      </c>
      <c r="C34" s="231"/>
      <c r="D34" s="231"/>
      <c r="E34" s="231"/>
      <c r="F34" s="231"/>
      <c r="G34" s="231"/>
      <c r="H34" s="232"/>
      <c r="I34" s="248" t="s">
        <v>221</v>
      </c>
      <c r="J34" s="234"/>
      <c r="K34" s="234"/>
      <c r="L34" s="234"/>
      <c r="M34" s="234"/>
      <c r="N34" s="234"/>
      <c r="O34" s="234"/>
      <c r="P34" s="234"/>
      <c r="Q34" s="235"/>
      <c r="R34" s="230" t="s">
        <v>220</v>
      </c>
      <c r="S34" s="234"/>
      <c r="T34" s="234"/>
      <c r="U34" s="234"/>
      <c r="V34" s="234"/>
      <c r="W34" s="234"/>
      <c r="X34" s="235"/>
      <c r="Y34" s="399" t="s">
        <v>155</v>
      </c>
      <c r="Z34" s="400"/>
      <c r="AA34" s="401" t="s">
        <v>156</v>
      </c>
      <c r="AB34" s="402"/>
      <c r="AC34" s="403"/>
      <c r="AD34" s="236">
        <v>5</v>
      </c>
      <c r="AE34" s="237"/>
      <c r="AF34" s="237"/>
      <c r="AG34" s="238"/>
      <c r="AH34" s="238"/>
      <c r="AI34" s="238"/>
      <c r="AJ34" s="238"/>
      <c r="AK34" s="238"/>
      <c r="AL34" s="238"/>
      <c r="AM34" s="238"/>
      <c r="AN34" s="238"/>
      <c r="AO34" s="237"/>
      <c r="AP34" s="237"/>
      <c r="AQ34" s="237"/>
      <c r="AR34" s="237"/>
      <c r="AS34" s="233"/>
      <c r="AT34" s="137"/>
      <c r="AU34" s="137"/>
      <c r="AV34" s="137"/>
      <c r="AW34" s="137"/>
      <c r="AX34" s="137"/>
      <c r="AY34" s="137"/>
      <c r="AZ34" s="137"/>
      <c r="BA34" s="137"/>
      <c r="BB34" s="137"/>
      <c r="BC34" s="137"/>
      <c r="BD34" s="138"/>
    </row>
    <row r="35" spans="1:56" s="1" customFormat="1">
      <c r="A35" s="145">
        <f>IF(B35="","",COUNTA($B$8:B35))</f>
        <v>27</v>
      </c>
      <c r="B35" s="230" t="s">
        <v>222</v>
      </c>
      <c r="C35" s="231"/>
      <c r="D35" s="231"/>
      <c r="E35" s="231"/>
      <c r="F35" s="231"/>
      <c r="G35" s="231"/>
      <c r="H35" s="232"/>
      <c r="I35" s="248" t="s">
        <v>223</v>
      </c>
      <c r="J35" s="234"/>
      <c r="K35" s="234"/>
      <c r="L35" s="234"/>
      <c r="M35" s="234"/>
      <c r="N35" s="234"/>
      <c r="O35" s="234"/>
      <c r="P35" s="234"/>
      <c r="Q35" s="235"/>
      <c r="R35" s="230" t="s">
        <v>222</v>
      </c>
      <c r="S35" s="234"/>
      <c r="T35" s="234"/>
      <c r="U35" s="234"/>
      <c r="V35" s="234"/>
      <c r="W35" s="234"/>
      <c r="X35" s="232"/>
      <c r="Y35" s="399" t="s">
        <v>155</v>
      </c>
      <c r="Z35" s="400"/>
      <c r="AA35" s="401" t="s">
        <v>156</v>
      </c>
      <c r="AB35" s="402"/>
      <c r="AC35" s="403"/>
      <c r="AD35" s="249">
        <v>5</v>
      </c>
      <c r="AE35" s="237"/>
      <c r="AF35" s="237"/>
      <c r="AG35" s="238"/>
      <c r="AH35" s="238"/>
      <c r="AI35" s="238"/>
      <c r="AJ35" s="238"/>
      <c r="AK35" s="238"/>
      <c r="AL35" s="238"/>
      <c r="AM35" s="238"/>
      <c r="AN35" s="238"/>
      <c r="AO35" s="237"/>
      <c r="AP35" s="237"/>
      <c r="AQ35" s="237"/>
      <c r="AR35" s="237"/>
      <c r="AS35" s="233"/>
      <c r="AT35" s="137"/>
      <c r="AU35" s="137"/>
      <c r="AV35" s="137"/>
      <c r="AW35" s="137"/>
      <c r="AX35" s="137"/>
      <c r="AY35" s="137"/>
      <c r="AZ35" s="137"/>
      <c r="BA35" s="137"/>
      <c r="BB35" s="137"/>
      <c r="BC35" s="137"/>
      <c r="BD35" s="138"/>
    </row>
    <row r="36" spans="1:56" s="1" customFormat="1">
      <c r="A36" s="145">
        <f>IF(B36="","",COUNTA($B$8:B36))</f>
        <v>28</v>
      </c>
      <c r="B36" s="230" t="s">
        <v>224</v>
      </c>
      <c r="C36" s="231"/>
      <c r="D36" s="231"/>
      <c r="E36" s="231"/>
      <c r="F36" s="231"/>
      <c r="G36" s="231"/>
      <c r="H36" s="232"/>
      <c r="I36" s="248" t="s">
        <v>225</v>
      </c>
      <c r="J36" s="234"/>
      <c r="K36" s="234"/>
      <c r="L36" s="234"/>
      <c r="M36" s="234"/>
      <c r="N36" s="234"/>
      <c r="O36" s="234"/>
      <c r="P36" s="234"/>
      <c r="Q36" s="235"/>
      <c r="R36" s="230" t="s">
        <v>224</v>
      </c>
      <c r="S36" s="234"/>
      <c r="T36" s="234"/>
      <c r="U36" s="234"/>
      <c r="V36" s="234"/>
      <c r="W36" s="234"/>
      <c r="X36" s="232"/>
      <c r="Y36" s="399" t="s">
        <v>150</v>
      </c>
      <c r="Z36" s="400"/>
      <c r="AA36" s="401" t="s">
        <v>151</v>
      </c>
      <c r="AB36" s="402"/>
      <c r="AC36" s="403"/>
      <c r="AD36" s="249">
        <v>10</v>
      </c>
      <c r="AE36" s="237"/>
      <c r="AF36" s="237"/>
      <c r="AG36" s="238"/>
      <c r="AH36" s="238"/>
      <c r="AI36" s="238"/>
      <c r="AJ36" s="238"/>
      <c r="AK36" s="238"/>
      <c r="AL36" s="238"/>
      <c r="AM36" s="238"/>
      <c r="AN36" s="238"/>
      <c r="AO36" s="237"/>
      <c r="AP36" s="237"/>
      <c r="AQ36" s="237"/>
      <c r="AR36" s="237"/>
      <c r="AS36" s="233"/>
      <c r="AT36" s="137"/>
      <c r="AU36" s="137"/>
      <c r="AV36" s="137"/>
      <c r="AW36" s="137"/>
      <c r="AX36" s="137"/>
      <c r="AY36" s="137"/>
      <c r="AZ36" s="137"/>
      <c r="BA36" s="137"/>
      <c r="BB36" s="137"/>
      <c r="BC36" s="137"/>
      <c r="BD36" s="138"/>
    </row>
    <row r="37" spans="1:56" s="1" customFormat="1">
      <c r="A37" s="145">
        <f>IF(B37="","",COUNTA($B$8:B37))</f>
        <v>29</v>
      </c>
      <c r="B37" s="230" t="s">
        <v>226</v>
      </c>
      <c r="C37" s="231"/>
      <c r="D37" s="231"/>
      <c r="E37" s="231"/>
      <c r="F37" s="231"/>
      <c r="G37" s="231"/>
      <c r="H37" s="232"/>
      <c r="I37" s="248" t="s">
        <v>227</v>
      </c>
      <c r="J37" s="234"/>
      <c r="K37" s="234"/>
      <c r="L37" s="234"/>
      <c r="M37" s="234"/>
      <c r="N37" s="234"/>
      <c r="O37" s="234"/>
      <c r="P37" s="234"/>
      <c r="Q37" s="235"/>
      <c r="R37" s="230" t="s">
        <v>226</v>
      </c>
      <c r="S37" s="234"/>
      <c r="T37" s="234"/>
      <c r="U37" s="234"/>
      <c r="V37" s="234"/>
      <c r="W37" s="234"/>
      <c r="X37" s="232"/>
      <c r="Y37" s="399" t="s">
        <v>150</v>
      </c>
      <c r="Z37" s="400"/>
      <c r="AA37" s="401" t="s">
        <v>151</v>
      </c>
      <c r="AB37" s="402"/>
      <c r="AC37" s="403"/>
      <c r="AD37" s="249">
        <v>3</v>
      </c>
      <c r="AE37" s="237"/>
      <c r="AF37" s="237"/>
      <c r="AG37" s="238"/>
      <c r="AH37" s="238"/>
      <c r="AI37" s="238"/>
      <c r="AJ37" s="238"/>
      <c r="AK37" s="238"/>
      <c r="AL37" s="238"/>
      <c r="AM37" s="238"/>
      <c r="AN37" s="238"/>
      <c r="AO37" s="237"/>
      <c r="AP37" s="237"/>
      <c r="AQ37" s="237"/>
      <c r="AR37" s="237"/>
      <c r="AS37" s="233"/>
      <c r="AT37" s="137"/>
      <c r="AU37" s="137"/>
      <c r="AV37" s="137"/>
      <c r="AW37" s="137"/>
      <c r="AX37" s="137"/>
      <c r="AY37" s="137"/>
      <c r="AZ37" s="137"/>
      <c r="BA37" s="137"/>
      <c r="BB37" s="137"/>
      <c r="BC37" s="137"/>
      <c r="BD37" s="138"/>
    </row>
    <row r="38" spans="1:56" s="1" customFormat="1">
      <c r="A38" s="145">
        <f>IF(B38="","",COUNTA($B$8:B38))</f>
        <v>30</v>
      </c>
      <c r="B38" s="230" t="s">
        <v>228</v>
      </c>
      <c r="C38" s="231"/>
      <c r="D38" s="231"/>
      <c r="E38" s="231"/>
      <c r="F38" s="231"/>
      <c r="G38" s="231"/>
      <c r="H38" s="232"/>
      <c r="I38" s="248" t="s">
        <v>229</v>
      </c>
      <c r="J38" s="234"/>
      <c r="K38" s="234"/>
      <c r="L38" s="234"/>
      <c r="M38" s="234"/>
      <c r="N38" s="234"/>
      <c r="O38" s="234"/>
      <c r="P38" s="234"/>
      <c r="Q38" s="235"/>
      <c r="R38" s="230" t="s">
        <v>228</v>
      </c>
      <c r="S38" s="234"/>
      <c r="T38" s="234"/>
      <c r="U38" s="234"/>
      <c r="V38" s="234"/>
      <c r="W38" s="234"/>
      <c r="X38" s="232"/>
      <c r="Y38" s="399" t="s">
        <v>150</v>
      </c>
      <c r="Z38" s="400"/>
      <c r="AA38" s="401" t="s">
        <v>151</v>
      </c>
      <c r="AB38" s="402"/>
      <c r="AC38" s="403"/>
      <c r="AD38" s="249">
        <v>1000</v>
      </c>
      <c r="AE38" s="237"/>
      <c r="AF38" s="237"/>
      <c r="AG38" s="238"/>
      <c r="AH38" s="238"/>
      <c r="AI38" s="238"/>
      <c r="AJ38" s="238"/>
      <c r="AK38" s="238"/>
      <c r="AL38" s="238"/>
      <c r="AM38" s="238"/>
      <c r="AN38" s="238"/>
      <c r="AO38" s="237"/>
      <c r="AP38" s="237"/>
      <c r="AQ38" s="237"/>
      <c r="AR38" s="237"/>
      <c r="AS38" s="233"/>
      <c r="AT38" s="137"/>
      <c r="AU38" s="137"/>
      <c r="AV38" s="137"/>
      <c r="AW38" s="137"/>
      <c r="AX38" s="137"/>
      <c r="AY38" s="137"/>
      <c r="AZ38" s="137"/>
      <c r="BA38" s="137"/>
      <c r="BB38" s="137"/>
      <c r="BC38" s="137"/>
      <c r="BD38" s="138"/>
    </row>
    <row r="39" spans="1:56" s="1" customFormat="1">
      <c r="A39" s="145">
        <f>IF(B39="","",COUNTA($B$8:B39))</f>
        <v>31</v>
      </c>
      <c r="B39" s="230" t="s">
        <v>230</v>
      </c>
      <c r="C39" s="231"/>
      <c r="D39" s="231"/>
      <c r="E39" s="231"/>
      <c r="F39" s="231"/>
      <c r="G39" s="231"/>
      <c r="H39" s="232"/>
      <c r="I39" s="248" t="s">
        <v>231</v>
      </c>
      <c r="J39" s="234"/>
      <c r="K39" s="234"/>
      <c r="L39" s="234"/>
      <c r="M39" s="234"/>
      <c r="N39" s="234"/>
      <c r="O39" s="234"/>
      <c r="P39" s="234"/>
      <c r="Q39" s="235"/>
      <c r="R39" s="230" t="s">
        <v>230</v>
      </c>
      <c r="S39" s="234"/>
      <c r="T39" s="234"/>
      <c r="U39" s="234"/>
      <c r="V39" s="234"/>
      <c r="W39" s="234"/>
      <c r="X39" s="232"/>
      <c r="Y39" s="399" t="s">
        <v>169</v>
      </c>
      <c r="Z39" s="400"/>
      <c r="AA39" s="401" t="s">
        <v>170</v>
      </c>
      <c r="AB39" s="402"/>
      <c r="AC39" s="403"/>
      <c r="AD39" s="249"/>
      <c r="AE39" s="237"/>
      <c r="AF39" s="237"/>
      <c r="AG39" s="238"/>
      <c r="AH39" s="238"/>
      <c r="AI39" s="238"/>
      <c r="AJ39" s="238"/>
      <c r="AK39" s="238"/>
      <c r="AL39" s="238"/>
      <c r="AM39" s="238"/>
      <c r="AN39" s="238"/>
      <c r="AO39" s="237"/>
      <c r="AP39" s="237"/>
      <c r="AQ39" s="237"/>
      <c r="AR39" s="237"/>
      <c r="AS39" s="233" t="s">
        <v>232</v>
      </c>
      <c r="AT39" s="137"/>
      <c r="AU39" s="137"/>
      <c r="AV39" s="137"/>
      <c r="AW39" s="137"/>
      <c r="AX39" s="137"/>
      <c r="AY39" s="137"/>
      <c r="AZ39" s="137"/>
      <c r="BA39" s="137"/>
      <c r="BB39" s="137"/>
      <c r="BC39" s="137"/>
      <c r="BD39" s="138"/>
    </row>
    <row r="40" spans="1:56" s="1" customFormat="1">
      <c r="A40" s="145">
        <f>IF(B40="","",COUNTA($B$8:B40))</f>
        <v>32</v>
      </c>
      <c r="B40" s="230" t="s">
        <v>233</v>
      </c>
      <c r="C40" s="231"/>
      <c r="D40" s="231"/>
      <c r="E40" s="231"/>
      <c r="F40" s="231"/>
      <c r="G40" s="231"/>
      <c r="H40" s="232"/>
      <c r="I40" s="248" t="s">
        <v>234</v>
      </c>
      <c r="J40" s="234"/>
      <c r="K40" s="234"/>
      <c r="L40" s="234"/>
      <c r="M40" s="234"/>
      <c r="N40" s="234"/>
      <c r="O40" s="234"/>
      <c r="P40" s="234"/>
      <c r="Q40" s="235"/>
      <c r="R40" s="230" t="s">
        <v>233</v>
      </c>
      <c r="S40" s="234"/>
      <c r="T40" s="234"/>
      <c r="U40" s="234"/>
      <c r="V40" s="234"/>
      <c r="W40" s="234"/>
      <c r="X40" s="232"/>
      <c r="Y40" s="399" t="s">
        <v>155</v>
      </c>
      <c r="Z40" s="400"/>
      <c r="AA40" s="401" t="s">
        <v>156</v>
      </c>
      <c r="AB40" s="402"/>
      <c r="AC40" s="403"/>
      <c r="AD40" s="249">
        <v>1</v>
      </c>
      <c r="AE40" s="237"/>
      <c r="AF40" s="237"/>
      <c r="AG40" s="238"/>
      <c r="AH40" s="238">
        <v>0</v>
      </c>
      <c r="AI40" s="238"/>
      <c r="AJ40" s="238"/>
      <c r="AK40" s="238"/>
      <c r="AL40" s="238"/>
      <c r="AM40" s="238"/>
      <c r="AN40" s="238"/>
      <c r="AO40" s="237"/>
      <c r="AP40" s="237"/>
      <c r="AQ40" s="237"/>
      <c r="AR40" s="237"/>
      <c r="AS40" s="233"/>
      <c r="AT40" s="137"/>
      <c r="AU40" s="137"/>
      <c r="AV40" s="137"/>
      <c r="AW40" s="137"/>
      <c r="AX40" s="137"/>
      <c r="AY40" s="137"/>
      <c r="AZ40" s="137"/>
      <c r="BA40" s="137"/>
      <c r="BB40" s="137"/>
      <c r="BC40" s="137"/>
      <c r="BD40" s="138"/>
    </row>
    <row r="41" spans="1:56" s="1" customFormat="1">
      <c r="A41" s="145">
        <f>IF(B41="","",COUNTA($B$8:B41))</f>
        <v>33</v>
      </c>
      <c r="B41" s="230" t="s">
        <v>236</v>
      </c>
      <c r="C41" s="231"/>
      <c r="D41" s="231"/>
      <c r="E41" s="231"/>
      <c r="F41" s="231"/>
      <c r="G41" s="231"/>
      <c r="H41" s="232"/>
      <c r="I41" s="248" t="s">
        <v>237</v>
      </c>
      <c r="J41" s="234"/>
      <c r="K41" s="234"/>
      <c r="L41" s="234"/>
      <c r="M41" s="234"/>
      <c r="N41" s="234"/>
      <c r="O41" s="234"/>
      <c r="P41" s="234"/>
      <c r="Q41" s="235"/>
      <c r="R41" s="230" t="s">
        <v>236</v>
      </c>
      <c r="S41" s="234"/>
      <c r="T41" s="234"/>
      <c r="U41" s="234"/>
      <c r="V41" s="234"/>
      <c r="W41" s="234"/>
      <c r="X41" s="232"/>
      <c r="Y41" s="399" t="s">
        <v>155</v>
      </c>
      <c r="Z41" s="400"/>
      <c r="AA41" s="401" t="s">
        <v>156</v>
      </c>
      <c r="AB41" s="402"/>
      <c r="AC41" s="403"/>
      <c r="AD41" s="249">
        <v>1</v>
      </c>
      <c r="AE41" s="237"/>
      <c r="AF41" s="237"/>
      <c r="AG41" s="238"/>
      <c r="AH41" s="238">
        <v>0</v>
      </c>
      <c r="AI41" s="238"/>
      <c r="AJ41" s="238"/>
      <c r="AK41" s="238"/>
      <c r="AL41" s="238"/>
      <c r="AM41" s="238"/>
      <c r="AN41" s="238"/>
      <c r="AO41" s="237"/>
      <c r="AP41" s="237"/>
      <c r="AQ41" s="237"/>
      <c r="AR41" s="237"/>
      <c r="AS41" s="233" t="s">
        <v>238</v>
      </c>
      <c r="AT41" s="137"/>
      <c r="AU41" s="137"/>
      <c r="AV41" s="137"/>
      <c r="AW41" s="137"/>
      <c r="AX41" s="137"/>
      <c r="AY41" s="137"/>
      <c r="AZ41" s="137"/>
      <c r="BA41" s="137"/>
      <c r="BB41" s="137"/>
      <c r="BC41" s="137"/>
      <c r="BD41" s="138"/>
    </row>
    <row r="42" spans="1:56" s="1" customFormat="1">
      <c r="A42" s="145">
        <f>IF(B42="","",COUNTA($B$8:B42))</f>
        <v>34</v>
      </c>
      <c r="B42" s="230" t="s">
        <v>239</v>
      </c>
      <c r="C42" s="231"/>
      <c r="D42" s="231"/>
      <c r="E42" s="231"/>
      <c r="F42" s="231"/>
      <c r="G42" s="231"/>
      <c r="H42" s="232"/>
      <c r="I42" s="248" t="s">
        <v>240</v>
      </c>
      <c r="J42" s="234"/>
      <c r="K42" s="234"/>
      <c r="L42" s="234"/>
      <c r="M42" s="234"/>
      <c r="N42" s="234"/>
      <c r="O42" s="234"/>
      <c r="P42" s="234"/>
      <c r="Q42" s="235"/>
      <c r="R42" s="230" t="s">
        <v>239</v>
      </c>
      <c r="S42" s="234"/>
      <c r="T42" s="234"/>
      <c r="U42" s="234"/>
      <c r="V42" s="234"/>
      <c r="W42" s="234"/>
      <c r="X42" s="232"/>
      <c r="Y42" s="399" t="s">
        <v>169</v>
      </c>
      <c r="Z42" s="400"/>
      <c r="AA42" s="401" t="s">
        <v>170</v>
      </c>
      <c r="AB42" s="402"/>
      <c r="AC42" s="403"/>
      <c r="AD42" s="249"/>
      <c r="AE42" s="237"/>
      <c r="AF42" s="237"/>
      <c r="AG42" s="238"/>
      <c r="AH42" s="238"/>
      <c r="AI42" s="238"/>
      <c r="AJ42" s="238"/>
      <c r="AK42" s="238"/>
      <c r="AL42" s="238"/>
      <c r="AM42" s="238"/>
      <c r="AN42" s="238"/>
      <c r="AO42" s="237"/>
      <c r="AP42" s="237"/>
      <c r="AQ42" s="237"/>
      <c r="AR42" s="237"/>
      <c r="AS42" s="233"/>
      <c r="AT42" s="137"/>
      <c r="AU42" s="137"/>
      <c r="AV42" s="137"/>
      <c r="AW42" s="137"/>
      <c r="AX42" s="137"/>
      <c r="AY42" s="137"/>
      <c r="AZ42" s="137"/>
      <c r="BA42" s="137"/>
      <c r="BB42" s="137"/>
      <c r="BC42" s="137"/>
      <c r="BD42" s="138"/>
    </row>
    <row r="43" spans="1:56" s="1" customFormat="1">
      <c r="A43" s="189">
        <f>IF(B43="","",COUNTA($B$8:B43))</f>
        <v>35</v>
      </c>
      <c r="B43" s="256" t="s">
        <v>241</v>
      </c>
      <c r="C43" s="231"/>
      <c r="D43" s="231"/>
      <c r="E43" s="231"/>
      <c r="F43" s="231"/>
      <c r="G43" s="231"/>
      <c r="H43" s="231"/>
      <c r="I43" s="248" t="s">
        <v>242</v>
      </c>
      <c r="J43" s="234"/>
      <c r="K43" s="234"/>
      <c r="L43" s="234"/>
      <c r="M43" s="234"/>
      <c r="N43" s="234"/>
      <c r="O43" s="234"/>
      <c r="P43" s="234"/>
      <c r="Q43" s="234"/>
      <c r="R43" s="256" t="s">
        <v>241</v>
      </c>
      <c r="S43" s="231"/>
      <c r="T43" s="257"/>
      <c r="U43" s="257"/>
      <c r="V43" s="257"/>
      <c r="W43" s="257"/>
      <c r="X43" s="257"/>
      <c r="Y43" s="230" t="s">
        <v>150</v>
      </c>
      <c r="Z43" s="244"/>
      <c r="AA43" s="401" t="s">
        <v>243</v>
      </c>
      <c r="AB43" s="402"/>
      <c r="AC43" s="403"/>
      <c r="AD43" s="258"/>
      <c r="AE43" s="238" t="s">
        <v>244</v>
      </c>
      <c r="AF43" s="253"/>
      <c r="AG43" s="253"/>
      <c r="AH43" s="253"/>
      <c r="AI43" s="253"/>
      <c r="AJ43" s="253"/>
      <c r="AK43" s="253"/>
      <c r="AL43" s="253"/>
      <c r="AM43" s="253"/>
      <c r="AN43" s="253"/>
      <c r="AO43" s="252"/>
      <c r="AP43" s="252"/>
      <c r="AQ43" s="252"/>
      <c r="AR43" s="252"/>
      <c r="AS43" s="254" t="s">
        <v>245</v>
      </c>
      <c r="AT43" s="137"/>
      <c r="AU43" s="137"/>
      <c r="AV43" s="137"/>
      <c r="AW43" s="137"/>
      <c r="AX43" s="137"/>
      <c r="AY43" s="137"/>
      <c r="AZ43" s="137"/>
      <c r="BA43" s="137"/>
      <c r="BB43" s="137"/>
      <c r="BC43" s="137"/>
      <c r="BD43" s="138"/>
    </row>
    <row r="44" spans="1:56" s="1" customFormat="1">
      <c r="A44" s="189">
        <f>IF(B44="","",COUNTA($B$8:B44))</f>
        <v>36</v>
      </c>
      <c r="B44" s="256" t="s">
        <v>246</v>
      </c>
      <c r="C44" s="231"/>
      <c r="D44" s="231"/>
      <c r="E44" s="231"/>
      <c r="F44" s="231"/>
      <c r="G44" s="231"/>
      <c r="H44" s="231"/>
      <c r="I44" s="248" t="s">
        <v>247</v>
      </c>
      <c r="J44" s="234"/>
      <c r="K44" s="234"/>
      <c r="L44" s="234"/>
      <c r="M44" s="234"/>
      <c r="N44" s="234"/>
      <c r="O44" s="234"/>
      <c r="P44" s="234"/>
      <c r="Q44" s="234"/>
      <c r="R44" s="256" t="s">
        <v>246</v>
      </c>
      <c r="S44" s="231"/>
      <c r="T44" s="257"/>
      <c r="U44" s="257"/>
      <c r="V44" s="257"/>
      <c r="W44" s="257"/>
      <c r="X44" s="257"/>
      <c r="Y44" s="230" t="s">
        <v>150</v>
      </c>
      <c r="Z44" s="244"/>
      <c r="AA44" s="401" t="s">
        <v>243</v>
      </c>
      <c r="AB44" s="402"/>
      <c r="AC44" s="403"/>
      <c r="AD44" s="258"/>
      <c r="AE44" s="238" t="s">
        <v>244</v>
      </c>
      <c r="AF44" s="253"/>
      <c r="AG44" s="253"/>
      <c r="AH44" s="253"/>
      <c r="AI44" s="253"/>
      <c r="AJ44" s="253"/>
      <c r="AK44" s="253"/>
      <c r="AL44" s="253"/>
      <c r="AM44" s="253"/>
      <c r="AN44" s="253"/>
      <c r="AO44" s="252"/>
      <c r="AP44" s="252"/>
      <c r="AQ44" s="252"/>
      <c r="AR44" s="252"/>
      <c r="AS44" s="254" t="s">
        <v>248</v>
      </c>
      <c r="AT44" s="137"/>
      <c r="AU44" s="137"/>
      <c r="AV44" s="137"/>
      <c r="AW44" s="137"/>
      <c r="AX44" s="137"/>
      <c r="AY44" s="137"/>
      <c r="AZ44" s="137"/>
      <c r="BA44" s="137"/>
      <c r="BB44" s="137"/>
      <c r="BC44" s="137"/>
      <c r="BD44" s="138"/>
    </row>
    <row r="45" spans="1:56" s="1" customFormat="1">
      <c r="A45" s="145">
        <f>IF(B45="","",COUNTA($B$8:B45))</f>
        <v>37</v>
      </c>
      <c r="B45" s="230" t="s">
        <v>249</v>
      </c>
      <c r="C45" s="231"/>
      <c r="D45" s="231"/>
      <c r="E45" s="231"/>
      <c r="F45" s="231"/>
      <c r="G45" s="231"/>
      <c r="H45" s="232"/>
      <c r="I45" s="248" t="s">
        <v>250</v>
      </c>
      <c r="J45" s="234"/>
      <c r="K45" s="234"/>
      <c r="L45" s="234"/>
      <c r="M45" s="234"/>
      <c r="N45" s="234"/>
      <c r="O45" s="234"/>
      <c r="P45" s="234"/>
      <c r="Q45" s="235"/>
      <c r="R45" s="230" t="s">
        <v>249</v>
      </c>
      <c r="S45" s="234"/>
      <c r="T45" s="234"/>
      <c r="U45" s="234"/>
      <c r="V45" s="234"/>
      <c r="W45" s="234"/>
      <c r="X45" s="232"/>
      <c r="Y45" s="399" t="s">
        <v>150</v>
      </c>
      <c r="Z45" s="400"/>
      <c r="AA45" s="401" t="s">
        <v>151</v>
      </c>
      <c r="AB45" s="402"/>
      <c r="AC45" s="403"/>
      <c r="AD45" s="249">
        <v>4</v>
      </c>
      <c r="AE45" s="237"/>
      <c r="AF45" s="237"/>
      <c r="AG45" s="238"/>
      <c r="AH45" s="238"/>
      <c r="AI45" s="238"/>
      <c r="AJ45" s="238"/>
      <c r="AK45" s="238"/>
      <c r="AL45" s="238"/>
      <c r="AM45" s="238"/>
      <c r="AN45" s="238"/>
      <c r="AO45" s="237"/>
      <c r="AP45" s="237"/>
      <c r="AQ45" s="237"/>
      <c r="AR45" s="237"/>
      <c r="AS45" s="233"/>
      <c r="AT45" s="137"/>
      <c r="AU45" s="137"/>
      <c r="AV45" s="137"/>
      <c r="AW45" s="137"/>
      <c r="AX45" s="137"/>
      <c r="AY45" s="137"/>
      <c r="AZ45" s="137"/>
      <c r="BA45" s="137"/>
      <c r="BB45" s="137"/>
      <c r="BC45" s="137"/>
      <c r="BD45" s="138"/>
    </row>
    <row r="46" spans="1:56" s="1" customFormat="1">
      <c r="A46" s="145">
        <f>IF(B46="","",COUNTA($B$8:B46))</f>
        <v>38</v>
      </c>
      <c r="B46" s="230" t="s">
        <v>251</v>
      </c>
      <c r="C46" s="231"/>
      <c r="D46" s="231"/>
      <c r="E46" s="231"/>
      <c r="F46" s="231"/>
      <c r="G46" s="231"/>
      <c r="H46" s="232"/>
      <c r="I46" s="248" t="s">
        <v>252</v>
      </c>
      <c r="J46" s="234"/>
      <c r="K46" s="234"/>
      <c r="L46" s="234"/>
      <c r="M46" s="234"/>
      <c r="N46" s="234"/>
      <c r="O46" s="234"/>
      <c r="P46" s="234"/>
      <c r="Q46" s="235"/>
      <c r="R46" s="230" t="s">
        <v>251</v>
      </c>
      <c r="S46" s="234"/>
      <c r="T46" s="234"/>
      <c r="U46" s="234"/>
      <c r="V46" s="234"/>
      <c r="W46" s="234"/>
      <c r="X46" s="232"/>
      <c r="Y46" s="399" t="s">
        <v>150</v>
      </c>
      <c r="Z46" s="400"/>
      <c r="AA46" s="401" t="s">
        <v>151</v>
      </c>
      <c r="AB46" s="402"/>
      <c r="AC46" s="403"/>
      <c r="AD46" s="249">
        <v>4</v>
      </c>
      <c r="AE46" s="237"/>
      <c r="AF46" s="237"/>
      <c r="AG46" s="238"/>
      <c r="AH46" s="238"/>
      <c r="AI46" s="238"/>
      <c r="AJ46" s="238"/>
      <c r="AK46" s="238"/>
      <c r="AL46" s="238"/>
      <c r="AM46" s="238"/>
      <c r="AN46" s="238"/>
      <c r="AO46" s="237"/>
      <c r="AP46" s="237"/>
      <c r="AQ46" s="237"/>
      <c r="AR46" s="237"/>
      <c r="AS46" s="233"/>
      <c r="AT46" s="137"/>
      <c r="AU46" s="137"/>
      <c r="AV46" s="137"/>
      <c r="AW46" s="137"/>
      <c r="AX46" s="137"/>
      <c r="AY46" s="137"/>
      <c r="AZ46" s="137"/>
      <c r="BA46" s="137"/>
      <c r="BB46" s="137"/>
      <c r="BC46" s="137"/>
      <c r="BD46" s="138"/>
    </row>
    <row r="47" spans="1:56" s="1" customFormat="1">
      <c r="A47" s="145">
        <f>IF(B47="","",COUNTA($B$8:B47))</f>
        <v>39</v>
      </c>
      <c r="B47" s="230" t="s">
        <v>253</v>
      </c>
      <c r="C47" s="231"/>
      <c r="D47" s="231"/>
      <c r="E47" s="231"/>
      <c r="F47" s="231"/>
      <c r="G47" s="231"/>
      <c r="H47" s="232"/>
      <c r="I47" s="233" t="s">
        <v>254</v>
      </c>
      <c r="J47" s="234"/>
      <c r="K47" s="234"/>
      <c r="L47" s="234"/>
      <c r="M47" s="234"/>
      <c r="N47" s="234"/>
      <c r="O47" s="234"/>
      <c r="P47" s="234"/>
      <c r="Q47" s="235"/>
      <c r="R47" s="230" t="s">
        <v>253</v>
      </c>
      <c r="S47" s="234"/>
      <c r="T47" s="234"/>
      <c r="U47" s="234"/>
      <c r="V47" s="234"/>
      <c r="W47" s="234"/>
      <c r="X47" s="232"/>
      <c r="Y47" s="399" t="s">
        <v>150</v>
      </c>
      <c r="Z47" s="400"/>
      <c r="AA47" s="401" t="s">
        <v>151</v>
      </c>
      <c r="AB47" s="402"/>
      <c r="AC47" s="403"/>
      <c r="AD47" s="249">
        <v>10</v>
      </c>
      <c r="AE47" s="237"/>
      <c r="AF47" s="237"/>
      <c r="AG47" s="238"/>
      <c r="AH47" s="238"/>
      <c r="AI47" s="238"/>
      <c r="AJ47" s="238"/>
      <c r="AK47" s="238"/>
      <c r="AL47" s="238"/>
      <c r="AM47" s="238"/>
      <c r="AN47" s="238"/>
      <c r="AO47" s="237"/>
      <c r="AP47" s="237"/>
      <c r="AQ47" s="237"/>
      <c r="AR47" s="237"/>
      <c r="AS47" s="233"/>
      <c r="AT47" s="137"/>
      <c r="AU47" s="137"/>
      <c r="AV47" s="137"/>
      <c r="AW47" s="137"/>
      <c r="AX47" s="137"/>
      <c r="AY47" s="137"/>
      <c r="AZ47" s="137"/>
      <c r="BA47" s="137"/>
      <c r="BB47" s="137"/>
      <c r="BC47" s="137"/>
      <c r="BD47" s="138"/>
    </row>
    <row r="48" spans="1:56" s="1" customFormat="1">
      <c r="A48" s="145">
        <f>IF(B48="","",COUNTA($B$8:B48))</f>
        <v>40</v>
      </c>
      <c r="B48" s="230" t="s">
        <v>255</v>
      </c>
      <c r="C48" s="231"/>
      <c r="D48" s="231"/>
      <c r="E48" s="231"/>
      <c r="F48" s="231"/>
      <c r="G48" s="231"/>
      <c r="H48" s="232"/>
      <c r="I48" s="233" t="s">
        <v>256</v>
      </c>
      <c r="J48" s="234"/>
      <c r="K48" s="234"/>
      <c r="L48" s="234"/>
      <c r="M48" s="234"/>
      <c r="N48" s="234"/>
      <c r="O48" s="234"/>
      <c r="P48" s="234"/>
      <c r="Q48" s="235"/>
      <c r="R48" s="230" t="s">
        <v>255</v>
      </c>
      <c r="S48" s="234"/>
      <c r="T48" s="234"/>
      <c r="U48" s="234"/>
      <c r="V48" s="234"/>
      <c r="W48" s="234"/>
      <c r="X48" s="232"/>
      <c r="Y48" s="399" t="s">
        <v>150</v>
      </c>
      <c r="Z48" s="400"/>
      <c r="AA48" s="401" t="s">
        <v>151</v>
      </c>
      <c r="AB48" s="402"/>
      <c r="AC48" s="403"/>
      <c r="AD48" s="249">
        <v>10</v>
      </c>
      <c r="AE48" s="237"/>
      <c r="AF48" s="237"/>
      <c r="AG48" s="238"/>
      <c r="AH48" s="238"/>
      <c r="AI48" s="238"/>
      <c r="AJ48" s="238"/>
      <c r="AK48" s="238"/>
      <c r="AL48" s="238"/>
      <c r="AM48" s="238"/>
      <c r="AN48" s="238"/>
      <c r="AO48" s="237"/>
      <c r="AP48" s="237"/>
      <c r="AQ48" s="237"/>
      <c r="AR48" s="237"/>
      <c r="AS48" s="233"/>
      <c r="AT48" s="137"/>
      <c r="AU48" s="137"/>
      <c r="AV48" s="137"/>
      <c r="AW48" s="137"/>
      <c r="AX48" s="137"/>
      <c r="AY48" s="137"/>
      <c r="AZ48" s="137"/>
      <c r="BA48" s="137"/>
      <c r="BB48" s="137"/>
      <c r="BC48" s="137"/>
      <c r="BD48" s="138"/>
    </row>
    <row r="49" spans="1:56" s="1" customFormat="1">
      <c r="A49" s="145">
        <f>IF(B49="","",COUNTA($B$8:B49))</f>
        <v>41</v>
      </c>
      <c r="B49" s="230" t="s">
        <v>257</v>
      </c>
      <c r="C49" s="231"/>
      <c r="D49" s="231"/>
      <c r="E49" s="231"/>
      <c r="F49" s="231"/>
      <c r="G49" s="231"/>
      <c r="H49" s="232"/>
      <c r="I49" s="233" t="s">
        <v>258</v>
      </c>
      <c r="J49" s="234"/>
      <c r="K49" s="234"/>
      <c r="L49" s="234"/>
      <c r="M49" s="234"/>
      <c r="N49" s="234"/>
      <c r="O49" s="234"/>
      <c r="P49" s="234"/>
      <c r="Q49" s="235"/>
      <c r="R49" s="230" t="s">
        <v>257</v>
      </c>
      <c r="S49" s="234"/>
      <c r="T49" s="234"/>
      <c r="U49" s="234"/>
      <c r="V49" s="234"/>
      <c r="W49" s="234"/>
      <c r="X49" s="232"/>
      <c r="Y49" s="399" t="s">
        <v>169</v>
      </c>
      <c r="Z49" s="400"/>
      <c r="AA49" s="401" t="s">
        <v>243</v>
      </c>
      <c r="AB49" s="402"/>
      <c r="AC49" s="403"/>
      <c r="AD49" s="236"/>
      <c r="AE49" s="252"/>
      <c r="AF49" s="252"/>
      <c r="AG49" s="253"/>
      <c r="AH49" s="253"/>
      <c r="AI49" s="253"/>
      <c r="AJ49" s="238"/>
      <c r="AK49" s="238"/>
      <c r="AL49" s="238"/>
      <c r="AM49" s="238"/>
      <c r="AN49" s="238"/>
      <c r="AO49" s="237"/>
      <c r="AP49" s="237"/>
      <c r="AQ49" s="237"/>
      <c r="AR49" s="237"/>
      <c r="AS49" s="233"/>
      <c r="AT49" s="137"/>
      <c r="AU49" s="137"/>
      <c r="AV49" s="137"/>
      <c r="AW49" s="137"/>
      <c r="AX49" s="137"/>
      <c r="AY49" s="137"/>
      <c r="AZ49" s="137"/>
      <c r="BA49" s="137"/>
      <c r="BB49" s="137"/>
      <c r="BC49" s="137"/>
      <c r="BD49" s="138"/>
    </row>
    <row r="50" spans="1:56" s="1" customFormat="1">
      <c r="A50" s="145">
        <f>IF(B50="","",COUNTA($B$8:B50))</f>
        <v>42</v>
      </c>
      <c r="B50" s="230" t="s">
        <v>259</v>
      </c>
      <c r="C50" s="231"/>
      <c r="D50" s="231"/>
      <c r="E50" s="231"/>
      <c r="F50" s="231"/>
      <c r="G50" s="231"/>
      <c r="H50" s="232"/>
      <c r="I50" s="233" t="s">
        <v>260</v>
      </c>
      <c r="J50" s="234"/>
      <c r="K50" s="234"/>
      <c r="L50" s="234"/>
      <c r="M50" s="234"/>
      <c r="N50" s="234"/>
      <c r="O50" s="234"/>
      <c r="P50" s="234"/>
      <c r="Q50" s="235"/>
      <c r="R50" s="230" t="s">
        <v>259</v>
      </c>
      <c r="S50" s="234"/>
      <c r="T50" s="234"/>
      <c r="U50" s="234"/>
      <c r="V50" s="234"/>
      <c r="W50" s="234"/>
      <c r="X50" s="232"/>
      <c r="Y50" s="399" t="s">
        <v>150</v>
      </c>
      <c r="Z50" s="400"/>
      <c r="AA50" s="401" t="s">
        <v>151</v>
      </c>
      <c r="AB50" s="402"/>
      <c r="AC50" s="403"/>
      <c r="AD50" s="249">
        <v>10</v>
      </c>
      <c r="AE50" s="252"/>
      <c r="AF50" s="252"/>
      <c r="AG50" s="253"/>
      <c r="AH50" s="253"/>
      <c r="AI50" s="253"/>
      <c r="AJ50" s="238"/>
      <c r="AK50" s="238"/>
      <c r="AL50" s="238"/>
      <c r="AM50" s="238"/>
      <c r="AN50" s="238"/>
      <c r="AO50" s="237"/>
      <c r="AP50" s="237"/>
      <c r="AQ50" s="237"/>
      <c r="AR50" s="237"/>
      <c r="AS50" s="233"/>
      <c r="AT50" s="137"/>
      <c r="AU50" s="137"/>
      <c r="AV50" s="137"/>
      <c r="AW50" s="137"/>
      <c r="AX50" s="137"/>
      <c r="AY50" s="137"/>
      <c r="AZ50" s="137"/>
      <c r="BA50" s="137"/>
      <c r="BB50" s="137"/>
      <c r="BC50" s="137"/>
      <c r="BD50" s="138"/>
    </row>
    <row r="51" spans="1:56" s="1" customFormat="1">
      <c r="A51" s="145">
        <f>IF(B51="","",COUNTA($B$8:B51))</f>
        <v>43</v>
      </c>
      <c r="B51" s="230" t="s">
        <v>261</v>
      </c>
      <c r="C51" s="231"/>
      <c r="D51" s="231"/>
      <c r="E51" s="231"/>
      <c r="F51" s="231"/>
      <c r="G51" s="231"/>
      <c r="H51" s="232"/>
      <c r="I51" s="233" t="s">
        <v>262</v>
      </c>
      <c r="J51" s="234"/>
      <c r="K51" s="234"/>
      <c r="L51" s="234"/>
      <c r="M51" s="234"/>
      <c r="N51" s="234"/>
      <c r="O51" s="234"/>
      <c r="P51" s="234"/>
      <c r="Q51" s="235"/>
      <c r="R51" s="230" t="s">
        <v>261</v>
      </c>
      <c r="S51" s="234"/>
      <c r="T51" s="234"/>
      <c r="U51" s="234"/>
      <c r="V51" s="234"/>
      <c r="W51" s="234"/>
      <c r="X51" s="232"/>
      <c r="Y51" s="399" t="s">
        <v>150</v>
      </c>
      <c r="Z51" s="400"/>
      <c r="AA51" s="401" t="s">
        <v>151</v>
      </c>
      <c r="AB51" s="402"/>
      <c r="AC51" s="403"/>
      <c r="AD51" s="236">
        <v>10</v>
      </c>
      <c r="AE51" s="237"/>
      <c r="AF51" s="237"/>
      <c r="AG51" s="238"/>
      <c r="AH51" s="238"/>
      <c r="AI51" s="238"/>
      <c r="AJ51" s="238"/>
      <c r="AK51" s="238"/>
      <c r="AL51" s="253"/>
      <c r="AM51" s="253"/>
      <c r="AN51" s="253"/>
      <c r="AO51" s="252"/>
      <c r="AP51" s="252"/>
      <c r="AQ51" s="252"/>
      <c r="AR51" s="252"/>
      <c r="AS51" s="254"/>
      <c r="AT51" s="190"/>
      <c r="AU51" s="137"/>
      <c r="AV51" s="137"/>
      <c r="AW51" s="137"/>
      <c r="AX51" s="137"/>
      <c r="AY51" s="137"/>
      <c r="AZ51" s="137"/>
      <c r="BA51" s="137"/>
      <c r="BB51" s="137"/>
      <c r="BC51" s="137"/>
      <c r="BD51" s="138"/>
    </row>
    <row r="52" spans="1:56" s="1" customFormat="1">
      <c r="A52" s="145">
        <f>IF(B52="","",COUNTA($B$8:B52))</f>
        <v>44</v>
      </c>
      <c r="B52" s="230" t="s">
        <v>263</v>
      </c>
      <c r="C52" s="231"/>
      <c r="D52" s="231"/>
      <c r="E52" s="231"/>
      <c r="F52" s="231"/>
      <c r="G52" s="231"/>
      <c r="H52" s="232"/>
      <c r="I52" s="233" t="s">
        <v>264</v>
      </c>
      <c r="J52" s="234"/>
      <c r="K52" s="234"/>
      <c r="L52" s="234"/>
      <c r="M52" s="234"/>
      <c r="N52" s="234"/>
      <c r="O52" s="234"/>
      <c r="P52" s="234"/>
      <c r="Q52" s="235"/>
      <c r="R52" s="239" t="s">
        <v>263</v>
      </c>
      <c r="S52" s="234"/>
      <c r="T52" s="234"/>
      <c r="U52" s="234"/>
      <c r="V52" s="234"/>
      <c r="W52" s="234"/>
      <c r="X52" s="232"/>
      <c r="Y52" s="399" t="s">
        <v>169</v>
      </c>
      <c r="Z52" s="400"/>
      <c r="AA52" s="401" t="s">
        <v>243</v>
      </c>
      <c r="AB52" s="402"/>
      <c r="AC52" s="403"/>
      <c r="AD52" s="236"/>
      <c r="AE52" s="252"/>
      <c r="AF52" s="252"/>
      <c r="AG52" s="253"/>
      <c r="AH52" s="253"/>
      <c r="AI52" s="253"/>
      <c r="AJ52" s="253"/>
      <c r="AK52" s="253"/>
      <c r="AL52" s="253"/>
      <c r="AM52" s="253"/>
      <c r="AN52" s="253"/>
      <c r="AO52" s="252"/>
      <c r="AP52" s="252"/>
      <c r="AQ52" s="252"/>
      <c r="AR52" s="252"/>
      <c r="AS52" s="254"/>
      <c r="AT52" s="190"/>
      <c r="AU52" s="137"/>
      <c r="AV52" s="137"/>
      <c r="AW52" s="137"/>
      <c r="AX52" s="137"/>
      <c r="AY52" s="137"/>
      <c r="AZ52" s="137"/>
      <c r="BA52" s="137"/>
      <c r="BB52" s="137"/>
      <c r="BC52" s="137"/>
      <c r="BD52" s="138"/>
    </row>
    <row r="53" spans="1:56" s="1" customFormat="1">
      <c r="A53" s="145" t="str">
        <f>IF(B53="","",COUNTA($B$8:B53))</f>
        <v/>
      </c>
      <c r="B53" s="230"/>
      <c r="C53" s="231"/>
      <c r="D53" s="231"/>
      <c r="E53" s="231"/>
      <c r="F53" s="231"/>
      <c r="G53" s="231"/>
      <c r="H53" s="232"/>
      <c r="I53" s="239"/>
      <c r="J53" s="234"/>
      <c r="K53" s="234"/>
      <c r="L53" s="234"/>
      <c r="M53" s="234"/>
      <c r="N53" s="234"/>
      <c r="O53" s="234"/>
      <c r="P53" s="234"/>
      <c r="Q53" s="235"/>
      <c r="R53" s="230"/>
      <c r="S53" s="234"/>
      <c r="T53" s="234"/>
      <c r="U53" s="234"/>
      <c r="V53" s="234"/>
      <c r="W53" s="234"/>
      <c r="X53" s="232"/>
      <c r="Y53" s="399"/>
      <c r="Z53" s="400"/>
      <c r="AA53" s="401"/>
      <c r="AB53" s="402"/>
      <c r="AC53" s="403"/>
      <c r="AD53" s="236"/>
      <c r="AE53" s="252"/>
      <c r="AF53" s="252"/>
      <c r="AG53" s="253"/>
      <c r="AH53" s="253"/>
      <c r="AI53" s="253"/>
      <c r="AJ53" s="253"/>
      <c r="AK53" s="253"/>
      <c r="AL53" s="253"/>
      <c r="AM53" s="253"/>
      <c r="AN53" s="253"/>
      <c r="AO53" s="252"/>
      <c r="AP53" s="252"/>
      <c r="AQ53" s="252"/>
      <c r="AR53" s="252"/>
      <c r="AS53" s="254"/>
      <c r="AT53" s="190"/>
      <c r="AU53" s="137"/>
      <c r="AV53" s="137"/>
      <c r="AW53" s="137"/>
      <c r="AX53" s="137"/>
      <c r="AY53" s="137"/>
      <c r="AZ53" s="137"/>
      <c r="BA53" s="137"/>
      <c r="BB53" s="137"/>
      <c r="BC53" s="137"/>
      <c r="BD53" s="138"/>
    </row>
    <row r="54" spans="1:56">
      <c r="A54" s="70" t="str">
        <f>IF(B54="","",COUNTA($B$8:B54))</f>
        <v/>
      </c>
      <c r="B54" s="19"/>
      <c r="C54" s="20"/>
      <c r="D54" s="20"/>
      <c r="E54" s="20"/>
      <c r="F54" s="20"/>
      <c r="G54" s="20"/>
      <c r="H54" s="24"/>
      <c r="I54" s="22"/>
      <c r="J54" s="23"/>
      <c r="K54" s="23"/>
      <c r="L54" s="23"/>
      <c r="M54" s="23"/>
      <c r="N54" s="23"/>
      <c r="O54" s="23"/>
      <c r="P54" s="23"/>
      <c r="Q54" s="37"/>
      <c r="R54" s="19"/>
      <c r="S54" s="23"/>
      <c r="T54" s="23"/>
      <c r="U54" s="23"/>
      <c r="V54" s="23"/>
      <c r="W54" s="23"/>
      <c r="X54" s="24"/>
      <c r="Y54" s="440"/>
      <c r="Z54" s="441"/>
      <c r="AA54" s="442"/>
      <c r="AB54" s="443"/>
      <c r="AC54" s="444"/>
      <c r="AD54" s="30"/>
      <c r="AE54" s="41"/>
      <c r="AF54" s="41"/>
      <c r="AG54" s="40"/>
      <c r="AH54" s="40"/>
      <c r="AI54" s="40"/>
      <c r="AJ54" s="40"/>
      <c r="AK54" s="40"/>
      <c r="AL54" s="40"/>
      <c r="AM54" s="40"/>
      <c r="AN54" s="40"/>
      <c r="AO54" s="41"/>
      <c r="AP54" s="41"/>
      <c r="AQ54" s="41"/>
      <c r="AR54" s="41"/>
      <c r="AS54" s="42"/>
      <c r="AT54" s="43"/>
      <c r="AU54" s="67"/>
      <c r="AV54" s="67"/>
      <c r="AW54" s="67"/>
      <c r="AX54" s="67"/>
      <c r="AY54" s="67"/>
      <c r="AZ54" s="67"/>
      <c r="BA54" s="67"/>
      <c r="BB54" s="67"/>
      <c r="BC54" s="67"/>
      <c r="BD54" s="68"/>
    </row>
    <row r="55" spans="1:56">
      <c r="A55" s="70" t="str">
        <f>IF(B55="","",COUNTA($B$8:B55))</f>
        <v/>
      </c>
      <c r="B55" s="19"/>
      <c r="C55" s="20"/>
      <c r="D55" s="20"/>
      <c r="E55" s="20"/>
      <c r="F55" s="20"/>
      <c r="G55" s="20"/>
      <c r="H55" s="24"/>
      <c r="I55" s="22"/>
      <c r="J55" s="23"/>
      <c r="K55" s="23"/>
      <c r="L55" s="23"/>
      <c r="M55" s="23"/>
      <c r="N55" s="23"/>
      <c r="O55" s="23"/>
      <c r="P55" s="23"/>
      <c r="Q55" s="37"/>
      <c r="R55" s="19"/>
      <c r="S55" s="23"/>
      <c r="T55" s="23"/>
      <c r="U55" s="23"/>
      <c r="V55" s="23"/>
      <c r="W55" s="23"/>
      <c r="X55" s="24"/>
      <c r="Y55" s="440"/>
      <c r="Z55" s="441"/>
      <c r="AA55" s="442"/>
      <c r="AB55" s="443"/>
      <c r="AC55" s="444"/>
      <c r="AD55" s="30"/>
      <c r="AE55" s="41"/>
      <c r="AF55" s="41"/>
      <c r="AG55" s="40"/>
      <c r="AH55" s="40"/>
      <c r="AI55" s="40"/>
      <c r="AJ55" s="40"/>
      <c r="AK55" s="40"/>
      <c r="AL55" s="40"/>
      <c r="AM55" s="40"/>
      <c r="AN55" s="40"/>
      <c r="AO55" s="41"/>
      <c r="AP55" s="41"/>
      <c r="AQ55" s="41"/>
      <c r="AR55" s="41"/>
      <c r="AS55" s="42"/>
      <c r="AT55" s="43"/>
      <c r="AU55" s="67"/>
      <c r="AV55" s="67"/>
      <c r="AW55" s="67"/>
      <c r="AX55" s="67"/>
      <c r="AY55" s="67"/>
      <c r="AZ55" s="67"/>
      <c r="BA55" s="67"/>
      <c r="BB55" s="67"/>
      <c r="BC55" s="67"/>
      <c r="BD55" s="68"/>
    </row>
    <row r="56" spans="1:56">
      <c r="A56" s="70" t="str">
        <f>IF(B56="","",COUNTA($B$8:B56))</f>
        <v/>
      </c>
      <c r="B56" s="19"/>
      <c r="C56" s="20"/>
      <c r="D56" s="20"/>
      <c r="E56" s="20"/>
      <c r="F56" s="20"/>
      <c r="G56" s="20"/>
      <c r="H56" s="24"/>
      <c r="I56" s="22"/>
      <c r="J56" s="23"/>
      <c r="K56" s="23"/>
      <c r="L56" s="23"/>
      <c r="M56" s="23"/>
      <c r="N56" s="23"/>
      <c r="O56" s="23"/>
      <c r="P56" s="23"/>
      <c r="Q56" s="37"/>
      <c r="R56" s="19"/>
      <c r="S56" s="23"/>
      <c r="T56" s="23"/>
      <c r="U56" s="23"/>
      <c r="V56" s="23"/>
      <c r="W56" s="23"/>
      <c r="X56" s="24"/>
      <c r="Y56" s="440"/>
      <c r="Z56" s="441"/>
      <c r="AA56" s="442"/>
      <c r="AB56" s="443"/>
      <c r="AC56" s="444"/>
      <c r="AD56" s="30"/>
      <c r="AE56" s="41"/>
      <c r="AF56" s="41"/>
      <c r="AG56" s="40"/>
      <c r="AH56" s="40"/>
      <c r="AI56" s="40"/>
      <c r="AJ56" s="40"/>
      <c r="AK56" s="40"/>
      <c r="AL56" s="40"/>
      <c r="AM56" s="40"/>
      <c r="AN56" s="40"/>
      <c r="AO56" s="41"/>
      <c r="AP56" s="41"/>
      <c r="AQ56" s="41"/>
      <c r="AR56" s="41"/>
      <c r="AS56" s="42"/>
      <c r="AT56" s="43"/>
      <c r="AU56" s="67"/>
      <c r="AV56" s="67"/>
      <c r="AW56" s="67"/>
      <c r="AX56" s="67"/>
      <c r="AY56" s="67"/>
      <c r="AZ56" s="67"/>
      <c r="BA56" s="67"/>
      <c r="BB56" s="67"/>
      <c r="BC56" s="67"/>
      <c r="BD56" s="68"/>
    </row>
    <row r="57" spans="1:56">
      <c r="A57" s="70" t="str">
        <f>IF(B57="","",COUNTA($B$8:B57))</f>
        <v/>
      </c>
      <c r="B57" s="19"/>
      <c r="C57" s="20"/>
      <c r="D57" s="20"/>
      <c r="E57" s="20"/>
      <c r="F57" s="20"/>
      <c r="G57" s="20"/>
      <c r="H57" s="24"/>
      <c r="I57" s="22"/>
      <c r="J57" s="23"/>
      <c r="K57" s="23"/>
      <c r="L57" s="23"/>
      <c r="M57" s="23"/>
      <c r="N57" s="23"/>
      <c r="O57" s="23"/>
      <c r="P57" s="23"/>
      <c r="Q57" s="37"/>
      <c r="R57" s="19"/>
      <c r="S57" s="23"/>
      <c r="T57" s="23"/>
      <c r="U57" s="23"/>
      <c r="V57" s="23"/>
      <c r="W57" s="23"/>
      <c r="X57" s="24"/>
      <c r="Y57" s="440"/>
      <c r="Z57" s="441"/>
      <c r="AA57" s="442"/>
      <c r="AB57" s="443"/>
      <c r="AC57" s="444"/>
      <c r="AD57" s="30"/>
      <c r="AE57" s="41"/>
      <c r="AF57" s="41"/>
      <c r="AG57" s="40"/>
      <c r="AH57" s="40"/>
      <c r="AI57" s="40"/>
      <c r="AJ57" s="40"/>
      <c r="AK57" s="40"/>
      <c r="AL57" s="40"/>
      <c r="AM57" s="40"/>
      <c r="AN57" s="40"/>
      <c r="AO57" s="41"/>
      <c r="AP57" s="41"/>
      <c r="AQ57" s="41"/>
      <c r="AR57" s="41"/>
      <c r="AS57" s="42"/>
      <c r="AT57" s="43"/>
      <c r="AU57" s="67"/>
      <c r="AV57" s="67"/>
      <c r="AW57" s="67"/>
      <c r="AX57" s="67"/>
      <c r="AY57" s="67"/>
      <c r="AZ57" s="67"/>
      <c r="BA57" s="67"/>
      <c r="BB57" s="67"/>
      <c r="BC57" s="67"/>
      <c r="BD57" s="68"/>
    </row>
    <row r="58" spans="1:56">
      <c r="A58" s="70" t="str">
        <f>IF(B58="","",COUNTA($B$8:B58))</f>
        <v/>
      </c>
      <c r="B58" s="19"/>
      <c r="C58" s="20"/>
      <c r="D58" s="20"/>
      <c r="E58" s="20"/>
      <c r="F58" s="20"/>
      <c r="G58" s="20"/>
      <c r="H58" s="24"/>
      <c r="I58" s="22"/>
      <c r="J58" s="23"/>
      <c r="K58" s="23"/>
      <c r="L58" s="23"/>
      <c r="M58" s="23"/>
      <c r="N58" s="23"/>
      <c r="O58" s="23"/>
      <c r="P58" s="23"/>
      <c r="Q58" s="37"/>
      <c r="R58" s="19"/>
      <c r="S58" s="23"/>
      <c r="T58" s="23"/>
      <c r="U58" s="23"/>
      <c r="V58" s="23"/>
      <c r="W58" s="23"/>
      <c r="X58" s="24"/>
      <c r="Y58" s="440"/>
      <c r="Z58" s="441"/>
      <c r="AA58" s="442"/>
      <c r="AB58" s="443"/>
      <c r="AC58" s="444"/>
      <c r="AD58" s="30"/>
      <c r="AE58" s="41"/>
      <c r="AF58" s="41"/>
      <c r="AG58" s="40"/>
      <c r="AH58" s="40"/>
      <c r="AI58" s="40"/>
      <c r="AJ58" s="40"/>
      <c r="AK58" s="40"/>
      <c r="AL58" s="40"/>
      <c r="AM58" s="40"/>
      <c r="AN58" s="40"/>
      <c r="AO58" s="41"/>
      <c r="AP58" s="41"/>
      <c r="AQ58" s="41"/>
      <c r="AR58" s="41"/>
      <c r="AS58" s="42"/>
      <c r="AT58" s="43"/>
      <c r="AU58" s="67"/>
      <c r="AV58" s="67"/>
      <c r="AW58" s="67"/>
      <c r="AX58" s="67"/>
      <c r="AY58" s="67"/>
      <c r="AZ58" s="67"/>
      <c r="BA58" s="67"/>
      <c r="BB58" s="67"/>
      <c r="BC58" s="67"/>
      <c r="BD58" s="68"/>
    </row>
    <row r="59" spans="1:56">
      <c r="A59" s="70" t="str">
        <f>IF(B59="","",COUNTA($B$8:B59))</f>
        <v/>
      </c>
      <c r="B59" s="19"/>
      <c r="C59" s="20"/>
      <c r="D59" s="20"/>
      <c r="E59" s="20"/>
      <c r="F59" s="20"/>
      <c r="G59" s="20"/>
      <c r="H59" s="24"/>
      <c r="I59" s="22"/>
      <c r="J59" s="23"/>
      <c r="K59" s="23"/>
      <c r="L59" s="23"/>
      <c r="M59" s="23"/>
      <c r="N59" s="23"/>
      <c r="O59" s="23"/>
      <c r="P59" s="23"/>
      <c r="Q59" s="37"/>
      <c r="R59" s="19"/>
      <c r="S59" s="23"/>
      <c r="T59" s="23"/>
      <c r="U59" s="23"/>
      <c r="V59" s="23"/>
      <c r="W59" s="23"/>
      <c r="X59" s="24"/>
      <c r="Y59" s="440"/>
      <c r="Z59" s="441"/>
      <c r="AA59" s="442"/>
      <c r="AB59" s="443"/>
      <c r="AC59" s="444"/>
      <c r="AD59" s="30"/>
      <c r="AE59" s="41"/>
      <c r="AF59" s="41"/>
      <c r="AG59" s="40"/>
      <c r="AH59" s="40"/>
      <c r="AI59" s="40"/>
      <c r="AJ59" s="40"/>
      <c r="AK59" s="40"/>
      <c r="AL59" s="40"/>
      <c r="AM59" s="40"/>
      <c r="AN59" s="40"/>
      <c r="AO59" s="41"/>
      <c r="AP59" s="41"/>
      <c r="AQ59" s="41"/>
      <c r="AR59" s="41"/>
      <c r="AS59" s="42"/>
      <c r="AT59" s="43"/>
      <c r="AU59" s="67"/>
      <c r="AV59" s="67"/>
      <c r="AW59" s="67"/>
      <c r="AX59" s="67"/>
      <c r="AY59" s="67"/>
      <c r="AZ59" s="67"/>
      <c r="BA59" s="67"/>
      <c r="BB59" s="67"/>
      <c r="BC59" s="67"/>
      <c r="BD59" s="68"/>
    </row>
    <row r="60" spans="1:56">
      <c r="A60" s="70" t="str">
        <f>IF(B60="","",COUNTA($B$8:B60))</f>
        <v/>
      </c>
      <c r="B60" s="19"/>
      <c r="C60" s="20"/>
      <c r="D60" s="20"/>
      <c r="E60" s="20"/>
      <c r="F60" s="20"/>
      <c r="G60" s="20"/>
      <c r="H60" s="24"/>
      <c r="I60" s="22"/>
      <c r="J60" s="23"/>
      <c r="K60" s="23"/>
      <c r="L60" s="23"/>
      <c r="M60" s="23"/>
      <c r="N60" s="23"/>
      <c r="O60" s="23"/>
      <c r="P60" s="23"/>
      <c r="Q60" s="37"/>
      <c r="R60" s="19"/>
      <c r="S60" s="23"/>
      <c r="T60" s="23"/>
      <c r="U60" s="23"/>
      <c r="V60" s="23"/>
      <c r="W60" s="23"/>
      <c r="X60" s="24"/>
      <c r="Y60" s="440"/>
      <c r="Z60" s="441"/>
      <c r="AA60" s="442"/>
      <c r="AB60" s="443"/>
      <c r="AC60" s="444"/>
      <c r="AD60" s="30"/>
      <c r="AE60" s="41"/>
      <c r="AF60" s="41"/>
      <c r="AG60" s="40"/>
      <c r="AH60" s="40"/>
      <c r="AI60" s="40"/>
      <c r="AJ60" s="40"/>
      <c r="AK60" s="40"/>
      <c r="AL60" s="40"/>
      <c r="AM60" s="40"/>
      <c r="AN60" s="40"/>
      <c r="AO60" s="41"/>
      <c r="AP60" s="41"/>
      <c r="AQ60" s="41"/>
      <c r="AR60" s="41"/>
      <c r="AS60" s="42"/>
      <c r="AT60" s="43"/>
      <c r="AU60" s="67"/>
      <c r="AV60" s="67"/>
      <c r="AW60" s="67"/>
      <c r="AX60" s="67"/>
      <c r="AY60" s="67"/>
      <c r="AZ60" s="67"/>
      <c r="BA60" s="67"/>
      <c r="BB60" s="67"/>
      <c r="BC60" s="67"/>
      <c r="BD60" s="68"/>
    </row>
    <row r="61" spans="1:56">
      <c r="A61" s="70" t="str">
        <f>IF(B61="","",COUNTA($B$8:B61))</f>
        <v/>
      </c>
      <c r="B61" s="19"/>
      <c r="C61" s="20"/>
      <c r="D61" s="20"/>
      <c r="E61" s="20"/>
      <c r="F61" s="20"/>
      <c r="G61" s="20"/>
      <c r="H61" s="24"/>
      <c r="I61" s="22"/>
      <c r="J61" s="23"/>
      <c r="K61" s="23"/>
      <c r="L61" s="23"/>
      <c r="M61" s="23"/>
      <c r="N61" s="23"/>
      <c r="O61" s="23"/>
      <c r="P61" s="23"/>
      <c r="Q61" s="37"/>
      <c r="R61" s="19"/>
      <c r="S61" s="23"/>
      <c r="T61" s="23"/>
      <c r="U61" s="23"/>
      <c r="V61" s="23"/>
      <c r="W61" s="23"/>
      <c r="X61" s="24"/>
      <c r="Y61" s="440"/>
      <c r="Z61" s="441"/>
      <c r="AA61" s="442"/>
      <c r="AB61" s="443"/>
      <c r="AC61" s="444"/>
      <c r="AD61" s="30"/>
      <c r="AE61" s="41"/>
      <c r="AF61" s="41"/>
      <c r="AG61" s="40"/>
      <c r="AH61" s="40"/>
      <c r="AI61" s="40"/>
      <c r="AJ61" s="40"/>
      <c r="AK61" s="40"/>
      <c r="AL61" s="40"/>
      <c r="AM61" s="40"/>
      <c r="AN61" s="40"/>
      <c r="AO61" s="41"/>
      <c r="AP61" s="41"/>
      <c r="AQ61" s="41"/>
      <c r="AR61" s="41"/>
      <c r="AS61" s="42"/>
      <c r="AT61" s="43"/>
      <c r="AU61" s="67"/>
      <c r="AV61" s="67"/>
      <c r="AW61" s="67"/>
      <c r="AX61" s="67"/>
      <c r="AY61" s="67"/>
      <c r="AZ61" s="67"/>
      <c r="BA61" s="67"/>
      <c r="BB61" s="67"/>
      <c r="BC61" s="67"/>
      <c r="BD61" s="68"/>
    </row>
    <row r="62" spans="1:56">
      <c r="A62" s="70" t="str">
        <f>IF(B62="","",COUNTA($B$8:B62))</f>
        <v/>
      </c>
      <c r="B62" s="19"/>
      <c r="C62" s="20"/>
      <c r="D62" s="20"/>
      <c r="E62" s="20"/>
      <c r="F62" s="20"/>
      <c r="G62" s="20"/>
      <c r="H62" s="24"/>
      <c r="I62" s="22"/>
      <c r="J62" s="23"/>
      <c r="K62" s="23"/>
      <c r="L62" s="23"/>
      <c r="M62" s="23"/>
      <c r="N62" s="23"/>
      <c r="O62" s="23"/>
      <c r="P62" s="23"/>
      <c r="Q62" s="37"/>
      <c r="R62" s="19"/>
      <c r="S62" s="23"/>
      <c r="T62" s="23"/>
      <c r="U62" s="23"/>
      <c r="V62" s="23"/>
      <c r="W62" s="23"/>
      <c r="X62" s="24"/>
      <c r="Y62" s="440"/>
      <c r="Z62" s="441"/>
      <c r="AA62" s="442"/>
      <c r="AB62" s="443"/>
      <c r="AC62" s="444"/>
      <c r="AD62" s="30"/>
      <c r="AE62" s="41"/>
      <c r="AF62" s="41"/>
      <c r="AG62" s="40"/>
      <c r="AH62" s="40"/>
      <c r="AI62" s="40"/>
      <c r="AJ62" s="40"/>
      <c r="AK62" s="40"/>
      <c r="AL62" s="40"/>
      <c r="AM62" s="40"/>
      <c r="AN62" s="40"/>
      <c r="AO62" s="41"/>
      <c r="AP62" s="41"/>
      <c r="AQ62" s="41"/>
      <c r="AR62" s="41"/>
      <c r="AS62" s="42"/>
      <c r="AT62" s="43"/>
      <c r="AU62" s="67"/>
      <c r="AV62" s="67"/>
      <c r="AW62" s="67"/>
      <c r="AX62" s="67"/>
      <c r="AY62" s="67"/>
      <c r="AZ62" s="67"/>
      <c r="BA62" s="67"/>
      <c r="BB62" s="67"/>
      <c r="BC62" s="67"/>
      <c r="BD62" s="68"/>
    </row>
    <row r="63" spans="1:56">
      <c r="A63" s="70" t="str">
        <f>IF(B63="","",COUNTA($B$8:B63))</f>
        <v/>
      </c>
      <c r="B63" s="19"/>
      <c r="C63" s="20"/>
      <c r="D63" s="20"/>
      <c r="E63" s="20"/>
      <c r="F63" s="20"/>
      <c r="G63" s="20"/>
      <c r="H63" s="24"/>
      <c r="I63" s="22"/>
      <c r="J63" s="23"/>
      <c r="K63" s="23"/>
      <c r="L63" s="23"/>
      <c r="M63" s="23"/>
      <c r="N63" s="23"/>
      <c r="O63" s="23"/>
      <c r="P63" s="23"/>
      <c r="Q63" s="37"/>
      <c r="R63" s="19"/>
      <c r="S63" s="23"/>
      <c r="T63" s="23"/>
      <c r="U63" s="23"/>
      <c r="V63" s="23"/>
      <c r="W63" s="23"/>
      <c r="X63" s="24"/>
      <c r="Y63" s="440"/>
      <c r="Z63" s="441"/>
      <c r="AA63" s="442"/>
      <c r="AB63" s="443"/>
      <c r="AC63" s="444"/>
      <c r="AD63" s="30"/>
      <c r="AE63" s="41"/>
      <c r="AF63" s="41"/>
      <c r="AG63" s="40"/>
      <c r="AH63" s="40"/>
      <c r="AI63" s="40"/>
      <c r="AJ63" s="40"/>
      <c r="AK63" s="40"/>
      <c r="AL63" s="40"/>
      <c r="AM63" s="40"/>
      <c r="AN63" s="40"/>
      <c r="AO63" s="41"/>
      <c r="AP63" s="41"/>
      <c r="AQ63" s="41"/>
      <c r="AR63" s="41"/>
      <c r="AS63" s="42"/>
      <c r="AT63" s="43"/>
      <c r="AU63" s="67"/>
      <c r="AV63" s="67"/>
      <c r="AW63" s="67"/>
      <c r="AX63" s="67"/>
      <c r="AY63" s="67"/>
      <c r="AZ63" s="67"/>
      <c r="BA63" s="67"/>
      <c r="BB63" s="67"/>
      <c r="BC63" s="67"/>
      <c r="BD63" s="68"/>
    </row>
    <row r="64" spans="1:56">
      <c r="A64" s="70" t="str">
        <f>IF(B64="","",COUNTA($B$8:B64))</f>
        <v/>
      </c>
      <c r="B64" s="19"/>
      <c r="C64" s="20"/>
      <c r="D64" s="20"/>
      <c r="E64" s="20"/>
      <c r="F64" s="20"/>
      <c r="G64" s="20"/>
      <c r="H64" s="24"/>
      <c r="I64" s="22"/>
      <c r="J64" s="23"/>
      <c r="K64" s="23"/>
      <c r="L64" s="23"/>
      <c r="M64" s="23"/>
      <c r="N64" s="23"/>
      <c r="O64" s="23"/>
      <c r="P64" s="23"/>
      <c r="Q64" s="37"/>
      <c r="R64" s="19"/>
      <c r="S64" s="23"/>
      <c r="T64" s="23"/>
      <c r="U64" s="23"/>
      <c r="V64" s="23"/>
      <c r="W64" s="23"/>
      <c r="X64" s="24"/>
      <c r="Y64" s="440"/>
      <c r="Z64" s="441"/>
      <c r="AA64" s="442"/>
      <c r="AB64" s="443"/>
      <c r="AC64" s="444"/>
      <c r="AD64" s="30"/>
      <c r="AE64" s="41"/>
      <c r="AF64" s="41"/>
      <c r="AG64" s="40"/>
      <c r="AH64" s="40"/>
      <c r="AI64" s="40"/>
      <c r="AJ64" s="40"/>
      <c r="AK64" s="40"/>
      <c r="AL64" s="40"/>
      <c r="AM64" s="40"/>
      <c r="AN64" s="40"/>
      <c r="AO64" s="41"/>
      <c r="AP64" s="41"/>
      <c r="AQ64" s="41"/>
      <c r="AR64" s="41"/>
      <c r="AS64" s="42"/>
      <c r="AT64" s="43"/>
      <c r="AU64" s="67"/>
      <c r="AV64" s="67"/>
      <c r="AW64" s="67"/>
      <c r="AX64" s="67"/>
      <c r="AY64" s="67"/>
      <c r="AZ64" s="67"/>
      <c r="BA64" s="67"/>
      <c r="BB64" s="67"/>
      <c r="BC64" s="67"/>
      <c r="BD64" s="68"/>
    </row>
    <row r="65" spans="1:56">
      <c r="A65" s="70" t="str">
        <f>IF(B65="","",COUNTA($B$8:B65))</f>
        <v/>
      </c>
      <c r="B65" s="19"/>
      <c r="C65" s="20"/>
      <c r="D65" s="20"/>
      <c r="E65" s="20"/>
      <c r="F65" s="20"/>
      <c r="G65" s="20"/>
      <c r="H65" s="24"/>
      <c r="I65" s="22"/>
      <c r="J65" s="23"/>
      <c r="K65" s="23"/>
      <c r="L65" s="23"/>
      <c r="M65" s="23"/>
      <c r="N65" s="23"/>
      <c r="O65" s="23"/>
      <c r="P65" s="23"/>
      <c r="Q65" s="37"/>
      <c r="R65" s="19"/>
      <c r="S65" s="23"/>
      <c r="T65" s="23"/>
      <c r="U65" s="23"/>
      <c r="V65" s="23"/>
      <c r="W65" s="23"/>
      <c r="X65" s="24"/>
      <c r="Y65" s="440"/>
      <c r="Z65" s="441"/>
      <c r="AA65" s="442"/>
      <c r="AB65" s="443"/>
      <c r="AC65" s="444"/>
      <c r="AD65" s="30"/>
      <c r="AE65" s="41"/>
      <c r="AF65" s="41"/>
      <c r="AG65" s="40"/>
      <c r="AH65" s="40"/>
      <c r="AI65" s="40"/>
      <c r="AJ65" s="40"/>
      <c r="AK65" s="40"/>
      <c r="AL65" s="40"/>
      <c r="AM65" s="40"/>
      <c r="AN65" s="40"/>
      <c r="AO65" s="41"/>
      <c r="AP65" s="41"/>
      <c r="AQ65" s="41"/>
      <c r="AR65" s="41"/>
      <c r="AS65" s="42"/>
      <c r="AT65" s="43"/>
      <c r="AU65" s="67"/>
      <c r="AV65" s="67"/>
      <c r="AW65" s="67"/>
      <c r="AX65" s="67"/>
      <c r="AY65" s="67"/>
      <c r="AZ65" s="67"/>
      <c r="BA65" s="67"/>
      <c r="BB65" s="67"/>
      <c r="BC65" s="67"/>
      <c r="BD65" s="68"/>
    </row>
    <row r="66" spans="1:56">
      <c r="A66" s="70" t="str">
        <f>IF(B66="","",COUNTA($B$8:B66))</f>
        <v/>
      </c>
      <c r="B66" s="19"/>
      <c r="C66" s="20"/>
      <c r="D66" s="20"/>
      <c r="E66" s="20"/>
      <c r="F66" s="20"/>
      <c r="G66" s="20"/>
      <c r="H66" s="24"/>
      <c r="I66" s="22"/>
      <c r="J66" s="23"/>
      <c r="K66" s="23"/>
      <c r="L66" s="23"/>
      <c r="M66" s="23"/>
      <c r="N66" s="23"/>
      <c r="O66" s="23"/>
      <c r="P66" s="23"/>
      <c r="Q66" s="37"/>
      <c r="R66" s="19"/>
      <c r="S66" s="23"/>
      <c r="T66" s="23"/>
      <c r="U66" s="23"/>
      <c r="V66" s="23"/>
      <c r="W66" s="23"/>
      <c r="X66" s="24"/>
      <c r="Y66" s="440"/>
      <c r="Z66" s="441"/>
      <c r="AA66" s="442"/>
      <c r="AB66" s="443"/>
      <c r="AC66" s="444"/>
      <c r="AD66" s="30"/>
      <c r="AE66" s="41"/>
      <c r="AF66" s="41"/>
      <c r="AG66" s="40"/>
      <c r="AH66" s="40"/>
      <c r="AI66" s="40"/>
      <c r="AJ66" s="40"/>
      <c r="AK66" s="40"/>
      <c r="AL66" s="40"/>
      <c r="AM66" s="40"/>
      <c r="AN66" s="40"/>
      <c r="AO66" s="41"/>
      <c r="AP66" s="41"/>
      <c r="AQ66" s="41"/>
      <c r="AR66" s="41"/>
      <c r="AS66" s="42"/>
      <c r="AT66" s="43"/>
      <c r="AU66" s="67"/>
      <c r="AV66" s="67"/>
      <c r="AW66" s="67"/>
      <c r="AX66" s="67"/>
      <c r="AY66" s="67"/>
      <c r="AZ66" s="67"/>
      <c r="BA66" s="67"/>
      <c r="BB66" s="67"/>
      <c r="BC66" s="67"/>
      <c r="BD66" s="68"/>
    </row>
    <row r="67" spans="1:56">
      <c r="A67" s="70" t="str">
        <f>IF(B67="","",COUNTA($B$8:B67))</f>
        <v/>
      </c>
      <c r="B67" s="19"/>
      <c r="C67" s="20"/>
      <c r="D67" s="20"/>
      <c r="E67" s="20"/>
      <c r="F67" s="20"/>
      <c r="G67" s="20"/>
      <c r="H67" s="24"/>
      <c r="I67" s="22"/>
      <c r="J67" s="23"/>
      <c r="K67" s="23"/>
      <c r="L67" s="23"/>
      <c r="M67" s="23"/>
      <c r="N67" s="23"/>
      <c r="O67" s="23"/>
      <c r="P67" s="23"/>
      <c r="Q67" s="37"/>
      <c r="R67" s="19"/>
      <c r="S67" s="23"/>
      <c r="T67" s="23"/>
      <c r="U67" s="23"/>
      <c r="V67" s="23"/>
      <c r="W67" s="23"/>
      <c r="X67" s="24"/>
      <c r="Y67" s="440"/>
      <c r="Z67" s="441"/>
      <c r="AA67" s="442"/>
      <c r="AB67" s="443"/>
      <c r="AC67" s="444"/>
      <c r="AD67" s="30"/>
      <c r="AE67" s="41"/>
      <c r="AF67" s="41"/>
      <c r="AG67" s="40"/>
      <c r="AH67" s="40"/>
      <c r="AI67" s="40"/>
      <c r="AJ67" s="40"/>
      <c r="AK67" s="40"/>
      <c r="AL67" s="40"/>
      <c r="AM67" s="40"/>
      <c r="AN67" s="40"/>
      <c r="AO67" s="41"/>
      <c r="AP67" s="41"/>
      <c r="AQ67" s="41"/>
      <c r="AR67" s="41"/>
      <c r="AS67" s="42"/>
      <c r="AT67" s="43"/>
      <c r="AU67" s="67"/>
      <c r="AV67" s="67"/>
      <c r="AW67" s="67"/>
      <c r="AX67" s="67"/>
      <c r="AY67" s="67"/>
      <c r="AZ67" s="67"/>
      <c r="BA67" s="67"/>
      <c r="BB67" s="67"/>
      <c r="BC67" s="67"/>
      <c r="BD67" s="68"/>
    </row>
    <row r="68" spans="1:56">
      <c r="A68" s="70" t="str">
        <f>IF(B68="","",COUNTA($B$8:B68))</f>
        <v/>
      </c>
      <c r="B68" s="19"/>
      <c r="C68" s="20"/>
      <c r="D68" s="20"/>
      <c r="E68" s="20"/>
      <c r="F68" s="20"/>
      <c r="G68" s="20"/>
      <c r="H68" s="24"/>
      <c r="I68" s="22"/>
      <c r="J68" s="23"/>
      <c r="K68" s="23"/>
      <c r="L68" s="23"/>
      <c r="M68" s="23"/>
      <c r="N68" s="23"/>
      <c r="O68" s="23"/>
      <c r="P68" s="23"/>
      <c r="Q68" s="37"/>
      <c r="R68" s="19"/>
      <c r="S68" s="23"/>
      <c r="T68" s="23"/>
      <c r="U68" s="23"/>
      <c r="V68" s="23"/>
      <c r="W68" s="23"/>
      <c r="X68" s="24"/>
      <c r="Y68" s="440"/>
      <c r="Z68" s="441"/>
      <c r="AA68" s="442"/>
      <c r="AB68" s="443"/>
      <c r="AC68" s="444"/>
      <c r="AD68" s="30"/>
      <c r="AE68" s="41"/>
      <c r="AF68" s="41"/>
      <c r="AG68" s="40"/>
      <c r="AH68" s="40"/>
      <c r="AI68" s="40"/>
      <c r="AJ68" s="40"/>
      <c r="AK68" s="40"/>
      <c r="AL68" s="40"/>
      <c r="AM68" s="40"/>
      <c r="AN68" s="40"/>
      <c r="AO68" s="41"/>
      <c r="AP68" s="41"/>
      <c r="AQ68" s="41"/>
      <c r="AR68" s="41"/>
      <c r="AS68" s="42"/>
      <c r="AT68" s="43"/>
      <c r="AU68" s="67"/>
      <c r="AV68" s="67"/>
      <c r="AW68" s="67"/>
      <c r="AX68" s="67"/>
      <c r="AY68" s="67"/>
      <c r="AZ68" s="67"/>
      <c r="BA68" s="67"/>
      <c r="BB68" s="67"/>
      <c r="BC68" s="67"/>
      <c r="BD68" s="68"/>
    </row>
    <row r="69" spans="1:56">
      <c r="A69" s="70" t="str">
        <f>IF(B69="","",COUNTA($B$8:B69))</f>
        <v/>
      </c>
      <c r="B69" s="19"/>
      <c r="C69" s="20"/>
      <c r="D69" s="20"/>
      <c r="E69" s="20"/>
      <c r="F69" s="20"/>
      <c r="G69" s="20"/>
      <c r="H69" s="24"/>
      <c r="I69" s="22"/>
      <c r="J69" s="23"/>
      <c r="K69" s="23"/>
      <c r="L69" s="23"/>
      <c r="M69" s="23"/>
      <c r="N69" s="23"/>
      <c r="O69" s="23"/>
      <c r="P69" s="23"/>
      <c r="Q69" s="37"/>
      <c r="R69" s="19"/>
      <c r="S69" s="23"/>
      <c r="T69" s="23"/>
      <c r="U69" s="23"/>
      <c r="V69" s="23"/>
      <c r="W69" s="23"/>
      <c r="X69" s="24"/>
      <c r="Y69" s="440"/>
      <c r="Z69" s="441"/>
      <c r="AA69" s="442"/>
      <c r="AB69" s="443"/>
      <c r="AC69" s="444"/>
      <c r="AD69" s="30"/>
      <c r="AE69" s="41"/>
      <c r="AF69" s="41"/>
      <c r="AG69" s="40"/>
      <c r="AH69" s="40"/>
      <c r="AI69" s="40"/>
      <c r="AJ69" s="40"/>
      <c r="AK69" s="40"/>
      <c r="AL69" s="40"/>
      <c r="AM69" s="40"/>
      <c r="AN69" s="40"/>
      <c r="AO69" s="41"/>
      <c r="AP69" s="41"/>
      <c r="AQ69" s="41"/>
      <c r="AR69" s="41"/>
      <c r="AS69" s="42"/>
      <c r="AT69" s="43"/>
      <c r="AU69" s="67"/>
      <c r="AV69" s="67"/>
      <c r="AW69" s="67"/>
      <c r="AX69" s="67"/>
      <c r="AY69" s="67"/>
      <c r="AZ69" s="67"/>
      <c r="BA69" s="67"/>
      <c r="BB69" s="67"/>
      <c r="BC69" s="67"/>
      <c r="BD69" s="68"/>
    </row>
    <row r="70" spans="1:56">
      <c r="A70" s="70" t="str">
        <f>IF(B70="","",COUNTA($B$8:B70))</f>
        <v/>
      </c>
      <c r="B70" s="19"/>
      <c r="C70" s="20"/>
      <c r="D70" s="20"/>
      <c r="E70" s="20"/>
      <c r="F70" s="20"/>
      <c r="G70" s="20"/>
      <c r="H70" s="24"/>
      <c r="I70" s="22"/>
      <c r="J70" s="23"/>
      <c r="K70" s="23"/>
      <c r="L70" s="23"/>
      <c r="M70" s="23"/>
      <c r="N70" s="23"/>
      <c r="O70" s="23"/>
      <c r="P70" s="23"/>
      <c r="Q70" s="37"/>
      <c r="R70" s="19"/>
      <c r="S70" s="23"/>
      <c r="T70" s="23"/>
      <c r="U70" s="23"/>
      <c r="V70" s="23"/>
      <c r="W70" s="23"/>
      <c r="X70" s="24"/>
      <c r="Y70" s="440"/>
      <c r="Z70" s="441"/>
      <c r="AA70" s="442"/>
      <c r="AB70" s="443"/>
      <c r="AC70" s="444"/>
      <c r="AD70" s="30"/>
      <c r="AE70" s="41"/>
      <c r="AF70" s="41"/>
      <c r="AG70" s="40"/>
      <c r="AH70" s="40"/>
      <c r="AI70" s="40"/>
      <c r="AJ70" s="40"/>
      <c r="AK70" s="40"/>
      <c r="AL70" s="40"/>
      <c r="AM70" s="40"/>
      <c r="AN70" s="40"/>
      <c r="AO70" s="41"/>
      <c r="AP70" s="41"/>
      <c r="AQ70" s="41"/>
      <c r="AR70" s="41"/>
      <c r="AS70" s="42"/>
      <c r="AT70" s="43"/>
      <c r="AU70" s="67"/>
      <c r="AV70" s="67"/>
      <c r="AW70" s="67"/>
      <c r="AX70" s="67"/>
      <c r="AY70" s="67"/>
      <c r="AZ70" s="67"/>
      <c r="BA70" s="67"/>
      <c r="BB70" s="67"/>
      <c r="BC70" s="67"/>
      <c r="BD70" s="68"/>
    </row>
    <row r="71" spans="1:56">
      <c r="A71" s="70" t="str">
        <f>IF(B71="","",COUNTA($B$8:B71))</f>
        <v/>
      </c>
      <c r="B71" s="19"/>
      <c r="C71" s="20"/>
      <c r="D71" s="20"/>
      <c r="E71" s="20"/>
      <c r="F71" s="20"/>
      <c r="G71" s="20"/>
      <c r="H71" s="24"/>
      <c r="I71" s="22"/>
      <c r="J71" s="23"/>
      <c r="K71" s="23"/>
      <c r="L71" s="23"/>
      <c r="M71" s="23"/>
      <c r="N71" s="23"/>
      <c r="O71" s="23"/>
      <c r="P71" s="23"/>
      <c r="Q71" s="37"/>
      <c r="R71" s="19"/>
      <c r="S71" s="23"/>
      <c r="T71" s="23"/>
      <c r="U71" s="23"/>
      <c r="V71" s="23"/>
      <c r="W71" s="23"/>
      <c r="X71" s="24"/>
      <c r="Y71" s="440"/>
      <c r="Z71" s="441"/>
      <c r="AA71" s="442"/>
      <c r="AB71" s="443"/>
      <c r="AC71" s="444"/>
      <c r="AD71" s="30"/>
      <c r="AE71" s="41"/>
      <c r="AF71" s="41"/>
      <c r="AG71" s="40"/>
      <c r="AH71" s="40"/>
      <c r="AI71" s="40"/>
      <c r="AJ71" s="40"/>
      <c r="AK71" s="40"/>
      <c r="AL71" s="40"/>
      <c r="AM71" s="40"/>
      <c r="AN71" s="40"/>
      <c r="AO71" s="41"/>
      <c r="AP71" s="41"/>
      <c r="AQ71" s="41"/>
      <c r="AR71" s="41"/>
      <c r="AS71" s="42"/>
      <c r="AT71" s="43"/>
      <c r="AU71" s="67"/>
      <c r="AV71" s="67"/>
      <c r="AW71" s="67"/>
      <c r="AX71" s="67"/>
      <c r="AY71" s="67"/>
      <c r="AZ71" s="67"/>
      <c r="BA71" s="67"/>
      <c r="BB71" s="67"/>
      <c r="BC71" s="67"/>
      <c r="BD71" s="68"/>
    </row>
    <row r="72" spans="1:56">
      <c r="A72" s="70" t="str">
        <f>IF(B72="","",COUNTA($B$8:B72))</f>
        <v/>
      </c>
      <c r="B72" s="19"/>
      <c r="C72" s="20"/>
      <c r="D72" s="20"/>
      <c r="E72" s="20"/>
      <c r="F72" s="20"/>
      <c r="G72" s="20"/>
      <c r="H72" s="24"/>
      <c r="I72" s="22"/>
      <c r="J72" s="23"/>
      <c r="K72" s="23"/>
      <c r="L72" s="23"/>
      <c r="M72" s="23"/>
      <c r="N72" s="23"/>
      <c r="O72" s="23"/>
      <c r="P72" s="23"/>
      <c r="Q72" s="37"/>
      <c r="R72" s="19"/>
      <c r="S72" s="23"/>
      <c r="T72" s="23"/>
      <c r="U72" s="23"/>
      <c r="V72" s="23"/>
      <c r="W72" s="23"/>
      <c r="X72" s="24"/>
      <c r="Y72" s="440"/>
      <c r="Z72" s="441"/>
      <c r="AA72" s="442"/>
      <c r="AB72" s="443"/>
      <c r="AC72" s="444"/>
      <c r="AD72" s="30"/>
      <c r="AE72" s="41"/>
      <c r="AF72" s="41"/>
      <c r="AG72" s="40"/>
      <c r="AH72" s="40"/>
      <c r="AI72" s="40"/>
      <c r="AJ72" s="40"/>
      <c r="AK72" s="40"/>
      <c r="AL72" s="40"/>
      <c r="AM72" s="40"/>
      <c r="AN72" s="40"/>
      <c r="AO72" s="41"/>
      <c r="AP72" s="41"/>
      <c r="AQ72" s="41"/>
      <c r="AR72" s="41"/>
      <c r="AS72" s="42"/>
      <c r="AT72" s="43"/>
      <c r="AU72" s="67"/>
      <c r="AV72" s="67"/>
      <c r="AW72" s="67"/>
      <c r="AX72" s="67"/>
      <c r="AY72" s="67"/>
      <c r="AZ72" s="67"/>
      <c r="BA72" s="67"/>
      <c r="BB72" s="67"/>
      <c r="BC72" s="67"/>
      <c r="BD72" s="68"/>
    </row>
    <row r="73" spans="1:56">
      <c r="A73" s="70" t="str">
        <f>IF(B73="","",COUNTA($B$8:B73))</f>
        <v/>
      </c>
      <c r="B73" s="19"/>
      <c r="C73" s="20"/>
      <c r="D73" s="20"/>
      <c r="E73" s="20"/>
      <c r="F73" s="20"/>
      <c r="G73" s="20"/>
      <c r="H73" s="24"/>
      <c r="I73" s="22"/>
      <c r="J73" s="23"/>
      <c r="K73" s="23"/>
      <c r="L73" s="23"/>
      <c r="M73" s="23"/>
      <c r="N73" s="23"/>
      <c r="O73" s="23"/>
      <c r="P73" s="23"/>
      <c r="Q73" s="37"/>
      <c r="R73" s="19"/>
      <c r="S73" s="23"/>
      <c r="T73" s="23"/>
      <c r="U73" s="23"/>
      <c r="V73" s="23"/>
      <c r="W73" s="23"/>
      <c r="X73" s="24"/>
      <c r="Y73" s="440"/>
      <c r="Z73" s="441"/>
      <c r="AA73" s="442"/>
      <c r="AB73" s="443"/>
      <c r="AC73" s="444"/>
      <c r="AD73" s="30"/>
      <c r="AE73" s="41"/>
      <c r="AF73" s="41"/>
      <c r="AG73" s="40"/>
      <c r="AH73" s="40"/>
      <c r="AI73" s="40"/>
      <c r="AJ73" s="40"/>
      <c r="AK73" s="40"/>
      <c r="AL73" s="40"/>
      <c r="AM73" s="40"/>
      <c r="AN73" s="40"/>
      <c r="AO73" s="41"/>
      <c r="AP73" s="41"/>
      <c r="AQ73" s="41"/>
      <c r="AR73" s="41"/>
      <c r="AS73" s="42"/>
      <c r="AT73" s="43"/>
      <c r="AU73" s="67"/>
      <c r="AV73" s="67"/>
      <c r="AW73" s="67"/>
      <c r="AX73" s="67"/>
      <c r="AY73" s="67"/>
      <c r="AZ73" s="67"/>
      <c r="BA73" s="67"/>
      <c r="BB73" s="67"/>
      <c r="BC73" s="67"/>
      <c r="BD73" s="68"/>
    </row>
    <row r="74" spans="1:56">
      <c r="A74" s="70" t="str">
        <f>IF(B74="","",COUNTA($B$8:B74))</f>
        <v/>
      </c>
      <c r="B74" s="19"/>
      <c r="C74" s="20"/>
      <c r="D74" s="20"/>
      <c r="E74" s="20"/>
      <c r="F74" s="20"/>
      <c r="G74" s="20"/>
      <c r="H74" s="24"/>
      <c r="I74" s="22"/>
      <c r="J74" s="23"/>
      <c r="K74" s="23"/>
      <c r="L74" s="23"/>
      <c r="M74" s="23"/>
      <c r="N74" s="23"/>
      <c r="O74" s="23"/>
      <c r="P74" s="23"/>
      <c r="Q74" s="37"/>
      <c r="R74" s="19"/>
      <c r="S74" s="23"/>
      <c r="T74" s="23"/>
      <c r="U74" s="23"/>
      <c r="V74" s="23"/>
      <c r="W74" s="23"/>
      <c r="X74" s="24"/>
      <c r="Y74" s="440"/>
      <c r="Z74" s="441"/>
      <c r="AA74" s="442"/>
      <c r="AB74" s="443"/>
      <c r="AC74" s="444"/>
      <c r="AD74" s="30"/>
      <c r="AE74" s="41"/>
      <c r="AF74" s="41"/>
      <c r="AG74" s="40"/>
      <c r="AH74" s="40"/>
      <c r="AI74" s="40"/>
      <c r="AJ74" s="40"/>
      <c r="AK74" s="40"/>
      <c r="AL74" s="40"/>
      <c r="AM74" s="40"/>
      <c r="AN74" s="40"/>
      <c r="AO74" s="41"/>
      <c r="AP74" s="41"/>
      <c r="AQ74" s="41"/>
      <c r="AR74" s="41"/>
      <c r="AS74" s="42"/>
      <c r="AT74" s="43"/>
      <c r="AU74" s="67"/>
      <c r="AV74" s="67"/>
      <c r="AW74" s="67"/>
      <c r="AX74" s="67"/>
      <c r="AY74" s="67"/>
      <c r="AZ74" s="67"/>
      <c r="BA74" s="67"/>
      <c r="BB74" s="67"/>
      <c r="BC74" s="67"/>
      <c r="BD74" s="68"/>
    </row>
    <row r="75" spans="1:56">
      <c r="A75" s="70" t="str">
        <f>IF(B75="","",COUNTA($B$8:B75))</f>
        <v/>
      </c>
      <c r="B75" s="19"/>
      <c r="C75" s="20"/>
      <c r="D75" s="20"/>
      <c r="E75" s="20"/>
      <c r="F75" s="20"/>
      <c r="G75" s="20"/>
      <c r="H75" s="24"/>
      <c r="I75" s="22"/>
      <c r="J75" s="23"/>
      <c r="K75" s="23"/>
      <c r="L75" s="23"/>
      <c r="M75" s="23"/>
      <c r="N75" s="23"/>
      <c r="O75" s="23"/>
      <c r="P75" s="23"/>
      <c r="Q75" s="37"/>
      <c r="R75" s="19"/>
      <c r="S75" s="23"/>
      <c r="T75" s="23"/>
      <c r="U75" s="23"/>
      <c r="V75" s="23"/>
      <c r="W75" s="23"/>
      <c r="X75" s="24"/>
      <c r="Y75" s="440"/>
      <c r="Z75" s="441"/>
      <c r="AA75" s="442"/>
      <c r="AB75" s="443"/>
      <c r="AC75" s="444"/>
      <c r="AD75" s="30"/>
      <c r="AE75" s="41"/>
      <c r="AF75" s="41"/>
      <c r="AG75" s="40"/>
      <c r="AH75" s="40"/>
      <c r="AI75" s="40"/>
      <c r="AJ75" s="40"/>
      <c r="AK75" s="40"/>
      <c r="AL75" s="40"/>
      <c r="AM75" s="40"/>
      <c r="AN75" s="40"/>
      <c r="AO75" s="41"/>
      <c r="AP75" s="41"/>
      <c r="AQ75" s="41"/>
      <c r="AR75" s="41"/>
      <c r="AS75" s="42"/>
      <c r="AT75" s="43"/>
      <c r="AU75" s="67"/>
      <c r="AV75" s="67"/>
      <c r="AW75" s="67"/>
      <c r="AX75" s="67"/>
      <c r="AY75" s="67"/>
      <c r="AZ75" s="67"/>
      <c r="BA75" s="67"/>
      <c r="BB75" s="67"/>
      <c r="BC75" s="67"/>
      <c r="BD75" s="68"/>
    </row>
    <row r="76" spans="1:56">
      <c r="A76" s="70" t="str">
        <f>IF(B76="","",COUNTA($B$8:B76))</f>
        <v/>
      </c>
      <c r="B76" s="19"/>
      <c r="C76" s="20"/>
      <c r="D76" s="20"/>
      <c r="E76" s="20"/>
      <c r="F76" s="20"/>
      <c r="G76" s="20"/>
      <c r="H76" s="24"/>
      <c r="I76" s="22"/>
      <c r="J76" s="23"/>
      <c r="K76" s="23"/>
      <c r="L76" s="23"/>
      <c r="M76" s="23"/>
      <c r="N76" s="23"/>
      <c r="O76" s="23"/>
      <c r="P76" s="23"/>
      <c r="Q76" s="37"/>
      <c r="R76" s="19"/>
      <c r="S76" s="23"/>
      <c r="T76" s="23"/>
      <c r="U76" s="23"/>
      <c r="V76" s="23"/>
      <c r="W76" s="23"/>
      <c r="X76" s="24"/>
      <c r="Y76" s="440"/>
      <c r="Z76" s="441"/>
      <c r="AA76" s="442"/>
      <c r="AB76" s="443"/>
      <c r="AC76" s="444"/>
      <c r="AD76" s="30"/>
      <c r="AE76" s="41"/>
      <c r="AF76" s="41"/>
      <c r="AG76" s="40"/>
      <c r="AH76" s="40"/>
      <c r="AI76" s="40"/>
      <c r="AJ76" s="40"/>
      <c r="AK76" s="40"/>
      <c r="AL76" s="40"/>
      <c r="AM76" s="40"/>
      <c r="AN76" s="40"/>
      <c r="AO76" s="41"/>
      <c r="AP76" s="41"/>
      <c r="AQ76" s="41"/>
      <c r="AR76" s="41"/>
      <c r="AS76" s="42"/>
      <c r="AT76" s="43"/>
      <c r="AU76" s="67"/>
      <c r="AV76" s="67"/>
      <c r="AW76" s="67"/>
      <c r="AX76" s="67"/>
      <c r="AY76" s="67"/>
      <c r="AZ76" s="67"/>
      <c r="BA76" s="67"/>
      <c r="BB76" s="67"/>
      <c r="BC76" s="67"/>
      <c r="BD76" s="68"/>
    </row>
    <row r="77" spans="1:56">
      <c r="A77" s="70" t="str">
        <f>IF(B77="","",COUNTA($B$8:B77))</f>
        <v/>
      </c>
      <c r="B77" s="19"/>
      <c r="C77" s="20"/>
      <c r="D77" s="20"/>
      <c r="E77" s="20"/>
      <c r="F77" s="20"/>
      <c r="G77" s="20"/>
      <c r="H77" s="24"/>
      <c r="I77" s="22"/>
      <c r="J77" s="23"/>
      <c r="K77" s="23"/>
      <c r="L77" s="23"/>
      <c r="M77" s="23"/>
      <c r="N77" s="23"/>
      <c r="O77" s="23"/>
      <c r="P77" s="23"/>
      <c r="Q77" s="37"/>
      <c r="R77" s="19"/>
      <c r="S77" s="23"/>
      <c r="T77" s="23"/>
      <c r="U77" s="23"/>
      <c r="V77" s="23"/>
      <c r="W77" s="23"/>
      <c r="X77" s="24"/>
      <c r="Y77" s="440"/>
      <c r="Z77" s="441"/>
      <c r="AA77" s="442"/>
      <c r="AB77" s="443"/>
      <c r="AC77" s="444"/>
      <c r="AD77" s="30"/>
      <c r="AE77" s="41"/>
      <c r="AF77" s="41"/>
      <c r="AG77" s="40"/>
      <c r="AH77" s="40"/>
      <c r="AI77" s="40"/>
      <c r="AJ77" s="40"/>
      <c r="AK77" s="40"/>
      <c r="AL77" s="40"/>
      <c r="AM77" s="40"/>
      <c r="AN77" s="40"/>
      <c r="AO77" s="41"/>
      <c r="AP77" s="41"/>
      <c r="AQ77" s="41"/>
      <c r="AR77" s="41"/>
      <c r="AS77" s="42"/>
      <c r="AT77" s="43"/>
      <c r="AU77" s="67"/>
      <c r="AV77" s="67"/>
      <c r="AW77" s="67"/>
      <c r="AX77" s="67"/>
      <c r="AY77" s="67"/>
      <c r="AZ77" s="67"/>
      <c r="BA77" s="67"/>
      <c r="BB77" s="67"/>
      <c r="BC77" s="67"/>
      <c r="BD77" s="68"/>
    </row>
    <row r="78" spans="1:56">
      <c r="A78" s="70" t="str">
        <f>IF(B78="","",COUNTA($B$8:B78))</f>
        <v/>
      </c>
      <c r="B78" s="19"/>
      <c r="C78" s="20"/>
      <c r="D78" s="20"/>
      <c r="E78" s="20"/>
      <c r="F78" s="20"/>
      <c r="G78" s="20"/>
      <c r="H78" s="24"/>
      <c r="I78" s="22"/>
      <c r="J78" s="23"/>
      <c r="K78" s="23"/>
      <c r="L78" s="23"/>
      <c r="M78" s="23"/>
      <c r="N78" s="23"/>
      <c r="O78" s="23"/>
      <c r="P78" s="23"/>
      <c r="Q78" s="37"/>
      <c r="R78" s="19"/>
      <c r="S78" s="23"/>
      <c r="T78" s="23"/>
      <c r="U78" s="23"/>
      <c r="V78" s="23"/>
      <c r="W78" s="23"/>
      <c r="X78" s="24"/>
      <c r="Y78" s="440"/>
      <c r="Z78" s="441"/>
      <c r="AA78" s="442"/>
      <c r="AB78" s="443"/>
      <c r="AC78" s="444"/>
      <c r="AD78" s="30"/>
      <c r="AE78" s="41"/>
      <c r="AF78" s="41"/>
      <c r="AG78" s="40"/>
      <c r="AH78" s="40"/>
      <c r="AI78" s="40"/>
      <c r="AJ78" s="40"/>
      <c r="AK78" s="40"/>
      <c r="AL78" s="40"/>
      <c r="AM78" s="40"/>
      <c r="AN78" s="40"/>
      <c r="AO78" s="41"/>
      <c r="AP78" s="41"/>
      <c r="AQ78" s="41"/>
      <c r="AR78" s="41"/>
      <c r="AS78" s="42"/>
      <c r="AT78" s="43"/>
      <c r="AU78" s="67"/>
      <c r="AV78" s="67"/>
      <c r="AW78" s="67"/>
      <c r="AX78" s="67"/>
      <c r="AY78" s="67"/>
      <c r="AZ78" s="67"/>
      <c r="BA78" s="67"/>
      <c r="BB78" s="67"/>
      <c r="BC78" s="67"/>
      <c r="BD78" s="68"/>
    </row>
    <row r="79" spans="1:56">
      <c r="A79" s="70" t="str">
        <f>IF(B79="","",COUNTA($B$8:B79))</f>
        <v/>
      </c>
      <c r="B79" s="19"/>
      <c r="C79" s="20"/>
      <c r="D79" s="20"/>
      <c r="E79" s="20"/>
      <c r="F79" s="20"/>
      <c r="G79" s="20"/>
      <c r="H79" s="24"/>
      <c r="I79" s="22"/>
      <c r="J79" s="23"/>
      <c r="K79" s="23"/>
      <c r="L79" s="23"/>
      <c r="M79" s="23"/>
      <c r="N79" s="23"/>
      <c r="O79" s="23"/>
      <c r="P79" s="23"/>
      <c r="Q79" s="37"/>
      <c r="R79" s="19"/>
      <c r="S79" s="23"/>
      <c r="T79" s="23"/>
      <c r="U79" s="23"/>
      <c r="V79" s="23"/>
      <c r="W79" s="23"/>
      <c r="X79" s="24"/>
      <c r="Y79" s="440"/>
      <c r="Z79" s="441"/>
      <c r="AA79" s="442"/>
      <c r="AB79" s="443"/>
      <c r="AC79" s="444"/>
      <c r="AD79" s="30"/>
      <c r="AE79" s="41"/>
      <c r="AF79" s="41"/>
      <c r="AG79" s="40"/>
      <c r="AH79" s="40"/>
      <c r="AI79" s="40"/>
      <c r="AJ79" s="40"/>
      <c r="AK79" s="40"/>
      <c r="AL79" s="40"/>
      <c r="AM79" s="40"/>
      <c r="AN79" s="40"/>
      <c r="AO79" s="41"/>
      <c r="AP79" s="41"/>
      <c r="AQ79" s="41"/>
      <c r="AR79" s="41"/>
      <c r="AS79" s="42"/>
      <c r="AT79" s="43"/>
      <c r="AU79" s="67"/>
      <c r="AV79" s="67"/>
      <c r="AW79" s="67"/>
      <c r="AX79" s="67"/>
      <c r="AY79" s="67"/>
      <c r="AZ79" s="67"/>
      <c r="BA79" s="67"/>
      <c r="BB79" s="67"/>
      <c r="BC79" s="67"/>
      <c r="BD79" s="68"/>
    </row>
    <row r="80" spans="1:56">
      <c r="A80" s="70" t="str">
        <f>IF(B80="","",COUNTA($B$8:B80))</f>
        <v/>
      </c>
      <c r="B80" s="19"/>
      <c r="C80" s="20"/>
      <c r="D80" s="20"/>
      <c r="E80" s="20"/>
      <c r="F80" s="20"/>
      <c r="G80" s="20"/>
      <c r="H80" s="24"/>
      <c r="I80" s="22"/>
      <c r="J80" s="23"/>
      <c r="K80" s="23"/>
      <c r="L80" s="23"/>
      <c r="M80" s="23"/>
      <c r="N80" s="23"/>
      <c r="O80" s="23"/>
      <c r="P80" s="23"/>
      <c r="Q80" s="37"/>
      <c r="R80" s="19"/>
      <c r="S80" s="23"/>
      <c r="T80" s="23"/>
      <c r="U80" s="23"/>
      <c r="V80" s="23"/>
      <c r="W80" s="23"/>
      <c r="X80" s="24"/>
      <c r="Y80" s="440"/>
      <c r="Z80" s="441"/>
      <c r="AA80" s="442"/>
      <c r="AB80" s="443"/>
      <c r="AC80" s="444"/>
      <c r="AD80" s="30"/>
      <c r="AE80" s="41"/>
      <c r="AF80" s="41"/>
      <c r="AG80" s="40"/>
      <c r="AH80" s="40"/>
      <c r="AI80" s="40"/>
      <c r="AJ80" s="40"/>
      <c r="AK80" s="40"/>
      <c r="AL80" s="40"/>
      <c r="AM80" s="40"/>
      <c r="AN80" s="40"/>
      <c r="AO80" s="41"/>
      <c r="AP80" s="41"/>
      <c r="AQ80" s="41"/>
      <c r="AR80" s="41"/>
      <c r="AS80" s="42"/>
      <c r="AT80" s="43"/>
      <c r="AU80" s="67"/>
      <c r="AV80" s="67"/>
      <c r="AW80" s="67"/>
      <c r="AX80" s="67"/>
      <c r="AY80" s="67"/>
      <c r="AZ80" s="67"/>
      <c r="BA80" s="67"/>
      <c r="BB80" s="67"/>
      <c r="BC80" s="67"/>
      <c r="BD80" s="68"/>
    </row>
    <row r="81" spans="1:56">
      <c r="A81" s="70" t="str">
        <f>IF(B81="","",COUNTA($B$8:B81))</f>
        <v/>
      </c>
      <c r="B81" s="19"/>
      <c r="C81" s="20"/>
      <c r="D81" s="20"/>
      <c r="E81" s="20"/>
      <c r="F81" s="20"/>
      <c r="G81" s="20"/>
      <c r="H81" s="24"/>
      <c r="I81" s="22"/>
      <c r="J81" s="23"/>
      <c r="K81" s="23"/>
      <c r="L81" s="23"/>
      <c r="M81" s="23"/>
      <c r="N81" s="23"/>
      <c r="O81" s="23"/>
      <c r="P81" s="23"/>
      <c r="Q81" s="37"/>
      <c r="R81" s="19"/>
      <c r="S81" s="23"/>
      <c r="T81" s="23"/>
      <c r="U81" s="23"/>
      <c r="V81" s="23"/>
      <c r="W81" s="23"/>
      <c r="X81" s="24"/>
      <c r="Y81" s="440"/>
      <c r="Z81" s="441"/>
      <c r="AA81" s="442"/>
      <c r="AB81" s="443"/>
      <c r="AC81" s="444"/>
      <c r="AD81" s="30"/>
      <c r="AE81" s="41"/>
      <c r="AF81" s="41"/>
      <c r="AG81" s="40"/>
      <c r="AH81" s="40"/>
      <c r="AI81" s="40"/>
      <c r="AJ81" s="40"/>
      <c r="AK81" s="40"/>
      <c r="AL81" s="40"/>
      <c r="AM81" s="40"/>
      <c r="AN81" s="40"/>
      <c r="AO81" s="41"/>
      <c r="AP81" s="41"/>
      <c r="AQ81" s="41"/>
      <c r="AR81" s="41"/>
      <c r="AS81" s="42"/>
      <c r="AT81" s="43"/>
      <c r="AU81" s="67"/>
      <c r="AV81" s="67"/>
      <c r="AW81" s="67"/>
      <c r="AX81" s="67"/>
      <c r="AY81" s="67"/>
      <c r="AZ81" s="67"/>
      <c r="BA81" s="67"/>
      <c r="BB81" s="67"/>
      <c r="BC81" s="67"/>
      <c r="BD81" s="68"/>
    </row>
    <row r="82" spans="1:56">
      <c r="A82" s="70" t="str">
        <f>IF(B82="","",COUNTA($B$8:B82))</f>
        <v/>
      </c>
      <c r="B82" s="19"/>
      <c r="C82" s="20"/>
      <c r="D82" s="20"/>
      <c r="E82" s="20"/>
      <c r="F82" s="20"/>
      <c r="G82" s="20"/>
      <c r="H82" s="24"/>
      <c r="I82" s="22"/>
      <c r="J82" s="23"/>
      <c r="K82" s="23"/>
      <c r="L82" s="23"/>
      <c r="M82" s="23"/>
      <c r="N82" s="23"/>
      <c r="O82" s="23"/>
      <c r="P82" s="23"/>
      <c r="Q82" s="37"/>
      <c r="R82" s="19"/>
      <c r="S82" s="23"/>
      <c r="T82" s="23"/>
      <c r="U82" s="23"/>
      <c r="V82" s="23"/>
      <c r="W82" s="23"/>
      <c r="X82" s="24"/>
      <c r="Y82" s="440"/>
      <c r="Z82" s="441"/>
      <c r="AA82" s="442"/>
      <c r="AB82" s="443"/>
      <c r="AC82" s="444"/>
      <c r="AD82" s="30"/>
      <c r="AE82" s="41"/>
      <c r="AF82" s="41"/>
      <c r="AG82" s="40"/>
      <c r="AH82" s="40"/>
      <c r="AI82" s="40"/>
      <c r="AJ82" s="40"/>
      <c r="AK82" s="40"/>
      <c r="AL82" s="40"/>
      <c r="AM82" s="40"/>
      <c r="AN82" s="40"/>
      <c r="AO82" s="41"/>
      <c r="AP82" s="41"/>
      <c r="AQ82" s="41"/>
      <c r="AR82" s="41"/>
      <c r="AS82" s="42"/>
      <c r="AT82" s="43"/>
      <c r="AU82" s="67"/>
      <c r="AV82" s="67"/>
      <c r="AW82" s="67"/>
      <c r="AX82" s="67"/>
      <c r="AY82" s="67"/>
      <c r="AZ82" s="67"/>
      <c r="BA82" s="67"/>
      <c r="BB82" s="67"/>
      <c r="BC82" s="67"/>
      <c r="BD82" s="68"/>
    </row>
    <row r="83" spans="1:56">
      <c r="A83" s="70" t="str">
        <f>IF(B83="","",COUNTA($B$8:B83))</f>
        <v/>
      </c>
      <c r="B83" s="19"/>
      <c r="C83" s="20"/>
      <c r="D83" s="20"/>
      <c r="E83" s="20"/>
      <c r="F83" s="20"/>
      <c r="G83" s="20"/>
      <c r="H83" s="24"/>
      <c r="I83" s="22"/>
      <c r="J83" s="23"/>
      <c r="K83" s="23"/>
      <c r="L83" s="23"/>
      <c r="M83" s="23"/>
      <c r="N83" s="23"/>
      <c r="O83" s="23"/>
      <c r="P83" s="23"/>
      <c r="Q83" s="37"/>
      <c r="R83" s="19"/>
      <c r="S83" s="23"/>
      <c r="T83" s="23"/>
      <c r="U83" s="23"/>
      <c r="V83" s="23"/>
      <c r="W83" s="23"/>
      <c r="X83" s="24"/>
      <c r="Y83" s="440"/>
      <c r="Z83" s="441"/>
      <c r="AA83" s="442"/>
      <c r="AB83" s="443"/>
      <c r="AC83" s="444"/>
      <c r="AD83" s="30"/>
      <c r="AE83" s="41"/>
      <c r="AF83" s="41"/>
      <c r="AG83" s="40"/>
      <c r="AH83" s="40"/>
      <c r="AI83" s="40"/>
      <c r="AJ83" s="40"/>
      <c r="AK83" s="40"/>
      <c r="AL83" s="40"/>
      <c r="AM83" s="40"/>
      <c r="AN83" s="40"/>
      <c r="AO83" s="41"/>
      <c r="AP83" s="41"/>
      <c r="AQ83" s="41"/>
      <c r="AR83" s="41"/>
      <c r="AS83" s="42"/>
      <c r="AT83" s="43"/>
      <c r="AU83" s="67"/>
      <c r="AV83" s="67"/>
      <c r="AW83" s="67"/>
      <c r="AX83" s="67"/>
      <c r="AY83" s="67"/>
      <c r="AZ83" s="67"/>
      <c r="BA83" s="67"/>
      <c r="BB83" s="67"/>
      <c r="BC83" s="67"/>
      <c r="BD83" s="68"/>
    </row>
    <row r="84" spans="1:56">
      <c r="A84" s="70" t="str">
        <f>IF(B84="","",COUNTA($B$8:B84))</f>
        <v/>
      </c>
      <c r="B84" s="19"/>
      <c r="C84" s="20"/>
      <c r="D84" s="20"/>
      <c r="E84" s="20"/>
      <c r="F84" s="20"/>
      <c r="G84" s="20"/>
      <c r="H84" s="24"/>
      <c r="I84" s="22"/>
      <c r="J84" s="23"/>
      <c r="K84" s="23"/>
      <c r="L84" s="23"/>
      <c r="M84" s="23"/>
      <c r="N84" s="23"/>
      <c r="O84" s="23"/>
      <c r="P84" s="23"/>
      <c r="Q84" s="37"/>
      <c r="R84" s="19"/>
      <c r="S84" s="23"/>
      <c r="T84" s="23"/>
      <c r="U84" s="23"/>
      <c r="V84" s="23"/>
      <c r="W84" s="23"/>
      <c r="X84" s="24"/>
      <c r="Y84" s="440"/>
      <c r="Z84" s="441"/>
      <c r="AA84" s="442"/>
      <c r="AB84" s="443"/>
      <c r="AC84" s="444"/>
      <c r="AD84" s="30"/>
      <c r="AE84" s="41"/>
      <c r="AF84" s="41"/>
      <c r="AG84" s="40"/>
      <c r="AH84" s="40"/>
      <c r="AI84" s="40"/>
      <c r="AJ84" s="40"/>
      <c r="AK84" s="40"/>
      <c r="AL84" s="40"/>
      <c r="AM84" s="40"/>
      <c r="AN84" s="40"/>
      <c r="AO84" s="41"/>
      <c r="AP84" s="41"/>
      <c r="AQ84" s="41"/>
      <c r="AR84" s="41"/>
      <c r="AS84" s="42"/>
      <c r="AT84" s="43"/>
      <c r="AU84" s="67"/>
      <c r="AV84" s="67"/>
      <c r="AW84" s="67"/>
      <c r="AX84" s="67"/>
      <c r="AY84" s="67"/>
      <c r="AZ84" s="67"/>
      <c r="BA84" s="67"/>
      <c r="BB84" s="67"/>
      <c r="BC84" s="67"/>
      <c r="BD84" s="68"/>
    </row>
    <row r="85" spans="1:56">
      <c r="A85" s="70" t="str">
        <f>IF(B85="","",COUNTA($B$8:B85))</f>
        <v/>
      </c>
      <c r="B85" s="19"/>
      <c r="C85" s="20"/>
      <c r="D85" s="20"/>
      <c r="E85" s="20"/>
      <c r="F85" s="20"/>
      <c r="G85" s="20"/>
      <c r="H85" s="24"/>
      <c r="I85" s="22"/>
      <c r="J85" s="23"/>
      <c r="K85" s="23"/>
      <c r="L85" s="23"/>
      <c r="M85" s="23"/>
      <c r="N85" s="23"/>
      <c r="O85" s="23"/>
      <c r="P85" s="23"/>
      <c r="Q85" s="37"/>
      <c r="R85" s="19"/>
      <c r="S85" s="23"/>
      <c r="T85" s="23"/>
      <c r="U85" s="23"/>
      <c r="V85" s="23"/>
      <c r="W85" s="23"/>
      <c r="X85" s="24"/>
      <c r="Y85" s="440"/>
      <c r="Z85" s="441"/>
      <c r="AA85" s="442"/>
      <c r="AB85" s="443"/>
      <c r="AC85" s="444"/>
      <c r="AD85" s="30"/>
      <c r="AE85" s="41"/>
      <c r="AF85" s="41"/>
      <c r="AG85" s="40"/>
      <c r="AH85" s="40"/>
      <c r="AI85" s="40"/>
      <c r="AJ85" s="40"/>
      <c r="AK85" s="40"/>
      <c r="AL85" s="40"/>
      <c r="AM85" s="40"/>
      <c r="AN85" s="40"/>
      <c r="AO85" s="41"/>
      <c r="AP85" s="41"/>
      <c r="AQ85" s="41"/>
      <c r="AR85" s="41"/>
      <c r="AS85" s="42"/>
      <c r="AT85" s="43"/>
      <c r="AU85" s="67"/>
      <c r="AV85" s="67"/>
      <c r="AW85" s="67"/>
      <c r="AX85" s="67"/>
      <c r="AY85" s="67"/>
      <c r="AZ85" s="67"/>
      <c r="BA85" s="67"/>
      <c r="BB85" s="67"/>
      <c r="BC85" s="67"/>
      <c r="BD85" s="68"/>
    </row>
  </sheetData>
  <mergeCells count="183">
    <mergeCell ref="Y83:Z83"/>
    <mergeCell ref="AA83:AC83"/>
    <mergeCell ref="Y84:Z84"/>
    <mergeCell ref="AA84:AC84"/>
    <mergeCell ref="Y85:Z85"/>
    <mergeCell ref="AA85:AC85"/>
    <mergeCell ref="Y78:Z78"/>
    <mergeCell ref="AA78:AC78"/>
    <mergeCell ref="Y79:Z79"/>
    <mergeCell ref="AA79:AC79"/>
    <mergeCell ref="Y80:Z80"/>
    <mergeCell ref="AA80:AC80"/>
    <mergeCell ref="Y81:Z81"/>
    <mergeCell ref="AA81:AC81"/>
    <mergeCell ref="Y82:Z82"/>
    <mergeCell ref="AA82:AC82"/>
    <mergeCell ref="Y74:Z74"/>
    <mergeCell ref="AA74:AC74"/>
    <mergeCell ref="Y40:Z40"/>
    <mergeCell ref="Y75:Z75"/>
    <mergeCell ref="AA75:AC75"/>
    <mergeCell ref="Y76:Z76"/>
    <mergeCell ref="AA76:AC76"/>
    <mergeCell ref="Y77:Z77"/>
    <mergeCell ref="AA77:AC77"/>
    <mergeCell ref="Y69:Z69"/>
    <mergeCell ref="AA69:AC69"/>
    <mergeCell ref="Y70:Z70"/>
    <mergeCell ref="AA70:AC70"/>
    <mergeCell ref="Y71:Z71"/>
    <mergeCell ref="AA71:AC71"/>
    <mergeCell ref="Y72:Z72"/>
    <mergeCell ref="AA72:AC72"/>
    <mergeCell ref="Y73:Z73"/>
    <mergeCell ref="AA73:AC73"/>
    <mergeCell ref="Y64:Z64"/>
    <mergeCell ref="AA64:AC64"/>
    <mergeCell ref="Y65:Z65"/>
    <mergeCell ref="AA65:AC65"/>
    <mergeCell ref="Y66:Z66"/>
    <mergeCell ref="AA66:AC66"/>
    <mergeCell ref="Y67:Z67"/>
    <mergeCell ref="AA67:AC67"/>
    <mergeCell ref="Y68:Z68"/>
    <mergeCell ref="AA68:AC68"/>
    <mergeCell ref="Y63:Z63"/>
    <mergeCell ref="AA63:AC63"/>
    <mergeCell ref="Y61:Z61"/>
    <mergeCell ref="AA61:AC61"/>
    <mergeCell ref="Y62:Z62"/>
    <mergeCell ref="AA62:AC62"/>
    <mergeCell ref="Y56:Z56"/>
    <mergeCell ref="AA56:AC56"/>
    <mergeCell ref="Y57:Z57"/>
    <mergeCell ref="AA57:AC57"/>
    <mergeCell ref="Y58:Z58"/>
    <mergeCell ref="AA58:AC58"/>
    <mergeCell ref="Y59:Z59"/>
    <mergeCell ref="AA59:AC59"/>
    <mergeCell ref="Y60:Z60"/>
    <mergeCell ref="AA60:AC60"/>
    <mergeCell ref="Y51:Z51"/>
    <mergeCell ref="AA51:AC51"/>
    <mergeCell ref="Y52:Z52"/>
    <mergeCell ref="AA52:AC52"/>
    <mergeCell ref="Y53:Z53"/>
    <mergeCell ref="AA53:AC53"/>
    <mergeCell ref="Y54:Z54"/>
    <mergeCell ref="AA54:AC54"/>
    <mergeCell ref="Y55:Z55"/>
    <mergeCell ref="AA55:AC55"/>
    <mergeCell ref="Y46:Z46"/>
    <mergeCell ref="AA46:AC46"/>
    <mergeCell ref="Y47:Z47"/>
    <mergeCell ref="AA47:AC47"/>
    <mergeCell ref="Y48:Z48"/>
    <mergeCell ref="AA48:AC48"/>
    <mergeCell ref="Y49:Z49"/>
    <mergeCell ref="AA49:AC49"/>
    <mergeCell ref="Y50:Z50"/>
    <mergeCell ref="AA50:AC50"/>
    <mergeCell ref="AA43:AC43"/>
    <mergeCell ref="AA44:AC44"/>
    <mergeCell ref="Y45:Z45"/>
    <mergeCell ref="AA45:AC45"/>
    <mergeCell ref="Y39:Z39"/>
    <mergeCell ref="Y41:Z41"/>
    <mergeCell ref="Y42:Z42"/>
    <mergeCell ref="AA41:AC41"/>
    <mergeCell ref="AA42:AC42"/>
    <mergeCell ref="AA39:AC39"/>
    <mergeCell ref="AA40:AC40"/>
    <mergeCell ref="A1:H4"/>
    <mergeCell ref="AS6:BD7"/>
    <mergeCell ref="A6:A7"/>
    <mergeCell ref="AF6:AF7"/>
    <mergeCell ref="AG6:AG7"/>
    <mergeCell ref="AH6:AH7"/>
    <mergeCell ref="I2:Q4"/>
    <mergeCell ref="I1:Q1"/>
    <mergeCell ref="AP1:AT1"/>
    <mergeCell ref="AU1:AY1"/>
    <mergeCell ref="AZ1:BD1"/>
    <mergeCell ref="R1:X1"/>
    <mergeCell ref="R2:X4"/>
    <mergeCell ref="Y1:AO1"/>
    <mergeCell ref="AU3:AY3"/>
    <mergeCell ref="AU4:AY4"/>
    <mergeCell ref="AZ2:BD2"/>
    <mergeCell ref="AZ3:BD3"/>
    <mergeCell ref="AZ4:BD4"/>
    <mergeCell ref="Y2:AO3"/>
    <mergeCell ref="Y4:AO4"/>
    <mergeCell ref="AP2:AT2"/>
    <mergeCell ref="AP3:AT3"/>
    <mergeCell ref="AP4:AT4"/>
    <mergeCell ref="B6:H7"/>
    <mergeCell ref="I6:Q7"/>
    <mergeCell ref="R6:X7"/>
    <mergeCell ref="AA25:AC25"/>
    <mergeCell ref="Y36:Z36"/>
    <mergeCell ref="AA14:AC14"/>
    <mergeCell ref="AA10:AC10"/>
    <mergeCell ref="AA11:AC11"/>
    <mergeCell ref="AA12:AC12"/>
    <mergeCell ref="Y19:Z19"/>
    <mergeCell ref="Y20:Z20"/>
    <mergeCell ref="AA9:AC9"/>
    <mergeCell ref="AA18:AC18"/>
    <mergeCell ref="AA19:AC19"/>
    <mergeCell ref="AA20:AC20"/>
    <mergeCell ref="AA33:AC33"/>
    <mergeCell ref="AA34:AC34"/>
    <mergeCell ref="Y18:Z18"/>
    <mergeCell ref="Y28:Z28"/>
    <mergeCell ref="Y12:Z12"/>
    <mergeCell ref="Y16:Z16"/>
    <mergeCell ref="AI6:AR6"/>
    <mergeCell ref="Y6:Z7"/>
    <mergeCell ref="Y24:Z24"/>
    <mergeCell ref="Y27:Z27"/>
    <mergeCell ref="Y26:Z26"/>
    <mergeCell ref="Y29:Z29"/>
    <mergeCell ref="Y23:Z23"/>
    <mergeCell ref="Y25:Z25"/>
    <mergeCell ref="Y30:Z30"/>
    <mergeCell ref="AD6:AD7"/>
    <mergeCell ref="AE6:AE7"/>
    <mergeCell ref="Y17:Z17"/>
    <mergeCell ref="Y10:Z10"/>
    <mergeCell ref="Y8:Z8"/>
    <mergeCell ref="Y11:Z11"/>
    <mergeCell ref="Y9:Z9"/>
    <mergeCell ref="AA8:AC8"/>
    <mergeCell ref="AA13:AC13"/>
    <mergeCell ref="AA6:AC7"/>
    <mergeCell ref="AA15:AC15"/>
    <mergeCell ref="AA16:AC16"/>
    <mergeCell ref="AA17:AC17"/>
    <mergeCell ref="Y38:Z38"/>
    <mergeCell ref="AA35:AC35"/>
    <mergeCell ref="AA36:AC36"/>
    <mergeCell ref="AA37:AC37"/>
    <mergeCell ref="AA21:AC21"/>
    <mergeCell ref="AA22:AC22"/>
    <mergeCell ref="AA23:AC23"/>
    <mergeCell ref="AA26:AC26"/>
    <mergeCell ref="AA27:AC27"/>
    <mergeCell ref="AA28:AC28"/>
    <mergeCell ref="AA29:AC29"/>
    <mergeCell ref="AA30:AC30"/>
    <mergeCell ref="AA31:AC31"/>
    <mergeCell ref="AA32:AC32"/>
    <mergeCell ref="Y35:Z35"/>
    <mergeCell ref="Y21:Z21"/>
    <mergeCell ref="AA38:AC38"/>
    <mergeCell ref="AA24:AC24"/>
    <mergeCell ref="Y37:Z37"/>
    <mergeCell ref="Y33:Z33"/>
    <mergeCell ref="Y31:Z31"/>
    <mergeCell ref="Y32:Z32"/>
    <mergeCell ref="Y34:Z34"/>
    <mergeCell ref="Y22:Z22"/>
  </mergeCells>
  <phoneticPr fontId="5"/>
  <dataValidations count="3">
    <dataValidation imeMode="hiragana" allowBlank="1" showInputMessage="1" showErrorMessage="1" sqref="JO65518:JZ65520 TK65518:TV65520 ADG65518:ADR65520 ANC65518:ANN65520 AWY65518:AXJ65520 BGU65518:BHF65520 BQQ65518:BRB65520 CAM65518:CAX65520 CKI65518:CKT65520 CUE65518:CUP65520 DEA65518:DEL65520 DNW65518:DOH65520 DXS65518:DYD65520 EHO65518:EHZ65520 ERK65518:ERV65520 FBG65518:FBR65520 FLC65518:FLN65520 FUY65518:FVJ65520 GEU65518:GFF65520 GOQ65518:GPB65520 GYM65518:GYX65520 HII65518:HIT65520 HSE65518:HSP65520 ICA65518:ICL65520 ILW65518:IMH65520 IVS65518:IWD65520 JFO65518:JFZ65520 JPK65518:JPV65520 JZG65518:JZR65520 KJC65518:KJN65520 KSY65518:KTJ65520 LCU65518:LDF65520 LMQ65518:LNB65520 LWM65518:LWX65520 MGI65518:MGT65520 MQE65518:MQP65520 NAA65518:NAL65520 NJW65518:NKH65520 NTS65518:NUD65520 ODO65518:ODZ65520 ONK65518:ONV65520 OXG65518:OXR65520 PHC65518:PHN65520 PQY65518:PRJ65520 QAU65518:QBF65520 QKQ65518:QLB65520 QUM65518:QUX65520 REI65518:RET65520 ROE65518:ROP65520 RYA65518:RYL65520 SHW65518:SIH65520 SRS65518:SSD65520 TBO65518:TBZ65520 TLK65518:TLV65520 TVG65518:TVR65520 UFC65518:UFN65520 UOY65518:UPJ65520 UYU65518:UZF65520 VIQ65518:VJB65520 VSM65518:VSX65520 WCI65518:WCT65520 WME65518:WMP65520 WWA65518:WWL65520 JO131054:JZ131056 TK131054:TV131056 ADG131054:ADR131056 ANC131054:ANN131056 AWY131054:AXJ131056 BGU131054:BHF131056 BQQ131054:BRB131056 CAM131054:CAX131056 CKI131054:CKT131056 CUE131054:CUP131056 DEA131054:DEL131056 DNW131054:DOH131056 DXS131054:DYD131056 EHO131054:EHZ131056 ERK131054:ERV131056 FBG131054:FBR131056 FLC131054:FLN131056 FUY131054:FVJ131056 GEU131054:GFF131056 GOQ131054:GPB131056 GYM131054:GYX131056 HII131054:HIT131056 HSE131054:HSP131056 ICA131054:ICL131056 ILW131054:IMH131056 IVS131054:IWD131056 JFO131054:JFZ131056 JPK131054:JPV131056 JZG131054:JZR131056 KJC131054:KJN131056 KSY131054:KTJ131056 LCU131054:LDF131056 LMQ131054:LNB131056 LWM131054:LWX131056 MGI131054:MGT131056 MQE131054:MQP131056 NAA131054:NAL131056 NJW131054:NKH131056 NTS131054:NUD131056 ODO131054:ODZ131056 ONK131054:ONV131056 OXG131054:OXR131056 PHC131054:PHN131056 PQY131054:PRJ131056 QAU131054:QBF131056 QKQ131054:QLB131056 QUM131054:QUX131056 REI131054:RET131056 ROE131054:ROP131056 RYA131054:RYL131056 SHW131054:SIH131056 SRS131054:SSD131056 TBO131054:TBZ131056 TLK131054:TLV131056 TVG131054:TVR131056 UFC131054:UFN131056 UOY131054:UPJ131056 UYU131054:UZF131056 VIQ131054:VJB131056 VSM131054:VSX131056 WCI131054:WCT131056 WME131054:WMP131056 WWA131054:WWL131056 JO196590:JZ196592 TK196590:TV196592 ADG196590:ADR196592 ANC196590:ANN196592 AWY196590:AXJ196592 BGU196590:BHF196592 BQQ196590:BRB196592 CAM196590:CAX196592 CKI196590:CKT196592 CUE196590:CUP196592 DEA196590:DEL196592 DNW196590:DOH196592 DXS196590:DYD196592 EHO196590:EHZ196592 ERK196590:ERV196592 FBG196590:FBR196592 FLC196590:FLN196592 FUY196590:FVJ196592 GEU196590:GFF196592 GOQ196590:GPB196592 GYM196590:GYX196592 HII196590:HIT196592 HSE196590:HSP196592 ICA196590:ICL196592 ILW196590:IMH196592 IVS196590:IWD196592 JFO196590:JFZ196592 JPK196590:JPV196592 JZG196590:JZR196592 KJC196590:KJN196592 KSY196590:KTJ196592 LCU196590:LDF196592 LMQ196590:LNB196592 LWM196590:LWX196592 MGI196590:MGT196592 MQE196590:MQP196592 NAA196590:NAL196592 NJW196590:NKH196592 NTS196590:NUD196592 ODO196590:ODZ196592 ONK196590:ONV196592 OXG196590:OXR196592 PHC196590:PHN196592 PQY196590:PRJ196592 QAU196590:QBF196592 QKQ196590:QLB196592 QUM196590:QUX196592 REI196590:RET196592 ROE196590:ROP196592 RYA196590:RYL196592 SHW196590:SIH196592 SRS196590:SSD196592 TBO196590:TBZ196592 TLK196590:TLV196592 TVG196590:TVR196592 UFC196590:UFN196592 UOY196590:UPJ196592 UYU196590:UZF196592 VIQ196590:VJB196592 VSM196590:VSX196592 WCI196590:WCT196592 WME196590:WMP196592 WWA196590:WWL196592 JO262126:JZ262128 TK262126:TV262128 ADG262126:ADR262128 ANC262126:ANN262128 AWY262126:AXJ262128 BGU262126:BHF262128 BQQ262126:BRB262128 CAM262126:CAX262128 CKI262126:CKT262128 CUE262126:CUP262128 DEA262126:DEL262128 DNW262126:DOH262128 DXS262126:DYD262128 EHO262126:EHZ262128 ERK262126:ERV262128 FBG262126:FBR262128 FLC262126:FLN262128 FUY262126:FVJ262128 GEU262126:GFF262128 GOQ262126:GPB262128 GYM262126:GYX262128 HII262126:HIT262128 HSE262126:HSP262128 ICA262126:ICL262128 ILW262126:IMH262128 IVS262126:IWD262128 JFO262126:JFZ262128 JPK262126:JPV262128 JZG262126:JZR262128 KJC262126:KJN262128 KSY262126:KTJ262128 LCU262126:LDF262128 LMQ262126:LNB262128 LWM262126:LWX262128 MGI262126:MGT262128 MQE262126:MQP262128 NAA262126:NAL262128 NJW262126:NKH262128 NTS262126:NUD262128 ODO262126:ODZ262128 ONK262126:ONV262128 OXG262126:OXR262128 PHC262126:PHN262128 PQY262126:PRJ262128 QAU262126:QBF262128 QKQ262126:QLB262128 QUM262126:QUX262128 REI262126:RET262128 ROE262126:ROP262128 RYA262126:RYL262128 SHW262126:SIH262128 SRS262126:SSD262128 TBO262126:TBZ262128 TLK262126:TLV262128 TVG262126:TVR262128 UFC262126:UFN262128 UOY262126:UPJ262128 UYU262126:UZF262128 VIQ262126:VJB262128 VSM262126:VSX262128 WCI262126:WCT262128 WME262126:WMP262128 WWA262126:WWL262128 JO327662:JZ327664 TK327662:TV327664 ADG327662:ADR327664 ANC327662:ANN327664 AWY327662:AXJ327664 BGU327662:BHF327664 BQQ327662:BRB327664 CAM327662:CAX327664 CKI327662:CKT327664 CUE327662:CUP327664 DEA327662:DEL327664 DNW327662:DOH327664 DXS327662:DYD327664 EHO327662:EHZ327664 ERK327662:ERV327664 FBG327662:FBR327664 FLC327662:FLN327664 FUY327662:FVJ327664 GEU327662:GFF327664 GOQ327662:GPB327664 GYM327662:GYX327664 HII327662:HIT327664 HSE327662:HSP327664 ICA327662:ICL327664 ILW327662:IMH327664 IVS327662:IWD327664 JFO327662:JFZ327664 JPK327662:JPV327664 JZG327662:JZR327664 KJC327662:KJN327664 KSY327662:KTJ327664 LCU327662:LDF327664 LMQ327662:LNB327664 LWM327662:LWX327664 MGI327662:MGT327664 MQE327662:MQP327664 NAA327662:NAL327664 NJW327662:NKH327664 NTS327662:NUD327664 ODO327662:ODZ327664 ONK327662:ONV327664 OXG327662:OXR327664 PHC327662:PHN327664 PQY327662:PRJ327664 QAU327662:QBF327664 QKQ327662:QLB327664 QUM327662:QUX327664 REI327662:RET327664 ROE327662:ROP327664 RYA327662:RYL327664 SHW327662:SIH327664 SRS327662:SSD327664 TBO327662:TBZ327664 TLK327662:TLV327664 TVG327662:TVR327664 UFC327662:UFN327664 UOY327662:UPJ327664 UYU327662:UZF327664 VIQ327662:VJB327664 VSM327662:VSX327664 WCI327662:WCT327664 WME327662:WMP327664 WWA327662:WWL327664 JO393198:JZ393200 TK393198:TV393200 ADG393198:ADR393200 ANC393198:ANN393200 AWY393198:AXJ393200 BGU393198:BHF393200 BQQ393198:BRB393200 CAM393198:CAX393200 CKI393198:CKT393200 CUE393198:CUP393200 DEA393198:DEL393200 DNW393198:DOH393200 DXS393198:DYD393200 EHO393198:EHZ393200 ERK393198:ERV393200 FBG393198:FBR393200 FLC393198:FLN393200 FUY393198:FVJ393200 GEU393198:GFF393200 GOQ393198:GPB393200 GYM393198:GYX393200 HII393198:HIT393200 HSE393198:HSP393200 ICA393198:ICL393200 ILW393198:IMH393200 IVS393198:IWD393200 JFO393198:JFZ393200 JPK393198:JPV393200 JZG393198:JZR393200 KJC393198:KJN393200 KSY393198:KTJ393200 LCU393198:LDF393200 LMQ393198:LNB393200 LWM393198:LWX393200 MGI393198:MGT393200 MQE393198:MQP393200 NAA393198:NAL393200 NJW393198:NKH393200 NTS393198:NUD393200 ODO393198:ODZ393200 ONK393198:ONV393200 OXG393198:OXR393200 PHC393198:PHN393200 PQY393198:PRJ393200 QAU393198:QBF393200 QKQ393198:QLB393200 QUM393198:QUX393200 REI393198:RET393200 ROE393198:ROP393200 RYA393198:RYL393200 SHW393198:SIH393200 SRS393198:SSD393200 TBO393198:TBZ393200 TLK393198:TLV393200 TVG393198:TVR393200 UFC393198:UFN393200 UOY393198:UPJ393200 UYU393198:UZF393200 VIQ393198:VJB393200 VSM393198:VSX393200 WCI393198:WCT393200 WME393198:WMP393200 WWA393198:WWL393200 JO458734:JZ458736 TK458734:TV458736 ADG458734:ADR458736 ANC458734:ANN458736 AWY458734:AXJ458736 BGU458734:BHF458736 BQQ458734:BRB458736 CAM458734:CAX458736 CKI458734:CKT458736 CUE458734:CUP458736 DEA458734:DEL458736 DNW458734:DOH458736 DXS458734:DYD458736 EHO458734:EHZ458736 ERK458734:ERV458736 FBG458734:FBR458736 FLC458734:FLN458736 FUY458734:FVJ458736 GEU458734:GFF458736 GOQ458734:GPB458736 GYM458734:GYX458736 HII458734:HIT458736 HSE458734:HSP458736 ICA458734:ICL458736 ILW458734:IMH458736 IVS458734:IWD458736 JFO458734:JFZ458736 JPK458734:JPV458736 JZG458734:JZR458736 KJC458734:KJN458736 KSY458734:KTJ458736 LCU458734:LDF458736 LMQ458734:LNB458736 LWM458734:LWX458736 MGI458734:MGT458736 MQE458734:MQP458736 NAA458734:NAL458736 NJW458734:NKH458736 NTS458734:NUD458736 ODO458734:ODZ458736 ONK458734:ONV458736 OXG458734:OXR458736 PHC458734:PHN458736 PQY458734:PRJ458736 QAU458734:QBF458736 QKQ458734:QLB458736 QUM458734:QUX458736 REI458734:RET458736 ROE458734:ROP458736 RYA458734:RYL458736 SHW458734:SIH458736 SRS458734:SSD458736 TBO458734:TBZ458736 TLK458734:TLV458736 TVG458734:TVR458736 UFC458734:UFN458736 UOY458734:UPJ458736 UYU458734:UZF458736 VIQ458734:VJB458736 VSM458734:VSX458736 WCI458734:WCT458736 WME458734:WMP458736 WWA458734:WWL458736 JO524270:JZ524272 TK524270:TV524272 ADG524270:ADR524272 ANC524270:ANN524272 AWY524270:AXJ524272 BGU524270:BHF524272 BQQ524270:BRB524272 CAM524270:CAX524272 CKI524270:CKT524272 CUE524270:CUP524272 DEA524270:DEL524272 DNW524270:DOH524272 DXS524270:DYD524272 EHO524270:EHZ524272 ERK524270:ERV524272 FBG524270:FBR524272 FLC524270:FLN524272 FUY524270:FVJ524272 GEU524270:GFF524272 GOQ524270:GPB524272 GYM524270:GYX524272 HII524270:HIT524272 HSE524270:HSP524272 ICA524270:ICL524272 ILW524270:IMH524272 IVS524270:IWD524272 JFO524270:JFZ524272 JPK524270:JPV524272 JZG524270:JZR524272 KJC524270:KJN524272 KSY524270:KTJ524272 LCU524270:LDF524272 LMQ524270:LNB524272 LWM524270:LWX524272 MGI524270:MGT524272 MQE524270:MQP524272 NAA524270:NAL524272 NJW524270:NKH524272 NTS524270:NUD524272 ODO524270:ODZ524272 ONK524270:ONV524272 OXG524270:OXR524272 PHC524270:PHN524272 PQY524270:PRJ524272 QAU524270:QBF524272 QKQ524270:QLB524272 QUM524270:QUX524272 REI524270:RET524272 ROE524270:ROP524272 RYA524270:RYL524272 SHW524270:SIH524272 SRS524270:SSD524272 TBO524270:TBZ524272 TLK524270:TLV524272 TVG524270:TVR524272 UFC524270:UFN524272 UOY524270:UPJ524272 UYU524270:UZF524272 VIQ524270:VJB524272 VSM524270:VSX524272 WCI524270:WCT524272 WME524270:WMP524272 WWA524270:WWL524272 JO589806:JZ589808 TK589806:TV589808 ADG589806:ADR589808 ANC589806:ANN589808 AWY589806:AXJ589808 BGU589806:BHF589808 BQQ589806:BRB589808 CAM589806:CAX589808 CKI589806:CKT589808 CUE589806:CUP589808 DEA589806:DEL589808 DNW589806:DOH589808 DXS589806:DYD589808 EHO589806:EHZ589808 ERK589806:ERV589808 FBG589806:FBR589808 FLC589806:FLN589808 FUY589806:FVJ589808 GEU589806:GFF589808 GOQ589806:GPB589808 GYM589806:GYX589808 HII589806:HIT589808 HSE589806:HSP589808 ICA589806:ICL589808 ILW589806:IMH589808 IVS589806:IWD589808 JFO589806:JFZ589808 JPK589806:JPV589808 JZG589806:JZR589808 KJC589806:KJN589808 KSY589806:KTJ589808 LCU589806:LDF589808 LMQ589806:LNB589808 LWM589806:LWX589808 MGI589806:MGT589808 MQE589806:MQP589808 NAA589806:NAL589808 NJW589806:NKH589808 NTS589806:NUD589808 ODO589806:ODZ589808 ONK589806:ONV589808 OXG589806:OXR589808 PHC589806:PHN589808 PQY589806:PRJ589808 QAU589806:QBF589808 QKQ589806:QLB589808 QUM589806:QUX589808 REI589806:RET589808 ROE589806:ROP589808 RYA589806:RYL589808 SHW589806:SIH589808 SRS589806:SSD589808 TBO589806:TBZ589808 TLK589806:TLV589808 TVG589806:TVR589808 UFC589806:UFN589808 UOY589806:UPJ589808 UYU589806:UZF589808 VIQ589806:VJB589808 VSM589806:VSX589808 WCI589806:WCT589808 WME589806:WMP589808 WWA589806:WWL589808 JO655342:JZ655344 TK655342:TV655344 ADG655342:ADR655344 ANC655342:ANN655344 AWY655342:AXJ655344 BGU655342:BHF655344 BQQ655342:BRB655344 CAM655342:CAX655344 CKI655342:CKT655344 CUE655342:CUP655344 DEA655342:DEL655344 DNW655342:DOH655344 DXS655342:DYD655344 EHO655342:EHZ655344 ERK655342:ERV655344 FBG655342:FBR655344 FLC655342:FLN655344 FUY655342:FVJ655344 GEU655342:GFF655344 GOQ655342:GPB655344 GYM655342:GYX655344 HII655342:HIT655344 HSE655342:HSP655344 ICA655342:ICL655344 ILW655342:IMH655344 IVS655342:IWD655344 JFO655342:JFZ655344 JPK655342:JPV655344 JZG655342:JZR655344 KJC655342:KJN655344 KSY655342:KTJ655344 LCU655342:LDF655344 LMQ655342:LNB655344 LWM655342:LWX655344 MGI655342:MGT655344 MQE655342:MQP655344 NAA655342:NAL655344 NJW655342:NKH655344 NTS655342:NUD655344 ODO655342:ODZ655344 ONK655342:ONV655344 OXG655342:OXR655344 PHC655342:PHN655344 PQY655342:PRJ655344 QAU655342:QBF655344 QKQ655342:QLB655344 QUM655342:QUX655344 REI655342:RET655344 ROE655342:ROP655344 RYA655342:RYL655344 SHW655342:SIH655344 SRS655342:SSD655344 TBO655342:TBZ655344 TLK655342:TLV655344 TVG655342:TVR655344 UFC655342:UFN655344 UOY655342:UPJ655344 UYU655342:UZF655344 VIQ655342:VJB655344 VSM655342:VSX655344 WCI655342:WCT655344 WME655342:WMP655344 WWA655342:WWL655344 JO720878:JZ720880 TK720878:TV720880 ADG720878:ADR720880 ANC720878:ANN720880 AWY720878:AXJ720880 BGU720878:BHF720880 BQQ720878:BRB720880 CAM720878:CAX720880 CKI720878:CKT720880 CUE720878:CUP720880 DEA720878:DEL720880 DNW720878:DOH720880 DXS720878:DYD720880 EHO720878:EHZ720880 ERK720878:ERV720880 FBG720878:FBR720880 FLC720878:FLN720880 FUY720878:FVJ720880 GEU720878:GFF720880 GOQ720878:GPB720880 GYM720878:GYX720880 HII720878:HIT720880 HSE720878:HSP720880 ICA720878:ICL720880 ILW720878:IMH720880 IVS720878:IWD720880 JFO720878:JFZ720880 JPK720878:JPV720880 JZG720878:JZR720880 KJC720878:KJN720880 KSY720878:KTJ720880 LCU720878:LDF720880 LMQ720878:LNB720880 LWM720878:LWX720880 MGI720878:MGT720880 MQE720878:MQP720880 NAA720878:NAL720880 NJW720878:NKH720880 NTS720878:NUD720880 ODO720878:ODZ720880 ONK720878:ONV720880 OXG720878:OXR720880 PHC720878:PHN720880 PQY720878:PRJ720880 QAU720878:QBF720880 QKQ720878:QLB720880 QUM720878:QUX720880 REI720878:RET720880 ROE720878:ROP720880 RYA720878:RYL720880 SHW720878:SIH720880 SRS720878:SSD720880 TBO720878:TBZ720880 TLK720878:TLV720880 TVG720878:TVR720880 UFC720878:UFN720880 UOY720878:UPJ720880 UYU720878:UZF720880 VIQ720878:VJB720880 VSM720878:VSX720880 WCI720878:WCT720880 WME720878:WMP720880 WWA720878:WWL720880 JO786414:JZ786416 TK786414:TV786416 ADG786414:ADR786416 ANC786414:ANN786416 AWY786414:AXJ786416 BGU786414:BHF786416 BQQ786414:BRB786416 CAM786414:CAX786416 CKI786414:CKT786416 CUE786414:CUP786416 DEA786414:DEL786416 DNW786414:DOH786416 DXS786414:DYD786416 EHO786414:EHZ786416 ERK786414:ERV786416 FBG786414:FBR786416 FLC786414:FLN786416 FUY786414:FVJ786416 GEU786414:GFF786416 GOQ786414:GPB786416 GYM786414:GYX786416 HII786414:HIT786416 HSE786414:HSP786416 ICA786414:ICL786416 ILW786414:IMH786416 IVS786414:IWD786416 JFO786414:JFZ786416 JPK786414:JPV786416 JZG786414:JZR786416 KJC786414:KJN786416 KSY786414:KTJ786416 LCU786414:LDF786416 LMQ786414:LNB786416 LWM786414:LWX786416 MGI786414:MGT786416 MQE786414:MQP786416 NAA786414:NAL786416 NJW786414:NKH786416 NTS786414:NUD786416 ODO786414:ODZ786416 ONK786414:ONV786416 OXG786414:OXR786416 PHC786414:PHN786416 PQY786414:PRJ786416 QAU786414:QBF786416 QKQ786414:QLB786416 QUM786414:QUX786416 REI786414:RET786416 ROE786414:ROP786416 RYA786414:RYL786416 SHW786414:SIH786416 SRS786414:SSD786416 TBO786414:TBZ786416 TLK786414:TLV786416 TVG786414:TVR786416 UFC786414:UFN786416 UOY786414:UPJ786416 UYU786414:UZF786416 VIQ786414:VJB786416 VSM786414:VSX786416 WCI786414:WCT786416 WME786414:WMP786416 WWA786414:WWL786416 JO851950:JZ851952 TK851950:TV851952 ADG851950:ADR851952 ANC851950:ANN851952 AWY851950:AXJ851952 BGU851950:BHF851952 BQQ851950:BRB851952 CAM851950:CAX851952 CKI851950:CKT851952 CUE851950:CUP851952 DEA851950:DEL851952 DNW851950:DOH851952 DXS851950:DYD851952 EHO851950:EHZ851952 ERK851950:ERV851952 FBG851950:FBR851952 FLC851950:FLN851952 FUY851950:FVJ851952 GEU851950:GFF851952 GOQ851950:GPB851952 GYM851950:GYX851952 HII851950:HIT851952 HSE851950:HSP851952 ICA851950:ICL851952 ILW851950:IMH851952 IVS851950:IWD851952 JFO851950:JFZ851952 JPK851950:JPV851952 JZG851950:JZR851952 KJC851950:KJN851952 KSY851950:KTJ851952 LCU851950:LDF851952 LMQ851950:LNB851952 LWM851950:LWX851952 MGI851950:MGT851952 MQE851950:MQP851952 NAA851950:NAL851952 NJW851950:NKH851952 NTS851950:NUD851952 ODO851950:ODZ851952 ONK851950:ONV851952 OXG851950:OXR851952 PHC851950:PHN851952 PQY851950:PRJ851952 QAU851950:QBF851952 QKQ851950:QLB851952 QUM851950:QUX851952 REI851950:RET851952 ROE851950:ROP851952 RYA851950:RYL851952 SHW851950:SIH851952 SRS851950:SSD851952 TBO851950:TBZ851952 TLK851950:TLV851952 TVG851950:TVR851952 UFC851950:UFN851952 UOY851950:UPJ851952 UYU851950:UZF851952 VIQ851950:VJB851952 VSM851950:VSX851952 WCI851950:WCT851952 WME851950:WMP851952 WWA851950:WWL851952 JO917486:JZ917488 TK917486:TV917488 ADG917486:ADR917488 ANC917486:ANN917488 AWY917486:AXJ917488 BGU917486:BHF917488 BQQ917486:BRB917488 CAM917486:CAX917488 CKI917486:CKT917488 CUE917486:CUP917488 DEA917486:DEL917488 DNW917486:DOH917488 DXS917486:DYD917488 EHO917486:EHZ917488 ERK917486:ERV917488 FBG917486:FBR917488 FLC917486:FLN917488 FUY917486:FVJ917488 GEU917486:GFF917488 GOQ917486:GPB917488 GYM917486:GYX917488 HII917486:HIT917488 HSE917486:HSP917488 ICA917486:ICL917488 ILW917486:IMH917488 IVS917486:IWD917488 JFO917486:JFZ917488 JPK917486:JPV917488 JZG917486:JZR917488 KJC917486:KJN917488 KSY917486:KTJ917488 LCU917486:LDF917488 LMQ917486:LNB917488 LWM917486:LWX917488 MGI917486:MGT917488 MQE917486:MQP917488 NAA917486:NAL917488 NJW917486:NKH917488 NTS917486:NUD917488 ODO917486:ODZ917488 ONK917486:ONV917488 OXG917486:OXR917488 PHC917486:PHN917488 PQY917486:PRJ917488 QAU917486:QBF917488 QKQ917486:QLB917488 QUM917486:QUX917488 REI917486:RET917488 ROE917486:ROP917488 RYA917486:RYL917488 SHW917486:SIH917488 SRS917486:SSD917488 TBO917486:TBZ917488 TLK917486:TLV917488 TVG917486:TVR917488 UFC917486:UFN917488 UOY917486:UPJ917488 UYU917486:UZF917488 VIQ917486:VJB917488 VSM917486:VSX917488 WCI917486:WCT917488 WME917486:WMP917488 WWA917486:WWL917488 JO983022:JZ983024 TK983022:TV983024 ADG983022:ADR983024 ANC983022:ANN983024 AWY983022:AXJ983024 BGU983022:BHF983024 BQQ983022:BRB983024 CAM983022:CAX983024 CKI983022:CKT983024 CUE983022:CUP983024 DEA983022:DEL983024 DNW983022:DOH983024 DXS983022:DYD983024 EHO983022:EHZ983024 ERK983022:ERV983024 FBG983022:FBR983024 FLC983022:FLN983024 FUY983022:FVJ983024 GEU983022:GFF983024 GOQ983022:GPB983024 GYM983022:GYX983024 HII983022:HIT983024 HSE983022:HSP983024 ICA983022:ICL983024 ILW983022:IMH983024 IVS983022:IWD983024 JFO983022:JFZ983024 JPK983022:JPV983024 JZG983022:JZR983024 KJC983022:KJN983024 KSY983022:KTJ983024 LCU983022:LDF983024 LMQ983022:LNB983024 LWM983022:LWX983024 MGI983022:MGT983024 MQE983022:MQP983024 NAA983022:NAL983024 NJW983022:NKH983024 NTS983022:NUD983024 ODO983022:ODZ983024 ONK983022:ONV983024 OXG983022:OXR983024 PHC983022:PHN983024 PQY983022:PRJ983024 QAU983022:QBF983024 QKQ983022:QLB983024 QUM983022:QUX983024 REI983022:RET983024 ROE983022:ROP983024 RYA983022:RYL983024 SHW983022:SIH983024 SRS983022:SSD983024 TBO983022:TBZ983024 TLK983022:TLV983024 TVG983022:TVR983024 UFC983022:UFN983024 UOY983022:UPJ983024 UYU983022:UZF983024 VIQ983022:VJB983024 VSM983022:VSX983024 WCI983022:WCT983024 WME983022:WMP983024 WWA983022:WWL983024 JP2:KA4 TL2:TW4 ADH2:ADS4 AND2:ANO4 AWZ2:AXK4 BGV2:BHG4 BQR2:BRC4 CAN2:CAY4 CKJ2:CKU4 CUF2:CUQ4 DEB2:DEM4 DNX2:DOI4 DXT2:DYE4 EHP2:EIA4 ERL2:ERW4 FBH2:FBS4 FLD2:FLO4 FUZ2:FVK4 GEV2:GFG4 GOR2:GPC4 GYN2:GYY4 HIJ2:HIU4 HSF2:HSQ4 ICB2:ICM4 ILX2:IMI4 IVT2:IWE4 JFP2:JGA4 JPL2:JPW4 JZH2:JZS4 KJD2:KJO4 KSZ2:KTK4 LCV2:LDG4 LMR2:LNC4 LWN2:LWY4 MGJ2:MGU4 MQF2:MQQ4 NAB2:NAM4 NJX2:NKI4 NTT2:NUE4 ODP2:OEA4 ONL2:ONW4 OXH2:OXS4 PHD2:PHO4 PQZ2:PRK4 QAV2:QBG4 QKR2:QLC4 QUN2:QUY4 REJ2:REU4 ROF2:ROQ4 RYB2:RYM4 SHX2:SII4 SRT2:SSE4 TBP2:TCA4 TLL2:TLW4 TVH2:TVS4 UFD2:UFO4 UOZ2:UPK4 UYV2:UZG4 VIR2:VJC4 VSN2:VSY4 WCJ2:WCU4 WMF2:WMQ4 WWB2:WWM4 AC65518:AM65520 AC983022:AM983024 AC917486:AM917488 AC851950:AM851952 AC786414:AM786416 AC720878:AM720880 AC655342:AM655344 AC589806:AM589808 AC524270:AM524272 AC458734:AM458736 AC393198:AM393200 AC327662:AM327664 AC262126:AM262128 AC196590:AM196592 AC131054:AM131056 R2"/>
    <dataValidation type="list" allowBlank="1" showInputMessage="1" showErrorMessage="1" sqref="Y8:Z85">
      <formula1>"文字,数値,日付,時間"</formula1>
    </dataValidation>
    <dataValidation type="list" allowBlank="1" showInputMessage="1" showErrorMessage="1" sqref="AA8:AC85">
      <formula1>"int,numeric,varchar,date,datetime2(0),datetime2,varbinary(max)"</formula1>
    </dataValidation>
  </dataValidations>
  <pageMargins left="0.39370078740157483" right="0.39370078740157483" top="0.59055118110236227" bottom="0.39370078740157483" header="0.39370078740157483" footer="0.19685039370078741"/>
  <pageSetup paperSize="9" scale="80" fitToHeight="0" orientation="landscape" useFirstPageNumber="1" verticalDpi="300" r:id="rId1"/>
  <headerFooter alignWithMargins="0">
    <oddFooter>&amp;R&amp;A - &amp;P</oddFooter>
  </headerFooter>
  <legacy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40"/>
  <dimension ref="A1:BE85"/>
  <sheetViews>
    <sheetView showGridLines="0" zoomScaleNormal="100" zoomScaleSheetLayoutView="100" workbookViewId="0">
      <pane ySplit="7" topLeftCell="A8" activePane="bottomLeft" state="frozen"/>
      <selection sqref="A1:K4"/>
      <selection pane="bottomLeft" sqref="A1:H4"/>
    </sheetView>
  </sheetViews>
  <sheetFormatPr defaultColWidth="2.6328125" defaultRowHeight="14.4" customHeight="1"/>
  <cols>
    <col min="1" max="1" width="4.6328125" style="18" customWidth="1"/>
    <col min="2" max="29" width="2.6328125" style="18"/>
    <col min="30" max="30" width="4.6328125" style="18" customWidth="1"/>
    <col min="31" max="33" width="2.6328125" style="18"/>
    <col min="34" max="34" width="6.6328125" style="18" customWidth="1"/>
    <col min="35" max="44" width="2.6328125" style="18"/>
    <col min="45" max="56" width="2.6328125" style="46"/>
    <col min="57" max="16384" width="2.6328125" style="18"/>
  </cols>
  <sheetData>
    <row r="1" spans="1:56" s="17" customFormat="1" ht="14.4" customHeight="1">
      <c r="A1" s="417" t="s">
        <v>78</v>
      </c>
      <c r="B1" s="418"/>
      <c r="C1" s="418"/>
      <c r="D1" s="418"/>
      <c r="E1" s="418"/>
      <c r="F1" s="418"/>
      <c r="G1" s="418"/>
      <c r="H1" s="419"/>
      <c r="I1" s="354" t="s">
        <v>79</v>
      </c>
      <c r="J1" s="355"/>
      <c r="K1" s="355"/>
      <c r="L1" s="355"/>
      <c r="M1" s="355"/>
      <c r="N1" s="355"/>
      <c r="O1" s="355"/>
      <c r="P1" s="355"/>
      <c r="Q1" s="356"/>
      <c r="R1" s="354" t="s">
        <v>80</v>
      </c>
      <c r="S1" s="355"/>
      <c r="T1" s="355"/>
      <c r="U1" s="355"/>
      <c r="V1" s="355"/>
      <c r="W1" s="355"/>
      <c r="X1" s="356"/>
      <c r="Y1" s="354" t="s">
        <v>135</v>
      </c>
      <c r="Z1" s="355"/>
      <c r="AA1" s="355"/>
      <c r="AB1" s="355"/>
      <c r="AC1" s="355"/>
      <c r="AD1" s="355"/>
      <c r="AE1" s="355"/>
      <c r="AF1" s="355"/>
      <c r="AG1" s="355"/>
      <c r="AH1" s="355"/>
      <c r="AI1" s="355"/>
      <c r="AJ1" s="355"/>
      <c r="AK1" s="355"/>
      <c r="AL1" s="355"/>
      <c r="AM1" s="355"/>
      <c r="AN1" s="355"/>
      <c r="AO1" s="356"/>
      <c r="AP1" s="428" t="s">
        <v>82</v>
      </c>
      <c r="AQ1" s="429"/>
      <c r="AR1" s="429"/>
      <c r="AS1" s="429"/>
      <c r="AT1" s="430"/>
      <c r="AU1" s="428" t="s">
        <v>83</v>
      </c>
      <c r="AV1" s="429"/>
      <c r="AW1" s="429"/>
      <c r="AX1" s="429"/>
      <c r="AY1" s="430"/>
      <c r="AZ1" s="428" t="s">
        <v>84</v>
      </c>
      <c r="BA1" s="429"/>
      <c r="BB1" s="429"/>
      <c r="BC1" s="429"/>
      <c r="BD1" s="430"/>
    </row>
    <row r="2" spans="1:56" s="17" customFormat="1" ht="14.4" customHeight="1">
      <c r="A2" s="420"/>
      <c r="B2" s="421"/>
      <c r="C2" s="421"/>
      <c r="D2" s="421"/>
      <c r="E2" s="421"/>
      <c r="F2" s="421"/>
      <c r="G2" s="421"/>
      <c r="H2" s="422"/>
      <c r="I2" s="384" t="s">
        <v>85</v>
      </c>
      <c r="J2" s="385"/>
      <c r="K2" s="385"/>
      <c r="L2" s="385"/>
      <c r="M2" s="385"/>
      <c r="N2" s="385"/>
      <c r="O2" s="385"/>
      <c r="P2" s="385"/>
      <c r="Q2" s="386"/>
      <c r="R2" s="384" t="str">
        <f ca="1">VLOOKUP(RIGHT(CELL("filename",A2),LEN(CELL("filename",A2))-FIND("]",CELL("filename",A2))),テーブル一覧!B:AD,22,FALSE)</f>
        <v>B.生産計画</v>
      </c>
      <c r="S2" s="385"/>
      <c r="T2" s="385"/>
      <c r="U2" s="385"/>
      <c r="V2" s="385"/>
      <c r="W2" s="385"/>
      <c r="X2" s="386"/>
      <c r="Y2" s="384" t="str">
        <f ca="1">VLOOKUP(RIGHT(CELL("filename",A2),LEN(CELL("filename",A2))-FIND("]",CELL("filename",A2))),テーブル一覧!B:AD,1,FALSE)</f>
        <v>生産計画情報（熱加工）</v>
      </c>
      <c r="Z2" s="385"/>
      <c r="AA2" s="385"/>
      <c r="AB2" s="385"/>
      <c r="AC2" s="385"/>
      <c r="AD2" s="385"/>
      <c r="AE2" s="385"/>
      <c r="AF2" s="385"/>
      <c r="AG2" s="385"/>
      <c r="AH2" s="385"/>
      <c r="AI2" s="385"/>
      <c r="AJ2" s="385"/>
      <c r="AK2" s="385"/>
      <c r="AL2" s="385"/>
      <c r="AM2" s="385"/>
      <c r="AN2" s="385"/>
      <c r="AO2" s="386"/>
      <c r="AP2" s="357"/>
      <c r="AQ2" s="358"/>
      <c r="AR2" s="358"/>
      <c r="AS2" s="358"/>
      <c r="AT2" s="359"/>
      <c r="AU2" s="141" t="s">
        <v>88</v>
      </c>
      <c r="AV2" s="142"/>
      <c r="AW2" s="142"/>
      <c r="AX2" s="142"/>
      <c r="AY2" s="143"/>
      <c r="AZ2" s="456" t="s">
        <v>89</v>
      </c>
      <c r="BA2" s="457"/>
      <c r="BB2" s="457"/>
      <c r="BC2" s="457"/>
      <c r="BD2" s="458"/>
    </row>
    <row r="3" spans="1:56" s="17" customFormat="1" ht="14.4" customHeight="1">
      <c r="A3" s="420"/>
      <c r="B3" s="421"/>
      <c r="C3" s="421"/>
      <c r="D3" s="421"/>
      <c r="E3" s="421"/>
      <c r="F3" s="421"/>
      <c r="G3" s="421"/>
      <c r="H3" s="422"/>
      <c r="I3" s="387"/>
      <c r="J3" s="388"/>
      <c r="K3" s="388"/>
      <c r="L3" s="388"/>
      <c r="M3" s="388"/>
      <c r="N3" s="388"/>
      <c r="O3" s="388"/>
      <c r="P3" s="388"/>
      <c r="Q3" s="389"/>
      <c r="R3" s="387"/>
      <c r="S3" s="388"/>
      <c r="T3" s="388"/>
      <c r="U3" s="388"/>
      <c r="V3" s="388"/>
      <c r="W3" s="388"/>
      <c r="X3" s="389"/>
      <c r="Y3" s="390"/>
      <c r="Z3" s="391"/>
      <c r="AA3" s="391"/>
      <c r="AB3" s="391"/>
      <c r="AC3" s="391"/>
      <c r="AD3" s="391"/>
      <c r="AE3" s="391"/>
      <c r="AF3" s="391"/>
      <c r="AG3" s="391"/>
      <c r="AH3" s="391"/>
      <c r="AI3" s="391"/>
      <c r="AJ3" s="391"/>
      <c r="AK3" s="391"/>
      <c r="AL3" s="391"/>
      <c r="AM3" s="391"/>
      <c r="AN3" s="391"/>
      <c r="AO3" s="392"/>
      <c r="AP3" s="357"/>
      <c r="AQ3" s="358"/>
      <c r="AR3" s="358"/>
      <c r="AS3" s="358"/>
      <c r="AT3" s="359"/>
      <c r="AU3" s="453"/>
      <c r="AV3" s="454"/>
      <c r="AW3" s="454"/>
      <c r="AX3" s="454"/>
      <c r="AY3" s="455"/>
      <c r="AZ3" s="456"/>
      <c r="BA3" s="457"/>
      <c r="BB3" s="457"/>
      <c r="BC3" s="457"/>
      <c r="BD3" s="458"/>
    </row>
    <row r="4" spans="1:56" s="17" customFormat="1" ht="14.4" customHeight="1">
      <c r="A4" s="423"/>
      <c r="B4" s="424"/>
      <c r="C4" s="424"/>
      <c r="D4" s="424"/>
      <c r="E4" s="424"/>
      <c r="F4" s="424"/>
      <c r="G4" s="424"/>
      <c r="H4" s="425"/>
      <c r="I4" s="390"/>
      <c r="J4" s="391"/>
      <c r="K4" s="391"/>
      <c r="L4" s="391"/>
      <c r="M4" s="391"/>
      <c r="N4" s="391"/>
      <c r="O4" s="391"/>
      <c r="P4" s="391"/>
      <c r="Q4" s="392"/>
      <c r="R4" s="390"/>
      <c r="S4" s="391"/>
      <c r="T4" s="391"/>
      <c r="U4" s="391"/>
      <c r="V4" s="391"/>
      <c r="W4" s="391"/>
      <c r="X4" s="392"/>
      <c r="Y4" s="437" t="str">
        <f ca="1">IF(VLOOKUP(RIGHT(CELL("filename",A2),LEN(CELL("filename",A2))-FIND("]",CELL("filename",A2))),テーブル一覧!B:AD,11,FALSE)=0,"",VLOOKUP(RIGHT(CELL("filename",A2),LEN(CELL("filename",A2))-FIND("]",CELL("filename",A2))),テーブル一覧!B:AD,11,FALSE))</f>
        <v>t_seisan_keikaku_hc</v>
      </c>
      <c r="Z4" s="438"/>
      <c r="AA4" s="438"/>
      <c r="AB4" s="438"/>
      <c r="AC4" s="438"/>
      <c r="AD4" s="438"/>
      <c r="AE4" s="438"/>
      <c r="AF4" s="438"/>
      <c r="AG4" s="438"/>
      <c r="AH4" s="438"/>
      <c r="AI4" s="438"/>
      <c r="AJ4" s="438"/>
      <c r="AK4" s="438"/>
      <c r="AL4" s="438"/>
      <c r="AM4" s="438"/>
      <c r="AN4" s="438"/>
      <c r="AO4" s="439"/>
      <c r="AP4" s="357"/>
      <c r="AQ4" s="358"/>
      <c r="AR4" s="358"/>
      <c r="AS4" s="358"/>
      <c r="AT4" s="359"/>
      <c r="AU4" s="453"/>
      <c r="AV4" s="454"/>
      <c r="AW4" s="454"/>
      <c r="AX4" s="454"/>
      <c r="AY4" s="455"/>
      <c r="AZ4" s="456"/>
      <c r="BA4" s="457"/>
      <c r="BB4" s="457"/>
      <c r="BC4" s="457"/>
      <c r="BD4" s="458"/>
    </row>
    <row r="6" spans="1:56" ht="14.4" customHeight="1">
      <c r="A6" s="426" t="s">
        <v>90</v>
      </c>
      <c r="B6" s="407" t="s">
        <v>136</v>
      </c>
      <c r="C6" s="415"/>
      <c r="D6" s="415"/>
      <c r="E6" s="415"/>
      <c r="F6" s="415"/>
      <c r="G6" s="415"/>
      <c r="H6" s="408"/>
      <c r="I6" s="407" t="s">
        <v>137</v>
      </c>
      <c r="J6" s="415"/>
      <c r="K6" s="415"/>
      <c r="L6" s="415"/>
      <c r="M6" s="415"/>
      <c r="N6" s="415"/>
      <c r="O6" s="415"/>
      <c r="P6" s="415"/>
      <c r="Q6" s="408"/>
      <c r="R6" s="407" t="s">
        <v>138</v>
      </c>
      <c r="S6" s="415"/>
      <c r="T6" s="415"/>
      <c r="U6" s="415"/>
      <c r="V6" s="415"/>
      <c r="W6" s="415"/>
      <c r="X6" s="408"/>
      <c r="Y6" s="407" t="s">
        <v>139</v>
      </c>
      <c r="Z6" s="408"/>
      <c r="AA6" s="407" t="s">
        <v>140</v>
      </c>
      <c r="AB6" s="415"/>
      <c r="AC6" s="408"/>
      <c r="AD6" s="411" t="s">
        <v>141</v>
      </c>
      <c r="AE6" s="413" t="s">
        <v>142</v>
      </c>
      <c r="AF6" s="411" t="s">
        <v>143</v>
      </c>
      <c r="AG6" s="411" t="s">
        <v>144</v>
      </c>
      <c r="AH6" s="411" t="s">
        <v>145</v>
      </c>
      <c r="AI6" s="404" t="s">
        <v>146</v>
      </c>
      <c r="AJ6" s="405"/>
      <c r="AK6" s="405"/>
      <c r="AL6" s="405"/>
      <c r="AM6" s="405"/>
      <c r="AN6" s="405"/>
      <c r="AO6" s="405"/>
      <c r="AP6" s="405"/>
      <c r="AQ6" s="405"/>
      <c r="AR6" s="406"/>
      <c r="AS6" s="407" t="s">
        <v>147</v>
      </c>
      <c r="AT6" s="415"/>
      <c r="AU6" s="415"/>
      <c r="AV6" s="415"/>
      <c r="AW6" s="415"/>
      <c r="AX6" s="415"/>
      <c r="AY6" s="415"/>
      <c r="AZ6" s="415"/>
      <c r="BA6" s="415"/>
      <c r="BB6" s="415"/>
      <c r="BC6" s="415"/>
      <c r="BD6" s="408"/>
    </row>
    <row r="7" spans="1:56" ht="14.4" customHeight="1">
      <c r="A7" s="427"/>
      <c r="B7" s="409"/>
      <c r="C7" s="416"/>
      <c r="D7" s="416"/>
      <c r="E7" s="416"/>
      <c r="F7" s="416"/>
      <c r="G7" s="416"/>
      <c r="H7" s="410"/>
      <c r="I7" s="409"/>
      <c r="J7" s="416"/>
      <c r="K7" s="416"/>
      <c r="L7" s="416"/>
      <c r="M7" s="416"/>
      <c r="N7" s="416"/>
      <c r="O7" s="416"/>
      <c r="P7" s="416"/>
      <c r="Q7" s="410"/>
      <c r="R7" s="409"/>
      <c r="S7" s="416"/>
      <c r="T7" s="416"/>
      <c r="U7" s="416"/>
      <c r="V7" s="416"/>
      <c r="W7" s="416"/>
      <c r="X7" s="410"/>
      <c r="Y7" s="409"/>
      <c r="Z7" s="410"/>
      <c r="AA7" s="409"/>
      <c r="AB7" s="416"/>
      <c r="AC7" s="410"/>
      <c r="AD7" s="412"/>
      <c r="AE7" s="414"/>
      <c r="AF7" s="412"/>
      <c r="AG7" s="412"/>
      <c r="AH7" s="412"/>
      <c r="AI7" s="52">
        <v>1</v>
      </c>
      <c r="AJ7" s="52">
        <v>2</v>
      </c>
      <c r="AK7" s="52">
        <v>3</v>
      </c>
      <c r="AL7" s="52">
        <v>4</v>
      </c>
      <c r="AM7" s="52">
        <v>5</v>
      </c>
      <c r="AN7" s="52">
        <v>6</v>
      </c>
      <c r="AO7" s="52">
        <v>7</v>
      </c>
      <c r="AP7" s="52">
        <v>8</v>
      </c>
      <c r="AQ7" s="52">
        <v>9</v>
      </c>
      <c r="AR7" s="52">
        <v>10</v>
      </c>
      <c r="AS7" s="409"/>
      <c r="AT7" s="416"/>
      <c r="AU7" s="416"/>
      <c r="AV7" s="416"/>
      <c r="AW7" s="416"/>
      <c r="AX7" s="416"/>
      <c r="AY7" s="416"/>
      <c r="AZ7" s="416"/>
      <c r="BA7" s="416"/>
      <c r="BB7" s="416"/>
      <c r="BC7" s="416"/>
      <c r="BD7" s="410"/>
    </row>
    <row r="8" spans="1:56" s="1" customFormat="1" ht="14.4" customHeight="1">
      <c r="A8" s="145">
        <f>IF(B8="","",COUNTA($B$8:B8))</f>
        <v>1</v>
      </c>
      <c r="B8" s="146" t="s">
        <v>148</v>
      </c>
      <c r="C8" s="129"/>
      <c r="D8" s="129"/>
      <c r="E8" s="129"/>
      <c r="F8" s="129"/>
      <c r="G8" s="129"/>
      <c r="H8" s="147"/>
      <c r="I8" s="128" t="s">
        <v>149</v>
      </c>
      <c r="J8" s="129"/>
      <c r="K8" s="129"/>
      <c r="L8" s="129"/>
      <c r="M8" s="129"/>
      <c r="N8" s="129"/>
      <c r="O8" s="129"/>
      <c r="P8" s="129"/>
      <c r="Q8" s="147"/>
      <c r="R8" s="146" t="s">
        <v>148</v>
      </c>
      <c r="S8" s="129"/>
      <c r="T8" s="129"/>
      <c r="U8" s="129"/>
      <c r="V8" s="129"/>
      <c r="W8" s="129"/>
      <c r="X8" s="148"/>
      <c r="Y8" s="451" t="s">
        <v>150</v>
      </c>
      <c r="Z8" s="452"/>
      <c r="AA8" s="448" t="s">
        <v>151</v>
      </c>
      <c r="AB8" s="449"/>
      <c r="AC8" s="450"/>
      <c r="AD8" s="139">
        <v>15</v>
      </c>
      <c r="AE8" s="124"/>
      <c r="AF8" s="124">
        <v>1</v>
      </c>
      <c r="AG8" s="133" t="s">
        <v>152</v>
      </c>
      <c r="AH8" s="133"/>
      <c r="AI8" s="133"/>
      <c r="AJ8" s="133"/>
      <c r="AK8" s="133"/>
      <c r="AL8" s="133"/>
      <c r="AM8" s="133"/>
      <c r="AN8" s="133"/>
      <c r="AO8" s="124"/>
      <c r="AP8" s="124"/>
      <c r="AQ8" s="124"/>
      <c r="AR8" s="124"/>
      <c r="AS8" s="192"/>
      <c r="AT8" s="193"/>
      <c r="AU8" s="193"/>
      <c r="AV8" s="193"/>
      <c r="AW8" s="193"/>
      <c r="AX8" s="193"/>
      <c r="AY8" s="193"/>
      <c r="AZ8" s="193"/>
      <c r="BA8" s="193"/>
      <c r="BB8" s="193"/>
      <c r="BC8" s="193"/>
      <c r="BD8" s="194"/>
    </row>
    <row r="9" spans="1:56" s="1" customFormat="1" ht="14.4" customHeight="1">
      <c r="A9" s="145">
        <f>IF(B9="","",COUNTA($B$8:B9))</f>
        <v>2</v>
      </c>
      <c r="B9" s="8" t="s">
        <v>153</v>
      </c>
      <c r="C9" s="127"/>
      <c r="D9" s="127"/>
      <c r="E9" s="127"/>
      <c r="F9" s="127"/>
      <c r="G9" s="127"/>
      <c r="H9" s="148"/>
      <c r="I9" s="128" t="s">
        <v>154</v>
      </c>
      <c r="J9" s="129"/>
      <c r="K9" s="129"/>
      <c r="L9" s="129"/>
      <c r="M9" s="129"/>
      <c r="N9" s="129"/>
      <c r="O9" s="129"/>
      <c r="P9" s="129"/>
      <c r="Q9" s="147"/>
      <c r="R9" s="8" t="s">
        <v>153</v>
      </c>
      <c r="S9" s="129"/>
      <c r="T9" s="129"/>
      <c r="U9" s="129"/>
      <c r="V9" s="129"/>
      <c r="W9" s="129"/>
      <c r="X9" s="148"/>
      <c r="Y9" s="451" t="s">
        <v>155</v>
      </c>
      <c r="Z9" s="452"/>
      <c r="AA9" s="448" t="s">
        <v>156</v>
      </c>
      <c r="AB9" s="449"/>
      <c r="AC9" s="450"/>
      <c r="AD9" s="139">
        <v>3</v>
      </c>
      <c r="AE9" s="124"/>
      <c r="AF9" s="124">
        <v>2</v>
      </c>
      <c r="AG9" s="133" t="s">
        <v>152</v>
      </c>
      <c r="AH9" s="133"/>
      <c r="AI9" s="133"/>
      <c r="AJ9" s="133"/>
      <c r="AK9" s="133"/>
      <c r="AL9" s="133"/>
      <c r="AM9" s="133"/>
      <c r="AN9" s="133"/>
      <c r="AO9" s="124"/>
      <c r="AP9" s="124"/>
      <c r="AQ9" s="124"/>
      <c r="AR9" s="124"/>
      <c r="AS9" s="131" t="s">
        <v>364</v>
      </c>
      <c r="AT9" s="137"/>
      <c r="AU9" s="137"/>
      <c r="AV9" s="137"/>
      <c r="AW9" s="137"/>
      <c r="AX9" s="137"/>
      <c r="AY9" s="137"/>
      <c r="AZ9" s="137"/>
      <c r="BA9" s="137"/>
      <c r="BB9" s="137"/>
      <c r="BC9" s="137"/>
      <c r="BD9" s="138"/>
    </row>
    <row r="10" spans="1:56" s="1" customFormat="1" ht="14.4" customHeight="1">
      <c r="A10" s="145">
        <f>IF(B10="","",COUNTA($B$8:B10))</f>
        <v>3</v>
      </c>
      <c r="B10" s="8" t="s">
        <v>157</v>
      </c>
      <c r="C10" s="127"/>
      <c r="D10" s="127"/>
      <c r="E10" s="127"/>
      <c r="F10" s="127"/>
      <c r="G10" s="127"/>
      <c r="H10" s="148"/>
      <c r="I10" s="128" t="s">
        <v>158</v>
      </c>
      <c r="J10" s="129"/>
      <c r="K10" s="129"/>
      <c r="L10" s="129"/>
      <c r="M10" s="129"/>
      <c r="N10" s="129"/>
      <c r="O10" s="129"/>
      <c r="P10" s="129"/>
      <c r="Q10" s="147"/>
      <c r="R10" s="8" t="s">
        <v>157</v>
      </c>
      <c r="S10" s="129"/>
      <c r="T10" s="129"/>
      <c r="U10" s="129"/>
      <c r="V10" s="129"/>
      <c r="W10" s="129"/>
      <c r="X10" s="148"/>
      <c r="Y10" s="451" t="s">
        <v>150</v>
      </c>
      <c r="Z10" s="452"/>
      <c r="AA10" s="448" t="s">
        <v>151</v>
      </c>
      <c r="AB10" s="449"/>
      <c r="AC10" s="450"/>
      <c r="AD10" s="139">
        <v>10</v>
      </c>
      <c r="AE10" s="124"/>
      <c r="AF10" s="124"/>
      <c r="AG10" s="133"/>
      <c r="AH10" s="133"/>
      <c r="AI10" s="133"/>
      <c r="AJ10" s="133"/>
      <c r="AK10" s="133"/>
      <c r="AL10" s="133"/>
      <c r="AM10" s="133"/>
      <c r="AN10" s="133"/>
      <c r="AO10" s="124"/>
      <c r="AP10" s="124"/>
      <c r="AQ10" s="124"/>
      <c r="AR10" s="124"/>
      <c r="AS10" s="131"/>
      <c r="AT10" s="137"/>
      <c r="AU10" s="137"/>
      <c r="AV10" s="137"/>
      <c r="AW10" s="137"/>
      <c r="AX10" s="137"/>
      <c r="AY10" s="137"/>
      <c r="AZ10" s="137"/>
      <c r="BA10" s="137"/>
      <c r="BB10" s="137"/>
      <c r="BC10" s="137"/>
      <c r="BD10" s="138"/>
    </row>
    <row r="11" spans="1:56" s="1" customFormat="1" ht="14.4" customHeight="1">
      <c r="A11" s="145">
        <f>IF(B11="","",COUNTA($B$8:B11))</f>
        <v>4</v>
      </c>
      <c r="B11" s="8" t="s">
        <v>159</v>
      </c>
      <c r="C11" s="127"/>
      <c r="D11" s="127"/>
      <c r="E11" s="127"/>
      <c r="F11" s="127"/>
      <c r="G11" s="127"/>
      <c r="H11" s="148"/>
      <c r="I11" s="128" t="s">
        <v>160</v>
      </c>
      <c r="J11" s="129"/>
      <c r="K11" s="129"/>
      <c r="L11" s="129"/>
      <c r="M11" s="129"/>
      <c r="N11" s="129"/>
      <c r="O11" s="129"/>
      <c r="P11" s="129"/>
      <c r="Q11" s="147"/>
      <c r="R11" s="8" t="s">
        <v>159</v>
      </c>
      <c r="S11" s="129"/>
      <c r="T11" s="129"/>
      <c r="U11" s="129"/>
      <c r="V11" s="129"/>
      <c r="W11" s="129"/>
      <c r="X11" s="148"/>
      <c r="Y11" s="451" t="s">
        <v>150</v>
      </c>
      <c r="Z11" s="452"/>
      <c r="AA11" s="448" t="s">
        <v>151</v>
      </c>
      <c r="AB11" s="449"/>
      <c r="AC11" s="450"/>
      <c r="AD11" s="139">
        <v>4</v>
      </c>
      <c r="AE11" s="124"/>
      <c r="AF11" s="124"/>
      <c r="AG11" s="133"/>
      <c r="AH11" s="133"/>
      <c r="AI11" s="133" t="s">
        <v>161</v>
      </c>
      <c r="AJ11" s="133"/>
      <c r="AK11" s="133"/>
      <c r="AL11" s="133"/>
      <c r="AM11" s="133"/>
      <c r="AN11" s="133"/>
      <c r="AO11" s="124"/>
      <c r="AP11" s="124"/>
      <c r="AQ11" s="124"/>
      <c r="AR11" s="124"/>
      <c r="AS11" s="131"/>
      <c r="AT11" s="137"/>
      <c r="AU11" s="137"/>
      <c r="AV11" s="137"/>
      <c r="AW11" s="137"/>
      <c r="AX11" s="137"/>
      <c r="AY11" s="137"/>
      <c r="AZ11" s="137"/>
      <c r="BA11" s="137"/>
      <c r="BB11" s="137"/>
      <c r="BC11" s="137"/>
      <c r="BD11" s="138"/>
    </row>
    <row r="12" spans="1:56" s="1" customFormat="1" ht="14.4" customHeight="1">
      <c r="A12" s="145">
        <f>IF(B12="","",COUNTA($B$8:B12))</f>
        <v>5</v>
      </c>
      <c r="B12" s="195" t="s">
        <v>162</v>
      </c>
      <c r="D12" s="127"/>
      <c r="E12" s="127"/>
      <c r="F12" s="127"/>
      <c r="G12" s="127"/>
      <c r="H12" s="148"/>
      <c r="I12" s="195" t="s">
        <v>163</v>
      </c>
      <c r="J12" s="129"/>
      <c r="K12" s="129"/>
      <c r="L12" s="129"/>
      <c r="M12" s="129"/>
      <c r="N12" s="129"/>
      <c r="O12" s="129"/>
      <c r="P12" s="129"/>
      <c r="Q12" s="147"/>
      <c r="R12" s="8" t="s">
        <v>164</v>
      </c>
      <c r="S12" s="129"/>
      <c r="T12" s="129"/>
      <c r="U12" s="129"/>
      <c r="V12" s="129"/>
      <c r="W12" s="129"/>
      <c r="X12" s="148"/>
      <c r="Y12" s="451" t="s">
        <v>150</v>
      </c>
      <c r="Z12" s="452"/>
      <c r="AA12" s="448" t="s">
        <v>151</v>
      </c>
      <c r="AB12" s="449"/>
      <c r="AC12" s="450"/>
      <c r="AD12" s="139">
        <v>4</v>
      </c>
      <c r="AE12" s="124"/>
      <c r="AF12" s="124"/>
      <c r="AG12" s="133"/>
      <c r="AH12" s="133"/>
      <c r="AI12" s="133" t="s">
        <v>165</v>
      </c>
      <c r="AJ12" s="133"/>
      <c r="AK12" s="133"/>
      <c r="AL12" s="133"/>
      <c r="AM12" s="133"/>
      <c r="AN12" s="133"/>
      <c r="AO12" s="124"/>
      <c r="AP12" s="124"/>
      <c r="AQ12" s="124"/>
      <c r="AR12" s="124"/>
      <c r="AS12" s="131"/>
      <c r="AT12" s="137"/>
      <c r="AU12" s="137"/>
      <c r="AV12" s="137"/>
      <c r="AW12" s="137"/>
      <c r="AX12" s="137"/>
      <c r="AY12" s="137"/>
      <c r="AZ12" s="137"/>
      <c r="BA12" s="137"/>
      <c r="BB12" s="137"/>
      <c r="BC12" s="137"/>
      <c r="BD12" s="138"/>
    </row>
    <row r="13" spans="1:56" s="1" customFormat="1" ht="14.4" customHeight="1">
      <c r="A13" s="145">
        <f>IF(B13="","",COUNTA($B$8:B13))</f>
        <v>6</v>
      </c>
      <c r="B13" s="8" t="s">
        <v>166</v>
      </c>
      <c r="C13" s="127"/>
      <c r="D13" s="127"/>
      <c r="E13" s="127"/>
      <c r="F13" s="127"/>
      <c r="G13" s="127"/>
      <c r="H13" s="148"/>
      <c r="I13" s="128" t="s">
        <v>167</v>
      </c>
      <c r="J13" s="129"/>
      <c r="K13" s="129"/>
      <c r="L13" s="129"/>
      <c r="M13" s="129"/>
      <c r="N13" s="129"/>
      <c r="O13" s="129"/>
      <c r="P13" s="129"/>
      <c r="Q13" s="147"/>
      <c r="R13" s="8" t="s">
        <v>168</v>
      </c>
      <c r="S13" s="129"/>
      <c r="T13" s="129"/>
      <c r="U13" s="129"/>
      <c r="V13" s="129"/>
      <c r="W13" s="129"/>
      <c r="X13" s="148"/>
      <c r="Y13" s="8" t="s">
        <v>169</v>
      </c>
      <c r="Z13" s="132"/>
      <c r="AA13" s="448" t="s">
        <v>170</v>
      </c>
      <c r="AB13" s="449"/>
      <c r="AC13" s="450"/>
      <c r="AD13" s="139"/>
      <c r="AE13" s="124"/>
      <c r="AF13" s="124"/>
      <c r="AG13" s="133"/>
      <c r="AH13" s="133"/>
      <c r="AI13" s="133" t="s">
        <v>171</v>
      </c>
      <c r="AJ13" s="133"/>
      <c r="AK13" s="133"/>
      <c r="AL13" s="133"/>
      <c r="AM13" s="133"/>
      <c r="AN13" s="133"/>
      <c r="AO13" s="124"/>
      <c r="AP13" s="124"/>
      <c r="AQ13" s="124"/>
      <c r="AR13" s="124"/>
      <c r="AS13" s="131"/>
      <c r="AT13" s="137"/>
      <c r="AU13" s="137"/>
      <c r="AV13" s="137"/>
      <c r="AW13" s="137"/>
      <c r="AX13" s="137"/>
      <c r="AY13" s="137"/>
      <c r="AZ13" s="137"/>
      <c r="BA13" s="137"/>
      <c r="BB13" s="137"/>
      <c r="BC13" s="137"/>
      <c r="BD13" s="138"/>
    </row>
    <row r="14" spans="1:56" s="1" customFormat="1" ht="14.4" customHeight="1">
      <c r="A14" s="145">
        <f>IF(B14="","",COUNTA($B$8:B14))</f>
        <v>7</v>
      </c>
      <c r="B14" s="8" t="s">
        <v>174</v>
      </c>
      <c r="C14" s="127"/>
      <c r="D14" s="127"/>
      <c r="E14" s="127"/>
      <c r="F14" s="127"/>
      <c r="G14" s="127"/>
      <c r="H14" s="148"/>
      <c r="I14" s="128" t="s">
        <v>175</v>
      </c>
      <c r="J14" s="129"/>
      <c r="K14" s="129"/>
      <c r="L14" s="129"/>
      <c r="M14" s="129"/>
      <c r="N14" s="129"/>
      <c r="O14" s="129"/>
      <c r="P14" s="129"/>
      <c r="Q14" s="147"/>
      <c r="R14" s="8" t="s">
        <v>176</v>
      </c>
      <c r="S14" s="129"/>
      <c r="T14" s="129"/>
      <c r="U14" s="129"/>
      <c r="V14" s="129"/>
      <c r="W14" s="129"/>
      <c r="X14" s="148"/>
      <c r="Y14" s="8" t="s">
        <v>169</v>
      </c>
      <c r="Z14" s="132"/>
      <c r="AA14" s="448" t="s">
        <v>170</v>
      </c>
      <c r="AB14" s="449"/>
      <c r="AC14" s="450"/>
      <c r="AD14" s="188"/>
      <c r="AE14" s="124"/>
      <c r="AF14" s="124"/>
      <c r="AG14" s="133"/>
      <c r="AH14" s="133"/>
      <c r="AI14" s="133" t="s">
        <v>173</v>
      </c>
      <c r="AJ14" s="133"/>
      <c r="AK14" s="133"/>
      <c r="AL14" s="133"/>
      <c r="AM14" s="133"/>
      <c r="AN14" s="133"/>
      <c r="AO14" s="124"/>
      <c r="AP14" s="124"/>
      <c r="AQ14" s="124"/>
      <c r="AR14" s="124"/>
      <c r="AS14" s="131"/>
      <c r="AT14" s="137"/>
      <c r="AU14" s="137"/>
      <c r="AV14" s="137"/>
      <c r="AW14" s="137"/>
      <c r="AX14" s="137"/>
      <c r="AY14" s="137"/>
      <c r="AZ14" s="137"/>
      <c r="BA14" s="137"/>
      <c r="BB14" s="137"/>
      <c r="BC14" s="137"/>
      <c r="BD14" s="138"/>
    </row>
    <row r="15" spans="1:56" s="1" customFormat="1" ht="14.4" customHeight="1">
      <c r="A15" s="145">
        <f>IF(B15="","",COUNTA($B$8:B15))</f>
        <v>8</v>
      </c>
      <c r="B15" s="8" t="s">
        <v>172</v>
      </c>
      <c r="C15" s="127"/>
      <c r="D15" s="127"/>
      <c r="E15" s="127"/>
      <c r="F15" s="127"/>
      <c r="G15" s="127"/>
      <c r="H15" s="148"/>
      <c r="I15" s="128" t="s">
        <v>177</v>
      </c>
      <c r="J15" s="129"/>
      <c r="K15" s="129"/>
      <c r="L15" s="129"/>
      <c r="M15" s="129"/>
      <c r="N15" s="129"/>
      <c r="O15" s="129"/>
      <c r="P15" s="129"/>
      <c r="Q15" s="147"/>
      <c r="R15" s="8" t="s">
        <v>172</v>
      </c>
      <c r="S15" s="129"/>
      <c r="T15" s="129"/>
      <c r="U15" s="129"/>
      <c r="V15" s="129"/>
      <c r="W15" s="129"/>
      <c r="X15" s="148"/>
      <c r="Y15" s="8" t="s">
        <v>150</v>
      </c>
      <c r="Z15" s="132"/>
      <c r="AA15" s="448" t="s">
        <v>151</v>
      </c>
      <c r="AB15" s="449"/>
      <c r="AC15" s="450"/>
      <c r="AD15" s="188">
        <v>6</v>
      </c>
      <c r="AE15" s="124"/>
      <c r="AF15" s="124"/>
      <c r="AG15" s="133"/>
      <c r="AH15" s="133"/>
      <c r="AI15" s="133"/>
      <c r="AJ15" s="133"/>
      <c r="AK15" s="133"/>
      <c r="AL15" s="133"/>
      <c r="AM15" s="133"/>
      <c r="AN15" s="133"/>
      <c r="AO15" s="124"/>
      <c r="AP15" s="124"/>
      <c r="AQ15" s="124"/>
      <c r="AR15" s="124"/>
      <c r="AS15" s="131" t="s">
        <v>265</v>
      </c>
      <c r="AT15" s="137"/>
      <c r="AU15" s="137"/>
      <c r="AV15" s="137"/>
      <c r="AW15" s="137"/>
      <c r="AX15" s="137"/>
      <c r="AY15" s="137"/>
      <c r="AZ15" s="137"/>
      <c r="BA15" s="137"/>
      <c r="BB15" s="137"/>
      <c r="BC15" s="137"/>
      <c r="BD15" s="138"/>
    </row>
    <row r="16" spans="1:56" s="1" customFormat="1" ht="14.4" customHeight="1">
      <c r="A16" s="145">
        <f>IF(B16="","",COUNTA($B$8:B16))</f>
        <v>9</v>
      </c>
      <c r="B16" s="8" t="s">
        <v>178</v>
      </c>
      <c r="C16" s="127"/>
      <c r="D16" s="127"/>
      <c r="E16" s="127"/>
      <c r="F16" s="127"/>
      <c r="G16" s="127"/>
      <c r="H16" s="148"/>
      <c r="I16" s="128" t="s">
        <v>179</v>
      </c>
      <c r="J16" s="129"/>
      <c r="K16" s="129"/>
      <c r="L16" s="129"/>
      <c r="M16" s="129"/>
      <c r="N16" s="129"/>
      <c r="O16" s="129"/>
      <c r="P16" s="129"/>
      <c r="Q16" s="147"/>
      <c r="R16" s="8" t="s">
        <v>178</v>
      </c>
      <c r="S16" s="129"/>
      <c r="T16" s="129"/>
      <c r="U16" s="129"/>
      <c r="V16" s="129"/>
      <c r="W16" s="129"/>
      <c r="X16" s="148"/>
      <c r="Y16" s="451" t="s">
        <v>150</v>
      </c>
      <c r="Z16" s="452"/>
      <c r="AA16" s="448" t="s">
        <v>151</v>
      </c>
      <c r="AB16" s="449"/>
      <c r="AC16" s="450"/>
      <c r="AD16" s="139">
        <v>20</v>
      </c>
      <c r="AE16" s="124"/>
      <c r="AF16" s="124"/>
      <c r="AG16" s="133"/>
      <c r="AH16" s="133"/>
      <c r="AI16" s="133"/>
      <c r="AJ16" s="133"/>
      <c r="AK16" s="133"/>
      <c r="AL16" s="133"/>
      <c r="AM16" s="133"/>
      <c r="AN16" s="133"/>
      <c r="AO16" s="124"/>
      <c r="AP16" s="124"/>
      <c r="AQ16" s="124"/>
      <c r="AR16" s="124"/>
      <c r="AS16" s="131" t="s">
        <v>180</v>
      </c>
      <c r="AT16" s="137"/>
      <c r="AU16" s="137"/>
      <c r="AV16" s="137"/>
      <c r="AW16" s="137"/>
      <c r="AX16" s="137"/>
      <c r="AY16" s="137"/>
      <c r="AZ16" s="137"/>
      <c r="BA16" s="137"/>
      <c r="BB16" s="137"/>
      <c r="BC16" s="137"/>
      <c r="BD16" s="138"/>
    </row>
    <row r="17" spans="1:57" s="1" customFormat="1" ht="14.4" customHeight="1">
      <c r="A17" s="145">
        <f>IF(B17="","",COUNTA($B$8:B17))</f>
        <v>10</v>
      </c>
      <c r="B17" s="8" t="s">
        <v>181</v>
      </c>
      <c r="C17" s="127"/>
      <c r="D17" s="127"/>
      <c r="E17" s="127"/>
      <c r="F17" s="127"/>
      <c r="G17" s="127"/>
      <c r="H17" s="148"/>
      <c r="I17" s="128" t="s">
        <v>182</v>
      </c>
      <c r="J17" s="129"/>
      <c r="K17" s="129"/>
      <c r="L17" s="129"/>
      <c r="M17" s="129"/>
      <c r="N17" s="129"/>
      <c r="O17" s="129"/>
      <c r="P17" s="129"/>
      <c r="Q17" s="147"/>
      <c r="R17" s="8" t="s">
        <v>181</v>
      </c>
      <c r="S17" s="129"/>
      <c r="T17" s="129"/>
      <c r="U17" s="129"/>
      <c r="V17" s="129"/>
      <c r="W17" s="129"/>
      <c r="X17" s="147"/>
      <c r="Y17" s="451" t="s">
        <v>150</v>
      </c>
      <c r="Z17" s="452"/>
      <c r="AA17" s="448" t="s">
        <v>151</v>
      </c>
      <c r="AB17" s="449"/>
      <c r="AC17" s="450"/>
      <c r="AD17" s="139">
        <v>30</v>
      </c>
      <c r="AE17" s="124"/>
      <c r="AF17" s="124"/>
      <c r="AG17" s="133"/>
      <c r="AH17" s="133"/>
      <c r="AI17" s="133"/>
      <c r="AJ17" s="133"/>
      <c r="AK17" s="133"/>
      <c r="AL17" s="133"/>
      <c r="AM17" s="133"/>
      <c r="AN17" s="133"/>
      <c r="AO17" s="124"/>
      <c r="AP17" s="124"/>
      <c r="AQ17" s="124"/>
      <c r="AR17" s="124"/>
      <c r="AS17" s="131" t="s">
        <v>1470</v>
      </c>
      <c r="AT17" s="137"/>
      <c r="AU17" s="137"/>
      <c r="AV17" s="137"/>
      <c r="AW17" s="137"/>
      <c r="AX17" s="137"/>
      <c r="AY17" s="137"/>
      <c r="AZ17" s="137"/>
      <c r="BA17" s="137"/>
      <c r="BB17" s="137"/>
      <c r="BC17" s="137"/>
      <c r="BD17" s="138"/>
    </row>
    <row r="18" spans="1:57" s="1" customFormat="1" ht="14.4" customHeight="1">
      <c r="A18" s="145">
        <f>IF(B18="","",COUNTA($B$8:B18))</f>
        <v>11</v>
      </c>
      <c r="B18" s="8" t="s">
        <v>183</v>
      </c>
      <c r="C18" s="127"/>
      <c r="D18" s="127"/>
      <c r="E18" s="127"/>
      <c r="F18" s="127"/>
      <c r="G18" s="127"/>
      <c r="H18" s="148"/>
      <c r="I18" s="128" t="s">
        <v>184</v>
      </c>
      <c r="J18" s="129"/>
      <c r="K18" s="129"/>
      <c r="L18" s="129"/>
      <c r="M18" s="129"/>
      <c r="N18" s="129"/>
      <c r="O18" s="129"/>
      <c r="P18" s="129"/>
      <c r="Q18" s="147"/>
      <c r="R18" s="8" t="s">
        <v>183</v>
      </c>
      <c r="S18" s="129"/>
      <c r="T18" s="129"/>
      <c r="U18" s="129"/>
      <c r="V18" s="129"/>
      <c r="W18" s="129"/>
      <c r="X18" s="148"/>
      <c r="Y18" s="451" t="s">
        <v>150</v>
      </c>
      <c r="Z18" s="452"/>
      <c r="AA18" s="448" t="s">
        <v>151</v>
      </c>
      <c r="AB18" s="449"/>
      <c r="AC18" s="450"/>
      <c r="AD18" s="139">
        <v>1000</v>
      </c>
      <c r="AE18" s="124"/>
      <c r="AF18" s="124"/>
      <c r="AG18" s="133"/>
      <c r="AH18" s="133"/>
      <c r="AI18" s="133"/>
      <c r="AJ18" s="133"/>
      <c r="AK18" s="133"/>
      <c r="AL18" s="133"/>
      <c r="AM18" s="133"/>
      <c r="AN18" s="133"/>
      <c r="AO18" s="124"/>
      <c r="AP18" s="124"/>
      <c r="AQ18" s="124"/>
      <c r="AR18" s="124"/>
      <c r="AS18" s="131"/>
      <c r="AT18" s="137"/>
      <c r="AU18" s="137"/>
      <c r="AV18" s="137"/>
      <c r="AW18" s="137"/>
      <c r="AX18" s="137"/>
      <c r="AY18" s="137"/>
      <c r="AZ18" s="137"/>
      <c r="BA18" s="137"/>
      <c r="BB18" s="137"/>
      <c r="BC18" s="137"/>
      <c r="BD18" s="138"/>
    </row>
    <row r="19" spans="1:57" s="1" customFormat="1" ht="14.4" customHeight="1">
      <c r="A19" s="145">
        <f>IF(B19="","",COUNTA($B$8:B19))</f>
        <v>12</v>
      </c>
      <c r="B19" s="8" t="s">
        <v>185</v>
      </c>
      <c r="C19" s="127"/>
      <c r="D19" s="127"/>
      <c r="E19" s="127"/>
      <c r="F19" s="127"/>
      <c r="G19" s="127"/>
      <c r="H19" s="148"/>
      <c r="I19" s="128" t="s">
        <v>186</v>
      </c>
      <c r="J19" s="129"/>
      <c r="K19" s="129"/>
      <c r="L19" s="129"/>
      <c r="M19" s="129"/>
      <c r="N19" s="129"/>
      <c r="O19" s="129"/>
      <c r="P19" s="129"/>
      <c r="Q19" s="147"/>
      <c r="R19" s="8" t="s">
        <v>185</v>
      </c>
      <c r="S19" s="129"/>
      <c r="T19" s="129"/>
      <c r="U19" s="129"/>
      <c r="V19" s="129"/>
      <c r="W19" s="129"/>
      <c r="X19" s="148"/>
      <c r="Y19" s="451" t="s">
        <v>150</v>
      </c>
      <c r="Z19" s="452"/>
      <c r="AA19" s="448" t="s">
        <v>151</v>
      </c>
      <c r="AB19" s="449"/>
      <c r="AC19" s="450"/>
      <c r="AD19" s="139">
        <v>75</v>
      </c>
      <c r="AE19" s="124"/>
      <c r="AF19" s="124"/>
      <c r="AG19" s="133"/>
      <c r="AH19" s="133"/>
      <c r="AI19" s="133"/>
      <c r="AJ19" s="133" t="s">
        <v>161</v>
      </c>
      <c r="AK19" s="133"/>
      <c r="AL19" s="133"/>
      <c r="AM19" s="133"/>
      <c r="AN19" s="133"/>
      <c r="AO19" s="124"/>
      <c r="AP19" s="124"/>
      <c r="AQ19" s="124"/>
      <c r="AR19" s="124"/>
      <c r="AS19" s="233" t="s">
        <v>1468</v>
      </c>
      <c r="AT19" s="220"/>
      <c r="AU19" s="220"/>
      <c r="AV19" s="220"/>
      <c r="AW19" s="220"/>
      <c r="AX19" s="220"/>
      <c r="AY19" s="220"/>
      <c r="AZ19" s="220"/>
      <c r="BA19" s="137"/>
      <c r="BB19" s="137"/>
      <c r="BC19" s="137"/>
      <c r="BD19" s="138"/>
      <c r="BE19" s="1" t="s">
        <v>1480</v>
      </c>
    </row>
    <row r="20" spans="1:57" s="1" customFormat="1" ht="14.4" customHeight="1">
      <c r="A20" s="145">
        <f>IF(B20="","",COUNTA($B$8:B20))</f>
        <v>13</v>
      </c>
      <c r="B20" s="8" t="s">
        <v>187</v>
      </c>
      <c r="C20" s="127"/>
      <c r="D20" s="127"/>
      <c r="E20" s="127"/>
      <c r="F20" s="127"/>
      <c r="G20" s="127"/>
      <c r="H20" s="148"/>
      <c r="I20" s="128" t="s">
        <v>188</v>
      </c>
      <c r="J20" s="129"/>
      <c r="K20" s="129"/>
      <c r="L20" s="129"/>
      <c r="M20" s="129"/>
      <c r="N20" s="129"/>
      <c r="O20" s="129"/>
      <c r="P20" s="129"/>
      <c r="Q20" s="147"/>
      <c r="R20" s="8" t="s">
        <v>187</v>
      </c>
      <c r="S20" s="129"/>
      <c r="T20" s="129"/>
      <c r="U20" s="129"/>
      <c r="V20" s="129"/>
      <c r="W20" s="129"/>
      <c r="X20" s="148"/>
      <c r="Y20" s="451" t="s">
        <v>155</v>
      </c>
      <c r="Z20" s="452"/>
      <c r="AA20" s="448" t="s">
        <v>156</v>
      </c>
      <c r="AB20" s="449"/>
      <c r="AC20" s="450"/>
      <c r="AD20" s="139">
        <v>3</v>
      </c>
      <c r="AE20" s="124"/>
      <c r="AF20" s="124"/>
      <c r="AG20" s="134"/>
      <c r="AH20" s="134"/>
      <c r="AI20" s="134"/>
      <c r="AJ20" s="134"/>
      <c r="AK20" s="134"/>
      <c r="AL20" s="134"/>
      <c r="AM20" s="134"/>
      <c r="AN20" s="134"/>
      <c r="AO20" s="135"/>
      <c r="AP20" s="135"/>
      <c r="AQ20" s="135"/>
      <c r="AR20" s="135"/>
      <c r="AS20" s="254"/>
      <c r="AT20" s="259"/>
      <c r="AU20" s="220"/>
      <c r="AV20" s="220"/>
      <c r="AW20" s="220"/>
      <c r="AX20" s="260"/>
      <c r="AY20" s="260"/>
      <c r="AZ20" s="260"/>
      <c r="BA20" s="186"/>
      <c r="BB20" s="186"/>
      <c r="BC20" s="186"/>
      <c r="BD20" s="187"/>
    </row>
    <row r="21" spans="1:57" s="1" customFormat="1" ht="14.4" customHeight="1">
      <c r="A21" s="145">
        <f>IF(B21="","",COUNTA($B$8:B21))</f>
        <v>14</v>
      </c>
      <c r="B21" s="8" t="s">
        <v>189</v>
      </c>
      <c r="C21" s="127"/>
      <c r="D21" s="127"/>
      <c r="E21" s="127"/>
      <c r="F21" s="127"/>
      <c r="G21" s="127"/>
      <c r="H21" s="148"/>
      <c r="I21" s="128" t="s">
        <v>190</v>
      </c>
      <c r="J21" s="129"/>
      <c r="K21" s="129"/>
      <c r="L21" s="129"/>
      <c r="M21" s="129"/>
      <c r="N21" s="129"/>
      <c r="O21" s="129"/>
      <c r="P21" s="129"/>
      <c r="Q21" s="147"/>
      <c r="R21" s="8" t="s">
        <v>189</v>
      </c>
      <c r="S21" s="129"/>
      <c r="T21" s="129"/>
      <c r="U21" s="129"/>
      <c r="V21" s="129"/>
      <c r="W21" s="129"/>
      <c r="X21" s="148"/>
      <c r="Y21" s="451" t="s">
        <v>155</v>
      </c>
      <c r="Z21" s="452"/>
      <c r="AA21" s="448" t="s">
        <v>156</v>
      </c>
      <c r="AB21" s="449"/>
      <c r="AC21" s="450"/>
      <c r="AD21" s="139">
        <v>3</v>
      </c>
      <c r="AE21" s="135"/>
      <c r="AF21" s="135"/>
      <c r="AG21" s="134"/>
      <c r="AH21" s="134">
        <v>0</v>
      </c>
      <c r="AI21" s="134"/>
      <c r="AJ21" s="134"/>
      <c r="AK21" s="134"/>
      <c r="AL21" s="134"/>
      <c r="AM21" s="134"/>
      <c r="AN21" s="134"/>
      <c r="AO21" s="135"/>
      <c r="AP21" s="135"/>
      <c r="AQ21" s="135"/>
      <c r="AR21" s="135"/>
      <c r="AS21" s="254" t="s">
        <v>191</v>
      </c>
      <c r="AT21" s="259"/>
      <c r="AU21" s="220"/>
      <c r="AV21" s="220"/>
      <c r="AW21" s="220"/>
      <c r="AX21" s="220"/>
      <c r="AY21" s="220"/>
      <c r="AZ21" s="220"/>
      <c r="BA21" s="137"/>
      <c r="BB21" s="137"/>
      <c r="BC21" s="137"/>
      <c r="BD21" s="138"/>
    </row>
    <row r="22" spans="1:57" s="1" customFormat="1" ht="14.4" customHeight="1">
      <c r="A22" s="145" t="str">
        <f>IF(B22="","",COUNTA($B$8:B22))</f>
        <v/>
      </c>
      <c r="B22" s="8"/>
      <c r="C22" s="127"/>
      <c r="D22" s="127"/>
      <c r="E22" s="127"/>
      <c r="F22" s="127"/>
      <c r="G22" s="127"/>
      <c r="H22" s="148"/>
      <c r="I22" s="128"/>
      <c r="J22" s="129"/>
      <c r="K22" s="129"/>
      <c r="L22" s="129"/>
      <c r="M22" s="129"/>
      <c r="N22" s="129"/>
      <c r="O22" s="129"/>
      <c r="P22" s="129"/>
      <c r="Q22" s="147"/>
      <c r="R22" s="8"/>
      <c r="S22" s="129"/>
      <c r="T22" s="129"/>
      <c r="U22" s="129"/>
      <c r="V22" s="129"/>
      <c r="W22" s="129"/>
      <c r="X22" s="148"/>
      <c r="Y22" s="451"/>
      <c r="Z22" s="452"/>
      <c r="AA22" s="448"/>
      <c r="AB22" s="449"/>
      <c r="AC22" s="450"/>
      <c r="AD22" s="139"/>
      <c r="AE22" s="135"/>
      <c r="AF22" s="135"/>
      <c r="AG22" s="134"/>
      <c r="AH22" s="134"/>
      <c r="AI22" s="134"/>
      <c r="AJ22" s="134"/>
      <c r="AK22" s="134"/>
      <c r="AL22" s="134"/>
      <c r="AM22" s="134"/>
      <c r="AN22" s="134"/>
      <c r="AO22" s="135"/>
      <c r="AP22" s="135"/>
      <c r="AQ22" s="135"/>
      <c r="AR22" s="135"/>
      <c r="AS22" s="254" t="s">
        <v>192</v>
      </c>
      <c r="AT22" s="259"/>
      <c r="AU22" s="220"/>
      <c r="AV22" s="220"/>
      <c r="AW22" s="220"/>
      <c r="AX22" s="220"/>
      <c r="AY22" s="220"/>
      <c r="AZ22" s="220"/>
      <c r="BA22" s="137"/>
      <c r="BB22" s="137"/>
      <c r="BC22" s="137"/>
      <c r="BD22" s="138"/>
    </row>
    <row r="23" spans="1:57" s="1" customFormat="1" ht="14.4" customHeight="1">
      <c r="A23" s="145">
        <f>IF(B23="","",COUNTA($B$8:B23))</f>
        <v>15</v>
      </c>
      <c r="B23" s="64" t="s">
        <v>193</v>
      </c>
      <c r="C23" s="2"/>
      <c r="D23" s="2"/>
      <c r="E23" s="2"/>
      <c r="F23" s="2"/>
      <c r="G23" s="2"/>
      <c r="H23" s="3"/>
      <c r="I23" s="128" t="s">
        <v>194</v>
      </c>
      <c r="J23" s="129"/>
      <c r="K23" s="129"/>
      <c r="L23" s="129"/>
      <c r="M23" s="129"/>
      <c r="N23" s="129"/>
      <c r="O23" s="129"/>
      <c r="P23" s="129"/>
      <c r="Q23" s="147"/>
      <c r="R23" s="64" t="s">
        <v>193</v>
      </c>
      <c r="S23" s="129"/>
      <c r="T23" s="129"/>
      <c r="U23" s="129"/>
      <c r="V23" s="129"/>
      <c r="W23" s="129"/>
      <c r="X23" s="148"/>
      <c r="Y23" s="451" t="s">
        <v>150</v>
      </c>
      <c r="Z23" s="452"/>
      <c r="AA23" s="448" t="s">
        <v>151</v>
      </c>
      <c r="AB23" s="449"/>
      <c r="AC23" s="450"/>
      <c r="AD23" s="139">
        <v>25</v>
      </c>
      <c r="AE23" s="124"/>
      <c r="AF23" s="124"/>
      <c r="AG23" s="133"/>
      <c r="AH23" s="133"/>
      <c r="AI23" s="133"/>
      <c r="AJ23" s="133"/>
      <c r="AK23" s="133"/>
      <c r="AL23" s="133"/>
      <c r="AM23" s="133"/>
      <c r="AN23" s="133"/>
      <c r="AO23" s="124"/>
      <c r="AP23" s="124"/>
      <c r="AQ23" s="124"/>
      <c r="AR23" s="124"/>
      <c r="AS23" s="233" t="s">
        <v>1469</v>
      </c>
      <c r="AT23" s="260"/>
      <c r="AU23" s="260"/>
      <c r="AV23" s="260"/>
      <c r="AW23" s="260"/>
      <c r="AX23" s="260"/>
      <c r="AY23" s="260"/>
      <c r="AZ23" s="260"/>
      <c r="BA23" s="186"/>
      <c r="BB23" s="186"/>
      <c r="BC23" s="186"/>
      <c r="BD23" s="187"/>
      <c r="BE23" s="1" t="s">
        <v>1480</v>
      </c>
    </row>
    <row r="24" spans="1:57" s="1" customFormat="1" ht="14.4" customHeight="1">
      <c r="A24" s="145">
        <f>IF(B24="","",COUNTA($B$8:B24))</f>
        <v>16</v>
      </c>
      <c r="B24" s="8" t="s">
        <v>195</v>
      </c>
      <c r="C24" s="127"/>
      <c r="D24" s="127"/>
      <c r="E24" s="127"/>
      <c r="F24" s="127"/>
      <c r="G24" s="127"/>
      <c r="H24" s="148"/>
      <c r="I24" s="128" t="s">
        <v>196</v>
      </c>
      <c r="J24" s="129"/>
      <c r="K24" s="129"/>
      <c r="L24" s="129"/>
      <c r="M24" s="129"/>
      <c r="N24" s="129"/>
      <c r="O24" s="129"/>
      <c r="P24" s="129"/>
      <c r="Q24" s="147"/>
      <c r="R24" s="8" t="s">
        <v>195</v>
      </c>
      <c r="S24" s="129"/>
      <c r="T24" s="129"/>
      <c r="U24" s="129"/>
      <c r="V24" s="129"/>
      <c r="W24" s="129"/>
      <c r="X24" s="148"/>
      <c r="Y24" s="451" t="s">
        <v>150</v>
      </c>
      <c r="Z24" s="452"/>
      <c r="AA24" s="448" t="s">
        <v>151</v>
      </c>
      <c r="AB24" s="449"/>
      <c r="AC24" s="450"/>
      <c r="AD24" s="139">
        <v>30</v>
      </c>
      <c r="AE24" s="124"/>
      <c r="AF24" s="124"/>
      <c r="AG24" s="133"/>
      <c r="AH24" s="133"/>
      <c r="AI24" s="133"/>
      <c r="AJ24" s="133"/>
      <c r="AK24" s="133"/>
      <c r="AL24" s="133"/>
      <c r="AM24" s="133"/>
      <c r="AN24" s="133"/>
      <c r="AO24" s="124"/>
      <c r="AP24" s="124"/>
      <c r="AQ24" s="124"/>
      <c r="AR24" s="124"/>
      <c r="AS24" s="131"/>
      <c r="AT24" s="137"/>
      <c r="AU24" s="137"/>
      <c r="AV24" s="137"/>
      <c r="AW24" s="137"/>
      <c r="AX24" s="137"/>
      <c r="AY24" s="137"/>
      <c r="AZ24" s="137"/>
      <c r="BA24" s="137"/>
      <c r="BB24" s="137"/>
      <c r="BC24" s="137"/>
      <c r="BD24" s="138"/>
    </row>
    <row r="25" spans="1:57" s="1" customFormat="1" ht="14.4" customHeight="1">
      <c r="A25" s="145">
        <f>IF(B25="","",COUNTA($B$8:B25))</f>
        <v>17</v>
      </c>
      <c r="B25" s="8" t="s">
        <v>197</v>
      </c>
      <c r="C25" s="127"/>
      <c r="D25" s="127"/>
      <c r="E25" s="127"/>
      <c r="F25" s="127"/>
      <c r="G25" s="127"/>
      <c r="H25" s="148"/>
      <c r="I25" s="128" t="s">
        <v>198</v>
      </c>
      <c r="J25" s="129"/>
      <c r="K25" s="129"/>
      <c r="L25" s="129"/>
      <c r="M25" s="129"/>
      <c r="N25" s="129"/>
      <c r="O25" s="129"/>
      <c r="P25" s="129"/>
      <c r="Q25" s="147"/>
      <c r="R25" s="8" t="s">
        <v>197</v>
      </c>
      <c r="S25" s="129"/>
      <c r="T25" s="129"/>
      <c r="U25" s="129"/>
      <c r="V25" s="129"/>
      <c r="W25" s="129"/>
      <c r="X25" s="148"/>
      <c r="Y25" s="451" t="s">
        <v>150</v>
      </c>
      <c r="Z25" s="452"/>
      <c r="AA25" s="448" t="s">
        <v>151</v>
      </c>
      <c r="AB25" s="449"/>
      <c r="AC25" s="450"/>
      <c r="AD25" s="139">
        <v>5</v>
      </c>
      <c r="AE25" s="124"/>
      <c r="AF25" s="124"/>
      <c r="AG25" s="133"/>
      <c r="AH25" s="133"/>
      <c r="AI25" s="133"/>
      <c r="AJ25" s="133"/>
      <c r="AK25" s="133"/>
      <c r="AL25" s="133"/>
      <c r="AM25" s="133"/>
      <c r="AN25" s="133"/>
      <c r="AO25" s="124"/>
      <c r="AP25" s="124"/>
      <c r="AQ25" s="124"/>
      <c r="AR25" s="124"/>
      <c r="AS25" s="131"/>
      <c r="AT25" s="137"/>
      <c r="AU25" s="137"/>
      <c r="AV25" s="137"/>
      <c r="AW25" s="137"/>
      <c r="AX25" s="137"/>
      <c r="AY25" s="137"/>
      <c r="AZ25" s="137"/>
      <c r="BA25" s="137"/>
      <c r="BB25" s="137"/>
      <c r="BC25" s="137"/>
      <c r="BD25" s="138"/>
    </row>
    <row r="26" spans="1:57" s="1" customFormat="1" ht="14.4" customHeight="1">
      <c r="A26" s="145">
        <f>IF(B26="","",COUNTA($B$8:B26))</f>
        <v>18</v>
      </c>
      <c r="B26" s="8" t="s">
        <v>199</v>
      </c>
      <c r="C26" s="127"/>
      <c r="D26" s="127"/>
      <c r="E26" s="127"/>
      <c r="F26" s="127"/>
      <c r="G26" s="127"/>
      <c r="H26" s="148"/>
      <c r="I26" s="128" t="s">
        <v>200</v>
      </c>
      <c r="J26" s="129"/>
      <c r="K26" s="129"/>
      <c r="L26" s="129"/>
      <c r="M26" s="129"/>
      <c r="N26" s="129"/>
      <c r="O26" s="129"/>
      <c r="P26" s="129"/>
      <c r="Q26" s="147"/>
      <c r="R26" s="8" t="s">
        <v>199</v>
      </c>
      <c r="S26" s="129"/>
      <c r="T26" s="129"/>
      <c r="U26" s="129"/>
      <c r="V26" s="129"/>
      <c r="W26" s="129"/>
      <c r="X26" s="148"/>
      <c r="Y26" s="451" t="s">
        <v>150</v>
      </c>
      <c r="Z26" s="452"/>
      <c r="AA26" s="448" t="s">
        <v>151</v>
      </c>
      <c r="AB26" s="449"/>
      <c r="AC26" s="450"/>
      <c r="AD26" s="139">
        <v>20</v>
      </c>
      <c r="AE26" s="124"/>
      <c r="AF26" s="124"/>
      <c r="AG26" s="133"/>
      <c r="AH26" s="133"/>
      <c r="AI26" s="133"/>
      <c r="AJ26" s="133"/>
      <c r="AK26" s="133"/>
      <c r="AL26" s="133"/>
      <c r="AM26" s="133"/>
      <c r="AN26" s="133"/>
      <c r="AO26" s="124"/>
      <c r="AP26" s="124"/>
      <c r="AQ26" s="124"/>
      <c r="AR26" s="124"/>
      <c r="AS26" s="131"/>
      <c r="AT26" s="137"/>
      <c r="AU26" s="137"/>
      <c r="AV26" s="137"/>
      <c r="AW26" s="137"/>
      <c r="AX26" s="137"/>
      <c r="AY26" s="137"/>
      <c r="AZ26" s="137"/>
      <c r="BA26" s="137"/>
      <c r="BB26" s="137"/>
      <c r="BC26" s="137"/>
      <c r="BD26" s="138"/>
    </row>
    <row r="27" spans="1:57" s="1" customFormat="1" ht="14.4" customHeight="1">
      <c r="A27" s="145">
        <f>IF(B27="","",COUNTA($B$8:B27))</f>
        <v>19</v>
      </c>
      <c r="B27" s="8" t="s">
        <v>201</v>
      </c>
      <c r="C27" s="127"/>
      <c r="D27" s="127"/>
      <c r="E27" s="127"/>
      <c r="F27" s="127"/>
      <c r="G27" s="127"/>
      <c r="H27" s="148"/>
      <c r="I27" s="128" t="s">
        <v>202</v>
      </c>
      <c r="J27" s="129"/>
      <c r="K27" s="129"/>
      <c r="L27" s="129"/>
      <c r="M27" s="129"/>
      <c r="N27" s="129"/>
      <c r="O27" s="129"/>
      <c r="P27" s="129"/>
      <c r="Q27" s="147"/>
      <c r="R27" s="8" t="s">
        <v>201</v>
      </c>
      <c r="S27" s="129"/>
      <c r="T27" s="129"/>
      <c r="U27" s="129"/>
      <c r="V27" s="129"/>
      <c r="W27" s="129"/>
      <c r="X27" s="148"/>
      <c r="Y27" s="451" t="s">
        <v>150</v>
      </c>
      <c r="Z27" s="452"/>
      <c r="AA27" s="448" t="s">
        <v>151</v>
      </c>
      <c r="AB27" s="449"/>
      <c r="AC27" s="450"/>
      <c r="AD27" s="139">
        <v>30</v>
      </c>
      <c r="AE27" s="124"/>
      <c r="AF27" s="124"/>
      <c r="AG27" s="133"/>
      <c r="AH27" s="133"/>
      <c r="AI27" s="133"/>
      <c r="AJ27" s="133"/>
      <c r="AK27" s="133"/>
      <c r="AL27" s="133"/>
      <c r="AM27" s="133"/>
      <c r="AN27" s="133"/>
      <c r="AO27" s="124"/>
      <c r="AP27" s="124"/>
      <c r="AQ27" s="124"/>
      <c r="AR27" s="124"/>
      <c r="AS27" s="131"/>
      <c r="AT27" s="137"/>
      <c r="AU27" s="137"/>
      <c r="AV27" s="137"/>
      <c r="AW27" s="137"/>
      <c r="AX27" s="137"/>
      <c r="AY27" s="137"/>
      <c r="AZ27" s="137"/>
      <c r="BA27" s="137"/>
      <c r="BB27" s="137"/>
      <c r="BC27" s="137"/>
      <c r="BD27" s="138"/>
    </row>
    <row r="28" spans="1:57" s="1" customFormat="1" ht="14.4" customHeight="1">
      <c r="A28" s="145">
        <f>IF(B28="","",COUNTA($B$8:B28))</f>
        <v>20</v>
      </c>
      <c r="B28" s="146" t="s">
        <v>203</v>
      </c>
      <c r="C28" s="127"/>
      <c r="D28" s="127"/>
      <c r="E28" s="127"/>
      <c r="F28" s="127"/>
      <c r="G28" s="127"/>
      <c r="H28" s="148"/>
      <c r="I28" s="128" t="s">
        <v>204</v>
      </c>
      <c r="J28" s="129"/>
      <c r="K28" s="129"/>
      <c r="L28" s="129"/>
      <c r="M28" s="129"/>
      <c r="N28" s="129"/>
      <c r="O28" s="129"/>
      <c r="P28" s="129"/>
      <c r="Q28" s="147"/>
      <c r="R28" s="146" t="s">
        <v>203</v>
      </c>
      <c r="S28" s="129"/>
      <c r="T28" s="129"/>
      <c r="U28" s="129"/>
      <c r="V28" s="129"/>
      <c r="W28" s="129"/>
      <c r="X28" s="148"/>
      <c r="Y28" s="451" t="s">
        <v>155</v>
      </c>
      <c r="Z28" s="452"/>
      <c r="AA28" s="448" t="s">
        <v>156</v>
      </c>
      <c r="AB28" s="449"/>
      <c r="AC28" s="450"/>
      <c r="AD28" s="139">
        <v>5</v>
      </c>
      <c r="AE28" s="124">
        <v>2</v>
      </c>
      <c r="AF28" s="124"/>
      <c r="AG28" s="133"/>
      <c r="AH28" s="133"/>
      <c r="AI28" s="133"/>
      <c r="AJ28" s="133"/>
      <c r="AK28" s="133"/>
      <c r="AL28" s="133"/>
      <c r="AM28" s="133"/>
      <c r="AN28" s="133"/>
      <c r="AO28" s="124"/>
      <c r="AP28" s="124"/>
      <c r="AQ28" s="124"/>
      <c r="AR28" s="124"/>
      <c r="AS28" s="131"/>
      <c r="AT28" s="137"/>
      <c r="AU28" s="137"/>
      <c r="AV28" s="137"/>
      <c r="AW28" s="137"/>
      <c r="AX28" s="137"/>
      <c r="AY28" s="137"/>
      <c r="AZ28" s="137"/>
      <c r="BA28" s="137"/>
      <c r="BB28" s="137"/>
      <c r="BC28" s="137"/>
      <c r="BD28" s="138"/>
    </row>
    <row r="29" spans="1:57" s="1" customFormat="1" ht="14.4" customHeight="1">
      <c r="A29" s="145">
        <f>IF(B29="","",COUNTA($B$8:B29))</f>
        <v>21</v>
      </c>
      <c r="B29" s="146" t="s">
        <v>205</v>
      </c>
      <c r="C29" s="2"/>
      <c r="D29" s="2"/>
      <c r="E29" s="2"/>
      <c r="F29" s="2"/>
      <c r="G29" s="2"/>
      <c r="H29" s="3"/>
      <c r="I29" s="128" t="s">
        <v>206</v>
      </c>
      <c r="J29" s="129"/>
      <c r="K29" s="129"/>
      <c r="L29" s="129"/>
      <c r="M29" s="129"/>
      <c r="N29" s="129"/>
      <c r="O29" s="129"/>
      <c r="P29" s="129"/>
      <c r="Q29" s="147"/>
      <c r="R29" s="146" t="s">
        <v>207</v>
      </c>
      <c r="S29" s="129"/>
      <c r="T29" s="129"/>
      <c r="U29" s="129"/>
      <c r="V29" s="129"/>
      <c r="W29" s="129"/>
      <c r="X29" s="148"/>
      <c r="Y29" s="451" t="s">
        <v>155</v>
      </c>
      <c r="Z29" s="452"/>
      <c r="AA29" s="448" t="s">
        <v>156</v>
      </c>
      <c r="AB29" s="449"/>
      <c r="AC29" s="450"/>
      <c r="AD29" s="139">
        <v>4</v>
      </c>
      <c r="AE29" s="124"/>
      <c r="AF29" s="124"/>
      <c r="AG29" s="133"/>
      <c r="AH29" s="133"/>
      <c r="AI29" s="133"/>
      <c r="AJ29" s="133"/>
      <c r="AK29" s="133"/>
      <c r="AL29" s="133"/>
      <c r="AM29" s="133"/>
      <c r="AN29" s="133"/>
      <c r="AO29" s="124"/>
      <c r="AP29" s="124"/>
      <c r="AQ29" s="124"/>
      <c r="AR29" s="124"/>
      <c r="AS29" s="131"/>
      <c r="AT29" s="137"/>
      <c r="AU29" s="137"/>
      <c r="AV29" s="137"/>
      <c r="AW29" s="137"/>
      <c r="AX29" s="137"/>
      <c r="AY29" s="137"/>
      <c r="AZ29" s="137"/>
      <c r="BA29" s="137"/>
      <c r="BB29" s="137"/>
      <c r="BC29" s="137"/>
      <c r="BD29" s="138"/>
    </row>
    <row r="30" spans="1:57" s="1" customFormat="1" ht="14.4" customHeight="1">
      <c r="A30" s="145">
        <f>IF(B30="","",COUNTA($B$8:B30))</f>
        <v>22</v>
      </c>
      <c r="B30" s="146" t="s">
        <v>208</v>
      </c>
      <c r="C30" s="2"/>
      <c r="D30" s="2"/>
      <c r="E30" s="2"/>
      <c r="F30" s="2"/>
      <c r="G30" s="2"/>
      <c r="H30" s="3"/>
      <c r="I30" s="128" t="s">
        <v>209</v>
      </c>
      <c r="J30" s="129"/>
      <c r="K30" s="129"/>
      <c r="L30" s="129"/>
      <c r="M30" s="129"/>
      <c r="N30" s="129"/>
      <c r="O30" s="129"/>
      <c r="P30" s="129"/>
      <c r="Q30" s="147"/>
      <c r="R30" s="146" t="s">
        <v>210</v>
      </c>
      <c r="S30" s="129"/>
      <c r="T30" s="129"/>
      <c r="U30" s="129"/>
      <c r="V30" s="129"/>
      <c r="W30" s="129"/>
      <c r="X30" s="148"/>
      <c r="Y30" s="451" t="s">
        <v>155</v>
      </c>
      <c r="Z30" s="452"/>
      <c r="AA30" s="448" t="s">
        <v>156</v>
      </c>
      <c r="AB30" s="449"/>
      <c r="AC30" s="450"/>
      <c r="AD30" s="139">
        <v>5</v>
      </c>
      <c r="AE30" s="124"/>
      <c r="AF30" s="124"/>
      <c r="AG30" s="133"/>
      <c r="AH30" s="133"/>
      <c r="AI30" s="133"/>
      <c r="AJ30" s="133"/>
      <c r="AK30" s="133"/>
      <c r="AL30" s="133"/>
      <c r="AM30" s="133"/>
      <c r="AN30" s="133"/>
      <c r="AO30" s="124"/>
      <c r="AP30" s="124"/>
      <c r="AQ30" s="124"/>
      <c r="AR30" s="124"/>
      <c r="AS30" s="131"/>
      <c r="AT30" s="137"/>
      <c r="AU30" s="137"/>
      <c r="AV30" s="137"/>
      <c r="AW30" s="137"/>
      <c r="AX30" s="137"/>
      <c r="AY30" s="137"/>
      <c r="AZ30" s="137"/>
      <c r="BA30" s="137"/>
      <c r="BB30" s="137"/>
      <c r="BC30" s="137"/>
      <c r="BD30" s="138"/>
    </row>
    <row r="31" spans="1:57" s="1" customFormat="1" ht="14.4" customHeight="1">
      <c r="A31" s="145">
        <f>IF(B31="","",COUNTA($B$8:B31))</f>
        <v>23</v>
      </c>
      <c r="B31" s="146" t="s">
        <v>211</v>
      </c>
      <c r="C31" s="127"/>
      <c r="D31" s="127"/>
      <c r="E31" s="127"/>
      <c r="F31" s="127"/>
      <c r="G31" s="127"/>
      <c r="H31" s="148"/>
      <c r="I31" s="128" t="s">
        <v>212</v>
      </c>
      <c r="J31" s="129"/>
      <c r="K31" s="129"/>
      <c r="L31" s="129"/>
      <c r="M31" s="129"/>
      <c r="N31" s="129"/>
      <c r="O31" s="129"/>
      <c r="P31" s="129"/>
      <c r="Q31" s="147"/>
      <c r="R31" s="146" t="s">
        <v>213</v>
      </c>
      <c r="S31" s="129"/>
      <c r="T31" s="129"/>
      <c r="U31" s="129"/>
      <c r="V31" s="129"/>
      <c r="W31" s="129"/>
      <c r="X31" s="148"/>
      <c r="Y31" s="451" t="s">
        <v>155</v>
      </c>
      <c r="Z31" s="452"/>
      <c r="AA31" s="448" t="s">
        <v>156</v>
      </c>
      <c r="AB31" s="449"/>
      <c r="AC31" s="450"/>
      <c r="AD31" s="139">
        <v>5</v>
      </c>
      <c r="AE31" s="124"/>
      <c r="AF31" s="124"/>
      <c r="AG31" s="133"/>
      <c r="AH31" s="133"/>
      <c r="AI31" s="133"/>
      <c r="AJ31" s="133"/>
      <c r="AK31" s="133"/>
      <c r="AL31" s="133"/>
      <c r="AM31" s="133"/>
      <c r="AN31" s="133"/>
      <c r="AO31" s="124"/>
      <c r="AP31" s="124"/>
      <c r="AQ31" s="124"/>
      <c r="AR31" s="124"/>
      <c r="AS31" s="131"/>
      <c r="AT31" s="137"/>
      <c r="AU31" s="137"/>
      <c r="AV31" s="137"/>
      <c r="AW31" s="137"/>
      <c r="AX31" s="137"/>
      <c r="AY31" s="137"/>
      <c r="AZ31" s="137"/>
      <c r="BA31" s="137"/>
      <c r="BB31" s="137"/>
      <c r="BC31" s="137"/>
      <c r="BD31" s="138"/>
    </row>
    <row r="32" spans="1:57" s="1" customFormat="1" ht="14.4" customHeight="1">
      <c r="A32" s="145">
        <f>IF(B32="","",COUNTA($B$8:B32))</f>
        <v>24</v>
      </c>
      <c r="B32" s="146" t="s">
        <v>214</v>
      </c>
      <c r="C32" s="127"/>
      <c r="D32" s="127"/>
      <c r="E32" s="127"/>
      <c r="F32" s="127"/>
      <c r="G32" s="127"/>
      <c r="H32" s="148"/>
      <c r="I32" s="128" t="s">
        <v>215</v>
      </c>
      <c r="J32" s="129"/>
      <c r="K32" s="129"/>
      <c r="L32" s="129"/>
      <c r="M32" s="129"/>
      <c r="N32" s="129"/>
      <c r="O32" s="129"/>
      <c r="P32" s="129"/>
      <c r="Q32" s="147"/>
      <c r="R32" s="146" t="s">
        <v>216</v>
      </c>
      <c r="S32" s="129"/>
      <c r="T32" s="129"/>
      <c r="U32" s="129"/>
      <c r="V32" s="129"/>
      <c r="W32" s="129"/>
      <c r="X32" s="148"/>
      <c r="Y32" s="451" t="s">
        <v>155</v>
      </c>
      <c r="Z32" s="452"/>
      <c r="AA32" s="448" t="s">
        <v>156</v>
      </c>
      <c r="AB32" s="449"/>
      <c r="AC32" s="450"/>
      <c r="AD32" s="139">
        <v>5</v>
      </c>
      <c r="AE32" s="124"/>
      <c r="AF32" s="124"/>
      <c r="AG32" s="133"/>
      <c r="AH32" s="133"/>
      <c r="AI32" s="133"/>
      <c r="AJ32" s="133"/>
      <c r="AK32" s="133"/>
      <c r="AL32" s="133"/>
      <c r="AM32" s="133"/>
      <c r="AN32" s="133"/>
      <c r="AO32" s="124"/>
      <c r="AP32" s="124"/>
      <c r="AQ32" s="124"/>
      <c r="AR32" s="124"/>
      <c r="AS32" s="131"/>
      <c r="AT32" s="137"/>
      <c r="AU32" s="137"/>
      <c r="AV32" s="137"/>
      <c r="AW32" s="137"/>
      <c r="AX32" s="137"/>
      <c r="AY32" s="137"/>
      <c r="AZ32" s="137"/>
      <c r="BA32" s="137"/>
      <c r="BB32" s="137"/>
      <c r="BC32" s="137"/>
      <c r="BD32" s="138"/>
    </row>
    <row r="33" spans="1:57" s="1" customFormat="1" ht="14.4" customHeight="1">
      <c r="A33" s="145">
        <f>IF(B33="","",COUNTA($B$8:B33))</f>
        <v>25</v>
      </c>
      <c r="B33" s="146" t="s">
        <v>217</v>
      </c>
      <c r="C33" s="127"/>
      <c r="D33" s="127"/>
      <c r="E33" s="127"/>
      <c r="F33" s="127"/>
      <c r="G33" s="127"/>
      <c r="H33" s="148"/>
      <c r="I33" s="128" t="s">
        <v>218</v>
      </c>
      <c r="J33" s="129"/>
      <c r="K33" s="129"/>
      <c r="L33" s="129"/>
      <c r="M33" s="129"/>
      <c r="N33" s="129"/>
      <c r="O33" s="129"/>
      <c r="P33" s="129"/>
      <c r="Q33" s="147"/>
      <c r="R33" s="146" t="s">
        <v>219</v>
      </c>
      <c r="S33" s="129"/>
      <c r="T33" s="129"/>
      <c r="U33" s="129"/>
      <c r="V33" s="129"/>
      <c r="W33" s="129"/>
      <c r="X33" s="148"/>
      <c r="Y33" s="451" t="s">
        <v>155</v>
      </c>
      <c r="Z33" s="452"/>
      <c r="AA33" s="448" t="s">
        <v>156</v>
      </c>
      <c r="AB33" s="449"/>
      <c r="AC33" s="450"/>
      <c r="AD33" s="197">
        <v>5</v>
      </c>
      <c r="AE33" s="124"/>
      <c r="AF33" s="124"/>
      <c r="AG33" s="133"/>
      <c r="AH33" s="133"/>
      <c r="AI33" s="133"/>
      <c r="AJ33" s="133"/>
      <c r="AK33" s="133"/>
      <c r="AL33" s="133"/>
      <c r="AM33" s="133"/>
      <c r="AN33" s="133"/>
      <c r="AO33" s="124"/>
      <c r="AP33" s="124"/>
      <c r="AQ33" s="124"/>
      <c r="AR33" s="124"/>
      <c r="AS33" s="131"/>
      <c r="AT33" s="137"/>
      <c r="AU33" s="137"/>
      <c r="AV33" s="137"/>
      <c r="AW33" s="137"/>
      <c r="AX33" s="137"/>
      <c r="AY33" s="137"/>
      <c r="AZ33" s="137"/>
      <c r="BA33" s="137"/>
      <c r="BB33" s="137"/>
      <c r="BC33" s="137"/>
      <c r="BD33" s="138"/>
    </row>
    <row r="34" spans="1:57" s="1" customFormat="1" ht="14.4" customHeight="1">
      <c r="A34" s="145">
        <f>IF(B34="","",COUNTA($B$8:B34))</f>
        <v>26</v>
      </c>
      <c r="B34" s="8" t="s">
        <v>266</v>
      </c>
      <c r="C34" s="127"/>
      <c r="D34" s="127"/>
      <c r="E34" s="127"/>
      <c r="F34" s="127"/>
      <c r="G34" s="127"/>
      <c r="H34" s="148"/>
      <c r="I34" s="128" t="s">
        <v>267</v>
      </c>
      <c r="J34" s="129"/>
      <c r="K34" s="129"/>
      <c r="L34" s="129"/>
      <c r="M34" s="129"/>
      <c r="N34" s="129"/>
      <c r="O34" s="129"/>
      <c r="P34" s="129"/>
      <c r="Q34" s="147"/>
      <c r="R34" s="8" t="s">
        <v>266</v>
      </c>
      <c r="S34" s="129"/>
      <c r="T34" s="129"/>
      <c r="U34" s="129"/>
      <c r="V34" s="129"/>
      <c r="W34" s="129"/>
      <c r="X34" s="147"/>
      <c r="Y34" s="451" t="s">
        <v>155</v>
      </c>
      <c r="Z34" s="452"/>
      <c r="AA34" s="448" t="s">
        <v>156</v>
      </c>
      <c r="AB34" s="449"/>
      <c r="AC34" s="450"/>
      <c r="AD34" s="188">
        <v>5</v>
      </c>
      <c r="AE34" s="124"/>
      <c r="AF34" s="124"/>
      <c r="AG34" s="133"/>
      <c r="AH34" s="133"/>
      <c r="AI34" s="133"/>
      <c r="AJ34" s="133"/>
      <c r="AK34" s="133"/>
      <c r="AL34" s="133"/>
      <c r="AM34" s="133"/>
      <c r="AN34" s="133"/>
      <c r="AO34" s="124"/>
      <c r="AP34" s="124"/>
      <c r="AQ34" s="124"/>
      <c r="AR34" s="124"/>
      <c r="AS34" s="131"/>
      <c r="AT34" s="137"/>
      <c r="AU34" s="137"/>
      <c r="AV34" s="137"/>
      <c r="AW34" s="137"/>
      <c r="AX34" s="137"/>
      <c r="AY34" s="137"/>
      <c r="AZ34" s="137"/>
      <c r="BA34" s="137"/>
      <c r="BB34" s="137"/>
      <c r="BC34" s="137"/>
      <c r="BD34" s="138"/>
    </row>
    <row r="35" spans="1:57" s="1" customFormat="1" ht="14.4" customHeight="1">
      <c r="A35" s="145">
        <f>IF(B35="","",COUNTA($B$8:B35))</f>
        <v>27</v>
      </c>
      <c r="B35" s="8" t="s">
        <v>268</v>
      </c>
      <c r="C35" s="127"/>
      <c r="D35" s="127"/>
      <c r="E35" s="127"/>
      <c r="F35" s="127"/>
      <c r="G35" s="127"/>
      <c r="H35" s="148"/>
      <c r="I35" s="128" t="s">
        <v>269</v>
      </c>
      <c r="J35" s="129"/>
      <c r="K35" s="129"/>
      <c r="L35" s="129"/>
      <c r="M35" s="129"/>
      <c r="N35" s="129"/>
      <c r="O35" s="129"/>
      <c r="P35" s="129"/>
      <c r="Q35" s="147"/>
      <c r="R35" s="8" t="s">
        <v>268</v>
      </c>
      <c r="S35" s="129"/>
      <c r="T35" s="129"/>
      <c r="U35" s="129"/>
      <c r="V35" s="129"/>
      <c r="W35" s="129"/>
      <c r="X35" s="147"/>
      <c r="Y35" s="8" t="s">
        <v>155</v>
      </c>
      <c r="Z35" s="132"/>
      <c r="AA35" s="448" t="s">
        <v>156</v>
      </c>
      <c r="AB35" s="449"/>
      <c r="AC35" s="450"/>
      <c r="AD35" s="188">
        <v>7</v>
      </c>
      <c r="AE35" s="124"/>
      <c r="AF35" s="124"/>
      <c r="AG35" s="133"/>
      <c r="AH35" s="133"/>
      <c r="AI35" s="133"/>
      <c r="AJ35" s="133"/>
      <c r="AK35" s="133"/>
      <c r="AL35" s="133"/>
      <c r="AM35" s="133"/>
      <c r="AN35" s="133"/>
      <c r="AO35" s="124"/>
      <c r="AP35" s="124"/>
      <c r="AQ35" s="124"/>
      <c r="AR35" s="124"/>
      <c r="AS35" s="131"/>
      <c r="AT35" s="137"/>
      <c r="AU35" s="137"/>
      <c r="AV35" s="137"/>
      <c r="AW35" s="137"/>
      <c r="AX35" s="137"/>
      <c r="AY35" s="137"/>
      <c r="AZ35" s="137"/>
      <c r="BA35" s="137"/>
      <c r="BB35" s="137"/>
      <c r="BC35" s="137"/>
      <c r="BD35" s="138"/>
    </row>
    <row r="36" spans="1:57" s="1" customFormat="1" ht="14.4" customHeight="1">
      <c r="A36" s="145">
        <f>IF(B36="","",COUNTA($B$8:B36))</f>
        <v>28</v>
      </c>
      <c r="B36" s="8" t="s">
        <v>226</v>
      </c>
      <c r="C36" s="127"/>
      <c r="D36" s="127"/>
      <c r="E36" s="127"/>
      <c r="F36" s="127"/>
      <c r="G36" s="127"/>
      <c r="H36" s="148"/>
      <c r="I36" s="128" t="s">
        <v>227</v>
      </c>
      <c r="J36" s="129"/>
      <c r="K36" s="129"/>
      <c r="L36" s="129"/>
      <c r="M36" s="129"/>
      <c r="N36" s="129"/>
      <c r="O36" s="129"/>
      <c r="P36" s="129"/>
      <c r="Q36" s="147"/>
      <c r="R36" s="8" t="s">
        <v>226</v>
      </c>
      <c r="S36" s="129"/>
      <c r="T36" s="129"/>
      <c r="U36" s="129"/>
      <c r="V36" s="129"/>
      <c r="W36" s="129"/>
      <c r="X36" s="148"/>
      <c r="Y36" s="451" t="s">
        <v>150</v>
      </c>
      <c r="Z36" s="452"/>
      <c r="AA36" s="448" t="s">
        <v>151</v>
      </c>
      <c r="AB36" s="449"/>
      <c r="AC36" s="450"/>
      <c r="AD36" s="139">
        <v>3</v>
      </c>
      <c r="AE36" s="124"/>
      <c r="AF36" s="124"/>
      <c r="AG36" s="133"/>
      <c r="AH36" s="133"/>
      <c r="AI36" s="133"/>
      <c r="AJ36" s="133"/>
      <c r="AK36" s="133"/>
      <c r="AL36" s="133"/>
      <c r="AM36" s="133"/>
      <c r="AN36" s="133"/>
      <c r="AO36" s="124"/>
      <c r="AP36" s="124"/>
      <c r="AQ36" s="124"/>
      <c r="AR36" s="124"/>
      <c r="AS36" s="131"/>
      <c r="AT36" s="137"/>
      <c r="AU36" s="137"/>
      <c r="AV36" s="137"/>
      <c r="AW36" s="137"/>
      <c r="AX36" s="137"/>
      <c r="AY36" s="137"/>
      <c r="AZ36" s="137"/>
      <c r="BA36" s="137"/>
      <c r="BB36" s="137"/>
      <c r="BC36" s="137"/>
      <c r="BD36" s="138"/>
    </row>
    <row r="37" spans="1:57" s="1" customFormat="1" ht="14.4" customHeight="1">
      <c r="A37" s="145">
        <f>IF(B37="","",COUNTA($B$8:B37))</f>
        <v>29</v>
      </c>
      <c r="B37" s="8" t="s">
        <v>228</v>
      </c>
      <c r="C37" s="127"/>
      <c r="D37" s="127"/>
      <c r="E37" s="127"/>
      <c r="F37" s="127"/>
      <c r="G37" s="127"/>
      <c r="H37" s="148"/>
      <c r="I37" s="128" t="s">
        <v>229</v>
      </c>
      <c r="J37" s="129"/>
      <c r="K37" s="129"/>
      <c r="L37" s="129"/>
      <c r="M37" s="129"/>
      <c r="N37" s="129"/>
      <c r="O37" s="129"/>
      <c r="P37" s="129"/>
      <c r="Q37" s="147"/>
      <c r="R37" s="8" t="s">
        <v>228</v>
      </c>
      <c r="S37" s="129"/>
      <c r="T37" s="129"/>
      <c r="U37" s="129"/>
      <c r="V37" s="129"/>
      <c r="W37" s="129"/>
      <c r="X37" s="148"/>
      <c r="Y37" s="451" t="s">
        <v>150</v>
      </c>
      <c r="Z37" s="452"/>
      <c r="AA37" s="448" t="s">
        <v>151</v>
      </c>
      <c r="AB37" s="449"/>
      <c r="AC37" s="450"/>
      <c r="AD37" s="139">
        <v>1000</v>
      </c>
      <c r="AE37" s="124"/>
      <c r="AF37" s="124"/>
      <c r="AG37" s="133"/>
      <c r="AH37" s="133"/>
      <c r="AI37" s="133"/>
      <c r="AJ37" s="133"/>
      <c r="AK37" s="133"/>
      <c r="AL37" s="133"/>
      <c r="AM37" s="133"/>
      <c r="AN37" s="133"/>
      <c r="AO37" s="124"/>
      <c r="AP37" s="124"/>
      <c r="AQ37" s="124"/>
      <c r="AR37" s="124"/>
      <c r="AS37" s="131"/>
      <c r="AT37" s="137"/>
      <c r="AU37" s="137"/>
      <c r="AV37" s="137"/>
      <c r="AW37" s="137"/>
      <c r="AX37" s="137"/>
      <c r="AY37" s="137"/>
      <c r="AZ37" s="137"/>
      <c r="BA37" s="137"/>
      <c r="BB37" s="137"/>
      <c r="BC37" s="137"/>
      <c r="BD37" s="138"/>
    </row>
    <row r="38" spans="1:57" s="1" customFormat="1" ht="14.4" customHeight="1">
      <c r="A38" s="145">
        <f>IF(B38="","",COUNTA($B$8:B38))</f>
        <v>30</v>
      </c>
      <c r="B38" s="8" t="s">
        <v>270</v>
      </c>
      <c r="C38" s="127"/>
      <c r="D38" s="127"/>
      <c r="E38" s="127"/>
      <c r="F38" s="127"/>
      <c r="G38" s="127"/>
      <c r="H38" s="148"/>
      <c r="I38" s="128" t="s">
        <v>271</v>
      </c>
      <c r="J38" s="129"/>
      <c r="K38" s="129"/>
      <c r="L38" s="129"/>
      <c r="M38" s="129"/>
      <c r="N38" s="129"/>
      <c r="O38" s="129"/>
      <c r="P38" s="129"/>
      <c r="Q38" s="147"/>
      <c r="R38" s="8" t="s">
        <v>270</v>
      </c>
      <c r="S38" s="129"/>
      <c r="T38" s="129"/>
      <c r="U38" s="129"/>
      <c r="V38" s="129"/>
      <c r="W38" s="129"/>
      <c r="X38" s="148"/>
      <c r="Y38" s="451" t="s">
        <v>150</v>
      </c>
      <c r="Z38" s="452"/>
      <c r="AA38" s="448" t="s">
        <v>151</v>
      </c>
      <c r="AB38" s="449"/>
      <c r="AC38" s="450"/>
      <c r="AD38" s="139">
        <v>1000</v>
      </c>
      <c r="AE38" s="124"/>
      <c r="AF38" s="124"/>
      <c r="AG38" s="133"/>
      <c r="AH38" s="133"/>
      <c r="AI38" s="133"/>
      <c r="AJ38" s="133"/>
      <c r="AK38" s="133"/>
      <c r="AL38" s="133"/>
      <c r="AM38" s="133"/>
      <c r="AN38" s="133"/>
      <c r="AO38" s="124"/>
      <c r="AP38" s="124"/>
      <c r="AQ38" s="124"/>
      <c r="AR38" s="124"/>
      <c r="AS38" s="131"/>
      <c r="AT38" s="137"/>
      <c r="AU38" s="137"/>
      <c r="AV38" s="137"/>
      <c r="AW38" s="137"/>
      <c r="AX38" s="137"/>
      <c r="AY38" s="137"/>
      <c r="AZ38" s="137"/>
      <c r="BA38" s="137"/>
      <c r="BB38" s="137"/>
      <c r="BC38" s="137"/>
      <c r="BD38" s="138"/>
    </row>
    <row r="39" spans="1:57" s="1" customFormat="1" ht="14.4" customHeight="1">
      <c r="A39" s="145">
        <f>IF(B39="","",COUNTA($B$8:B39))</f>
        <v>31</v>
      </c>
      <c r="B39" s="8" t="s">
        <v>272</v>
      </c>
      <c r="C39" s="127"/>
      <c r="D39" s="127"/>
      <c r="E39" s="127"/>
      <c r="F39" s="127"/>
      <c r="G39" s="127"/>
      <c r="H39" s="148"/>
      <c r="I39" s="128" t="s">
        <v>273</v>
      </c>
      <c r="J39" s="129"/>
      <c r="K39" s="129"/>
      <c r="L39" s="129"/>
      <c r="M39" s="129"/>
      <c r="N39" s="129"/>
      <c r="O39" s="129"/>
      <c r="P39" s="129"/>
      <c r="Q39" s="147"/>
      <c r="R39" s="8" t="s">
        <v>272</v>
      </c>
      <c r="S39" s="129"/>
      <c r="T39" s="129"/>
      <c r="U39" s="129"/>
      <c r="V39" s="129"/>
      <c r="W39" s="129"/>
      <c r="X39" s="148"/>
      <c r="Y39" s="451" t="s">
        <v>150</v>
      </c>
      <c r="Z39" s="452"/>
      <c r="AA39" s="448" t="s">
        <v>151</v>
      </c>
      <c r="AB39" s="449"/>
      <c r="AC39" s="450"/>
      <c r="AD39" s="139">
        <v>1000</v>
      </c>
      <c r="AE39" s="124"/>
      <c r="AF39" s="124"/>
      <c r="AG39" s="133"/>
      <c r="AH39" s="133"/>
      <c r="AI39" s="133"/>
      <c r="AJ39" s="133"/>
      <c r="AK39" s="133"/>
      <c r="AL39" s="133"/>
      <c r="AM39" s="133"/>
      <c r="AN39" s="133"/>
      <c r="AO39" s="124"/>
      <c r="AP39" s="124"/>
      <c r="AQ39" s="124"/>
      <c r="AR39" s="124"/>
      <c r="AS39" s="131"/>
      <c r="AT39" s="137"/>
      <c r="AU39" s="137"/>
      <c r="AV39" s="137"/>
      <c r="AW39" s="137"/>
      <c r="AX39" s="137"/>
      <c r="AY39" s="137"/>
      <c r="AZ39" s="137"/>
      <c r="BA39" s="137"/>
      <c r="BB39" s="137"/>
      <c r="BC39" s="137"/>
      <c r="BD39" s="138"/>
    </row>
    <row r="40" spans="1:57" s="1" customFormat="1" ht="14.4" customHeight="1">
      <c r="A40" s="145">
        <f>IF(B40="","",COUNTA($B$8:B40))</f>
        <v>32</v>
      </c>
      <c r="B40" s="8" t="s">
        <v>274</v>
      </c>
      <c r="C40" s="127"/>
      <c r="D40" s="127"/>
      <c r="E40" s="127"/>
      <c r="F40" s="127"/>
      <c r="G40" s="127"/>
      <c r="H40" s="148"/>
      <c r="I40" s="128" t="s">
        <v>275</v>
      </c>
      <c r="J40" s="129"/>
      <c r="K40" s="129"/>
      <c r="L40" s="129"/>
      <c r="M40" s="129"/>
      <c r="N40" s="129"/>
      <c r="O40" s="129"/>
      <c r="P40" s="129"/>
      <c r="Q40" s="147"/>
      <c r="R40" s="8" t="s">
        <v>274</v>
      </c>
      <c r="S40" s="129"/>
      <c r="T40" s="129"/>
      <c r="U40" s="129"/>
      <c r="V40" s="129"/>
      <c r="W40" s="129"/>
      <c r="X40" s="148"/>
      <c r="Y40" s="451" t="s">
        <v>150</v>
      </c>
      <c r="Z40" s="452"/>
      <c r="AA40" s="448" t="s">
        <v>151</v>
      </c>
      <c r="AB40" s="449"/>
      <c r="AC40" s="450"/>
      <c r="AD40" s="139">
        <v>1000</v>
      </c>
      <c r="AE40" s="124"/>
      <c r="AF40" s="124"/>
      <c r="AG40" s="133"/>
      <c r="AH40" s="133"/>
      <c r="AI40" s="133"/>
      <c r="AJ40" s="133"/>
      <c r="AK40" s="133"/>
      <c r="AL40" s="133"/>
      <c r="AM40" s="133"/>
      <c r="AN40" s="133"/>
      <c r="AO40" s="124"/>
      <c r="AP40" s="124"/>
      <c r="AQ40" s="124"/>
      <c r="AR40" s="124"/>
      <c r="AS40" s="131"/>
      <c r="AT40" s="137"/>
      <c r="AU40" s="137"/>
      <c r="AV40" s="137"/>
      <c r="AW40" s="137"/>
      <c r="AX40" s="137"/>
      <c r="AY40" s="137"/>
      <c r="AZ40" s="137"/>
      <c r="BA40" s="137"/>
      <c r="BB40" s="137"/>
      <c r="BC40" s="137"/>
      <c r="BD40" s="138"/>
    </row>
    <row r="41" spans="1:57" s="1" customFormat="1" ht="14.4" customHeight="1">
      <c r="A41" s="145">
        <f>IF(B41="","",COUNTA($B$8:B41))</f>
        <v>33</v>
      </c>
      <c r="B41" s="8" t="s">
        <v>230</v>
      </c>
      <c r="C41" s="127"/>
      <c r="D41" s="127"/>
      <c r="E41" s="127"/>
      <c r="F41" s="127"/>
      <c r="G41" s="127"/>
      <c r="H41" s="148"/>
      <c r="I41" s="128" t="s">
        <v>231</v>
      </c>
      <c r="J41" s="129"/>
      <c r="K41" s="129"/>
      <c r="L41" s="129"/>
      <c r="M41" s="129"/>
      <c r="N41" s="129"/>
      <c r="O41" s="129"/>
      <c r="P41" s="129"/>
      <c r="Q41" s="147"/>
      <c r="R41" s="8" t="s">
        <v>230</v>
      </c>
      <c r="S41" s="129"/>
      <c r="T41" s="129"/>
      <c r="U41" s="129"/>
      <c r="V41" s="129"/>
      <c r="W41" s="129"/>
      <c r="X41" s="148"/>
      <c r="Y41" s="451" t="s">
        <v>169</v>
      </c>
      <c r="Z41" s="452"/>
      <c r="AA41" s="448" t="s">
        <v>170</v>
      </c>
      <c r="AB41" s="449"/>
      <c r="AC41" s="450"/>
      <c r="AD41" s="139"/>
      <c r="AE41" s="124"/>
      <c r="AF41" s="124"/>
      <c r="AG41" s="133"/>
      <c r="AH41" s="133"/>
      <c r="AI41" s="133"/>
      <c r="AJ41" s="133"/>
      <c r="AK41" s="133"/>
      <c r="AL41" s="133"/>
      <c r="AM41" s="133"/>
      <c r="AN41" s="133"/>
      <c r="AO41" s="124"/>
      <c r="AP41" s="124"/>
      <c r="AQ41" s="124"/>
      <c r="AR41" s="124"/>
      <c r="AS41" s="131" t="s">
        <v>232</v>
      </c>
      <c r="AT41" s="137"/>
      <c r="AU41" s="137"/>
      <c r="AV41" s="137"/>
      <c r="AW41" s="137"/>
      <c r="AX41" s="137"/>
      <c r="AY41" s="137"/>
      <c r="AZ41" s="137"/>
      <c r="BA41" s="137"/>
      <c r="BB41" s="137"/>
      <c r="BC41" s="137"/>
      <c r="BD41" s="138"/>
    </row>
    <row r="42" spans="1:57" s="1" customFormat="1" ht="14.4" customHeight="1">
      <c r="A42" s="145">
        <f>IF(B42="","",COUNTA($B$8:B42))</f>
        <v>34</v>
      </c>
      <c r="B42" s="8" t="s">
        <v>233</v>
      </c>
      <c r="C42" s="127"/>
      <c r="D42" s="127"/>
      <c r="E42" s="127"/>
      <c r="F42" s="127"/>
      <c r="G42" s="127"/>
      <c r="H42" s="148"/>
      <c r="I42" s="128" t="s">
        <v>234</v>
      </c>
      <c r="J42" s="129"/>
      <c r="K42" s="129"/>
      <c r="L42" s="129"/>
      <c r="M42" s="129"/>
      <c r="N42" s="129"/>
      <c r="O42" s="129"/>
      <c r="P42" s="129"/>
      <c r="Q42" s="147"/>
      <c r="R42" s="8" t="s">
        <v>233</v>
      </c>
      <c r="S42" s="129"/>
      <c r="T42" s="129"/>
      <c r="U42" s="129"/>
      <c r="V42" s="129"/>
      <c r="W42" s="129"/>
      <c r="X42" s="148"/>
      <c r="Y42" s="451" t="s">
        <v>155</v>
      </c>
      <c r="Z42" s="452"/>
      <c r="AA42" s="448" t="s">
        <v>156</v>
      </c>
      <c r="AB42" s="449"/>
      <c r="AC42" s="450"/>
      <c r="AD42" s="139">
        <v>1</v>
      </c>
      <c r="AE42" s="124"/>
      <c r="AF42" s="124"/>
      <c r="AG42" s="133"/>
      <c r="AH42" s="133">
        <v>0</v>
      </c>
      <c r="AI42" s="133"/>
      <c r="AJ42" s="133"/>
      <c r="AK42" s="133"/>
      <c r="AL42" s="133"/>
      <c r="AM42" s="133"/>
      <c r="AN42" s="133"/>
      <c r="AO42" s="124"/>
      <c r="AP42" s="124"/>
      <c r="AQ42" s="124"/>
      <c r="AR42" s="124"/>
      <c r="AS42" s="131"/>
      <c r="AT42" s="137"/>
      <c r="AU42" s="137"/>
      <c r="AV42" s="137"/>
      <c r="AW42" s="137"/>
      <c r="AX42" s="137"/>
      <c r="AY42" s="137"/>
      <c r="AZ42" s="137"/>
      <c r="BA42" s="137"/>
      <c r="BB42" s="137"/>
      <c r="BC42" s="137"/>
      <c r="BD42" s="138"/>
    </row>
    <row r="43" spans="1:57" s="1" customFormat="1" ht="14.4" customHeight="1">
      <c r="A43" s="145">
        <f>IF(B43="","",COUNTA($B$8:B43))</f>
        <v>35</v>
      </c>
      <c r="B43" s="182" t="s">
        <v>276</v>
      </c>
      <c r="C43" s="170"/>
      <c r="D43" s="170"/>
      <c r="E43" s="170"/>
      <c r="F43" s="170"/>
      <c r="G43" s="170"/>
      <c r="H43" s="171"/>
      <c r="I43" s="196" t="s">
        <v>277</v>
      </c>
      <c r="J43" s="172"/>
      <c r="K43" s="172"/>
      <c r="L43" s="172"/>
      <c r="M43" s="172"/>
      <c r="N43" s="172"/>
      <c r="O43" s="172"/>
      <c r="P43" s="172"/>
      <c r="Q43" s="173"/>
      <c r="R43" s="182" t="s">
        <v>276</v>
      </c>
      <c r="S43" s="172"/>
      <c r="T43" s="172"/>
      <c r="U43" s="172"/>
      <c r="V43" s="172"/>
      <c r="W43" s="172"/>
      <c r="X43" s="171"/>
      <c r="Y43" s="459" t="s">
        <v>155</v>
      </c>
      <c r="Z43" s="460"/>
      <c r="AA43" s="445" t="s">
        <v>156</v>
      </c>
      <c r="AB43" s="446"/>
      <c r="AC43" s="447"/>
      <c r="AD43" s="174">
        <v>1</v>
      </c>
      <c r="AE43" s="175"/>
      <c r="AF43" s="175"/>
      <c r="AG43" s="176"/>
      <c r="AH43" s="176">
        <v>0</v>
      </c>
      <c r="AI43" s="176"/>
      <c r="AJ43" s="176"/>
      <c r="AK43" s="176"/>
      <c r="AL43" s="176"/>
      <c r="AM43" s="176"/>
      <c r="AN43" s="176"/>
      <c r="AO43" s="175"/>
      <c r="AP43" s="175"/>
      <c r="AQ43" s="175"/>
      <c r="AR43" s="175"/>
      <c r="AS43" s="177" t="s">
        <v>235</v>
      </c>
      <c r="AT43" s="178"/>
      <c r="AU43" s="178"/>
      <c r="AV43" s="178"/>
      <c r="AW43" s="178"/>
      <c r="AX43" s="178"/>
      <c r="AY43" s="178"/>
      <c r="AZ43" s="178"/>
      <c r="BA43" s="178"/>
      <c r="BB43" s="178"/>
      <c r="BC43" s="178"/>
      <c r="BD43" s="179"/>
      <c r="BE43" s="1" t="s">
        <v>1472</v>
      </c>
    </row>
    <row r="44" spans="1:57" s="1" customFormat="1" ht="14.4" customHeight="1">
      <c r="A44" s="145">
        <f>IF(B44="","",COUNTA($B$8:B44))</f>
        <v>36</v>
      </c>
      <c r="B44" s="8" t="s">
        <v>236</v>
      </c>
      <c r="C44" s="127"/>
      <c r="D44" s="127"/>
      <c r="E44" s="127"/>
      <c r="F44" s="127"/>
      <c r="G44" s="127"/>
      <c r="H44" s="148"/>
      <c r="I44" s="128" t="s">
        <v>237</v>
      </c>
      <c r="J44" s="129"/>
      <c r="K44" s="129"/>
      <c r="L44" s="129"/>
      <c r="M44" s="129"/>
      <c r="N44" s="129"/>
      <c r="O44" s="129"/>
      <c r="P44" s="129"/>
      <c r="Q44" s="147"/>
      <c r="R44" s="8" t="s">
        <v>236</v>
      </c>
      <c r="S44" s="129"/>
      <c r="T44" s="129"/>
      <c r="U44" s="129"/>
      <c r="V44" s="129"/>
      <c r="W44" s="129"/>
      <c r="X44" s="148"/>
      <c r="Y44" s="451" t="s">
        <v>155</v>
      </c>
      <c r="Z44" s="452"/>
      <c r="AA44" s="448" t="s">
        <v>156</v>
      </c>
      <c r="AB44" s="449"/>
      <c r="AC44" s="450"/>
      <c r="AD44" s="139">
        <v>1</v>
      </c>
      <c r="AE44" s="124"/>
      <c r="AF44" s="124"/>
      <c r="AG44" s="133"/>
      <c r="AH44" s="133">
        <v>0</v>
      </c>
      <c r="AI44" s="133"/>
      <c r="AJ44" s="133"/>
      <c r="AK44" s="133"/>
      <c r="AL44" s="133"/>
      <c r="AM44" s="133"/>
      <c r="AN44" s="133"/>
      <c r="AO44" s="124"/>
      <c r="AP44" s="124"/>
      <c r="AQ44" s="124"/>
      <c r="AR44" s="124"/>
      <c r="AS44" s="131" t="s">
        <v>238</v>
      </c>
      <c r="AT44" s="137"/>
      <c r="AU44" s="137"/>
      <c r="AV44" s="137"/>
      <c r="AW44" s="137"/>
      <c r="AX44" s="137"/>
      <c r="AY44" s="137"/>
      <c r="AZ44" s="137"/>
      <c r="BA44" s="137"/>
      <c r="BB44" s="137"/>
      <c r="BC44" s="137"/>
      <c r="BD44" s="138"/>
    </row>
    <row r="45" spans="1:57" s="1" customFormat="1" ht="14.4" customHeight="1">
      <c r="A45" s="145">
        <f>IF(B45="","",COUNTA($B$8:B45))</f>
        <v>37</v>
      </c>
      <c r="B45" s="8" t="s">
        <v>239</v>
      </c>
      <c r="C45" s="127"/>
      <c r="D45" s="127"/>
      <c r="E45" s="127"/>
      <c r="F45" s="127"/>
      <c r="G45" s="127"/>
      <c r="H45" s="148"/>
      <c r="I45" s="128" t="s">
        <v>240</v>
      </c>
      <c r="J45" s="129"/>
      <c r="K45" s="129"/>
      <c r="L45" s="129"/>
      <c r="M45" s="129"/>
      <c r="N45" s="129"/>
      <c r="O45" s="129"/>
      <c r="P45" s="129"/>
      <c r="Q45" s="147"/>
      <c r="R45" s="8" t="s">
        <v>239</v>
      </c>
      <c r="S45" s="129"/>
      <c r="T45" s="129"/>
      <c r="U45" s="129"/>
      <c r="V45" s="129"/>
      <c r="W45" s="129"/>
      <c r="X45" s="148"/>
      <c r="Y45" s="451" t="s">
        <v>169</v>
      </c>
      <c r="Z45" s="452"/>
      <c r="AA45" s="448" t="s">
        <v>170</v>
      </c>
      <c r="AB45" s="449"/>
      <c r="AC45" s="450"/>
      <c r="AD45" s="139"/>
      <c r="AE45" s="124"/>
      <c r="AF45" s="124"/>
      <c r="AG45" s="133"/>
      <c r="AH45" s="133"/>
      <c r="AI45" s="133"/>
      <c r="AJ45" s="133"/>
      <c r="AK45" s="133"/>
      <c r="AL45" s="133"/>
      <c r="AM45" s="133"/>
      <c r="AN45" s="133"/>
      <c r="AO45" s="124"/>
      <c r="AP45" s="124"/>
      <c r="AQ45" s="124"/>
      <c r="AR45" s="124"/>
      <c r="AS45" s="131"/>
      <c r="AT45" s="137"/>
      <c r="AU45" s="137"/>
      <c r="AV45" s="137"/>
      <c r="AW45" s="137"/>
      <c r="AX45" s="137"/>
      <c r="AY45" s="137"/>
      <c r="AZ45" s="137"/>
      <c r="BA45" s="137"/>
      <c r="BB45" s="137"/>
      <c r="BC45" s="137"/>
      <c r="BD45" s="138"/>
    </row>
    <row r="46" spans="1:57" s="1" customFormat="1" ht="14.4" customHeight="1">
      <c r="A46" s="189">
        <f>IF(B46="","",COUNTA($B$8:B46))</f>
        <v>38</v>
      </c>
      <c r="B46" s="4" t="s">
        <v>241</v>
      </c>
      <c r="C46" s="127"/>
      <c r="D46" s="127"/>
      <c r="E46" s="127"/>
      <c r="F46" s="127"/>
      <c r="G46" s="127"/>
      <c r="H46" s="127"/>
      <c r="I46" s="128" t="s">
        <v>242</v>
      </c>
      <c r="J46" s="129"/>
      <c r="K46" s="129"/>
      <c r="L46" s="129"/>
      <c r="M46" s="129"/>
      <c r="N46" s="129"/>
      <c r="O46" s="129"/>
      <c r="P46" s="129"/>
      <c r="Q46" s="129"/>
      <c r="R46" s="4" t="s">
        <v>241</v>
      </c>
      <c r="S46" s="127"/>
      <c r="T46" s="5"/>
      <c r="U46" s="5"/>
      <c r="V46" s="5"/>
      <c r="W46" s="5"/>
      <c r="X46" s="5"/>
      <c r="Y46" s="8" t="s">
        <v>150</v>
      </c>
      <c r="Z46" s="132"/>
      <c r="AA46" s="448" t="s">
        <v>243</v>
      </c>
      <c r="AB46" s="449"/>
      <c r="AC46" s="450"/>
      <c r="AD46" s="130"/>
      <c r="AE46" s="133" t="s">
        <v>244</v>
      </c>
      <c r="AF46" s="134"/>
      <c r="AG46" s="134"/>
      <c r="AH46" s="134"/>
      <c r="AI46" s="134"/>
      <c r="AJ46" s="134"/>
      <c r="AK46" s="134"/>
      <c r="AL46" s="134"/>
      <c r="AM46" s="134"/>
      <c r="AN46" s="134"/>
      <c r="AO46" s="135"/>
      <c r="AP46" s="135"/>
      <c r="AQ46" s="135"/>
      <c r="AR46" s="135"/>
      <c r="AS46" s="136" t="s">
        <v>245</v>
      </c>
      <c r="AT46" s="137"/>
      <c r="AU46" s="137"/>
      <c r="AV46" s="137"/>
      <c r="AW46" s="137"/>
      <c r="AX46" s="137"/>
      <c r="AY46" s="137"/>
      <c r="AZ46" s="137"/>
      <c r="BA46" s="137"/>
      <c r="BB46" s="137"/>
      <c r="BC46" s="137"/>
      <c r="BD46" s="138"/>
    </row>
    <row r="47" spans="1:57" s="1" customFormat="1" ht="14.4" customHeight="1">
      <c r="A47" s="189">
        <f>IF(B47="","",COUNTA($B$8:B47))</f>
        <v>39</v>
      </c>
      <c r="B47" s="4" t="s">
        <v>246</v>
      </c>
      <c r="C47" s="127"/>
      <c r="D47" s="127"/>
      <c r="E47" s="127"/>
      <c r="F47" s="127"/>
      <c r="G47" s="127"/>
      <c r="H47" s="127"/>
      <c r="I47" s="128" t="s">
        <v>247</v>
      </c>
      <c r="J47" s="129"/>
      <c r="K47" s="129"/>
      <c r="L47" s="129"/>
      <c r="M47" s="129"/>
      <c r="N47" s="129"/>
      <c r="O47" s="129"/>
      <c r="P47" s="129"/>
      <c r="Q47" s="129"/>
      <c r="R47" s="4" t="s">
        <v>246</v>
      </c>
      <c r="S47" s="127"/>
      <c r="T47" s="5"/>
      <c r="U47" s="5"/>
      <c r="V47" s="5"/>
      <c r="W47" s="5"/>
      <c r="X47" s="5"/>
      <c r="Y47" s="8" t="s">
        <v>150</v>
      </c>
      <c r="Z47" s="132"/>
      <c r="AA47" s="448" t="s">
        <v>243</v>
      </c>
      <c r="AB47" s="449"/>
      <c r="AC47" s="450"/>
      <c r="AD47" s="130"/>
      <c r="AE47" s="133" t="s">
        <v>244</v>
      </c>
      <c r="AF47" s="134"/>
      <c r="AG47" s="134"/>
      <c r="AH47" s="134"/>
      <c r="AI47" s="134"/>
      <c r="AJ47" s="134"/>
      <c r="AK47" s="134"/>
      <c r="AL47" s="134"/>
      <c r="AM47" s="134"/>
      <c r="AN47" s="134"/>
      <c r="AO47" s="135"/>
      <c r="AP47" s="135"/>
      <c r="AQ47" s="135"/>
      <c r="AR47" s="135"/>
      <c r="AS47" s="136" t="s">
        <v>248</v>
      </c>
      <c r="AT47" s="137"/>
      <c r="AU47" s="137"/>
      <c r="AV47" s="137"/>
      <c r="AW47" s="137"/>
      <c r="AX47" s="137"/>
      <c r="AY47" s="137"/>
      <c r="AZ47" s="137"/>
      <c r="BA47" s="137"/>
      <c r="BB47" s="137"/>
      <c r="BC47" s="137"/>
      <c r="BD47" s="138"/>
    </row>
    <row r="48" spans="1:57" s="1" customFormat="1" ht="14.4" customHeight="1">
      <c r="A48" s="145">
        <f>IF(B48="","",COUNTA($B$8:B48))</f>
        <v>40</v>
      </c>
      <c r="B48" s="8" t="s">
        <v>249</v>
      </c>
      <c r="C48" s="127"/>
      <c r="D48" s="127"/>
      <c r="E48" s="127"/>
      <c r="F48" s="127"/>
      <c r="G48" s="127"/>
      <c r="H48" s="148"/>
      <c r="I48" s="128" t="s">
        <v>250</v>
      </c>
      <c r="J48" s="129"/>
      <c r="K48" s="129"/>
      <c r="L48" s="129"/>
      <c r="M48" s="129"/>
      <c r="N48" s="129"/>
      <c r="O48" s="129"/>
      <c r="P48" s="129"/>
      <c r="Q48" s="147"/>
      <c r="R48" s="8" t="s">
        <v>249</v>
      </c>
      <c r="S48" s="129"/>
      <c r="T48" s="129"/>
      <c r="U48" s="129"/>
      <c r="V48" s="129"/>
      <c r="W48" s="129"/>
      <c r="X48" s="148"/>
      <c r="Y48" s="451" t="s">
        <v>150</v>
      </c>
      <c r="Z48" s="452"/>
      <c r="AA48" s="448" t="s">
        <v>151</v>
      </c>
      <c r="AB48" s="449"/>
      <c r="AC48" s="450"/>
      <c r="AD48" s="139">
        <v>4</v>
      </c>
      <c r="AE48" s="124"/>
      <c r="AF48" s="124"/>
      <c r="AG48" s="133"/>
      <c r="AH48" s="133"/>
      <c r="AI48" s="133"/>
      <c r="AJ48" s="133"/>
      <c r="AK48" s="133"/>
      <c r="AL48" s="133"/>
      <c r="AM48" s="133"/>
      <c r="AN48" s="133"/>
      <c r="AO48" s="124"/>
      <c r="AP48" s="124"/>
      <c r="AQ48" s="124"/>
      <c r="AR48" s="124"/>
      <c r="AS48" s="131"/>
      <c r="AT48" s="137"/>
      <c r="AU48" s="137"/>
      <c r="AV48" s="137"/>
      <c r="AW48" s="137"/>
      <c r="AX48" s="137"/>
      <c r="AY48" s="137"/>
      <c r="AZ48" s="137"/>
      <c r="BA48" s="137"/>
      <c r="BB48" s="137"/>
      <c r="BC48" s="137"/>
      <c r="BD48" s="138"/>
    </row>
    <row r="49" spans="1:56" s="1" customFormat="1" ht="14.4" customHeight="1">
      <c r="A49" s="145">
        <f>IF(B49="","",COUNTA($B$8:B49))</f>
        <v>41</v>
      </c>
      <c r="B49" s="8" t="s">
        <v>251</v>
      </c>
      <c r="C49" s="127"/>
      <c r="D49" s="127"/>
      <c r="E49" s="127"/>
      <c r="F49" s="127"/>
      <c r="G49" s="127"/>
      <c r="H49" s="148"/>
      <c r="I49" s="128" t="s">
        <v>252</v>
      </c>
      <c r="J49" s="129"/>
      <c r="K49" s="129"/>
      <c r="L49" s="129"/>
      <c r="M49" s="129"/>
      <c r="N49" s="129"/>
      <c r="O49" s="129"/>
      <c r="P49" s="129"/>
      <c r="Q49" s="147"/>
      <c r="R49" s="8" t="s">
        <v>251</v>
      </c>
      <c r="S49" s="129"/>
      <c r="T49" s="129"/>
      <c r="U49" s="129"/>
      <c r="V49" s="129"/>
      <c r="W49" s="129"/>
      <c r="X49" s="148"/>
      <c r="Y49" s="451" t="s">
        <v>150</v>
      </c>
      <c r="Z49" s="452"/>
      <c r="AA49" s="448" t="s">
        <v>151</v>
      </c>
      <c r="AB49" s="449"/>
      <c r="AC49" s="450"/>
      <c r="AD49" s="139">
        <v>4</v>
      </c>
      <c r="AE49" s="124"/>
      <c r="AF49" s="124"/>
      <c r="AG49" s="133"/>
      <c r="AH49" s="133"/>
      <c r="AI49" s="133"/>
      <c r="AJ49" s="133"/>
      <c r="AK49" s="133"/>
      <c r="AL49" s="133"/>
      <c r="AM49" s="133"/>
      <c r="AN49" s="133"/>
      <c r="AO49" s="124"/>
      <c r="AP49" s="124"/>
      <c r="AQ49" s="124"/>
      <c r="AR49" s="124"/>
      <c r="AS49" s="131"/>
      <c r="AT49" s="137"/>
      <c r="AU49" s="137"/>
      <c r="AV49" s="137"/>
      <c r="AW49" s="137"/>
      <c r="AX49" s="137"/>
      <c r="AY49" s="137"/>
      <c r="AZ49" s="137"/>
      <c r="BA49" s="137"/>
      <c r="BB49" s="137"/>
      <c r="BC49" s="137"/>
      <c r="BD49" s="138"/>
    </row>
    <row r="50" spans="1:56" s="1" customFormat="1" ht="14.4" customHeight="1">
      <c r="A50" s="145">
        <f>IF(B50="","",COUNTA($B$8:B50))</f>
        <v>42</v>
      </c>
      <c r="B50" s="8" t="s">
        <v>253</v>
      </c>
      <c r="C50" s="127"/>
      <c r="D50" s="127"/>
      <c r="E50" s="127"/>
      <c r="F50" s="127"/>
      <c r="G50" s="127"/>
      <c r="H50" s="148"/>
      <c r="I50" s="131" t="s">
        <v>254</v>
      </c>
      <c r="J50" s="129"/>
      <c r="K50" s="129"/>
      <c r="L50" s="129"/>
      <c r="M50" s="129"/>
      <c r="N50" s="129"/>
      <c r="O50" s="129"/>
      <c r="P50" s="129"/>
      <c r="Q50" s="147"/>
      <c r="R50" s="8" t="s">
        <v>253</v>
      </c>
      <c r="S50" s="129"/>
      <c r="T50" s="129"/>
      <c r="U50" s="129"/>
      <c r="V50" s="129"/>
      <c r="W50" s="129"/>
      <c r="X50" s="148"/>
      <c r="Y50" s="451" t="s">
        <v>150</v>
      </c>
      <c r="Z50" s="452"/>
      <c r="AA50" s="448" t="s">
        <v>151</v>
      </c>
      <c r="AB50" s="449"/>
      <c r="AC50" s="450"/>
      <c r="AD50" s="139">
        <v>10</v>
      </c>
      <c r="AE50" s="124"/>
      <c r="AF50" s="124"/>
      <c r="AG50" s="133"/>
      <c r="AH50" s="133"/>
      <c r="AI50" s="133"/>
      <c r="AJ50" s="133"/>
      <c r="AK50" s="133"/>
      <c r="AL50" s="133"/>
      <c r="AM50" s="133"/>
      <c r="AN50" s="133"/>
      <c r="AO50" s="124"/>
      <c r="AP50" s="124"/>
      <c r="AQ50" s="124"/>
      <c r="AR50" s="124"/>
      <c r="AS50" s="131"/>
      <c r="AT50" s="137"/>
      <c r="AU50" s="137"/>
      <c r="AV50" s="137"/>
      <c r="AW50" s="137"/>
      <c r="AX50" s="137"/>
      <c r="AY50" s="137"/>
      <c r="AZ50" s="137"/>
      <c r="BA50" s="137"/>
      <c r="BB50" s="137"/>
      <c r="BC50" s="137"/>
      <c r="BD50" s="138"/>
    </row>
    <row r="51" spans="1:56" s="1" customFormat="1" ht="14.4" customHeight="1">
      <c r="A51" s="145">
        <f>IF(B51="","",COUNTA($B$8:B51))</f>
        <v>43</v>
      </c>
      <c r="B51" s="8" t="s">
        <v>255</v>
      </c>
      <c r="C51" s="127"/>
      <c r="D51" s="127"/>
      <c r="E51" s="127"/>
      <c r="F51" s="127"/>
      <c r="G51" s="127"/>
      <c r="H51" s="148"/>
      <c r="I51" s="131" t="s">
        <v>256</v>
      </c>
      <c r="J51" s="129"/>
      <c r="K51" s="129"/>
      <c r="L51" s="129"/>
      <c r="M51" s="129"/>
      <c r="N51" s="129"/>
      <c r="O51" s="129"/>
      <c r="P51" s="129"/>
      <c r="Q51" s="147"/>
      <c r="R51" s="8" t="s">
        <v>255</v>
      </c>
      <c r="S51" s="129"/>
      <c r="T51" s="129"/>
      <c r="U51" s="129"/>
      <c r="V51" s="129"/>
      <c r="W51" s="129"/>
      <c r="X51" s="148"/>
      <c r="Y51" s="451" t="s">
        <v>150</v>
      </c>
      <c r="Z51" s="452"/>
      <c r="AA51" s="448" t="s">
        <v>151</v>
      </c>
      <c r="AB51" s="449"/>
      <c r="AC51" s="450"/>
      <c r="AD51" s="139">
        <v>10</v>
      </c>
      <c r="AE51" s="124"/>
      <c r="AF51" s="124"/>
      <c r="AG51" s="133"/>
      <c r="AH51" s="133"/>
      <c r="AI51" s="133"/>
      <c r="AJ51" s="133"/>
      <c r="AK51" s="133"/>
      <c r="AL51" s="133"/>
      <c r="AM51" s="133"/>
      <c r="AN51" s="133"/>
      <c r="AO51" s="124"/>
      <c r="AP51" s="124"/>
      <c r="AQ51" s="124"/>
      <c r="AR51" s="124"/>
      <c r="AS51" s="131"/>
      <c r="AT51" s="137"/>
      <c r="AU51" s="137"/>
      <c r="AV51" s="137"/>
      <c r="AW51" s="137"/>
      <c r="AX51" s="137"/>
      <c r="AY51" s="137"/>
      <c r="AZ51" s="137"/>
      <c r="BA51" s="137"/>
      <c r="BB51" s="137"/>
      <c r="BC51" s="137"/>
      <c r="BD51" s="138"/>
    </row>
    <row r="52" spans="1:56" s="1" customFormat="1" ht="14.4" customHeight="1">
      <c r="A52" s="145">
        <f>IF(B52="","",COUNTA($B$8:B52))</f>
        <v>44</v>
      </c>
      <c r="B52" s="8" t="s">
        <v>257</v>
      </c>
      <c r="C52" s="127"/>
      <c r="D52" s="127"/>
      <c r="E52" s="127"/>
      <c r="F52" s="127"/>
      <c r="G52" s="127"/>
      <c r="H52" s="148"/>
      <c r="I52" s="131" t="s">
        <v>258</v>
      </c>
      <c r="J52" s="129"/>
      <c r="K52" s="129"/>
      <c r="L52" s="129"/>
      <c r="M52" s="129"/>
      <c r="N52" s="129"/>
      <c r="O52" s="129"/>
      <c r="P52" s="129"/>
      <c r="Q52" s="147"/>
      <c r="R52" s="8" t="s">
        <v>257</v>
      </c>
      <c r="S52" s="129"/>
      <c r="T52" s="129"/>
      <c r="U52" s="129"/>
      <c r="V52" s="129"/>
      <c r="W52" s="129"/>
      <c r="X52" s="148"/>
      <c r="Y52" s="451" t="s">
        <v>169</v>
      </c>
      <c r="Z52" s="452"/>
      <c r="AA52" s="448" t="s">
        <v>243</v>
      </c>
      <c r="AB52" s="449"/>
      <c r="AC52" s="450"/>
      <c r="AD52" s="188"/>
      <c r="AE52" s="124"/>
      <c r="AF52" s="124"/>
      <c r="AG52" s="134"/>
      <c r="AH52" s="134"/>
      <c r="AI52" s="134"/>
      <c r="AJ52" s="133"/>
      <c r="AK52" s="133"/>
      <c r="AL52" s="133"/>
      <c r="AM52" s="133"/>
      <c r="AN52" s="133"/>
      <c r="AO52" s="124"/>
      <c r="AP52" s="124"/>
      <c r="AQ52" s="124"/>
      <c r="AR52" s="124"/>
      <c r="AS52" s="131"/>
      <c r="AT52" s="137"/>
      <c r="AU52" s="137"/>
      <c r="AV52" s="137"/>
      <c r="AW52" s="137"/>
      <c r="AX52" s="137"/>
      <c r="AY52" s="137"/>
      <c r="AZ52" s="137"/>
      <c r="BA52" s="137"/>
      <c r="BB52" s="137"/>
      <c r="BC52" s="137"/>
      <c r="BD52" s="138"/>
    </row>
    <row r="53" spans="1:56" s="1" customFormat="1" ht="14.4" customHeight="1">
      <c r="A53" s="145">
        <f>IF(B53="","",COUNTA($B$8:B53))</f>
        <v>45</v>
      </c>
      <c r="B53" s="8" t="s">
        <v>259</v>
      </c>
      <c r="C53" s="127"/>
      <c r="D53" s="127"/>
      <c r="E53" s="127"/>
      <c r="F53" s="127"/>
      <c r="G53" s="127"/>
      <c r="H53" s="148"/>
      <c r="I53" s="131" t="s">
        <v>260</v>
      </c>
      <c r="J53" s="129"/>
      <c r="K53" s="129"/>
      <c r="L53" s="129"/>
      <c r="M53" s="129"/>
      <c r="N53" s="129"/>
      <c r="O53" s="129"/>
      <c r="P53" s="129"/>
      <c r="Q53" s="147"/>
      <c r="R53" s="8" t="s">
        <v>259</v>
      </c>
      <c r="S53" s="129"/>
      <c r="T53" s="129"/>
      <c r="U53" s="129"/>
      <c r="V53" s="129"/>
      <c r="W53" s="129"/>
      <c r="X53" s="148"/>
      <c r="Y53" s="451" t="s">
        <v>150</v>
      </c>
      <c r="Z53" s="452"/>
      <c r="AA53" s="448" t="s">
        <v>151</v>
      </c>
      <c r="AB53" s="449"/>
      <c r="AC53" s="450"/>
      <c r="AD53" s="139">
        <v>10</v>
      </c>
      <c r="AE53" s="124"/>
      <c r="AF53" s="124"/>
      <c r="AG53" s="134"/>
      <c r="AH53" s="134"/>
      <c r="AI53" s="134"/>
      <c r="AJ53" s="133"/>
      <c r="AK53" s="133"/>
      <c r="AL53" s="133"/>
      <c r="AM53" s="133"/>
      <c r="AN53" s="133"/>
      <c r="AO53" s="124"/>
      <c r="AP53" s="124"/>
      <c r="AQ53" s="124"/>
      <c r="AR53" s="124"/>
      <c r="AS53" s="131"/>
      <c r="AT53" s="137"/>
      <c r="AU53" s="137"/>
      <c r="AV53" s="137"/>
      <c r="AW53" s="137"/>
      <c r="AX53" s="137"/>
      <c r="AY53" s="137"/>
      <c r="AZ53" s="137"/>
      <c r="BA53" s="137"/>
      <c r="BB53" s="137"/>
      <c r="BC53" s="137"/>
      <c r="BD53" s="138"/>
    </row>
    <row r="54" spans="1:56" s="1" customFormat="1" ht="14.4" customHeight="1">
      <c r="A54" s="145">
        <f>IF(B54="","",COUNTA($B$8:B54))</f>
        <v>46</v>
      </c>
      <c r="B54" s="8" t="s">
        <v>261</v>
      </c>
      <c r="C54" s="127"/>
      <c r="D54" s="127"/>
      <c r="E54" s="127"/>
      <c r="F54" s="127"/>
      <c r="G54" s="127"/>
      <c r="H54" s="148"/>
      <c r="I54" s="131" t="s">
        <v>262</v>
      </c>
      <c r="J54" s="129"/>
      <c r="K54" s="129"/>
      <c r="L54" s="129"/>
      <c r="M54" s="129"/>
      <c r="N54" s="129"/>
      <c r="O54" s="129"/>
      <c r="P54" s="129"/>
      <c r="Q54" s="147"/>
      <c r="R54" s="8" t="s">
        <v>261</v>
      </c>
      <c r="S54" s="129"/>
      <c r="T54" s="129"/>
      <c r="U54" s="129"/>
      <c r="V54" s="129"/>
      <c r="W54" s="129"/>
      <c r="X54" s="148"/>
      <c r="Y54" s="451" t="s">
        <v>150</v>
      </c>
      <c r="Z54" s="452"/>
      <c r="AA54" s="448" t="s">
        <v>151</v>
      </c>
      <c r="AB54" s="449"/>
      <c r="AC54" s="450"/>
      <c r="AD54" s="188">
        <v>10</v>
      </c>
      <c r="AE54" s="124"/>
      <c r="AF54" s="124"/>
      <c r="AG54" s="133"/>
      <c r="AH54" s="133"/>
      <c r="AI54" s="133"/>
      <c r="AJ54" s="133"/>
      <c r="AK54" s="133"/>
      <c r="AL54" s="134"/>
      <c r="AM54" s="134"/>
      <c r="AN54" s="134"/>
      <c r="AO54" s="135"/>
      <c r="AP54" s="135"/>
      <c r="AQ54" s="135"/>
      <c r="AR54" s="135"/>
      <c r="AS54" s="136"/>
      <c r="AT54" s="190"/>
      <c r="AU54" s="137"/>
      <c r="AV54" s="137"/>
      <c r="AW54" s="137"/>
      <c r="AX54" s="137"/>
      <c r="AY54" s="137"/>
      <c r="AZ54" s="137"/>
      <c r="BA54" s="137"/>
      <c r="BB54" s="137"/>
      <c r="BC54" s="137"/>
      <c r="BD54" s="138"/>
    </row>
    <row r="55" spans="1:56" s="1" customFormat="1" ht="14.4" customHeight="1">
      <c r="A55" s="145">
        <f>IF(B55="","",COUNTA($B$8:B55))</f>
        <v>47</v>
      </c>
      <c r="B55" s="8" t="s">
        <v>263</v>
      </c>
      <c r="C55" s="127"/>
      <c r="D55" s="127"/>
      <c r="E55" s="127"/>
      <c r="F55" s="127"/>
      <c r="G55" s="127"/>
      <c r="H55" s="148"/>
      <c r="I55" s="131" t="s">
        <v>264</v>
      </c>
      <c r="J55" s="129"/>
      <c r="K55" s="129"/>
      <c r="L55" s="129"/>
      <c r="M55" s="129"/>
      <c r="N55" s="129"/>
      <c r="O55" s="129"/>
      <c r="P55" s="129"/>
      <c r="Q55" s="147"/>
      <c r="R55" s="146" t="s">
        <v>263</v>
      </c>
      <c r="S55" s="129"/>
      <c r="T55" s="129"/>
      <c r="U55" s="129"/>
      <c r="V55" s="129"/>
      <c r="W55" s="129"/>
      <c r="X55" s="148"/>
      <c r="Y55" s="451" t="s">
        <v>169</v>
      </c>
      <c r="Z55" s="452"/>
      <c r="AA55" s="448" t="s">
        <v>243</v>
      </c>
      <c r="AB55" s="449"/>
      <c r="AC55" s="450"/>
      <c r="AD55" s="188"/>
      <c r="AE55" s="124"/>
      <c r="AF55" s="124"/>
      <c r="AG55" s="134"/>
      <c r="AH55" s="134"/>
      <c r="AI55" s="134"/>
      <c r="AJ55" s="134"/>
      <c r="AK55" s="134"/>
      <c r="AL55" s="134"/>
      <c r="AM55" s="134"/>
      <c r="AN55" s="134"/>
      <c r="AO55" s="135"/>
      <c r="AP55" s="135"/>
      <c r="AQ55" s="135"/>
      <c r="AR55" s="135"/>
      <c r="AS55" s="136"/>
      <c r="AT55" s="190"/>
      <c r="AU55" s="137"/>
      <c r="AV55" s="137"/>
      <c r="AW55" s="137"/>
      <c r="AX55" s="137"/>
      <c r="AY55" s="137"/>
      <c r="AZ55" s="137"/>
      <c r="BA55" s="137"/>
      <c r="BB55" s="137"/>
      <c r="BC55" s="137"/>
      <c r="BD55" s="138"/>
    </row>
    <row r="56" spans="1:56" s="1" customFormat="1" ht="14.4" customHeight="1">
      <c r="A56" s="145" t="str">
        <f>IF(B56="","",COUNTA($B$8:B56))</f>
        <v/>
      </c>
      <c r="B56" s="8"/>
      <c r="C56" s="127"/>
      <c r="D56" s="127"/>
      <c r="E56" s="127"/>
      <c r="F56" s="127"/>
      <c r="G56" s="127"/>
      <c r="H56" s="148"/>
      <c r="I56" s="146"/>
      <c r="J56" s="129"/>
      <c r="K56" s="129"/>
      <c r="L56" s="129"/>
      <c r="M56" s="129"/>
      <c r="N56" s="129"/>
      <c r="O56" s="129"/>
      <c r="P56" s="129"/>
      <c r="Q56" s="147"/>
      <c r="R56" s="8"/>
      <c r="S56" s="129"/>
      <c r="T56" s="129"/>
      <c r="U56" s="129"/>
      <c r="V56" s="129"/>
      <c r="W56" s="129"/>
      <c r="X56" s="148"/>
      <c r="Y56" s="451"/>
      <c r="Z56" s="452"/>
      <c r="AA56" s="448"/>
      <c r="AB56" s="449"/>
      <c r="AC56" s="450"/>
      <c r="AD56" s="188"/>
      <c r="AE56" s="124" t="s">
        <v>244</v>
      </c>
      <c r="AF56" s="124"/>
      <c r="AG56" s="134"/>
      <c r="AH56" s="134"/>
      <c r="AI56" s="134"/>
      <c r="AJ56" s="134"/>
      <c r="AK56" s="134"/>
      <c r="AL56" s="134"/>
      <c r="AM56" s="134"/>
      <c r="AN56" s="134"/>
      <c r="AO56" s="135"/>
      <c r="AP56" s="135"/>
      <c r="AQ56" s="135"/>
      <c r="AR56" s="135"/>
      <c r="AS56" s="136"/>
      <c r="AT56" s="190"/>
      <c r="AU56" s="137"/>
      <c r="AV56" s="137"/>
      <c r="AW56" s="137"/>
      <c r="AX56" s="137"/>
      <c r="AY56" s="137"/>
      <c r="AZ56" s="137"/>
      <c r="BA56" s="137"/>
      <c r="BB56" s="137"/>
      <c r="BC56" s="137"/>
      <c r="BD56" s="138"/>
    </row>
    <row r="57" spans="1:56" s="1" customFormat="1" ht="14.4" customHeight="1">
      <c r="A57" s="145" t="str">
        <f>IF(B57="","",COUNTA($B$8:B57))</f>
        <v/>
      </c>
      <c r="B57" s="8"/>
      <c r="C57" s="127"/>
      <c r="D57" s="127"/>
      <c r="E57" s="127"/>
      <c r="F57" s="127"/>
      <c r="G57" s="127"/>
      <c r="H57" s="148"/>
      <c r="I57" s="146"/>
      <c r="J57" s="129"/>
      <c r="K57" s="129"/>
      <c r="L57" s="129"/>
      <c r="M57" s="129"/>
      <c r="N57" s="129"/>
      <c r="O57" s="129"/>
      <c r="P57" s="129"/>
      <c r="Q57" s="147"/>
      <c r="R57" s="8"/>
      <c r="S57" s="129"/>
      <c r="T57" s="129"/>
      <c r="U57" s="129"/>
      <c r="V57" s="129"/>
      <c r="W57" s="129"/>
      <c r="X57" s="148"/>
      <c r="Y57" s="451"/>
      <c r="Z57" s="452"/>
      <c r="AA57" s="448"/>
      <c r="AB57" s="449"/>
      <c r="AC57" s="450"/>
      <c r="AD57" s="188"/>
      <c r="AE57" s="124" t="s">
        <v>244</v>
      </c>
      <c r="AF57" s="124"/>
      <c r="AG57" s="134"/>
      <c r="AH57" s="134"/>
      <c r="AI57" s="134"/>
      <c r="AJ57" s="134"/>
      <c r="AK57" s="134"/>
      <c r="AL57" s="134"/>
      <c r="AM57" s="134"/>
      <c r="AN57" s="134"/>
      <c r="AO57" s="135"/>
      <c r="AP57" s="135"/>
      <c r="AQ57" s="135"/>
      <c r="AR57" s="135"/>
      <c r="AS57" s="136"/>
      <c r="AT57" s="190"/>
      <c r="AU57" s="137"/>
      <c r="AV57" s="137"/>
      <c r="AW57" s="137"/>
      <c r="AX57" s="137"/>
      <c r="AY57" s="137"/>
      <c r="AZ57" s="137"/>
      <c r="BA57" s="137"/>
      <c r="BB57" s="137"/>
      <c r="BC57" s="137"/>
      <c r="BD57" s="138"/>
    </row>
    <row r="58" spans="1:56" s="1" customFormat="1" ht="14.4" customHeight="1">
      <c r="A58" s="145" t="str">
        <f>IF(B58="","",COUNTA($B$8:B58))</f>
        <v/>
      </c>
      <c r="B58" s="8"/>
      <c r="C58" s="127"/>
      <c r="D58" s="127"/>
      <c r="E58" s="127"/>
      <c r="F58" s="127"/>
      <c r="G58" s="127"/>
      <c r="H58" s="148"/>
      <c r="I58" s="146"/>
      <c r="J58" s="129"/>
      <c r="K58" s="129"/>
      <c r="L58" s="129"/>
      <c r="M58" s="129"/>
      <c r="N58" s="129"/>
      <c r="O58" s="129"/>
      <c r="P58" s="129"/>
      <c r="Q58" s="147"/>
      <c r="R58" s="8"/>
      <c r="S58" s="129"/>
      <c r="T58" s="129"/>
      <c r="U58" s="129"/>
      <c r="V58" s="129"/>
      <c r="W58" s="129"/>
      <c r="X58" s="148"/>
      <c r="Y58" s="451"/>
      <c r="Z58" s="452"/>
      <c r="AA58" s="448"/>
      <c r="AB58" s="449"/>
      <c r="AC58" s="450"/>
      <c r="AD58" s="188"/>
      <c r="AE58" s="124" t="s">
        <v>244</v>
      </c>
      <c r="AF58" s="124"/>
      <c r="AG58" s="134"/>
      <c r="AH58" s="134"/>
      <c r="AI58" s="134"/>
      <c r="AJ58" s="134"/>
      <c r="AK58" s="134"/>
      <c r="AL58" s="134"/>
      <c r="AM58" s="134"/>
      <c r="AN58" s="134"/>
      <c r="AO58" s="135"/>
      <c r="AP58" s="135"/>
      <c r="AQ58" s="135"/>
      <c r="AR58" s="135"/>
      <c r="AS58" s="136"/>
      <c r="AT58" s="190"/>
      <c r="AU58" s="137"/>
      <c r="AV58" s="137"/>
      <c r="AW58" s="137"/>
      <c r="AX58" s="137"/>
      <c r="AY58" s="137"/>
      <c r="AZ58" s="137"/>
      <c r="BA58" s="137"/>
      <c r="BB58" s="137"/>
      <c r="BC58" s="137"/>
      <c r="BD58" s="138"/>
    </row>
    <row r="59" spans="1:56" s="1" customFormat="1" ht="14.4" customHeight="1">
      <c r="A59" s="145" t="str">
        <f>IF(B59="","",COUNTA($B$8:B59))</f>
        <v/>
      </c>
      <c r="B59" s="8"/>
      <c r="C59" s="127"/>
      <c r="D59" s="127"/>
      <c r="E59" s="127"/>
      <c r="F59" s="127"/>
      <c r="G59" s="127"/>
      <c r="H59" s="148"/>
      <c r="I59" s="146"/>
      <c r="J59" s="129"/>
      <c r="K59" s="129"/>
      <c r="L59" s="129"/>
      <c r="M59" s="129"/>
      <c r="N59" s="129"/>
      <c r="O59" s="129"/>
      <c r="P59" s="129"/>
      <c r="Q59" s="147"/>
      <c r="R59" s="8"/>
      <c r="S59" s="129"/>
      <c r="T59" s="129"/>
      <c r="U59" s="129"/>
      <c r="V59" s="129"/>
      <c r="W59" s="129"/>
      <c r="X59" s="148"/>
      <c r="Y59" s="451"/>
      <c r="Z59" s="452"/>
      <c r="AA59" s="448"/>
      <c r="AB59" s="449"/>
      <c r="AC59" s="450"/>
      <c r="AD59" s="188"/>
      <c r="AE59" s="124" t="s">
        <v>244</v>
      </c>
      <c r="AF59" s="124"/>
      <c r="AG59" s="134"/>
      <c r="AH59" s="134"/>
      <c r="AI59" s="134"/>
      <c r="AJ59" s="134"/>
      <c r="AK59" s="134"/>
      <c r="AL59" s="134"/>
      <c r="AM59" s="134"/>
      <c r="AN59" s="134"/>
      <c r="AO59" s="135"/>
      <c r="AP59" s="135"/>
      <c r="AQ59" s="135"/>
      <c r="AR59" s="135"/>
      <c r="AS59" s="136"/>
      <c r="AT59" s="190"/>
      <c r="AU59" s="137"/>
      <c r="AV59" s="137"/>
      <c r="AW59" s="137"/>
      <c r="AX59" s="137"/>
      <c r="AY59" s="137"/>
      <c r="AZ59" s="137"/>
      <c r="BA59" s="137"/>
      <c r="BB59" s="137"/>
      <c r="BC59" s="137"/>
      <c r="BD59" s="138"/>
    </row>
    <row r="60" spans="1:56" s="1" customFormat="1" ht="14.4" customHeight="1">
      <c r="A60" s="145" t="str">
        <f>IF(B60="","",COUNTA($B$8:B60))</f>
        <v/>
      </c>
      <c r="B60" s="8"/>
      <c r="C60" s="127"/>
      <c r="D60" s="127"/>
      <c r="E60" s="127"/>
      <c r="F60" s="127"/>
      <c r="G60" s="127"/>
      <c r="H60" s="148"/>
      <c r="I60" s="146"/>
      <c r="J60" s="129"/>
      <c r="K60" s="129"/>
      <c r="L60" s="129"/>
      <c r="M60" s="129"/>
      <c r="N60" s="129"/>
      <c r="O60" s="129"/>
      <c r="P60" s="129"/>
      <c r="Q60" s="147"/>
      <c r="R60" s="8"/>
      <c r="S60" s="129"/>
      <c r="T60" s="129"/>
      <c r="U60" s="129"/>
      <c r="V60" s="129"/>
      <c r="W60" s="129"/>
      <c r="X60" s="148"/>
      <c r="Y60" s="451"/>
      <c r="Z60" s="452"/>
      <c r="AA60" s="448"/>
      <c r="AB60" s="449"/>
      <c r="AC60" s="450"/>
      <c r="AD60" s="188"/>
      <c r="AE60" s="124" t="s">
        <v>244</v>
      </c>
      <c r="AF60" s="124"/>
      <c r="AG60" s="134"/>
      <c r="AH60" s="134"/>
      <c r="AI60" s="134"/>
      <c r="AJ60" s="134"/>
      <c r="AK60" s="134"/>
      <c r="AL60" s="134"/>
      <c r="AM60" s="134"/>
      <c r="AN60" s="134"/>
      <c r="AO60" s="135"/>
      <c r="AP60" s="135"/>
      <c r="AQ60" s="135"/>
      <c r="AR60" s="135"/>
      <c r="AS60" s="136"/>
      <c r="AT60" s="190"/>
      <c r="AU60" s="137"/>
      <c r="AV60" s="137"/>
      <c r="AW60" s="137"/>
      <c r="AX60" s="137"/>
      <c r="AY60" s="137"/>
      <c r="AZ60" s="137"/>
      <c r="BA60" s="137"/>
      <c r="BB60" s="137"/>
      <c r="BC60" s="137"/>
      <c r="BD60" s="138"/>
    </row>
    <row r="61" spans="1:56" s="1" customFormat="1" ht="14.4" customHeight="1">
      <c r="A61" s="145" t="str">
        <f>IF(B61="","",COUNTA($B$8:B61))</f>
        <v/>
      </c>
      <c r="B61" s="8"/>
      <c r="C61" s="127"/>
      <c r="D61" s="127"/>
      <c r="E61" s="127"/>
      <c r="F61" s="127"/>
      <c r="G61" s="127"/>
      <c r="H61" s="148"/>
      <c r="I61" s="146"/>
      <c r="J61" s="129"/>
      <c r="K61" s="129"/>
      <c r="L61" s="129"/>
      <c r="M61" s="129"/>
      <c r="N61" s="129"/>
      <c r="O61" s="129"/>
      <c r="P61" s="129"/>
      <c r="Q61" s="147"/>
      <c r="R61" s="8"/>
      <c r="S61" s="129"/>
      <c r="T61" s="129"/>
      <c r="U61" s="129"/>
      <c r="V61" s="129"/>
      <c r="W61" s="129"/>
      <c r="X61" s="148"/>
      <c r="Y61" s="451"/>
      <c r="Z61" s="452"/>
      <c r="AA61" s="448"/>
      <c r="AB61" s="449"/>
      <c r="AC61" s="450"/>
      <c r="AD61" s="188"/>
      <c r="AE61" s="124" t="s">
        <v>244</v>
      </c>
      <c r="AF61" s="124"/>
      <c r="AG61" s="134"/>
      <c r="AH61" s="134"/>
      <c r="AI61" s="134"/>
      <c r="AJ61" s="134"/>
      <c r="AK61" s="134"/>
      <c r="AL61" s="134"/>
      <c r="AM61" s="134"/>
      <c r="AN61" s="134"/>
      <c r="AO61" s="135"/>
      <c r="AP61" s="135"/>
      <c r="AQ61" s="135"/>
      <c r="AR61" s="135"/>
      <c r="AS61" s="136"/>
      <c r="AT61" s="190"/>
      <c r="AU61" s="137"/>
      <c r="AV61" s="137"/>
      <c r="AW61" s="137"/>
      <c r="AX61" s="137"/>
      <c r="AY61" s="137"/>
      <c r="AZ61" s="137"/>
      <c r="BA61" s="137"/>
      <c r="BB61" s="137"/>
      <c r="BC61" s="137"/>
      <c r="BD61" s="138"/>
    </row>
    <row r="62" spans="1:56" s="1" customFormat="1" ht="14.4" customHeight="1">
      <c r="A62" s="145" t="str">
        <f>IF(B62="","",COUNTA($B$8:B62))</f>
        <v/>
      </c>
      <c r="B62" s="8"/>
      <c r="C62" s="127"/>
      <c r="D62" s="127"/>
      <c r="E62" s="127"/>
      <c r="F62" s="127"/>
      <c r="G62" s="127"/>
      <c r="H62" s="148"/>
      <c r="I62" s="146"/>
      <c r="J62" s="129"/>
      <c r="K62" s="129"/>
      <c r="L62" s="129"/>
      <c r="M62" s="129"/>
      <c r="N62" s="129"/>
      <c r="O62" s="129"/>
      <c r="P62" s="129"/>
      <c r="Q62" s="147"/>
      <c r="R62" s="8"/>
      <c r="S62" s="129"/>
      <c r="T62" s="129"/>
      <c r="U62" s="129"/>
      <c r="V62" s="129"/>
      <c r="W62" s="129"/>
      <c r="X62" s="148"/>
      <c r="Y62" s="451"/>
      <c r="Z62" s="452"/>
      <c r="AA62" s="448"/>
      <c r="AB62" s="449"/>
      <c r="AC62" s="450"/>
      <c r="AD62" s="188"/>
      <c r="AE62" s="124" t="s">
        <v>244</v>
      </c>
      <c r="AF62" s="124"/>
      <c r="AG62" s="134"/>
      <c r="AH62" s="134"/>
      <c r="AI62" s="134"/>
      <c r="AJ62" s="134"/>
      <c r="AK62" s="134"/>
      <c r="AL62" s="134"/>
      <c r="AM62" s="134"/>
      <c r="AN62" s="134"/>
      <c r="AO62" s="135"/>
      <c r="AP62" s="135"/>
      <c r="AQ62" s="135"/>
      <c r="AR62" s="135"/>
      <c r="AS62" s="136"/>
      <c r="AT62" s="190"/>
      <c r="AU62" s="137"/>
      <c r="AV62" s="137"/>
      <c r="AW62" s="137"/>
      <c r="AX62" s="137"/>
      <c r="AY62" s="137"/>
      <c r="AZ62" s="137"/>
      <c r="BA62" s="137"/>
      <c r="BB62" s="137"/>
      <c r="BC62" s="137"/>
      <c r="BD62" s="138"/>
    </row>
    <row r="63" spans="1:56" s="1" customFormat="1" ht="14.4" customHeight="1">
      <c r="A63" s="145" t="str">
        <f>IF(B63="","",COUNTA($B$8:B63))</f>
        <v/>
      </c>
      <c r="B63" s="8"/>
      <c r="C63" s="127"/>
      <c r="D63" s="127"/>
      <c r="E63" s="127"/>
      <c r="F63" s="127"/>
      <c r="G63" s="127"/>
      <c r="H63" s="148"/>
      <c r="I63" s="146"/>
      <c r="J63" s="129"/>
      <c r="K63" s="129"/>
      <c r="L63" s="129"/>
      <c r="M63" s="129"/>
      <c r="N63" s="129"/>
      <c r="O63" s="129"/>
      <c r="P63" s="129"/>
      <c r="Q63" s="147"/>
      <c r="R63" s="8"/>
      <c r="S63" s="129"/>
      <c r="T63" s="129"/>
      <c r="U63" s="129"/>
      <c r="V63" s="129"/>
      <c r="W63" s="129"/>
      <c r="X63" s="148"/>
      <c r="Y63" s="451"/>
      <c r="Z63" s="452"/>
      <c r="AA63" s="448"/>
      <c r="AB63" s="449"/>
      <c r="AC63" s="450"/>
      <c r="AD63" s="188"/>
      <c r="AE63" s="124" t="s">
        <v>244</v>
      </c>
      <c r="AF63" s="124"/>
      <c r="AG63" s="134"/>
      <c r="AH63" s="134"/>
      <c r="AI63" s="134"/>
      <c r="AJ63" s="134"/>
      <c r="AK63" s="134"/>
      <c r="AL63" s="134"/>
      <c r="AM63" s="134"/>
      <c r="AN63" s="134"/>
      <c r="AO63" s="135"/>
      <c r="AP63" s="135"/>
      <c r="AQ63" s="135"/>
      <c r="AR63" s="135"/>
      <c r="AS63" s="136"/>
      <c r="AT63" s="190"/>
      <c r="AU63" s="137"/>
      <c r="AV63" s="137"/>
      <c r="AW63" s="137"/>
      <c r="AX63" s="137"/>
      <c r="AY63" s="137"/>
      <c r="AZ63" s="137"/>
      <c r="BA63" s="137"/>
      <c r="BB63" s="137"/>
      <c r="BC63" s="137"/>
      <c r="BD63" s="138"/>
    </row>
    <row r="64" spans="1:56" s="1" customFormat="1" ht="14.4" customHeight="1">
      <c r="A64" s="145" t="str">
        <f>IF(B64="","",COUNTA($B$8:B64))</f>
        <v/>
      </c>
      <c r="B64" s="8"/>
      <c r="C64" s="127"/>
      <c r="D64" s="127"/>
      <c r="E64" s="127"/>
      <c r="F64" s="127"/>
      <c r="G64" s="127"/>
      <c r="H64" s="148"/>
      <c r="I64" s="146"/>
      <c r="J64" s="129"/>
      <c r="K64" s="129"/>
      <c r="L64" s="129"/>
      <c r="M64" s="129"/>
      <c r="N64" s="129"/>
      <c r="O64" s="129"/>
      <c r="P64" s="129"/>
      <c r="Q64" s="147"/>
      <c r="R64" s="8"/>
      <c r="S64" s="129"/>
      <c r="T64" s="129"/>
      <c r="U64" s="129"/>
      <c r="V64" s="129"/>
      <c r="W64" s="129"/>
      <c r="X64" s="148"/>
      <c r="Y64" s="451"/>
      <c r="Z64" s="452"/>
      <c r="AA64" s="448"/>
      <c r="AB64" s="449"/>
      <c r="AC64" s="450"/>
      <c r="AD64" s="188"/>
      <c r="AE64" s="124" t="s">
        <v>244</v>
      </c>
      <c r="AF64" s="124"/>
      <c r="AG64" s="134"/>
      <c r="AH64" s="134"/>
      <c r="AI64" s="134"/>
      <c r="AJ64" s="134"/>
      <c r="AK64" s="134"/>
      <c r="AL64" s="134"/>
      <c r="AM64" s="134"/>
      <c r="AN64" s="134"/>
      <c r="AO64" s="135"/>
      <c r="AP64" s="135"/>
      <c r="AQ64" s="135"/>
      <c r="AR64" s="135"/>
      <c r="AS64" s="136"/>
      <c r="AT64" s="190"/>
      <c r="AU64" s="137"/>
      <c r="AV64" s="137"/>
      <c r="AW64" s="137"/>
      <c r="AX64" s="137"/>
      <c r="AY64" s="137"/>
      <c r="AZ64" s="137"/>
      <c r="BA64" s="137"/>
      <c r="BB64" s="137"/>
      <c r="BC64" s="137"/>
      <c r="BD64" s="138"/>
    </row>
    <row r="65" spans="1:56" s="1" customFormat="1" ht="14.4" customHeight="1">
      <c r="A65" s="145" t="str">
        <f>IF(B65="","",COUNTA($B$8:B65))</f>
        <v/>
      </c>
      <c r="B65" s="8"/>
      <c r="C65" s="127"/>
      <c r="D65" s="127"/>
      <c r="E65" s="127"/>
      <c r="F65" s="127"/>
      <c r="G65" s="127"/>
      <c r="H65" s="148"/>
      <c r="I65" s="146"/>
      <c r="J65" s="129"/>
      <c r="K65" s="129"/>
      <c r="L65" s="129"/>
      <c r="M65" s="129"/>
      <c r="N65" s="129"/>
      <c r="O65" s="129"/>
      <c r="P65" s="129"/>
      <c r="Q65" s="147"/>
      <c r="R65" s="8"/>
      <c r="S65" s="129"/>
      <c r="T65" s="129"/>
      <c r="U65" s="129"/>
      <c r="V65" s="129"/>
      <c r="W65" s="129"/>
      <c r="X65" s="148"/>
      <c r="Y65" s="451"/>
      <c r="Z65" s="452"/>
      <c r="AA65" s="448"/>
      <c r="AB65" s="449"/>
      <c r="AC65" s="450"/>
      <c r="AD65" s="188"/>
      <c r="AE65" s="124" t="s">
        <v>244</v>
      </c>
      <c r="AF65" s="124"/>
      <c r="AG65" s="134"/>
      <c r="AH65" s="134"/>
      <c r="AI65" s="134"/>
      <c r="AJ65" s="134"/>
      <c r="AK65" s="134"/>
      <c r="AL65" s="134"/>
      <c r="AM65" s="134"/>
      <c r="AN65" s="134"/>
      <c r="AO65" s="135"/>
      <c r="AP65" s="135"/>
      <c r="AQ65" s="135"/>
      <c r="AR65" s="135"/>
      <c r="AS65" s="136"/>
      <c r="AT65" s="190"/>
      <c r="AU65" s="137"/>
      <c r="AV65" s="137"/>
      <c r="AW65" s="137"/>
      <c r="AX65" s="137"/>
      <c r="AY65" s="137"/>
      <c r="AZ65" s="137"/>
      <c r="BA65" s="137"/>
      <c r="BB65" s="137"/>
      <c r="BC65" s="137"/>
      <c r="BD65" s="138"/>
    </row>
    <row r="66" spans="1:56" s="1" customFormat="1" ht="14.4" customHeight="1">
      <c r="A66" s="145" t="str">
        <f>IF(B66="","",COUNTA($B$8:B66))</f>
        <v/>
      </c>
      <c r="B66" s="8"/>
      <c r="C66" s="127"/>
      <c r="D66" s="127"/>
      <c r="E66" s="127"/>
      <c r="F66" s="127"/>
      <c r="G66" s="127"/>
      <c r="H66" s="148"/>
      <c r="I66" s="146"/>
      <c r="J66" s="129"/>
      <c r="K66" s="129"/>
      <c r="L66" s="129"/>
      <c r="M66" s="129"/>
      <c r="N66" s="129"/>
      <c r="O66" s="129"/>
      <c r="P66" s="129"/>
      <c r="Q66" s="147"/>
      <c r="R66" s="8"/>
      <c r="S66" s="129"/>
      <c r="T66" s="129"/>
      <c r="U66" s="129"/>
      <c r="V66" s="129"/>
      <c r="W66" s="129"/>
      <c r="X66" s="148"/>
      <c r="Y66" s="451"/>
      <c r="Z66" s="452"/>
      <c r="AA66" s="448"/>
      <c r="AB66" s="449"/>
      <c r="AC66" s="450"/>
      <c r="AD66" s="188"/>
      <c r="AE66" s="124" t="s">
        <v>244</v>
      </c>
      <c r="AF66" s="124"/>
      <c r="AG66" s="134"/>
      <c r="AH66" s="134"/>
      <c r="AI66" s="134"/>
      <c r="AJ66" s="134"/>
      <c r="AK66" s="134"/>
      <c r="AL66" s="134"/>
      <c r="AM66" s="134"/>
      <c r="AN66" s="134"/>
      <c r="AO66" s="135"/>
      <c r="AP66" s="135"/>
      <c r="AQ66" s="135"/>
      <c r="AR66" s="135"/>
      <c r="AS66" s="136"/>
      <c r="AT66" s="190"/>
      <c r="AU66" s="137"/>
      <c r="AV66" s="137"/>
      <c r="AW66" s="137"/>
      <c r="AX66" s="137"/>
      <c r="AY66" s="137"/>
      <c r="AZ66" s="137"/>
      <c r="BA66" s="137"/>
      <c r="BB66" s="137"/>
      <c r="BC66" s="137"/>
      <c r="BD66" s="138"/>
    </row>
    <row r="67" spans="1:56" s="1" customFormat="1" ht="14.4" customHeight="1">
      <c r="A67" s="145" t="str">
        <f>IF(B67="","",COUNTA($B$8:B67))</f>
        <v/>
      </c>
      <c r="B67" s="8"/>
      <c r="C67" s="127"/>
      <c r="D67" s="127"/>
      <c r="E67" s="127"/>
      <c r="F67" s="127"/>
      <c r="G67" s="127"/>
      <c r="H67" s="148"/>
      <c r="I67" s="146"/>
      <c r="J67" s="129"/>
      <c r="K67" s="129"/>
      <c r="L67" s="129"/>
      <c r="M67" s="129"/>
      <c r="N67" s="129"/>
      <c r="O67" s="129"/>
      <c r="P67" s="129"/>
      <c r="Q67" s="147"/>
      <c r="R67" s="8"/>
      <c r="S67" s="129"/>
      <c r="T67" s="129"/>
      <c r="U67" s="129"/>
      <c r="V67" s="129"/>
      <c r="W67" s="129"/>
      <c r="X67" s="148"/>
      <c r="Y67" s="451"/>
      <c r="Z67" s="452"/>
      <c r="AA67" s="448"/>
      <c r="AB67" s="449"/>
      <c r="AC67" s="450"/>
      <c r="AD67" s="188"/>
      <c r="AE67" s="124" t="s">
        <v>244</v>
      </c>
      <c r="AF67" s="124"/>
      <c r="AG67" s="134"/>
      <c r="AH67" s="134"/>
      <c r="AI67" s="134"/>
      <c r="AJ67" s="134"/>
      <c r="AK67" s="134"/>
      <c r="AL67" s="134"/>
      <c r="AM67" s="134"/>
      <c r="AN67" s="134"/>
      <c r="AO67" s="135"/>
      <c r="AP67" s="135"/>
      <c r="AQ67" s="135"/>
      <c r="AR67" s="135"/>
      <c r="AS67" s="136"/>
      <c r="AT67" s="190"/>
      <c r="AU67" s="137"/>
      <c r="AV67" s="137"/>
      <c r="AW67" s="137"/>
      <c r="AX67" s="137"/>
      <c r="AY67" s="137"/>
      <c r="AZ67" s="137"/>
      <c r="BA67" s="137"/>
      <c r="BB67" s="137"/>
      <c r="BC67" s="137"/>
      <c r="BD67" s="138"/>
    </row>
    <row r="68" spans="1:56" s="1" customFormat="1" ht="14.4" customHeight="1">
      <c r="A68" s="145" t="str">
        <f>IF(B68="","",COUNTA($B$8:B68))</f>
        <v/>
      </c>
      <c r="B68" s="8"/>
      <c r="C68" s="127"/>
      <c r="D68" s="127"/>
      <c r="E68" s="127"/>
      <c r="F68" s="127"/>
      <c r="G68" s="127"/>
      <c r="H68" s="148"/>
      <c r="I68" s="146"/>
      <c r="J68" s="129"/>
      <c r="K68" s="129"/>
      <c r="L68" s="129"/>
      <c r="M68" s="129"/>
      <c r="N68" s="129"/>
      <c r="O68" s="129"/>
      <c r="P68" s="129"/>
      <c r="Q68" s="147"/>
      <c r="R68" s="8"/>
      <c r="S68" s="129"/>
      <c r="T68" s="129"/>
      <c r="U68" s="129"/>
      <c r="V68" s="129"/>
      <c r="W68" s="129"/>
      <c r="X68" s="148"/>
      <c r="Y68" s="451"/>
      <c r="Z68" s="452"/>
      <c r="AA68" s="448"/>
      <c r="AB68" s="449"/>
      <c r="AC68" s="450"/>
      <c r="AD68" s="188"/>
      <c r="AE68" s="124" t="s">
        <v>244</v>
      </c>
      <c r="AF68" s="124"/>
      <c r="AG68" s="134"/>
      <c r="AH68" s="134"/>
      <c r="AI68" s="134"/>
      <c r="AJ68" s="134"/>
      <c r="AK68" s="134"/>
      <c r="AL68" s="134"/>
      <c r="AM68" s="134"/>
      <c r="AN68" s="134"/>
      <c r="AO68" s="135"/>
      <c r="AP68" s="135"/>
      <c r="AQ68" s="135"/>
      <c r="AR68" s="135"/>
      <c r="AS68" s="136"/>
      <c r="AT68" s="190"/>
      <c r="AU68" s="137"/>
      <c r="AV68" s="137"/>
      <c r="AW68" s="137"/>
      <c r="AX68" s="137"/>
      <c r="AY68" s="137"/>
      <c r="AZ68" s="137"/>
      <c r="BA68" s="137"/>
      <c r="BB68" s="137"/>
      <c r="BC68" s="137"/>
      <c r="BD68" s="138"/>
    </row>
    <row r="69" spans="1:56" s="1" customFormat="1" ht="14.4" customHeight="1">
      <c r="A69" s="145" t="str">
        <f>IF(B69="","",COUNTA($B$8:B69))</f>
        <v/>
      </c>
      <c r="B69" s="8"/>
      <c r="C69" s="127"/>
      <c r="D69" s="127"/>
      <c r="E69" s="127"/>
      <c r="F69" s="127"/>
      <c r="G69" s="127"/>
      <c r="H69" s="148"/>
      <c r="I69" s="146"/>
      <c r="J69" s="129"/>
      <c r="K69" s="129"/>
      <c r="L69" s="129"/>
      <c r="M69" s="129"/>
      <c r="N69" s="129"/>
      <c r="O69" s="129"/>
      <c r="P69" s="129"/>
      <c r="Q69" s="147"/>
      <c r="R69" s="8"/>
      <c r="S69" s="129"/>
      <c r="T69" s="129"/>
      <c r="U69" s="129"/>
      <c r="V69" s="129"/>
      <c r="W69" s="129"/>
      <c r="X69" s="148"/>
      <c r="Y69" s="451"/>
      <c r="Z69" s="452"/>
      <c r="AA69" s="448"/>
      <c r="AB69" s="449"/>
      <c r="AC69" s="450"/>
      <c r="AD69" s="188"/>
      <c r="AE69" s="124" t="s">
        <v>244</v>
      </c>
      <c r="AF69" s="124"/>
      <c r="AG69" s="134"/>
      <c r="AH69" s="134"/>
      <c r="AI69" s="134"/>
      <c r="AJ69" s="134"/>
      <c r="AK69" s="134"/>
      <c r="AL69" s="134"/>
      <c r="AM69" s="134"/>
      <c r="AN69" s="134"/>
      <c r="AO69" s="135"/>
      <c r="AP69" s="135"/>
      <c r="AQ69" s="135"/>
      <c r="AR69" s="135"/>
      <c r="AS69" s="136"/>
      <c r="AT69" s="190"/>
      <c r="AU69" s="137"/>
      <c r="AV69" s="137"/>
      <c r="AW69" s="137"/>
      <c r="AX69" s="137"/>
      <c r="AY69" s="137"/>
      <c r="AZ69" s="137"/>
      <c r="BA69" s="137"/>
      <c r="BB69" s="137"/>
      <c r="BC69" s="137"/>
      <c r="BD69" s="138"/>
    </row>
    <row r="70" spans="1:56" s="1" customFormat="1" ht="14.4" customHeight="1">
      <c r="A70" s="145" t="str">
        <f>IF(B70="","",COUNTA($B$8:B70))</f>
        <v/>
      </c>
      <c r="B70" s="8"/>
      <c r="C70" s="127"/>
      <c r="D70" s="127"/>
      <c r="E70" s="127"/>
      <c r="F70" s="127"/>
      <c r="G70" s="127"/>
      <c r="H70" s="148"/>
      <c r="I70" s="146"/>
      <c r="J70" s="129"/>
      <c r="K70" s="129"/>
      <c r="L70" s="129"/>
      <c r="M70" s="129"/>
      <c r="N70" s="129"/>
      <c r="O70" s="129"/>
      <c r="P70" s="129"/>
      <c r="Q70" s="147"/>
      <c r="R70" s="8"/>
      <c r="S70" s="129"/>
      <c r="T70" s="129"/>
      <c r="U70" s="129"/>
      <c r="V70" s="129"/>
      <c r="W70" s="129"/>
      <c r="X70" s="148"/>
      <c r="Y70" s="451"/>
      <c r="Z70" s="452"/>
      <c r="AA70" s="448"/>
      <c r="AB70" s="449"/>
      <c r="AC70" s="450"/>
      <c r="AD70" s="188"/>
      <c r="AE70" s="124" t="s">
        <v>244</v>
      </c>
      <c r="AF70" s="124"/>
      <c r="AG70" s="134"/>
      <c r="AH70" s="134"/>
      <c r="AI70" s="134"/>
      <c r="AJ70" s="134"/>
      <c r="AK70" s="134"/>
      <c r="AL70" s="134"/>
      <c r="AM70" s="134"/>
      <c r="AN70" s="134"/>
      <c r="AO70" s="135"/>
      <c r="AP70" s="135"/>
      <c r="AQ70" s="135"/>
      <c r="AR70" s="135"/>
      <c r="AS70" s="136"/>
      <c r="AT70" s="190"/>
      <c r="AU70" s="137"/>
      <c r="AV70" s="137"/>
      <c r="AW70" s="137"/>
      <c r="AX70" s="137"/>
      <c r="AY70" s="137"/>
      <c r="AZ70" s="137"/>
      <c r="BA70" s="137"/>
      <c r="BB70" s="137"/>
      <c r="BC70" s="137"/>
      <c r="BD70" s="138"/>
    </row>
    <row r="71" spans="1:56" s="1" customFormat="1" ht="14.4" customHeight="1">
      <c r="A71" s="145" t="str">
        <f>IF(B71="","",COUNTA($B$8:B71))</f>
        <v/>
      </c>
      <c r="B71" s="8"/>
      <c r="C71" s="127"/>
      <c r="D71" s="127"/>
      <c r="E71" s="127"/>
      <c r="F71" s="127"/>
      <c r="G71" s="127"/>
      <c r="H71" s="148"/>
      <c r="I71" s="146"/>
      <c r="J71" s="129"/>
      <c r="K71" s="129"/>
      <c r="L71" s="129"/>
      <c r="M71" s="129"/>
      <c r="N71" s="129"/>
      <c r="O71" s="129"/>
      <c r="P71" s="129"/>
      <c r="Q71" s="147"/>
      <c r="R71" s="8"/>
      <c r="S71" s="129"/>
      <c r="T71" s="129"/>
      <c r="U71" s="129"/>
      <c r="V71" s="129"/>
      <c r="W71" s="129"/>
      <c r="X71" s="148"/>
      <c r="Y71" s="451"/>
      <c r="Z71" s="452"/>
      <c r="AA71" s="448"/>
      <c r="AB71" s="449"/>
      <c r="AC71" s="450"/>
      <c r="AD71" s="188"/>
      <c r="AE71" s="124" t="s">
        <v>244</v>
      </c>
      <c r="AF71" s="124"/>
      <c r="AG71" s="134"/>
      <c r="AH71" s="134"/>
      <c r="AI71" s="134"/>
      <c r="AJ71" s="134"/>
      <c r="AK71" s="134"/>
      <c r="AL71" s="134"/>
      <c r="AM71" s="134"/>
      <c r="AN71" s="134"/>
      <c r="AO71" s="135"/>
      <c r="AP71" s="135"/>
      <c r="AQ71" s="135"/>
      <c r="AR71" s="135"/>
      <c r="AS71" s="136"/>
      <c r="AT71" s="190"/>
      <c r="AU71" s="137"/>
      <c r="AV71" s="137"/>
      <c r="AW71" s="137"/>
      <c r="AX71" s="137"/>
      <c r="AY71" s="137"/>
      <c r="AZ71" s="137"/>
      <c r="BA71" s="137"/>
      <c r="BB71" s="137"/>
      <c r="BC71" s="137"/>
      <c r="BD71" s="138"/>
    </row>
    <row r="72" spans="1:56" s="1" customFormat="1" ht="14.4" customHeight="1">
      <c r="A72" s="145" t="str">
        <f>IF(B72="","",COUNTA($B$8:B72))</f>
        <v/>
      </c>
      <c r="B72" s="8"/>
      <c r="C72" s="127"/>
      <c r="D72" s="127"/>
      <c r="E72" s="127"/>
      <c r="F72" s="127"/>
      <c r="G72" s="127"/>
      <c r="H72" s="148"/>
      <c r="I72" s="146"/>
      <c r="J72" s="129"/>
      <c r="K72" s="129"/>
      <c r="L72" s="129"/>
      <c r="M72" s="129"/>
      <c r="N72" s="129"/>
      <c r="O72" s="129"/>
      <c r="P72" s="129"/>
      <c r="Q72" s="147"/>
      <c r="R72" s="8"/>
      <c r="S72" s="129"/>
      <c r="T72" s="129"/>
      <c r="U72" s="129"/>
      <c r="V72" s="129"/>
      <c r="W72" s="129"/>
      <c r="X72" s="148"/>
      <c r="Y72" s="451"/>
      <c r="Z72" s="452"/>
      <c r="AA72" s="448"/>
      <c r="AB72" s="449"/>
      <c r="AC72" s="450"/>
      <c r="AD72" s="188"/>
      <c r="AE72" s="124" t="s">
        <v>244</v>
      </c>
      <c r="AF72" s="124"/>
      <c r="AG72" s="134"/>
      <c r="AH72" s="134"/>
      <c r="AI72" s="134"/>
      <c r="AJ72" s="134"/>
      <c r="AK72" s="134"/>
      <c r="AL72" s="134"/>
      <c r="AM72" s="134"/>
      <c r="AN72" s="134"/>
      <c r="AO72" s="135"/>
      <c r="AP72" s="135"/>
      <c r="AQ72" s="135"/>
      <c r="AR72" s="135"/>
      <c r="AS72" s="136"/>
      <c r="AT72" s="190"/>
      <c r="AU72" s="137"/>
      <c r="AV72" s="137"/>
      <c r="AW72" s="137"/>
      <c r="AX72" s="137"/>
      <c r="AY72" s="137"/>
      <c r="AZ72" s="137"/>
      <c r="BA72" s="137"/>
      <c r="BB72" s="137"/>
      <c r="BC72" s="137"/>
      <c r="BD72" s="138"/>
    </row>
    <row r="73" spans="1:56" s="1" customFormat="1" ht="14.4" customHeight="1">
      <c r="A73" s="145" t="str">
        <f>IF(B73="","",COUNTA($B$8:B73))</f>
        <v/>
      </c>
      <c r="B73" s="8"/>
      <c r="C73" s="127"/>
      <c r="D73" s="127"/>
      <c r="E73" s="127"/>
      <c r="F73" s="127"/>
      <c r="G73" s="127"/>
      <c r="H73" s="148"/>
      <c r="I73" s="146"/>
      <c r="J73" s="129"/>
      <c r="K73" s="129"/>
      <c r="L73" s="129"/>
      <c r="M73" s="129"/>
      <c r="N73" s="129"/>
      <c r="O73" s="129"/>
      <c r="P73" s="129"/>
      <c r="Q73" s="147"/>
      <c r="R73" s="8"/>
      <c r="S73" s="129"/>
      <c r="T73" s="129"/>
      <c r="U73" s="129"/>
      <c r="V73" s="129"/>
      <c r="W73" s="129"/>
      <c r="X73" s="148"/>
      <c r="Y73" s="451"/>
      <c r="Z73" s="452"/>
      <c r="AA73" s="448"/>
      <c r="AB73" s="449"/>
      <c r="AC73" s="450"/>
      <c r="AD73" s="188"/>
      <c r="AE73" s="124" t="s">
        <v>244</v>
      </c>
      <c r="AF73" s="124"/>
      <c r="AG73" s="134"/>
      <c r="AH73" s="134"/>
      <c r="AI73" s="134"/>
      <c r="AJ73" s="134"/>
      <c r="AK73" s="134"/>
      <c r="AL73" s="134"/>
      <c r="AM73" s="134"/>
      <c r="AN73" s="134"/>
      <c r="AO73" s="135"/>
      <c r="AP73" s="135"/>
      <c r="AQ73" s="135"/>
      <c r="AR73" s="135"/>
      <c r="AS73" s="136"/>
      <c r="AT73" s="190"/>
      <c r="AU73" s="137"/>
      <c r="AV73" s="137"/>
      <c r="AW73" s="137"/>
      <c r="AX73" s="137"/>
      <c r="AY73" s="137"/>
      <c r="AZ73" s="137"/>
      <c r="BA73" s="137"/>
      <c r="BB73" s="137"/>
      <c r="BC73" s="137"/>
      <c r="BD73" s="138"/>
    </row>
    <row r="74" spans="1:56" s="1" customFormat="1" ht="14.4" customHeight="1">
      <c r="A74" s="145" t="str">
        <f>IF(B74="","",COUNTA($B$8:B74))</f>
        <v/>
      </c>
      <c r="B74" s="8"/>
      <c r="C74" s="127"/>
      <c r="D74" s="127"/>
      <c r="E74" s="127"/>
      <c r="F74" s="127"/>
      <c r="G74" s="127"/>
      <c r="H74" s="148"/>
      <c r="I74" s="146"/>
      <c r="J74" s="129"/>
      <c r="K74" s="129"/>
      <c r="L74" s="129"/>
      <c r="M74" s="129"/>
      <c r="N74" s="129"/>
      <c r="O74" s="129"/>
      <c r="P74" s="129"/>
      <c r="Q74" s="147"/>
      <c r="R74" s="8"/>
      <c r="S74" s="129"/>
      <c r="T74" s="129"/>
      <c r="U74" s="129"/>
      <c r="V74" s="129"/>
      <c r="W74" s="129"/>
      <c r="X74" s="148"/>
      <c r="Y74" s="451"/>
      <c r="Z74" s="452"/>
      <c r="AA74" s="448"/>
      <c r="AB74" s="449"/>
      <c r="AC74" s="450"/>
      <c r="AD74" s="188"/>
      <c r="AE74" s="124" t="s">
        <v>244</v>
      </c>
      <c r="AF74" s="124"/>
      <c r="AG74" s="134"/>
      <c r="AH74" s="134"/>
      <c r="AI74" s="134"/>
      <c r="AJ74" s="134"/>
      <c r="AK74" s="134"/>
      <c r="AL74" s="134"/>
      <c r="AM74" s="134"/>
      <c r="AN74" s="134"/>
      <c r="AO74" s="135"/>
      <c r="AP74" s="135"/>
      <c r="AQ74" s="135"/>
      <c r="AR74" s="135"/>
      <c r="AS74" s="136"/>
      <c r="AT74" s="190"/>
      <c r="AU74" s="137"/>
      <c r="AV74" s="137"/>
      <c r="AW74" s="137"/>
      <c r="AX74" s="137"/>
      <c r="AY74" s="137"/>
      <c r="AZ74" s="137"/>
      <c r="BA74" s="137"/>
      <c r="BB74" s="137"/>
      <c r="BC74" s="137"/>
      <c r="BD74" s="138"/>
    </row>
    <row r="75" spans="1:56" s="1" customFormat="1" ht="14.4" customHeight="1">
      <c r="A75" s="145" t="str">
        <f>IF(B75="","",COUNTA($B$8:B75))</f>
        <v/>
      </c>
      <c r="B75" s="8"/>
      <c r="C75" s="127"/>
      <c r="D75" s="127"/>
      <c r="E75" s="127"/>
      <c r="F75" s="127"/>
      <c r="G75" s="127"/>
      <c r="H75" s="148"/>
      <c r="I75" s="146"/>
      <c r="J75" s="129"/>
      <c r="K75" s="129"/>
      <c r="L75" s="129"/>
      <c r="M75" s="129"/>
      <c r="N75" s="129"/>
      <c r="O75" s="129"/>
      <c r="P75" s="129"/>
      <c r="Q75" s="147"/>
      <c r="R75" s="8"/>
      <c r="S75" s="129"/>
      <c r="T75" s="129"/>
      <c r="U75" s="129"/>
      <c r="V75" s="129"/>
      <c r="W75" s="129"/>
      <c r="X75" s="148"/>
      <c r="Y75" s="451"/>
      <c r="Z75" s="452"/>
      <c r="AA75" s="448"/>
      <c r="AB75" s="449"/>
      <c r="AC75" s="450"/>
      <c r="AD75" s="188"/>
      <c r="AE75" s="124" t="s">
        <v>244</v>
      </c>
      <c r="AF75" s="124"/>
      <c r="AG75" s="134"/>
      <c r="AH75" s="134"/>
      <c r="AI75" s="134"/>
      <c r="AJ75" s="134"/>
      <c r="AK75" s="134"/>
      <c r="AL75" s="134"/>
      <c r="AM75" s="134"/>
      <c r="AN75" s="134"/>
      <c r="AO75" s="135"/>
      <c r="AP75" s="135"/>
      <c r="AQ75" s="135"/>
      <c r="AR75" s="135"/>
      <c r="AS75" s="136"/>
      <c r="AT75" s="190"/>
      <c r="AU75" s="137"/>
      <c r="AV75" s="137"/>
      <c r="AW75" s="137"/>
      <c r="AX75" s="137"/>
      <c r="AY75" s="137"/>
      <c r="AZ75" s="137"/>
      <c r="BA75" s="137"/>
      <c r="BB75" s="137"/>
      <c r="BC75" s="137"/>
      <c r="BD75" s="138"/>
    </row>
    <row r="76" spans="1:56" s="1" customFormat="1" ht="14.4" customHeight="1">
      <c r="A76" s="145" t="str">
        <f>IF(B76="","",COUNTA($B$8:B76))</f>
        <v/>
      </c>
      <c r="B76" s="8"/>
      <c r="C76" s="127"/>
      <c r="D76" s="127"/>
      <c r="E76" s="127"/>
      <c r="F76" s="127"/>
      <c r="G76" s="127"/>
      <c r="H76" s="148"/>
      <c r="I76" s="146"/>
      <c r="J76" s="129"/>
      <c r="K76" s="129"/>
      <c r="L76" s="129"/>
      <c r="M76" s="129"/>
      <c r="N76" s="129"/>
      <c r="O76" s="129"/>
      <c r="P76" s="129"/>
      <c r="Q76" s="147"/>
      <c r="R76" s="8"/>
      <c r="S76" s="129"/>
      <c r="T76" s="129"/>
      <c r="U76" s="129"/>
      <c r="V76" s="129"/>
      <c r="W76" s="129"/>
      <c r="X76" s="148"/>
      <c r="Y76" s="451"/>
      <c r="Z76" s="452"/>
      <c r="AA76" s="448"/>
      <c r="AB76" s="449"/>
      <c r="AC76" s="450"/>
      <c r="AD76" s="188"/>
      <c r="AE76" s="124" t="s">
        <v>244</v>
      </c>
      <c r="AF76" s="124"/>
      <c r="AG76" s="134"/>
      <c r="AH76" s="134"/>
      <c r="AI76" s="134"/>
      <c r="AJ76" s="134"/>
      <c r="AK76" s="134"/>
      <c r="AL76" s="134"/>
      <c r="AM76" s="134"/>
      <c r="AN76" s="134"/>
      <c r="AO76" s="135"/>
      <c r="AP76" s="135"/>
      <c r="AQ76" s="135"/>
      <c r="AR76" s="135"/>
      <c r="AS76" s="136"/>
      <c r="AT76" s="190"/>
      <c r="AU76" s="137"/>
      <c r="AV76" s="137"/>
      <c r="AW76" s="137"/>
      <c r="AX76" s="137"/>
      <c r="AY76" s="137"/>
      <c r="AZ76" s="137"/>
      <c r="BA76" s="137"/>
      <c r="BB76" s="137"/>
      <c r="BC76" s="137"/>
      <c r="BD76" s="138"/>
    </row>
    <row r="77" spans="1:56" s="1" customFormat="1" ht="14.4" customHeight="1">
      <c r="A77" s="145" t="str">
        <f>IF(B77="","",COUNTA($B$8:B77))</f>
        <v/>
      </c>
      <c r="B77" s="8"/>
      <c r="C77" s="127"/>
      <c r="D77" s="127"/>
      <c r="E77" s="127"/>
      <c r="F77" s="127"/>
      <c r="G77" s="127"/>
      <c r="H77" s="148"/>
      <c r="I77" s="146"/>
      <c r="J77" s="129"/>
      <c r="K77" s="129"/>
      <c r="L77" s="129"/>
      <c r="M77" s="129"/>
      <c r="N77" s="129"/>
      <c r="O77" s="129"/>
      <c r="P77" s="129"/>
      <c r="Q77" s="147"/>
      <c r="R77" s="8"/>
      <c r="S77" s="129"/>
      <c r="T77" s="129"/>
      <c r="U77" s="129"/>
      <c r="V77" s="129"/>
      <c r="W77" s="129"/>
      <c r="X77" s="148"/>
      <c r="Y77" s="451"/>
      <c r="Z77" s="452"/>
      <c r="AA77" s="448"/>
      <c r="AB77" s="449"/>
      <c r="AC77" s="450"/>
      <c r="AD77" s="188"/>
      <c r="AE77" s="124" t="s">
        <v>244</v>
      </c>
      <c r="AF77" s="124"/>
      <c r="AG77" s="134"/>
      <c r="AH77" s="134"/>
      <c r="AI77" s="134"/>
      <c r="AJ77" s="134"/>
      <c r="AK77" s="134"/>
      <c r="AL77" s="134"/>
      <c r="AM77" s="134"/>
      <c r="AN77" s="134"/>
      <c r="AO77" s="135"/>
      <c r="AP77" s="135"/>
      <c r="AQ77" s="135"/>
      <c r="AR77" s="135"/>
      <c r="AS77" s="136"/>
      <c r="AT77" s="190"/>
      <c r="AU77" s="137"/>
      <c r="AV77" s="137"/>
      <c r="AW77" s="137"/>
      <c r="AX77" s="137"/>
      <c r="AY77" s="137"/>
      <c r="AZ77" s="137"/>
      <c r="BA77" s="137"/>
      <c r="BB77" s="137"/>
      <c r="BC77" s="137"/>
      <c r="BD77" s="138"/>
    </row>
    <row r="78" spans="1:56" s="1" customFormat="1" ht="14.4" customHeight="1">
      <c r="A78" s="145" t="str">
        <f>IF(B78="","",COUNTA($B$8:B78))</f>
        <v/>
      </c>
      <c r="B78" s="8"/>
      <c r="C78" s="127"/>
      <c r="D78" s="127"/>
      <c r="E78" s="127"/>
      <c r="F78" s="127"/>
      <c r="G78" s="127"/>
      <c r="H78" s="148"/>
      <c r="I78" s="146"/>
      <c r="J78" s="129"/>
      <c r="K78" s="129"/>
      <c r="L78" s="129"/>
      <c r="M78" s="129"/>
      <c r="N78" s="129"/>
      <c r="O78" s="129"/>
      <c r="P78" s="129"/>
      <c r="Q78" s="147"/>
      <c r="R78" s="8"/>
      <c r="S78" s="129"/>
      <c r="T78" s="129"/>
      <c r="U78" s="129"/>
      <c r="V78" s="129"/>
      <c r="W78" s="129"/>
      <c r="X78" s="148"/>
      <c r="Y78" s="451"/>
      <c r="Z78" s="452"/>
      <c r="AA78" s="448"/>
      <c r="AB78" s="449"/>
      <c r="AC78" s="450"/>
      <c r="AD78" s="188"/>
      <c r="AE78" s="124" t="s">
        <v>244</v>
      </c>
      <c r="AF78" s="124"/>
      <c r="AG78" s="134"/>
      <c r="AH78" s="134"/>
      <c r="AI78" s="134"/>
      <c r="AJ78" s="134"/>
      <c r="AK78" s="134"/>
      <c r="AL78" s="134"/>
      <c r="AM78" s="134"/>
      <c r="AN78" s="134"/>
      <c r="AO78" s="135"/>
      <c r="AP78" s="135"/>
      <c r="AQ78" s="135"/>
      <c r="AR78" s="135"/>
      <c r="AS78" s="136"/>
      <c r="AT78" s="190"/>
      <c r="AU78" s="137"/>
      <c r="AV78" s="137"/>
      <c r="AW78" s="137"/>
      <c r="AX78" s="137"/>
      <c r="AY78" s="137"/>
      <c r="AZ78" s="137"/>
      <c r="BA78" s="137"/>
      <c r="BB78" s="137"/>
      <c r="BC78" s="137"/>
      <c r="BD78" s="138"/>
    </row>
    <row r="79" spans="1:56" s="1" customFormat="1" ht="14.4" customHeight="1">
      <c r="A79" s="145" t="str">
        <f>IF(B79="","",COUNTA($B$8:B79))</f>
        <v/>
      </c>
      <c r="B79" s="8"/>
      <c r="C79" s="127"/>
      <c r="D79" s="127"/>
      <c r="E79" s="127"/>
      <c r="F79" s="127"/>
      <c r="G79" s="127"/>
      <c r="H79" s="148"/>
      <c r="I79" s="146"/>
      <c r="J79" s="129"/>
      <c r="K79" s="129"/>
      <c r="L79" s="129"/>
      <c r="M79" s="129"/>
      <c r="N79" s="129"/>
      <c r="O79" s="129"/>
      <c r="P79" s="129"/>
      <c r="Q79" s="147"/>
      <c r="R79" s="8"/>
      <c r="S79" s="129"/>
      <c r="T79" s="129"/>
      <c r="U79" s="129"/>
      <c r="V79" s="129"/>
      <c r="W79" s="129"/>
      <c r="X79" s="148"/>
      <c r="Y79" s="451"/>
      <c r="Z79" s="452"/>
      <c r="AA79" s="448"/>
      <c r="AB79" s="449"/>
      <c r="AC79" s="450"/>
      <c r="AD79" s="188"/>
      <c r="AE79" s="124" t="s">
        <v>244</v>
      </c>
      <c r="AF79" s="124"/>
      <c r="AG79" s="134"/>
      <c r="AH79" s="134"/>
      <c r="AI79" s="134"/>
      <c r="AJ79" s="134"/>
      <c r="AK79" s="134"/>
      <c r="AL79" s="134"/>
      <c r="AM79" s="134"/>
      <c r="AN79" s="134"/>
      <c r="AO79" s="135"/>
      <c r="AP79" s="135"/>
      <c r="AQ79" s="135"/>
      <c r="AR79" s="135"/>
      <c r="AS79" s="136"/>
      <c r="AT79" s="190"/>
      <c r="AU79" s="137"/>
      <c r="AV79" s="137"/>
      <c r="AW79" s="137"/>
      <c r="AX79" s="137"/>
      <c r="AY79" s="137"/>
      <c r="AZ79" s="137"/>
      <c r="BA79" s="137"/>
      <c r="BB79" s="137"/>
      <c r="BC79" s="137"/>
      <c r="BD79" s="138"/>
    </row>
    <row r="80" spans="1:56" s="1" customFormat="1" ht="14.4" customHeight="1">
      <c r="A80" s="145" t="str">
        <f>IF(B80="","",COUNTA($B$8:B80))</f>
        <v/>
      </c>
      <c r="B80" s="8"/>
      <c r="C80" s="127"/>
      <c r="D80" s="127"/>
      <c r="E80" s="127"/>
      <c r="F80" s="127"/>
      <c r="G80" s="127"/>
      <c r="H80" s="148"/>
      <c r="I80" s="146"/>
      <c r="J80" s="129"/>
      <c r="K80" s="129"/>
      <c r="L80" s="129"/>
      <c r="M80" s="129"/>
      <c r="N80" s="129"/>
      <c r="O80" s="129"/>
      <c r="P80" s="129"/>
      <c r="Q80" s="147"/>
      <c r="R80" s="8"/>
      <c r="S80" s="129"/>
      <c r="T80" s="129"/>
      <c r="U80" s="129"/>
      <c r="V80" s="129"/>
      <c r="W80" s="129"/>
      <c r="X80" s="148"/>
      <c r="Y80" s="451"/>
      <c r="Z80" s="452"/>
      <c r="AA80" s="448"/>
      <c r="AB80" s="449"/>
      <c r="AC80" s="450"/>
      <c r="AD80" s="188"/>
      <c r="AE80" s="124" t="s">
        <v>244</v>
      </c>
      <c r="AF80" s="124"/>
      <c r="AG80" s="134"/>
      <c r="AH80" s="134"/>
      <c r="AI80" s="134"/>
      <c r="AJ80" s="134"/>
      <c r="AK80" s="134"/>
      <c r="AL80" s="134"/>
      <c r="AM80" s="134"/>
      <c r="AN80" s="134"/>
      <c r="AO80" s="135"/>
      <c r="AP80" s="135"/>
      <c r="AQ80" s="135"/>
      <c r="AR80" s="135"/>
      <c r="AS80" s="136"/>
      <c r="AT80" s="190"/>
      <c r="AU80" s="137"/>
      <c r="AV80" s="137"/>
      <c r="AW80" s="137"/>
      <c r="AX80" s="137"/>
      <c r="AY80" s="137"/>
      <c r="AZ80" s="137"/>
      <c r="BA80" s="137"/>
      <c r="BB80" s="137"/>
      <c r="BC80" s="137"/>
      <c r="BD80" s="138"/>
    </row>
    <row r="81" spans="1:56" s="1" customFormat="1" ht="14.4" customHeight="1">
      <c r="A81" s="145" t="str">
        <f>IF(B81="","",COUNTA($B$8:B81))</f>
        <v/>
      </c>
      <c r="B81" s="8"/>
      <c r="C81" s="127"/>
      <c r="D81" s="127"/>
      <c r="E81" s="127"/>
      <c r="F81" s="127"/>
      <c r="G81" s="127"/>
      <c r="H81" s="148"/>
      <c r="I81" s="146"/>
      <c r="J81" s="129"/>
      <c r="K81" s="129"/>
      <c r="L81" s="129"/>
      <c r="M81" s="129"/>
      <c r="N81" s="129"/>
      <c r="O81" s="129"/>
      <c r="P81" s="129"/>
      <c r="Q81" s="147"/>
      <c r="R81" s="8"/>
      <c r="S81" s="129"/>
      <c r="T81" s="129"/>
      <c r="U81" s="129"/>
      <c r="V81" s="129"/>
      <c r="W81" s="129"/>
      <c r="X81" s="148"/>
      <c r="Y81" s="451"/>
      <c r="Z81" s="452"/>
      <c r="AA81" s="448"/>
      <c r="AB81" s="449"/>
      <c r="AC81" s="450"/>
      <c r="AD81" s="188"/>
      <c r="AE81" s="124" t="s">
        <v>244</v>
      </c>
      <c r="AF81" s="124"/>
      <c r="AG81" s="134"/>
      <c r="AH81" s="134"/>
      <c r="AI81" s="134"/>
      <c r="AJ81" s="134"/>
      <c r="AK81" s="134"/>
      <c r="AL81" s="134"/>
      <c r="AM81" s="134"/>
      <c r="AN81" s="134"/>
      <c r="AO81" s="135"/>
      <c r="AP81" s="135"/>
      <c r="AQ81" s="135"/>
      <c r="AR81" s="135"/>
      <c r="AS81" s="136"/>
      <c r="AT81" s="190"/>
      <c r="AU81" s="137"/>
      <c r="AV81" s="137"/>
      <c r="AW81" s="137"/>
      <c r="AX81" s="137"/>
      <c r="AY81" s="137"/>
      <c r="AZ81" s="137"/>
      <c r="BA81" s="137"/>
      <c r="BB81" s="137"/>
      <c r="BC81" s="137"/>
      <c r="BD81" s="138"/>
    </row>
    <row r="82" spans="1:56" s="1" customFormat="1" ht="14.4" customHeight="1">
      <c r="A82" s="145" t="str">
        <f>IF(B82="","",COUNTA($B$8:B82))</f>
        <v/>
      </c>
      <c r="B82" s="8"/>
      <c r="C82" s="127"/>
      <c r="D82" s="127"/>
      <c r="E82" s="127"/>
      <c r="F82" s="127"/>
      <c r="G82" s="127"/>
      <c r="H82" s="148"/>
      <c r="I82" s="146"/>
      <c r="J82" s="129"/>
      <c r="K82" s="129"/>
      <c r="L82" s="129"/>
      <c r="M82" s="129"/>
      <c r="N82" s="129"/>
      <c r="O82" s="129"/>
      <c r="P82" s="129"/>
      <c r="Q82" s="147"/>
      <c r="R82" s="8"/>
      <c r="S82" s="129"/>
      <c r="T82" s="129"/>
      <c r="U82" s="129"/>
      <c r="V82" s="129"/>
      <c r="W82" s="129"/>
      <c r="X82" s="148"/>
      <c r="Y82" s="451"/>
      <c r="Z82" s="452"/>
      <c r="AA82" s="448"/>
      <c r="AB82" s="449"/>
      <c r="AC82" s="450"/>
      <c r="AD82" s="188"/>
      <c r="AE82" s="124" t="s">
        <v>244</v>
      </c>
      <c r="AF82" s="124"/>
      <c r="AG82" s="134"/>
      <c r="AH82" s="134"/>
      <c r="AI82" s="134"/>
      <c r="AJ82" s="134"/>
      <c r="AK82" s="134"/>
      <c r="AL82" s="134"/>
      <c r="AM82" s="134"/>
      <c r="AN82" s="134"/>
      <c r="AO82" s="135"/>
      <c r="AP82" s="135"/>
      <c r="AQ82" s="135"/>
      <c r="AR82" s="135"/>
      <c r="AS82" s="136"/>
      <c r="AT82" s="190"/>
      <c r="AU82" s="137"/>
      <c r="AV82" s="137"/>
      <c r="AW82" s="137"/>
      <c r="AX82" s="137"/>
      <c r="AY82" s="137"/>
      <c r="AZ82" s="137"/>
      <c r="BA82" s="137"/>
      <c r="BB82" s="137"/>
      <c r="BC82" s="137"/>
      <c r="BD82" s="138"/>
    </row>
    <row r="83" spans="1:56" s="1" customFormat="1" ht="14.4" customHeight="1">
      <c r="A83" s="145" t="str">
        <f>IF(B83="","",COUNTA($B$8:B83))</f>
        <v/>
      </c>
      <c r="B83" s="8"/>
      <c r="C83" s="127"/>
      <c r="D83" s="127"/>
      <c r="E83" s="127"/>
      <c r="F83" s="127"/>
      <c r="G83" s="127"/>
      <c r="H83" s="148"/>
      <c r="I83" s="146"/>
      <c r="J83" s="129"/>
      <c r="K83" s="129"/>
      <c r="L83" s="129"/>
      <c r="M83" s="129"/>
      <c r="N83" s="129"/>
      <c r="O83" s="129"/>
      <c r="P83" s="129"/>
      <c r="Q83" s="147"/>
      <c r="R83" s="8"/>
      <c r="S83" s="129"/>
      <c r="T83" s="129"/>
      <c r="U83" s="129"/>
      <c r="V83" s="129"/>
      <c r="W83" s="129"/>
      <c r="X83" s="148"/>
      <c r="Y83" s="451"/>
      <c r="Z83" s="452"/>
      <c r="AA83" s="448"/>
      <c r="AB83" s="449"/>
      <c r="AC83" s="450"/>
      <c r="AD83" s="188"/>
      <c r="AE83" s="124" t="s">
        <v>244</v>
      </c>
      <c r="AF83" s="124"/>
      <c r="AG83" s="134"/>
      <c r="AH83" s="134"/>
      <c r="AI83" s="134"/>
      <c r="AJ83" s="134"/>
      <c r="AK83" s="134"/>
      <c r="AL83" s="134"/>
      <c r="AM83" s="134"/>
      <c r="AN83" s="134"/>
      <c r="AO83" s="135"/>
      <c r="AP83" s="135"/>
      <c r="AQ83" s="135"/>
      <c r="AR83" s="135"/>
      <c r="AS83" s="136"/>
      <c r="AT83" s="190"/>
      <c r="AU83" s="137"/>
      <c r="AV83" s="137"/>
      <c r="AW83" s="137"/>
      <c r="AX83" s="137"/>
      <c r="AY83" s="137"/>
      <c r="AZ83" s="137"/>
      <c r="BA83" s="137"/>
      <c r="BB83" s="137"/>
      <c r="BC83" s="137"/>
      <c r="BD83" s="138"/>
    </row>
    <row r="84" spans="1:56" s="1" customFormat="1" ht="14.4" customHeight="1">
      <c r="A84" s="145" t="str">
        <f>IF(B84="","",COUNTA($B$8:B84))</f>
        <v/>
      </c>
      <c r="B84" s="8"/>
      <c r="C84" s="127"/>
      <c r="D84" s="127"/>
      <c r="E84" s="127"/>
      <c r="F84" s="127"/>
      <c r="G84" s="127"/>
      <c r="H84" s="148"/>
      <c r="I84" s="146"/>
      <c r="J84" s="129"/>
      <c r="K84" s="129"/>
      <c r="L84" s="129"/>
      <c r="M84" s="129"/>
      <c r="N84" s="129"/>
      <c r="O84" s="129"/>
      <c r="P84" s="129"/>
      <c r="Q84" s="147"/>
      <c r="R84" s="8"/>
      <c r="S84" s="129"/>
      <c r="T84" s="129"/>
      <c r="U84" s="129"/>
      <c r="V84" s="129"/>
      <c r="W84" s="129"/>
      <c r="X84" s="148"/>
      <c r="Y84" s="451"/>
      <c r="Z84" s="452"/>
      <c r="AA84" s="448"/>
      <c r="AB84" s="449"/>
      <c r="AC84" s="450"/>
      <c r="AD84" s="188"/>
      <c r="AE84" s="124" t="s">
        <v>244</v>
      </c>
      <c r="AF84" s="124"/>
      <c r="AG84" s="134"/>
      <c r="AH84" s="134"/>
      <c r="AI84" s="134"/>
      <c r="AJ84" s="134"/>
      <c r="AK84" s="134"/>
      <c r="AL84" s="134"/>
      <c r="AM84" s="134"/>
      <c r="AN84" s="134"/>
      <c r="AO84" s="135"/>
      <c r="AP84" s="135"/>
      <c r="AQ84" s="135"/>
      <c r="AR84" s="135"/>
      <c r="AS84" s="136"/>
      <c r="AT84" s="190"/>
      <c r="AU84" s="137"/>
      <c r="AV84" s="137"/>
      <c r="AW84" s="137"/>
      <c r="AX84" s="137"/>
      <c r="AY84" s="137"/>
      <c r="AZ84" s="137"/>
      <c r="BA84" s="137"/>
      <c r="BB84" s="137"/>
      <c r="BC84" s="137"/>
      <c r="BD84" s="138"/>
    </row>
    <row r="85" spans="1:56" s="1" customFormat="1" ht="14.4" customHeight="1">
      <c r="A85" s="145" t="str">
        <f>IF(B85="","",COUNTA($B$8:B85))</f>
        <v/>
      </c>
      <c r="B85" s="8"/>
      <c r="C85" s="127"/>
      <c r="D85" s="127"/>
      <c r="E85" s="127"/>
      <c r="F85" s="127"/>
      <c r="G85" s="127"/>
      <c r="H85" s="148"/>
      <c r="I85" s="146"/>
      <c r="J85" s="129"/>
      <c r="K85" s="129"/>
      <c r="L85" s="129"/>
      <c r="M85" s="129"/>
      <c r="N85" s="129"/>
      <c r="O85" s="129"/>
      <c r="P85" s="129"/>
      <c r="Q85" s="147"/>
      <c r="R85" s="8"/>
      <c r="S85" s="129"/>
      <c r="T85" s="129"/>
      <c r="U85" s="129"/>
      <c r="V85" s="129"/>
      <c r="W85" s="129"/>
      <c r="X85" s="148"/>
      <c r="Y85" s="451"/>
      <c r="Z85" s="452"/>
      <c r="AA85" s="448"/>
      <c r="AB85" s="449"/>
      <c r="AC85" s="450"/>
      <c r="AD85" s="188"/>
      <c r="AE85" s="124" t="s">
        <v>244</v>
      </c>
      <c r="AF85" s="124"/>
      <c r="AG85" s="134"/>
      <c r="AH85" s="134"/>
      <c r="AI85" s="134"/>
      <c r="AJ85" s="134"/>
      <c r="AK85" s="134"/>
      <c r="AL85" s="134"/>
      <c r="AM85" s="134"/>
      <c r="AN85" s="134"/>
      <c r="AO85" s="135"/>
      <c r="AP85" s="135"/>
      <c r="AQ85" s="135"/>
      <c r="AR85" s="135"/>
      <c r="AS85" s="136"/>
      <c r="AT85" s="190"/>
      <c r="AU85" s="137"/>
      <c r="AV85" s="137"/>
      <c r="AW85" s="137"/>
      <c r="AX85" s="137"/>
      <c r="AY85" s="137"/>
      <c r="AZ85" s="137"/>
      <c r="BA85" s="137"/>
      <c r="BB85" s="137"/>
      <c r="BC85" s="137"/>
      <c r="BD85" s="138"/>
    </row>
  </sheetData>
  <mergeCells count="182">
    <mergeCell ref="Y83:Z83"/>
    <mergeCell ref="AA83:AC83"/>
    <mergeCell ref="Y84:Z84"/>
    <mergeCell ref="AA84:AC84"/>
    <mergeCell ref="Y85:Z85"/>
    <mergeCell ref="AA85:AC85"/>
    <mergeCell ref="Y78:Z78"/>
    <mergeCell ref="AA78:AC78"/>
    <mergeCell ref="Y79:Z79"/>
    <mergeCell ref="AA79:AC79"/>
    <mergeCell ref="Y80:Z80"/>
    <mergeCell ref="AA80:AC80"/>
    <mergeCell ref="Y81:Z81"/>
    <mergeCell ref="AA81:AC81"/>
    <mergeCell ref="Y82:Z82"/>
    <mergeCell ref="AA82:AC82"/>
    <mergeCell ref="Y73:Z73"/>
    <mergeCell ref="AA73:AC73"/>
    <mergeCell ref="Y74:Z74"/>
    <mergeCell ref="AA74:AC74"/>
    <mergeCell ref="Y75:Z75"/>
    <mergeCell ref="AA75:AC75"/>
    <mergeCell ref="Y76:Z76"/>
    <mergeCell ref="AA76:AC76"/>
    <mergeCell ref="Y77:Z77"/>
    <mergeCell ref="AA77:AC77"/>
    <mergeCell ref="Y70:Z70"/>
    <mergeCell ref="AA70:AC70"/>
    <mergeCell ref="Y71:Z71"/>
    <mergeCell ref="AA71:AC71"/>
    <mergeCell ref="Y72:Z72"/>
    <mergeCell ref="AA72:AC72"/>
    <mergeCell ref="Y32:Z32"/>
    <mergeCell ref="Y41:Z41"/>
    <mergeCell ref="Y42:Z42"/>
    <mergeCell ref="Y65:Z65"/>
    <mergeCell ref="AA65:AC65"/>
    <mergeCell ref="Y66:Z66"/>
    <mergeCell ref="AA66:AC66"/>
    <mergeCell ref="Y67:Z67"/>
    <mergeCell ref="AA67:AC67"/>
    <mergeCell ref="Y68:Z68"/>
    <mergeCell ref="AA68:AC68"/>
    <mergeCell ref="Y69:Z69"/>
    <mergeCell ref="AA69:AC69"/>
    <mergeCell ref="Y60:Z60"/>
    <mergeCell ref="AA60:AC60"/>
    <mergeCell ref="Y61:Z61"/>
    <mergeCell ref="AA61:AC61"/>
    <mergeCell ref="Y62:Z62"/>
    <mergeCell ref="AA62:AC62"/>
    <mergeCell ref="Y63:Z63"/>
    <mergeCell ref="AA63:AC63"/>
    <mergeCell ref="Y64:Z64"/>
    <mergeCell ref="AA64:AC64"/>
    <mergeCell ref="Y57:Z57"/>
    <mergeCell ref="AA57:AC57"/>
    <mergeCell ref="Y58:Z58"/>
    <mergeCell ref="AA58:AC58"/>
    <mergeCell ref="Y59:Z59"/>
    <mergeCell ref="AA59:AC59"/>
    <mergeCell ref="Y54:Z54"/>
    <mergeCell ref="AA54:AC54"/>
    <mergeCell ref="Y55:Z55"/>
    <mergeCell ref="AA55:AC55"/>
    <mergeCell ref="Y56:Z56"/>
    <mergeCell ref="AA56:AC56"/>
    <mergeCell ref="Y52:Z52"/>
    <mergeCell ref="AA52:AC52"/>
    <mergeCell ref="Y53:Z53"/>
    <mergeCell ref="AA53:AC53"/>
    <mergeCell ref="Y48:Z48"/>
    <mergeCell ref="AA48:AC48"/>
    <mergeCell ref="Y49:Z49"/>
    <mergeCell ref="AA49:AC49"/>
    <mergeCell ref="Y50:Z50"/>
    <mergeCell ref="AA50:AC50"/>
    <mergeCell ref="Y51:Z51"/>
    <mergeCell ref="AA51:AC51"/>
    <mergeCell ref="AA46:AC46"/>
    <mergeCell ref="AA47:AC47"/>
    <mergeCell ref="I2:Q4"/>
    <mergeCell ref="R2:X4"/>
    <mergeCell ref="I1:Q1"/>
    <mergeCell ref="R1:X1"/>
    <mergeCell ref="Y9:Z9"/>
    <mergeCell ref="AA9:AC9"/>
    <mergeCell ref="Y4:AO4"/>
    <mergeCell ref="Y33:Z33"/>
    <mergeCell ref="Y30:Z30"/>
    <mergeCell ref="Y27:Z27"/>
    <mergeCell ref="Y19:Z19"/>
    <mergeCell ref="Y26:Z26"/>
    <mergeCell ref="Y31:Z31"/>
    <mergeCell ref="Y29:Z29"/>
    <mergeCell ref="Y8:Z8"/>
    <mergeCell ref="AA8:AC8"/>
    <mergeCell ref="Y2:AO3"/>
    <mergeCell ref="Y22:Z22"/>
    <mergeCell ref="Y20:Z20"/>
    <mergeCell ref="AA20:AC20"/>
    <mergeCell ref="Y16:Z16"/>
    <mergeCell ref="Y17:Z17"/>
    <mergeCell ref="Y10:Z10"/>
    <mergeCell ref="Y11:Z11"/>
    <mergeCell ref="AP2:AT2"/>
    <mergeCell ref="AU1:AY1"/>
    <mergeCell ref="Y45:Z45"/>
    <mergeCell ref="AA45:AC45"/>
    <mergeCell ref="Y43:Z43"/>
    <mergeCell ref="Y44:Z44"/>
    <mergeCell ref="Y40:Z40"/>
    <mergeCell ref="Y39:Z39"/>
    <mergeCell ref="Y36:Z36"/>
    <mergeCell ref="Y37:Z37"/>
    <mergeCell ref="Y34:Z34"/>
    <mergeCell ref="Y38:Z38"/>
    <mergeCell ref="Y25:Z25"/>
    <mergeCell ref="Y23:Z23"/>
    <mergeCell ref="Y24:Z24"/>
    <mergeCell ref="Y28:Z28"/>
    <mergeCell ref="AA18:AC18"/>
    <mergeCell ref="AA19:AC19"/>
    <mergeCell ref="AA21:AC21"/>
    <mergeCell ref="AA22:AC22"/>
    <mergeCell ref="AA23:AC23"/>
    <mergeCell ref="AA24:AC24"/>
    <mergeCell ref="Y18:Z18"/>
    <mergeCell ref="Y21:Z21"/>
    <mergeCell ref="A1:H4"/>
    <mergeCell ref="AP4:AT4"/>
    <mergeCell ref="AU4:AY4"/>
    <mergeCell ref="AG6:AG7"/>
    <mergeCell ref="AH6:AH7"/>
    <mergeCell ref="AI6:AR6"/>
    <mergeCell ref="AS6:BD7"/>
    <mergeCell ref="A6:A7"/>
    <mergeCell ref="B6:H7"/>
    <mergeCell ref="I6:Q7"/>
    <mergeCell ref="R6:X7"/>
    <mergeCell ref="Y6:Z7"/>
    <mergeCell ref="AA6:AC7"/>
    <mergeCell ref="AD6:AD7"/>
    <mergeCell ref="AE6:AE7"/>
    <mergeCell ref="AF6:AF7"/>
    <mergeCell ref="AZ1:BD1"/>
    <mergeCell ref="AZ4:BD4"/>
    <mergeCell ref="Y1:AO1"/>
    <mergeCell ref="AP1:AT1"/>
    <mergeCell ref="AZ2:BD2"/>
    <mergeCell ref="AP3:AT3"/>
    <mergeCell ref="AU3:AY3"/>
    <mergeCell ref="AZ3:BD3"/>
    <mergeCell ref="Y12:Z12"/>
    <mergeCell ref="AA13:AC13"/>
    <mergeCell ref="AA14:AC14"/>
    <mergeCell ref="AA10:AC10"/>
    <mergeCell ref="AA11:AC11"/>
    <mergeCell ref="AA12:AC12"/>
    <mergeCell ref="AA15:AC15"/>
    <mergeCell ref="AA16:AC16"/>
    <mergeCell ref="AA17:AC17"/>
    <mergeCell ref="AA43:AC43"/>
    <mergeCell ref="AA44:AC44"/>
    <mergeCell ref="AA39:AC39"/>
    <mergeCell ref="AA40:AC40"/>
    <mergeCell ref="AA41:AC41"/>
    <mergeCell ref="AA25:AC25"/>
    <mergeCell ref="AA26:AC26"/>
    <mergeCell ref="AA27:AC27"/>
    <mergeCell ref="AA28:AC28"/>
    <mergeCell ref="AA29:AC29"/>
    <mergeCell ref="AA30:AC30"/>
    <mergeCell ref="AA32:AC32"/>
    <mergeCell ref="AA42:AC42"/>
    <mergeCell ref="AA31:AC31"/>
    <mergeCell ref="AA33:AC33"/>
    <mergeCell ref="AA34:AC34"/>
    <mergeCell ref="AA35:AC35"/>
    <mergeCell ref="AA36:AC36"/>
    <mergeCell ref="AA37:AC37"/>
    <mergeCell ref="AA38:AC38"/>
  </mergeCells>
  <phoneticPr fontId="5"/>
  <dataValidations count="3">
    <dataValidation imeMode="hiragana" allowBlank="1" showInputMessage="1" showErrorMessage="1" sqref="JO65516:JZ65518 TK65516:TV65518 ADG65516:ADR65518 ANC65516:ANN65518 AWY65516:AXJ65518 BGU65516:BHF65518 BQQ65516:BRB65518 CAM65516:CAX65518 CKI65516:CKT65518 CUE65516:CUP65518 DEA65516:DEL65518 DNW65516:DOH65518 DXS65516:DYD65518 EHO65516:EHZ65518 ERK65516:ERV65518 FBG65516:FBR65518 FLC65516:FLN65518 FUY65516:FVJ65518 GEU65516:GFF65518 GOQ65516:GPB65518 GYM65516:GYX65518 HII65516:HIT65518 HSE65516:HSP65518 ICA65516:ICL65518 ILW65516:IMH65518 IVS65516:IWD65518 JFO65516:JFZ65518 JPK65516:JPV65518 JZG65516:JZR65518 KJC65516:KJN65518 KSY65516:KTJ65518 LCU65516:LDF65518 LMQ65516:LNB65518 LWM65516:LWX65518 MGI65516:MGT65518 MQE65516:MQP65518 NAA65516:NAL65518 NJW65516:NKH65518 NTS65516:NUD65518 ODO65516:ODZ65518 ONK65516:ONV65518 OXG65516:OXR65518 PHC65516:PHN65518 PQY65516:PRJ65518 QAU65516:QBF65518 QKQ65516:QLB65518 QUM65516:QUX65518 REI65516:RET65518 ROE65516:ROP65518 RYA65516:RYL65518 SHW65516:SIH65518 SRS65516:SSD65518 TBO65516:TBZ65518 TLK65516:TLV65518 TVG65516:TVR65518 UFC65516:UFN65518 UOY65516:UPJ65518 UYU65516:UZF65518 VIQ65516:VJB65518 VSM65516:VSX65518 WCI65516:WCT65518 WME65516:WMP65518 WWA65516:WWL65518 JO131052:JZ131054 TK131052:TV131054 ADG131052:ADR131054 ANC131052:ANN131054 AWY131052:AXJ131054 BGU131052:BHF131054 BQQ131052:BRB131054 CAM131052:CAX131054 CKI131052:CKT131054 CUE131052:CUP131054 DEA131052:DEL131054 DNW131052:DOH131054 DXS131052:DYD131054 EHO131052:EHZ131054 ERK131052:ERV131054 FBG131052:FBR131054 FLC131052:FLN131054 FUY131052:FVJ131054 GEU131052:GFF131054 GOQ131052:GPB131054 GYM131052:GYX131054 HII131052:HIT131054 HSE131052:HSP131054 ICA131052:ICL131054 ILW131052:IMH131054 IVS131052:IWD131054 JFO131052:JFZ131054 JPK131052:JPV131054 JZG131052:JZR131054 KJC131052:KJN131054 KSY131052:KTJ131054 LCU131052:LDF131054 LMQ131052:LNB131054 LWM131052:LWX131054 MGI131052:MGT131054 MQE131052:MQP131054 NAA131052:NAL131054 NJW131052:NKH131054 NTS131052:NUD131054 ODO131052:ODZ131054 ONK131052:ONV131054 OXG131052:OXR131054 PHC131052:PHN131054 PQY131052:PRJ131054 QAU131052:QBF131054 QKQ131052:QLB131054 QUM131052:QUX131054 REI131052:RET131054 ROE131052:ROP131054 RYA131052:RYL131054 SHW131052:SIH131054 SRS131052:SSD131054 TBO131052:TBZ131054 TLK131052:TLV131054 TVG131052:TVR131054 UFC131052:UFN131054 UOY131052:UPJ131054 UYU131052:UZF131054 VIQ131052:VJB131054 VSM131052:VSX131054 WCI131052:WCT131054 WME131052:WMP131054 WWA131052:WWL131054 JO196588:JZ196590 TK196588:TV196590 ADG196588:ADR196590 ANC196588:ANN196590 AWY196588:AXJ196590 BGU196588:BHF196590 BQQ196588:BRB196590 CAM196588:CAX196590 CKI196588:CKT196590 CUE196588:CUP196590 DEA196588:DEL196590 DNW196588:DOH196590 DXS196588:DYD196590 EHO196588:EHZ196590 ERK196588:ERV196590 FBG196588:FBR196590 FLC196588:FLN196590 FUY196588:FVJ196590 GEU196588:GFF196590 GOQ196588:GPB196590 GYM196588:GYX196590 HII196588:HIT196590 HSE196588:HSP196590 ICA196588:ICL196590 ILW196588:IMH196590 IVS196588:IWD196590 JFO196588:JFZ196590 JPK196588:JPV196590 JZG196588:JZR196590 KJC196588:KJN196590 KSY196588:KTJ196590 LCU196588:LDF196590 LMQ196588:LNB196590 LWM196588:LWX196590 MGI196588:MGT196590 MQE196588:MQP196590 NAA196588:NAL196590 NJW196588:NKH196590 NTS196588:NUD196590 ODO196588:ODZ196590 ONK196588:ONV196590 OXG196588:OXR196590 PHC196588:PHN196590 PQY196588:PRJ196590 QAU196588:QBF196590 QKQ196588:QLB196590 QUM196588:QUX196590 REI196588:RET196590 ROE196588:ROP196590 RYA196588:RYL196590 SHW196588:SIH196590 SRS196588:SSD196590 TBO196588:TBZ196590 TLK196588:TLV196590 TVG196588:TVR196590 UFC196588:UFN196590 UOY196588:UPJ196590 UYU196588:UZF196590 VIQ196588:VJB196590 VSM196588:VSX196590 WCI196588:WCT196590 WME196588:WMP196590 WWA196588:WWL196590 JO262124:JZ262126 TK262124:TV262126 ADG262124:ADR262126 ANC262124:ANN262126 AWY262124:AXJ262126 BGU262124:BHF262126 BQQ262124:BRB262126 CAM262124:CAX262126 CKI262124:CKT262126 CUE262124:CUP262126 DEA262124:DEL262126 DNW262124:DOH262126 DXS262124:DYD262126 EHO262124:EHZ262126 ERK262124:ERV262126 FBG262124:FBR262126 FLC262124:FLN262126 FUY262124:FVJ262126 GEU262124:GFF262126 GOQ262124:GPB262126 GYM262124:GYX262126 HII262124:HIT262126 HSE262124:HSP262126 ICA262124:ICL262126 ILW262124:IMH262126 IVS262124:IWD262126 JFO262124:JFZ262126 JPK262124:JPV262126 JZG262124:JZR262126 KJC262124:KJN262126 KSY262124:KTJ262126 LCU262124:LDF262126 LMQ262124:LNB262126 LWM262124:LWX262126 MGI262124:MGT262126 MQE262124:MQP262126 NAA262124:NAL262126 NJW262124:NKH262126 NTS262124:NUD262126 ODO262124:ODZ262126 ONK262124:ONV262126 OXG262124:OXR262126 PHC262124:PHN262126 PQY262124:PRJ262126 QAU262124:QBF262126 QKQ262124:QLB262126 QUM262124:QUX262126 REI262124:RET262126 ROE262124:ROP262126 RYA262124:RYL262126 SHW262124:SIH262126 SRS262124:SSD262126 TBO262124:TBZ262126 TLK262124:TLV262126 TVG262124:TVR262126 UFC262124:UFN262126 UOY262124:UPJ262126 UYU262124:UZF262126 VIQ262124:VJB262126 VSM262124:VSX262126 WCI262124:WCT262126 WME262124:WMP262126 WWA262124:WWL262126 JO327660:JZ327662 TK327660:TV327662 ADG327660:ADR327662 ANC327660:ANN327662 AWY327660:AXJ327662 BGU327660:BHF327662 BQQ327660:BRB327662 CAM327660:CAX327662 CKI327660:CKT327662 CUE327660:CUP327662 DEA327660:DEL327662 DNW327660:DOH327662 DXS327660:DYD327662 EHO327660:EHZ327662 ERK327660:ERV327662 FBG327660:FBR327662 FLC327660:FLN327662 FUY327660:FVJ327662 GEU327660:GFF327662 GOQ327660:GPB327662 GYM327660:GYX327662 HII327660:HIT327662 HSE327660:HSP327662 ICA327660:ICL327662 ILW327660:IMH327662 IVS327660:IWD327662 JFO327660:JFZ327662 JPK327660:JPV327662 JZG327660:JZR327662 KJC327660:KJN327662 KSY327660:KTJ327662 LCU327660:LDF327662 LMQ327660:LNB327662 LWM327660:LWX327662 MGI327660:MGT327662 MQE327660:MQP327662 NAA327660:NAL327662 NJW327660:NKH327662 NTS327660:NUD327662 ODO327660:ODZ327662 ONK327660:ONV327662 OXG327660:OXR327662 PHC327660:PHN327662 PQY327660:PRJ327662 QAU327660:QBF327662 QKQ327660:QLB327662 QUM327660:QUX327662 REI327660:RET327662 ROE327660:ROP327662 RYA327660:RYL327662 SHW327660:SIH327662 SRS327660:SSD327662 TBO327660:TBZ327662 TLK327660:TLV327662 TVG327660:TVR327662 UFC327660:UFN327662 UOY327660:UPJ327662 UYU327660:UZF327662 VIQ327660:VJB327662 VSM327660:VSX327662 WCI327660:WCT327662 WME327660:WMP327662 WWA327660:WWL327662 JO393196:JZ393198 TK393196:TV393198 ADG393196:ADR393198 ANC393196:ANN393198 AWY393196:AXJ393198 BGU393196:BHF393198 BQQ393196:BRB393198 CAM393196:CAX393198 CKI393196:CKT393198 CUE393196:CUP393198 DEA393196:DEL393198 DNW393196:DOH393198 DXS393196:DYD393198 EHO393196:EHZ393198 ERK393196:ERV393198 FBG393196:FBR393198 FLC393196:FLN393198 FUY393196:FVJ393198 GEU393196:GFF393198 GOQ393196:GPB393198 GYM393196:GYX393198 HII393196:HIT393198 HSE393196:HSP393198 ICA393196:ICL393198 ILW393196:IMH393198 IVS393196:IWD393198 JFO393196:JFZ393198 JPK393196:JPV393198 JZG393196:JZR393198 KJC393196:KJN393198 KSY393196:KTJ393198 LCU393196:LDF393198 LMQ393196:LNB393198 LWM393196:LWX393198 MGI393196:MGT393198 MQE393196:MQP393198 NAA393196:NAL393198 NJW393196:NKH393198 NTS393196:NUD393198 ODO393196:ODZ393198 ONK393196:ONV393198 OXG393196:OXR393198 PHC393196:PHN393198 PQY393196:PRJ393198 QAU393196:QBF393198 QKQ393196:QLB393198 QUM393196:QUX393198 REI393196:RET393198 ROE393196:ROP393198 RYA393196:RYL393198 SHW393196:SIH393198 SRS393196:SSD393198 TBO393196:TBZ393198 TLK393196:TLV393198 TVG393196:TVR393198 UFC393196:UFN393198 UOY393196:UPJ393198 UYU393196:UZF393198 VIQ393196:VJB393198 VSM393196:VSX393198 WCI393196:WCT393198 WME393196:WMP393198 WWA393196:WWL393198 JO458732:JZ458734 TK458732:TV458734 ADG458732:ADR458734 ANC458732:ANN458734 AWY458732:AXJ458734 BGU458732:BHF458734 BQQ458732:BRB458734 CAM458732:CAX458734 CKI458732:CKT458734 CUE458732:CUP458734 DEA458732:DEL458734 DNW458732:DOH458734 DXS458732:DYD458734 EHO458732:EHZ458734 ERK458732:ERV458734 FBG458732:FBR458734 FLC458732:FLN458734 FUY458732:FVJ458734 GEU458732:GFF458734 GOQ458732:GPB458734 GYM458732:GYX458734 HII458732:HIT458734 HSE458732:HSP458734 ICA458732:ICL458734 ILW458732:IMH458734 IVS458732:IWD458734 JFO458732:JFZ458734 JPK458732:JPV458734 JZG458732:JZR458734 KJC458732:KJN458734 KSY458732:KTJ458734 LCU458732:LDF458734 LMQ458732:LNB458734 LWM458732:LWX458734 MGI458732:MGT458734 MQE458732:MQP458734 NAA458732:NAL458734 NJW458732:NKH458734 NTS458732:NUD458734 ODO458732:ODZ458734 ONK458732:ONV458734 OXG458732:OXR458734 PHC458732:PHN458734 PQY458732:PRJ458734 QAU458732:QBF458734 QKQ458732:QLB458734 QUM458732:QUX458734 REI458732:RET458734 ROE458732:ROP458734 RYA458732:RYL458734 SHW458732:SIH458734 SRS458732:SSD458734 TBO458732:TBZ458734 TLK458732:TLV458734 TVG458732:TVR458734 UFC458732:UFN458734 UOY458732:UPJ458734 UYU458732:UZF458734 VIQ458732:VJB458734 VSM458732:VSX458734 WCI458732:WCT458734 WME458732:WMP458734 WWA458732:WWL458734 JO524268:JZ524270 TK524268:TV524270 ADG524268:ADR524270 ANC524268:ANN524270 AWY524268:AXJ524270 BGU524268:BHF524270 BQQ524268:BRB524270 CAM524268:CAX524270 CKI524268:CKT524270 CUE524268:CUP524270 DEA524268:DEL524270 DNW524268:DOH524270 DXS524268:DYD524270 EHO524268:EHZ524270 ERK524268:ERV524270 FBG524268:FBR524270 FLC524268:FLN524270 FUY524268:FVJ524270 GEU524268:GFF524270 GOQ524268:GPB524270 GYM524268:GYX524270 HII524268:HIT524270 HSE524268:HSP524270 ICA524268:ICL524270 ILW524268:IMH524270 IVS524268:IWD524270 JFO524268:JFZ524270 JPK524268:JPV524270 JZG524268:JZR524270 KJC524268:KJN524270 KSY524268:KTJ524270 LCU524268:LDF524270 LMQ524268:LNB524270 LWM524268:LWX524270 MGI524268:MGT524270 MQE524268:MQP524270 NAA524268:NAL524270 NJW524268:NKH524270 NTS524268:NUD524270 ODO524268:ODZ524270 ONK524268:ONV524270 OXG524268:OXR524270 PHC524268:PHN524270 PQY524268:PRJ524270 QAU524268:QBF524270 QKQ524268:QLB524270 QUM524268:QUX524270 REI524268:RET524270 ROE524268:ROP524270 RYA524268:RYL524270 SHW524268:SIH524270 SRS524268:SSD524270 TBO524268:TBZ524270 TLK524268:TLV524270 TVG524268:TVR524270 UFC524268:UFN524270 UOY524268:UPJ524270 UYU524268:UZF524270 VIQ524268:VJB524270 VSM524268:VSX524270 WCI524268:WCT524270 WME524268:WMP524270 WWA524268:WWL524270 JO589804:JZ589806 TK589804:TV589806 ADG589804:ADR589806 ANC589804:ANN589806 AWY589804:AXJ589806 BGU589804:BHF589806 BQQ589804:BRB589806 CAM589804:CAX589806 CKI589804:CKT589806 CUE589804:CUP589806 DEA589804:DEL589806 DNW589804:DOH589806 DXS589804:DYD589806 EHO589804:EHZ589806 ERK589804:ERV589806 FBG589804:FBR589806 FLC589804:FLN589806 FUY589804:FVJ589806 GEU589804:GFF589806 GOQ589804:GPB589806 GYM589804:GYX589806 HII589804:HIT589806 HSE589804:HSP589806 ICA589804:ICL589806 ILW589804:IMH589806 IVS589804:IWD589806 JFO589804:JFZ589806 JPK589804:JPV589806 JZG589804:JZR589806 KJC589804:KJN589806 KSY589804:KTJ589806 LCU589804:LDF589806 LMQ589804:LNB589806 LWM589804:LWX589806 MGI589804:MGT589806 MQE589804:MQP589806 NAA589804:NAL589806 NJW589804:NKH589806 NTS589804:NUD589806 ODO589804:ODZ589806 ONK589804:ONV589806 OXG589804:OXR589806 PHC589804:PHN589806 PQY589804:PRJ589806 QAU589804:QBF589806 QKQ589804:QLB589806 QUM589804:QUX589806 REI589804:RET589806 ROE589804:ROP589806 RYA589804:RYL589806 SHW589804:SIH589806 SRS589804:SSD589806 TBO589804:TBZ589806 TLK589804:TLV589806 TVG589804:TVR589806 UFC589804:UFN589806 UOY589804:UPJ589806 UYU589804:UZF589806 VIQ589804:VJB589806 VSM589804:VSX589806 WCI589804:WCT589806 WME589804:WMP589806 WWA589804:WWL589806 JO655340:JZ655342 TK655340:TV655342 ADG655340:ADR655342 ANC655340:ANN655342 AWY655340:AXJ655342 BGU655340:BHF655342 BQQ655340:BRB655342 CAM655340:CAX655342 CKI655340:CKT655342 CUE655340:CUP655342 DEA655340:DEL655342 DNW655340:DOH655342 DXS655340:DYD655342 EHO655340:EHZ655342 ERK655340:ERV655342 FBG655340:FBR655342 FLC655340:FLN655342 FUY655340:FVJ655342 GEU655340:GFF655342 GOQ655340:GPB655342 GYM655340:GYX655342 HII655340:HIT655342 HSE655340:HSP655342 ICA655340:ICL655342 ILW655340:IMH655342 IVS655340:IWD655342 JFO655340:JFZ655342 JPK655340:JPV655342 JZG655340:JZR655342 KJC655340:KJN655342 KSY655340:KTJ655342 LCU655340:LDF655342 LMQ655340:LNB655342 LWM655340:LWX655342 MGI655340:MGT655342 MQE655340:MQP655342 NAA655340:NAL655342 NJW655340:NKH655342 NTS655340:NUD655342 ODO655340:ODZ655342 ONK655340:ONV655342 OXG655340:OXR655342 PHC655340:PHN655342 PQY655340:PRJ655342 QAU655340:QBF655342 QKQ655340:QLB655342 QUM655340:QUX655342 REI655340:RET655342 ROE655340:ROP655342 RYA655340:RYL655342 SHW655340:SIH655342 SRS655340:SSD655342 TBO655340:TBZ655342 TLK655340:TLV655342 TVG655340:TVR655342 UFC655340:UFN655342 UOY655340:UPJ655342 UYU655340:UZF655342 VIQ655340:VJB655342 VSM655340:VSX655342 WCI655340:WCT655342 WME655340:WMP655342 WWA655340:WWL655342 JO720876:JZ720878 TK720876:TV720878 ADG720876:ADR720878 ANC720876:ANN720878 AWY720876:AXJ720878 BGU720876:BHF720878 BQQ720876:BRB720878 CAM720876:CAX720878 CKI720876:CKT720878 CUE720876:CUP720878 DEA720876:DEL720878 DNW720876:DOH720878 DXS720876:DYD720878 EHO720876:EHZ720878 ERK720876:ERV720878 FBG720876:FBR720878 FLC720876:FLN720878 FUY720876:FVJ720878 GEU720876:GFF720878 GOQ720876:GPB720878 GYM720876:GYX720878 HII720876:HIT720878 HSE720876:HSP720878 ICA720876:ICL720878 ILW720876:IMH720878 IVS720876:IWD720878 JFO720876:JFZ720878 JPK720876:JPV720878 JZG720876:JZR720878 KJC720876:KJN720878 KSY720876:KTJ720878 LCU720876:LDF720878 LMQ720876:LNB720878 LWM720876:LWX720878 MGI720876:MGT720878 MQE720876:MQP720878 NAA720876:NAL720878 NJW720876:NKH720878 NTS720876:NUD720878 ODO720876:ODZ720878 ONK720876:ONV720878 OXG720876:OXR720878 PHC720876:PHN720878 PQY720876:PRJ720878 QAU720876:QBF720878 QKQ720876:QLB720878 QUM720876:QUX720878 REI720876:RET720878 ROE720876:ROP720878 RYA720876:RYL720878 SHW720876:SIH720878 SRS720876:SSD720878 TBO720876:TBZ720878 TLK720876:TLV720878 TVG720876:TVR720878 UFC720876:UFN720878 UOY720876:UPJ720878 UYU720876:UZF720878 VIQ720876:VJB720878 VSM720876:VSX720878 WCI720876:WCT720878 WME720876:WMP720878 WWA720876:WWL720878 JO786412:JZ786414 TK786412:TV786414 ADG786412:ADR786414 ANC786412:ANN786414 AWY786412:AXJ786414 BGU786412:BHF786414 BQQ786412:BRB786414 CAM786412:CAX786414 CKI786412:CKT786414 CUE786412:CUP786414 DEA786412:DEL786414 DNW786412:DOH786414 DXS786412:DYD786414 EHO786412:EHZ786414 ERK786412:ERV786414 FBG786412:FBR786414 FLC786412:FLN786414 FUY786412:FVJ786414 GEU786412:GFF786414 GOQ786412:GPB786414 GYM786412:GYX786414 HII786412:HIT786414 HSE786412:HSP786414 ICA786412:ICL786414 ILW786412:IMH786414 IVS786412:IWD786414 JFO786412:JFZ786414 JPK786412:JPV786414 JZG786412:JZR786414 KJC786412:KJN786414 KSY786412:KTJ786414 LCU786412:LDF786414 LMQ786412:LNB786414 LWM786412:LWX786414 MGI786412:MGT786414 MQE786412:MQP786414 NAA786412:NAL786414 NJW786412:NKH786414 NTS786412:NUD786414 ODO786412:ODZ786414 ONK786412:ONV786414 OXG786412:OXR786414 PHC786412:PHN786414 PQY786412:PRJ786414 QAU786412:QBF786414 QKQ786412:QLB786414 QUM786412:QUX786414 REI786412:RET786414 ROE786412:ROP786414 RYA786412:RYL786414 SHW786412:SIH786414 SRS786412:SSD786414 TBO786412:TBZ786414 TLK786412:TLV786414 TVG786412:TVR786414 UFC786412:UFN786414 UOY786412:UPJ786414 UYU786412:UZF786414 VIQ786412:VJB786414 VSM786412:VSX786414 WCI786412:WCT786414 WME786412:WMP786414 WWA786412:WWL786414 JO851948:JZ851950 TK851948:TV851950 ADG851948:ADR851950 ANC851948:ANN851950 AWY851948:AXJ851950 BGU851948:BHF851950 BQQ851948:BRB851950 CAM851948:CAX851950 CKI851948:CKT851950 CUE851948:CUP851950 DEA851948:DEL851950 DNW851948:DOH851950 DXS851948:DYD851950 EHO851948:EHZ851950 ERK851948:ERV851950 FBG851948:FBR851950 FLC851948:FLN851950 FUY851948:FVJ851950 GEU851948:GFF851950 GOQ851948:GPB851950 GYM851948:GYX851950 HII851948:HIT851950 HSE851948:HSP851950 ICA851948:ICL851950 ILW851948:IMH851950 IVS851948:IWD851950 JFO851948:JFZ851950 JPK851948:JPV851950 JZG851948:JZR851950 KJC851948:KJN851950 KSY851948:KTJ851950 LCU851948:LDF851950 LMQ851948:LNB851950 LWM851948:LWX851950 MGI851948:MGT851950 MQE851948:MQP851950 NAA851948:NAL851950 NJW851948:NKH851950 NTS851948:NUD851950 ODO851948:ODZ851950 ONK851948:ONV851950 OXG851948:OXR851950 PHC851948:PHN851950 PQY851948:PRJ851950 QAU851948:QBF851950 QKQ851948:QLB851950 QUM851948:QUX851950 REI851948:RET851950 ROE851948:ROP851950 RYA851948:RYL851950 SHW851948:SIH851950 SRS851948:SSD851950 TBO851948:TBZ851950 TLK851948:TLV851950 TVG851948:TVR851950 UFC851948:UFN851950 UOY851948:UPJ851950 UYU851948:UZF851950 VIQ851948:VJB851950 VSM851948:VSX851950 WCI851948:WCT851950 WME851948:WMP851950 WWA851948:WWL851950 JO917484:JZ917486 TK917484:TV917486 ADG917484:ADR917486 ANC917484:ANN917486 AWY917484:AXJ917486 BGU917484:BHF917486 BQQ917484:BRB917486 CAM917484:CAX917486 CKI917484:CKT917486 CUE917484:CUP917486 DEA917484:DEL917486 DNW917484:DOH917486 DXS917484:DYD917486 EHO917484:EHZ917486 ERK917484:ERV917486 FBG917484:FBR917486 FLC917484:FLN917486 FUY917484:FVJ917486 GEU917484:GFF917486 GOQ917484:GPB917486 GYM917484:GYX917486 HII917484:HIT917486 HSE917484:HSP917486 ICA917484:ICL917486 ILW917484:IMH917486 IVS917484:IWD917486 JFO917484:JFZ917486 JPK917484:JPV917486 JZG917484:JZR917486 KJC917484:KJN917486 KSY917484:KTJ917486 LCU917484:LDF917486 LMQ917484:LNB917486 LWM917484:LWX917486 MGI917484:MGT917486 MQE917484:MQP917486 NAA917484:NAL917486 NJW917484:NKH917486 NTS917484:NUD917486 ODO917484:ODZ917486 ONK917484:ONV917486 OXG917484:OXR917486 PHC917484:PHN917486 PQY917484:PRJ917486 QAU917484:QBF917486 QKQ917484:QLB917486 QUM917484:QUX917486 REI917484:RET917486 ROE917484:ROP917486 RYA917484:RYL917486 SHW917484:SIH917486 SRS917484:SSD917486 TBO917484:TBZ917486 TLK917484:TLV917486 TVG917484:TVR917486 UFC917484:UFN917486 UOY917484:UPJ917486 UYU917484:UZF917486 VIQ917484:VJB917486 VSM917484:VSX917486 WCI917484:WCT917486 WME917484:WMP917486 WWA917484:WWL917486 JO983020:JZ983022 TK983020:TV983022 ADG983020:ADR983022 ANC983020:ANN983022 AWY983020:AXJ983022 BGU983020:BHF983022 BQQ983020:BRB983022 CAM983020:CAX983022 CKI983020:CKT983022 CUE983020:CUP983022 DEA983020:DEL983022 DNW983020:DOH983022 DXS983020:DYD983022 EHO983020:EHZ983022 ERK983020:ERV983022 FBG983020:FBR983022 FLC983020:FLN983022 FUY983020:FVJ983022 GEU983020:GFF983022 GOQ983020:GPB983022 GYM983020:GYX983022 HII983020:HIT983022 HSE983020:HSP983022 ICA983020:ICL983022 ILW983020:IMH983022 IVS983020:IWD983022 JFO983020:JFZ983022 JPK983020:JPV983022 JZG983020:JZR983022 KJC983020:KJN983022 KSY983020:KTJ983022 LCU983020:LDF983022 LMQ983020:LNB983022 LWM983020:LWX983022 MGI983020:MGT983022 MQE983020:MQP983022 NAA983020:NAL983022 NJW983020:NKH983022 NTS983020:NUD983022 ODO983020:ODZ983022 ONK983020:ONV983022 OXG983020:OXR983022 PHC983020:PHN983022 PQY983020:PRJ983022 QAU983020:QBF983022 QKQ983020:QLB983022 QUM983020:QUX983022 REI983020:RET983022 ROE983020:ROP983022 RYA983020:RYL983022 SHW983020:SIH983022 SRS983020:SSD983022 TBO983020:TBZ983022 TLK983020:TLV983022 TVG983020:TVR983022 UFC983020:UFN983022 UOY983020:UPJ983022 UYU983020:UZF983022 VIQ983020:VJB983022 VSM983020:VSX983022 WCI983020:WCT983022 WME983020:WMP983022 WWA983020:WWL983022 JP2:KA4 TL2:TW4 ADH2:ADS4 AND2:ANO4 AWZ2:AXK4 BGV2:BHG4 BQR2:BRC4 CAN2:CAY4 CKJ2:CKU4 CUF2:CUQ4 DEB2:DEM4 DNX2:DOI4 DXT2:DYE4 EHP2:EIA4 ERL2:ERW4 FBH2:FBS4 FLD2:FLO4 FUZ2:FVK4 GEV2:GFG4 GOR2:GPC4 GYN2:GYY4 HIJ2:HIU4 HSF2:HSQ4 ICB2:ICM4 ILX2:IMI4 IVT2:IWE4 JFP2:JGA4 JPL2:JPW4 JZH2:JZS4 KJD2:KJO4 KSZ2:KTK4 LCV2:LDG4 LMR2:LNC4 LWN2:LWY4 MGJ2:MGU4 MQF2:MQQ4 NAB2:NAM4 NJX2:NKI4 NTT2:NUE4 ODP2:OEA4 ONL2:ONW4 OXH2:OXS4 PHD2:PHO4 PQZ2:PRK4 QAV2:QBG4 QKR2:QLC4 QUN2:QUY4 REJ2:REU4 ROF2:ROQ4 RYB2:RYM4 SHX2:SII4 SRT2:SSE4 TBP2:TCA4 TLL2:TLW4 TVH2:TVS4 UFD2:UFO4 UOZ2:UPK4 UYV2:UZG4 VIR2:VJC4 VSN2:VSY4 WCJ2:WCU4 WMF2:WMQ4 WWB2:WWM4 AC65516:AM65518 AC983020:AM983022 AC917484:AM917486 AC851948:AM851950 AC786412:AM786414 AC720876:AM720878 AC655340:AM655342 AC589804:AM589806 AC524268:AM524270 AC458732:AM458734 AC393196:AM393198 AC327660:AM327662 AC262124:AM262126 AC196588:AM196590 AC131052:AM131054 R2"/>
    <dataValidation type="list" allowBlank="1" showInputMessage="1" showErrorMessage="1" sqref="Y8:Z85">
      <formula1>"文字,数値,日付,時間"</formula1>
    </dataValidation>
    <dataValidation type="list" allowBlank="1" showInputMessage="1" showErrorMessage="1" sqref="AA8:AC85">
      <formula1>"int,numeric,varchar,date,datetime2(0),datetime2,varbinary(max)"</formula1>
    </dataValidation>
  </dataValidations>
  <pageMargins left="0.39370078740157483" right="0.39370078740157483" top="0.59055118110236227" bottom="0.39370078740157483" header="0.39370078740157483" footer="0.19685039370078741"/>
  <pageSetup paperSize="9" scale="80" fitToHeight="0" orientation="landscape" useFirstPageNumber="1" verticalDpi="300" r:id="rId1"/>
  <headerFooter alignWithMargins="0">
    <oddFooter>&amp;R&amp;A - &amp;P</oddFooter>
  </headerFooter>
  <legacyDrawing r:id="rId2"/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50"/>
  <dimension ref="A1:BE85"/>
  <sheetViews>
    <sheetView showGridLines="0" zoomScaleNormal="100" zoomScaleSheetLayoutView="100" workbookViewId="0">
      <pane ySplit="7" topLeftCell="A8" activePane="bottomLeft" state="frozen"/>
      <selection sqref="A1:K4"/>
      <selection pane="bottomLeft" sqref="A1:H4"/>
    </sheetView>
  </sheetViews>
  <sheetFormatPr defaultColWidth="2.6328125" defaultRowHeight="14.4" customHeight="1"/>
  <cols>
    <col min="1" max="1" width="4.6328125" style="18" customWidth="1"/>
    <col min="2" max="29" width="2.6328125" style="18"/>
    <col min="30" max="30" width="4.6328125" style="18" customWidth="1"/>
    <col min="31" max="33" width="2.6328125" style="18"/>
    <col min="34" max="34" width="6.6328125" style="18" customWidth="1"/>
    <col min="35" max="44" width="2.6328125" style="18"/>
    <col min="45" max="56" width="2.6328125" style="46"/>
    <col min="57" max="16384" width="2.6328125" style="18"/>
  </cols>
  <sheetData>
    <row r="1" spans="1:56" s="17" customFormat="1" ht="14.4" customHeight="1">
      <c r="A1" s="417" t="s">
        <v>78</v>
      </c>
      <c r="B1" s="418"/>
      <c r="C1" s="418"/>
      <c r="D1" s="418"/>
      <c r="E1" s="418"/>
      <c r="F1" s="418"/>
      <c r="G1" s="418"/>
      <c r="H1" s="419"/>
      <c r="I1" s="354" t="s">
        <v>79</v>
      </c>
      <c r="J1" s="355"/>
      <c r="K1" s="355"/>
      <c r="L1" s="355"/>
      <c r="M1" s="355"/>
      <c r="N1" s="355"/>
      <c r="O1" s="355"/>
      <c r="P1" s="355"/>
      <c r="Q1" s="356"/>
      <c r="R1" s="354" t="s">
        <v>80</v>
      </c>
      <c r="S1" s="355"/>
      <c r="T1" s="355"/>
      <c r="U1" s="355"/>
      <c r="V1" s="355"/>
      <c r="W1" s="355"/>
      <c r="X1" s="356"/>
      <c r="Y1" s="354" t="s">
        <v>135</v>
      </c>
      <c r="Z1" s="355"/>
      <c r="AA1" s="355"/>
      <c r="AB1" s="355"/>
      <c r="AC1" s="355"/>
      <c r="AD1" s="355"/>
      <c r="AE1" s="355"/>
      <c r="AF1" s="355"/>
      <c r="AG1" s="355"/>
      <c r="AH1" s="355"/>
      <c r="AI1" s="355"/>
      <c r="AJ1" s="355"/>
      <c r="AK1" s="355"/>
      <c r="AL1" s="355"/>
      <c r="AM1" s="355"/>
      <c r="AN1" s="355"/>
      <c r="AO1" s="356"/>
      <c r="AP1" s="428" t="s">
        <v>82</v>
      </c>
      <c r="AQ1" s="429"/>
      <c r="AR1" s="429"/>
      <c r="AS1" s="429"/>
      <c r="AT1" s="430"/>
      <c r="AU1" s="428" t="s">
        <v>83</v>
      </c>
      <c r="AV1" s="429"/>
      <c r="AW1" s="429"/>
      <c r="AX1" s="429"/>
      <c r="AY1" s="430"/>
      <c r="AZ1" s="428" t="s">
        <v>84</v>
      </c>
      <c r="BA1" s="429"/>
      <c r="BB1" s="429"/>
      <c r="BC1" s="429"/>
      <c r="BD1" s="430"/>
    </row>
    <row r="2" spans="1:56" s="17" customFormat="1" ht="14.4" customHeight="1">
      <c r="A2" s="420"/>
      <c r="B2" s="421"/>
      <c r="C2" s="421"/>
      <c r="D2" s="421"/>
      <c r="E2" s="421"/>
      <c r="F2" s="421"/>
      <c r="G2" s="421"/>
      <c r="H2" s="422"/>
      <c r="I2" s="384" t="s">
        <v>85</v>
      </c>
      <c r="J2" s="385"/>
      <c r="K2" s="385"/>
      <c r="L2" s="385"/>
      <c r="M2" s="385"/>
      <c r="N2" s="385"/>
      <c r="O2" s="385"/>
      <c r="P2" s="385"/>
      <c r="Q2" s="386"/>
      <c r="R2" s="384" t="str">
        <f ca="1">VLOOKUP(RIGHT(CELL("filename",A2),LEN(CELL("filename",A2))-FIND("]",CELL("filename",A2))),テーブル一覧!B:AD,22,FALSE)</f>
        <v>B.生産計画</v>
      </c>
      <c r="S2" s="385"/>
      <c r="T2" s="385"/>
      <c r="U2" s="385"/>
      <c r="V2" s="385"/>
      <c r="W2" s="385"/>
      <c r="X2" s="386"/>
      <c r="Y2" s="384" t="str">
        <f ca="1">VLOOKUP(RIGHT(CELL("filename",A2),LEN(CELL("filename",A2))-FIND("]",CELL("filename",A2))),テーブル一覧!B:AD,1,FALSE)</f>
        <v>生産計画情報（加工CM）</v>
      </c>
      <c r="Z2" s="385"/>
      <c r="AA2" s="385"/>
      <c r="AB2" s="385"/>
      <c r="AC2" s="385"/>
      <c r="AD2" s="385"/>
      <c r="AE2" s="385"/>
      <c r="AF2" s="385"/>
      <c r="AG2" s="385"/>
      <c r="AH2" s="385"/>
      <c r="AI2" s="385"/>
      <c r="AJ2" s="385"/>
      <c r="AK2" s="385"/>
      <c r="AL2" s="385"/>
      <c r="AM2" s="385"/>
      <c r="AN2" s="385"/>
      <c r="AO2" s="386"/>
      <c r="AP2" s="357"/>
      <c r="AQ2" s="358"/>
      <c r="AR2" s="358"/>
      <c r="AS2" s="358"/>
      <c r="AT2" s="359"/>
      <c r="AU2" s="58" t="s">
        <v>88</v>
      </c>
      <c r="AV2" s="59"/>
      <c r="AW2" s="59"/>
      <c r="AX2" s="59"/>
      <c r="AY2" s="60"/>
      <c r="AZ2" s="434" t="s">
        <v>89</v>
      </c>
      <c r="BA2" s="435"/>
      <c r="BB2" s="435"/>
      <c r="BC2" s="435"/>
      <c r="BD2" s="436"/>
    </row>
    <row r="3" spans="1:56" s="17" customFormat="1" ht="14.4" customHeight="1">
      <c r="A3" s="420"/>
      <c r="B3" s="421"/>
      <c r="C3" s="421"/>
      <c r="D3" s="421"/>
      <c r="E3" s="421"/>
      <c r="F3" s="421"/>
      <c r="G3" s="421"/>
      <c r="H3" s="422"/>
      <c r="I3" s="387"/>
      <c r="J3" s="388"/>
      <c r="K3" s="388"/>
      <c r="L3" s="388"/>
      <c r="M3" s="388"/>
      <c r="N3" s="388"/>
      <c r="O3" s="388"/>
      <c r="P3" s="388"/>
      <c r="Q3" s="389"/>
      <c r="R3" s="387"/>
      <c r="S3" s="388"/>
      <c r="T3" s="388"/>
      <c r="U3" s="388"/>
      <c r="V3" s="388"/>
      <c r="W3" s="388"/>
      <c r="X3" s="389"/>
      <c r="Y3" s="390"/>
      <c r="Z3" s="391"/>
      <c r="AA3" s="391"/>
      <c r="AB3" s="391"/>
      <c r="AC3" s="391"/>
      <c r="AD3" s="391"/>
      <c r="AE3" s="391"/>
      <c r="AF3" s="391"/>
      <c r="AG3" s="391"/>
      <c r="AH3" s="391"/>
      <c r="AI3" s="391"/>
      <c r="AJ3" s="391"/>
      <c r="AK3" s="391"/>
      <c r="AL3" s="391"/>
      <c r="AM3" s="391"/>
      <c r="AN3" s="391"/>
      <c r="AO3" s="392"/>
      <c r="AP3" s="360"/>
      <c r="AQ3" s="361"/>
      <c r="AR3" s="361"/>
      <c r="AS3" s="361"/>
      <c r="AT3" s="362"/>
      <c r="AU3" s="431"/>
      <c r="AV3" s="432"/>
      <c r="AW3" s="432"/>
      <c r="AX3" s="432"/>
      <c r="AY3" s="433"/>
      <c r="AZ3" s="434"/>
      <c r="BA3" s="435"/>
      <c r="BB3" s="435"/>
      <c r="BC3" s="435"/>
      <c r="BD3" s="436"/>
    </row>
    <row r="4" spans="1:56" s="17" customFormat="1" ht="14.4" customHeight="1">
      <c r="A4" s="423"/>
      <c r="B4" s="424"/>
      <c r="C4" s="424"/>
      <c r="D4" s="424"/>
      <c r="E4" s="424"/>
      <c r="F4" s="424"/>
      <c r="G4" s="424"/>
      <c r="H4" s="425"/>
      <c r="I4" s="390"/>
      <c r="J4" s="391"/>
      <c r="K4" s="391"/>
      <c r="L4" s="391"/>
      <c r="M4" s="391"/>
      <c r="N4" s="391"/>
      <c r="O4" s="391"/>
      <c r="P4" s="391"/>
      <c r="Q4" s="392"/>
      <c r="R4" s="390"/>
      <c r="S4" s="391"/>
      <c r="T4" s="391"/>
      <c r="U4" s="391"/>
      <c r="V4" s="391"/>
      <c r="W4" s="391"/>
      <c r="X4" s="392"/>
      <c r="Y4" s="437" t="str">
        <f ca="1">IF(VLOOKUP(RIGHT(CELL("filename",A2),LEN(CELL("filename",A2))-FIND("]",CELL("filename",A2))),テーブル一覧!B:AD,11,FALSE)=0,"",VLOOKUP(RIGHT(CELL("filename",A2),LEN(CELL("filename",A2))-FIND("]",CELL("filename",A2))),テーブル一覧!B:AD,11,FALSE))</f>
        <v>t_seisan_keikaku_cm</v>
      </c>
      <c r="Z4" s="438"/>
      <c r="AA4" s="438"/>
      <c r="AB4" s="438"/>
      <c r="AC4" s="438"/>
      <c r="AD4" s="438"/>
      <c r="AE4" s="438"/>
      <c r="AF4" s="438"/>
      <c r="AG4" s="438"/>
      <c r="AH4" s="438"/>
      <c r="AI4" s="438"/>
      <c r="AJ4" s="438"/>
      <c r="AK4" s="438"/>
      <c r="AL4" s="438"/>
      <c r="AM4" s="438"/>
      <c r="AN4" s="438"/>
      <c r="AO4" s="439"/>
      <c r="AP4" s="360"/>
      <c r="AQ4" s="361"/>
      <c r="AR4" s="361"/>
      <c r="AS4" s="361"/>
      <c r="AT4" s="362"/>
      <c r="AU4" s="431"/>
      <c r="AV4" s="432"/>
      <c r="AW4" s="432"/>
      <c r="AX4" s="432"/>
      <c r="AY4" s="433"/>
      <c r="AZ4" s="434"/>
      <c r="BA4" s="435"/>
      <c r="BB4" s="435"/>
      <c r="BC4" s="435"/>
      <c r="BD4" s="436"/>
    </row>
    <row r="6" spans="1:56" ht="14.4" customHeight="1">
      <c r="A6" s="426" t="s">
        <v>90</v>
      </c>
      <c r="B6" s="407" t="s">
        <v>136</v>
      </c>
      <c r="C6" s="415"/>
      <c r="D6" s="415"/>
      <c r="E6" s="415"/>
      <c r="F6" s="415"/>
      <c r="G6" s="415"/>
      <c r="H6" s="408"/>
      <c r="I6" s="407" t="s">
        <v>137</v>
      </c>
      <c r="J6" s="415"/>
      <c r="K6" s="415"/>
      <c r="L6" s="415"/>
      <c r="M6" s="415"/>
      <c r="N6" s="415"/>
      <c r="O6" s="415"/>
      <c r="P6" s="415"/>
      <c r="Q6" s="408"/>
      <c r="R6" s="407" t="s">
        <v>138</v>
      </c>
      <c r="S6" s="415"/>
      <c r="T6" s="415"/>
      <c r="U6" s="415"/>
      <c r="V6" s="415"/>
      <c r="W6" s="415"/>
      <c r="X6" s="408"/>
      <c r="Y6" s="407" t="s">
        <v>139</v>
      </c>
      <c r="Z6" s="408"/>
      <c r="AA6" s="407" t="s">
        <v>140</v>
      </c>
      <c r="AB6" s="415"/>
      <c r="AC6" s="408"/>
      <c r="AD6" s="411" t="s">
        <v>141</v>
      </c>
      <c r="AE6" s="413" t="s">
        <v>142</v>
      </c>
      <c r="AF6" s="411" t="s">
        <v>143</v>
      </c>
      <c r="AG6" s="411" t="s">
        <v>144</v>
      </c>
      <c r="AH6" s="411" t="s">
        <v>145</v>
      </c>
      <c r="AI6" s="404" t="s">
        <v>146</v>
      </c>
      <c r="AJ6" s="405"/>
      <c r="AK6" s="405"/>
      <c r="AL6" s="405"/>
      <c r="AM6" s="405"/>
      <c r="AN6" s="405"/>
      <c r="AO6" s="405"/>
      <c r="AP6" s="405"/>
      <c r="AQ6" s="405"/>
      <c r="AR6" s="406"/>
      <c r="AS6" s="407" t="s">
        <v>147</v>
      </c>
      <c r="AT6" s="415"/>
      <c r="AU6" s="415"/>
      <c r="AV6" s="415"/>
      <c r="AW6" s="415"/>
      <c r="AX6" s="415"/>
      <c r="AY6" s="415"/>
      <c r="AZ6" s="415"/>
      <c r="BA6" s="415"/>
      <c r="BB6" s="415"/>
      <c r="BC6" s="415"/>
      <c r="BD6" s="408"/>
    </row>
    <row r="7" spans="1:56" ht="14.4" customHeight="1">
      <c r="A7" s="427"/>
      <c r="B7" s="409"/>
      <c r="C7" s="416"/>
      <c r="D7" s="416"/>
      <c r="E7" s="416"/>
      <c r="F7" s="416"/>
      <c r="G7" s="416"/>
      <c r="H7" s="410"/>
      <c r="I7" s="409"/>
      <c r="J7" s="416"/>
      <c r="K7" s="416"/>
      <c r="L7" s="416"/>
      <c r="M7" s="416"/>
      <c r="N7" s="416"/>
      <c r="O7" s="416"/>
      <c r="P7" s="416"/>
      <c r="Q7" s="410"/>
      <c r="R7" s="409"/>
      <c r="S7" s="416"/>
      <c r="T7" s="416"/>
      <c r="U7" s="416"/>
      <c r="V7" s="416"/>
      <c r="W7" s="416"/>
      <c r="X7" s="410"/>
      <c r="Y7" s="409"/>
      <c r="Z7" s="410"/>
      <c r="AA7" s="409"/>
      <c r="AB7" s="416"/>
      <c r="AC7" s="410"/>
      <c r="AD7" s="412"/>
      <c r="AE7" s="414"/>
      <c r="AF7" s="412"/>
      <c r="AG7" s="412"/>
      <c r="AH7" s="412"/>
      <c r="AI7" s="52">
        <v>1</v>
      </c>
      <c r="AJ7" s="52">
        <v>2</v>
      </c>
      <c r="AK7" s="52">
        <v>3</v>
      </c>
      <c r="AL7" s="52">
        <v>4</v>
      </c>
      <c r="AM7" s="52">
        <v>5</v>
      </c>
      <c r="AN7" s="52">
        <v>6</v>
      </c>
      <c r="AO7" s="52">
        <v>7</v>
      </c>
      <c r="AP7" s="52">
        <v>8</v>
      </c>
      <c r="AQ7" s="52">
        <v>9</v>
      </c>
      <c r="AR7" s="52">
        <v>10</v>
      </c>
      <c r="AS7" s="409"/>
      <c r="AT7" s="416"/>
      <c r="AU7" s="416"/>
      <c r="AV7" s="416"/>
      <c r="AW7" s="416"/>
      <c r="AX7" s="416"/>
      <c r="AY7" s="416"/>
      <c r="AZ7" s="416"/>
      <c r="BA7" s="416"/>
      <c r="BB7" s="416"/>
      <c r="BC7" s="416"/>
      <c r="BD7" s="410"/>
    </row>
    <row r="8" spans="1:56" s="1" customFormat="1" ht="14.4" customHeight="1">
      <c r="A8" s="145">
        <f>IF(B8="","",COUNTA($B$8:B8))</f>
        <v>1</v>
      </c>
      <c r="B8" s="146" t="s">
        <v>148</v>
      </c>
      <c r="C8" s="129"/>
      <c r="D8" s="129"/>
      <c r="E8" s="129"/>
      <c r="F8" s="129"/>
      <c r="G8" s="129"/>
      <c r="H8" s="147"/>
      <c r="I8" s="128" t="s">
        <v>149</v>
      </c>
      <c r="J8" s="129"/>
      <c r="K8" s="129"/>
      <c r="L8" s="129"/>
      <c r="M8" s="129"/>
      <c r="N8" s="129"/>
      <c r="O8" s="129"/>
      <c r="P8" s="129"/>
      <c r="Q8" s="147"/>
      <c r="R8" s="146" t="s">
        <v>148</v>
      </c>
      <c r="S8" s="129"/>
      <c r="T8" s="129"/>
      <c r="U8" s="129"/>
      <c r="V8" s="129"/>
      <c r="W8" s="129"/>
      <c r="X8" s="148"/>
      <c r="Y8" s="451" t="s">
        <v>150</v>
      </c>
      <c r="Z8" s="452"/>
      <c r="AA8" s="448" t="s">
        <v>151</v>
      </c>
      <c r="AB8" s="449"/>
      <c r="AC8" s="450"/>
      <c r="AD8" s="139">
        <v>15</v>
      </c>
      <c r="AE8" s="124"/>
      <c r="AF8" s="124">
        <v>1</v>
      </c>
      <c r="AG8" s="133" t="s">
        <v>152</v>
      </c>
      <c r="AH8" s="133"/>
      <c r="AI8" s="133"/>
      <c r="AJ8" s="133"/>
      <c r="AK8" s="133"/>
      <c r="AL8" s="133"/>
      <c r="AM8" s="133"/>
      <c r="AN8" s="133"/>
      <c r="AO8" s="124"/>
      <c r="AP8" s="124"/>
      <c r="AQ8" s="124"/>
      <c r="AR8" s="124"/>
      <c r="AS8" s="240"/>
      <c r="AT8" s="218"/>
      <c r="AU8" s="218"/>
      <c r="AV8" s="218"/>
      <c r="AW8" s="218"/>
      <c r="AX8" s="218"/>
      <c r="AY8" s="218"/>
      <c r="AZ8" s="218"/>
      <c r="BA8" s="218"/>
      <c r="BB8" s="218"/>
      <c r="BC8" s="193"/>
      <c r="BD8" s="194"/>
    </row>
    <row r="9" spans="1:56" s="1" customFormat="1" ht="14.4" customHeight="1">
      <c r="A9" s="145">
        <f>IF(B9="","",COUNTA($B$8:B9))</f>
        <v>2</v>
      </c>
      <c r="B9" s="8" t="s">
        <v>153</v>
      </c>
      <c r="C9" s="127"/>
      <c r="D9" s="127"/>
      <c r="E9" s="127"/>
      <c r="F9" s="127"/>
      <c r="G9" s="127"/>
      <c r="H9" s="148"/>
      <c r="I9" s="128" t="s">
        <v>154</v>
      </c>
      <c r="J9" s="129"/>
      <c r="K9" s="129"/>
      <c r="L9" s="129"/>
      <c r="M9" s="129"/>
      <c r="N9" s="129"/>
      <c r="O9" s="129"/>
      <c r="P9" s="129"/>
      <c r="Q9" s="147"/>
      <c r="R9" s="8" t="s">
        <v>153</v>
      </c>
      <c r="S9" s="129"/>
      <c r="T9" s="129"/>
      <c r="U9" s="129"/>
      <c r="V9" s="129"/>
      <c r="W9" s="129"/>
      <c r="X9" s="148"/>
      <c r="Y9" s="451" t="s">
        <v>155</v>
      </c>
      <c r="Z9" s="452"/>
      <c r="AA9" s="448" t="s">
        <v>156</v>
      </c>
      <c r="AB9" s="449"/>
      <c r="AC9" s="450"/>
      <c r="AD9" s="139">
        <v>3</v>
      </c>
      <c r="AE9" s="124"/>
      <c r="AF9" s="124">
        <v>2</v>
      </c>
      <c r="AG9" s="133" t="s">
        <v>152</v>
      </c>
      <c r="AH9" s="133"/>
      <c r="AI9" s="133"/>
      <c r="AJ9" s="133"/>
      <c r="AK9" s="133"/>
      <c r="AL9" s="133"/>
      <c r="AM9" s="133"/>
      <c r="AN9" s="133"/>
      <c r="AO9" s="124"/>
      <c r="AP9" s="124"/>
      <c r="AQ9" s="124"/>
      <c r="AR9" s="124"/>
      <c r="AS9" s="233" t="s">
        <v>364</v>
      </c>
      <c r="AT9" s="220"/>
      <c r="AU9" s="220"/>
      <c r="AV9" s="220"/>
      <c r="AW9" s="220"/>
      <c r="AX9" s="220"/>
      <c r="AY9" s="220"/>
      <c r="AZ9" s="220"/>
      <c r="BA9" s="220"/>
      <c r="BB9" s="220"/>
      <c r="BC9" s="137"/>
      <c r="BD9" s="138"/>
    </row>
    <row r="10" spans="1:56" s="1" customFormat="1" ht="14.4" customHeight="1">
      <c r="A10" s="145">
        <f>IF(B10="","",COUNTA($B$8:B10))</f>
        <v>3</v>
      </c>
      <c r="B10" s="8" t="s">
        <v>157</v>
      </c>
      <c r="C10" s="127"/>
      <c r="D10" s="127"/>
      <c r="E10" s="127"/>
      <c r="F10" s="127"/>
      <c r="G10" s="127"/>
      <c r="H10" s="148"/>
      <c r="I10" s="128" t="s">
        <v>158</v>
      </c>
      <c r="J10" s="129"/>
      <c r="K10" s="129"/>
      <c r="L10" s="129"/>
      <c r="M10" s="129"/>
      <c r="N10" s="129"/>
      <c r="O10" s="129"/>
      <c r="P10" s="129"/>
      <c r="Q10" s="147"/>
      <c r="R10" s="8" t="s">
        <v>157</v>
      </c>
      <c r="S10" s="129"/>
      <c r="T10" s="129"/>
      <c r="U10" s="129"/>
      <c r="V10" s="129"/>
      <c r="W10" s="129"/>
      <c r="X10" s="148"/>
      <c r="Y10" s="451" t="s">
        <v>150</v>
      </c>
      <c r="Z10" s="452"/>
      <c r="AA10" s="448" t="s">
        <v>151</v>
      </c>
      <c r="AB10" s="449"/>
      <c r="AC10" s="450"/>
      <c r="AD10" s="139">
        <v>10</v>
      </c>
      <c r="AE10" s="124"/>
      <c r="AF10" s="124"/>
      <c r="AG10" s="124"/>
      <c r="AH10" s="133"/>
      <c r="AI10" s="133"/>
      <c r="AJ10" s="133"/>
      <c r="AK10" s="133"/>
      <c r="AL10" s="133"/>
      <c r="AM10" s="133"/>
      <c r="AN10" s="133"/>
      <c r="AO10" s="124"/>
      <c r="AP10" s="124"/>
      <c r="AQ10" s="124"/>
      <c r="AR10" s="124"/>
      <c r="AS10" s="233"/>
      <c r="AT10" s="220"/>
      <c r="AU10" s="220"/>
      <c r="AV10" s="220"/>
      <c r="AW10" s="220"/>
      <c r="AX10" s="220"/>
      <c r="AY10" s="220"/>
      <c r="AZ10" s="220"/>
      <c r="BA10" s="220"/>
      <c r="BB10" s="220"/>
      <c r="BC10" s="137"/>
      <c r="BD10" s="138"/>
    </row>
    <row r="11" spans="1:56" s="1" customFormat="1" ht="14.4" customHeight="1">
      <c r="A11" s="145">
        <f>IF(B11="","",COUNTA($B$8:B11))</f>
        <v>4</v>
      </c>
      <c r="B11" s="8" t="s">
        <v>159</v>
      </c>
      <c r="C11" s="127"/>
      <c r="D11" s="127"/>
      <c r="E11" s="127"/>
      <c r="F11" s="127"/>
      <c r="G11" s="127"/>
      <c r="H11" s="148"/>
      <c r="I11" s="128" t="s">
        <v>160</v>
      </c>
      <c r="J11" s="129"/>
      <c r="K11" s="129"/>
      <c r="L11" s="129"/>
      <c r="M11" s="129"/>
      <c r="N11" s="129"/>
      <c r="O11" s="129"/>
      <c r="P11" s="129"/>
      <c r="Q11" s="147"/>
      <c r="R11" s="8" t="s">
        <v>159</v>
      </c>
      <c r="S11" s="129"/>
      <c r="T11" s="129"/>
      <c r="U11" s="129"/>
      <c r="V11" s="129"/>
      <c r="W11" s="129"/>
      <c r="X11" s="148"/>
      <c r="Y11" s="451" t="s">
        <v>150</v>
      </c>
      <c r="Z11" s="452"/>
      <c r="AA11" s="448" t="s">
        <v>151</v>
      </c>
      <c r="AB11" s="449"/>
      <c r="AC11" s="450"/>
      <c r="AD11" s="139">
        <v>4</v>
      </c>
      <c r="AE11" s="124"/>
      <c r="AF11" s="124"/>
      <c r="AG11" s="124"/>
      <c r="AH11" s="133"/>
      <c r="AI11" s="133" t="s">
        <v>161</v>
      </c>
      <c r="AJ11" s="133"/>
      <c r="AK11" s="133"/>
      <c r="AL11" s="133"/>
      <c r="AM11" s="133"/>
      <c r="AN11" s="133"/>
      <c r="AO11" s="124"/>
      <c r="AP11" s="124"/>
      <c r="AQ11" s="124"/>
      <c r="AR11" s="124"/>
      <c r="AS11" s="233"/>
      <c r="AT11" s="220"/>
      <c r="AU11" s="220"/>
      <c r="AV11" s="220"/>
      <c r="AW11" s="220"/>
      <c r="AX11" s="220"/>
      <c r="AY11" s="220"/>
      <c r="AZ11" s="220"/>
      <c r="BA11" s="220"/>
      <c r="BB11" s="220"/>
      <c r="BC11" s="137"/>
      <c r="BD11" s="138"/>
    </row>
    <row r="12" spans="1:56" s="1" customFormat="1" ht="14.4" customHeight="1">
      <c r="A12" s="145">
        <f>IF(B12="","",COUNTA($B$8:B12))</f>
        <v>5</v>
      </c>
      <c r="B12" s="195" t="s">
        <v>162</v>
      </c>
      <c r="D12" s="127"/>
      <c r="E12" s="127"/>
      <c r="F12" s="127"/>
      <c r="G12" s="127"/>
      <c r="H12" s="148"/>
      <c r="I12" s="195" t="s">
        <v>163</v>
      </c>
      <c r="J12" s="129"/>
      <c r="K12" s="129"/>
      <c r="L12" s="129"/>
      <c r="M12" s="129"/>
      <c r="N12" s="129"/>
      <c r="O12" s="129"/>
      <c r="P12" s="129"/>
      <c r="Q12" s="147"/>
      <c r="R12" s="8" t="s">
        <v>164</v>
      </c>
      <c r="S12" s="129"/>
      <c r="T12" s="129"/>
      <c r="U12" s="129"/>
      <c r="V12" s="129"/>
      <c r="W12" s="129"/>
      <c r="X12" s="148"/>
      <c r="Y12" s="451" t="s">
        <v>150</v>
      </c>
      <c r="Z12" s="452"/>
      <c r="AA12" s="448" t="s">
        <v>151</v>
      </c>
      <c r="AB12" s="449"/>
      <c r="AC12" s="450"/>
      <c r="AD12" s="139">
        <v>4</v>
      </c>
      <c r="AE12" s="124"/>
      <c r="AF12" s="124"/>
      <c r="AG12" s="124"/>
      <c r="AH12" s="133"/>
      <c r="AI12" s="133" t="s">
        <v>165</v>
      </c>
      <c r="AJ12" s="133"/>
      <c r="AK12" s="133"/>
      <c r="AL12" s="133"/>
      <c r="AM12" s="133"/>
      <c r="AN12" s="133"/>
      <c r="AO12" s="124"/>
      <c r="AP12" s="124"/>
      <c r="AQ12" s="124"/>
      <c r="AR12" s="124"/>
      <c r="AS12" s="233"/>
      <c r="AT12" s="220"/>
      <c r="AU12" s="220"/>
      <c r="AV12" s="220"/>
      <c r="AW12" s="220"/>
      <c r="AX12" s="220"/>
      <c r="AY12" s="220"/>
      <c r="AZ12" s="220"/>
      <c r="BA12" s="220"/>
      <c r="BB12" s="220"/>
      <c r="BC12" s="137"/>
      <c r="BD12" s="138"/>
    </row>
    <row r="13" spans="1:56" s="1" customFormat="1" ht="14.4" customHeight="1">
      <c r="A13" s="145">
        <f>IF(B13="","",COUNTA($B$8:B13))</f>
        <v>6</v>
      </c>
      <c r="B13" s="8" t="s">
        <v>166</v>
      </c>
      <c r="C13" s="127"/>
      <c r="D13" s="127"/>
      <c r="E13" s="127"/>
      <c r="F13" s="127"/>
      <c r="G13" s="127"/>
      <c r="H13" s="148"/>
      <c r="I13" s="128" t="s">
        <v>167</v>
      </c>
      <c r="J13" s="129"/>
      <c r="K13" s="129"/>
      <c r="L13" s="129"/>
      <c r="M13" s="129"/>
      <c r="N13" s="129"/>
      <c r="O13" s="129"/>
      <c r="P13" s="129"/>
      <c r="Q13" s="147"/>
      <c r="R13" s="8" t="s">
        <v>168</v>
      </c>
      <c r="S13" s="129"/>
      <c r="T13" s="129"/>
      <c r="U13" s="129"/>
      <c r="V13" s="129"/>
      <c r="W13" s="129"/>
      <c r="X13" s="148"/>
      <c r="Y13" s="8" t="s">
        <v>169</v>
      </c>
      <c r="Z13" s="132"/>
      <c r="AA13" s="448" t="s">
        <v>170</v>
      </c>
      <c r="AB13" s="449"/>
      <c r="AC13" s="450"/>
      <c r="AD13" s="139"/>
      <c r="AE13" s="124"/>
      <c r="AF13" s="124"/>
      <c r="AG13" s="124"/>
      <c r="AH13" s="133"/>
      <c r="AI13" s="133" t="s">
        <v>171</v>
      </c>
      <c r="AJ13" s="133"/>
      <c r="AK13" s="133"/>
      <c r="AL13" s="133"/>
      <c r="AM13" s="133"/>
      <c r="AN13" s="133"/>
      <c r="AO13" s="124"/>
      <c r="AP13" s="124"/>
      <c r="AQ13" s="124"/>
      <c r="AR13" s="124"/>
      <c r="AS13" s="233"/>
      <c r="AT13" s="220"/>
      <c r="AU13" s="220"/>
      <c r="AV13" s="220"/>
      <c r="AW13" s="220"/>
      <c r="AX13" s="220"/>
      <c r="AY13" s="220"/>
      <c r="AZ13" s="220"/>
      <c r="BA13" s="220"/>
      <c r="BB13" s="220"/>
      <c r="BC13" s="137"/>
      <c r="BD13" s="138"/>
    </row>
    <row r="14" spans="1:56" s="1" customFormat="1" ht="14.4" customHeight="1">
      <c r="A14" s="145">
        <f>IF(B14="","",COUNTA($B$8:B14))</f>
        <v>7</v>
      </c>
      <c r="B14" s="8" t="s">
        <v>174</v>
      </c>
      <c r="C14" s="127"/>
      <c r="D14" s="127"/>
      <c r="E14" s="127"/>
      <c r="F14" s="127"/>
      <c r="G14" s="127"/>
      <c r="H14" s="148"/>
      <c r="I14" s="128" t="s">
        <v>175</v>
      </c>
      <c r="J14" s="129"/>
      <c r="K14" s="129"/>
      <c r="L14" s="129"/>
      <c r="M14" s="129"/>
      <c r="N14" s="129"/>
      <c r="O14" s="129"/>
      <c r="P14" s="129"/>
      <c r="Q14" s="147"/>
      <c r="R14" s="8" t="s">
        <v>176</v>
      </c>
      <c r="S14" s="129"/>
      <c r="T14" s="129"/>
      <c r="U14" s="129"/>
      <c r="V14" s="129"/>
      <c r="W14" s="129"/>
      <c r="X14" s="148"/>
      <c r="Y14" s="8" t="s">
        <v>169</v>
      </c>
      <c r="Z14" s="132"/>
      <c r="AA14" s="448" t="s">
        <v>170</v>
      </c>
      <c r="AB14" s="449"/>
      <c r="AC14" s="450"/>
      <c r="AD14" s="188"/>
      <c r="AE14" s="124"/>
      <c r="AF14" s="124"/>
      <c r="AG14" s="124"/>
      <c r="AH14" s="133"/>
      <c r="AI14" s="133" t="s">
        <v>173</v>
      </c>
      <c r="AJ14" s="133"/>
      <c r="AK14" s="133"/>
      <c r="AL14" s="133"/>
      <c r="AM14" s="133"/>
      <c r="AN14" s="133"/>
      <c r="AO14" s="124"/>
      <c r="AP14" s="124"/>
      <c r="AQ14" s="124"/>
      <c r="AR14" s="124"/>
      <c r="AS14" s="233"/>
      <c r="AT14" s="220"/>
      <c r="AU14" s="220"/>
      <c r="AV14" s="220"/>
      <c r="AW14" s="220"/>
      <c r="AX14" s="220"/>
      <c r="AY14" s="220"/>
      <c r="AZ14" s="220"/>
      <c r="BA14" s="220"/>
      <c r="BB14" s="220"/>
      <c r="BC14" s="137"/>
      <c r="BD14" s="138"/>
    </row>
    <row r="15" spans="1:56" s="1" customFormat="1" ht="14.4" customHeight="1">
      <c r="A15" s="145">
        <f>IF(B15="","",COUNTA($B$8:B15))</f>
        <v>8</v>
      </c>
      <c r="B15" s="8" t="s">
        <v>172</v>
      </c>
      <c r="C15" s="127"/>
      <c r="D15" s="127"/>
      <c r="E15" s="127"/>
      <c r="F15" s="127"/>
      <c r="G15" s="127"/>
      <c r="H15" s="148"/>
      <c r="I15" s="128" t="s">
        <v>177</v>
      </c>
      <c r="J15" s="129"/>
      <c r="K15" s="129"/>
      <c r="L15" s="129"/>
      <c r="M15" s="129"/>
      <c r="N15" s="129"/>
      <c r="O15" s="129"/>
      <c r="P15" s="129"/>
      <c r="Q15" s="147"/>
      <c r="R15" s="8" t="s">
        <v>172</v>
      </c>
      <c r="S15" s="129"/>
      <c r="T15" s="129"/>
      <c r="U15" s="129"/>
      <c r="V15" s="129"/>
      <c r="W15" s="129"/>
      <c r="X15" s="148"/>
      <c r="Y15" s="8" t="s">
        <v>155</v>
      </c>
      <c r="Z15" s="132"/>
      <c r="AA15" s="448" t="s">
        <v>156</v>
      </c>
      <c r="AB15" s="449"/>
      <c r="AC15" s="450"/>
      <c r="AD15" s="188">
        <v>5</v>
      </c>
      <c r="AE15" s="124">
        <v>1</v>
      </c>
      <c r="AF15" s="124"/>
      <c r="AG15" s="124"/>
      <c r="AH15" s="133"/>
      <c r="AI15" s="133"/>
      <c r="AJ15" s="133"/>
      <c r="AK15" s="133"/>
      <c r="AL15" s="133"/>
      <c r="AM15" s="133"/>
      <c r="AN15" s="133"/>
      <c r="AO15" s="124"/>
      <c r="AP15" s="124"/>
      <c r="AQ15" s="124"/>
      <c r="AR15" s="124"/>
      <c r="AS15" s="233"/>
      <c r="AT15" s="220"/>
      <c r="AU15" s="220"/>
      <c r="AV15" s="220"/>
      <c r="AW15" s="220"/>
      <c r="AX15" s="220"/>
      <c r="AY15" s="220"/>
      <c r="AZ15" s="220"/>
      <c r="BA15" s="220"/>
      <c r="BB15" s="220"/>
      <c r="BC15" s="137"/>
      <c r="BD15" s="138"/>
    </row>
    <row r="16" spans="1:56" s="1" customFormat="1" ht="14.4" customHeight="1">
      <c r="A16" s="145">
        <f>IF(B16="","",COUNTA($B$8:B16))</f>
        <v>9</v>
      </c>
      <c r="B16" s="8" t="s">
        <v>178</v>
      </c>
      <c r="C16" s="127"/>
      <c r="D16" s="127"/>
      <c r="E16" s="127"/>
      <c r="F16" s="127"/>
      <c r="G16" s="127"/>
      <c r="H16" s="148"/>
      <c r="I16" s="128" t="s">
        <v>179</v>
      </c>
      <c r="J16" s="129"/>
      <c r="K16" s="129"/>
      <c r="L16" s="129"/>
      <c r="M16" s="129"/>
      <c r="N16" s="129"/>
      <c r="O16" s="129"/>
      <c r="P16" s="129"/>
      <c r="Q16" s="147"/>
      <c r="R16" s="8" t="s">
        <v>178</v>
      </c>
      <c r="S16" s="129"/>
      <c r="T16" s="129"/>
      <c r="U16" s="129"/>
      <c r="V16" s="129"/>
      <c r="W16" s="129"/>
      <c r="X16" s="148"/>
      <c r="Y16" s="451" t="s">
        <v>150</v>
      </c>
      <c r="Z16" s="452"/>
      <c r="AA16" s="448" t="s">
        <v>151</v>
      </c>
      <c r="AB16" s="449"/>
      <c r="AC16" s="450"/>
      <c r="AD16" s="139">
        <v>20</v>
      </c>
      <c r="AE16" s="124"/>
      <c r="AF16" s="124"/>
      <c r="AG16" s="124"/>
      <c r="AH16" s="133"/>
      <c r="AI16" s="133"/>
      <c r="AJ16" s="133"/>
      <c r="AK16" s="133"/>
      <c r="AL16" s="133"/>
      <c r="AM16" s="133"/>
      <c r="AN16" s="133"/>
      <c r="AO16" s="124"/>
      <c r="AP16" s="124"/>
      <c r="AQ16" s="124"/>
      <c r="AR16" s="124"/>
      <c r="AS16" s="233" t="s">
        <v>180</v>
      </c>
      <c r="AT16" s="220"/>
      <c r="AU16" s="220"/>
      <c r="AV16" s="220"/>
      <c r="AW16" s="220"/>
      <c r="AX16" s="220"/>
      <c r="AY16" s="220"/>
      <c r="AZ16" s="220"/>
      <c r="BA16" s="220"/>
      <c r="BB16" s="220"/>
      <c r="BC16" s="137"/>
      <c r="BD16" s="138"/>
    </row>
    <row r="17" spans="1:57" s="1" customFormat="1" ht="14.4" customHeight="1">
      <c r="A17" s="145">
        <f>IF(B17="","",COUNTA($B$8:B17))</f>
        <v>10</v>
      </c>
      <c r="B17" s="8" t="s">
        <v>181</v>
      </c>
      <c r="C17" s="127"/>
      <c r="D17" s="127"/>
      <c r="E17" s="127"/>
      <c r="F17" s="127"/>
      <c r="G17" s="127"/>
      <c r="H17" s="148"/>
      <c r="I17" s="128" t="s">
        <v>182</v>
      </c>
      <c r="J17" s="129"/>
      <c r="K17" s="129"/>
      <c r="L17" s="129"/>
      <c r="M17" s="129"/>
      <c r="N17" s="129"/>
      <c r="O17" s="129"/>
      <c r="P17" s="129"/>
      <c r="Q17" s="147"/>
      <c r="R17" s="8" t="s">
        <v>181</v>
      </c>
      <c r="S17" s="129"/>
      <c r="T17" s="129"/>
      <c r="U17" s="129"/>
      <c r="V17" s="129"/>
      <c r="W17" s="129"/>
      <c r="X17" s="147"/>
      <c r="Y17" s="451" t="s">
        <v>150</v>
      </c>
      <c r="Z17" s="452"/>
      <c r="AA17" s="448" t="s">
        <v>151</v>
      </c>
      <c r="AB17" s="449"/>
      <c r="AC17" s="450"/>
      <c r="AD17" s="139">
        <v>30</v>
      </c>
      <c r="AE17" s="124"/>
      <c r="AF17" s="124"/>
      <c r="AG17" s="124"/>
      <c r="AH17" s="133"/>
      <c r="AI17" s="133"/>
      <c r="AJ17" s="133"/>
      <c r="AK17" s="133"/>
      <c r="AL17" s="133"/>
      <c r="AM17" s="133"/>
      <c r="AN17" s="133"/>
      <c r="AO17" s="124"/>
      <c r="AP17" s="124"/>
      <c r="AQ17" s="124"/>
      <c r="AR17" s="124"/>
      <c r="AS17" s="233" t="s">
        <v>1473</v>
      </c>
      <c r="AT17" s="220"/>
      <c r="AU17" s="220"/>
      <c r="AV17" s="220"/>
      <c r="AW17" s="220"/>
      <c r="AX17" s="220"/>
      <c r="AY17" s="220"/>
      <c r="AZ17" s="220"/>
      <c r="BA17" s="220"/>
      <c r="BB17" s="220"/>
      <c r="BC17" s="137"/>
      <c r="BD17" s="138"/>
    </row>
    <row r="18" spans="1:57" s="1" customFormat="1" ht="14.4" customHeight="1">
      <c r="A18" s="145">
        <f>IF(B18="","",COUNTA($B$8:B18))</f>
        <v>11</v>
      </c>
      <c r="B18" s="8" t="s">
        <v>183</v>
      </c>
      <c r="C18" s="127"/>
      <c r="D18" s="127"/>
      <c r="E18" s="127"/>
      <c r="F18" s="127"/>
      <c r="G18" s="127"/>
      <c r="H18" s="148"/>
      <c r="I18" s="128" t="s">
        <v>184</v>
      </c>
      <c r="J18" s="129"/>
      <c r="K18" s="129"/>
      <c r="L18" s="129"/>
      <c r="M18" s="129"/>
      <c r="N18" s="129"/>
      <c r="O18" s="129"/>
      <c r="P18" s="129"/>
      <c r="Q18" s="147"/>
      <c r="R18" s="8" t="s">
        <v>183</v>
      </c>
      <c r="S18" s="129"/>
      <c r="T18" s="129"/>
      <c r="U18" s="129"/>
      <c r="V18" s="129"/>
      <c r="W18" s="129"/>
      <c r="X18" s="148"/>
      <c r="Y18" s="451" t="s">
        <v>150</v>
      </c>
      <c r="Z18" s="452"/>
      <c r="AA18" s="448" t="s">
        <v>151</v>
      </c>
      <c r="AB18" s="449"/>
      <c r="AC18" s="450"/>
      <c r="AD18" s="139">
        <v>1000</v>
      </c>
      <c r="AE18" s="124"/>
      <c r="AF18" s="124"/>
      <c r="AG18" s="124"/>
      <c r="AH18" s="133"/>
      <c r="AI18" s="133"/>
      <c r="AJ18" s="133"/>
      <c r="AK18" s="133"/>
      <c r="AL18" s="133"/>
      <c r="AM18" s="133"/>
      <c r="AN18" s="133"/>
      <c r="AO18" s="124"/>
      <c r="AP18" s="124"/>
      <c r="AQ18" s="124"/>
      <c r="AR18" s="124"/>
      <c r="AS18" s="233"/>
      <c r="AT18" s="220"/>
      <c r="AU18" s="220"/>
      <c r="AV18" s="220"/>
      <c r="AW18" s="220"/>
      <c r="AX18" s="220"/>
      <c r="AY18" s="220"/>
      <c r="AZ18" s="220"/>
      <c r="BA18" s="220"/>
      <c r="BB18" s="220"/>
      <c r="BC18" s="137"/>
      <c r="BD18" s="138"/>
    </row>
    <row r="19" spans="1:57" s="1" customFormat="1" ht="14.4" customHeight="1">
      <c r="A19" s="145">
        <f>IF(B19="","",COUNTA($B$8:B19))</f>
        <v>12</v>
      </c>
      <c r="B19" s="8" t="s">
        <v>185</v>
      </c>
      <c r="C19" s="127"/>
      <c r="D19" s="127"/>
      <c r="E19" s="127"/>
      <c r="F19" s="127"/>
      <c r="G19" s="127"/>
      <c r="H19" s="148"/>
      <c r="I19" s="128" t="s">
        <v>186</v>
      </c>
      <c r="J19" s="129"/>
      <c r="K19" s="129"/>
      <c r="L19" s="129"/>
      <c r="M19" s="129"/>
      <c r="N19" s="129"/>
      <c r="O19" s="129"/>
      <c r="P19" s="129"/>
      <c r="Q19" s="147"/>
      <c r="R19" s="8" t="s">
        <v>185</v>
      </c>
      <c r="S19" s="129"/>
      <c r="T19" s="129"/>
      <c r="U19" s="129"/>
      <c r="V19" s="129"/>
      <c r="W19" s="129"/>
      <c r="X19" s="148"/>
      <c r="Y19" s="451" t="s">
        <v>150</v>
      </c>
      <c r="Z19" s="452"/>
      <c r="AA19" s="448" t="s">
        <v>151</v>
      </c>
      <c r="AB19" s="449"/>
      <c r="AC19" s="450"/>
      <c r="AD19" s="139">
        <v>75</v>
      </c>
      <c r="AE19" s="124"/>
      <c r="AF19" s="124"/>
      <c r="AG19" s="124"/>
      <c r="AH19" s="133"/>
      <c r="AI19" s="133"/>
      <c r="AJ19" s="133" t="s">
        <v>161</v>
      </c>
      <c r="AK19" s="133"/>
      <c r="AL19" s="133"/>
      <c r="AM19" s="133"/>
      <c r="AN19" s="133"/>
      <c r="AO19" s="124"/>
      <c r="AP19" s="124"/>
      <c r="AQ19" s="124"/>
      <c r="AR19" s="124"/>
      <c r="AS19" s="233" t="s">
        <v>1468</v>
      </c>
      <c r="AT19" s="220"/>
      <c r="AU19" s="220"/>
      <c r="AV19" s="220"/>
      <c r="AW19" s="220"/>
      <c r="AX19" s="220"/>
      <c r="AY19" s="220"/>
      <c r="AZ19" s="220"/>
      <c r="BA19" s="220"/>
      <c r="BB19" s="220"/>
      <c r="BC19" s="137"/>
      <c r="BD19" s="138"/>
      <c r="BE19" s="1" t="s">
        <v>1480</v>
      </c>
    </row>
    <row r="20" spans="1:57" s="1" customFormat="1" ht="14.4" customHeight="1">
      <c r="A20" s="145">
        <f>IF(B20="","",COUNTA($B$8:B20))</f>
        <v>13</v>
      </c>
      <c r="B20" s="8" t="s">
        <v>187</v>
      </c>
      <c r="C20" s="127"/>
      <c r="D20" s="127"/>
      <c r="E20" s="127"/>
      <c r="F20" s="127"/>
      <c r="G20" s="127"/>
      <c r="H20" s="148"/>
      <c r="I20" s="128" t="s">
        <v>188</v>
      </c>
      <c r="J20" s="129"/>
      <c r="K20" s="129"/>
      <c r="L20" s="129"/>
      <c r="M20" s="129"/>
      <c r="N20" s="129"/>
      <c r="O20" s="129"/>
      <c r="P20" s="129"/>
      <c r="Q20" s="147"/>
      <c r="R20" s="8" t="s">
        <v>187</v>
      </c>
      <c r="S20" s="129"/>
      <c r="T20" s="129"/>
      <c r="U20" s="129"/>
      <c r="V20" s="129"/>
      <c r="W20" s="129"/>
      <c r="X20" s="148"/>
      <c r="Y20" s="451" t="s">
        <v>155</v>
      </c>
      <c r="Z20" s="452"/>
      <c r="AA20" s="448" t="s">
        <v>156</v>
      </c>
      <c r="AB20" s="449"/>
      <c r="AC20" s="450"/>
      <c r="AD20" s="139">
        <v>3</v>
      </c>
      <c r="AE20" s="124"/>
      <c r="AF20" s="124"/>
      <c r="AG20" s="124"/>
      <c r="AH20" s="134"/>
      <c r="AI20" s="134"/>
      <c r="AJ20" s="134"/>
      <c r="AK20" s="134"/>
      <c r="AL20" s="134"/>
      <c r="AM20" s="134"/>
      <c r="AN20" s="134"/>
      <c r="AO20" s="135"/>
      <c r="AP20" s="135"/>
      <c r="AQ20" s="135"/>
      <c r="AR20" s="135"/>
      <c r="AS20" s="254"/>
      <c r="AT20" s="259"/>
      <c r="AU20" s="220"/>
      <c r="AV20" s="220"/>
      <c r="AW20" s="220"/>
      <c r="AX20" s="260"/>
      <c r="AY20" s="260"/>
      <c r="AZ20" s="260"/>
      <c r="BA20" s="260"/>
      <c r="BB20" s="260"/>
      <c r="BC20" s="186"/>
      <c r="BD20" s="187"/>
    </row>
    <row r="21" spans="1:57" s="1" customFormat="1" ht="14.4" customHeight="1">
      <c r="A21" s="145">
        <f>IF(B21="","",COUNTA($B$8:B21))</f>
        <v>14</v>
      </c>
      <c r="B21" s="8" t="s">
        <v>189</v>
      </c>
      <c r="C21" s="127"/>
      <c r="D21" s="127"/>
      <c r="E21" s="127"/>
      <c r="F21" s="127"/>
      <c r="G21" s="127"/>
      <c r="H21" s="148"/>
      <c r="I21" s="128" t="s">
        <v>190</v>
      </c>
      <c r="J21" s="129"/>
      <c r="K21" s="129"/>
      <c r="L21" s="129"/>
      <c r="M21" s="129"/>
      <c r="N21" s="129"/>
      <c r="O21" s="129"/>
      <c r="P21" s="129"/>
      <c r="Q21" s="147"/>
      <c r="R21" s="8" t="s">
        <v>189</v>
      </c>
      <c r="S21" s="129"/>
      <c r="T21" s="129"/>
      <c r="U21" s="129"/>
      <c r="V21" s="129"/>
      <c r="W21" s="129"/>
      <c r="X21" s="148"/>
      <c r="Y21" s="451" t="s">
        <v>155</v>
      </c>
      <c r="Z21" s="452"/>
      <c r="AA21" s="448" t="s">
        <v>156</v>
      </c>
      <c r="AB21" s="449"/>
      <c r="AC21" s="450"/>
      <c r="AD21" s="139">
        <v>3</v>
      </c>
      <c r="AE21" s="135"/>
      <c r="AF21" s="135"/>
      <c r="AG21" s="134"/>
      <c r="AH21" s="134">
        <v>0</v>
      </c>
      <c r="AI21" s="134"/>
      <c r="AJ21" s="134"/>
      <c r="AK21" s="134"/>
      <c r="AL21" s="134"/>
      <c r="AM21" s="134"/>
      <c r="AN21" s="134"/>
      <c r="AO21" s="135"/>
      <c r="AP21" s="135"/>
      <c r="AQ21" s="135"/>
      <c r="AR21" s="135"/>
      <c r="AS21" s="254" t="s">
        <v>191</v>
      </c>
      <c r="AT21" s="259"/>
      <c r="AU21" s="220"/>
      <c r="AV21" s="220"/>
      <c r="AW21" s="220"/>
      <c r="AX21" s="220"/>
      <c r="AY21" s="220"/>
      <c r="AZ21" s="220"/>
      <c r="BA21" s="220"/>
      <c r="BB21" s="220"/>
      <c r="BC21" s="137"/>
      <c r="BD21" s="138"/>
    </row>
    <row r="22" spans="1:57" s="1" customFormat="1" ht="14.4" customHeight="1">
      <c r="A22" s="145" t="str">
        <f>IF(B22="","",COUNTA($B$8:B22))</f>
        <v/>
      </c>
      <c r="B22" s="8"/>
      <c r="C22" s="127"/>
      <c r="D22" s="127"/>
      <c r="E22" s="127"/>
      <c r="F22" s="127"/>
      <c r="G22" s="127"/>
      <c r="H22" s="148"/>
      <c r="I22" s="128"/>
      <c r="J22" s="129"/>
      <c r="K22" s="129"/>
      <c r="L22" s="129"/>
      <c r="M22" s="129"/>
      <c r="N22" s="129"/>
      <c r="O22" s="129"/>
      <c r="P22" s="129"/>
      <c r="Q22" s="147"/>
      <c r="R22" s="8"/>
      <c r="S22" s="129"/>
      <c r="T22" s="129"/>
      <c r="U22" s="129"/>
      <c r="V22" s="129"/>
      <c r="W22" s="129"/>
      <c r="X22" s="148"/>
      <c r="Y22" s="451"/>
      <c r="Z22" s="452"/>
      <c r="AA22" s="448"/>
      <c r="AB22" s="449"/>
      <c r="AC22" s="450"/>
      <c r="AD22" s="139"/>
      <c r="AE22" s="135"/>
      <c r="AF22" s="135"/>
      <c r="AG22" s="134"/>
      <c r="AH22" s="134"/>
      <c r="AI22" s="134"/>
      <c r="AJ22" s="134"/>
      <c r="AK22" s="134"/>
      <c r="AL22" s="134"/>
      <c r="AM22" s="134"/>
      <c r="AN22" s="134"/>
      <c r="AO22" s="135"/>
      <c r="AP22" s="135"/>
      <c r="AQ22" s="135"/>
      <c r="AR22" s="135"/>
      <c r="AS22" s="254" t="s">
        <v>192</v>
      </c>
      <c r="AT22" s="259"/>
      <c r="AU22" s="220"/>
      <c r="AV22" s="220"/>
      <c r="AW22" s="220"/>
      <c r="AX22" s="220"/>
      <c r="AY22" s="220"/>
      <c r="AZ22" s="220"/>
      <c r="BA22" s="220"/>
      <c r="BB22" s="220"/>
      <c r="BC22" s="137"/>
      <c r="BD22" s="138"/>
    </row>
    <row r="23" spans="1:57" s="1" customFormat="1" ht="14.4" customHeight="1">
      <c r="A23" s="145">
        <f>IF(B23="","",COUNTA($B$8:B23))</f>
        <v>15</v>
      </c>
      <c r="B23" s="64" t="s">
        <v>193</v>
      </c>
      <c r="C23" s="2"/>
      <c r="D23" s="2"/>
      <c r="E23" s="2"/>
      <c r="F23" s="2"/>
      <c r="G23" s="2"/>
      <c r="H23" s="3"/>
      <c r="I23" s="128" t="s">
        <v>194</v>
      </c>
      <c r="J23" s="129"/>
      <c r="K23" s="129"/>
      <c r="L23" s="129"/>
      <c r="M23" s="129"/>
      <c r="N23" s="129"/>
      <c r="O23" s="129"/>
      <c r="P23" s="129"/>
      <c r="Q23" s="147"/>
      <c r="R23" s="64" t="s">
        <v>193</v>
      </c>
      <c r="S23" s="129"/>
      <c r="T23" s="129"/>
      <c r="U23" s="129"/>
      <c r="V23" s="129"/>
      <c r="W23" s="129"/>
      <c r="X23" s="148"/>
      <c r="Y23" s="451" t="s">
        <v>150</v>
      </c>
      <c r="Z23" s="452"/>
      <c r="AA23" s="448" t="s">
        <v>151</v>
      </c>
      <c r="AB23" s="449"/>
      <c r="AC23" s="450"/>
      <c r="AD23" s="139">
        <v>25</v>
      </c>
      <c r="AE23" s="124"/>
      <c r="AF23" s="124"/>
      <c r="AG23" s="124"/>
      <c r="AH23" s="133"/>
      <c r="AI23" s="133"/>
      <c r="AJ23" s="133"/>
      <c r="AK23" s="133"/>
      <c r="AL23" s="133"/>
      <c r="AM23" s="133"/>
      <c r="AN23" s="133"/>
      <c r="AO23" s="124"/>
      <c r="AP23" s="124"/>
      <c r="AQ23" s="124"/>
      <c r="AR23" s="124"/>
      <c r="AS23" s="233" t="s">
        <v>1469</v>
      </c>
      <c r="AT23" s="260"/>
      <c r="AU23" s="260"/>
      <c r="AV23" s="260"/>
      <c r="AW23" s="260"/>
      <c r="AX23" s="260"/>
      <c r="AY23" s="260"/>
      <c r="AZ23" s="260"/>
      <c r="BA23" s="260"/>
      <c r="BB23" s="260"/>
      <c r="BC23" s="186"/>
      <c r="BD23" s="187"/>
      <c r="BE23" s="1" t="s">
        <v>1480</v>
      </c>
    </row>
    <row r="24" spans="1:57" s="1" customFormat="1" ht="14.4" customHeight="1">
      <c r="A24" s="145">
        <f>IF(B24="","",COUNTA($B$8:B24))</f>
        <v>16</v>
      </c>
      <c r="B24" s="8" t="s">
        <v>195</v>
      </c>
      <c r="C24" s="127"/>
      <c r="D24" s="127"/>
      <c r="E24" s="127"/>
      <c r="F24" s="127"/>
      <c r="G24" s="127"/>
      <c r="H24" s="148"/>
      <c r="I24" s="128" t="s">
        <v>196</v>
      </c>
      <c r="J24" s="129"/>
      <c r="K24" s="129"/>
      <c r="L24" s="129"/>
      <c r="M24" s="129"/>
      <c r="N24" s="129"/>
      <c r="O24" s="129"/>
      <c r="P24" s="129"/>
      <c r="Q24" s="147"/>
      <c r="R24" s="8" t="s">
        <v>195</v>
      </c>
      <c r="S24" s="129"/>
      <c r="T24" s="129"/>
      <c r="U24" s="129"/>
      <c r="V24" s="129"/>
      <c r="W24" s="129"/>
      <c r="X24" s="148"/>
      <c r="Y24" s="451" t="s">
        <v>150</v>
      </c>
      <c r="Z24" s="452"/>
      <c r="AA24" s="448" t="s">
        <v>151</v>
      </c>
      <c r="AB24" s="449"/>
      <c r="AC24" s="450"/>
      <c r="AD24" s="139">
        <v>30</v>
      </c>
      <c r="AE24" s="124"/>
      <c r="AF24" s="124"/>
      <c r="AG24" s="124"/>
      <c r="AH24" s="133"/>
      <c r="AI24" s="133"/>
      <c r="AJ24" s="133"/>
      <c r="AK24" s="133"/>
      <c r="AL24" s="133"/>
      <c r="AM24" s="133"/>
      <c r="AN24" s="133"/>
      <c r="AO24" s="124"/>
      <c r="AP24" s="124"/>
      <c r="AQ24" s="124"/>
      <c r="AR24" s="124"/>
      <c r="AS24" s="233"/>
      <c r="AT24" s="220"/>
      <c r="AU24" s="220"/>
      <c r="AV24" s="220"/>
      <c r="AW24" s="220"/>
      <c r="AX24" s="220"/>
      <c r="AY24" s="220"/>
      <c r="AZ24" s="220"/>
      <c r="BA24" s="220"/>
      <c r="BB24" s="220"/>
      <c r="BC24" s="137"/>
      <c r="BD24" s="138"/>
    </row>
    <row r="25" spans="1:57" s="1" customFormat="1" ht="14.4" customHeight="1">
      <c r="A25" s="145">
        <f>IF(B25="","",COUNTA($B$8:B25))</f>
        <v>17</v>
      </c>
      <c r="B25" s="8" t="s">
        <v>197</v>
      </c>
      <c r="C25" s="127"/>
      <c r="D25" s="127"/>
      <c r="E25" s="127"/>
      <c r="F25" s="127"/>
      <c r="G25" s="127"/>
      <c r="H25" s="148"/>
      <c r="I25" s="128" t="s">
        <v>198</v>
      </c>
      <c r="J25" s="129"/>
      <c r="K25" s="129"/>
      <c r="L25" s="129"/>
      <c r="M25" s="129"/>
      <c r="N25" s="129"/>
      <c r="O25" s="129"/>
      <c r="P25" s="129"/>
      <c r="Q25" s="147"/>
      <c r="R25" s="8" t="s">
        <v>197</v>
      </c>
      <c r="S25" s="129"/>
      <c r="T25" s="129"/>
      <c r="U25" s="129"/>
      <c r="V25" s="129"/>
      <c r="W25" s="129"/>
      <c r="X25" s="148"/>
      <c r="Y25" s="451" t="s">
        <v>150</v>
      </c>
      <c r="Z25" s="452"/>
      <c r="AA25" s="448" t="s">
        <v>151</v>
      </c>
      <c r="AB25" s="449"/>
      <c r="AC25" s="450"/>
      <c r="AD25" s="139">
        <v>25</v>
      </c>
      <c r="AE25" s="124"/>
      <c r="AF25" s="124"/>
      <c r="AG25" s="124"/>
      <c r="AH25" s="133"/>
      <c r="AI25" s="133"/>
      <c r="AJ25" s="133"/>
      <c r="AK25" s="133"/>
      <c r="AL25" s="133"/>
      <c r="AM25" s="133"/>
      <c r="AN25" s="133"/>
      <c r="AO25" s="124"/>
      <c r="AP25" s="124"/>
      <c r="AQ25" s="124"/>
      <c r="AR25" s="124"/>
      <c r="AS25" s="233" t="s">
        <v>1469</v>
      </c>
      <c r="AT25" s="220"/>
      <c r="AU25" s="220"/>
      <c r="AV25" s="220"/>
      <c r="AW25" s="220"/>
      <c r="AX25" s="220"/>
      <c r="AY25" s="220"/>
      <c r="AZ25" s="220"/>
      <c r="BA25" s="220"/>
      <c r="BB25" s="220"/>
      <c r="BC25" s="137"/>
      <c r="BD25" s="138"/>
      <c r="BE25" s="1" t="s">
        <v>1480</v>
      </c>
    </row>
    <row r="26" spans="1:57" s="1" customFormat="1" ht="14.4" customHeight="1">
      <c r="A26" s="145">
        <f>IF(B26="","",COUNTA($B$8:B26))</f>
        <v>18</v>
      </c>
      <c r="B26" s="8" t="s">
        <v>199</v>
      </c>
      <c r="C26" s="127"/>
      <c r="D26" s="127"/>
      <c r="E26" s="127"/>
      <c r="F26" s="127"/>
      <c r="G26" s="127"/>
      <c r="H26" s="148"/>
      <c r="I26" s="128" t="s">
        <v>200</v>
      </c>
      <c r="J26" s="129"/>
      <c r="K26" s="129"/>
      <c r="L26" s="129"/>
      <c r="M26" s="129"/>
      <c r="N26" s="129"/>
      <c r="O26" s="129"/>
      <c r="P26" s="129"/>
      <c r="Q26" s="147"/>
      <c r="R26" s="8" t="s">
        <v>199</v>
      </c>
      <c r="S26" s="129"/>
      <c r="T26" s="129"/>
      <c r="U26" s="129"/>
      <c r="V26" s="129"/>
      <c r="W26" s="129"/>
      <c r="X26" s="148"/>
      <c r="Y26" s="451" t="s">
        <v>150</v>
      </c>
      <c r="Z26" s="452"/>
      <c r="AA26" s="448" t="s">
        <v>151</v>
      </c>
      <c r="AB26" s="449"/>
      <c r="AC26" s="450"/>
      <c r="AD26" s="139">
        <v>100</v>
      </c>
      <c r="AE26" s="124"/>
      <c r="AF26" s="124"/>
      <c r="AG26" s="124"/>
      <c r="AH26" s="133"/>
      <c r="AI26" s="133"/>
      <c r="AJ26" s="133"/>
      <c r="AK26" s="133"/>
      <c r="AL26" s="133"/>
      <c r="AM26" s="133"/>
      <c r="AN26" s="133"/>
      <c r="AO26" s="124"/>
      <c r="AP26" s="124"/>
      <c r="AQ26" s="124"/>
      <c r="AR26" s="124"/>
      <c r="AS26" s="233" t="s">
        <v>1471</v>
      </c>
      <c r="AT26" s="220"/>
      <c r="AU26" s="220"/>
      <c r="AV26" s="220"/>
      <c r="AW26" s="220"/>
      <c r="AX26" s="220"/>
      <c r="AY26" s="220"/>
      <c r="AZ26" s="220"/>
      <c r="BA26" s="220"/>
      <c r="BB26" s="220"/>
      <c r="BC26" s="137"/>
      <c r="BD26" s="138"/>
      <c r="BE26" s="1" t="s">
        <v>1480</v>
      </c>
    </row>
    <row r="27" spans="1:57" s="1" customFormat="1" ht="14.4" customHeight="1">
      <c r="A27" s="145">
        <f>IF(B27="","",COUNTA($B$8:B27))</f>
        <v>19</v>
      </c>
      <c r="B27" s="8" t="s">
        <v>201</v>
      </c>
      <c r="C27" s="127"/>
      <c r="D27" s="127"/>
      <c r="E27" s="127"/>
      <c r="F27" s="127"/>
      <c r="G27" s="127"/>
      <c r="H27" s="148"/>
      <c r="I27" s="128" t="s">
        <v>202</v>
      </c>
      <c r="J27" s="129"/>
      <c r="K27" s="129"/>
      <c r="L27" s="129"/>
      <c r="M27" s="129"/>
      <c r="N27" s="129"/>
      <c r="O27" s="129"/>
      <c r="P27" s="129"/>
      <c r="Q27" s="147"/>
      <c r="R27" s="8" t="s">
        <v>201</v>
      </c>
      <c r="S27" s="129"/>
      <c r="T27" s="129"/>
      <c r="U27" s="129"/>
      <c r="V27" s="129"/>
      <c r="W27" s="129"/>
      <c r="X27" s="148"/>
      <c r="Y27" s="451" t="s">
        <v>150</v>
      </c>
      <c r="Z27" s="452"/>
      <c r="AA27" s="448" t="s">
        <v>151</v>
      </c>
      <c r="AB27" s="449"/>
      <c r="AC27" s="450"/>
      <c r="AD27" s="139">
        <v>30</v>
      </c>
      <c r="AE27" s="124"/>
      <c r="AF27" s="124"/>
      <c r="AG27" s="124"/>
      <c r="AH27" s="133"/>
      <c r="AI27" s="133"/>
      <c r="AJ27" s="133"/>
      <c r="AK27" s="133"/>
      <c r="AL27" s="133"/>
      <c r="AM27" s="133"/>
      <c r="AN27" s="133"/>
      <c r="AO27" s="124"/>
      <c r="AP27" s="124"/>
      <c r="AQ27" s="124"/>
      <c r="AR27" s="124"/>
      <c r="AS27" s="233"/>
      <c r="AT27" s="220"/>
      <c r="AU27" s="220"/>
      <c r="AV27" s="220"/>
      <c r="AW27" s="220"/>
      <c r="AX27" s="220"/>
      <c r="AY27" s="220"/>
      <c r="AZ27" s="220"/>
      <c r="BA27" s="220"/>
      <c r="BB27" s="220"/>
      <c r="BC27" s="137"/>
      <c r="BD27" s="138"/>
    </row>
    <row r="28" spans="1:57" s="1" customFormat="1" ht="14.4" customHeight="1">
      <c r="A28" s="145">
        <f>IF(B28="","",COUNTA($B$8:B28))</f>
        <v>20</v>
      </c>
      <c r="B28" s="146" t="s">
        <v>203</v>
      </c>
      <c r="C28" s="127"/>
      <c r="D28" s="127"/>
      <c r="E28" s="127"/>
      <c r="F28" s="127"/>
      <c r="G28" s="127"/>
      <c r="H28" s="148"/>
      <c r="I28" s="128" t="s">
        <v>204</v>
      </c>
      <c r="J28" s="129"/>
      <c r="K28" s="129"/>
      <c r="L28" s="129"/>
      <c r="M28" s="129"/>
      <c r="N28" s="129"/>
      <c r="O28" s="129"/>
      <c r="P28" s="129"/>
      <c r="Q28" s="147"/>
      <c r="R28" s="146" t="s">
        <v>203</v>
      </c>
      <c r="S28" s="129"/>
      <c r="T28" s="129"/>
      <c r="U28" s="129"/>
      <c r="V28" s="129"/>
      <c r="W28" s="129"/>
      <c r="X28" s="148"/>
      <c r="Y28" s="451" t="s">
        <v>155</v>
      </c>
      <c r="Z28" s="452"/>
      <c r="AA28" s="448" t="s">
        <v>156</v>
      </c>
      <c r="AB28" s="449"/>
      <c r="AC28" s="450"/>
      <c r="AD28" s="139">
        <v>5</v>
      </c>
      <c r="AE28" s="124">
        <v>2</v>
      </c>
      <c r="AF28" s="124"/>
      <c r="AG28" s="124"/>
      <c r="AH28" s="133"/>
      <c r="AI28" s="133"/>
      <c r="AJ28" s="133"/>
      <c r="AK28" s="133"/>
      <c r="AL28" s="133"/>
      <c r="AM28" s="133"/>
      <c r="AN28" s="133"/>
      <c r="AO28" s="124"/>
      <c r="AP28" s="124"/>
      <c r="AQ28" s="124"/>
      <c r="AR28" s="124"/>
      <c r="AS28" s="233"/>
      <c r="AT28" s="220"/>
      <c r="AU28" s="220"/>
      <c r="AV28" s="220"/>
      <c r="AW28" s="220"/>
      <c r="AX28" s="220"/>
      <c r="AY28" s="220"/>
      <c r="AZ28" s="220"/>
      <c r="BA28" s="220"/>
      <c r="BB28" s="220"/>
      <c r="BC28" s="137"/>
      <c r="BD28" s="138"/>
    </row>
    <row r="29" spans="1:57" s="1" customFormat="1" ht="14.4" customHeight="1">
      <c r="A29" s="145">
        <f>IF(B29="","",COUNTA($B$8:B29))</f>
        <v>21</v>
      </c>
      <c r="B29" s="146" t="s">
        <v>205</v>
      </c>
      <c r="C29" s="2"/>
      <c r="D29" s="2"/>
      <c r="E29" s="2"/>
      <c r="F29" s="2"/>
      <c r="G29" s="2"/>
      <c r="H29" s="3"/>
      <c r="I29" s="128" t="s">
        <v>206</v>
      </c>
      <c r="J29" s="129"/>
      <c r="K29" s="129"/>
      <c r="L29" s="129"/>
      <c r="M29" s="129"/>
      <c r="N29" s="129"/>
      <c r="O29" s="129"/>
      <c r="P29" s="129"/>
      <c r="Q29" s="147"/>
      <c r="R29" s="146" t="s">
        <v>207</v>
      </c>
      <c r="S29" s="129"/>
      <c r="T29" s="129"/>
      <c r="U29" s="129"/>
      <c r="V29" s="129"/>
      <c r="W29" s="129"/>
      <c r="X29" s="148"/>
      <c r="Y29" s="451" t="s">
        <v>155</v>
      </c>
      <c r="Z29" s="452"/>
      <c r="AA29" s="448" t="s">
        <v>156</v>
      </c>
      <c r="AB29" s="449"/>
      <c r="AC29" s="450"/>
      <c r="AD29" s="139">
        <v>4</v>
      </c>
      <c r="AE29" s="124"/>
      <c r="AF29" s="124"/>
      <c r="AG29" s="124"/>
      <c r="AH29" s="133"/>
      <c r="AI29" s="133"/>
      <c r="AJ29" s="133"/>
      <c r="AK29" s="133"/>
      <c r="AL29" s="133"/>
      <c r="AM29" s="133"/>
      <c r="AN29" s="133"/>
      <c r="AO29" s="124"/>
      <c r="AP29" s="124"/>
      <c r="AQ29" s="124"/>
      <c r="AR29" s="124"/>
      <c r="AS29" s="233"/>
      <c r="AT29" s="220"/>
      <c r="AU29" s="220"/>
      <c r="AV29" s="220"/>
      <c r="AW29" s="220"/>
      <c r="AX29" s="220"/>
      <c r="AY29" s="220"/>
      <c r="AZ29" s="220"/>
      <c r="BA29" s="220"/>
      <c r="BB29" s="220"/>
      <c r="BC29" s="137"/>
      <c r="BD29" s="138"/>
    </row>
    <row r="30" spans="1:57" s="1" customFormat="1" ht="14.4" customHeight="1">
      <c r="A30" s="145">
        <f>IF(B30="","",COUNTA($B$8:B30))</f>
        <v>22</v>
      </c>
      <c r="B30" s="146" t="s">
        <v>208</v>
      </c>
      <c r="C30" s="2"/>
      <c r="D30" s="2"/>
      <c r="E30" s="2"/>
      <c r="F30" s="2"/>
      <c r="G30" s="2"/>
      <c r="H30" s="3"/>
      <c r="I30" s="128" t="s">
        <v>209</v>
      </c>
      <c r="J30" s="129"/>
      <c r="K30" s="129"/>
      <c r="L30" s="129"/>
      <c r="M30" s="129"/>
      <c r="N30" s="129"/>
      <c r="O30" s="129"/>
      <c r="P30" s="129"/>
      <c r="Q30" s="147"/>
      <c r="R30" s="146" t="s">
        <v>210</v>
      </c>
      <c r="S30" s="129"/>
      <c r="T30" s="129"/>
      <c r="U30" s="129"/>
      <c r="V30" s="129"/>
      <c r="W30" s="129"/>
      <c r="X30" s="148"/>
      <c r="Y30" s="451" t="s">
        <v>155</v>
      </c>
      <c r="Z30" s="452"/>
      <c r="AA30" s="448" t="s">
        <v>156</v>
      </c>
      <c r="AB30" s="449"/>
      <c r="AC30" s="450"/>
      <c r="AD30" s="139">
        <v>5</v>
      </c>
      <c r="AE30" s="124"/>
      <c r="AF30" s="124"/>
      <c r="AG30" s="124"/>
      <c r="AH30" s="133"/>
      <c r="AI30" s="133"/>
      <c r="AJ30" s="133"/>
      <c r="AK30" s="133"/>
      <c r="AL30" s="133"/>
      <c r="AM30" s="133"/>
      <c r="AN30" s="133"/>
      <c r="AO30" s="124"/>
      <c r="AP30" s="124"/>
      <c r="AQ30" s="124"/>
      <c r="AR30" s="124"/>
      <c r="AS30" s="131"/>
      <c r="AT30" s="137"/>
      <c r="AU30" s="137"/>
      <c r="AV30" s="137"/>
      <c r="AW30" s="137"/>
      <c r="AX30" s="137"/>
      <c r="AY30" s="137"/>
      <c r="AZ30" s="137"/>
      <c r="BA30" s="137"/>
      <c r="BB30" s="137"/>
      <c r="BC30" s="137"/>
      <c r="BD30" s="138"/>
    </row>
    <row r="31" spans="1:57" s="1" customFormat="1" ht="14.4" customHeight="1">
      <c r="A31" s="145">
        <f>IF(B31="","",COUNTA($B$8:B31))</f>
        <v>23</v>
      </c>
      <c r="B31" s="146" t="s">
        <v>211</v>
      </c>
      <c r="C31" s="127"/>
      <c r="D31" s="127"/>
      <c r="E31" s="127"/>
      <c r="F31" s="127"/>
      <c r="G31" s="127"/>
      <c r="H31" s="148"/>
      <c r="I31" s="128" t="s">
        <v>212</v>
      </c>
      <c r="J31" s="129"/>
      <c r="K31" s="129"/>
      <c r="L31" s="129"/>
      <c r="M31" s="129"/>
      <c r="N31" s="129"/>
      <c r="O31" s="129"/>
      <c r="P31" s="129"/>
      <c r="Q31" s="147"/>
      <c r="R31" s="146" t="s">
        <v>213</v>
      </c>
      <c r="S31" s="129"/>
      <c r="T31" s="129"/>
      <c r="U31" s="129"/>
      <c r="V31" s="129"/>
      <c r="W31" s="129"/>
      <c r="X31" s="148"/>
      <c r="Y31" s="451" t="s">
        <v>155</v>
      </c>
      <c r="Z31" s="452"/>
      <c r="AA31" s="448" t="s">
        <v>156</v>
      </c>
      <c r="AB31" s="449"/>
      <c r="AC31" s="450"/>
      <c r="AD31" s="139">
        <v>5</v>
      </c>
      <c r="AE31" s="124"/>
      <c r="AF31" s="124"/>
      <c r="AG31" s="124"/>
      <c r="AH31" s="133"/>
      <c r="AI31" s="133"/>
      <c r="AJ31" s="133"/>
      <c r="AK31" s="133"/>
      <c r="AL31" s="133"/>
      <c r="AM31" s="133"/>
      <c r="AN31" s="133"/>
      <c r="AO31" s="124"/>
      <c r="AP31" s="124"/>
      <c r="AQ31" s="124"/>
      <c r="AR31" s="124"/>
      <c r="AS31" s="131"/>
      <c r="AT31" s="137"/>
      <c r="AU31" s="137"/>
      <c r="AV31" s="137"/>
      <c r="AW31" s="137"/>
      <c r="AX31" s="137"/>
      <c r="AY31" s="137"/>
      <c r="AZ31" s="137"/>
      <c r="BA31" s="137"/>
      <c r="BB31" s="137"/>
      <c r="BC31" s="137"/>
      <c r="BD31" s="138"/>
    </row>
    <row r="32" spans="1:57" s="1" customFormat="1" ht="14.4" customHeight="1">
      <c r="A32" s="145">
        <f>IF(B32="","",COUNTA($B$8:B32))</f>
        <v>24</v>
      </c>
      <c r="B32" s="146" t="s">
        <v>214</v>
      </c>
      <c r="C32" s="127"/>
      <c r="D32" s="127"/>
      <c r="E32" s="127"/>
      <c r="F32" s="127"/>
      <c r="G32" s="127"/>
      <c r="H32" s="148"/>
      <c r="I32" s="128" t="s">
        <v>215</v>
      </c>
      <c r="J32" s="129"/>
      <c r="K32" s="129"/>
      <c r="L32" s="129"/>
      <c r="M32" s="129"/>
      <c r="N32" s="129"/>
      <c r="O32" s="129"/>
      <c r="P32" s="129"/>
      <c r="Q32" s="147"/>
      <c r="R32" s="146" t="s">
        <v>216</v>
      </c>
      <c r="S32" s="129"/>
      <c r="T32" s="129"/>
      <c r="U32" s="129"/>
      <c r="V32" s="129"/>
      <c r="W32" s="129"/>
      <c r="X32" s="148"/>
      <c r="Y32" s="451" t="s">
        <v>155</v>
      </c>
      <c r="Z32" s="452"/>
      <c r="AA32" s="448" t="s">
        <v>156</v>
      </c>
      <c r="AB32" s="449"/>
      <c r="AC32" s="450"/>
      <c r="AD32" s="139">
        <v>5</v>
      </c>
      <c r="AE32" s="124"/>
      <c r="AF32" s="124"/>
      <c r="AG32" s="124"/>
      <c r="AH32" s="133"/>
      <c r="AI32" s="133"/>
      <c r="AJ32" s="133"/>
      <c r="AK32" s="133"/>
      <c r="AL32" s="133"/>
      <c r="AM32" s="133"/>
      <c r="AN32" s="133"/>
      <c r="AO32" s="124"/>
      <c r="AP32" s="124"/>
      <c r="AQ32" s="124"/>
      <c r="AR32" s="124"/>
      <c r="AS32" s="131"/>
      <c r="AT32" s="137"/>
      <c r="AU32" s="137"/>
      <c r="AV32" s="137"/>
      <c r="AW32" s="137"/>
      <c r="AX32" s="137"/>
      <c r="AY32" s="137"/>
      <c r="AZ32" s="137"/>
      <c r="BA32" s="137"/>
      <c r="BB32" s="137"/>
      <c r="BC32" s="137"/>
      <c r="BD32" s="138"/>
    </row>
    <row r="33" spans="1:57" s="1" customFormat="1" ht="14.4" customHeight="1">
      <c r="A33" s="145">
        <f>IF(B33="","",COUNTA($B$8:B33))</f>
        <v>25</v>
      </c>
      <c r="B33" s="146" t="s">
        <v>217</v>
      </c>
      <c r="C33" s="127"/>
      <c r="D33" s="127"/>
      <c r="E33" s="127"/>
      <c r="F33" s="127"/>
      <c r="G33" s="127"/>
      <c r="H33" s="148"/>
      <c r="I33" s="128" t="s">
        <v>218</v>
      </c>
      <c r="J33" s="129"/>
      <c r="K33" s="129"/>
      <c r="L33" s="129"/>
      <c r="M33" s="129"/>
      <c r="N33" s="129"/>
      <c r="O33" s="129"/>
      <c r="P33" s="129"/>
      <c r="Q33" s="147"/>
      <c r="R33" s="146" t="s">
        <v>219</v>
      </c>
      <c r="S33" s="129"/>
      <c r="T33" s="129"/>
      <c r="U33" s="129"/>
      <c r="V33" s="129"/>
      <c r="W33" s="129"/>
      <c r="X33" s="148"/>
      <c r="Y33" s="451" t="s">
        <v>155</v>
      </c>
      <c r="Z33" s="452"/>
      <c r="AA33" s="448" t="s">
        <v>156</v>
      </c>
      <c r="AB33" s="449"/>
      <c r="AC33" s="450"/>
      <c r="AD33" s="197">
        <v>5</v>
      </c>
      <c r="AE33" s="124"/>
      <c r="AF33" s="124"/>
      <c r="AG33" s="124"/>
      <c r="AH33" s="133"/>
      <c r="AI33" s="133"/>
      <c r="AJ33" s="133"/>
      <c r="AK33" s="133"/>
      <c r="AL33" s="133"/>
      <c r="AM33" s="133"/>
      <c r="AN33" s="133"/>
      <c r="AO33" s="124"/>
      <c r="AP33" s="124"/>
      <c r="AQ33" s="124"/>
      <c r="AR33" s="124"/>
      <c r="AS33" s="131"/>
      <c r="AT33" s="137"/>
      <c r="AU33" s="137"/>
      <c r="AV33" s="137"/>
      <c r="AW33" s="137"/>
      <c r="AX33" s="137"/>
      <c r="AY33" s="137"/>
      <c r="AZ33" s="137"/>
      <c r="BA33" s="137"/>
      <c r="BB33" s="137"/>
      <c r="BC33" s="137"/>
      <c r="BD33" s="138"/>
    </row>
    <row r="34" spans="1:57" s="1" customFormat="1" ht="14.4" customHeight="1">
      <c r="A34" s="145">
        <f>IF(B34="","",COUNTA($B$8:B34))</f>
        <v>26</v>
      </c>
      <c r="B34" s="8" t="s">
        <v>266</v>
      </c>
      <c r="C34" s="127"/>
      <c r="D34" s="127"/>
      <c r="E34" s="127"/>
      <c r="F34" s="127"/>
      <c r="G34" s="127"/>
      <c r="H34" s="148"/>
      <c r="I34" s="128" t="s">
        <v>267</v>
      </c>
      <c r="J34" s="129"/>
      <c r="K34" s="129"/>
      <c r="L34" s="129"/>
      <c r="M34" s="129"/>
      <c r="N34" s="129"/>
      <c r="O34" s="129"/>
      <c r="P34" s="129"/>
      <c r="Q34" s="147"/>
      <c r="R34" s="8" t="s">
        <v>266</v>
      </c>
      <c r="S34" s="129"/>
      <c r="T34" s="129"/>
      <c r="U34" s="129"/>
      <c r="V34" s="129"/>
      <c r="W34" s="129"/>
      <c r="X34" s="147"/>
      <c r="Y34" s="451" t="s">
        <v>155</v>
      </c>
      <c r="Z34" s="452"/>
      <c r="AA34" s="448" t="s">
        <v>156</v>
      </c>
      <c r="AB34" s="449"/>
      <c r="AC34" s="450"/>
      <c r="AD34" s="188">
        <v>5</v>
      </c>
      <c r="AE34" s="124"/>
      <c r="AF34" s="124"/>
      <c r="AG34" s="124"/>
      <c r="AH34" s="133"/>
      <c r="AI34" s="133"/>
      <c r="AJ34" s="133"/>
      <c r="AK34" s="133"/>
      <c r="AL34" s="133"/>
      <c r="AM34" s="133"/>
      <c r="AN34" s="133"/>
      <c r="AO34" s="124"/>
      <c r="AP34" s="124"/>
      <c r="AQ34" s="124"/>
      <c r="AR34" s="124"/>
      <c r="AS34" s="131"/>
      <c r="AT34" s="137"/>
      <c r="AU34" s="137"/>
      <c r="AV34" s="137"/>
      <c r="AW34" s="137"/>
      <c r="AX34" s="137"/>
      <c r="AY34" s="137"/>
      <c r="AZ34" s="137"/>
      <c r="BA34" s="137"/>
      <c r="BB34" s="137"/>
      <c r="BC34" s="137"/>
      <c r="BD34" s="138"/>
    </row>
    <row r="35" spans="1:57" s="1" customFormat="1" ht="14.4" customHeight="1">
      <c r="A35" s="145">
        <f>IF(B35="","",COUNTA($B$8:B35))</f>
        <v>27</v>
      </c>
      <c r="B35" s="8" t="s">
        <v>278</v>
      </c>
      <c r="C35" s="127"/>
      <c r="D35" s="127"/>
      <c r="E35" s="127"/>
      <c r="F35" s="127"/>
      <c r="G35" s="127"/>
      <c r="H35" s="148"/>
      <c r="I35" s="128" t="s">
        <v>279</v>
      </c>
      <c r="J35" s="129"/>
      <c r="K35" s="129"/>
      <c r="L35" s="129"/>
      <c r="M35" s="129"/>
      <c r="N35" s="129"/>
      <c r="O35" s="129"/>
      <c r="P35" s="129"/>
      <c r="Q35" s="147"/>
      <c r="R35" s="8" t="s">
        <v>278</v>
      </c>
      <c r="S35" s="129"/>
      <c r="T35" s="129"/>
      <c r="U35" s="129"/>
      <c r="V35" s="129"/>
      <c r="W35" s="129"/>
      <c r="X35" s="148"/>
      <c r="Y35" s="451" t="s">
        <v>150</v>
      </c>
      <c r="Z35" s="452"/>
      <c r="AA35" s="448" t="s">
        <v>151</v>
      </c>
      <c r="AB35" s="449"/>
      <c r="AC35" s="450"/>
      <c r="AD35" s="139">
        <v>4</v>
      </c>
      <c r="AE35" s="124"/>
      <c r="AF35" s="124"/>
      <c r="AG35" s="124"/>
      <c r="AH35" s="133"/>
      <c r="AI35" s="133"/>
      <c r="AJ35" s="133"/>
      <c r="AK35" s="133"/>
      <c r="AL35" s="133"/>
      <c r="AM35" s="133"/>
      <c r="AN35" s="133"/>
      <c r="AO35" s="124"/>
      <c r="AP35" s="124"/>
      <c r="AQ35" s="124"/>
      <c r="AR35" s="124"/>
      <c r="AS35" s="131"/>
      <c r="AT35" s="137"/>
      <c r="AU35" s="137"/>
      <c r="AV35" s="137"/>
      <c r="AW35" s="137"/>
      <c r="AX35" s="137"/>
      <c r="AY35" s="137"/>
      <c r="AZ35" s="137"/>
      <c r="BA35" s="137"/>
      <c r="BB35" s="137"/>
      <c r="BC35" s="137"/>
      <c r="BD35" s="138"/>
    </row>
    <row r="36" spans="1:57" s="1" customFormat="1" ht="14.4" customHeight="1">
      <c r="A36" s="145">
        <f>IF(B36="","",COUNTA($B$8:B36))</f>
        <v>28</v>
      </c>
      <c r="B36" s="8" t="s">
        <v>226</v>
      </c>
      <c r="C36" s="127"/>
      <c r="D36" s="127"/>
      <c r="E36" s="127"/>
      <c r="F36" s="127"/>
      <c r="G36" s="127"/>
      <c r="H36" s="148"/>
      <c r="I36" s="128" t="s">
        <v>227</v>
      </c>
      <c r="J36" s="129"/>
      <c r="K36" s="129"/>
      <c r="L36" s="129"/>
      <c r="M36" s="129"/>
      <c r="N36" s="129"/>
      <c r="O36" s="129"/>
      <c r="P36" s="129"/>
      <c r="Q36" s="147"/>
      <c r="R36" s="8" t="s">
        <v>226</v>
      </c>
      <c r="S36" s="129"/>
      <c r="T36" s="129"/>
      <c r="U36" s="129"/>
      <c r="V36" s="129"/>
      <c r="W36" s="129"/>
      <c r="X36" s="148"/>
      <c r="Y36" s="451" t="s">
        <v>150</v>
      </c>
      <c r="Z36" s="452"/>
      <c r="AA36" s="448" t="s">
        <v>151</v>
      </c>
      <c r="AB36" s="449"/>
      <c r="AC36" s="450"/>
      <c r="AD36" s="139">
        <v>3</v>
      </c>
      <c r="AE36" s="124"/>
      <c r="AF36" s="124"/>
      <c r="AG36" s="124"/>
      <c r="AH36" s="133"/>
      <c r="AI36" s="133"/>
      <c r="AJ36" s="133"/>
      <c r="AK36" s="133"/>
      <c r="AL36" s="133"/>
      <c r="AM36" s="133"/>
      <c r="AN36" s="133"/>
      <c r="AO36" s="124"/>
      <c r="AP36" s="124"/>
      <c r="AQ36" s="124"/>
      <c r="AR36" s="124"/>
      <c r="AS36" s="131"/>
      <c r="AT36" s="137"/>
      <c r="AU36" s="137"/>
      <c r="AV36" s="137"/>
      <c r="AW36" s="137"/>
      <c r="AX36" s="137"/>
      <c r="AY36" s="137"/>
      <c r="AZ36" s="137"/>
      <c r="BA36" s="137"/>
      <c r="BB36" s="137"/>
      <c r="BC36" s="137"/>
      <c r="BD36" s="138"/>
    </row>
    <row r="37" spans="1:57" s="1" customFormat="1" ht="14.4" customHeight="1">
      <c r="A37" s="145">
        <f>IF(B37="","",COUNTA($B$8:B37))</f>
        <v>29</v>
      </c>
      <c r="B37" s="8" t="s">
        <v>228</v>
      </c>
      <c r="C37" s="127"/>
      <c r="D37" s="127"/>
      <c r="E37" s="127"/>
      <c r="F37" s="127"/>
      <c r="G37" s="127"/>
      <c r="H37" s="148"/>
      <c r="I37" s="128" t="s">
        <v>229</v>
      </c>
      <c r="J37" s="129"/>
      <c r="K37" s="129"/>
      <c r="L37" s="129"/>
      <c r="M37" s="129"/>
      <c r="N37" s="129"/>
      <c r="O37" s="129"/>
      <c r="P37" s="129"/>
      <c r="Q37" s="147"/>
      <c r="R37" s="8" t="s">
        <v>228</v>
      </c>
      <c r="S37" s="129"/>
      <c r="T37" s="129"/>
      <c r="U37" s="129"/>
      <c r="V37" s="129"/>
      <c r="W37" s="129"/>
      <c r="X37" s="148"/>
      <c r="Y37" s="451" t="s">
        <v>150</v>
      </c>
      <c r="Z37" s="452"/>
      <c r="AA37" s="448" t="s">
        <v>151</v>
      </c>
      <c r="AB37" s="449"/>
      <c r="AC37" s="450"/>
      <c r="AD37" s="139">
        <v>1000</v>
      </c>
      <c r="AE37" s="124"/>
      <c r="AF37" s="124"/>
      <c r="AG37" s="124"/>
      <c r="AH37" s="133"/>
      <c r="AI37" s="133"/>
      <c r="AJ37" s="133"/>
      <c r="AK37" s="133"/>
      <c r="AL37" s="133"/>
      <c r="AM37" s="133"/>
      <c r="AN37" s="133"/>
      <c r="AO37" s="124"/>
      <c r="AP37" s="124"/>
      <c r="AQ37" s="124"/>
      <c r="AR37" s="124"/>
      <c r="AS37" s="131"/>
      <c r="AT37" s="137"/>
      <c r="AU37" s="137"/>
      <c r="AV37" s="137"/>
      <c r="AW37" s="137"/>
      <c r="AX37" s="137"/>
      <c r="AY37" s="137"/>
      <c r="AZ37" s="137"/>
      <c r="BA37" s="137"/>
      <c r="BB37" s="137"/>
      <c r="BC37" s="137"/>
      <c r="BD37" s="138"/>
    </row>
    <row r="38" spans="1:57" s="1" customFormat="1" ht="14.4" customHeight="1">
      <c r="A38" s="145">
        <f>IF(B38="","",COUNTA($B$8:B38))</f>
        <v>30</v>
      </c>
      <c r="B38" s="8" t="s">
        <v>230</v>
      </c>
      <c r="C38" s="127"/>
      <c r="D38" s="127"/>
      <c r="E38" s="127"/>
      <c r="F38" s="127"/>
      <c r="G38" s="127"/>
      <c r="H38" s="148"/>
      <c r="I38" s="128" t="s">
        <v>231</v>
      </c>
      <c r="J38" s="129"/>
      <c r="K38" s="129"/>
      <c r="L38" s="129"/>
      <c r="M38" s="129"/>
      <c r="N38" s="129"/>
      <c r="O38" s="129"/>
      <c r="P38" s="129"/>
      <c r="Q38" s="147"/>
      <c r="R38" s="8" t="s">
        <v>230</v>
      </c>
      <c r="S38" s="129"/>
      <c r="T38" s="129"/>
      <c r="U38" s="129"/>
      <c r="V38" s="129"/>
      <c r="W38" s="129"/>
      <c r="X38" s="148"/>
      <c r="Y38" s="451" t="s">
        <v>169</v>
      </c>
      <c r="Z38" s="452"/>
      <c r="AA38" s="448" t="s">
        <v>170</v>
      </c>
      <c r="AB38" s="449"/>
      <c r="AC38" s="450"/>
      <c r="AD38" s="139"/>
      <c r="AE38" s="124"/>
      <c r="AF38" s="124"/>
      <c r="AG38" s="124"/>
      <c r="AH38" s="133"/>
      <c r="AI38" s="133"/>
      <c r="AJ38" s="133"/>
      <c r="AK38" s="133"/>
      <c r="AL38" s="133"/>
      <c r="AM38" s="133"/>
      <c r="AN38" s="133"/>
      <c r="AO38" s="124"/>
      <c r="AP38" s="124"/>
      <c r="AQ38" s="124"/>
      <c r="AR38" s="124"/>
      <c r="AS38" s="131" t="s">
        <v>232</v>
      </c>
      <c r="AT38" s="137"/>
      <c r="AU38" s="137"/>
      <c r="AV38" s="137"/>
      <c r="AW38" s="137"/>
      <c r="AX38" s="137"/>
      <c r="AY38" s="137"/>
      <c r="AZ38" s="137"/>
      <c r="BA38" s="137"/>
      <c r="BB38" s="137"/>
      <c r="BC38" s="137"/>
      <c r="BD38" s="138"/>
    </row>
    <row r="39" spans="1:57" s="1" customFormat="1" ht="14.4" customHeight="1">
      <c r="A39" s="145">
        <f>IF(B39="","",COUNTA($B$8:B39))</f>
        <v>31</v>
      </c>
      <c r="B39" s="8" t="s">
        <v>233</v>
      </c>
      <c r="C39" s="127"/>
      <c r="D39" s="127"/>
      <c r="E39" s="127"/>
      <c r="F39" s="127"/>
      <c r="G39" s="127"/>
      <c r="H39" s="148"/>
      <c r="I39" s="128" t="s">
        <v>234</v>
      </c>
      <c r="J39" s="129"/>
      <c r="K39" s="129"/>
      <c r="L39" s="129"/>
      <c r="M39" s="129"/>
      <c r="N39" s="129"/>
      <c r="O39" s="129"/>
      <c r="P39" s="129"/>
      <c r="Q39" s="147"/>
      <c r="R39" s="8" t="s">
        <v>233</v>
      </c>
      <c r="S39" s="129"/>
      <c r="T39" s="129"/>
      <c r="U39" s="129"/>
      <c r="V39" s="129"/>
      <c r="W39" s="129"/>
      <c r="X39" s="148"/>
      <c r="Y39" s="451" t="s">
        <v>155</v>
      </c>
      <c r="Z39" s="452"/>
      <c r="AA39" s="448" t="s">
        <v>156</v>
      </c>
      <c r="AB39" s="449"/>
      <c r="AC39" s="450"/>
      <c r="AD39" s="139">
        <v>1</v>
      </c>
      <c r="AE39" s="124"/>
      <c r="AF39" s="124"/>
      <c r="AG39" s="124"/>
      <c r="AH39" s="133">
        <v>0</v>
      </c>
      <c r="AI39" s="133"/>
      <c r="AJ39" s="133"/>
      <c r="AK39" s="133"/>
      <c r="AL39" s="133"/>
      <c r="AM39" s="133"/>
      <c r="AN39" s="133"/>
      <c r="AO39" s="124"/>
      <c r="AP39" s="124"/>
      <c r="AQ39" s="124"/>
      <c r="AR39" s="124"/>
      <c r="AS39" s="131"/>
      <c r="AT39" s="137"/>
      <c r="AU39" s="137"/>
      <c r="AV39" s="137"/>
      <c r="AW39" s="137"/>
      <c r="AX39" s="137"/>
      <c r="AY39" s="137"/>
      <c r="AZ39" s="137"/>
      <c r="BA39" s="137"/>
      <c r="BB39" s="137"/>
      <c r="BC39" s="137"/>
      <c r="BD39" s="138"/>
    </row>
    <row r="40" spans="1:57" s="1" customFormat="1" ht="14.4" customHeight="1">
      <c r="A40" s="145">
        <f>IF(B40="","",COUNTA($B$8:B40))</f>
        <v>32</v>
      </c>
      <c r="B40" s="182" t="s">
        <v>276</v>
      </c>
      <c r="C40" s="170"/>
      <c r="D40" s="170"/>
      <c r="E40" s="170"/>
      <c r="F40" s="170"/>
      <c r="G40" s="170"/>
      <c r="H40" s="171"/>
      <c r="I40" s="196" t="s">
        <v>277</v>
      </c>
      <c r="J40" s="172"/>
      <c r="K40" s="172"/>
      <c r="L40" s="172"/>
      <c r="M40" s="172"/>
      <c r="N40" s="172"/>
      <c r="O40" s="172"/>
      <c r="P40" s="172"/>
      <c r="Q40" s="173"/>
      <c r="R40" s="182" t="s">
        <v>276</v>
      </c>
      <c r="S40" s="172"/>
      <c r="T40" s="172"/>
      <c r="U40" s="172"/>
      <c r="V40" s="172"/>
      <c r="W40" s="172"/>
      <c r="X40" s="171"/>
      <c r="Y40" s="459" t="s">
        <v>155</v>
      </c>
      <c r="Z40" s="460"/>
      <c r="AA40" s="445" t="s">
        <v>156</v>
      </c>
      <c r="AB40" s="446"/>
      <c r="AC40" s="447"/>
      <c r="AD40" s="174">
        <v>1</v>
      </c>
      <c r="AE40" s="175"/>
      <c r="AF40" s="175"/>
      <c r="AG40" s="175"/>
      <c r="AH40" s="176">
        <v>0</v>
      </c>
      <c r="AI40" s="176"/>
      <c r="AJ40" s="176"/>
      <c r="AK40" s="176"/>
      <c r="AL40" s="176"/>
      <c r="AM40" s="176"/>
      <c r="AN40" s="176"/>
      <c r="AO40" s="175"/>
      <c r="AP40" s="175"/>
      <c r="AQ40" s="175"/>
      <c r="AR40" s="175"/>
      <c r="AS40" s="177" t="s">
        <v>235</v>
      </c>
      <c r="AT40" s="178"/>
      <c r="AU40" s="178"/>
      <c r="AV40" s="178"/>
      <c r="AW40" s="178"/>
      <c r="AX40" s="178"/>
      <c r="AY40" s="178"/>
      <c r="AZ40" s="178"/>
      <c r="BA40" s="178"/>
      <c r="BB40" s="178"/>
      <c r="BC40" s="178"/>
      <c r="BD40" s="179"/>
      <c r="BE40" s="1" t="s">
        <v>1474</v>
      </c>
    </row>
    <row r="41" spans="1:57" s="1" customFormat="1" ht="14.4" customHeight="1">
      <c r="A41" s="145">
        <f>IF(B41="","",COUNTA($B$8:B41))</f>
        <v>33</v>
      </c>
      <c r="B41" s="8" t="s">
        <v>236</v>
      </c>
      <c r="C41" s="127"/>
      <c r="D41" s="127"/>
      <c r="E41" s="127"/>
      <c r="F41" s="127"/>
      <c r="G41" s="127"/>
      <c r="H41" s="148"/>
      <c r="I41" s="128" t="s">
        <v>237</v>
      </c>
      <c r="J41" s="129"/>
      <c r="K41" s="129"/>
      <c r="L41" s="129"/>
      <c r="M41" s="129"/>
      <c r="N41" s="129"/>
      <c r="O41" s="129"/>
      <c r="P41" s="129"/>
      <c r="Q41" s="147"/>
      <c r="R41" s="8" t="s">
        <v>236</v>
      </c>
      <c r="S41" s="129"/>
      <c r="T41" s="129"/>
      <c r="U41" s="129"/>
      <c r="V41" s="129"/>
      <c r="W41" s="129"/>
      <c r="X41" s="148"/>
      <c r="Y41" s="451" t="s">
        <v>155</v>
      </c>
      <c r="Z41" s="452"/>
      <c r="AA41" s="448" t="s">
        <v>156</v>
      </c>
      <c r="AB41" s="449"/>
      <c r="AC41" s="450"/>
      <c r="AD41" s="139">
        <v>1</v>
      </c>
      <c r="AE41" s="124"/>
      <c r="AF41" s="124"/>
      <c r="AG41" s="124"/>
      <c r="AH41" s="133">
        <v>0</v>
      </c>
      <c r="AI41" s="133"/>
      <c r="AJ41" s="133"/>
      <c r="AK41" s="133"/>
      <c r="AL41" s="133"/>
      <c r="AM41" s="133"/>
      <c r="AN41" s="133"/>
      <c r="AO41" s="124"/>
      <c r="AP41" s="124"/>
      <c r="AQ41" s="124"/>
      <c r="AR41" s="124"/>
      <c r="AS41" s="131" t="s">
        <v>238</v>
      </c>
      <c r="AT41" s="137"/>
      <c r="AU41" s="137"/>
      <c r="AV41" s="137"/>
      <c r="AW41" s="137"/>
      <c r="AX41" s="137"/>
      <c r="AY41" s="137"/>
      <c r="AZ41" s="137"/>
      <c r="BA41" s="137"/>
      <c r="BB41" s="137"/>
      <c r="BC41" s="137"/>
      <c r="BD41" s="138"/>
    </row>
    <row r="42" spans="1:57" s="1" customFormat="1" ht="14.4" customHeight="1">
      <c r="A42" s="145">
        <f>IF(B42="","",COUNTA($B$8:B42))</f>
        <v>34</v>
      </c>
      <c r="B42" s="8" t="s">
        <v>239</v>
      </c>
      <c r="C42" s="127"/>
      <c r="D42" s="127"/>
      <c r="E42" s="127"/>
      <c r="F42" s="127"/>
      <c r="G42" s="127"/>
      <c r="H42" s="148"/>
      <c r="I42" s="128" t="s">
        <v>240</v>
      </c>
      <c r="J42" s="129"/>
      <c r="K42" s="129"/>
      <c r="L42" s="129"/>
      <c r="M42" s="129"/>
      <c r="N42" s="129"/>
      <c r="O42" s="129"/>
      <c r="P42" s="129"/>
      <c r="Q42" s="147"/>
      <c r="R42" s="8" t="s">
        <v>239</v>
      </c>
      <c r="S42" s="129"/>
      <c r="T42" s="129"/>
      <c r="U42" s="129"/>
      <c r="V42" s="129"/>
      <c r="W42" s="129"/>
      <c r="X42" s="148"/>
      <c r="Y42" s="451" t="s">
        <v>169</v>
      </c>
      <c r="Z42" s="452"/>
      <c r="AA42" s="448" t="s">
        <v>170</v>
      </c>
      <c r="AB42" s="449"/>
      <c r="AC42" s="450"/>
      <c r="AD42" s="139"/>
      <c r="AE42" s="124"/>
      <c r="AF42" s="124"/>
      <c r="AG42" s="124"/>
      <c r="AH42" s="133"/>
      <c r="AI42" s="133"/>
      <c r="AJ42" s="133"/>
      <c r="AK42" s="133"/>
      <c r="AL42" s="133"/>
      <c r="AM42" s="133"/>
      <c r="AN42" s="133"/>
      <c r="AO42" s="124"/>
      <c r="AP42" s="124"/>
      <c r="AQ42" s="124"/>
      <c r="AR42" s="124"/>
      <c r="AS42" s="131"/>
      <c r="AT42" s="137"/>
      <c r="AU42" s="137"/>
      <c r="AV42" s="137"/>
      <c r="AW42" s="137"/>
      <c r="AX42" s="137"/>
      <c r="AY42" s="137"/>
      <c r="AZ42" s="137"/>
      <c r="BA42" s="137"/>
      <c r="BB42" s="137"/>
      <c r="BC42" s="137"/>
      <c r="BD42" s="138"/>
    </row>
    <row r="43" spans="1:57" s="1" customFormat="1" ht="14.4" customHeight="1">
      <c r="A43" s="189">
        <f>IF(B43="","",COUNTA($B$8:B43))</f>
        <v>35</v>
      </c>
      <c r="B43" s="4" t="s">
        <v>241</v>
      </c>
      <c r="C43" s="127"/>
      <c r="D43" s="127"/>
      <c r="E43" s="127"/>
      <c r="F43" s="127"/>
      <c r="G43" s="127"/>
      <c r="H43" s="127"/>
      <c r="I43" s="128" t="s">
        <v>242</v>
      </c>
      <c r="J43" s="129"/>
      <c r="K43" s="129"/>
      <c r="L43" s="129"/>
      <c r="M43" s="129"/>
      <c r="N43" s="129"/>
      <c r="O43" s="129"/>
      <c r="P43" s="129"/>
      <c r="Q43" s="129"/>
      <c r="R43" s="4" t="s">
        <v>241</v>
      </c>
      <c r="S43" s="127"/>
      <c r="T43" s="5"/>
      <c r="U43" s="5"/>
      <c r="V43" s="5"/>
      <c r="W43" s="5"/>
      <c r="X43" s="5"/>
      <c r="Y43" s="8" t="s">
        <v>150</v>
      </c>
      <c r="Z43" s="132"/>
      <c r="AA43" s="448" t="s">
        <v>243</v>
      </c>
      <c r="AB43" s="449"/>
      <c r="AC43" s="450"/>
      <c r="AD43" s="130"/>
      <c r="AE43" s="133" t="s">
        <v>244</v>
      </c>
      <c r="AF43" s="134"/>
      <c r="AG43" s="134"/>
      <c r="AH43" s="134"/>
      <c r="AI43" s="134"/>
      <c r="AJ43" s="134"/>
      <c r="AK43" s="134"/>
      <c r="AL43" s="134"/>
      <c r="AM43" s="134"/>
      <c r="AN43" s="134"/>
      <c r="AO43" s="135"/>
      <c r="AP43" s="135"/>
      <c r="AQ43" s="135"/>
      <c r="AR43" s="135"/>
      <c r="AS43" s="136" t="s">
        <v>245</v>
      </c>
      <c r="AT43" s="137"/>
      <c r="AU43" s="137"/>
      <c r="AV43" s="137"/>
      <c r="AW43" s="137"/>
      <c r="AX43" s="137"/>
      <c r="AY43" s="137"/>
      <c r="AZ43" s="137"/>
      <c r="BA43" s="137"/>
      <c r="BB43" s="137"/>
      <c r="BC43" s="137"/>
      <c r="BD43" s="138"/>
    </row>
    <row r="44" spans="1:57" s="1" customFormat="1" ht="14.4" customHeight="1">
      <c r="A44" s="189">
        <f>IF(B44="","",COUNTA($B$8:B44))</f>
        <v>36</v>
      </c>
      <c r="B44" s="4" t="s">
        <v>246</v>
      </c>
      <c r="C44" s="127"/>
      <c r="D44" s="127"/>
      <c r="E44" s="127"/>
      <c r="F44" s="127"/>
      <c r="G44" s="127"/>
      <c r="H44" s="127"/>
      <c r="I44" s="128" t="s">
        <v>247</v>
      </c>
      <c r="J44" s="129"/>
      <c r="K44" s="129"/>
      <c r="L44" s="129"/>
      <c r="M44" s="129"/>
      <c r="N44" s="129"/>
      <c r="O44" s="129"/>
      <c r="P44" s="129"/>
      <c r="Q44" s="129"/>
      <c r="R44" s="4" t="s">
        <v>246</v>
      </c>
      <c r="S44" s="127"/>
      <c r="T44" s="5"/>
      <c r="U44" s="5"/>
      <c r="V44" s="5"/>
      <c r="W44" s="5"/>
      <c r="X44" s="5"/>
      <c r="Y44" s="8" t="s">
        <v>150</v>
      </c>
      <c r="Z44" s="132"/>
      <c r="AA44" s="448" t="s">
        <v>243</v>
      </c>
      <c r="AB44" s="449"/>
      <c r="AC44" s="450"/>
      <c r="AD44" s="130"/>
      <c r="AE44" s="133" t="s">
        <v>244</v>
      </c>
      <c r="AF44" s="134"/>
      <c r="AG44" s="134"/>
      <c r="AH44" s="134"/>
      <c r="AI44" s="134"/>
      <c r="AJ44" s="134"/>
      <c r="AK44" s="134"/>
      <c r="AL44" s="134"/>
      <c r="AM44" s="134"/>
      <c r="AN44" s="134"/>
      <c r="AO44" s="135"/>
      <c r="AP44" s="135"/>
      <c r="AQ44" s="135"/>
      <c r="AR44" s="135"/>
      <c r="AS44" s="136" t="s">
        <v>248</v>
      </c>
      <c r="AT44" s="137"/>
      <c r="AU44" s="137"/>
      <c r="AV44" s="137"/>
      <c r="AW44" s="137"/>
      <c r="AX44" s="137"/>
      <c r="AY44" s="137"/>
      <c r="AZ44" s="137"/>
      <c r="BA44" s="137"/>
      <c r="BB44" s="137"/>
      <c r="BC44" s="137"/>
      <c r="BD44" s="138"/>
    </row>
    <row r="45" spans="1:57" s="1" customFormat="1" ht="14.4" customHeight="1">
      <c r="A45" s="145">
        <f>IF(B45="","",COUNTA($B$8:B45))</f>
        <v>37</v>
      </c>
      <c r="B45" s="8" t="s">
        <v>249</v>
      </c>
      <c r="C45" s="127"/>
      <c r="D45" s="127"/>
      <c r="E45" s="127"/>
      <c r="F45" s="127"/>
      <c r="G45" s="127"/>
      <c r="H45" s="148"/>
      <c r="I45" s="128" t="s">
        <v>250</v>
      </c>
      <c r="J45" s="129"/>
      <c r="K45" s="129"/>
      <c r="L45" s="129"/>
      <c r="M45" s="129"/>
      <c r="N45" s="129"/>
      <c r="O45" s="129"/>
      <c r="P45" s="129"/>
      <c r="Q45" s="147"/>
      <c r="R45" s="8" t="s">
        <v>249</v>
      </c>
      <c r="S45" s="129"/>
      <c r="T45" s="129"/>
      <c r="U45" s="129"/>
      <c r="V45" s="129"/>
      <c r="W45" s="129"/>
      <c r="X45" s="148"/>
      <c r="Y45" s="451" t="s">
        <v>150</v>
      </c>
      <c r="Z45" s="452"/>
      <c r="AA45" s="448" t="s">
        <v>151</v>
      </c>
      <c r="AB45" s="449"/>
      <c r="AC45" s="450"/>
      <c r="AD45" s="139">
        <v>4</v>
      </c>
      <c r="AE45" s="124"/>
      <c r="AF45" s="124"/>
      <c r="AG45" s="124"/>
      <c r="AH45" s="133"/>
      <c r="AI45" s="133"/>
      <c r="AJ45" s="133"/>
      <c r="AK45" s="133"/>
      <c r="AL45" s="133"/>
      <c r="AM45" s="133"/>
      <c r="AN45" s="133"/>
      <c r="AO45" s="124"/>
      <c r="AP45" s="124"/>
      <c r="AQ45" s="124"/>
      <c r="AR45" s="124"/>
      <c r="AS45" s="131"/>
      <c r="AT45" s="137"/>
      <c r="AU45" s="137"/>
      <c r="AV45" s="137"/>
      <c r="AW45" s="137"/>
      <c r="AX45" s="137"/>
      <c r="AY45" s="137"/>
      <c r="AZ45" s="137"/>
      <c r="BA45" s="137"/>
      <c r="BB45" s="137"/>
      <c r="BC45" s="137"/>
      <c r="BD45" s="138"/>
    </row>
    <row r="46" spans="1:57" s="1" customFormat="1" ht="14.4" customHeight="1">
      <c r="A46" s="145">
        <f>IF(B46="","",COUNTA($B$8:B46))</f>
        <v>38</v>
      </c>
      <c r="B46" s="8" t="s">
        <v>251</v>
      </c>
      <c r="C46" s="127"/>
      <c r="D46" s="127"/>
      <c r="E46" s="127"/>
      <c r="F46" s="127"/>
      <c r="G46" s="127"/>
      <c r="H46" s="148"/>
      <c r="I46" s="128" t="s">
        <v>252</v>
      </c>
      <c r="J46" s="129"/>
      <c r="K46" s="129"/>
      <c r="L46" s="129"/>
      <c r="M46" s="129"/>
      <c r="N46" s="129"/>
      <c r="O46" s="129"/>
      <c r="P46" s="129"/>
      <c r="Q46" s="147"/>
      <c r="R46" s="8" t="s">
        <v>251</v>
      </c>
      <c r="S46" s="129"/>
      <c r="T46" s="129"/>
      <c r="U46" s="129"/>
      <c r="V46" s="129"/>
      <c r="W46" s="129"/>
      <c r="X46" s="148"/>
      <c r="Y46" s="451" t="s">
        <v>150</v>
      </c>
      <c r="Z46" s="452"/>
      <c r="AA46" s="448" t="s">
        <v>151</v>
      </c>
      <c r="AB46" s="449"/>
      <c r="AC46" s="450"/>
      <c r="AD46" s="139">
        <v>4</v>
      </c>
      <c r="AE46" s="124"/>
      <c r="AF46" s="124"/>
      <c r="AG46" s="124"/>
      <c r="AH46" s="133"/>
      <c r="AI46" s="133"/>
      <c r="AJ46" s="133"/>
      <c r="AK46" s="133"/>
      <c r="AL46" s="133"/>
      <c r="AM46" s="133"/>
      <c r="AN46" s="133"/>
      <c r="AO46" s="124"/>
      <c r="AP46" s="124"/>
      <c r="AQ46" s="124"/>
      <c r="AR46" s="124"/>
      <c r="AS46" s="131"/>
      <c r="AT46" s="137"/>
      <c r="AU46" s="137"/>
      <c r="AV46" s="137"/>
      <c r="AW46" s="137"/>
      <c r="AX46" s="137"/>
      <c r="AY46" s="137"/>
      <c r="AZ46" s="137"/>
      <c r="BA46" s="137"/>
      <c r="BB46" s="137"/>
      <c r="BC46" s="137"/>
      <c r="BD46" s="138"/>
    </row>
    <row r="47" spans="1:57" s="1" customFormat="1" ht="14.4" customHeight="1">
      <c r="A47" s="145">
        <f>IF(B47="","",COUNTA($B$8:B47))</f>
        <v>39</v>
      </c>
      <c r="B47" s="8" t="s">
        <v>253</v>
      </c>
      <c r="C47" s="127"/>
      <c r="D47" s="127"/>
      <c r="E47" s="127"/>
      <c r="F47" s="127"/>
      <c r="G47" s="127"/>
      <c r="H47" s="148"/>
      <c r="I47" s="131" t="s">
        <v>254</v>
      </c>
      <c r="J47" s="129"/>
      <c r="K47" s="129"/>
      <c r="L47" s="129"/>
      <c r="M47" s="129"/>
      <c r="N47" s="129"/>
      <c r="O47" s="129"/>
      <c r="P47" s="129"/>
      <c r="Q47" s="147"/>
      <c r="R47" s="8" t="s">
        <v>253</v>
      </c>
      <c r="S47" s="129"/>
      <c r="T47" s="129"/>
      <c r="U47" s="129"/>
      <c r="V47" s="129"/>
      <c r="W47" s="129"/>
      <c r="X47" s="148"/>
      <c r="Y47" s="451" t="s">
        <v>150</v>
      </c>
      <c r="Z47" s="452"/>
      <c r="AA47" s="448" t="s">
        <v>151</v>
      </c>
      <c r="AB47" s="449"/>
      <c r="AC47" s="450"/>
      <c r="AD47" s="139">
        <v>10</v>
      </c>
      <c r="AE47" s="124"/>
      <c r="AF47" s="124"/>
      <c r="AG47" s="124"/>
      <c r="AH47" s="133"/>
      <c r="AI47" s="133"/>
      <c r="AJ47" s="133"/>
      <c r="AK47" s="133"/>
      <c r="AL47" s="133"/>
      <c r="AM47" s="133"/>
      <c r="AN47" s="133"/>
      <c r="AO47" s="124"/>
      <c r="AP47" s="124"/>
      <c r="AQ47" s="124"/>
      <c r="AR47" s="124"/>
      <c r="AS47" s="131"/>
      <c r="AT47" s="137"/>
      <c r="AU47" s="137"/>
      <c r="AV47" s="137"/>
      <c r="AW47" s="137"/>
      <c r="AX47" s="137"/>
      <c r="AY47" s="137"/>
      <c r="AZ47" s="137"/>
      <c r="BA47" s="137"/>
      <c r="BB47" s="137"/>
      <c r="BC47" s="137"/>
      <c r="BD47" s="138"/>
    </row>
    <row r="48" spans="1:57" s="1" customFormat="1" ht="14.4" customHeight="1">
      <c r="A48" s="145">
        <f>IF(B48="","",COUNTA($B$8:B48))</f>
        <v>40</v>
      </c>
      <c r="B48" s="8" t="s">
        <v>255</v>
      </c>
      <c r="C48" s="127"/>
      <c r="D48" s="127"/>
      <c r="E48" s="127"/>
      <c r="F48" s="127"/>
      <c r="G48" s="127"/>
      <c r="H48" s="148"/>
      <c r="I48" s="131" t="s">
        <v>256</v>
      </c>
      <c r="J48" s="129"/>
      <c r="K48" s="129"/>
      <c r="L48" s="129"/>
      <c r="M48" s="129"/>
      <c r="N48" s="129"/>
      <c r="O48" s="129"/>
      <c r="P48" s="129"/>
      <c r="Q48" s="147"/>
      <c r="R48" s="8" t="s">
        <v>255</v>
      </c>
      <c r="S48" s="129"/>
      <c r="T48" s="129"/>
      <c r="U48" s="129"/>
      <c r="V48" s="129"/>
      <c r="W48" s="129"/>
      <c r="X48" s="148"/>
      <c r="Y48" s="451" t="s">
        <v>150</v>
      </c>
      <c r="Z48" s="452"/>
      <c r="AA48" s="448" t="s">
        <v>151</v>
      </c>
      <c r="AB48" s="449"/>
      <c r="AC48" s="450"/>
      <c r="AD48" s="139">
        <v>10</v>
      </c>
      <c r="AE48" s="124"/>
      <c r="AF48" s="124"/>
      <c r="AG48" s="124"/>
      <c r="AH48" s="133"/>
      <c r="AI48" s="133"/>
      <c r="AJ48" s="133"/>
      <c r="AK48" s="133"/>
      <c r="AL48" s="133"/>
      <c r="AM48" s="133"/>
      <c r="AN48" s="133"/>
      <c r="AO48" s="124"/>
      <c r="AP48" s="124"/>
      <c r="AQ48" s="124"/>
      <c r="AR48" s="124"/>
      <c r="AS48" s="131"/>
      <c r="AT48" s="137"/>
      <c r="AU48" s="137"/>
      <c r="AV48" s="137"/>
      <c r="AW48" s="137"/>
      <c r="AX48" s="137"/>
      <c r="AY48" s="137"/>
      <c r="AZ48" s="137"/>
      <c r="BA48" s="137"/>
      <c r="BB48" s="137"/>
      <c r="BC48" s="137"/>
      <c r="BD48" s="138"/>
    </row>
    <row r="49" spans="1:56" s="1" customFormat="1" ht="14.4" customHeight="1">
      <c r="A49" s="145">
        <f>IF(B49="","",COUNTA($B$8:B49))</f>
        <v>41</v>
      </c>
      <c r="B49" s="8" t="s">
        <v>257</v>
      </c>
      <c r="C49" s="127"/>
      <c r="D49" s="127"/>
      <c r="E49" s="127"/>
      <c r="F49" s="127"/>
      <c r="G49" s="127"/>
      <c r="H49" s="148"/>
      <c r="I49" s="131" t="s">
        <v>258</v>
      </c>
      <c r="J49" s="129"/>
      <c r="K49" s="129"/>
      <c r="L49" s="129"/>
      <c r="M49" s="129"/>
      <c r="N49" s="129"/>
      <c r="O49" s="129"/>
      <c r="P49" s="129"/>
      <c r="Q49" s="147"/>
      <c r="R49" s="8" t="s">
        <v>257</v>
      </c>
      <c r="S49" s="129"/>
      <c r="T49" s="129"/>
      <c r="U49" s="129"/>
      <c r="V49" s="129"/>
      <c r="W49" s="129"/>
      <c r="X49" s="148"/>
      <c r="Y49" s="451" t="s">
        <v>169</v>
      </c>
      <c r="Z49" s="452"/>
      <c r="AA49" s="448" t="s">
        <v>243</v>
      </c>
      <c r="AB49" s="449"/>
      <c r="AC49" s="450"/>
      <c r="AD49" s="188"/>
      <c r="AE49" s="124"/>
      <c r="AF49" s="124"/>
      <c r="AG49" s="124"/>
      <c r="AH49" s="134"/>
      <c r="AI49" s="134"/>
      <c r="AJ49" s="133"/>
      <c r="AK49" s="133"/>
      <c r="AL49" s="133"/>
      <c r="AM49" s="133"/>
      <c r="AN49" s="133"/>
      <c r="AO49" s="124"/>
      <c r="AP49" s="124"/>
      <c r="AQ49" s="124"/>
      <c r="AR49" s="124"/>
      <c r="AS49" s="131"/>
      <c r="AT49" s="137"/>
      <c r="AU49" s="137"/>
      <c r="AV49" s="137"/>
      <c r="AW49" s="137"/>
      <c r="AX49" s="137"/>
      <c r="AY49" s="137"/>
      <c r="AZ49" s="137"/>
      <c r="BA49" s="137"/>
      <c r="BB49" s="137"/>
      <c r="BC49" s="137"/>
      <c r="BD49" s="138"/>
    </row>
    <row r="50" spans="1:56" s="1" customFormat="1" ht="14.4" customHeight="1">
      <c r="A50" s="145">
        <f>IF(B50="","",COUNTA($B$8:B50))</f>
        <v>42</v>
      </c>
      <c r="B50" s="8" t="s">
        <v>259</v>
      </c>
      <c r="C50" s="127"/>
      <c r="D50" s="127"/>
      <c r="E50" s="127"/>
      <c r="F50" s="127"/>
      <c r="G50" s="127"/>
      <c r="H50" s="148"/>
      <c r="I50" s="131" t="s">
        <v>260</v>
      </c>
      <c r="J50" s="129"/>
      <c r="K50" s="129"/>
      <c r="L50" s="129"/>
      <c r="M50" s="129"/>
      <c r="N50" s="129"/>
      <c r="O50" s="129"/>
      <c r="P50" s="129"/>
      <c r="Q50" s="147"/>
      <c r="R50" s="8" t="s">
        <v>259</v>
      </c>
      <c r="S50" s="129"/>
      <c r="T50" s="129"/>
      <c r="U50" s="129"/>
      <c r="V50" s="129"/>
      <c r="W50" s="129"/>
      <c r="X50" s="148"/>
      <c r="Y50" s="451" t="s">
        <v>150</v>
      </c>
      <c r="Z50" s="452"/>
      <c r="AA50" s="448" t="s">
        <v>151</v>
      </c>
      <c r="AB50" s="449"/>
      <c r="AC50" s="450"/>
      <c r="AD50" s="139">
        <v>10</v>
      </c>
      <c r="AE50" s="124"/>
      <c r="AF50" s="124"/>
      <c r="AG50" s="124"/>
      <c r="AH50" s="134"/>
      <c r="AI50" s="134"/>
      <c r="AJ50" s="133"/>
      <c r="AK50" s="133"/>
      <c r="AL50" s="133"/>
      <c r="AM50" s="133"/>
      <c r="AN50" s="133"/>
      <c r="AO50" s="124"/>
      <c r="AP50" s="124"/>
      <c r="AQ50" s="124"/>
      <c r="AR50" s="124"/>
      <c r="AS50" s="131"/>
      <c r="AT50" s="137"/>
      <c r="AU50" s="137"/>
      <c r="AV50" s="137"/>
      <c r="AW50" s="137"/>
      <c r="AX50" s="137"/>
      <c r="AY50" s="137"/>
      <c r="AZ50" s="137"/>
      <c r="BA50" s="137"/>
      <c r="BB50" s="137"/>
      <c r="BC50" s="137"/>
      <c r="BD50" s="138"/>
    </row>
    <row r="51" spans="1:56" s="1" customFormat="1" ht="14.4" customHeight="1">
      <c r="A51" s="145">
        <f>IF(B51="","",COUNTA($B$8:B51))</f>
        <v>43</v>
      </c>
      <c r="B51" s="8" t="s">
        <v>261</v>
      </c>
      <c r="C51" s="127"/>
      <c r="D51" s="127"/>
      <c r="E51" s="127"/>
      <c r="F51" s="127"/>
      <c r="G51" s="127"/>
      <c r="H51" s="148"/>
      <c r="I51" s="131" t="s">
        <v>262</v>
      </c>
      <c r="J51" s="129"/>
      <c r="K51" s="129"/>
      <c r="L51" s="129"/>
      <c r="M51" s="129"/>
      <c r="N51" s="129"/>
      <c r="O51" s="129"/>
      <c r="P51" s="129"/>
      <c r="Q51" s="147"/>
      <c r="R51" s="8" t="s">
        <v>261</v>
      </c>
      <c r="S51" s="129"/>
      <c r="T51" s="129"/>
      <c r="U51" s="129"/>
      <c r="V51" s="129"/>
      <c r="W51" s="129"/>
      <c r="X51" s="148"/>
      <c r="Y51" s="451" t="s">
        <v>150</v>
      </c>
      <c r="Z51" s="452"/>
      <c r="AA51" s="448" t="s">
        <v>151</v>
      </c>
      <c r="AB51" s="449"/>
      <c r="AC51" s="450"/>
      <c r="AD51" s="188">
        <v>10</v>
      </c>
      <c r="AE51" s="124"/>
      <c r="AF51" s="124"/>
      <c r="AG51" s="124"/>
      <c r="AH51" s="133"/>
      <c r="AI51" s="133"/>
      <c r="AJ51" s="133"/>
      <c r="AK51" s="133"/>
      <c r="AL51" s="134"/>
      <c r="AM51" s="134"/>
      <c r="AN51" s="134"/>
      <c r="AO51" s="135"/>
      <c r="AP51" s="135"/>
      <c r="AQ51" s="135"/>
      <c r="AR51" s="135"/>
      <c r="AS51" s="136"/>
      <c r="AT51" s="190"/>
      <c r="AU51" s="137"/>
      <c r="AV51" s="137"/>
      <c r="AW51" s="137"/>
      <c r="AX51" s="137"/>
      <c r="AY51" s="137"/>
      <c r="AZ51" s="137"/>
      <c r="BA51" s="137"/>
      <c r="BB51" s="137"/>
      <c r="BC51" s="137"/>
      <c r="BD51" s="138"/>
    </row>
    <row r="52" spans="1:56" s="1" customFormat="1" ht="14.4" customHeight="1">
      <c r="A52" s="145">
        <f>IF(B52="","",COUNTA($B$8:B52))</f>
        <v>44</v>
      </c>
      <c r="B52" s="8" t="s">
        <v>263</v>
      </c>
      <c r="C52" s="127"/>
      <c r="D52" s="127"/>
      <c r="E52" s="127"/>
      <c r="F52" s="127"/>
      <c r="G52" s="127"/>
      <c r="H52" s="148"/>
      <c r="I52" s="131" t="s">
        <v>264</v>
      </c>
      <c r="J52" s="129"/>
      <c r="K52" s="129"/>
      <c r="L52" s="129"/>
      <c r="M52" s="129"/>
      <c r="N52" s="129"/>
      <c r="O52" s="129"/>
      <c r="P52" s="129"/>
      <c r="Q52" s="147"/>
      <c r="R52" s="146" t="s">
        <v>263</v>
      </c>
      <c r="S52" s="129"/>
      <c r="T52" s="129"/>
      <c r="U52" s="129"/>
      <c r="V52" s="129"/>
      <c r="W52" s="129"/>
      <c r="X52" s="148"/>
      <c r="Y52" s="451" t="s">
        <v>169</v>
      </c>
      <c r="Z52" s="452"/>
      <c r="AA52" s="448" t="s">
        <v>243</v>
      </c>
      <c r="AB52" s="449"/>
      <c r="AC52" s="450"/>
      <c r="AD52" s="188"/>
      <c r="AE52" s="124"/>
      <c r="AF52" s="124"/>
      <c r="AG52" s="124"/>
      <c r="AH52" s="134"/>
      <c r="AI52" s="134"/>
      <c r="AJ52" s="134"/>
      <c r="AK52" s="134"/>
      <c r="AL52" s="134"/>
      <c r="AM52" s="134"/>
      <c r="AN52" s="134"/>
      <c r="AO52" s="135"/>
      <c r="AP52" s="135"/>
      <c r="AQ52" s="135"/>
      <c r="AR52" s="135"/>
      <c r="AS52" s="136"/>
      <c r="AT52" s="190"/>
      <c r="AU52" s="137"/>
      <c r="AV52" s="137"/>
      <c r="AW52" s="137"/>
      <c r="AX52" s="137"/>
      <c r="AY52" s="137"/>
      <c r="AZ52" s="137"/>
      <c r="BA52" s="137"/>
      <c r="BB52" s="137"/>
      <c r="BC52" s="137"/>
      <c r="BD52" s="138"/>
    </row>
    <row r="53" spans="1:56" s="1" customFormat="1" ht="14.4" customHeight="1">
      <c r="A53" s="145" t="str">
        <f>IF(B53="","",COUNTA($B$8:B53))</f>
        <v/>
      </c>
      <c r="B53" s="8"/>
      <c r="C53" s="127"/>
      <c r="D53" s="127"/>
      <c r="E53" s="127"/>
      <c r="F53" s="127"/>
      <c r="G53" s="127"/>
      <c r="H53" s="148"/>
      <c r="I53" s="128"/>
      <c r="J53" s="129"/>
      <c r="K53" s="129"/>
      <c r="L53" s="129"/>
      <c r="M53" s="129"/>
      <c r="N53" s="129"/>
      <c r="O53" s="129"/>
      <c r="P53" s="129"/>
      <c r="Q53" s="147"/>
      <c r="R53" s="8"/>
      <c r="S53" s="129"/>
      <c r="T53" s="129"/>
      <c r="U53" s="129"/>
      <c r="V53" s="129"/>
      <c r="W53" s="129"/>
      <c r="X53" s="148"/>
      <c r="Y53" s="451"/>
      <c r="Z53" s="452"/>
      <c r="AA53" s="448"/>
      <c r="AB53" s="449"/>
      <c r="AC53" s="450"/>
      <c r="AD53" s="188"/>
      <c r="AE53" s="124" t="s">
        <v>244</v>
      </c>
      <c r="AF53" s="124"/>
      <c r="AG53" s="124"/>
      <c r="AH53" s="134"/>
      <c r="AI53" s="134"/>
      <c r="AJ53" s="134"/>
      <c r="AK53" s="134"/>
      <c r="AL53" s="134"/>
      <c r="AM53" s="134"/>
      <c r="AN53" s="134"/>
      <c r="AO53" s="135"/>
      <c r="AP53" s="135"/>
      <c r="AQ53" s="135"/>
      <c r="AR53" s="135"/>
      <c r="AS53" s="136"/>
      <c r="AT53" s="190"/>
      <c r="AU53" s="137"/>
      <c r="AV53" s="137"/>
      <c r="AW53" s="137"/>
      <c r="AX53" s="137"/>
      <c r="AY53" s="137"/>
      <c r="AZ53" s="137"/>
      <c r="BA53" s="137"/>
      <c r="BB53" s="137"/>
      <c r="BC53" s="137"/>
      <c r="BD53" s="138"/>
    </row>
    <row r="54" spans="1:56" s="1" customFormat="1" ht="14.4" customHeight="1">
      <c r="A54" s="145" t="str">
        <f>IF(B54="","",COUNTA($B$8:B54))</f>
        <v/>
      </c>
      <c r="B54" s="8"/>
      <c r="C54" s="127"/>
      <c r="D54" s="127"/>
      <c r="E54" s="127"/>
      <c r="F54" s="127"/>
      <c r="G54" s="127"/>
      <c r="H54" s="148"/>
      <c r="I54" s="128"/>
      <c r="J54" s="129"/>
      <c r="K54" s="129"/>
      <c r="L54" s="129"/>
      <c r="M54" s="129"/>
      <c r="N54" s="129"/>
      <c r="O54" s="129"/>
      <c r="P54" s="129"/>
      <c r="Q54" s="147"/>
      <c r="R54" s="8"/>
      <c r="S54" s="129"/>
      <c r="T54" s="129"/>
      <c r="U54" s="129"/>
      <c r="V54" s="129"/>
      <c r="W54" s="129"/>
      <c r="X54" s="148"/>
      <c r="Y54" s="451"/>
      <c r="Z54" s="452"/>
      <c r="AA54" s="448"/>
      <c r="AB54" s="449"/>
      <c r="AC54" s="450"/>
      <c r="AD54" s="188"/>
      <c r="AE54" s="124" t="s">
        <v>244</v>
      </c>
      <c r="AF54" s="124"/>
      <c r="AG54" s="124"/>
      <c r="AH54" s="134"/>
      <c r="AI54" s="134"/>
      <c r="AJ54" s="134"/>
      <c r="AK54" s="134"/>
      <c r="AL54" s="134"/>
      <c r="AM54" s="134"/>
      <c r="AN54" s="134"/>
      <c r="AO54" s="135"/>
      <c r="AP54" s="135"/>
      <c r="AQ54" s="135"/>
      <c r="AR54" s="135"/>
      <c r="AS54" s="136"/>
      <c r="AT54" s="190"/>
      <c r="AU54" s="137"/>
      <c r="AV54" s="137"/>
      <c r="AW54" s="137"/>
      <c r="AX54" s="137"/>
      <c r="AY54" s="137"/>
      <c r="AZ54" s="137"/>
      <c r="BA54" s="137"/>
      <c r="BB54" s="137"/>
      <c r="BC54" s="137"/>
      <c r="BD54" s="138"/>
    </row>
    <row r="55" spans="1:56" s="1" customFormat="1" ht="14.4" customHeight="1">
      <c r="A55" s="145" t="str">
        <f>IF(B55="","",COUNTA($B$8:B55))</f>
        <v/>
      </c>
      <c r="B55" s="8"/>
      <c r="C55" s="127"/>
      <c r="D55" s="127"/>
      <c r="E55" s="127"/>
      <c r="F55" s="127"/>
      <c r="G55" s="127"/>
      <c r="H55" s="148"/>
      <c r="I55" s="128"/>
      <c r="J55" s="129"/>
      <c r="K55" s="129"/>
      <c r="L55" s="129"/>
      <c r="M55" s="129"/>
      <c r="N55" s="129"/>
      <c r="O55" s="129"/>
      <c r="P55" s="129"/>
      <c r="Q55" s="147"/>
      <c r="R55" s="8"/>
      <c r="S55" s="129"/>
      <c r="T55" s="129"/>
      <c r="U55" s="129"/>
      <c r="V55" s="129"/>
      <c r="W55" s="129"/>
      <c r="X55" s="148"/>
      <c r="Y55" s="451"/>
      <c r="Z55" s="452"/>
      <c r="AA55" s="448"/>
      <c r="AB55" s="449"/>
      <c r="AC55" s="450"/>
      <c r="AD55" s="188"/>
      <c r="AE55" s="124" t="s">
        <v>244</v>
      </c>
      <c r="AF55" s="124"/>
      <c r="AG55" s="124"/>
      <c r="AH55" s="134"/>
      <c r="AI55" s="134"/>
      <c r="AJ55" s="134"/>
      <c r="AK55" s="134"/>
      <c r="AL55" s="134"/>
      <c r="AM55" s="134"/>
      <c r="AN55" s="134"/>
      <c r="AO55" s="135"/>
      <c r="AP55" s="135"/>
      <c r="AQ55" s="135"/>
      <c r="AR55" s="135"/>
      <c r="AS55" s="136"/>
      <c r="AT55" s="190"/>
      <c r="AU55" s="137"/>
      <c r="AV55" s="137"/>
      <c r="AW55" s="137"/>
      <c r="AX55" s="137"/>
      <c r="AY55" s="137"/>
      <c r="AZ55" s="137"/>
      <c r="BA55" s="137"/>
      <c r="BB55" s="137"/>
      <c r="BC55" s="137"/>
      <c r="BD55" s="138"/>
    </row>
    <row r="56" spans="1:56" s="1" customFormat="1" ht="14.4" customHeight="1">
      <c r="A56" s="145" t="str">
        <f>IF(B56="","",COUNTA($B$8:B56))</f>
        <v/>
      </c>
      <c r="B56" s="8"/>
      <c r="C56" s="127"/>
      <c r="D56" s="127"/>
      <c r="E56" s="127"/>
      <c r="F56" s="127"/>
      <c r="G56" s="127"/>
      <c r="H56" s="148"/>
      <c r="I56" s="128"/>
      <c r="J56" s="129"/>
      <c r="K56" s="129"/>
      <c r="L56" s="129"/>
      <c r="M56" s="129"/>
      <c r="N56" s="129"/>
      <c r="O56" s="129"/>
      <c r="P56" s="129"/>
      <c r="Q56" s="147"/>
      <c r="R56" s="8"/>
      <c r="S56" s="129"/>
      <c r="T56" s="129"/>
      <c r="U56" s="129"/>
      <c r="V56" s="129"/>
      <c r="W56" s="129"/>
      <c r="X56" s="148"/>
      <c r="Y56" s="451"/>
      <c r="Z56" s="452"/>
      <c r="AA56" s="448"/>
      <c r="AB56" s="449"/>
      <c r="AC56" s="450"/>
      <c r="AD56" s="188"/>
      <c r="AE56" s="124" t="s">
        <v>244</v>
      </c>
      <c r="AF56" s="124"/>
      <c r="AG56" s="124"/>
      <c r="AH56" s="134"/>
      <c r="AI56" s="134"/>
      <c r="AJ56" s="134"/>
      <c r="AK56" s="134"/>
      <c r="AL56" s="134"/>
      <c r="AM56" s="134"/>
      <c r="AN56" s="134"/>
      <c r="AO56" s="135"/>
      <c r="AP56" s="135"/>
      <c r="AQ56" s="135"/>
      <c r="AR56" s="135"/>
      <c r="AS56" s="136"/>
      <c r="AT56" s="190"/>
      <c r="AU56" s="137"/>
      <c r="AV56" s="137"/>
      <c r="AW56" s="137"/>
      <c r="AX56" s="137"/>
      <c r="AY56" s="137"/>
      <c r="AZ56" s="137"/>
      <c r="BA56" s="137"/>
      <c r="BB56" s="137"/>
      <c r="BC56" s="137"/>
      <c r="BD56" s="138"/>
    </row>
    <row r="57" spans="1:56" s="1" customFormat="1" ht="14.4" customHeight="1">
      <c r="A57" s="145" t="str">
        <f>IF(B57="","",COUNTA($B$8:B57))</f>
        <v/>
      </c>
      <c r="B57" s="8"/>
      <c r="C57" s="127"/>
      <c r="D57" s="127"/>
      <c r="E57" s="127"/>
      <c r="F57" s="127"/>
      <c r="G57" s="127"/>
      <c r="H57" s="148"/>
      <c r="I57" s="128"/>
      <c r="J57" s="129"/>
      <c r="K57" s="129"/>
      <c r="L57" s="129"/>
      <c r="M57" s="129"/>
      <c r="N57" s="129"/>
      <c r="O57" s="129"/>
      <c r="P57" s="129"/>
      <c r="Q57" s="147"/>
      <c r="R57" s="8"/>
      <c r="S57" s="129"/>
      <c r="T57" s="129"/>
      <c r="U57" s="129"/>
      <c r="V57" s="129"/>
      <c r="W57" s="129"/>
      <c r="X57" s="148"/>
      <c r="Y57" s="451"/>
      <c r="Z57" s="452"/>
      <c r="AA57" s="448"/>
      <c r="AB57" s="449"/>
      <c r="AC57" s="450"/>
      <c r="AD57" s="188"/>
      <c r="AE57" s="124" t="s">
        <v>244</v>
      </c>
      <c r="AF57" s="124"/>
      <c r="AG57" s="124"/>
      <c r="AH57" s="134"/>
      <c r="AI57" s="134"/>
      <c r="AJ57" s="134"/>
      <c r="AK57" s="134"/>
      <c r="AL57" s="134"/>
      <c r="AM57" s="134"/>
      <c r="AN57" s="134"/>
      <c r="AO57" s="135"/>
      <c r="AP57" s="135"/>
      <c r="AQ57" s="135"/>
      <c r="AR57" s="135"/>
      <c r="AS57" s="136"/>
      <c r="AT57" s="190"/>
      <c r="AU57" s="137"/>
      <c r="AV57" s="137"/>
      <c r="AW57" s="137"/>
      <c r="AX57" s="137"/>
      <c r="AY57" s="137"/>
      <c r="AZ57" s="137"/>
      <c r="BA57" s="137"/>
      <c r="BB57" s="137"/>
      <c r="BC57" s="137"/>
      <c r="BD57" s="138"/>
    </row>
    <row r="58" spans="1:56" s="1" customFormat="1" ht="14.4" customHeight="1">
      <c r="A58" s="145" t="str">
        <f>IF(B58="","",COUNTA($B$8:B58))</f>
        <v/>
      </c>
      <c r="B58" s="8"/>
      <c r="C58" s="127"/>
      <c r="D58" s="127"/>
      <c r="E58" s="127"/>
      <c r="F58" s="127"/>
      <c r="G58" s="127"/>
      <c r="H58" s="148"/>
      <c r="I58" s="128"/>
      <c r="J58" s="129"/>
      <c r="K58" s="129"/>
      <c r="L58" s="129"/>
      <c r="M58" s="129"/>
      <c r="N58" s="129"/>
      <c r="O58" s="129"/>
      <c r="P58" s="129"/>
      <c r="Q58" s="147"/>
      <c r="R58" s="8"/>
      <c r="S58" s="129"/>
      <c r="T58" s="129"/>
      <c r="U58" s="129"/>
      <c r="V58" s="129"/>
      <c r="W58" s="129"/>
      <c r="X58" s="148"/>
      <c r="Y58" s="451"/>
      <c r="Z58" s="452"/>
      <c r="AA58" s="448"/>
      <c r="AB58" s="449"/>
      <c r="AC58" s="450"/>
      <c r="AD58" s="188"/>
      <c r="AE58" s="124" t="s">
        <v>244</v>
      </c>
      <c r="AF58" s="124"/>
      <c r="AG58" s="124"/>
      <c r="AH58" s="134"/>
      <c r="AI58" s="134"/>
      <c r="AJ58" s="134"/>
      <c r="AK58" s="134"/>
      <c r="AL58" s="134"/>
      <c r="AM58" s="134"/>
      <c r="AN58" s="134"/>
      <c r="AO58" s="135"/>
      <c r="AP58" s="135"/>
      <c r="AQ58" s="135"/>
      <c r="AR58" s="135"/>
      <c r="AS58" s="136"/>
      <c r="AT58" s="190"/>
      <c r="AU58" s="137"/>
      <c r="AV58" s="137"/>
      <c r="AW58" s="137"/>
      <c r="AX58" s="137"/>
      <c r="AY58" s="137"/>
      <c r="AZ58" s="137"/>
      <c r="BA58" s="137"/>
      <c r="BB58" s="137"/>
      <c r="BC58" s="137"/>
      <c r="BD58" s="138"/>
    </row>
    <row r="59" spans="1:56" s="1" customFormat="1" ht="14.4" customHeight="1">
      <c r="A59" s="145" t="str">
        <f>IF(B59="","",COUNTA($B$8:B59))</f>
        <v/>
      </c>
      <c r="B59" s="8"/>
      <c r="C59" s="127"/>
      <c r="D59" s="127"/>
      <c r="E59" s="127"/>
      <c r="F59" s="127"/>
      <c r="G59" s="127"/>
      <c r="H59" s="148"/>
      <c r="I59" s="128"/>
      <c r="J59" s="129"/>
      <c r="K59" s="129"/>
      <c r="L59" s="129"/>
      <c r="M59" s="129"/>
      <c r="N59" s="129"/>
      <c r="O59" s="129"/>
      <c r="P59" s="129"/>
      <c r="Q59" s="147"/>
      <c r="R59" s="8"/>
      <c r="S59" s="129"/>
      <c r="T59" s="129"/>
      <c r="U59" s="129"/>
      <c r="V59" s="129"/>
      <c r="W59" s="129"/>
      <c r="X59" s="148"/>
      <c r="Y59" s="451"/>
      <c r="Z59" s="452"/>
      <c r="AA59" s="448"/>
      <c r="AB59" s="449"/>
      <c r="AC59" s="450"/>
      <c r="AD59" s="188"/>
      <c r="AE59" s="124" t="s">
        <v>244</v>
      </c>
      <c r="AF59" s="124"/>
      <c r="AG59" s="124"/>
      <c r="AH59" s="134"/>
      <c r="AI59" s="134"/>
      <c r="AJ59" s="134"/>
      <c r="AK59" s="134"/>
      <c r="AL59" s="134"/>
      <c r="AM59" s="134"/>
      <c r="AN59" s="134"/>
      <c r="AO59" s="135"/>
      <c r="AP59" s="135"/>
      <c r="AQ59" s="135"/>
      <c r="AR59" s="135"/>
      <c r="AS59" s="136"/>
      <c r="AT59" s="190"/>
      <c r="AU59" s="137"/>
      <c r="AV59" s="137"/>
      <c r="AW59" s="137"/>
      <c r="AX59" s="137"/>
      <c r="AY59" s="137"/>
      <c r="AZ59" s="137"/>
      <c r="BA59" s="137"/>
      <c r="BB59" s="137"/>
      <c r="BC59" s="137"/>
      <c r="BD59" s="138"/>
    </row>
    <row r="60" spans="1:56" s="1" customFormat="1" ht="14.4" customHeight="1">
      <c r="A60" s="145" t="str">
        <f>IF(B60="","",COUNTA($B$8:B60))</f>
        <v/>
      </c>
      <c r="B60" s="8"/>
      <c r="C60" s="127"/>
      <c r="D60" s="127"/>
      <c r="E60" s="127"/>
      <c r="F60" s="127"/>
      <c r="G60" s="127"/>
      <c r="H60" s="148"/>
      <c r="I60" s="128"/>
      <c r="J60" s="129"/>
      <c r="K60" s="129"/>
      <c r="L60" s="129"/>
      <c r="M60" s="129"/>
      <c r="N60" s="129"/>
      <c r="O60" s="129"/>
      <c r="P60" s="129"/>
      <c r="Q60" s="147"/>
      <c r="R60" s="8"/>
      <c r="S60" s="129"/>
      <c r="T60" s="129"/>
      <c r="U60" s="129"/>
      <c r="V60" s="129"/>
      <c r="W60" s="129"/>
      <c r="X60" s="148"/>
      <c r="Y60" s="451"/>
      <c r="Z60" s="452"/>
      <c r="AA60" s="448"/>
      <c r="AB60" s="449"/>
      <c r="AC60" s="450"/>
      <c r="AD60" s="188"/>
      <c r="AE60" s="124" t="s">
        <v>244</v>
      </c>
      <c r="AF60" s="124"/>
      <c r="AG60" s="124"/>
      <c r="AH60" s="134"/>
      <c r="AI60" s="134"/>
      <c r="AJ60" s="134"/>
      <c r="AK60" s="134"/>
      <c r="AL60" s="134"/>
      <c r="AM60" s="134"/>
      <c r="AN60" s="134"/>
      <c r="AO60" s="135"/>
      <c r="AP60" s="135"/>
      <c r="AQ60" s="135"/>
      <c r="AR60" s="135"/>
      <c r="AS60" s="136"/>
      <c r="AT60" s="190"/>
      <c r="AU60" s="137"/>
      <c r="AV60" s="137"/>
      <c r="AW60" s="137"/>
      <c r="AX60" s="137"/>
      <c r="AY60" s="137"/>
      <c r="AZ60" s="137"/>
      <c r="BA60" s="137"/>
      <c r="BB60" s="137"/>
      <c r="BC60" s="137"/>
      <c r="BD60" s="138"/>
    </row>
    <row r="61" spans="1:56" s="1" customFormat="1" ht="14.4" customHeight="1">
      <c r="A61" s="145" t="str">
        <f>IF(B61="","",COUNTA($B$8:B61))</f>
        <v/>
      </c>
      <c r="B61" s="8"/>
      <c r="C61" s="127"/>
      <c r="D61" s="127"/>
      <c r="E61" s="127"/>
      <c r="F61" s="127"/>
      <c r="G61" s="127"/>
      <c r="H61" s="148"/>
      <c r="I61" s="128"/>
      <c r="J61" s="129"/>
      <c r="K61" s="129"/>
      <c r="L61" s="129"/>
      <c r="M61" s="129"/>
      <c r="N61" s="129"/>
      <c r="O61" s="129"/>
      <c r="P61" s="129"/>
      <c r="Q61" s="147"/>
      <c r="R61" s="8"/>
      <c r="S61" s="129"/>
      <c r="T61" s="129"/>
      <c r="U61" s="129"/>
      <c r="V61" s="129"/>
      <c r="W61" s="129"/>
      <c r="X61" s="148"/>
      <c r="Y61" s="451"/>
      <c r="Z61" s="452"/>
      <c r="AA61" s="448"/>
      <c r="AB61" s="449"/>
      <c r="AC61" s="450"/>
      <c r="AD61" s="188"/>
      <c r="AE61" s="124" t="s">
        <v>244</v>
      </c>
      <c r="AF61" s="124"/>
      <c r="AG61" s="124"/>
      <c r="AH61" s="134"/>
      <c r="AI61" s="134"/>
      <c r="AJ61" s="134"/>
      <c r="AK61" s="134"/>
      <c r="AL61" s="134"/>
      <c r="AM61" s="134"/>
      <c r="AN61" s="134"/>
      <c r="AO61" s="135"/>
      <c r="AP61" s="135"/>
      <c r="AQ61" s="135"/>
      <c r="AR61" s="135"/>
      <c r="AS61" s="136"/>
      <c r="AT61" s="190"/>
      <c r="AU61" s="137"/>
      <c r="AV61" s="137"/>
      <c r="AW61" s="137"/>
      <c r="AX61" s="137"/>
      <c r="AY61" s="137"/>
      <c r="AZ61" s="137"/>
      <c r="BA61" s="137"/>
      <c r="BB61" s="137"/>
      <c r="BC61" s="137"/>
      <c r="BD61" s="138"/>
    </row>
    <row r="62" spans="1:56" s="1" customFormat="1" ht="14.4" customHeight="1">
      <c r="A62" s="145" t="str">
        <f>IF(B62="","",COUNTA($B$8:B62))</f>
        <v/>
      </c>
      <c r="B62" s="8"/>
      <c r="C62" s="127"/>
      <c r="D62" s="127"/>
      <c r="E62" s="127"/>
      <c r="F62" s="127"/>
      <c r="G62" s="127"/>
      <c r="H62" s="148"/>
      <c r="I62" s="128"/>
      <c r="J62" s="129"/>
      <c r="K62" s="129"/>
      <c r="L62" s="129"/>
      <c r="M62" s="129"/>
      <c r="N62" s="129"/>
      <c r="O62" s="129"/>
      <c r="P62" s="129"/>
      <c r="Q62" s="147"/>
      <c r="R62" s="8"/>
      <c r="S62" s="129"/>
      <c r="T62" s="129"/>
      <c r="U62" s="129"/>
      <c r="V62" s="129"/>
      <c r="W62" s="129"/>
      <c r="X62" s="148"/>
      <c r="Y62" s="451"/>
      <c r="Z62" s="452"/>
      <c r="AA62" s="448"/>
      <c r="AB62" s="449"/>
      <c r="AC62" s="450"/>
      <c r="AD62" s="188"/>
      <c r="AE62" s="124" t="s">
        <v>244</v>
      </c>
      <c r="AF62" s="124"/>
      <c r="AG62" s="124"/>
      <c r="AH62" s="134"/>
      <c r="AI62" s="134"/>
      <c r="AJ62" s="134"/>
      <c r="AK62" s="134"/>
      <c r="AL62" s="134"/>
      <c r="AM62" s="134"/>
      <c r="AN62" s="134"/>
      <c r="AO62" s="135"/>
      <c r="AP62" s="135"/>
      <c r="AQ62" s="135"/>
      <c r="AR62" s="135"/>
      <c r="AS62" s="136"/>
      <c r="AT62" s="190"/>
      <c r="AU62" s="137"/>
      <c r="AV62" s="137"/>
      <c r="AW62" s="137"/>
      <c r="AX62" s="137"/>
      <c r="AY62" s="137"/>
      <c r="AZ62" s="137"/>
      <c r="BA62" s="137"/>
      <c r="BB62" s="137"/>
      <c r="BC62" s="137"/>
      <c r="BD62" s="138"/>
    </row>
    <row r="63" spans="1:56" s="1" customFormat="1" ht="14.4" customHeight="1">
      <c r="A63" s="145" t="str">
        <f>IF(B63="","",COUNTA($B$8:B63))</f>
        <v/>
      </c>
      <c r="B63" s="8"/>
      <c r="C63" s="127"/>
      <c r="D63" s="127"/>
      <c r="E63" s="127"/>
      <c r="F63" s="127"/>
      <c r="G63" s="127"/>
      <c r="H63" s="148"/>
      <c r="I63" s="128"/>
      <c r="J63" s="129"/>
      <c r="K63" s="129"/>
      <c r="L63" s="129"/>
      <c r="M63" s="129"/>
      <c r="N63" s="129"/>
      <c r="O63" s="129"/>
      <c r="P63" s="129"/>
      <c r="Q63" s="147"/>
      <c r="R63" s="8"/>
      <c r="S63" s="129"/>
      <c r="T63" s="129"/>
      <c r="U63" s="129"/>
      <c r="V63" s="129"/>
      <c r="W63" s="129"/>
      <c r="X63" s="148"/>
      <c r="Y63" s="451"/>
      <c r="Z63" s="452"/>
      <c r="AA63" s="448"/>
      <c r="AB63" s="449"/>
      <c r="AC63" s="450"/>
      <c r="AD63" s="188"/>
      <c r="AE63" s="124" t="s">
        <v>244</v>
      </c>
      <c r="AF63" s="124"/>
      <c r="AG63" s="124"/>
      <c r="AH63" s="134"/>
      <c r="AI63" s="134"/>
      <c r="AJ63" s="134"/>
      <c r="AK63" s="134"/>
      <c r="AL63" s="134"/>
      <c r="AM63" s="134"/>
      <c r="AN63" s="134"/>
      <c r="AO63" s="135"/>
      <c r="AP63" s="135"/>
      <c r="AQ63" s="135"/>
      <c r="AR63" s="135"/>
      <c r="AS63" s="136"/>
      <c r="AT63" s="190"/>
      <c r="AU63" s="137"/>
      <c r="AV63" s="137"/>
      <c r="AW63" s="137"/>
      <c r="AX63" s="137"/>
      <c r="AY63" s="137"/>
      <c r="AZ63" s="137"/>
      <c r="BA63" s="137"/>
      <c r="BB63" s="137"/>
      <c r="BC63" s="137"/>
      <c r="BD63" s="138"/>
    </row>
    <row r="64" spans="1:56" s="1" customFormat="1" ht="14.4" customHeight="1">
      <c r="A64" s="145" t="str">
        <f>IF(B64="","",COUNTA($B$8:B64))</f>
        <v/>
      </c>
      <c r="B64" s="8"/>
      <c r="C64" s="127"/>
      <c r="D64" s="127"/>
      <c r="E64" s="127"/>
      <c r="F64" s="127"/>
      <c r="G64" s="127"/>
      <c r="H64" s="148"/>
      <c r="I64" s="128"/>
      <c r="J64" s="129"/>
      <c r="K64" s="129"/>
      <c r="L64" s="129"/>
      <c r="M64" s="129"/>
      <c r="N64" s="129"/>
      <c r="O64" s="129"/>
      <c r="P64" s="129"/>
      <c r="Q64" s="147"/>
      <c r="R64" s="8"/>
      <c r="S64" s="129"/>
      <c r="T64" s="129"/>
      <c r="U64" s="129"/>
      <c r="V64" s="129"/>
      <c r="W64" s="129"/>
      <c r="X64" s="148"/>
      <c r="Y64" s="451"/>
      <c r="Z64" s="452"/>
      <c r="AA64" s="448"/>
      <c r="AB64" s="449"/>
      <c r="AC64" s="450"/>
      <c r="AD64" s="188"/>
      <c r="AE64" s="124" t="s">
        <v>244</v>
      </c>
      <c r="AF64" s="124"/>
      <c r="AG64" s="124"/>
      <c r="AH64" s="134"/>
      <c r="AI64" s="134"/>
      <c r="AJ64" s="134"/>
      <c r="AK64" s="134"/>
      <c r="AL64" s="134"/>
      <c r="AM64" s="134"/>
      <c r="AN64" s="134"/>
      <c r="AO64" s="135"/>
      <c r="AP64" s="135"/>
      <c r="AQ64" s="135"/>
      <c r="AR64" s="135"/>
      <c r="AS64" s="136"/>
      <c r="AT64" s="190"/>
      <c r="AU64" s="137"/>
      <c r="AV64" s="137"/>
      <c r="AW64" s="137"/>
      <c r="AX64" s="137"/>
      <c r="AY64" s="137"/>
      <c r="AZ64" s="137"/>
      <c r="BA64" s="137"/>
      <c r="BB64" s="137"/>
      <c r="BC64" s="137"/>
      <c r="BD64" s="138"/>
    </row>
    <row r="65" spans="1:56" s="1" customFormat="1" ht="14.4" customHeight="1">
      <c r="A65" s="145" t="str">
        <f>IF(B65="","",COUNTA($B$8:B65))</f>
        <v/>
      </c>
      <c r="B65" s="8"/>
      <c r="C65" s="127"/>
      <c r="D65" s="127"/>
      <c r="E65" s="127"/>
      <c r="F65" s="127"/>
      <c r="G65" s="127"/>
      <c r="H65" s="148"/>
      <c r="I65" s="128"/>
      <c r="J65" s="129"/>
      <c r="K65" s="129"/>
      <c r="L65" s="129"/>
      <c r="M65" s="129"/>
      <c r="N65" s="129"/>
      <c r="O65" s="129"/>
      <c r="P65" s="129"/>
      <c r="Q65" s="147"/>
      <c r="R65" s="8"/>
      <c r="S65" s="129"/>
      <c r="T65" s="129"/>
      <c r="U65" s="129"/>
      <c r="V65" s="129"/>
      <c r="W65" s="129"/>
      <c r="X65" s="148"/>
      <c r="Y65" s="451"/>
      <c r="Z65" s="452"/>
      <c r="AA65" s="448"/>
      <c r="AB65" s="449"/>
      <c r="AC65" s="450"/>
      <c r="AD65" s="188"/>
      <c r="AE65" s="124" t="s">
        <v>244</v>
      </c>
      <c r="AF65" s="124"/>
      <c r="AG65" s="124"/>
      <c r="AH65" s="134"/>
      <c r="AI65" s="134"/>
      <c r="AJ65" s="134"/>
      <c r="AK65" s="134"/>
      <c r="AL65" s="134"/>
      <c r="AM65" s="134"/>
      <c r="AN65" s="134"/>
      <c r="AO65" s="135"/>
      <c r="AP65" s="135"/>
      <c r="AQ65" s="135"/>
      <c r="AR65" s="135"/>
      <c r="AS65" s="136"/>
      <c r="AT65" s="190"/>
      <c r="AU65" s="137"/>
      <c r="AV65" s="137"/>
      <c r="AW65" s="137"/>
      <c r="AX65" s="137"/>
      <c r="AY65" s="137"/>
      <c r="AZ65" s="137"/>
      <c r="BA65" s="137"/>
      <c r="BB65" s="137"/>
      <c r="BC65" s="137"/>
      <c r="BD65" s="138"/>
    </row>
    <row r="66" spans="1:56" s="1" customFormat="1" ht="14.4" customHeight="1">
      <c r="A66" s="145" t="str">
        <f>IF(B66="","",COUNTA($B$8:B66))</f>
        <v/>
      </c>
      <c r="B66" s="8"/>
      <c r="C66" s="127"/>
      <c r="D66" s="127"/>
      <c r="E66" s="127"/>
      <c r="F66" s="127"/>
      <c r="G66" s="127"/>
      <c r="H66" s="148"/>
      <c r="I66" s="128"/>
      <c r="J66" s="129"/>
      <c r="K66" s="129"/>
      <c r="L66" s="129"/>
      <c r="M66" s="129"/>
      <c r="N66" s="129"/>
      <c r="O66" s="129"/>
      <c r="P66" s="129"/>
      <c r="Q66" s="147"/>
      <c r="R66" s="8"/>
      <c r="S66" s="129"/>
      <c r="T66" s="129"/>
      <c r="U66" s="129"/>
      <c r="V66" s="129"/>
      <c r="W66" s="129"/>
      <c r="X66" s="148"/>
      <c r="Y66" s="451"/>
      <c r="Z66" s="452"/>
      <c r="AA66" s="448"/>
      <c r="AB66" s="449"/>
      <c r="AC66" s="450"/>
      <c r="AD66" s="188"/>
      <c r="AE66" s="124" t="s">
        <v>244</v>
      </c>
      <c r="AF66" s="124"/>
      <c r="AG66" s="124"/>
      <c r="AH66" s="134"/>
      <c r="AI66" s="134"/>
      <c r="AJ66" s="134"/>
      <c r="AK66" s="134"/>
      <c r="AL66" s="134"/>
      <c r="AM66" s="134"/>
      <c r="AN66" s="134"/>
      <c r="AO66" s="135"/>
      <c r="AP66" s="135"/>
      <c r="AQ66" s="135"/>
      <c r="AR66" s="135"/>
      <c r="AS66" s="136"/>
      <c r="AT66" s="190"/>
      <c r="AU66" s="137"/>
      <c r="AV66" s="137"/>
      <c r="AW66" s="137"/>
      <c r="AX66" s="137"/>
      <c r="AY66" s="137"/>
      <c r="AZ66" s="137"/>
      <c r="BA66" s="137"/>
      <c r="BB66" s="137"/>
      <c r="BC66" s="137"/>
      <c r="BD66" s="138"/>
    </row>
    <row r="67" spans="1:56" s="1" customFormat="1" ht="14.4" customHeight="1">
      <c r="A67" s="145" t="str">
        <f>IF(B67="","",COUNTA($B$8:B67))</f>
        <v/>
      </c>
      <c r="B67" s="8"/>
      <c r="C67" s="127"/>
      <c r="D67" s="127"/>
      <c r="E67" s="127"/>
      <c r="F67" s="127"/>
      <c r="G67" s="127"/>
      <c r="H67" s="148"/>
      <c r="I67" s="128"/>
      <c r="J67" s="129"/>
      <c r="K67" s="129"/>
      <c r="L67" s="129"/>
      <c r="M67" s="129"/>
      <c r="N67" s="129"/>
      <c r="O67" s="129"/>
      <c r="P67" s="129"/>
      <c r="Q67" s="147"/>
      <c r="R67" s="8"/>
      <c r="S67" s="129"/>
      <c r="T67" s="129"/>
      <c r="U67" s="129"/>
      <c r="V67" s="129"/>
      <c r="W67" s="129"/>
      <c r="X67" s="148"/>
      <c r="Y67" s="451"/>
      <c r="Z67" s="452"/>
      <c r="AA67" s="448"/>
      <c r="AB67" s="449"/>
      <c r="AC67" s="450"/>
      <c r="AD67" s="188"/>
      <c r="AE67" s="124" t="s">
        <v>244</v>
      </c>
      <c r="AF67" s="124"/>
      <c r="AG67" s="124"/>
      <c r="AH67" s="134"/>
      <c r="AI67" s="134"/>
      <c r="AJ67" s="134"/>
      <c r="AK67" s="134"/>
      <c r="AL67" s="134"/>
      <c r="AM67" s="134"/>
      <c r="AN67" s="134"/>
      <c r="AO67" s="135"/>
      <c r="AP67" s="135"/>
      <c r="AQ67" s="135"/>
      <c r="AR67" s="135"/>
      <c r="AS67" s="136"/>
      <c r="AT67" s="190"/>
      <c r="AU67" s="137"/>
      <c r="AV67" s="137"/>
      <c r="AW67" s="137"/>
      <c r="AX67" s="137"/>
      <c r="AY67" s="137"/>
      <c r="AZ67" s="137"/>
      <c r="BA67" s="137"/>
      <c r="BB67" s="137"/>
      <c r="BC67" s="137"/>
      <c r="BD67" s="138"/>
    </row>
    <row r="68" spans="1:56" s="1" customFormat="1" ht="14.4" customHeight="1">
      <c r="A68" s="145" t="str">
        <f>IF(B68="","",COUNTA($B$8:B68))</f>
        <v/>
      </c>
      <c r="B68" s="8"/>
      <c r="C68" s="127"/>
      <c r="D68" s="127"/>
      <c r="E68" s="127"/>
      <c r="F68" s="127"/>
      <c r="G68" s="127"/>
      <c r="H68" s="148"/>
      <c r="I68" s="128"/>
      <c r="J68" s="129"/>
      <c r="K68" s="129"/>
      <c r="L68" s="129"/>
      <c r="M68" s="129"/>
      <c r="N68" s="129"/>
      <c r="O68" s="129"/>
      <c r="P68" s="129"/>
      <c r="Q68" s="147"/>
      <c r="R68" s="8"/>
      <c r="S68" s="129"/>
      <c r="T68" s="129"/>
      <c r="U68" s="129"/>
      <c r="V68" s="129"/>
      <c r="W68" s="129"/>
      <c r="X68" s="148"/>
      <c r="Y68" s="451"/>
      <c r="Z68" s="452"/>
      <c r="AA68" s="448"/>
      <c r="AB68" s="449"/>
      <c r="AC68" s="450"/>
      <c r="AD68" s="188"/>
      <c r="AE68" s="124" t="s">
        <v>244</v>
      </c>
      <c r="AF68" s="124"/>
      <c r="AG68" s="124"/>
      <c r="AH68" s="134"/>
      <c r="AI68" s="134"/>
      <c r="AJ68" s="134"/>
      <c r="AK68" s="134"/>
      <c r="AL68" s="134"/>
      <c r="AM68" s="134"/>
      <c r="AN68" s="134"/>
      <c r="AO68" s="135"/>
      <c r="AP68" s="135"/>
      <c r="AQ68" s="135"/>
      <c r="AR68" s="135"/>
      <c r="AS68" s="136"/>
      <c r="AT68" s="190"/>
      <c r="AU68" s="137"/>
      <c r="AV68" s="137"/>
      <c r="AW68" s="137"/>
      <c r="AX68" s="137"/>
      <c r="AY68" s="137"/>
      <c r="AZ68" s="137"/>
      <c r="BA68" s="137"/>
      <c r="BB68" s="137"/>
      <c r="BC68" s="137"/>
      <c r="BD68" s="138"/>
    </row>
    <row r="69" spans="1:56" s="1" customFormat="1" ht="14.4" customHeight="1">
      <c r="A69" s="145" t="str">
        <f>IF(B69="","",COUNTA($B$8:B69))</f>
        <v/>
      </c>
      <c r="B69" s="8"/>
      <c r="C69" s="127"/>
      <c r="D69" s="127"/>
      <c r="E69" s="127"/>
      <c r="F69" s="127"/>
      <c r="G69" s="127"/>
      <c r="H69" s="148"/>
      <c r="I69" s="128"/>
      <c r="J69" s="129"/>
      <c r="K69" s="129"/>
      <c r="L69" s="129"/>
      <c r="M69" s="129"/>
      <c r="N69" s="129"/>
      <c r="O69" s="129"/>
      <c r="P69" s="129"/>
      <c r="Q69" s="147"/>
      <c r="R69" s="8"/>
      <c r="S69" s="129"/>
      <c r="T69" s="129"/>
      <c r="U69" s="129"/>
      <c r="V69" s="129"/>
      <c r="W69" s="129"/>
      <c r="X69" s="148"/>
      <c r="Y69" s="451"/>
      <c r="Z69" s="452"/>
      <c r="AA69" s="448"/>
      <c r="AB69" s="449"/>
      <c r="AC69" s="450"/>
      <c r="AD69" s="188"/>
      <c r="AE69" s="124" t="s">
        <v>244</v>
      </c>
      <c r="AF69" s="124"/>
      <c r="AG69" s="124"/>
      <c r="AH69" s="134"/>
      <c r="AI69" s="134"/>
      <c r="AJ69" s="134"/>
      <c r="AK69" s="134"/>
      <c r="AL69" s="134"/>
      <c r="AM69" s="134"/>
      <c r="AN69" s="134"/>
      <c r="AO69" s="135"/>
      <c r="AP69" s="135"/>
      <c r="AQ69" s="135"/>
      <c r="AR69" s="135"/>
      <c r="AS69" s="136"/>
      <c r="AT69" s="190"/>
      <c r="AU69" s="137"/>
      <c r="AV69" s="137"/>
      <c r="AW69" s="137"/>
      <c r="AX69" s="137"/>
      <c r="AY69" s="137"/>
      <c r="AZ69" s="137"/>
      <c r="BA69" s="137"/>
      <c r="BB69" s="137"/>
      <c r="BC69" s="137"/>
      <c r="BD69" s="138"/>
    </row>
    <row r="70" spans="1:56" s="1" customFormat="1" ht="14.4" customHeight="1">
      <c r="A70" s="145" t="str">
        <f>IF(B70="","",COUNTA($B$8:B70))</f>
        <v/>
      </c>
      <c r="B70" s="8"/>
      <c r="C70" s="127"/>
      <c r="D70" s="127"/>
      <c r="E70" s="127"/>
      <c r="F70" s="127"/>
      <c r="G70" s="127"/>
      <c r="H70" s="148"/>
      <c r="I70" s="128"/>
      <c r="J70" s="129"/>
      <c r="K70" s="129"/>
      <c r="L70" s="129"/>
      <c r="M70" s="129"/>
      <c r="N70" s="129"/>
      <c r="O70" s="129"/>
      <c r="P70" s="129"/>
      <c r="Q70" s="147"/>
      <c r="R70" s="8"/>
      <c r="S70" s="129"/>
      <c r="T70" s="129"/>
      <c r="U70" s="129"/>
      <c r="V70" s="129"/>
      <c r="W70" s="129"/>
      <c r="X70" s="148"/>
      <c r="Y70" s="451"/>
      <c r="Z70" s="452"/>
      <c r="AA70" s="448"/>
      <c r="AB70" s="449"/>
      <c r="AC70" s="450"/>
      <c r="AD70" s="188"/>
      <c r="AE70" s="124" t="s">
        <v>244</v>
      </c>
      <c r="AF70" s="124"/>
      <c r="AG70" s="124"/>
      <c r="AH70" s="134"/>
      <c r="AI70" s="134"/>
      <c r="AJ70" s="134"/>
      <c r="AK70" s="134"/>
      <c r="AL70" s="134"/>
      <c r="AM70" s="134"/>
      <c r="AN70" s="134"/>
      <c r="AO70" s="135"/>
      <c r="AP70" s="135"/>
      <c r="AQ70" s="135"/>
      <c r="AR70" s="135"/>
      <c r="AS70" s="136"/>
      <c r="AT70" s="190"/>
      <c r="AU70" s="137"/>
      <c r="AV70" s="137"/>
      <c r="AW70" s="137"/>
      <c r="AX70" s="137"/>
      <c r="AY70" s="137"/>
      <c r="AZ70" s="137"/>
      <c r="BA70" s="137"/>
      <c r="BB70" s="137"/>
      <c r="BC70" s="137"/>
      <c r="BD70" s="138"/>
    </row>
    <row r="71" spans="1:56" s="1" customFormat="1" ht="14.4" customHeight="1">
      <c r="A71" s="145" t="str">
        <f>IF(B71="","",COUNTA($B$8:B71))</f>
        <v/>
      </c>
      <c r="B71" s="8"/>
      <c r="C71" s="127"/>
      <c r="D71" s="127"/>
      <c r="E71" s="127"/>
      <c r="F71" s="127"/>
      <c r="G71" s="127"/>
      <c r="H71" s="148"/>
      <c r="I71" s="128"/>
      <c r="J71" s="129"/>
      <c r="K71" s="129"/>
      <c r="L71" s="129"/>
      <c r="M71" s="129"/>
      <c r="N71" s="129"/>
      <c r="O71" s="129"/>
      <c r="P71" s="129"/>
      <c r="Q71" s="147"/>
      <c r="R71" s="8"/>
      <c r="S71" s="129"/>
      <c r="T71" s="129"/>
      <c r="U71" s="129"/>
      <c r="V71" s="129"/>
      <c r="W71" s="129"/>
      <c r="X71" s="148"/>
      <c r="Y71" s="451"/>
      <c r="Z71" s="452"/>
      <c r="AA71" s="448"/>
      <c r="AB71" s="449"/>
      <c r="AC71" s="450"/>
      <c r="AD71" s="188"/>
      <c r="AE71" s="124" t="s">
        <v>244</v>
      </c>
      <c r="AF71" s="124"/>
      <c r="AG71" s="124"/>
      <c r="AH71" s="134"/>
      <c r="AI71" s="134"/>
      <c r="AJ71" s="134"/>
      <c r="AK71" s="134"/>
      <c r="AL71" s="134"/>
      <c r="AM71" s="134"/>
      <c r="AN71" s="134"/>
      <c r="AO71" s="135"/>
      <c r="AP71" s="135"/>
      <c r="AQ71" s="135"/>
      <c r="AR71" s="135"/>
      <c r="AS71" s="136"/>
      <c r="AT71" s="190"/>
      <c r="AU71" s="137"/>
      <c r="AV71" s="137"/>
      <c r="AW71" s="137"/>
      <c r="AX71" s="137"/>
      <c r="AY71" s="137"/>
      <c r="AZ71" s="137"/>
      <c r="BA71" s="137"/>
      <c r="BB71" s="137"/>
      <c r="BC71" s="137"/>
      <c r="BD71" s="138"/>
    </row>
    <row r="72" spans="1:56" s="1" customFormat="1" ht="14.4" customHeight="1">
      <c r="A72" s="145" t="str">
        <f>IF(B72="","",COUNTA($B$8:B72))</f>
        <v/>
      </c>
      <c r="B72" s="8"/>
      <c r="C72" s="127"/>
      <c r="D72" s="127"/>
      <c r="E72" s="127"/>
      <c r="F72" s="127"/>
      <c r="G72" s="127"/>
      <c r="H72" s="148"/>
      <c r="I72" s="128"/>
      <c r="J72" s="129"/>
      <c r="K72" s="129"/>
      <c r="L72" s="129"/>
      <c r="M72" s="129"/>
      <c r="N72" s="129"/>
      <c r="O72" s="129"/>
      <c r="P72" s="129"/>
      <c r="Q72" s="147"/>
      <c r="R72" s="8"/>
      <c r="S72" s="129"/>
      <c r="T72" s="129"/>
      <c r="U72" s="129"/>
      <c r="V72" s="129"/>
      <c r="W72" s="129"/>
      <c r="X72" s="148"/>
      <c r="Y72" s="451"/>
      <c r="Z72" s="452"/>
      <c r="AA72" s="448"/>
      <c r="AB72" s="449"/>
      <c r="AC72" s="450"/>
      <c r="AD72" s="188"/>
      <c r="AE72" s="124" t="s">
        <v>244</v>
      </c>
      <c r="AF72" s="124"/>
      <c r="AG72" s="124"/>
      <c r="AH72" s="134"/>
      <c r="AI72" s="134"/>
      <c r="AJ72" s="134"/>
      <c r="AK72" s="134"/>
      <c r="AL72" s="134"/>
      <c r="AM72" s="134"/>
      <c r="AN72" s="134"/>
      <c r="AO72" s="135"/>
      <c r="AP72" s="135"/>
      <c r="AQ72" s="135"/>
      <c r="AR72" s="135"/>
      <c r="AS72" s="136"/>
      <c r="AT72" s="190"/>
      <c r="AU72" s="137"/>
      <c r="AV72" s="137"/>
      <c r="AW72" s="137"/>
      <c r="AX72" s="137"/>
      <c r="AY72" s="137"/>
      <c r="AZ72" s="137"/>
      <c r="BA72" s="137"/>
      <c r="BB72" s="137"/>
      <c r="BC72" s="137"/>
      <c r="BD72" s="138"/>
    </row>
    <row r="73" spans="1:56" s="1" customFormat="1" ht="14.4" customHeight="1">
      <c r="A73" s="145" t="str">
        <f>IF(B73="","",COUNTA($B$8:B73))</f>
        <v/>
      </c>
      <c r="B73" s="8"/>
      <c r="C73" s="127"/>
      <c r="D73" s="127"/>
      <c r="E73" s="127"/>
      <c r="F73" s="127"/>
      <c r="G73" s="127"/>
      <c r="H73" s="148"/>
      <c r="I73" s="128"/>
      <c r="J73" s="129"/>
      <c r="K73" s="129"/>
      <c r="L73" s="129"/>
      <c r="M73" s="129"/>
      <c r="N73" s="129"/>
      <c r="O73" s="129"/>
      <c r="P73" s="129"/>
      <c r="Q73" s="147"/>
      <c r="R73" s="8"/>
      <c r="S73" s="129"/>
      <c r="T73" s="129"/>
      <c r="U73" s="129"/>
      <c r="V73" s="129"/>
      <c r="W73" s="129"/>
      <c r="X73" s="148"/>
      <c r="Y73" s="451"/>
      <c r="Z73" s="452"/>
      <c r="AA73" s="448"/>
      <c r="AB73" s="449"/>
      <c r="AC73" s="450"/>
      <c r="AD73" s="188"/>
      <c r="AE73" s="124" t="s">
        <v>244</v>
      </c>
      <c r="AF73" s="124"/>
      <c r="AG73" s="124"/>
      <c r="AH73" s="134"/>
      <c r="AI73" s="134"/>
      <c r="AJ73" s="134"/>
      <c r="AK73" s="134"/>
      <c r="AL73" s="134"/>
      <c r="AM73" s="134"/>
      <c r="AN73" s="134"/>
      <c r="AO73" s="135"/>
      <c r="AP73" s="135"/>
      <c r="AQ73" s="135"/>
      <c r="AR73" s="135"/>
      <c r="AS73" s="136"/>
      <c r="AT73" s="190"/>
      <c r="AU73" s="137"/>
      <c r="AV73" s="137"/>
      <c r="AW73" s="137"/>
      <c r="AX73" s="137"/>
      <c r="AY73" s="137"/>
      <c r="AZ73" s="137"/>
      <c r="BA73" s="137"/>
      <c r="BB73" s="137"/>
      <c r="BC73" s="137"/>
      <c r="BD73" s="138"/>
    </row>
    <row r="74" spans="1:56" s="1" customFormat="1" ht="14.4" customHeight="1">
      <c r="A74" s="145" t="str">
        <f>IF(B74="","",COUNTA($B$8:B74))</f>
        <v/>
      </c>
      <c r="B74" s="8"/>
      <c r="C74" s="127"/>
      <c r="D74" s="127"/>
      <c r="E74" s="127"/>
      <c r="F74" s="127"/>
      <c r="G74" s="127"/>
      <c r="H74" s="148"/>
      <c r="I74" s="128"/>
      <c r="J74" s="129"/>
      <c r="K74" s="129"/>
      <c r="L74" s="129"/>
      <c r="M74" s="129"/>
      <c r="N74" s="129"/>
      <c r="O74" s="129"/>
      <c r="P74" s="129"/>
      <c r="Q74" s="147"/>
      <c r="R74" s="8"/>
      <c r="S74" s="129"/>
      <c r="T74" s="129"/>
      <c r="U74" s="129"/>
      <c r="V74" s="129"/>
      <c r="W74" s="129"/>
      <c r="X74" s="148"/>
      <c r="Y74" s="451"/>
      <c r="Z74" s="452"/>
      <c r="AA74" s="448"/>
      <c r="AB74" s="449"/>
      <c r="AC74" s="450"/>
      <c r="AD74" s="188"/>
      <c r="AE74" s="124" t="s">
        <v>244</v>
      </c>
      <c r="AF74" s="124"/>
      <c r="AG74" s="124"/>
      <c r="AH74" s="134"/>
      <c r="AI74" s="134"/>
      <c r="AJ74" s="134"/>
      <c r="AK74" s="134"/>
      <c r="AL74" s="134"/>
      <c r="AM74" s="134"/>
      <c r="AN74" s="134"/>
      <c r="AO74" s="135"/>
      <c r="AP74" s="135"/>
      <c r="AQ74" s="135"/>
      <c r="AR74" s="135"/>
      <c r="AS74" s="136"/>
      <c r="AT74" s="190"/>
      <c r="AU74" s="137"/>
      <c r="AV74" s="137"/>
      <c r="AW74" s="137"/>
      <c r="AX74" s="137"/>
      <c r="AY74" s="137"/>
      <c r="AZ74" s="137"/>
      <c r="BA74" s="137"/>
      <c r="BB74" s="137"/>
      <c r="BC74" s="137"/>
      <c r="BD74" s="138"/>
    </row>
    <row r="75" spans="1:56" s="1" customFormat="1" ht="14.4" customHeight="1">
      <c r="A75" s="145" t="str">
        <f>IF(B75="","",COUNTA($B$8:B75))</f>
        <v/>
      </c>
      <c r="B75" s="8"/>
      <c r="C75" s="127"/>
      <c r="D75" s="127"/>
      <c r="E75" s="127"/>
      <c r="F75" s="127"/>
      <c r="G75" s="127"/>
      <c r="H75" s="148"/>
      <c r="I75" s="128"/>
      <c r="J75" s="129"/>
      <c r="K75" s="129"/>
      <c r="L75" s="129"/>
      <c r="M75" s="129"/>
      <c r="N75" s="129"/>
      <c r="O75" s="129"/>
      <c r="P75" s="129"/>
      <c r="Q75" s="147"/>
      <c r="R75" s="8"/>
      <c r="S75" s="129"/>
      <c r="T75" s="129"/>
      <c r="U75" s="129"/>
      <c r="V75" s="129"/>
      <c r="W75" s="129"/>
      <c r="X75" s="148"/>
      <c r="Y75" s="451"/>
      <c r="Z75" s="452"/>
      <c r="AA75" s="448"/>
      <c r="AB75" s="449"/>
      <c r="AC75" s="450"/>
      <c r="AD75" s="188"/>
      <c r="AE75" s="124" t="s">
        <v>244</v>
      </c>
      <c r="AF75" s="124"/>
      <c r="AG75" s="124"/>
      <c r="AH75" s="134"/>
      <c r="AI75" s="134"/>
      <c r="AJ75" s="134"/>
      <c r="AK75" s="134"/>
      <c r="AL75" s="134"/>
      <c r="AM75" s="134"/>
      <c r="AN75" s="134"/>
      <c r="AO75" s="135"/>
      <c r="AP75" s="135"/>
      <c r="AQ75" s="135"/>
      <c r="AR75" s="135"/>
      <c r="AS75" s="136"/>
      <c r="AT75" s="190"/>
      <c r="AU75" s="137"/>
      <c r="AV75" s="137"/>
      <c r="AW75" s="137"/>
      <c r="AX75" s="137"/>
      <c r="AY75" s="137"/>
      <c r="AZ75" s="137"/>
      <c r="BA75" s="137"/>
      <c r="BB75" s="137"/>
      <c r="BC75" s="137"/>
      <c r="BD75" s="138"/>
    </row>
    <row r="76" spans="1:56" ht="14.4" customHeight="1">
      <c r="A76" s="70" t="str">
        <f>IF(B76="","",COUNTA($B$8:B76))</f>
        <v/>
      </c>
      <c r="B76" s="19"/>
      <c r="C76" s="20"/>
      <c r="D76" s="20"/>
      <c r="E76" s="20"/>
      <c r="F76" s="20"/>
      <c r="G76" s="20"/>
      <c r="H76" s="24"/>
      <c r="I76" s="34"/>
      <c r="J76" s="23"/>
      <c r="K76" s="23"/>
      <c r="L76" s="23"/>
      <c r="M76" s="23"/>
      <c r="N76" s="23"/>
      <c r="O76" s="23"/>
      <c r="P76" s="23"/>
      <c r="Q76" s="37"/>
      <c r="R76" s="19"/>
      <c r="S76" s="23"/>
      <c r="T76" s="23"/>
      <c r="U76" s="23"/>
      <c r="V76" s="23"/>
      <c r="W76" s="23"/>
      <c r="X76" s="24"/>
      <c r="Y76" s="440"/>
      <c r="Z76" s="441"/>
      <c r="AA76" s="442"/>
      <c r="AB76" s="443"/>
      <c r="AC76" s="444"/>
      <c r="AD76" s="30"/>
      <c r="AE76" s="29" t="s">
        <v>244</v>
      </c>
      <c r="AF76" s="29"/>
      <c r="AG76" s="29"/>
      <c r="AH76" s="40"/>
      <c r="AI76" s="40"/>
      <c r="AJ76" s="40"/>
      <c r="AK76" s="40"/>
      <c r="AL76" s="40"/>
      <c r="AM76" s="40"/>
      <c r="AN76" s="40"/>
      <c r="AO76" s="41"/>
      <c r="AP76" s="41"/>
      <c r="AQ76" s="41"/>
      <c r="AR76" s="41"/>
      <c r="AS76" s="42"/>
      <c r="AT76" s="43"/>
      <c r="AU76" s="67"/>
      <c r="AV76" s="67"/>
      <c r="AW76" s="67"/>
      <c r="AX76" s="67"/>
      <c r="AY76" s="67"/>
      <c r="AZ76" s="67"/>
      <c r="BA76" s="67"/>
      <c r="BB76" s="67"/>
      <c r="BC76" s="67"/>
      <c r="BD76" s="68"/>
    </row>
    <row r="77" spans="1:56" ht="14.4" customHeight="1">
      <c r="A77" s="70" t="str">
        <f>IF(B77="","",COUNTA($B$8:B77))</f>
        <v/>
      </c>
      <c r="B77" s="19"/>
      <c r="C77" s="20"/>
      <c r="D77" s="20"/>
      <c r="E77" s="20"/>
      <c r="F77" s="20"/>
      <c r="G77" s="20"/>
      <c r="H77" s="24"/>
      <c r="I77" s="34"/>
      <c r="J77" s="23"/>
      <c r="K77" s="23"/>
      <c r="L77" s="23"/>
      <c r="M77" s="23"/>
      <c r="N77" s="23"/>
      <c r="O77" s="23"/>
      <c r="P77" s="23"/>
      <c r="Q77" s="37"/>
      <c r="R77" s="19"/>
      <c r="S77" s="23"/>
      <c r="T77" s="23"/>
      <c r="U77" s="23"/>
      <c r="V77" s="23"/>
      <c r="W77" s="23"/>
      <c r="X77" s="24"/>
      <c r="Y77" s="440"/>
      <c r="Z77" s="441"/>
      <c r="AA77" s="442"/>
      <c r="AB77" s="443"/>
      <c r="AC77" s="444"/>
      <c r="AD77" s="30"/>
      <c r="AE77" s="29" t="s">
        <v>244</v>
      </c>
      <c r="AF77" s="29"/>
      <c r="AG77" s="29"/>
      <c r="AH77" s="40"/>
      <c r="AI77" s="40"/>
      <c r="AJ77" s="40"/>
      <c r="AK77" s="40"/>
      <c r="AL77" s="40"/>
      <c r="AM77" s="40"/>
      <c r="AN77" s="40"/>
      <c r="AO77" s="41"/>
      <c r="AP77" s="41"/>
      <c r="AQ77" s="41"/>
      <c r="AR77" s="41"/>
      <c r="AS77" s="42"/>
      <c r="AT77" s="43"/>
      <c r="AU77" s="67"/>
      <c r="AV77" s="67"/>
      <c r="AW77" s="67"/>
      <c r="AX77" s="67"/>
      <c r="AY77" s="67"/>
      <c r="AZ77" s="67"/>
      <c r="BA77" s="67"/>
      <c r="BB77" s="67"/>
      <c r="BC77" s="67"/>
      <c r="BD77" s="68"/>
    </row>
    <row r="78" spans="1:56" ht="14.4" customHeight="1">
      <c r="A78" s="70" t="str">
        <f>IF(B78="","",COUNTA($B$8:B78))</f>
        <v/>
      </c>
      <c r="B78" s="19"/>
      <c r="C78" s="20"/>
      <c r="D78" s="20"/>
      <c r="E78" s="20"/>
      <c r="F78" s="20"/>
      <c r="G78" s="20"/>
      <c r="H78" s="24"/>
      <c r="I78" s="34"/>
      <c r="J78" s="23"/>
      <c r="K78" s="23"/>
      <c r="L78" s="23"/>
      <c r="M78" s="23"/>
      <c r="N78" s="23"/>
      <c r="O78" s="23"/>
      <c r="P78" s="23"/>
      <c r="Q78" s="37"/>
      <c r="R78" s="19"/>
      <c r="S78" s="23"/>
      <c r="T78" s="23"/>
      <c r="U78" s="23"/>
      <c r="V78" s="23"/>
      <c r="W78" s="23"/>
      <c r="X78" s="24"/>
      <c r="Y78" s="440"/>
      <c r="Z78" s="441"/>
      <c r="AA78" s="442"/>
      <c r="AB78" s="443"/>
      <c r="AC78" s="444"/>
      <c r="AD78" s="30"/>
      <c r="AE78" s="29" t="s">
        <v>244</v>
      </c>
      <c r="AF78" s="29"/>
      <c r="AG78" s="29"/>
      <c r="AH78" s="40"/>
      <c r="AI78" s="40"/>
      <c r="AJ78" s="40"/>
      <c r="AK78" s="40"/>
      <c r="AL78" s="40"/>
      <c r="AM78" s="40"/>
      <c r="AN78" s="40"/>
      <c r="AO78" s="41"/>
      <c r="AP78" s="41"/>
      <c r="AQ78" s="41"/>
      <c r="AR78" s="41"/>
      <c r="AS78" s="42"/>
      <c r="AT78" s="43"/>
      <c r="AU78" s="67"/>
      <c r="AV78" s="67"/>
      <c r="AW78" s="67"/>
      <c r="AX78" s="67"/>
      <c r="AY78" s="67"/>
      <c r="AZ78" s="67"/>
      <c r="BA78" s="67"/>
      <c r="BB78" s="67"/>
      <c r="BC78" s="67"/>
      <c r="BD78" s="68"/>
    </row>
    <row r="79" spans="1:56" ht="14.4" customHeight="1">
      <c r="A79" s="70" t="str">
        <f>IF(B79="","",COUNTA($B$8:B79))</f>
        <v/>
      </c>
      <c r="B79" s="19"/>
      <c r="C79" s="20"/>
      <c r="D79" s="20"/>
      <c r="E79" s="20"/>
      <c r="F79" s="20"/>
      <c r="G79" s="20"/>
      <c r="H79" s="24"/>
      <c r="I79" s="34"/>
      <c r="J79" s="23"/>
      <c r="K79" s="23"/>
      <c r="L79" s="23"/>
      <c r="M79" s="23"/>
      <c r="N79" s="23"/>
      <c r="O79" s="23"/>
      <c r="P79" s="23"/>
      <c r="Q79" s="37"/>
      <c r="R79" s="19"/>
      <c r="S79" s="23"/>
      <c r="T79" s="23"/>
      <c r="U79" s="23"/>
      <c r="V79" s="23"/>
      <c r="W79" s="23"/>
      <c r="X79" s="24"/>
      <c r="Y79" s="440"/>
      <c r="Z79" s="441"/>
      <c r="AA79" s="442"/>
      <c r="AB79" s="443"/>
      <c r="AC79" s="444"/>
      <c r="AD79" s="30"/>
      <c r="AE79" s="29" t="s">
        <v>244</v>
      </c>
      <c r="AF79" s="29"/>
      <c r="AG79" s="29"/>
      <c r="AH79" s="40"/>
      <c r="AI79" s="40"/>
      <c r="AJ79" s="40"/>
      <c r="AK79" s="40"/>
      <c r="AL79" s="40"/>
      <c r="AM79" s="40"/>
      <c r="AN79" s="40"/>
      <c r="AO79" s="41"/>
      <c r="AP79" s="41"/>
      <c r="AQ79" s="41"/>
      <c r="AR79" s="41"/>
      <c r="AS79" s="42"/>
      <c r="AT79" s="43"/>
      <c r="AU79" s="67"/>
      <c r="AV79" s="67"/>
      <c r="AW79" s="67"/>
      <c r="AX79" s="67"/>
      <c r="AY79" s="67"/>
      <c r="AZ79" s="67"/>
      <c r="BA79" s="67"/>
      <c r="BB79" s="67"/>
      <c r="BC79" s="67"/>
      <c r="BD79" s="68"/>
    </row>
    <row r="80" spans="1:56" ht="14.4" customHeight="1">
      <c r="A80" s="70" t="str">
        <f>IF(B80="","",COUNTA($B$8:B80))</f>
        <v/>
      </c>
      <c r="B80" s="19"/>
      <c r="C80" s="20"/>
      <c r="D80" s="20"/>
      <c r="E80" s="20"/>
      <c r="F80" s="20"/>
      <c r="G80" s="20"/>
      <c r="H80" s="24"/>
      <c r="I80" s="34"/>
      <c r="J80" s="23"/>
      <c r="K80" s="23"/>
      <c r="L80" s="23"/>
      <c r="M80" s="23"/>
      <c r="N80" s="23"/>
      <c r="O80" s="23"/>
      <c r="P80" s="23"/>
      <c r="Q80" s="37"/>
      <c r="R80" s="19"/>
      <c r="S80" s="23"/>
      <c r="T80" s="23"/>
      <c r="U80" s="23"/>
      <c r="V80" s="23"/>
      <c r="W80" s="23"/>
      <c r="X80" s="24"/>
      <c r="Y80" s="440"/>
      <c r="Z80" s="441"/>
      <c r="AA80" s="442"/>
      <c r="AB80" s="443"/>
      <c r="AC80" s="444"/>
      <c r="AD80" s="30"/>
      <c r="AE80" s="29" t="s">
        <v>244</v>
      </c>
      <c r="AF80" s="29"/>
      <c r="AG80" s="29"/>
      <c r="AH80" s="40"/>
      <c r="AI80" s="40"/>
      <c r="AJ80" s="40"/>
      <c r="AK80" s="40"/>
      <c r="AL80" s="40"/>
      <c r="AM80" s="40"/>
      <c r="AN80" s="40"/>
      <c r="AO80" s="41"/>
      <c r="AP80" s="41"/>
      <c r="AQ80" s="41"/>
      <c r="AR80" s="41"/>
      <c r="AS80" s="42"/>
      <c r="AT80" s="43"/>
      <c r="AU80" s="67"/>
      <c r="AV80" s="67"/>
      <c r="AW80" s="67"/>
      <c r="AX80" s="67"/>
      <c r="AY80" s="67"/>
      <c r="AZ80" s="67"/>
      <c r="BA80" s="67"/>
      <c r="BB80" s="67"/>
      <c r="BC80" s="67"/>
      <c r="BD80" s="68"/>
    </row>
    <row r="81" spans="1:56" ht="14.4" customHeight="1">
      <c r="A81" s="70" t="str">
        <f>IF(B81="","",COUNTA($B$8:B81))</f>
        <v/>
      </c>
      <c r="B81" s="19"/>
      <c r="C81" s="20"/>
      <c r="D81" s="20"/>
      <c r="E81" s="20"/>
      <c r="F81" s="20"/>
      <c r="G81" s="20"/>
      <c r="H81" s="24"/>
      <c r="I81" s="34"/>
      <c r="J81" s="23"/>
      <c r="K81" s="23"/>
      <c r="L81" s="23"/>
      <c r="M81" s="23"/>
      <c r="N81" s="23"/>
      <c r="O81" s="23"/>
      <c r="P81" s="23"/>
      <c r="Q81" s="37"/>
      <c r="R81" s="19"/>
      <c r="S81" s="23"/>
      <c r="T81" s="23"/>
      <c r="U81" s="23"/>
      <c r="V81" s="23"/>
      <c r="W81" s="23"/>
      <c r="X81" s="24"/>
      <c r="Y81" s="440"/>
      <c r="Z81" s="441"/>
      <c r="AA81" s="442"/>
      <c r="AB81" s="443"/>
      <c r="AC81" s="444"/>
      <c r="AD81" s="30"/>
      <c r="AE81" s="29" t="s">
        <v>244</v>
      </c>
      <c r="AF81" s="29"/>
      <c r="AG81" s="29"/>
      <c r="AH81" s="40"/>
      <c r="AI81" s="40"/>
      <c r="AJ81" s="40"/>
      <c r="AK81" s="40"/>
      <c r="AL81" s="40"/>
      <c r="AM81" s="40"/>
      <c r="AN81" s="40"/>
      <c r="AO81" s="41"/>
      <c r="AP81" s="41"/>
      <c r="AQ81" s="41"/>
      <c r="AR81" s="41"/>
      <c r="AS81" s="42"/>
      <c r="AT81" s="43"/>
      <c r="AU81" s="67"/>
      <c r="AV81" s="67"/>
      <c r="AW81" s="67"/>
      <c r="AX81" s="67"/>
      <c r="AY81" s="67"/>
      <c r="AZ81" s="67"/>
      <c r="BA81" s="67"/>
      <c r="BB81" s="67"/>
      <c r="BC81" s="67"/>
      <c r="BD81" s="68"/>
    </row>
    <row r="82" spans="1:56" ht="14.4" customHeight="1">
      <c r="A82" s="70" t="str">
        <f>IF(B82="","",COUNTA($B$8:B82))</f>
        <v/>
      </c>
      <c r="B82" s="19"/>
      <c r="C82" s="20"/>
      <c r="D82" s="20"/>
      <c r="E82" s="20"/>
      <c r="F82" s="20"/>
      <c r="G82" s="20"/>
      <c r="H82" s="24"/>
      <c r="I82" s="34"/>
      <c r="J82" s="23"/>
      <c r="K82" s="23"/>
      <c r="L82" s="23"/>
      <c r="M82" s="23"/>
      <c r="N82" s="23"/>
      <c r="O82" s="23"/>
      <c r="P82" s="23"/>
      <c r="Q82" s="37"/>
      <c r="R82" s="19"/>
      <c r="S82" s="23"/>
      <c r="T82" s="23"/>
      <c r="U82" s="23"/>
      <c r="V82" s="23"/>
      <c r="W82" s="23"/>
      <c r="X82" s="24"/>
      <c r="Y82" s="440"/>
      <c r="Z82" s="441"/>
      <c r="AA82" s="442"/>
      <c r="AB82" s="443"/>
      <c r="AC82" s="444"/>
      <c r="AD82" s="30"/>
      <c r="AE82" s="29" t="s">
        <v>244</v>
      </c>
      <c r="AF82" s="29"/>
      <c r="AG82" s="29"/>
      <c r="AH82" s="40"/>
      <c r="AI82" s="40"/>
      <c r="AJ82" s="40"/>
      <c r="AK82" s="40"/>
      <c r="AL82" s="40"/>
      <c r="AM82" s="40"/>
      <c r="AN82" s="40"/>
      <c r="AO82" s="41"/>
      <c r="AP82" s="41"/>
      <c r="AQ82" s="41"/>
      <c r="AR82" s="41"/>
      <c r="AS82" s="42"/>
      <c r="AT82" s="43"/>
      <c r="AU82" s="67"/>
      <c r="AV82" s="67"/>
      <c r="AW82" s="67"/>
      <c r="AX82" s="67"/>
      <c r="AY82" s="67"/>
      <c r="AZ82" s="67"/>
      <c r="BA82" s="67"/>
      <c r="BB82" s="67"/>
      <c r="BC82" s="67"/>
      <c r="BD82" s="68"/>
    </row>
    <row r="83" spans="1:56" ht="14.4" customHeight="1">
      <c r="A83" s="70" t="str">
        <f>IF(B83="","",COUNTA($B$8:B83))</f>
        <v/>
      </c>
      <c r="B83" s="19"/>
      <c r="C83" s="20"/>
      <c r="D83" s="20"/>
      <c r="E83" s="20"/>
      <c r="F83" s="20"/>
      <c r="G83" s="20"/>
      <c r="H83" s="24"/>
      <c r="I83" s="34"/>
      <c r="J83" s="23"/>
      <c r="K83" s="23"/>
      <c r="L83" s="23"/>
      <c r="M83" s="23"/>
      <c r="N83" s="23"/>
      <c r="O83" s="23"/>
      <c r="P83" s="23"/>
      <c r="Q83" s="37"/>
      <c r="R83" s="19"/>
      <c r="S83" s="23"/>
      <c r="T83" s="23"/>
      <c r="U83" s="23"/>
      <c r="V83" s="23"/>
      <c r="W83" s="23"/>
      <c r="X83" s="24"/>
      <c r="Y83" s="440"/>
      <c r="Z83" s="441"/>
      <c r="AA83" s="442"/>
      <c r="AB83" s="443"/>
      <c r="AC83" s="444"/>
      <c r="AD83" s="30"/>
      <c r="AE83" s="29" t="s">
        <v>244</v>
      </c>
      <c r="AF83" s="29"/>
      <c r="AG83" s="29"/>
      <c r="AH83" s="40"/>
      <c r="AI83" s="40"/>
      <c r="AJ83" s="40"/>
      <c r="AK83" s="40"/>
      <c r="AL83" s="40"/>
      <c r="AM83" s="40"/>
      <c r="AN83" s="40"/>
      <c r="AO83" s="41"/>
      <c r="AP83" s="41"/>
      <c r="AQ83" s="41"/>
      <c r="AR83" s="41"/>
      <c r="AS83" s="42"/>
      <c r="AT83" s="43"/>
      <c r="AU83" s="67"/>
      <c r="AV83" s="67"/>
      <c r="AW83" s="67"/>
      <c r="AX83" s="67"/>
      <c r="AY83" s="67"/>
      <c r="AZ83" s="67"/>
      <c r="BA83" s="67"/>
      <c r="BB83" s="67"/>
      <c r="BC83" s="67"/>
      <c r="BD83" s="68"/>
    </row>
    <row r="84" spans="1:56" ht="14.4" customHeight="1">
      <c r="A84" s="70" t="str">
        <f>IF(B84="","",COUNTA($B$8:B84))</f>
        <v/>
      </c>
      <c r="B84" s="19"/>
      <c r="C84" s="20"/>
      <c r="D84" s="20"/>
      <c r="E84" s="20"/>
      <c r="F84" s="20"/>
      <c r="G84" s="20"/>
      <c r="H84" s="24"/>
      <c r="I84" s="34"/>
      <c r="J84" s="23"/>
      <c r="K84" s="23"/>
      <c r="L84" s="23"/>
      <c r="M84" s="23"/>
      <c r="N84" s="23"/>
      <c r="O84" s="23"/>
      <c r="P84" s="23"/>
      <c r="Q84" s="37"/>
      <c r="R84" s="19"/>
      <c r="S84" s="23"/>
      <c r="T84" s="23"/>
      <c r="U84" s="23"/>
      <c r="V84" s="23"/>
      <c r="W84" s="23"/>
      <c r="X84" s="24"/>
      <c r="Y84" s="440"/>
      <c r="Z84" s="441"/>
      <c r="AA84" s="442"/>
      <c r="AB84" s="443"/>
      <c r="AC84" s="444"/>
      <c r="AD84" s="30"/>
      <c r="AE84" s="29" t="s">
        <v>244</v>
      </c>
      <c r="AF84" s="29"/>
      <c r="AG84" s="29"/>
      <c r="AH84" s="40"/>
      <c r="AI84" s="40"/>
      <c r="AJ84" s="40"/>
      <c r="AK84" s="40"/>
      <c r="AL84" s="40"/>
      <c r="AM84" s="40"/>
      <c r="AN84" s="40"/>
      <c r="AO84" s="41"/>
      <c r="AP84" s="41"/>
      <c r="AQ84" s="41"/>
      <c r="AR84" s="41"/>
      <c r="AS84" s="42"/>
      <c r="AT84" s="43"/>
      <c r="AU84" s="67"/>
      <c r="AV84" s="67"/>
      <c r="AW84" s="67"/>
      <c r="AX84" s="67"/>
      <c r="AY84" s="67"/>
      <c r="AZ84" s="67"/>
      <c r="BA84" s="67"/>
      <c r="BB84" s="67"/>
      <c r="BC84" s="67"/>
      <c r="BD84" s="68"/>
    </row>
    <row r="85" spans="1:56" ht="14.4" customHeight="1">
      <c r="A85" s="70" t="str">
        <f>IF(B85="","",COUNTA($B$8:B85))</f>
        <v/>
      </c>
      <c r="B85" s="19"/>
      <c r="C85" s="20"/>
      <c r="D85" s="20"/>
      <c r="E85" s="20"/>
      <c r="F85" s="20"/>
      <c r="G85" s="20"/>
      <c r="H85" s="24"/>
      <c r="I85" s="34"/>
      <c r="J85" s="23"/>
      <c r="K85" s="23"/>
      <c r="L85" s="23"/>
      <c r="M85" s="23"/>
      <c r="N85" s="23"/>
      <c r="O85" s="23"/>
      <c r="P85" s="23"/>
      <c r="Q85" s="37"/>
      <c r="R85" s="19"/>
      <c r="S85" s="23"/>
      <c r="T85" s="23"/>
      <c r="U85" s="23"/>
      <c r="V85" s="23"/>
      <c r="W85" s="23"/>
      <c r="X85" s="24"/>
      <c r="Y85" s="440"/>
      <c r="Z85" s="441"/>
      <c r="AA85" s="442"/>
      <c r="AB85" s="443"/>
      <c r="AC85" s="444"/>
      <c r="AD85" s="30"/>
      <c r="AE85" s="29" t="s">
        <v>244</v>
      </c>
      <c r="AF85" s="29"/>
      <c r="AG85" s="29"/>
      <c r="AH85" s="40"/>
      <c r="AI85" s="40"/>
      <c r="AJ85" s="40"/>
      <c r="AK85" s="40"/>
      <c r="AL85" s="40"/>
      <c r="AM85" s="40"/>
      <c r="AN85" s="40"/>
      <c r="AO85" s="41"/>
      <c r="AP85" s="41"/>
      <c r="AQ85" s="41"/>
      <c r="AR85" s="41"/>
      <c r="AS85" s="42"/>
      <c r="AT85" s="43"/>
      <c r="AU85" s="67"/>
      <c r="AV85" s="67"/>
      <c r="AW85" s="67"/>
      <c r="AX85" s="67"/>
      <c r="AY85" s="67"/>
      <c r="AZ85" s="67"/>
      <c r="BA85" s="67"/>
      <c r="BB85" s="67"/>
      <c r="BC85" s="67"/>
      <c r="BD85" s="68"/>
    </row>
  </sheetData>
  <mergeCells count="183">
    <mergeCell ref="Y84:Z84"/>
    <mergeCell ref="AA84:AC84"/>
    <mergeCell ref="Y85:Z85"/>
    <mergeCell ref="AA85:AC85"/>
    <mergeCell ref="Y79:Z79"/>
    <mergeCell ref="AA79:AC79"/>
    <mergeCell ref="Y80:Z80"/>
    <mergeCell ref="AA80:AC80"/>
    <mergeCell ref="Y81:Z81"/>
    <mergeCell ref="AA81:AC81"/>
    <mergeCell ref="Y82:Z82"/>
    <mergeCell ref="AA82:AC82"/>
    <mergeCell ref="Y83:Z83"/>
    <mergeCell ref="AA83:AC83"/>
    <mergeCell ref="Y74:Z74"/>
    <mergeCell ref="AA74:AC74"/>
    <mergeCell ref="Y75:Z75"/>
    <mergeCell ref="AA75:AC75"/>
    <mergeCell ref="Y76:Z76"/>
    <mergeCell ref="AA76:AC76"/>
    <mergeCell ref="Y77:Z77"/>
    <mergeCell ref="AA77:AC77"/>
    <mergeCell ref="Y78:Z78"/>
    <mergeCell ref="AA78:AC78"/>
    <mergeCell ref="Y69:Z69"/>
    <mergeCell ref="AA69:AC69"/>
    <mergeCell ref="Y70:Z70"/>
    <mergeCell ref="AA70:AC70"/>
    <mergeCell ref="Y71:Z71"/>
    <mergeCell ref="AA71:AC71"/>
    <mergeCell ref="Y72:Z72"/>
    <mergeCell ref="AA72:AC72"/>
    <mergeCell ref="Y73:Z73"/>
    <mergeCell ref="AA73:AC73"/>
    <mergeCell ref="Y64:Z64"/>
    <mergeCell ref="AA64:AC64"/>
    <mergeCell ref="Y65:Z65"/>
    <mergeCell ref="AA65:AC65"/>
    <mergeCell ref="Y66:Z66"/>
    <mergeCell ref="AA66:AC66"/>
    <mergeCell ref="Y67:Z67"/>
    <mergeCell ref="AA67:AC67"/>
    <mergeCell ref="Y68:Z68"/>
    <mergeCell ref="AA68:AC68"/>
    <mergeCell ref="Y63:Z63"/>
    <mergeCell ref="AA63:AC63"/>
    <mergeCell ref="Y58:Z58"/>
    <mergeCell ref="AA58:AC58"/>
    <mergeCell ref="Y59:Z59"/>
    <mergeCell ref="AA59:AC59"/>
    <mergeCell ref="Y60:Z60"/>
    <mergeCell ref="AA60:AC60"/>
    <mergeCell ref="Y50:Z50"/>
    <mergeCell ref="AA50:AC50"/>
    <mergeCell ref="Y32:Z32"/>
    <mergeCell ref="Y39:Z39"/>
    <mergeCell ref="Y61:Z61"/>
    <mergeCell ref="AA61:AC61"/>
    <mergeCell ref="Y62:Z62"/>
    <mergeCell ref="AA62:AC62"/>
    <mergeCell ref="Y55:Z55"/>
    <mergeCell ref="AA55:AC55"/>
    <mergeCell ref="Y56:Z56"/>
    <mergeCell ref="AA56:AC56"/>
    <mergeCell ref="Y57:Z57"/>
    <mergeCell ref="AA57:AC57"/>
    <mergeCell ref="Y52:Z52"/>
    <mergeCell ref="AA52:AC52"/>
    <mergeCell ref="Y53:Z53"/>
    <mergeCell ref="AA53:AC53"/>
    <mergeCell ref="Y54:Z54"/>
    <mergeCell ref="AA54:AC54"/>
    <mergeCell ref="Y49:Z49"/>
    <mergeCell ref="AA49:AC49"/>
    <mergeCell ref="Y51:Z51"/>
    <mergeCell ref="AA51:AC51"/>
    <mergeCell ref="Y46:Z46"/>
    <mergeCell ref="AA46:AC46"/>
    <mergeCell ref="Y47:Z47"/>
    <mergeCell ref="AA47:AC47"/>
    <mergeCell ref="Y48:Z48"/>
    <mergeCell ref="AA48:AC48"/>
    <mergeCell ref="AA44:AC44"/>
    <mergeCell ref="Y45:Z45"/>
    <mergeCell ref="AA45:AC45"/>
    <mergeCell ref="Y33:Z33"/>
    <mergeCell ref="Y34:Z34"/>
    <mergeCell ref="AA43:AC43"/>
    <mergeCell ref="Y40:Z40"/>
    <mergeCell ref="Y35:Z35"/>
    <mergeCell ref="Y36:Z36"/>
    <mergeCell ref="Y42:Z42"/>
    <mergeCell ref="Y37:Z37"/>
    <mergeCell ref="Y41:Z41"/>
    <mergeCell ref="Y38:Z38"/>
    <mergeCell ref="AA34:AC34"/>
    <mergeCell ref="AA35:AC35"/>
    <mergeCell ref="AA36:AC36"/>
    <mergeCell ref="AA37:AC37"/>
    <mergeCell ref="AA38:AC38"/>
    <mergeCell ref="AA40:AC40"/>
    <mergeCell ref="AA39:AC39"/>
    <mergeCell ref="Y12:Z12"/>
    <mergeCell ref="A6:A7"/>
    <mergeCell ref="B6:H7"/>
    <mergeCell ref="I6:Q7"/>
    <mergeCell ref="AZ4:BD4"/>
    <mergeCell ref="AU1:AY1"/>
    <mergeCell ref="AU4:AY4"/>
    <mergeCell ref="I1:Q1"/>
    <mergeCell ref="R1:X1"/>
    <mergeCell ref="R6:X7"/>
    <mergeCell ref="AA10:AC10"/>
    <mergeCell ref="AA11:AC11"/>
    <mergeCell ref="AA12:AC12"/>
    <mergeCell ref="A1:H4"/>
    <mergeCell ref="AZ1:BD1"/>
    <mergeCell ref="I2:Q4"/>
    <mergeCell ref="R2:X4"/>
    <mergeCell ref="Y2:AO3"/>
    <mergeCell ref="AP2:AT2"/>
    <mergeCell ref="AZ2:BD2"/>
    <mergeCell ref="Y9:Z9"/>
    <mergeCell ref="Y11:Z11"/>
    <mergeCell ref="AA13:AC13"/>
    <mergeCell ref="Y24:Z24"/>
    <mergeCell ref="Y25:Z25"/>
    <mergeCell ref="Y22:Z22"/>
    <mergeCell ref="Y21:Z21"/>
    <mergeCell ref="Y10:Z10"/>
    <mergeCell ref="Y18:Z18"/>
    <mergeCell ref="AP1:AT1"/>
    <mergeCell ref="Y4:AO4"/>
    <mergeCell ref="AP4:AT4"/>
    <mergeCell ref="Y1:AO1"/>
    <mergeCell ref="AF6:AF7"/>
    <mergeCell ref="AA14:AC14"/>
    <mergeCell ref="AA15:AC15"/>
    <mergeCell ref="AA16:AC16"/>
    <mergeCell ref="AA17:AC17"/>
    <mergeCell ref="AA18:AC18"/>
    <mergeCell ref="AA19:AC19"/>
    <mergeCell ref="AA20:AC20"/>
    <mergeCell ref="AA8:AC8"/>
    <mergeCell ref="AA9:AC9"/>
    <mergeCell ref="AA22:AC22"/>
    <mergeCell ref="AA23:AC23"/>
    <mergeCell ref="AA24:AC24"/>
    <mergeCell ref="Y31:Z31"/>
    <mergeCell ref="Y16:Z16"/>
    <mergeCell ref="Y26:Z26"/>
    <mergeCell ref="Y27:Z27"/>
    <mergeCell ref="Y29:Z29"/>
    <mergeCell ref="Y23:Z23"/>
    <mergeCell ref="AP3:AT3"/>
    <mergeCell ref="AG6:AG7"/>
    <mergeCell ref="AH6:AH7"/>
    <mergeCell ref="AI6:AR6"/>
    <mergeCell ref="AS6:BD7"/>
    <mergeCell ref="Y8:Z8"/>
    <mergeCell ref="AU3:AY3"/>
    <mergeCell ref="AZ3:BD3"/>
    <mergeCell ref="Y30:Z30"/>
    <mergeCell ref="Y19:Z19"/>
    <mergeCell ref="Y20:Z20"/>
    <mergeCell ref="Y28:Z28"/>
    <mergeCell ref="AE6:AE7"/>
    <mergeCell ref="Y17:Z17"/>
    <mergeCell ref="Y6:Z7"/>
    <mergeCell ref="AA6:AC7"/>
    <mergeCell ref="AD6:AD7"/>
    <mergeCell ref="AA21:AC21"/>
    <mergeCell ref="AA42:AC42"/>
    <mergeCell ref="AA41:AC41"/>
    <mergeCell ref="AA25:AC25"/>
    <mergeCell ref="AA26:AC26"/>
    <mergeCell ref="AA27:AC27"/>
    <mergeCell ref="AA28:AC28"/>
    <mergeCell ref="AA29:AC29"/>
    <mergeCell ref="AA30:AC30"/>
    <mergeCell ref="AA31:AC31"/>
    <mergeCell ref="AA32:AC32"/>
    <mergeCell ref="AA33:AC33"/>
  </mergeCells>
  <phoneticPr fontId="5"/>
  <dataValidations count="3">
    <dataValidation imeMode="hiragana" allowBlank="1" showInputMessage="1" showErrorMessage="1" sqref="JK65517:JV65519 TG65517:TR65519 ADC65517:ADN65519 AMY65517:ANJ65519 AWU65517:AXF65519 BGQ65517:BHB65519 BQM65517:BQX65519 CAI65517:CAT65519 CKE65517:CKP65519 CUA65517:CUL65519 DDW65517:DEH65519 DNS65517:DOD65519 DXO65517:DXZ65519 EHK65517:EHV65519 ERG65517:ERR65519 FBC65517:FBN65519 FKY65517:FLJ65519 FUU65517:FVF65519 GEQ65517:GFB65519 GOM65517:GOX65519 GYI65517:GYT65519 HIE65517:HIP65519 HSA65517:HSL65519 IBW65517:ICH65519 ILS65517:IMD65519 IVO65517:IVZ65519 JFK65517:JFV65519 JPG65517:JPR65519 JZC65517:JZN65519 KIY65517:KJJ65519 KSU65517:KTF65519 LCQ65517:LDB65519 LMM65517:LMX65519 LWI65517:LWT65519 MGE65517:MGP65519 MQA65517:MQL65519 MZW65517:NAH65519 NJS65517:NKD65519 NTO65517:NTZ65519 ODK65517:ODV65519 ONG65517:ONR65519 OXC65517:OXN65519 PGY65517:PHJ65519 PQU65517:PRF65519 QAQ65517:QBB65519 QKM65517:QKX65519 QUI65517:QUT65519 REE65517:REP65519 ROA65517:ROL65519 RXW65517:RYH65519 SHS65517:SID65519 SRO65517:SRZ65519 TBK65517:TBV65519 TLG65517:TLR65519 TVC65517:TVN65519 UEY65517:UFJ65519 UOU65517:UPF65519 UYQ65517:UZB65519 VIM65517:VIX65519 VSI65517:VST65519 WCE65517:WCP65519 WMA65517:WML65519 WVW65517:WWH65519 JK131053:JV131055 TG131053:TR131055 ADC131053:ADN131055 AMY131053:ANJ131055 AWU131053:AXF131055 BGQ131053:BHB131055 BQM131053:BQX131055 CAI131053:CAT131055 CKE131053:CKP131055 CUA131053:CUL131055 DDW131053:DEH131055 DNS131053:DOD131055 DXO131053:DXZ131055 EHK131053:EHV131055 ERG131053:ERR131055 FBC131053:FBN131055 FKY131053:FLJ131055 FUU131053:FVF131055 GEQ131053:GFB131055 GOM131053:GOX131055 GYI131053:GYT131055 HIE131053:HIP131055 HSA131053:HSL131055 IBW131053:ICH131055 ILS131053:IMD131055 IVO131053:IVZ131055 JFK131053:JFV131055 JPG131053:JPR131055 JZC131053:JZN131055 KIY131053:KJJ131055 KSU131053:KTF131055 LCQ131053:LDB131055 LMM131053:LMX131055 LWI131053:LWT131055 MGE131053:MGP131055 MQA131053:MQL131055 MZW131053:NAH131055 NJS131053:NKD131055 NTO131053:NTZ131055 ODK131053:ODV131055 ONG131053:ONR131055 OXC131053:OXN131055 PGY131053:PHJ131055 PQU131053:PRF131055 QAQ131053:QBB131055 QKM131053:QKX131055 QUI131053:QUT131055 REE131053:REP131055 ROA131053:ROL131055 RXW131053:RYH131055 SHS131053:SID131055 SRO131053:SRZ131055 TBK131053:TBV131055 TLG131053:TLR131055 TVC131053:TVN131055 UEY131053:UFJ131055 UOU131053:UPF131055 UYQ131053:UZB131055 VIM131053:VIX131055 VSI131053:VST131055 WCE131053:WCP131055 WMA131053:WML131055 WVW131053:WWH131055 JK196589:JV196591 TG196589:TR196591 ADC196589:ADN196591 AMY196589:ANJ196591 AWU196589:AXF196591 BGQ196589:BHB196591 BQM196589:BQX196591 CAI196589:CAT196591 CKE196589:CKP196591 CUA196589:CUL196591 DDW196589:DEH196591 DNS196589:DOD196591 DXO196589:DXZ196591 EHK196589:EHV196591 ERG196589:ERR196591 FBC196589:FBN196591 FKY196589:FLJ196591 FUU196589:FVF196591 GEQ196589:GFB196591 GOM196589:GOX196591 GYI196589:GYT196591 HIE196589:HIP196591 HSA196589:HSL196591 IBW196589:ICH196591 ILS196589:IMD196591 IVO196589:IVZ196591 JFK196589:JFV196591 JPG196589:JPR196591 JZC196589:JZN196591 KIY196589:KJJ196591 KSU196589:KTF196591 LCQ196589:LDB196591 LMM196589:LMX196591 LWI196589:LWT196591 MGE196589:MGP196591 MQA196589:MQL196591 MZW196589:NAH196591 NJS196589:NKD196591 NTO196589:NTZ196591 ODK196589:ODV196591 ONG196589:ONR196591 OXC196589:OXN196591 PGY196589:PHJ196591 PQU196589:PRF196591 QAQ196589:QBB196591 QKM196589:QKX196591 QUI196589:QUT196591 REE196589:REP196591 ROA196589:ROL196591 RXW196589:RYH196591 SHS196589:SID196591 SRO196589:SRZ196591 TBK196589:TBV196591 TLG196589:TLR196591 TVC196589:TVN196591 UEY196589:UFJ196591 UOU196589:UPF196591 UYQ196589:UZB196591 VIM196589:VIX196591 VSI196589:VST196591 WCE196589:WCP196591 WMA196589:WML196591 WVW196589:WWH196591 JK262125:JV262127 TG262125:TR262127 ADC262125:ADN262127 AMY262125:ANJ262127 AWU262125:AXF262127 BGQ262125:BHB262127 BQM262125:BQX262127 CAI262125:CAT262127 CKE262125:CKP262127 CUA262125:CUL262127 DDW262125:DEH262127 DNS262125:DOD262127 DXO262125:DXZ262127 EHK262125:EHV262127 ERG262125:ERR262127 FBC262125:FBN262127 FKY262125:FLJ262127 FUU262125:FVF262127 GEQ262125:GFB262127 GOM262125:GOX262127 GYI262125:GYT262127 HIE262125:HIP262127 HSA262125:HSL262127 IBW262125:ICH262127 ILS262125:IMD262127 IVO262125:IVZ262127 JFK262125:JFV262127 JPG262125:JPR262127 JZC262125:JZN262127 KIY262125:KJJ262127 KSU262125:KTF262127 LCQ262125:LDB262127 LMM262125:LMX262127 LWI262125:LWT262127 MGE262125:MGP262127 MQA262125:MQL262127 MZW262125:NAH262127 NJS262125:NKD262127 NTO262125:NTZ262127 ODK262125:ODV262127 ONG262125:ONR262127 OXC262125:OXN262127 PGY262125:PHJ262127 PQU262125:PRF262127 QAQ262125:QBB262127 QKM262125:QKX262127 QUI262125:QUT262127 REE262125:REP262127 ROA262125:ROL262127 RXW262125:RYH262127 SHS262125:SID262127 SRO262125:SRZ262127 TBK262125:TBV262127 TLG262125:TLR262127 TVC262125:TVN262127 UEY262125:UFJ262127 UOU262125:UPF262127 UYQ262125:UZB262127 VIM262125:VIX262127 VSI262125:VST262127 WCE262125:WCP262127 WMA262125:WML262127 WVW262125:WWH262127 JK327661:JV327663 TG327661:TR327663 ADC327661:ADN327663 AMY327661:ANJ327663 AWU327661:AXF327663 BGQ327661:BHB327663 BQM327661:BQX327663 CAI327661:CAT327663 CKE327661:CKP327663 CUA327661:CUL327663 DDW327661:DEH327663 DNS327661:DOD327663 DXO327661:DXZ327663 EHK327661:EHV327663 ERG327661:ERR327663 FBC327661:FBN327663 FKY327661:FLJ327663 FUU327661:FVF327663 GEQ327661:GFB327663 GOM327661:GOX327663 GYI327661:GYT327663 HIE327661:HIP327663 HSA327661:HSL327663 IBW327661:ICH327663 ILS327661:IMD327663 IVO327661:IVZ327663 JFK327661:JFV327663 JPG327661:JPR327663 JZC327661:JZN327663 KIY327661:KJJ327663 KSU327661:KTF327663 LCQ327661:LDB327663 LMM327661:LMX327663 LWI327661:LWT327663 MGE327661:MGP327663 MQA327661:MQL327663 MZW327661:NAH327663 NJS327661:NKD327663 NTO327661:NTZ327663 ODK327661:ODV327663 ONG327661:ONR327663 OXC327661:OXN327663 PGY327661:PHJ327663 PQU327661:PRF327663 QAQ327661:QBB327663 QKM327661:QKX327663 QUI327661:QUT327663 REE327661:REP327663 ROA327661:ROL327663 RXW327661:RYH327663 SHS327661:SID327663 SRO327661:SRZ327663 TBK327661:TBV327663 TLG327661:TLR327663 TVC327661:TVN327663 UEY327661:UFJ327663 UOU327661:UPF327663 UYQ327661:UZB327663 VIM327661:VIX327663 VSI327661:VST327663 WCE327661:WCP327663 WMA327661:WML327663 WVW327661:WWH327663 JK393197:JV393199 TG393197:TR393199 ADC393197:ADN393199 AMY393197:ANJ393199 AWU393197:AXF393199 BGQ393197:BHB393199 BQM393197:BQX393199 CAI393197:CAT393199 CKE393197:CKP393199 CUA393197:CUL393199 DDW393197:DEH393199 DNS393197:DOD393199 DXO393197:DXZ393199 EHK393197:EHV393199 ERG393197:ERR393199 FBC393197:FBN393199 FKY393197:FLJ393199 FUU393197:FVF393199 GEQ393197:GFB393199 GOM393197:GOX393199 GYI393197:GYT393199 HIE393197:HIP393199 HSA393197:HSL393199 IBW393197:ICH393199 ILS393197:IMD393199 IVO393197:IVZ393199 JFK393197:JFV393199 JPG393197:JPR393199 JZC393197:JZN393199 KIY393197:KJJ393199 KSU393197:KTF393199 LCQ393197:LDB393199 LMM393197:LMX393199 LWI393197:LWT393199 MGE393197:MGP393199 MQA393197:MQL393199 MZW393197:NAH393199 NJS393197:NKD393199 NTO393197:NTZ393199 ODK393197:ODV393199 ONG393197:ONR393199 OXC393197:OXN393199 PGY393197:PHJ393199 PQU393197:PRF393199 QAQ393197:QBB393199 QKM393197:QKX393199 QUI393197:QUT393199 REE393197:REP393199 ROA393197:ROL393199 RXW393197:RYH393199 SHS393197:SID393199 SRO393197:SRZ393199 TBK393197:TBV393199 TLG393197:TLR393199 TVC393197:TVN393199 UEY393197:UFJ393199 UOU393197:UPF393199 UYQ393197:UZB393199 VIM393197:VIX393199 VSI393197:VST393199 WCE393197:WCP393199 WMA393197:WML393199 WVW393197:WWH393199 JK458733:JV458735 TG458733:TR458735 ADC458733:ADN458735 AMY458733:ANJ458735 AWU458733:AXF458735 BGQ458733:BHB458735 BQM458733:BQX458735 CAI458733:CAT458735 CKE458733:CKP458735 CUA458733:CUL458735 DDW458733:DEH458735 DNS458733:DOD458735 DXO458733:DXZ458735 EHK458733:EHV458735 ERG458733:ERR458735 FBC458733:FBN458735 FKY458733:FLJ458735 FUU458733:FVF458735 GEQ458733:GFB458735 GOM458733:GOX458735 GYI458733:GYT458735 HIE458733:HIP458735 HSA458733:HSL458735 IBW458733:ICH458735 ILS458733:IMD458735 IVO458733:IVZ458735 JFK458733:JFV458735 JPG458733:JPR458735 JZC458733:JZN458735 KIY458733:KJJ458735 KSU458733:KTF458735 LCQ458733:LDB458735 LMM458733:LMX458735 LWI458733:LWT458735 MGE458733:MGP458735 MQA458733:MQL458735 MZW458733:NAH458735 NJS458733:NKD458735 NTO458733:NTZ458735 ODK458733:ODV458735 ONG458733:ONR458735 OXC458733:OXN458735 PGY458733:PHJ458735 PQU458733:PRF458735 QAQ458733:QBB458735 QKM458733:QKX458735 QUI458733:QUT458735 REE458733:REP458735 ROA458733:ROL458735 RXW458733:RYH458735 SHS458733:SID458735 SRO458733:SRZ458735 TBK458733:TBV458735 TLG458733:TLR458735 TVC458733:TVN458735 UEY458733:UFJ458735 UOU458733:UPF458735 UYQ458733:UZB458735 VIM458733:VIX458735 VSI458733:VST458735 WCE458733:WCP458735 WMA458733:WML458735 WVW458733:WWH458735 JK524269:JV524271 TG524269:TR524271 ADC524269:ADN524271 AMY524269:ANJ524271 AWU524269:AXF524271 BGQ524269:BHB524271 BQM524269:BQX524271 CAI524269:CAT524271 CKE524269:CKP524271 CUA524269:CUL524271 DDW524269:DEH524271 DNS524269:DOD524271 DXO524269:DXZ524271 EHK524269:EHV524271 ERG524269:ERR524271 FBC524269:FBN524271 FKY524269:FLJ524271 FUU524269:FVF524271 GEQ524269:GFB524271 GOM524269:GOX524271 GYI524269:GYT524271 HIE524269:HIP524271 HSA524269:HSL524271 IBW524269:ICH524271 ILS524269:IMD524271 IVO524269:IVZ524271 JFK524269:JFV524271 JPG524269:JPR524271 JZC524269:JZN524271 KIY524269:KJJ524271 KSU524269:KTF524271 LCQ524269:LDB524271 LMM524269:LMX524271 LWI524269:LWT524271 MGE524269:MGP524271 MQA524269:MQL524271 MZW524269:NAH524271 NJS524269:NKD524271 NTO524269:NTZ524271 ODK524269:ODV524271 ONG524269:ONR524271 OXC524269:OXN524271 PGY524269:PHJ524271 PQU524269:PRF524271 QAQ524269:QBB524271 QKM524269:QKX524271 QUI524269:QUT524271 REE524269:REP524271 ROA524269:ROL524271 RXW524269:RYH524271 SHS524269:SID524271 SRO524269:SRZ524271 TBK524269:TBV524271 TLG524269:TLR524271 TVC524269:TVN524271 UEY524269:UFJ524271 UOU524269:UPF524271 UYQ524269:UZB524271 VIM524269:VIX524271 VSI524269:VST524271 WCE524269:WCP524271 WMA524269:WML524271 WVW524269:WWH524271 JK589805:JV589807 TG589805:TR589807 ADC589805:ADN589807 AMY589805:ANJ589807 AWU589805:AXF589807 BGQ589805:BHB589807 BQM589805:BQX589807 CAI589805:CAT589807 CKE589805:CKP589807 CUA589805:CUL589807 DDW589805:DEH589807 DNS589805:DOD589807 DXO589805:DXZ589807 EHK589805:EHV589807 ERG589805:ERR589807 FBC589805:FBN589807 FKY589805:FLJ589807 FUU589805:FVF589807 GEQ589805:GFB589807 GOM589805:GOX589807 GYI589805:GYT589807 HIE589805:HIP589807 HSA589805:HSL589807 IBW589805:ICH589807 ILS589805:IMD589807 IVO589805:IVZ589807 JFK589805:JFV589807 JPG589805:JPR589807 JZC589805:JZN589807 KIY589805:KJJ589807 KSU589805:KTF589807 LCQ589805:LDB589807 LMM589805:LMX589807 LWI589805:LWT589807 MGE589805:MGP589807 MQA589805:MQL589807 MZW589805:NAH589807 NJS589805:NKD589807 NTO589805:NTZ589807 ODK589805:ODV589807 ONG589805:ONR589807 OXC589805:OXN589807 PGY589805:PHJ589807 PQU589805:PRF589807 QAQ589805:QBB589807 QKM589805:QKX589807 QUI589805:QUT589807 REE589805:REP589807 ROA589805:ROL589807 RXW589805:RYH589807 SHS589805:SID589807 SRO589805:SRZ589807 TBK589805:TBV589807 TLG589805:TLR589807 TVC589805:TVN589807 UEY589805:UFJ589807 UOU589805:UPF589807 UYQ589805:UZB589807 VIM589805:VIX589807 VSI589805:VST589807 WCE589805:WCP589807 WMA589805:WML589807 WVW589805:WWH589807 JK655341:JV655343 TG655341:TR655343 ADC655341:ADN655343 AMY655341:ANJ655343 AWU655341:AXF655343 BGQ655341:BHB655343 BQM655341:BQX655343 CAI655341:CAT655343 CKE655341:CKP655343 CUA655341:CUL655343 DDW655341:DEH655343 DNS655341:DOD655343 DXO655341:DXZ655343 EHK655341:EHV655343 ERG655341:ERR655343 FBC655341:FBN655343 FKY655341:FLJ655343 FUU655341:FVF655343 GEQ655341:GFB655343 GOM655341:GOX655343 GYI655341:GYT655343 HIE655341:HIP655343 HSA655341:HSL655343 IBW655341:ICH655343 ILS655341:IMD655343 IVO655341:IVZ655343 JFK655341:JFV655343 JPG655341:JPR655343 JZC655341:JZN655343 KIY655341:KJJ655343 KSU655341:KTF655343 LCQ655341:LDB655343 LMM655341:LMX655343 LWI655341:LWT655343 MGE655341:MGP655343 MQA655341:MQL655343 MZW655341:NAH655343 NJS655341:NKD655343 NTO655341:NTZ655343 ODK655341:ODV655343 ONG655341:ONR655343 OXC655341:OXN655343 PGY655341:PHJ655343 PQU655341:PRF655343 QAQ655341:QBB655343 QKM655341:QKX655343 QUI655341:QUT655343 REE655341:REP655343 ROA655341:ROL655343 RXW655341:RYH655343 SHS655341:SID655343 SRO655341:SRZ655343 TBK655341:TBV655343 TLG655341:TLR655343 TVC655341:TVN655343 UEY655341:UFJ655343 UOU655341:UPF655343 UYQ655341:UZB655343 VIM655341:VIX655343 VSI655341:VST655343 WCE655341:WCP655343 WMA655341:WML655343 WVW655341:WWH655343 JK720877:JV720879 TG720877:TR720879 ADC720877:ADN720879 AMY720877:ANJ720879 AWU720877:AXF720879 BGQ720877:BHB720879 BQM720877:BQX720879 CAI720877:CAT720879 CKE720877:CKP720879 CUA720877:CUL720879 DDW720877:DEH720879 DNS720877:DOD720879 DXO720877:DXZ720879 EHK720877:EHV720879 ERG720877:ERR720879 FBC720877:FBN720879 FKY720877:FLJ720879 FUU720877:FVF720879 GEQ720877:GFB720879 GOM720877:GOX720879 GYI720877:GYT720879 HIE720877:HIP720879 HSA720877:HSL720879 IBW720877:ICH720879 ILS720877:IMD720879 IVO720877:IVZ720879 JFK720877:JFV720879 JPG720877:JPR720879 JZC720877:JZN720879 KIY720877:KJJ720879 KSU720877:KTF720879 LCQ720877:LDB720879 LMM720877:LMX720879 LWI720877:LWT720879 MGE720877:MGP720879 MQA720877:MQL720879 MZW720877:NAH720879 NJS720877:NKD720879 NTO720877:NTZ720879 ODK720877:ODV720879 ONG720877:ONR720879 OXC720877:OXN720879 PGY720877:PHJ720879 PQU720877:PRF720879 QAQ720877:QBB720879 QKM720877:QKX720879 QUI720877:QUT720879 REE720877:REP720879 ROA720877:ROL720879 RXW720877:RYH720879 SHS720877:SID720879 SRO720877:SRZ720879 TBK720877:TBV720879 TLG720877:TLR720879 TVC720877:TVN720879 UEY720877:UFJ720879 UOU720877:UPF720879 UYQ720877:UZB720879 VIM720877:VIX720879 VSI720877:VST720879 WCE720877:WCP720879 WMA720877:WML720879 WVW720877:WWH720879 JK786413:JV786415 TG786413:TR786415 ADC786413:ADN786415 AMY786413:ANJ786415 AWU786413:AXF786415 BGQ786413:BHB786415 BQM786413:BQX786415 CAI786413:CAT786415 CKE786413:CKP786415 CUA786413:CUL786415 DDW786413:DEH786415 DNS786413:DOD786415 DXO786413:DXZ786415 EHK786413:EHV786415 ERG786413:ERR786415 FBC786413:FBN786415 FKY786413:FLJ786415 FUU786413:FVF786415 GEQ786413:GFB786415 GOM786413:GOX786415 GYI786413:GYT786415 HIE786413:HIP786415 HSA786413:HSL786415 IBW786413:ICH786415 ILS786413:IMD786415 IVO786413:IVZ786415 JFK786413:JFV786415 JPG786413:JPR786415 JZC786413:JZN786415 KIY786413:KJJ786415 KSU786413:KTF786415 LCQ786413:LDB786415 LMM786413:LMX786415 LWI786413:LWT786415 MGE786413:MGP786415 MQA786413:MQL786415 MZW786413:NAH786415 NJS786413:NKD786415 NTO786413:NTZ786415 ODK786413:ODV786415 ONG786413:ONR786415 OXC786413:OXN786415 PGY786413:PHJ786415 PQU786413:PRF786415 QAQ786413:QBB786415 QKM786413:QKX786415 QUI786413:QUT786415 REE786413:REP786415 ROA786413:ROL786415 RXW786413:RYH786415 SHS786413:SID786415 SRO786413:SRZ786415 TBK786413:TBV786415 TLG786413:TLR786415 TVC786413:TVN786415 UEY786413:UFJ786415 UOU786413:UPF786415 UYQ786413:UZB786415 VIM786413:VIX786415 VSI786413:VST786415 WCE786413:WCP786415 WMA786413:WML786415 WVW786413:WWH786415 JK851949:JV851951 TG851949:TR851951 ADC851949:ADN851951 AMY851949:ANJ851951 AWU851949:AXF851951 BGQ851949:BHB851951 BQM851949:BQX851951 CAI851949:CAT851951 CKE851949:CKP851951 CUA851949:CUL851951 DDW851949:DEH851951 DNS851949:DOD851951 DXO851949:DXZ851951 EHK851949:EHV851951 ERG851949:ERR851951 FBC851949:FBN851951 FKY851949:FLJ851951 FUU851949:FVF851951 GEQ851949:GFB851951 GOM851949:GOX851951 GYI851949:GYT851951 HIE851949:HIP851951 HSA851949:HSL851951 IBW851949:ICH851951 ILS851949:IMD851951 IVO851949:IVZ851951 JFK851949:JFV851951 JPG851949:JPR851951 JZC851949:JZN851951 KIY851949:KJJ851951 KSU851949:KTF851951 LCQ851949:LDB851951 LMM851949:LMX851951 LWI851949:LWT851951 MGE851949:MGP851951 MQA851949:MQL851951 MZW851949:NAH851951 NJS851949:NKD851951 NTO851949:NTZ851951 ODK851949:ODV851951 ONG851949:ONR851951 OXC851949:OXN851951 PGY851949:PHJ851951 PQU851949:PRF851951 QAQ851949:QBB851951 QKM851949:QKX851951 QUI851949:QUT851951 REE851949:REP851951 ROA851949:ROL851951 RXW851949:RYH851951 SHS851949:SID851951 SRO851949:SRZ851951 TBK851949:TBV851951 TLG851949:TLR851951 TVC851949:TVN851951 UEY851949:UFJ851951 UOU851949:UPF851951 UYQ851949:UZB851951 VIM851949:VIX851951 VSI851949:VST851951 WCE851949:WCP851951 WMA851949:WML851951 WVW851949:WWH851951 JK917485:JV917487 TG917485:TR917487 ADC917485:ADN917487 AMY917485:ANJ917487 AWU917485:AXF917487 BGQ917485:BHB917487 BQM917485:BQX917487 CAI917485:CAT917487 CKE917485:CKP917487 CUA917485:CUL917487 DDW917485:DEH917487 DNS917485:DOD917487 DXO917485:DXZ917487 EHK917485:EHV917487 ERG917485:ERR917487 FBC917485:FBN917487 FKY917485:FLJ917487 FUU917485:FVF917487 GEQ917485:GFB917487 GOM917485:GOX917487 GYI917485:GYT917487 HIE917485:HIP917487 HSA917485:HSL917487 IBW917485:ICH917487 ILS917485:IMD917487 IVO917485:IVZ917487 JFK917485:JFV917487 JPG917485:JPR917487 JZC917485:JZN917487 KIY917485:KJJ917487 KSU917485:KTF917487 LCQ917485:LDB917487 LMM917485:LMX917487 LWI917485:LWT917487 MGE917485:MGP917487 MQA917485:MQL917487 MZW917485:NAH917487 NJS917485:NKD917487 NTO917485:NTZ917487 ODK917485:ODV917487 ONG917485:ONR917487 OXC917485:OXN917487 PGY917485:PHJ917487 PQU917485:PRF917487 QAQ917485:QBB917487 QKM917485:QKX917487 QUI917485:QUT917487 REE917485:REP917487 ROA917485:ROL917487 RXW917485:RYH917487 SHS917485:SID917487 SRO917485:SRZ917487 TBK917485:TBV917487 TLG917485:TLR917487 TVC917485:TVN917487 UEY917485:UFJ917487 UOU917485:UPF917487 UYQ917485:UZB917487 VIM917485:VIX917487 VSI917485:VST917487 WCE917485:WCP917487 WMA917485:WML917487 WVW917485:WWH917487 JK983021:JV983023 TG983021:TR983023 ADC983021:ADN983023 AMY983021:ANJ983023 AWU983021:AXF983023 BGQ983021:BHB983023 BQM983021:BQX983023 CAI983021:CAT983023 CKE983021:CKP983023 CUA983021:CUL983023 DDW983021:DEH983023 DNS983021:DOD983023 DXO983021:DXZ983023 EHK983021:EHV983023 ERG983021:ERR983023 FBC983021:FBN983023 FKY983021:FLJ983023 FUU983021:FVF983023 GEQ983021:GFB983023 GOM983021:GOX983023 GYI983021:GYT983023 HIE983021:HIP983023 HSA983021:HSL983023 IBW983021:ICH983023 ILS983021:IMD983023 IVO983021:IVZ983023 JFK983021:JFV983023 JPG983021:JPR983023 JZC983021:JZN983023 KIY983021:KJJ983023 KSU983021:KTF983023 LCQ983021:LDB983023 LMM983021:LMX983023 LWI983021:LWT983023 MGE983021:MGP983023 MQA983021:MQL983023 MZW983021:NAH983023 NJS983021:NKD983023 NTO983021:NTZ983023 ODK983021:ODV983023 ONG983021:ONR983023 OXC983021:OXN983023 PGY983021:PHJ983023 PQU983021:PRF983023 QAQ983021:QBB983023 QKM983021:QKX983023 QUI983021:QUT983023 REE983021:REP983023 ROA983021:ROL983023 RXW983021:RYH983023 SHS983021:SID983023 SRO983021:SRZ983023 TBK983021:TBV983023 TLG983021:TLR983023 TVC983021:TVN983023 UEY983021:UFJ983023 UOU983021:UPF983023 UYQ983021:UZB983023 VIM983021:VIX983023 VSI983021:VST983023 WCE983021:WCP983023 WMA983021:WML983023 WVW983021:WWH983023 JL2:JW4 TH2:TS4 ADD2:ADO4 AMZ2:ANK4 AWV2:AXG4 BGR2:BHC4 BQN2:BQY4 CAJ2:CAU4 CKF2:CKQ4 CUB2:CUM4 DDX2:DEI4 DNT2:DOE4 DXP2:DYA4 EHL2:EHW4 ERH2:ERS4 FBD2:FBO4 FKZ2:FLK4 FUV2:FVG4 GER2:GFC4 GON2:GOY4 GYJ2:GYU4 HIF2:HIQ4 HSB2:HSM4 IBX2:ICI4 ILT2:IME4 IVP2:IWA4 JFL2:JFW4 JPH2:JPS4 JZD2:JZO4 KIZ2:KJK4 KSV2:KTG4 LCR2:LDC4 LMN2:LMY4 LWJ2:LWU4 MGF2:MGQ4 MQB2:MQM4 MZX2:NAI4 NJT2:NKE4 NTP2:NUA4 ODL2:ODW4 ONH2:ONS4 OXD2:OXO4 PGZ2:PHK4 PQV2:PRG4 QAR2:QBC4 QKN2:QKY4 QUJ2:QUU4 REF2:REQ4 ROB2:ROM4 RXX2:RYI4 SHT2:SIE4 SRP2:SSA4 TBL2:TBW4 TLH2:TLS4 TVD2:TVO4 UEZ2:UFK4 UOV2:UPG4 UYR2:UZC4 VIN2:VIY4 VSJ2:VSU4 WCF2:WCQ4 WMB2:WMM4 WVX2:WWI4 AC65517:AM65519 AC983021:AM983023 AC917485:AM917487 AC851949:AM851951 AC786413:AM786415 AC720877:AM720879 AC655341:AM655343 AC589805:AM589807 AC524269:AM524271 AC458733:AM458735 AC393197:AM393199 AC327661:AM327663 AC262125:AM262127 AC196589:AM196591 AC131053:AM131055 R2"/>
    <dataValidation type="list" allowBlank="1" showInputMessage="1" showErrorMessage="1" sqref="Y8:Z85">
      <formula1>"文字,数値,日付,時間"</formula1>
    </dataValidation>
    <dataValidation type="list" allowBlank="1" showInputMessage="1" showErrorMessage="1" sqref="AA8:AC85">
      <formula1>"int,numeric,varchar,date,datetime2(0),datetime2,varbinary(max)"</formula1>
    </dataValidation>
  </dataValidations>
  <pageMargins left="0.39370078740157483" right="0.39370078740157483" top="0.59055118110236227" bottom="0.39370078740157483" header="0.39370078740157483" footer="0.19685039370078741"/>
  <pageSetup paperSize="9" scale="80" fitToHeight="0" orientation="landscape" useFirstPageNumber="1" verticalDpi="300" r:id="rId1"/>
  <headerFooter alignWithMargins="0">
    <oddFooter>&amp;R&amp;A - &amp;P</oddFooter>
  </headerFooter>
  <legacy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51"/>
  <dimension ref="A1:BE85"/>
  <sheetViews>
    <sheetView showGridLines="0" zoomScaleNormal="100" zoomScaleSheetLayoutView="100" workbookViewId="0">
      <pane ySplit="7" topLeftCell="A8" activePane="bottomLeft" state="frozen"/>
      <selection sqref="A1:K4"/>
      <selection pane="bottomLeft" sqref="A1:H4"/>
    </sheetView>
  </sheetViews>
  <sheetFormatPr defaultColWidth="2.6328125" defaultRowHeight="14.4" customHeight="1"/>
  <cols>
    <col min="1" max="1" width="4.6328125" style="18" customWidth="1"/>
    <col min="2" max="29" width="2.6328125" style="18"/>
    <col min="30" max="30" width="4.6328125" style="18" customWidth="1"/>
    <col min="31" max="33" width="2.6328125" style="18"/>
    <col min="34" max="34" width="6.6328125" style="18" customWidth="1"/>
    <col min="35" max="44" width="2.6328125" style="18"/>
    <col min="45" max="56" width="2.6328125" style="46"/>
    <col min="57" max="16384" width="2.6328125" style="18"/>
  </cols>
  <sheetData>
    <row r="1" spans="1:56" s="17" customFormat="1" ht="14.4" customHeight="1">
      <c r="A1" s="417" t="s">
        <v>78</v>
      </c>
      <c r="B1" s="418"/>
      <c r="C1" s="418"/>
      <c r="D1" s="418"/>
      <c r="E1" s="418"/>
      <c r="F1" s="418"/>
      <c r="G1" s="418"/>
      <c r="H1" s="419"/>
      <c r="I1" s="354" t="s">
        <v>79</v>
      </c>
      <c r="J1" s="355"/>
      <c r="K1" s="355"/>
      <c r="L1" s="355"/>
      <c r="M1" s="355"/>
      <c r="N1" s="355"/>
      <c r="O1" s="355"/>
      <c r="P1" s="355"/>
      <c r="Q1" s="356"/>
      <c r="R1" s="354" t="s">
        <v>80</v>
      </c>
      <c r="S1" s="355"/>
      <c r="T1" s="355"/>
      <c r="U1" s="355"/>
      <c r="V1" s="355"/>
      <c r="W1" s="355"/>
      <c r="X1" s="356"/>
      <c r="Y1" s="354" t="s">
        <v>135</v>
      </c>
      <c r="Z1" s="355"/>
      <c r="AA1" s="355"/>
      <c r="AB1" s="355"/>
      <c r="AC1" s="355"/>
      <c r="AD1" s="355"/>
      <c r="AE1" s="355"/>
      <c r="AF1" s="355"/>
      <c r="AG1" s="355"/>
      <c r="AH1" s="355"/>
      <c r="AI1" s="355"/>
      <c r="AJ1" s="355"/>
      <c r="AK1" s="355"/>
      <c r="AL1" s="355"/>
      <c r="AM1" s="355"/>
      <c r="AN1" s="355"/>
      <c r="AO1" s="356"/>
      <c r="AP1" s="428" t="s">
        <v>82</v>
      </c>
      <c r="AQ1" s="429"/>
      <c r="AR1" s="429"/>
      <c r="AS1" s="429"/>
      <c r="AT1" s="430"/>
      <c r="AU1" s="428" t="s">
        <v>83</v>
      </c>
      <c r="AV1" s="429"/>
      <c r="AW1" s="429"/>
      <c r="AX1" s="429"/>
      <c r="AY1" s="430"/>
      <c r="AZ1" s="428" t="s">
        <v>84</v>
      </c>
      <c r="BA1" s="429"/>
      <c r="BB1" s="429"/>
      <c r="BC1" s="429"/>
      <c r="BD1" s="430"/>
    </row>
    <row r="2" spans="1:56" s="17" customFormat="1" ht="14.4" customHeight="1">
      <c r="A2" s="420"/>
      <c r="B2" s="421"/>
      <c r="C2" s="421"/>
      <c r="D2" s="421"/>
      <c r="E2" s="421"/>
      <c r="F2" s="421"/>
      <c r="G2" s="421"/>
      <c r="H2" s="422"/>
      <c r="I2" s="384" t="s">
        <v>85</v>
      </c>
      <c r="J2" s="385"/>
      <c r="K2" s="385"/>
      <c r="L2" s="385"/>
      <c r="M2" s="385"/>
      <c r="N2" s="385"/>
      <c r="O2" s="385"/>
      <c r="P2" s="385"/>
      <c r="Q2" s="386"/>
      <c r="R2" s="384" t="str">
        <f ca="1">VLOOKUP(RIGHT(CELL("filename",A2),LEN(CELL("filename",A2))-FIND("]",CELL("filename",A2))),テーブル一覧!B:AD,22,FALSE)</f>
        <v>B.生産計画</v>
      </c>
      <c r="S2" s="385"/>
      <c r="T2" s="385"/>
      <c r="U2" s="385"/>
      <c r="V2" s="385"/>
      <c r="W2" s="385"/>
      <c r="X2" s="386"/>
      <c r="Y2" s="384" t="str">
        <f ca="1">VLOOKUP(RIGHT(CELL("filename",A2),LEN(CELL("filename",A2))-FIND("]",CELL("filename",A2))),テーブル一覧!B:AD,1,FALSE)</f>
        <v>生産計画情報（加工SC）</v>
      </c>
      <c r="Z2" s="385"/>
      <c r="AA2" s="385"/>
      <c r="AB2" s="385"/>
      <c r="AC2" s="385"/>
      <c r="AD2" s="385"/>
      <c r="AE2" s="385"/>
      <c r="AF2" s="385"/>
      <c r="AG2" s="385"/>
      <c r="AH2" s="385"/>
      <c r="AI2" s="385"/>
      <c r="AJ2" s="385"/>
      <c r="AK2" s="385"/>
      <c r="AL2" s="385"/>
      <c r="AM2" s="385"/>
      <c r="AN2" s="385"/>
      <c r="AO2" s="386"/>
      <c r="AP2" s="357"/>
      <c r="AQ2" s="358"/>
      <c r="AR2" s="358"/>
      <c r="AS2" s="358"/>
      <c r="AT2" s="359"/>
      <c r="AU2" s="58" t="s">
        <v>88</v>
      </c>
      <c r="AV2" s="59"/>
      <c r="AW2" s="59"/>
      <c r="AX2" s="59"/>
      <c r="AY2" s="60"/>
      <c r="AZ2" s="434" t="s">
        <v>89</v>
      </c>
      <c r="BA2" s="435"/>
      <c r="BB2" s="435"/>
      <c r="BC2" s="435"/>
      <c r="BD2" s="436"/>
    </row>
    <row r="3" spans="1:56" s="17" customFormat="1" ht="14.4" customHeight="1">
      <c r="A3" s="420"/>
      <c r="B3" s="421"/>
      <c r="C3" s="421"/>
      <c r="D3" s="421"/>
      <c r="E3" s="421"/>
      <c r="F3" s="421"/>
      <c r="G3" s="421"/>
      <c r="H3" s="422"/>
      <c r="I3" s="387"/>
      <c r="J3" s="388"/>
      <c r="K3" s="388"/>
      <c r="L3" s="388"/>
      <c r="M3" s="388"/>
      <c r="N3" s="388"/>
      <c r="O3" s="388"/>
      <c r="P3" s="388"/>
      <c r="Q3" s="389"/>
      <c r="R3" s="387"/>
      <c r="S3" s="388"/>
      <c r="T3" s="388"/>
      <c r="U3" s="388"/>
      <c r="V3" s="388"/>
      <c r="W3" s="388"/>
      <c r="X3" s="389"/>
      <c r="Y3" s="390"/>
      <c r="Z3" s="391"/>
      <c r="AA3" s="391"/>
      <c r="AB3" s="391"/>
      <c r="AC3" s="391"/>
      <c r="AD3" s="391"/>
      <c r="AE3" s="391"/>
      <c r="AF3" s="391"/>
      <c r="AG3" s="391"/>
      <c r="AH3" s="391"/>
      <c r="AI3" s="391"/>
      <c r="AJ3" s="391"/>
      <c r="AK3" s="391"/>
      <c r="AL3" s="391"/>
      <c r="AM3" s="391"/>
      <c r="AN3" s="391"/>
      <c r="AO3" s="392"/>
      <c r="AP3" s="360"/>
      <c r="AQ3" s="361"/>
      <c r="AR3" s="361"/>
      <c r="AS3" s="361"/>
      <c r="AT3" s="362"/>
      <c r="AU3" s="431"/>
      <c r="AV3" s="432"/>
      <c r="AW3" s="432"/>
      <c r="AX3" s="432"/>
      <c r="AY3" s="433"/>
      <c r="AZ3" s="434"/>
      <c r="BA3" s="435"/>
      <c r="BB3" s="435"/>
      <c r="BC3" s="435"/>
      <c r="BD3" s="436"/>
    </row>
    <row r="4" spans="1:56" s="17" customFormat="1" ht="14.4" customHeight="1">
      <c r="A4" s="423"/>
      <c r="B4" s="424"/>
      <c r="C4" s="424"/>
      <c r="D4" s="424"/>
      <c r="E4" s="424"/>
      <c r="F4" s="424"/>
      <c r="G4" s="424"/>
      <c r="H4" s="425"/>
      <c r="I4" s="390"/>
      <c r="J4" s="391"/>
      <c r="K4" s="391"/>
      <c r="L4" s="391"/>
      <c r="M4" s="391"/>
      <c r="N4" s="391"/>
      <c r="O4" s="391"/>
      <c r="P4" s="391"/>
      <c r="Q4" s="392"/>
      <c r="R4" s="390"/>
      <c r="S4" s="391"/>
      <c r="T4" s="391"/>
      <c r="U4" s="391"/>
      <c r="V4" s="391"/>
      <c r="W4" s="391"/>
      <c r="X4" s="392"/>
      <c r="Y4" s="437" t="str">
        <f ca="1">IF(VLOOKUP(RIGHT(CELL("filename",A2),LEN(CELL("filename",A2))-FIND("]",CELL("filename",A2))),テーブル一覧!B:AD,11,FALSE)=0,"",VLOOKUP(RIGHT(CELL("filename",A2),LEN(CELL("filename",A2))-FIND("]",CELL("filename",A2))),テーブル一覧!B:AD,11,FALSE))</f>
        <v>t_seisan_keikaku_sc</v>
      </c>
      <c r="Z4" s="438"/>
      <c r="AA4" s="438"/>
      <c r="AB4" s="438"/>
      <c r="AC4" s="438"/>
      <c r="AD4" s="438"/>
      <c r="AE4" s="438"/>
      <c r="AF4" s="438"/>
      <c r="AG4" s="438"/>
      <c r="AH4" s="438"/>
      <c r="AI4" s="438"/>
      <c r="AJ4" s="438"/>
      <c r="AK4" s="438"/>
      <c r="AL4" s="438"/>
      <c r="AM4" s="438"/>
      <c r="AN4" s="438"/>
      <c r="AO4" s="439"/>
      <c r="AP4" s="360"/>
      <c r="AQ4" s="361"/>
      <c r="AR4" s="361"/>
      <c r="AS4" s="361"/>
      <c r="AT4" s="362"/>
      <c r="AU4" s="431"/>
      <c r="AV4" s="432"/>
      <c r="AW4" s="432"/>
      <c r="AX4" s="432"/>
      <c r="AY4" s="433"/>
      <c r="AZ4" s="434"/>
      <c r="BA4" s="435"/>
      <c r="BB4" s="435"/>
      <c r="BC4" s="435"/>
      <c r="BD4" s="436"/>
    </row>
    <row r="6" spans="1:56" ht="14.4" customHeight="1">
      <c r="A6" s="426" t="s">
        <v>90</v>
      </c>
      <c r="B6" s="407" t="s">
        <v>136</v>
      </c>
      <c r="C6" s="415"/>
      <c r="D6" s="415"/>
      <c r="E6" s="415"/>
      <c r="F6" s="415"/>
      <c r="G6" s="415"/>
      <c r="H6" s="408"/>
      <c r="I6" s="407" t="s">
        <v>137</v>
      </c>
      <c r="J6" s="415"/>
      <c r="K6" s="415"/>
      <c r="L6" s="415"/>
      <c r="M6" s="415"/>
      <c r="N6" s="415"/>
      <c r="O6" s="415"/>
      <c r="P6" s="415"/>
      <c r="Q6" s="408"/>
      <c r="R6" s="407" t="s">
        <v>138</v>
      </c>
      <c r="S6" s="415"/>
      <c r="T6" s="415"/>
      <c r="U6" s="415"/>
      <c r="V6" s="415"/>
      <c r="W6" s="415"/>
      <c r="X6" s="408"/>
      <c r="Y6" s="407" t="s">
        <v>139</v>
      </c>
      <c r="Z6" s="408"/>
      <c r="AA6" s="407" t="s">
        <v>140</v>
      </c>
      <c r="AB6" s="415"/>
      <c r="AC6" s="408"/>
      <c r="AD6" s="411" t="s">
        <v>141</v>
      </c>
      <c r="AE6" s="413" t="s">
        <v>142</v>
      </c>
      <c r="AF6" s="411" t="s">
        <v>143</v>
      </c>
      <c r="AG6" s="411" t="s">
        <v>144</v>
      </c>
      <c r="AH6" s="411" t="s">
        <v>145</v>
      </c>
      <c r="AI6" s="404" t="s">
        <v>146</v>
      </c>
      <c r="AJ6" s="405"/>
      <c r="AK6" s="405"/>
      <c r="AL6" s="405"/>
      <c r="AM6" s="405"/>
      <c r="AN6" s="405"/>
      <c r="AO6" s="405"/>
      <c r="AP6" s="405"/>
      <c r="AQ6" s="405"/>
      <c r="AR6" s="406"/>
      <c r="AS6" s="407" t="s">
        <v>147</v>
      </c>
      <c r="AT6" s="415"/>
      <c r="AU6" s="415"/>
      <c r="AV6" s="415"/>
      <c r="AW6" s="415"/>
      <c r="AX6" s="415"/>
      <c r="AY6" s="415"/>
      <c r="AZ6" s="415"/>
      <c r="BA6" s="415"/>
      <c r="BB6" s="415"/>
      <c r="BC6" s="415"/>
      <c r="BD6" s="408"/>
    </row>
    <row r="7" spans="1:56" ht="14.4" customHeight="1">
      <c r="A7" s="427"/>
      <c r="B7" s="409"/>
      <c r="C7" s="416"/>
      <c r="D7" s="416"/>
      <c r="E7" s="416"/>
      <c r="F7" s="416"/>
      <c r="G7" s="416"/>
      <c r="H7" s="410"/>
      <c r="I7" s="409"/>
      <c r="J7" s="416"/>
      <c r="K7" s="416"/>
      <c r="L7" s="416"/>
      <c r="M7" s="416"/>
      <c r="N7" s="416"/>
      <c r="O7" s="416"/>
      <c r="P7" s="416"/>
      <c r="Q7" s="410"/>
      <c r="R7" s="409"/>
      <c r="S7" s="416"/>
      <c r="T7" s="416"/>
      <c r="U7" s="416"/>
      <c r="V7" s="416"/>
      <c r="W7" s="416"/>
      <c r="X7" s="410"/>
      <c r="Y7" s="409"/>
      <c r="Z7" s="410"/>
      <c r="AA7" s="409"/>
      <c r="AB7" s="416"/>
      <c r="AC7" s="410"/>
      <c r="AD7" s="412"/>
      <c r="AE7" s="414"/>
      <c r="AF7" s="412"/>
      <c r="AG7" s="412"/>
      <c r="AH7" s="412"/>
      <c r="AI7" s="52">
        <v>1</v>
      </c>
      <c r="AJ7" s="52">
        <v>2</v>
      </c>
      <c r="AK7" s="52">
        <v>3</v>
      </c>
      <c r="AL7" s="52">
        <v>4</v>
      </c>
      <c r="AM7" s="52">
        <v>5</v>
      </c>
      <c r="AN7" s="52">
        <v>6</v>
      </c>
      <c r="AO7" s="52">
        <v>7</v>
      </c>
      <c r="AP7" s="52">
        <v>8</v>
      </c>
      <c r="AQ7" s="52">
        <v>9</v>
      </c>
      <c r="AR7" s="52">
        <v>10</v>
      </c>
      <c r="AS7" s="409"/>
      <c r="AT7" s="416"/>
      <c r="AU7" s="416"/>
      <c r="AV7" s="416"/>
      <c r="AW7" s="416"/>
      <c r="AX7" s="416"/>
      <c r="AY7" s="416"/>
      <c r="AZ7" s="416"/>
      <c r="BA7" s="416"/>
      <c r="BB7" s="416"/>
      <c r="BC7" s="416"/>
      <c r="BD7" s="410"/>
    </row>
    <row r="8" spans="1:56" s="1" customFormat="1" ht="14.4" customHeight="1">
      <c r="A8" s="145">
        <f>IF(B8="","",COUNTA($B$8:B8))</f>
        <v>1</v>
      </c>
      <c r="B8" s="146" t="s">
        <v>148</v>
      </c>
      <c r="C8" s="129"/>
      <c r="D8" s="129"/>
      <c r="E8" s="129"/>
      <c r="F8" s="129"/>
      <c r="G8" s="129"/>
      <c r="H8" s="147"/>
      <c r="I8" s="128" t="s">
        <v>149</v>
      </c>
      <c r="J8" s="129"/>
      <c r="K8" s="129"/>
      <c r="L8" s="129"/>
      <c r="M8" s="129"/>
      <c r="N8" s="129"/>
      <c r="O8" s="129"/>
      <c r="P8" s="129"/>
      <c r="Q8" s="147"/>
      <c r="R8" s="146" t="s">
        <v>148</v>
      </c>
      <c r="S8" s="129"/>
      <c r="T8" s="129"/>
      <c r="U8" s="129"/>
      <c r="V8" s="129"/>
      <c r="W8" s="129"/>
      <c r="X8" s="148"/>
      <c r="Y8" s="451" t="s">
        <v>150</v>
      </c>
      <c r="Z8" s="452"/>
      <c r="AA8" s="448" t="s">
        <v>151</v>
      </c>
      <c r="AB8" s="449"/>
      <c r="AC8" s="450"/>
      <c r="AD8" s="139">
        <v>15</v>
      </c>
      <c r="AE8" s="124"/>
      <c r="AF8" s="124">
        <v>1</v>
      </c>
      <c r="AG8" s="133" t="s">
        <v>152</v>
      </c>
      <c r="AH8" s="133"/>
      <c r="AI8" s="133"/>
      <c r="AJ8" s="133"/>
      <c r="AK8" s="133"/>
      <c r="AL8" s="133"/>
      <c r="AM8" s="133"/>
      <c r="AN8" s="133"/>
      <c r="AO8" s="124"/>
      <c r="AP8" s="124"/>
      <c r="AQ8" s="124"/>
      <c r="AR8" s="124"/>
      <c r="AS8" s="192"/>
      <c r="AT8" s="193"/>
      <c r="AU8" s="193"/>
      <c r="AV8" s="193"/>
      <c r="AW8" s="193"/>
      <c r="AX8" s="193"/>
      <c r="AY8" s="193"/>
      <c r="AZ8" s="193"/>
      <c r="BA8" s="193"/>
      <c r="BB8" s="193"/>
      <c r="BC8" s="193"/>
      <c r="BD8" s="194"/>
    </row>
    <row r="9" spans="1:56" s="1" customFormat="1" ht="14.4" customHeight="1">
      <c r="A9" s="145">
        <f>IF(B9="","",COUNTA($B$8:B9))</f>
        <v>2</v>
      </c>
      <c r="B9" s="8" t="s">
        <v>153</v>
      </c>
      <c r="C9" s="127"/>
      <c r="D9" s="127"/>
      <c r="E9" s="127"/>
      <c r="F9" s="127"/>
      <c r="G9" s="127"/>
      <c r="H9" s="148"/>
      <c r="I9" s="128" t="s">
        <v>154</v>
      </c>
      <c r="J9" s="129"/>
      <c r="K9" s="129"/>
      <c r="L9" s="129"/>
      <c r="M9" s="129"/>
      <c r="N9" s="129"/>
      <c r="O9" s="129"/>
      <c r="P9" s="129"/>
      <c r="Q9" s="147"/>
      <c r="R9" s="8" t="s">
        <v>153</v>
      </c>
      <c r="S9" s="129"/>
      <c r="T9" s="129"/>
      <c r="U9" s="129"/>
      <c r="V9" s="129"/>
      <c r="W9" s="129"/>
      <c r="X9" s="148"/>
      <c r="Y9" s="451" t="s">
        <v>155</v>
      </c>
      <c r="Z9" s="452"/>
      <c r="AA9" s="448" t="s">
        <v>156</v>
      </c>
      <c r="AB9" s="449"/>
      <c r="AC9" s="450"/>
      <c r="AD9" s="139">
        <v>3</v>
      </c>
      <c r="AE9" s="124"/>
      <c r="AF9" s="124">
        <v>2</v>
      </c>
      <c r="AG9" s="133" t="s">
        <v>152</v>
      </c>
      <c r="AH9" s="133"/>
      <c r="AI9" s="133"/>
      <c r="AJ9" s="133"/>
      <c r="AK9" s="133"/>
      <c r="AL9" s="133"/>
      <c r="AM9" s="133"/>
      <c r="AN9" s="133"/>
      <c r="AO9" s="124"/>
      <c r="AP9" s="124"/>
      <c r="AQ9" s="124"/>
      <c r="AR9" s="124"/>
      <c r="AS9" s="131" t="s">
        <v>364</v>
      </c>
      <c r="AT9" s="137"/>
      <c r="AU9" s="137"/>
      <c r="AV9" s="137"/>
      <c r="AW9" s="137"/>
      <c r="AX9" s="137"/>
      <c r="AY9" s="137"/>
      <c r="AZ9" s="137"/>
      <c r="BA9" s="137"/>
      <c r="BB9" s="137"/>
      <c r="BC9" s="137"/>
      <c r="BD9" s="138"/>
    </row>
    <row r="10" spans="1:56" s="1" customFormat="1" ht="14.4" customHeight="1">
      <c r="A10" s="145">
        <f>IF(B10="","",COUNTA($B$8:B10))</f>
        <v>3</v>
      </c>
      <c r="B10" s="8" t="s">
        <v>157</v>
      </c>
      <c r="C10" s="127"/>
      <c r="D10" s="127"/>
      <c r="E10" s="127"/>
      <c r="F10" s="127"/>
      <c r="G10" s="127"/>
      <c r="H10" s="148"/>
      <c r="I10" s="128" t="s">
        <v>158</v>
      </c>
      <c r="J10" s="129"/>
      <c r="K10" s="129"/>
      <c r="L10" s="129"/>
      <c r="M10" s="129"/>
      <c r="N10" s="129"/>
      <c r="O10" s="129"/>
      <c r="P10" s="129"/>
      <c r="Q10" s="147"/>
      <c r="R10" s="8" t="s">
        <v>157</v>
      </c>
      <c r="S10" s="129"/>
      <c r="T10" s="129"/>
      <c r="U10" s="129"/>
      <c r="V10" s="129"/>
      <c r="W10" s="129"/>
      <c r="X10" s="148"/>
      <c r="Y10" s="451" t="s">
        <v>150</v>
      </c>
      <c r="Z10" s="452"/>
      <c r="AA10" s="448" t="s">
        <v>151</v>
      </c>
      <c r="AB10" s="449"/>
      <c r="AC10" s="450"/>
      <c r="AD10" s="139">
        <v>10</v>
      </c>
      <c r="AE10" s="124"/>
      <c r="AF10" s="124"/>
      <c r="AG10" s="124"/>
      <c r="AH10" s="133"/>
      <c r="AI10" s="133"/>
      <c r="AJ10" s="133"/>
      <c r="AK10" s="133"/>
      <c r="AL10" s="133"/>
      <c r="AM10" s="133"/>
      <c r="AN10" s="133"/>
      <c r="AO10" s="124"/>
      <c r="AP10" s="124"/>
      <c r="AQ10" s="124"/>
      <c r="AR10" s="124"/>
      <c r="AS10" s="131"/>
      <c r="AT10" s="137"/>
      <c r="AU10" s="137"/>
      <c r="AV10" s="137"/>
      <c r="AW10" s="137"/>
      <c r="AX10" s="137"/>
      <c r="AY10" s="137"/>
      <c r="AZ10" s="137"/>
      <c r="BA10" s="137"/>
      <c r="BB10" s="137"/>
      <c r="BC10" s="137"/>
      <c r="BD10" s="138"/>
    </row>
    <row r="11" spans="1:56" s="1" customFormat="1" ht="14.4" customHeight="1">
      <c r="A11" s="145">
        <f>IF(B11="","",COUNTA($B$8:B11))</f>
        <v>4</v>
      </c>
      <c r="B11" s="8" t="s">
        <v>159</v>
      </c>
      <c r="C11" s="127"/>
      <c r="D11" s="127"/>
      <c r="E11" s="127"/>
      <c r="F11" s="127"/>
      <c r="G11" s="127"/>
      <c r="H11" s="148"/>
      <c r="I11" s="128" t="s">
        <v>160</v>
      </c>
      <c r="J11" s="129"/>
      <c r="K11" s="129"/>
      <c r="L11" s="129"/>
      <c r="M11" s="129"/>
      <c r="N11" s="129"/>
      <c r="O11" s="129"/>
      <c r="P11" s="129"/>
      <c r="Q11" s="147"/>
      <c r="R11" s="8" t="s">
        <v>159</v>
      </c>
      <c r="S11" s="129"/>
      <c r="T11" s="129"/>
      <c r="U11" s="129"/>
      <c r="V11" s="129"/>
      <c r="W11" s="129"/>
      <c r="X11" s="148"/>
      <c r="Y11" s="451" t="s">
        <v>150</v>
      </c>
      <c r="Z11" s="452"/>
      <c r="AA11" s="448" t="s">
        <v>151</v>
      </c>
      <c r="AB11" s="449"/>
      <c r="AC11" s="450"/>
      <c r="AD11" s="139">
        <v>4</v>
      </c>
      <c r="AE11" s="124"/>
      <c r="AF11" s="124"/>
      <c r="AG11" s="124"/>
      <c r="AH11" s="133"/>
      <c r="AI11" s="133" t="s">
        <v>161</v>
      </c>
      <c r="AJ11" s="133"/>
      <c r="AK11" s="133"/>
      <c r="AL11" s="133"/>
      <c r="AM11" s="133"/>
      <c r="AN11" s="133"/>
      <c r="AO11" s="124"/>
      <c r="AP11" s="124"/>
      <c r="AQ11" s="124"/>
      <c r="AR11" s="124"/>
      <c r="AS11" s="131"/>
      <c r="AT11" s="137"/>
      <c r="AU11" s="137"/>
      <c r="AV11" s="137"/>
      <c r="AW11" s="137"/>
      <c r="AX11" s="137"/>
      <c r="AY11" s="137"/>
      <c r="AZ11" s="137"/>
      <c r="BA11" s="137"/>
      <c r="BB11" s="137"/>
      <c r="BC11" s="137"/>
      <c r="BD11" s="138"/>
    </row>
    <row r="12" spans="1:56" s="1" customFormat="1" ht="14.4" customHeight="1">
      <c r="A12" s="145">
        <f>IF(B12="","",COUNTA($B$8:B12))</f>
        <v>5</v>
      </c>
      <c r="B12" s="195" t="s">
        <v>162</v>
      </c>
      <c r="D12" s="127"/>
      <c r="E12" s="127"/>
      <c r="F12" s="127"/>
      <c r="G12" s="127"/>
      <c r="H12" s="148"/>
      <c r="I12" s="195" t="s">
        <v>163</v>
      </c>
      <c r="J12" s="129"/>
      <c r="K12" s="129"/>
      <c r="L12" s="129"/>
      <c r="M12" s="129"/>
      <c r="N12" s="129"/>
      <c r="O12" s="129"/>
      <c r="P12" s="129"/>
      <c r="Q12" s="147"/>
      <c r="R12" s="8" t="s">
        <v>164</v>
      </c>
      <c r="S12" s="129"/>
      <c r="T12" s="129"/>
      <c r="U12" s="129"/>
      <c r="V12" s="129"/>
      <c r="W12" s="129"/>
      <c r="X12" s="148"/>
      <c r="Y12" s="451" t="s">
        <v>150</v>
      </c>
      <c r="Z12" s="452"/>
      <c r="AA12" s="448" t="s">
        <v>151</v>
      </c>
      <c r="AB12" s="449"/>
      <c r="AC12" s="450"/>
      <c r="AD12" s="139">
        <v>4</v>
      </c>
      <c r="AE12" s="124"/>
      <c r="AF12" s="124"/>
      <c r="AG12" s="124"/>
      <c r="AH12" s="133"/>
      <c r="AI12" s="133" t="s">
        <v>165</v>
      </c>
      <c r="AJ12" s="133"/>
      <c r="AK12" s="133"/>
      <c r="AL12" s="133"/>
      <c r="AM12" s="133"/>
      <c r="AN12" s="133"/>
      <c r="AO12" s="124"/>
      <c r="AP12" s="124"/>
      <c r="AQ12" s="124"/>
      <c r="AR12" s="124"/>
      <c r="AS12" s="131"/>
      <c r="AT12" s="137"/>
      <c r="AU12" s="137"/>
      <c r="AV12" s="137"/>
      <c r="AW12" s="137"/>
      <c r="AX12" s="137"/>
      <c r="AY12" s="137"/>
      <c r="AZ12" s="137"/>
      <c r="BA12" s="137"/>
      <c r="BB12" s="137"/>
      <c r="BC12" s="137"/>
      <c r="BD12" s="138"/>
    </row>
    <row r="13" spans="1:56" s="1" customFormat="1" ht="14.4" customHeight="1">
      <c r="A13" s="145">
        <f>IF(B13="","",COUNTA($B$8:B13))</f>
        <v>6</v>
      </c>
      <c r="B13" s="8" t="s">
        <v>166</v>
      </c>
      <c r="C13" s="127"/>
      <c r="D13" s="127"/>
      <c r="E13" s="127"/>
      <c r="F13" s="127"/>
      <c r="G13" s="127"/>
      <c r="H13" s="148"/>
      <c r="I13" s="128" t="s">
        <v>167</v>
      </c>
      <c r="J13" s="129"/>
      <c r="K13" s="129"/>
      <c r="L13" s="129"/>
      <c r="M13" s="129"/>
      <c r="N13" s="129"/>
      <c r="O13" s="129"/>
      <c r="P13" s="129"/>
      <c r="Q13" s="147"/>
      <c r="R13" s="8" t="s">
        <v>168</v>
      </c>
      <c r="S13" s="129"/>
      <c r="T13" s="129"/>
      <c r="U13" s="129"/>
      <c r="V13" s="129"/>
      <c r="W13" s="129"/>
      <c r="X13" s="148"/>
      <c r="Y13" s="8" t="s">
        <v>169</v>
      </c>
      <c r="Z13" s="132"/>
      <c r="AA13" s="448" t="s">
        <v>170</v>
      </c>
      <c r="AB13" s="449"/>
      <c r="AC13" s="450"/>
      <c r="AD13" s="139"/>
      <c r="AE13" s="124"/>
      <c r="AF13" s="124"/>
      <c r="AG13" s="124"/>
      <c r="AH13" s="133"/>
      <c r="AI13" s="133" t="s">
        <v>171</v>
      </c>
      <c r="AJ13" s="133"/>
      <c r="AK13" s="133"/>
      <c r="AL13" s="133"/>
      <c r="AM13" s="133"/>
      <c r="AN13" s="133"/>
      <c r="AO13" s="124"/>
      <c r="AP13" s="124"/>
      <c r="AQ13" s="124"/>
      <c r="AR13" s="124"/>
      <c r="AS13" s="131"/>
      <c r="AT13" s="137"/>
      <c r="AU13" s="137"/>
      <c r="AV13" s="137"/>
      <c r="AW13" s="137"/>
      <c r="AX13" s="137"/>
      <c r="AY13" s="137"/>
      <c r="AZ13" s="137"/>
      <c r="BA13" s="137"/>
      <c r="BB13" s="137"/>
      <c r="BC13" s="137"/>
      <c r="BD13" s="138"/>
    </row>
    <row r="14" spans="1:56" s="1" customFormat="1" ht="14.4" customHeight="1">
      <c r="A14" s="145">
        <f>IF(B14="","",COUNTA($B$8:B14))</f>
        <v>7</v>
      </c>
      <c r="B14" s="8" t="s">
        <v>174</v>
      </c>
      <c r="C14" s="127"/>
      <c r="D14" s="127"/>
      <c r="E14" s="127"/>
      <c r="F14" s="127"/>
      <c r="G14" s="127"/>
      <c r="H14" s="148"/>
      <c r="I14" s="128" t="s">
        <v>175</v>
      </c>
      <c r="J14" s="129"/>
      <c r="K14" s="129"/>
      <c r="L14" s="129"/>
      <c r="M14" s="129"/>
      <c r="N14" s="129"/>
      <c r="O14" s="129"/>
      <c r="P14" s="129"/>
      <c r="Q14" s="147"/>
      <c r="R14" s="8" t="s">
        <v>176</v>
      </c>
      <c r="S14" s="129"/>
      <c r="T14" s="129"/>
      <c r="U14" s="129"/>
      <c r="V14" s="129"/>
      <c r="W14" s="129"/>
      <c r="X14" s="148"/>
      <c r="Y14" s="8" t="s">
        <v>169</v>
      </c>
      <c r="Z14" s="132"/>
      <c r="AA14" s="448" t="s">
        <v>170</v>
      </c>
      <c r="AB14" s="449"/>
      <c r="AC14" s="450"/>
      <c r="AD14" s="188"/>
      <c r="AE14" s="124"/>
      <c r="AF14" s="124"/>
      <c r="AG14" s="124"/>
      <c r="AH14" s="133"/>
      <c r="AI14" s="133" t="s">
        <v>173</v>
      </c>
      <c r="AJ14" s="133"/>
      <c r="AK14" s="133"/>
      <c r="AL14" s="133"/>
      <c r="AM14" s="133"/>
      <c r="AN14" s="133"/>
      <c r="AO14" s="124"/>
      <c r="AP14" s="124"/>
      <c r="AQ14" s="124"/>
      <c r="AR14" s="124"/>
      <c r="AS14" s="233"/>
      <c r="AT14" s="220"/>
      <c r="AU14" s="220"/>
      <c r="AV14" s="220"/>
      <c r="AW14" s="220"/>
      <c r="AX14" s="220"/>
      <c r="AY14" s="137"/>
      <c r="AZ14" s="137"/>
      <c r="BA14" s="137"/>
      <c r="BB14" s="137"/>
      <c r="BC14" s="137"/>
      <c r="BD14" s="138"/>
    </row>
    <row r="15" spans="1:56" s="1" customFormat="1" ht="14.4" customHeight="1">
      <c r="A15" s="145">
        <f>IF(B15="","",COUNTA($B$8:B15))</f>
        <v>8</v>
      </c>
      <c r="B15" s="8" t="s">
        <v>172</v>
      </c>
      <c r="C15" s="127"/>
      <c r="D15" s="127"/>
      <c r="E15" s="127"/>
      <c r="F15" s="127"/>
      <c r="G15" s="127"/>
      <c r="H15" s="148"/>
      <c r="I15" s="128" t="s">
        <v>177</v>
      </c>
      <c r="J15" s="129"/>
      <c r="K15" s="129"/>
      <c r="L15" s="129"/>
      <c r="M15" s="129"/>
      <c r="N15" s="129"/>
      <c r="O15" s="129"/>
      <c r="P15" s="129"/>
      <c r="Q15" s="147"/>
      <c r="R15" s="8" t="s">
        <v>172</v>
      </c>
      <c r="S15" s="129"/>
      <c r="T15" s="129"/>
      <c r="U15" s="129"/>
      <c r="V15" s="129"/>
      <c r="W15" s="129"/>
      <c r="X15" s="148"/>
      <c r="Y15" s="8" t="s">
        <v>155</v>
      </c>
      <c r="Z15" s="132"/>
      <c r="AA15" s="448" t="s">
        <v>156</v>
      </c>
      <c r="AB15" s="449"/>
      <c r="AC15" s="450"/>
      <c r="AD15" s="188">
        <v>5</v>
      </c>
      <c r="AE15" s="124">
        <v>1</v>
      </c>
      <c r="AF15" s="124"/>
      <c r="AG15" s="124"/>
      <c r="AH15" s="133"/>
      <c r="AI15" s="133"/>
      <c r="AJ15" s="133"/>
      <c r="AK15" s="133"/>
      <c r="AL15" s="133"/>
      <c r="AM15" s="133"/>
      <c r="AN15" s="133"/>
      <c r="AO15" s="124"/>
      <c r="AP15" s="124"/>
      <c r="AQ15" s="124"/>
      <c r="AR15" s="124"/>
      <c r="AS15" s="233"/>
      <c r="AT15" s="220"/>
      <c r="AU15" s="220"/>
      <c r="AV15" s="220"/>
      <c r="AW15" s="220"/>
      <c r="AX15" s="220"/>
      <c r="AY15" s="137"/>
      <c r="AZ15" s="137"/>
      <c r="BA15" s="137"/>
      <c r="BB15" s="137"/>
      <c r="BC15" s="137"/>
      <c r="BD15" s="138"/>
    </row>
    <row r="16" spans="1:56" s="1" customFormat="1" ht="14.4" customHeight="1">
      <c r="A16" s="145">
        <f>IF(B16="","",COUNTA($B$8:B16))</f>
        <v>9</v>
      </c>
      <c r="B16" s="8" t="s">
        <v>178</v>
      </c>
      <c r="C16" s="127"/>
      <c r="D16" s="127"/>
      <c r="E16" s="127"/>
      <c r="F16" s="127"/>
      <c r="G16" s="127"/>
      <c r="H16" s="148"/>
      <c r="I16" s="128" t="s">
        <v>179</v>
      </c>
      <c r="J16" s="129"/>
      <c r="K16" s="129"/>
      <c r="L16" s="129"/>
      <c r="M16" s="129"/>
      <c r="N16" s="129"/>
      <c r="O16" s="129"/>
      <c r="P16" s="129"/>
      <c r="Q16" s="147"/>
      <c r="R16" s="8" t="s">
        <v>178</v>
      </c>
      <c r="S16" s="129"/>
      <c r="T16" s="129"/>
      <c r="U16" s="129"/>
      <c r="V16" s="129"/>
      <c r="W16" s="129"/>
      <c r="X16" s="148"/>
      <c r="Y16" s="451" t="s">
        <v>150</v>
      </c>
      <c r="Z16" s="452"/>
      <c r="AA16" s="448" t="s">
        <v>151</v>
      </c>
      <c r="AB16" s="449"/>
      <c r="AC16" s="450"/>
      <c r="AD16" s="139">
        <v>20</v>
      </c>
      <c r="AE16" s="124"/>
      <c r="AF16" s="124"/>
      <c r="AG16" s="124"/>
      <c r="AH16" s="133"/>
      <c r="AI16" s="133"/>
      <c r="AJ16" s="133"/>
      <c r="AK16" s="133"/>
      <c r="AL16" s="133"/>
      <c r="AM16" s="133"/>
      <c r="AN16" s="133"/>
      <c r="AO16" s="124"/>
      <c r="AP16" s="124"/>
      <c r="AQ16" s="124"/>
      <c r="AR16" s="124"/>
      <c r="AS16" s="233" t="s">
        <v>180</v>
      </c>
      <c r="AT16" s="220"/>
      <c r="AU16" s="220"/>
      <c r="AV16" s="220"/>
      <c r="AW16" s="220"/>
      <c r="AX16" s="220"/>
      <c r="AY16" s="137"/>
      <c r="AZ16" s="137"/>
      <c r="BA16" s="137"/>
      <c r="BB16" s="137"/>
      <c r="BC16" s="137"/>
      <c r="BD16" s="138"/>
    </row>
    <row r="17" spans="1:57" s="1" customFormat="1" ht="14.4" customHeight="1">
      <c r="A17" s="145">
        <f>IF(B17="","",COUNTA($B$8:B17))</f>
        <v>10</v>
      </c>
      <c r="B17" s="8" t="s">
        <v>181</v>
      </c>
      <c r="C17" s="127"/>
      <c r="D17" s="127"/>
      <c r="E17" s="127"/>
      <c r="F17" s="127"/>
      <c r="G17" s="127"/>
      <c r="H17" s="148"/>
      <c r="I17" s="128" t="s">
        <v>182</v>
      </c>
      <c r="J17" s="129"/>
      <c r="K17" s="129"/>
      <c r="L17" s="129"/>
      <c r="M17" s="129"/>
      <c r="N17" s="129"/>
      <c r="O17" s="129"/>
      <c r="P17" s="129"/>
      <c r="Q17" s="147"/>
      <c r="R17" s="8" t="s">
        <v>181</v>
      </c>
      <c r="S17" s="129"/>
      <c r="T17" s="129"/>
      <c r="U17" s="129"/>
      <c r="V17" s="129"/>
      <c r="W17" s="129"/>
      <c r="X17" s="147"/>
      <c r="Y17" s="451" t="s">
        <v>150</v>
      </c>
      <c r="Z17" s="452"/>
      <c r="AA17" s="448" t="s">
        <v>151</v>
      </c>
      <c r="AB17" s="449"/>
      <c r="AC17" s="450"/>
      <c r="AD17" s="139">
        <v>30</v>
      </c>
      <c r="AE17" s="124"/>
      <c r="AF17" s="124"/>
      <c r="AG17" s="124"/>
      <c r="AH17" s="133"/>
      <c r="AI17" s="133"/>
      <c r="AJ17" s="133"/>
      <c r="AK17" s="133"/>
      <c r="AL17" s="133"/>
      <c r="AM17" s="133"/>
      <c r="AN17" s="133"/>
      <c r="AO17" s="124"/>
      <c r="AP17" s="124"/>
      <c r="AQ17" s="124"/>
      <c r="AR17" s="124"/>
      <c r="AS17" s="233" t="s">
        <v>1475</v>
      </c>
      <c r="AT17" s="220"/>
      <c r="AU17" s="220"/>
      <c r="AV17" s="220"/>
      <c r="AW17" s="220"/>
      <c r="AX17" s="220"/>
      <c r="AY17" s="137"/>
      <c r="AZ17" s="137"/>
      <c r="BA17" s="137"/>
      <c r="BB17" s="137"/>
      <c r="BC17" s="137"/>
      <c r="BD17" s="138"/>
    </row>
    <row r="18" spans="1:57" s="1" customFormat="1" ht="14.4" customHeight="1">
      <c r="A18" s="145">
        <f>IF(B18="","",COUNTA($B$8:B18))</f>
        <v>11</v>
      </c>
      <c r="B18" s="8" t="s">
        <v>183</v>
      </c>
      <c r="C18" s="127"/>
      <c r="D18" s="127"/>
      <c r="E18" s="127"/>
      <c r="F18" s="127"/>
      <c r="G18" s="127"/>
      <c r="H18" s="148"/>
      <c r="I18" s="128" t="s">
        <v>184</v>
      </c>
      <c r="J18" s="129"/>
      <c r="K18" s="129"/>
      <c r="L18" s="129"/>
      <c r="M18" s="129"/>
      <c r="N18" s="129"/>
      <c r="O18" s="129"/>
      <c r="P18" s="129"/>
      <c r="Q18" s="147"/>
      <c r="R18" s="8" t="s">
        <v>183</v>
      </c>
      <c r="S18" s="129"/>
      <c r="T18" s="129"/>
      <c r="U18" s="129"/>
      <c r="V18" s="129"/>
      <c r="W18" s="129"/>
      <c r="X18" s="148"/>
      <c r="Y18" s="451" t="s">
        <v>150</v>
      </c>
      <c r="Z18" s="452"/>
      <c r="AA18" s="448" t="s">
        <v>151</v>
      </c>
      <c r="AB18" s="449"/>
      <c r="AC18" s="450"/>
      <c r="AD18" s="139">
        <v>1000</v>
      </c>
      <c r="AE18" s="124"/>
      <c r="AF18" s="124"/>
      <c r="AG18" s="124"/>
      <c r="AH18" s="133"/>
      <c r="AI18" s="133"/>
      <c r="AJ18" s="133"/>
      <c r="AK18" s="133"/>
      <c r="AL18" s="133"/>
      <c r="AM18" s="133"/>
      <c r="AN18" s="133"/>
      <c r="AO18" s="124"/>
      <c r="AP18" s="124"/>
      <c r="AQ18" s="124"/>
      <c r="AR18" s="124"/>
      <c r="AS18" s="233"/>
      <c r="AT18" s="220"/>
      <c r="AU18" s="220"/>
      <c r="AV18" s="220"/>
      <c r="AW18" s="220"/>
      <c r="AX18" s="220"/>
      <c r="AY18" s="137"/>
      <c r="AZ18" s="137"/>
      <c r="BA18" s="137"/>
      <c r="BB18" s="137"/>
      <c r="BC18" s="137"/>
      <c r="BD18" s="138"/>
    </row>
    <row r="19" spans="1:57" s="1" customFormat="1" ht="14.4" customHeight="1">
      <c r="A19" s="145">
        <f>IF(B19="","",COUNTA($B$8:B19))</f>
        <v>12</v>
      </c>
      <c r="B19" s="8" t="s">
        <v>185</v>
      </c>
      <c r="C19" s="127"/>
      <c r="D19" s="127"/>
      <c r="E19" s="127"/>
      <c r="F19" s="127"/>
      <c r="G19" s="127"/>
      <c r="H19" s="148"/>
      <c r="I19" s="128" t="s">
        <v>186</v>
      </c>
      <c r="J19" s="129"/>
      <c r="K19" s="129"/>
      <c r="L19" s="129"/>
      <c r="M19" s="129"/>
      <c r="N19" s="129"/>
      <c r="O19" s="129"/>
      <c r="P19" s="129"/>
      <c r="Q19" s="147"/>
      <c r="R19" s="8" t="s">
        <v>185</v>
      </c>
      <c r="S19" s="129"/>
      <c r="T19" s="129"/>
      <c r="U19" s="129"/>
      <c r="V19" s="129"/>
      <c r="W19" s="129"/>
      <c r="X19" s="148"/>
      <c r="Y19" s="451" t="s">
        <v>150</v>
      </c>
      <c r="Z19" s="452"/>
      <c r="AA19" s="448" t="s">
        <v>151</v>
      </c>
      <c r="AB19" s="449"/>
      <c r="AC19" s="450"/>
      <c r="AD19" s="139">
        <v>75</v>
      </c>
      <c r="AE19" s="124"/>
      <c r="AF19" s="124"/>
      <c r="AG19" s="124"/>
      <c r="AH19" s="133"/>
      <c r="AI19" s="133"/>
      <c r="AJ19" s="133" t="s">
        <v>161</v>
      </c>
      <c r="AK19" s="133"/>
      <c r="AL19" s="133"/>
      <c r="AM19" s="133"/>
      <c r="AN19" s="133"/>
      <c r="AO19" s="124"/>
      <c r="AP19" s="124"/>
      <c r="AQ19" s="124"/>
      <c r="AR19" s="124"/>
      <c r="AS19" s="233" t="s">
        <v>1468</v>
      </c>
      <c r="AT19" s="220"/>
      <c r="AU19" s="220"/>
      <c r="AV19" s="220"/>
      <c r="AW19" s="220"/>
      <c r="AX19" s="220"/>
      <c r="AY19" s="137"/>
      <c r="AZ19" s="137"/>
      <c r="BA19" s="137"/>
      <c r="BB19" s="137"/>
      <c r="BC19" s="137"/>
      <c r="BD19" s="138"/>
      <c r="BE19" s="1" t="s">
        <v>1480</v>
      </c>
    </row>
    <row r="20" spans="1:57" s="1" customFormat="1" ht="14.4" customHeight="1">
      <c r="A20" s="145">
        <f>IF(B20="","",COUNTA($B$8:B20))</f>
        <v>13</v>
      </c>
      <c r="B20" s="8" t="s">
        <v>187</v>
      </c>
      <c r="C20" s="127"/>
      <c r="D20" s="127"/>
      <c r="E20" s="127"/>
      <c r="F20" s="127"/>
      <c r="G20" s="127"/>
      <c r="H20" s="148"/>
      <c r="I20" s="128" t="s">
        <v>188</v>
      </c>
      <c r="J20" s="129"/>
      <c r="K20" s="129"/>
      <c r="L20" s="129"/>
      <c r="M20" s="129"/>
      <c r="N20" s="129"/>
      <c r="O20" s="129"/>
      <c r="P20" s="129"/>
      <c r="Q20" s="147"/>
      <c r="R20" s="8" t="s">
        <v>187</v>
      </c>
      <c r="S20" s="129"/>
      <c r="T20" s="129"/>
      <c r="U20" s="129"/>
      <c r="V20" s="129"/>
      <c r="W20" s="129"/>
      <c r="X20" s="148"/>
      <c r="Y20" s="451" t="s">
        <v>155</v>
      </c>
      <c r="Z20" s="452"/>
      <c r="AA20" s="448" t="s">
        <v>156</v>
      </c>
      <c r="AB20" s="449"/>
      <c r="AC20" s="450"/>
      <c r="AD20" s="139">
        <v>3</v>
      </c>
      <c r="AE20" s="124"/>
      <c r="AF20" s="124"/>
      <c r="AG20" s="124"/>
      <c r="AH20" s="134"/>
      <c r="AI20" s="134"/>
      <c r="AJ20" s="134"/>
      <c r="AK20" s="134"/>
      <c r="AL20" s="134"/>
      <c r="AM20" s="134"/>
      <c r="AN20" s="134"/>
      <c r="AO20" s="135"/>
      <c r="AP20" s="135"/>
      <c r="AQ20" s="135"/>
      <c r="AR20" s="135"/>
      <c r="AS20" s="254"/>
      <c r="AT20" s="259"/>
      <c r="AU20" s="220"/>
      <c r="AV20" s="220"/>
      <c r="AW20" s="220"/>
      <c r="AX20" s="260"/>
      <c r="AY20" s="186"/>
      <c r="AZ20" s="186"/>
      <c r="BA20" s="186"/>
      <c r="BB20" s="186"/>
      <c r="BC20" s="186"/>
      <c r="BD20" s="187"/>
    </row>
    <row r="21" spans="1:57" s="1" customFormat="1" ht="14.4" customHeight="1">
      <c r="A21" s="145">
        <f>IF(B21="","",COUNTA($B$8:B21))</f>
        <v>14</v>
      </c>
      <c r="B21" s="8" t="s">
        <v>189</v>
      </c>
      <c r="C21" s="127"/>
      <c r="D21" s="127"/>
      <c r="E21" s="127"/>
      <c r="F21" s="127"/>
      <c r="G21" s="127"/>
      <c r="H21" s="148"/>
      <c r="I21" s="128" t="s">
        <v>190</v>
      </c>
      <c r="J21" s="129"/>
      <c r="K21" s="129"/>
      <c r="L21" s="129"/>
      <c r="M21" s="129"/>
      <c r="N21" s="129"/>
      <c r="O21" s="129"/>
      <c r="P21" s="129"/>
      <c r="Q21" s="147"/>
      <c r="R21" s="8" t="s">
        <v>189</v>
      </c>
      <c r="S21" s="129"/>
      <c r="T21" s="129"/>
      <c r="U21" s="129"/>
      <c r="V21" s="129"/>
      <c r="W21" s="129"/>
      <c r="X21" s="148"/>
      <c r="Y21" s="451" t="s">
        <v>155</v>
      </c>
      <c r="Z21" s="452"/>
      <c r="AA21" s="448" t="s">
        <v>156</v>
      </c>
      <c r="AB21" s="449"/>
      <c r="AC21" s="450"/>
      <c r="AD21" s="139">
        <v>3</v>
      </c>
      <c r="AE21" s="135"/>
      <c r="AF21" s="135"/>
      <c r="AG21" s="134"/>
      <c r="AH21" s="134">
        <v>0</v>
      </c>
      <c r="AI21" s="134"/>
      <c r="AJ21" s="134"/>
      <c r="AK21" s="134"/>
      <c r="AL21" s="134"/>
      <c r="AM21" s="134"/>
      <c r="AN21" s="134"/>
      <c r="AO21" s="135"/>
      <c r="AP21" s="135"/>
      <c r="AQ21" s="135"/>
      <c r="AR21" s="135"/>
      <c r="AS21" s="254" t="s">
        <v>191</v>
      </c>
      <c r="AT21" s="259"/>
      <c r="AU21" s="220"/>
      <c r="AV21" s="220"/>
      <c r="AW21" s="220"/>
      <c r="AX21" s="220"/>
      <c r="AY21" s="137"/>
      <c r="AZ21" s="137"/>
      <c r="BA21" s="137"/>
      <c r="BB21" s="137"/>
      <c r="BC21" s="137"/>
      <c r="BD21" s="138"/>
    </row>
    <row r="22" spans="1:57" s="1" customFormat="1" ht="14.4" customHeight="1">
      <c r="A22" s="145" t="str">
        <f>IF(B22="","",COUNTA($B$8:B22))</f>
        <v/>
      </c>
      <c r="B22" s="8"/>
      <c r="C22" s="127"/>
      <c r="D22" s="127"/>
      <c r="E22" s="127"/>
      <c r="F22" s="127"/>
      <c r="G22" s="127"/>
      <c r="H22" s="148"/>
      <c r="I22" s="128"/>
      <c r="J22" s="129"/>
      <c r="K22" s="129"/>
      <c r="L22" s="129"/>
      <c r="M22" s="129"/>
      <c r="N22" s="129"/>
      <c r="O22" s="129"/>
      <c r="P22" s="129"/>
      <c r="Q22" s="147"/>
      <c r="R22" s="8"/>
      <c r="S22" s="129"/>
      <c r="T22" s="129"/>
      <c r="U22" s="129"/>
      <c r="V22" s="129"/>
      <c r="W22" s="129"/>
      <c r="X22" s="148"/>
      <c r="Y22" s="451"/>
      <c r="Z22" s="452"/>
      <c r="AA22" s="448"/>
      <c r="AB22" s="449"/>
      <c r="AC22" s="450"/>
      <c r="AD22" s="139"/>
      <c r="AE22" s="135"/>
      <c r="AF22" s="135"/>
      <c r="AG22" s="134"/>
      <c r="AH22" s="134"/>
      <c r="AI22" s="134"/>
      <c r="AJ22" s="134"/>
      <c r="AK22" s="134"/>
      <c r="AL22" s="134"/>
      <c r="AM22" s="134"/>
      <c r="AN22" s="134"/>
      <c r="AO22" s="135"/>
      <c r="AP22" s="135"/>
      <c r="AQ22" s="135"/>
      <c r="AR22" s="135"/>
      <c r="AS22" s="254" t="s">
        <v>192</v>
      </c>
      <c r="AT22" s="259"/>
      <c r="AU22" s="220"/>
      <c r="AV22" s="220"/>
      <c r="AW22" s="220"/>
      <c r="AX22" s="220"/>
      <c r="AY22" s="137"/>
      <c r="AZ22" s="137"/>
      <c r="BA22" s="137"/>
      <c r="BB22" s="137"/>
      <c r="BC22" s="137"/>
      <c r="BD22" s="138"/>
    </row>
    <row r="23" spans="1:57" s="1" customFormat="1" ht="14.4" customHeight="1">
      <c r="A23" s="145">
        <f>IF(B23="","",COUNTA($B$8:B23))</f>
        <v>15</v>
      </c>
      <c r="B23" s="64" t="s">
        <v>193</v>
      </c>
      <c r="C23" s="2"/>
      <c r="D23" s="2"/>
      <c r="E23" s="2"/>
      <c r="F23" s="2"/>
      <c r="G23" s="2"/>
      <c r="H23" s="3"/>
      <c r="I23" s="128" t="s">
        <v>194</v>
      </c>
      <c r="J23" s="129"/>
      <c r="K23" s="129"/>
      <c r="L23" s="129"/>
      <c r="M23" s="129"/>
      <c r="N23" s="129"/>
      <c r="O23" s="129"/>
      <c r="P23" s="129"/>
      <c r="Q23" s="147"/>
      <c r="R23" s="64" t="s">
        <v>193</v>
      </c>
      <c r="S23" s="129"/>
      <c r="T23" s="129"/>
      <c r="U23" s="129"/>
      <c r="V23" s="129"/>
      <c r="W23" s="129"/>
      <c r="X23" s="148"/>
      <c r="Y23" s="451" t="s">
        <v>150</v>
      </c>
      <c r="Z23" s="452"/>
      <c r="AA23" s="448" t="s">
        <v>151</v>
      </c>
      <c r="AB23" s="449"/>
      <c r="AC23" s="450"/>
      <c r="AD23" s="139">
        <v>25</v>
      </c>
      <c r="AE23" s="124"/>
      <c r="AF23" s="124"/>
      <c r="AG23" s="124"/>
      <c r="AH23" s="133"/>
      <c r="AI23" s="133"/>
      <c r="AJ23" s="133"/>
      <c r="AK23" s="133"/>
      <c r="AL23" s="133"/>
      <c r="AM23" s="133"/>
      <c r="AN23" s="133"/>
      <c r="AO23" s="124"/>
      <c r="AP23" s="124"/>
      <c r="AQ23" s="124"/>
      <c r="AR23" s="124"/>
      <c r="AS23" s="233" t="s">
        <v>1469</v>
      </c>
      <c r="AT23" s="260"/>
      <c r="AU23" s="260"/>
      <c r="AV23" s="260"/>
      <c r="AW23" s="260"/>
      <c r="AX23" s="260"/>
      <c r="AY23" s="186"/>
      <c r="AZ23" s="186"/>
      <c r="BA23" s="186"/>
      <c r="BB23" s="186"/>
      <c r="BC23" s="186"/>
      <c r="BD23" s="187"/>
      <c r="BE23" s="1" t="s">
        <v>1480</v>
      </c>
    </row>
    <row r="24" spans="1:57" s="1" customFormat="1" ht="14.4" customHeight="1">
      <c r="A24" s="145">
        <f>IF(B24="","",COUNTA($B$8:B24))</f>
        <v>16</v>
      </c>
      <c r="B24" s="8" t="s">
        <v>195</v>
      </c>
      <c r="C24" s="127"/>
      <c r="D24" s="127"/>
      <c r="E24" s="127"/>
      <c r="F24" s="127"/>
      <c r="G24" s="127"/>
      <c r="H24" s="148"/>
      <c r="I24" s="128" t="s">
        <v>196</v>
      </c>
      <c r="J24" s="129"/>
      <c r="K24" s="129"/>
      <c r="L24" s="129"/>
      <c r="M24" s="129"/>
      <c r="N24" s="129"/>
      <c r="O24" s="129"/>
      <c r="P24" s="129"/>
      <c r="Q24" s="147"/>
      <c r="R24" s="8" t="s">
        <v>195</v>
      </c>
      <c r="S24" s="129"/>
      <c r="T24" s="129"/>
      <c r="U24" s="129"/>
      <c r="V24" s="129"/>
      <c r="W24" s="129"/>
      <c r="X24" s="148"/>
      <c r="Y24" s="451" t="s">
        <v>150</v>
      </c>
      <c r="Z24" s="452"/>
      <c r="AA24" s="448" t="s">
        <v>151</v>
      </c>
      <c r="AB24" s="449"/>
      <c r="AC24" s="450"/>
      <c r="AD24" s="139">
        <v>30</v>
      </c>
      <c r="AE24" s="124"/>
      <c r="AF24" s="124"/>
      <c r="AG24" s="124"/>
      <c r="AH24" s="133"/>
      <c r="AI24" s="133"/>
      <c r="AJ24" s="133"/>
      <c r="AK24" s="133"/>
      <c r="AL24" s="133"/>
      <c r="AM24" s="133"/>
      <c r="AN24" s="133"/>
      <c r="AO24" s="124"/>
      <c r="AP24" s="124"/>
      <c r="AQ24" s="124"/>
      <c r="AR24" s="124"/>
      <c r="AS24" s="233"/>
      <c r="AT24" s="220"/>
      <c r="AU24" s="220"/>
      <c r="AV24" s="220"/>
      <c r="AW24" s="220"/>
      <c r="AX24" s="220"/>
      <c r="AY24" s="137"/>
      <c r="AZ24" s="137"/>
      <c r="BA24" s="137"/>
      <c r="BB24" s="137"/>
      <c r="BC24" s="137"/>
      <c r="BD24" s="138"/>
    </row>
    <row r="25" spans="1:57" s="1" customFormat="1" ht="14.4" customHeight="1">
      <c r="A25" s="145">
        <f>IF(B25="","",COUNTA($B$8:B25))</f>
        <v>17</v>
      </c>
      <c r="B25" s="8" t="s">
        <v>197</v>
      </c>
      <c r="C25" s="127"/>
      <c r="D25" s="127"/>
      <c r="E25" s="127"/>
      <c r="F25" s="127"/>
      <c r="G25" s="127"/>
      <c r="H25" s="148"/>
      <c r="I25" s="128" t="s">
        <v>198</v>
      </c>
      <c r="J25" s="129"/>
      <c r="K25" s="129"/>
      <c r="L25" s="129"/>
      <c r="M25" s="129"/>
      <c r="N25" s="129"/>
      <c r="O25" s="129"/>
      <c r="P25" s="129"/>
      <c r="Q25" s="147"/>
      <c r="R25" s="8" t="s">
        <v>197</v>
      </c>
      <c r="S25" s="129"/>
      <c r="T25" s="129"/>
      <c r="U25" s="129"/>
      <c r="V25" s="129"/>
      <c r="W25" s="129"/>
      <c r="X25" s="148"/>
      <c r="Y25" s="451" t="s">
        <v>150</v>
      </c>
      <c r="Z25" s="452"/>
      <c r="AA25" s="448" t="s">
        <v>151</v>
      </c>
      <c r="AB25" s="449"/>
      <c r="AC25" s="450"/>
      <c r="AD25" s="139">
        <v>5</v>
      </c>
      <c r="AE25" s="124"/>
      <c r="AF25" s="124"/>
      <c r="AG25" s="124"/>
      <c r="AH25" s="133"/>
      <c r="AI25" s="133"/>
      <c r="AJ25" s="133"/>
      <c r="AK25" s="133"/>
      <c r="AL25" s="133"/>
      <c r="AM25" s="133"/>
      <c r="AN25" s="133"/>
      <c r="AO25" s="124"/>
      <c r="AP25" s="124"/>
      <c r="AQ25" s="124"/>
      <c r="AR25" s="124"/>
      <c r="AS25" s="233"/>
      <c r="AT25" s="220"/>
      <c r="AU25" s="220"/>
      <c r="AV25" s="220"/>
      <c r="AW25" s="220"/>
      <c r="AX25" s="220"/>
      <c r="AY25" s="137"/>
      <c r="AZ25" s="137"/>
      <c r="BA25" s="137"/>
      <c r="BB25" s="137"/>
      <c r="BC25" s="137"/>
      <c r="BD25" s="138"/>
    </row>
    <row r="26" spans="1:57" s="1" customFormat="1" ht="14.4" customHeight="1">
      <c r="A26" s="145">
        <f>IF(B26="","",COUNTA($B$8:B26))</f>
        <v>18</v>
      </c>
      <c r="B26" s="8" t="s">
        <v>199</v>
      </c>
      <c r="C26" s="127"/>
      <c r="D26" s="127"/>
      <c r="E26" s="127"/>
      <c r="F26" s="127"/>
      <c r="G26" s="127"/>
      <c r="H26" s="148"/>
      <c r="I26" s="128" t="s">
        <v>200</v>
      </c>
      <c r="J26" s="129"/>
      <c r="K26" s="129"/>
      <c r="L26" s="129"/>
      <c r="M26" s="129"/>
      <c r="N26" s="129"/>
      <c r="O26" s="129"/>
      <c r="P26" s="129"/>
      <c r="Q26" s="147"/>
      <c r="R26" s="8" t="s">
        <v>199</v>
      </c>
      <c r="S26" s="129"/>
      <c r="T26" s="129"/>
      <c r="U26" s="129"/>
      <c r="V26" s="129"/>
      <c r="W26" s="129"/>
      <c r="X26" s="148"/>
      <c r="Y26" s="451" t="s">
        <v>150</v>
      </c>
      <c r="Z26" s="452"/>
      <c r="AA26" s="448" t="s">
        <v>151</v>
      </c>
      <c r="AB26" s="449"/>
      <c r="AC26" s="450"/>
      <c r="AD26" s="139">
        <v>20</v>
      </c>
      <c r="AE26" s="124"/>
      <c r="AF26" s="124"/>
      <c r="AG26" s="124"/>
      <c r="AH26" s="133"/>
      <c r="AI26" s="133"/>
      <c r="AJ26" s="133"/>
      <c r="AK26" s="133"/>
      <c r="AL26" s="133"/>
      <c r="AM26" s="133"/>
      <c r="AN26" s="133"/>
      <c r="AO26" s="124"/>
      <c r="AP26" s="124"/>
      <c r="AQ26" s="124"/>
      <c r="AR26" s="124"/>
      <c r="AS26" s="233"/>
      <c r="AT26" s="220"/>
      <c r="AU26" s="220"/>
      <c r="AV26" s="220"/>
      <c r="AW26" s="220"/>
      <c r="AX26" s="220"/>
      <c r="AY26" s="137"/>
      <c r="AZ26" s="137"/>
      <c r="BA26" s="137"/>
      <c r="BB26" s="137"/>
      <c r="BC26" s="137"/>
      <c r="BD26" s="138"/>
    </row>
    <row r="27" spans="1:57" s="1" customFormat="1" ht="14.4" customHeight="1">
      <c r="A27" s="145">
        <f>IF(B27="","",COUNTA($B$8:B27))</f>
        <v>19</v>
      </c>
      <c r="B27" s="8" t="s">
        <v>201</v>
      </c>
      <c r="C27" s="127"/>
      <c r="D27" s="127"/>
      <c r="E27" s="127"/>
      <c r="F27" s="127"/>
      <c r="G27" s="127"/>
      <c r="H27" s="148"/>
      <c r="I27" s="128" t="s">
        <v>202</v>
      </c>
      <c r="J27" s="129"/>
      <c r="K27" s="129"/>
      <c r="L27" s="129"/>
      <c r="M27" s="129"/>
      <c r="N27" s="129"/>
      <c r="O27" s="129"/>
      <c r="P27" s="129"/>
      <c r="Q27" s="147"/>
      <c r="R27" s="8" t="s">
        <v>201</v>
      </c>
      <c r="S27" s="129"/>
      <c r="T27" s="129"/>
      <c r="U27" s="129"/>
      <c r="V27" s="129"/>
      <c r="W27" s="129"/>
      <c r="X27" s="148"/>
      <c r="Y27" s="451" t="s">
        <v>150</v>
      </c>
      <c r="Z27" s="452"/>
      <c r="AA27" s="448" t="s">
        <v>151</v>
      </c>
      <c r="AB27" s="449"/>
      <c r="AC27" s="450"/>
      <c r="AD27" s="139">
        <v>30</v>
      </c>
      <c r="AE27" s="124"/>
      <c r="AF27" s="124"/>
      <c r="AG27" s="124"/>
      <c r="AH27" s="133"/>
      <c r="AI27" s="133"/>
      <c r="AJ27" s="133"/>
      <c r="AK27" s="133"/>
      <c r="AL27" s="133"/>
      <c r="AM27" s="133"/>
      <c r="AN27" s="133"/>
      <c r="AO27" s="124"/>
      <c r="AP27" s="124"/>
      <c r="AQ27" s="124"/>
      <c r="AR27" s="124"/>
      <c r="AS27" s="131"/>
      <c r="AT27" s="137"/>
      <c r="AU27" s="137"/>
      <c r="AV27" s="137"/>
      <c r="AW27" s="137"/>
      <c r="AX27" s="137"/>
      <c r="AY27" s="137"/>
      <c r="AZ27" s="137"/>
      <c r="BA27" s="137"/>
      <c r="BB27" s="137"/>
      <c r="BC27" s="137"/>
      <c r="BD27" s="138"/>
    </row>
    <row r="28" spans="1:57" s="1" customFormat="1" ht="14.4" customHeight="1">
      <c r="A28" s="145">
        <f>IF(B28="","",COUNTA($B$8:B28))</f>
        <v>20</v>
      </c>
      <c r="B28" s="146" t="s">
        <v>203</v>
      </c>
      <c r="C28" s="127"/>
      <c r="D28" s="127"/>
      <c r="E28" s="127"/>
      <c r="F28" s="127"/>
      <c r="G28" s="127"/>
      <c r="H28" s="148"/>
      <c r="I28" s="128" t="s">
        <v>204</v>
      </c>
      <c r="J28" s="129"/>
      <c r="K28" s="129"/>
      <c r="L28" s="129"/>
      <c r="M28" s="129"/>
      <c r="N28" s="129"/>
      <c r="O28" s="129"/>
      <c r="P28" s="129"/>
      <c r="Q28" s="147"/>
      <c r="R28" s="146" t="s">
        <v>203</v>
      </c>
      <c r="S28" s="129"/>
      <c r="T28" s="129"/>
      <c r="U28" s="129"/>
      <c r="V28" s="129"/>
      <c r="W28" s="129"/>
      <c r="X28" s="148"/>
      <c r="Y28" s="451" t="s">
        <v>155</v>
      </c>
      <c r="Z28" s="452"/>
      <c r="AA28" s="448" t="s">
        <v>156</v>
      </c>
      <c r="AB28" s="449"/>
      <c r="AC28" s="450"/>
      <c r="AD28" s="139">
        <v>5</v>
      </c>
      <c r="AE28" s="124">
        <v>2</v>
      </c>
      <c r="AF28" s="124"/>
      <c r="AG28" s="124"/>
      <c r="AH28" s="133"/>
      <c r="AI28" s="133"/>
      <c r="AJ28" s="133"/>
      <c r="AK28" s="133"/>
      <c r="AL28" s="133"/>
      <c r="AM28" s="133"/>
      <c r="AN28" s="133"/>
      <c r="AO28" s="124"/>
      <c r="AP28" s="124"/>
      <c r="AQ28" s="124"/>
      <c r="AR28" s="124"/>
      <c r="AS28" s="131"/>
      <c r="AT28" s="137"/>
      <c r="AU28" s="137"/>
      <c r="AV28" s="137"/>
      <c r="AW28" s="137"/>
      <c r="AX28" s="137"/>
      <c r="AY28" s="137"/>
      <c r="AZ28" s="137"/>
      <c r="BA28" s="137"/>
      <c r="BB28" s="137"/>
      <c r="BC28" s="137"/>
      <c r="BD28" s="138"/>
    </row>
    <row r="29" spans="1:57" s="1" customFormat="1" ht="14.4" customHeight="1">
      <c r="A29" s="145">
        <f>IF(B29="","",COUNTA($B$8:B29))</f>
        <v>21</v>
      </c>
      <c r="B29" s="146" t="s">
        <v>205</v>
      </c>
      <c r="C29" s="2"/>
      <c r="D29" s="2"/>
      <c r="E29" s="2"/>
      <c r="F29" s="2"/>
      <c r="G29" s="2"/>
      <c r="H29" s="3"/>
      <c r="I29" s="128" t="s">
        <v>206</v>
      </c>
      <c r="J29" s="129"/>
      <c r="K29" s="129"/>
      <c r="L29" s="129"/>
      <c r="M29" s="129"/>
      <c r="N29" s="129"/>
      <c r="O29" s="129"/>
      <c r="P29" s="129"/>
      <c r="Q29" s="147"/>
      <c r="R29" s="146" t="s">
        <v>207</v>
      </c>
      <c r="S29" s="129"/>
      <c r="T29" s="129"/>
      <c r="U29" s="129"/>
      <c r="V29" s="129"/>
      <c r="W29" s="129"/>
      <c r="X29" s="148"/>
      <c r="Y29" s="451" t="s">
        <v>155</v>
      </c>
      <c r="Z29" s="452"/>
      <c r="AA29" s="448" t="s">
        <v>156</v>
      </c>
      <c r="AB29" s="449"/>
      <c r="AC29" s="450"/>
      <c r="AD29" s="139">
        <v>4</v>
      </c>
      <c r="AE29" s="124"/>
      <c r="AF29" s="124"/>
      <c r="AG29" s="124"/>
      <c r="AH29" s="133"/>
      <c r="AI29" s="133"/>
      <c r="AJ29" s="133"/>
      <c r="AK29" s="133"/>
      <c r="AL29" s="133"/>
      <c r="AM29" s="133"/>
      <c r="AN29" s="133"/>
      <c r="AO29" s="124"/>
      <c r="AP29" s="124"/>
      <c r="AQ29" s="124"/>
      <c r="AR29" s="124"/>
      <c r="AS29" s="131"/>
      <c r="AT29" s="137"/>
      <c r="AU29" s="137"/>
      <c r="AV29" s="137"/>
      <c r="AW29" s="137"/>
      <c r="AX29" s="137"/>
      <c r="AY29" s="137"/>
      <c r="AZ29" s="137"/>
      <c r="BA29" s="137"/>
      <c r="BB29" s="137"/>
      <c r="BC29" s="137"/>
      <c r="BD29" s="138"/>
    </row>
    <row r="30" spans="1:57" s="1" customFormat="1" ht="14.4" customHeight="1">
      <c r="A30" s="145">
        <f>IF(B30="","",COUNTA($B$8:B30))</f>
        <v>22</v>
      </c>
      <c r="B30" s="146" t="s">
        <v>208</v>
      </c>
      <c r="C30" s="2"/>
      <c r="D30" s="2"/>
      <c r="E30" s="2"/>
      <c r="F30" s="2"/>
      <c r="G30" s="2"/>
      <c r="H30" s="3"/>
      <c r="I30" s="128" t="s">
        <v>209</v>
      </c>
      <c r="J30" s="129"/>
      <c r="K30" s="129"/>
      <c r="L30" s="129"/>
      <c r="M30" s="129"/>
      <c r="N30" s="129"/>
      <c r="O30" s="129"/>
      <c r="P30" s="129"/>
      <c r="Q30" s="147"/>
      <c r="R30" s="146" t="s">
        <v>210</v>
      </c>
      <c r="S30" s="129"/>
      <c r="T30" s="129"/>
      <c r="U30" s="129"/>
      <c r="V30" s="129"/>
      <c r="W30" s="129"/>
      <c r="X30" s="148"/>
      <c r="Y30" s="451" t="s">
        <v>155</v>
      </c>
      <c r="Z30" s="452"/>
      <c r="AA30" s="448" t="s">
        <v>156</v>
      </c>
      <c r="AB30" s="449"/>
      <c r="AC30" s="450"/>
      <c r="AD30" s="139">
        <v>5</v>
      </c>
      <c r="AE30" s="124"/>
      <c r="AF30" s="124"/>
      <c r="AG30" s="124"/>
      <c r="AH30" s="133"/>
      <c r="AI30" s="133"/>
      <c r="AJ30" s="133"/>
      <c r="AK30" s="133"/>
      <c r="AL30" s="133"/>
      <c r="AM30" s="133"/>
      <c r="AN30" s="133"/>
      <c r="AO30" s="124"/>
      <c r="AP30" s="124"/>
      <c r="AQ30" s="124"/>
      <c r="AR30" s="124"/>
      <c r="AS30" s="131"/>
      <c r="AT30" s="137"/>
      <c r="AU30" s="137"/>
      <c r="AV30" s="137"/>
      <c r="AW30" s="137"/>
      <c r="AX30" s="137"/>
      <c r="AY30" s="137"/>
      <c r="AZ30" s="137"/>
      <c r="BA30" s="137"/>
      <c r="BB30" s="137"/>
      <c r="BC30" s="137"/>
      <c r="BD30" s="138"/>
    </row>
    <row r="31" spans="1:57" s="1" customFormat="1" ht="14.4" customHeight="1">
      <c r="A31" s="145">
        <f>IF(B31="","",COUNTA($B$8:B31))</f>
        <v>23</v>
      </c>
      <c r="B31" s="146" t="s">
        <v>211</v>
      </c>
      <c r="C31" s="127"/>
      <c r="D31" s="127"/>
      <c r="E31" s="127"/>
      <c r="F31" s="127"/>
      <c r="G31" s="127"/>
      <c r="H31" s="148"/>
      <c r="I31" s="128" t="s">
        <v>212</v>
      </c>
      <c r="J31" s="129"/>
      <c r="K31" s="129"/>
      <c r="L31" s="129"/>
      <c r="M31" s="129"/>
      <c r="N31" s="129"/>
      <c r="O31" s="129"/>
      <c r="P31" s="129"/>
      <c r="Q31" s="147"/>
      <c r="R31" s="146" t="s">
        <v>213</v>
      </c>
      <c r="S31" s="129"/>
      <c r="T31" s="129"/>
      <c r="U31" s="129"/>
      <c r="V31" s="129"/>
      <c r="W31" s="129"/>
      <c r="X31" s="148"/>
      <c r="Y31" s="451" t="s">
        <v>155</v>
      </c>
      <c r="Z31" s="452"/>
      <c r="AA31" s="448" t="s">
        <v>156</v>
      </c>
      <c r="AB31" s="449"/>
      <c r="AC31" s="450"/>
      <c r="AD31" s="139">
        <v>5</v>
      </c>
      <c r="AE31" s="124"/>
      <c r="AF31" s="124"/>
      <c r="AG31" s="124"/>
      <c r="AH31" s="133"/>
      <c r="AI31" s="133"/>
      <c r="AJ31" s="133"/>
      <c r="AK31" s="133"/>
      <c r="AL31" s="133"/>
      <c r="AM31" s="133"/>
      <c r="AN31" s="133"/>
      <c r="AO31" s="124"/>
      <c r="AP31" s="124"/>
      <c r="AQ31" s="124"/>
      <c r="AR31" s="124"/>
      <c r="AS31" s="131"/>
      <c r="AT31" s="137"/>
      <c r="AU31" s="137"/>
      <c r="AV31" s="137"/>
      <c r="AW31" s="137"/>
      <c r="AX31" s="137"/>
      <c r="AY31" s="137"/>
      <c r="AZ31" s="137"/>
      <c r="BA31" s="137"/>
      <c r="BB31" s="137"/>
      <c r="BC31" s="137"/>
      <c r="BD31" s="138"/>
    </row>
    <row r="32" spans="1:57" s="1" customFormat="1" ht="14.4" customHeight="1">
      <c r="A32" s="145">
        <f>IF(B32="","",COUNTA($B$8:B32))</f>
        <v>24</v>
      </c>
      <c r="B32" s="146" t="s">
        <v>214</v>
      </c>
      <c r="C32" s="127"/>
      <c r="D32" s="127"/>
      <c r="E32" s="127"/>
      <c r="F32" s="127"/>
      <c r="G32" s="127"/>
      <c r="H32" s="148"/>
      <c r="I32" s="128" t="s">
        <v>215</v>
      </c>
      <c r="J32" s="129"/>
      <c r="K32" s="129"/>
      <c r="L32" s="129"/>
      <c r="M32" s="129"/>
      <c r="N32" s="129"/>
      <c r="O32" s="129"/>
      <c r="P32" s="129"/>
      <c r="Q32" s="147"/>
      <c r="R32" s="146" t="s">
        <v>216</v>
      </c>
      <c r="S32" s="129"/>
      <c r="T32" s="129"/>
      <c r="U32" s="129"/>
      <c r="V32" s="129"/>
      <c r="W32" s="129"/>
      <c r="X32" s="148"/>
      <c r="Y32" s="451" t="s">
        <v>155</v>
      </c>
      <c r="Z32" s="452"/>
      <c r="AA32" s="448" t="s">
        <v>156</v>
      </c>
      <c r="AB32" s="449"/>
      <c r="AC32" s="450"/>
      <c r="AD32" s="139">
        <v>5</v>
      </c>
      <c r="AE32" s="124"/>
      <c r="AF32" s="124"/>
      <c r="AG32" s="124"/>
      <c r="AH32" s="133"/>
      <c r="AI32" s="133"/>
      <c r="AJ32" s="133"/>
      <c r="AK32" s="133"/>
      <c r="AL32" s="133"/>
      <c r="AM32" s="133"/>
      <c r="AN32" s="133"/>
      <c r="AO32" s="124"/>
      <c r="AP32" s="124"/>
      <c r="AQ32" s="124"/>
      <c r="AR32" s="124"/>
      <c r="AS32" s="131"/>
      <c r="AT32" s="137"/>
      <c r="AU32" s="137"/>
      <c r="AV32" s="137"/>
      <c r="AW32" s="137"/>
      <c r="AX32" s="137"/>
      <c r="AY32" s="137"/>
      <c r="AZ32" s="137"/>
      <c r="BA32" s="137"/>
      <c r="BB32" s="137"/>
      <c r="BC32" s="137"/>
      <c r="BD32" s="138"/>
    </row>
    <row r="33" spans="1:57" s="1" customFormat="1" ht="14.4" customHeight="1">
      <c r="A33" s="145">
        <f>IF(B33="","",COUNTA($B$8:B33))</f>
        <v>25</v>
      </c>
      <c r="B33" s="146" t="s">
        <v>217</v>
      </c>
      <c r="C33" s="127"/>
      <c r="D33" s="127"/>
      <c r="E33" s="127"/>
      <c r="F33" s="127"/>
      <c r="G33" s="127"/>
      <c r="H33" s="148"/>
      <c r="I33" s="128" t="s">
        <v>218</v>
      </c>
      <c r="J33" s="129"/>
      <c r="K33" s="129"/>
      <c r="L33" s="129"/>
      <c r="M33" s="129"/>
      <c r="N33" s="129"/>
      <c r="O33" s="129"/>
      <c r="P33" s="129"/>
      <c r="Q33" s="147"/>
      <c r="R33" s="146" t="s">
        <v>219</v>
      </c>
      <c r="S33" s="129"/>
      <c r="T33" s="129"/>
      <c r="U33" s="129"/>
      <c r="V33" s="129"/>
      <c r="W33" s="129"/>
      <c r="X33" s="148"/>
      <c r="Y33" s="451" t="s">
        <v>155</v>
      </c>
      <c r="Z33" s="452"/>
      <c r="AA33" s="448" t="s">
        <v>156</v>
      </c>
      <c r="AB33" s="449"/>
      <c r="AC33" s="450"/>
      <c r="AD33" s="197">
        <v>5</v>
      </c>
      <c r="AE33" s="124"/>
      <c r="AF33" s="124"/>
      <c r="AG33" s="124"/>
      <c r="AH33" s="133"/>
      <c r="AI33" s="133"/>
      <c r="AJ33" s="133"/>
      <c r="AK33" s="133"/>
      <c r="AL33" s="133"/>
      <c r="AM33" s="133"/>
      <c r="AN33" s="133"/>
      <c r="AO33" s="124"/>
      <c r="AP33" s="124"/>
      <c r="AQ33" s="124"/>
      <c r="AR33" s="124"/>
      <c r="AS33" s="131"/>
      <c r="AT33" s="137"/>
      <c r="AU33" s="137"/>
      <c r="AV33" s="137"/>
      <c r="AW33" s="137"/>
      <c r="AX33" s="137"/>
      <c r="AY33" s="137"/>
      <c r="AZ33" s="137"/>
      <c r="BA33" s="137"/>
      <c r="BB33" s="137"/>
      <c r="BC33" s="137"/>
      <c r="BD33" s="138"/>
    </row>
    <row r="34" spans="1:57" s="1" customFormat="1" ht="14.4" customHeight="1">
      <c r="A34" s="145">
        <f>IF(B34="","",COUNTA($B$8:B34))</f>
        <v>26</v>
      </c>
      <c r="B34" s="8" t="s">
        <v>266</v>
      </c>
      <c r="C34" s="127"/>
      <c r="D34" s="127"/>
      <c r="E34" s="127"/>
      <c r="F34" s="127"/>
      <c r="G34" s="127"/>
      <c r="H34" s="148"/>
      <c r="I34" s="128" t="s">
        <v>267</v>
      </c>
      <c r="J34" s="129"/>
      <c r="K34" s="129"/>
      <c r="L34" s="129"/>
      <c r="M34" s="129"/>
      <c r="N34" s="129"/>
      <c r="O34" s="129"/>
      <c r="P34" s="129"/>
      <c r="Q34" s="147"/>
      <c r="R34" s="8" t="s">
        <v>266</v>
      </c>
      <c r="S34" s="129"/>
      <c r="T34" s="129"/>
      <c r="U34" s="129"/>
      <c r="V34" s="129"/>
      <c r="W34" s="129"/>
      <c r="X34" s="147"/>
      <c r="Y34" s="451" t="s">
        <v>155</v>
      </c>
      <c r="Z34" s="452"/>
      <c r="AA34" s="448" t="s">
        <v>156</v>
      </c>
      <c r="AB34" s="449"/>
      <c r="AC34" s="450"/>
      <c r="AD34" s="188">
        <v>5</v>
      </c>
      <c r="AE34" s="124"/>
      <c r="AF34" s="124"/>
      <c r="AG34" s="124"/>
      <c r="AH34" s="133"/>
      <c r="AI34" s="133"/>
      <c r="AJ34" s="133"/>
      <c r="AK34" s="133"/>
      <c r="AL34" s="133"/>
      <c r="AM34" s="133"/>
      <c r="AN34" s="133"/>
      <c r="AO34" s="124"/>
      <c r="AP34" s="124"/>
      <c r="AQ34" s="124"/>
      <c r="AR34" s="124"/>
      <c r="AS34" s="131"/>
      <c r="AT34" s="137"/>
      <c r="AU34" s="137"/>
      <c r="AV34" s="137"/>
      <c r="AW34" s="137"/>
      <c r="AX34" s="137"/>
      <c r="AY34" s="137"/>
      <c r="AZ34" s="137"/>
      <c r="BA34" s="137"/>
      <c r="BB34" s="137"/>
      <c r="BC34" s="137"/>
      <c r="BD34" s="138"/>
    </row>
    <row r="35" spans="1:57" s="1" customFormat="1" ht="14.4" customHeight="1">
      <c r="A35" s="145">
        <f>IF(B35="","",COUNTA($B$8:B35))</f>
        <v>27</v>
      </c>
      <c r="B35" s="8" t="s">
        <v>226</v>
      </c>
      <c r="C35" s="127"/>
      <c r="D35" s="127"/>
      <c r="E35" s="127"/>
      <c r="F35" s="127"/>
      <c r="G35" s="127"/>
      <c r="H35" s="148"/>
      <c r="I35" s="128" t="s">
        <v>227</v>
      </c>
      <c r="J35" s="129"/>
      <c r="K35" s="129"/>
      <c r="L35" s="129"/>
      <c r="M35" s="129"/>
      <c r="N35" s="129"/>
      <c r="O35" s="129"/>
      <c r="P35" s="129"/>
      <c r="Q35" s="147"/>
      <c r="R35" s="8" t="s">
        <v>226</v>
      </c>
      <c r="S35" s="129"/>
      <c r="T35" s="129"/>
      <c r="U35" s="129"/>
      <c r="V35" s="129"/>
      <c r="W35" s="129"/>
      <c r="X35" s="148"/>
      <c r="Y35" s="451" t="s">
        <v>150</v>
      </c>
      <c r="Z35" s="452"/>
      <c r="AA35" s="448" t="s">
        <v>151</v>
      </c>
      <c r="AB35" s="449"/>
      <c r="AC35" s="450"/>
      <c r="AD35" s="139">
        <v>3</v>
      </c>
      <c r="AE35" s="124"/>
      <c r="AF35" s="124"/>
      <c r="AG35" s="124"/>
      <c r="AH35" s="133"/>
      <c r="AI35" s="133"/>
      <c r="AJ35" s="133"/>
      <c r="AK35" s="133"/>
      <c r="AL35" s="133"/>
      <c r="AM35" s="133"/>
      <c r="AN35" s="133"/>
      <c r="AO35" s="124"/>
      <c r="AP35" s="124"/>
      <c r="AQ35" s="124"/>
      <c r="AR35" s="124"/>
      <c r="AS35" s="131"/>
      <c r="AT35" s="137"/>
      <c r="AU35" s="137"/>
      <c r="AV35" s="137"/>
      <c r="AW35" s="137"/>
      <c r="AX35" s="137"/>
      <c r="AY35" s="137"/>
      <c r="AZ35" s="137"/>
      <c r="BA35" s="137"/>
      <c r="BB35" s="137"/>
      <c r="BC35" s="137"/>
      <c r="BD35" s="138"/>
    </row>
    <row r="36" spans="1:57" s="1" customFormat="1" ht="14.4" customHeight="1">
      <c r="A36" s="145">
        <f>IF(B36="","",COUNTA($B$8:B36))</f>
        <v>28</v>
      </c>
      <c r="B36" s="8" t="s">
        <v>228</v>
      </c>
      <c r="C36" s="127"/>
      <c r="D36" s="127"/>
      <c r="E36" s="127"/>
      <c r="F36" s="127"/>
      <c r="G36" s="127"/>
      <c r="H36" s="148"/>
      <c r="I36" s="128" t="s">
        <v>229</v>
      </c>
      <c r="J36" s="129"/>
      <c r="K36" s="129"/>
      <c r="L36" s="129"/>
      <c r="M36" s="129"/>
      <c r="N36" s="129"/>
      <c r="O36" s="129"/>
      <c r="P36" s="129"/>
      <c r="Q36" s="147"/>
      <c r="R36" s="8" t="s">
        <v>228</v>
      </c>
      <c r="S36" s="129"/>
      <c r="T36" s="129"/>
      <c r="U36" s="129"/>
      <c r="V36" s="129"/>
      <c r="W36" s="129"/>
      <c r="X36" s="148"/>
      <c r="Y36" s="451" t="s">
        <v>150</v>
      </c>
      <c r="Z36" s="452"/>
      <c r="AA36" s="448" t="s">
        <v>151</v>
      </c>
      <c r="AB36" s="449"/>
      <c r="AC36" s="450"/>
      <c r="AD36" s="139">
        <v>1000</v>
      </c>
      <c r="AE36" s="124"/>
      <c r="AF36" s="124"/>
      <c r="AG36" s="124"/>
      <c r="AH36" s="133"/>
      <c r="AI36" s="133"/>
      <c r="AJ36" s="133"/>
      <c r="AK36" s="133"/>
      <c r="AL36" s="133"/>
      <c r="AM36" s="133"/>
      <c r="AN36" s="133"/>
      <c r="AO36" s="124"/>
      <c r="AP36" s="124"/>
      <c r="AQ36" s="124"/>
      <c r="AR36" s="124"/>
      <c r="AS36" s="131"/>
      <c r="AT36" s="137"/>
      <c r="AU36" s="137"/>
      <c r="AV36" s="137"/>
      <c r="AW36" s="137"/>
      <c r="AX36" s="137"/>
      <c r="AY36" s="137"/>
      <c r="AZ36" s="137"/>
      <c r="BA36" s="137"/>
      <c r="BB36" s="137"/>
      <c r="BC36" s="137"/>
      <c r="BD36" s="138"/>
    </row>
    <row r="37" spans="1:57" s="1" customFormat="1" ht="14.4" customHeight="1">
      <c r="A37" s="145">
        <f>IF(B37="","",COUNTA($B$8:B37))</f>
        <v>29</v>
      </c>
      <c r="B37" s="8" t="s">
        <v>230</v>
      </c>
      <c r="C37" s="127"/>
      <c r="D37" s="127"/>
      <c r="E37" s="127"/>
      <c r="F37" s="127"/>
      <c r="G37" s="127"/>
      <c r="H37" s="148"/>
      <c r="I37" s="128" t="s">
        <v>231</v>
      </c>
      <c r="J37" s="129"/>
      <c r="K37" s="129"/>
      <c r="L37" s="129"/>
      <c r="M37" s="129"/>
      <c r="N37" s="129"/>
      <c r="O37" s="129"/>
      <c r="P37" s="129"/>
      <c r="Q37" s="147"/>
      <c r="R37" s="8" t="s">
        <v>230</v>
      </c>
      <c r="S37" s="129"/>
      <c r="T37" s="129"/>
      <c r="U37" s="129"/>
      <c r="V37" s="129"/>
      <c r="W37" s="129"/>
      <c r="X37" s="148"/>
      <c r="Y37" s="451" t="s">
        <v>169</v>
      </c>
      <c r="Z37" s="452"/>
      <c r="AA37" s="448" t="s">
        <v>170</v>
      </c>
      <c r="AB37" s="449"/>
      <c r="AC37" s="450"/>
      <c r="AD37" s="139"/>
      <c r="AE37" s="124"/>
      <c r="AF37" s="124"/>
      <c r="AG37" s="124"/>
      <c r="AH37" s="133"/>
      <c r="AI37" s="133"/>
      <c r="AJ37" s="133"/>
      <c r="AK37" s="133"/>
      <c r="AL37" s="133"/>
      <c r="AM37" s="133"/>
      <c r="AN37" s="133"/>
      <c r="AO37" s="124"/>
      <c r="AP37" s="124"/>
      <c r="AQ37" s="124"/>
      <c r="AR37" s="124"/>
      <c r="AS37" s="131" t="s">
        <v>232</v>
      </c>
      <c r="AT37" s="137"/>
      <c r="AU37" s="137"/>
      <c r="AV37" s="137"/>
      <c r="AW37" s="137"/>
      <c r="AX37" s="137"/>
      <c r="AY37" s="137"/>
      <c r="AZ37" s="137"/>
      <c r="BA37" s="137"/>
      <c r="BB37" s="137"/>
      <c r="BC37" s="137"/>
      <c r="BD37" s="138"/>
    </row>
    <row r="38" spans="1:57" s="1" customFormat="1" ht="14.4" customHeight="1">
      <c r="A38" s="145">
        <f>IF(B38="","",COUNTA($B$8:B38))</f>
        <v>30</v>
      </c>
      <c r="B38" s="8" t="s">
        <v>233</v>
      </c>
      <c r="C38" s="127"/>
      <c r="D38" s="127"/>
      <c r="E38" s="127"/>
      <c r="F38" s="127"/>
      <c r="G38" s="127"/>
      <c r="H38" s="148"/>
      <c r="I38" s="128" t="s">
        <v>234</v>
      </c>
      <c r="J38" s="129"/>
      <c r="K38" s="129"/>
      <c r="L38" s="129"/>
      <c r="M38" s="129"/>
      <c r="N38" s="129"/>
      <c r="O38" s="129"/>
      <c r="P38" s="129"/>
      <c r="Q38" s="147"/>
      <c r="R38" s="8" t="s">
        <v>233</v>
      </c>
      <c r="S38" s="129"/>
      <c r="T38" s="129"/>
      <c r="U38" s="129"/>
      <c r="V38" s="129"/>
      <c r="W38" s="129"/>
      <c r="X38" s="148"/>
      <c r="Y38" s="451" t="s">
        <v>155</v>
      </c>
      <c r="Z38" s="452"/>
      <c r="AA38" s="448" t="s">
        <v>156</v>
      </c>
      <c r="AB38" s="449"/>
      <c r="AC38" s="450"/>
      <c r="AD38" s="139">
        <v>1</v>
      </c>
      <c r="AE38" s="124"/>
      <c r="AF38" s="124"/>
      <c r="AG38" s="124"/>
      <c r="AH38" s="133">
        <v>0</v>
      </c>
      <c r="AI38" s="133"/>
      <c r="AJ38" s="133"/>
      <c r="AK38" s="133"/>
      <c r="AL38" s="133"/>
      <c r="AM38" s="133"/>
      <c r="AN38" s="133"/>
      <c r="AO38" s="124"/>
      <c r="AP38" s="124"/>
      <c r="AQ38" s="124"/>
      <c r="AR38" s="124"/>
      <c r="AS38" s="131"/>
      <c r="AT38" s="137"/>
      <c r="AU38" s="137"/>
      <c r="AV38" s="137"/>
      <c r="AW38" s="137"/>
      <c r="AX38" s="137"/>
      <c r="AY38" s="137"/>
      <c r="AZ38" s="137"/>
      <c r="BA38" s="137"/>
      <c r="BB38" s="137"/>
      <c r="BC38" s="137"/>
      <c r="BD38" s="138"/>
    </row>
    <row r="39" spans="1:57" s="1" customFormat="1" ht="14.4" customHeight="1">
      <c r="A39" s="145">
        <f>IF(B39="","",COUNTA($B$8:B39))</f>
        <v>31</v>
      </c>
      <c r="B39" s="182" t="s">
        <v>276</v>
      </c>
      <c r="C39" s="170"/>
      <c r="D39" s="170"/>
      <c r="E39" s="170"/>
      <c r="F39" s="170"/>
      <c r="G39" s="170"/>
      <c r="H39" s="171"/>
      <c r="I39" s="196" t="s">
        <v>277</v>
      </c>
      <c r="J39" s="172"/>
      <c r="K39" s="172"/>
      <c r="L39" s="172"/>
      <c r="M39" s="172"/>
      <c r="N39" s="172"/>
      <c r="O39" s="172"/>
      <c r="P39" s="172"/>
      <c r="Q39" s="173"/>
      <c r="R39" s="182" t="s">
        <v>276</v>
      </c>
      <c r="S39" s="172"/>
      <c r="T39" s="172"/>
      <c r="U39" s="172"/>
      <c r="V39" s="172"/>
      <c r="W39" s="172"/>
      <c r="X39" s="171"/>
      <c r="Y39" s="459" t="s">
        <v>155</v>
      </c>
      <c r="Z39" s="460"/>
      <c r="AA39" s="445" t="s">
        <v>156</v>
      </c>
      <c r="AB39" s="446"/>
      <c r="AC39" s="447"/>
      <c r="AD39" s="174">
        <v>1</v>
      </c>
      <c r="AE39" s="175"/>
      <c r="AF39" s="175"/>
      <c r="AG39" s="175"/>
      <c r="AH39" s="176">
        <v>0</v>
      </c>
      <c r="AI39" s="176"/>
      <c r="AJ39" s="176"/>
      <c r="AK39" s="176"/>
      <c r="AL39" s="176"/>
      <c r="AM39" s="176"/>
      <c r="AN39" s="176"/>
      <c r="AO39" s="175"/>
      <c r="AP39" s="175"/>
      <c r="AQ39" s="175"/>
      <c r="AR39" s="175"/>
      <c r="AS39" s="177" t="s">
        <v>235</v>
      </c>
      <c r="AT39" s="178"/>
      <c r="AU39" s="178"/>
      <c r="AV39" s="178"/>
      <c r="AW39" s="178"/>
      <c r="AX39" s="178"/>
      <c r="AY39" s="178"/>
      <c r="AZ39" s="178"/>
      <c r="BA39" s="178"/>
      <c r="BB39" s="178"/>
      <c r="BC39" s="178"/>
      <c r="BD39" s="179"/>
      <c r="BE39" s="1" t="s">
        <v>1474</v>
      </c>
    </row>
    <row r="40" spans="1:57" s="1" customFormat="1" ht="14.4" customHeight="1">
      <c r="A40" s="145">
        <f>IF(B40="","",COUNTA($B$8:B40))</f>
        <v>32</v>
      </c>
      <c r="B40" s="8" t="s">
        <v>236</v>
      </c>
      <c r="C40" s="127"/>
      <c r="D40" s="127"/>
      <c r="E40" s="127"/>
      <c r="F40" s="127"/>
      <c r="G40" s="127"/>
      <c r="H40" s="148"/>
      <c r="I40" s="128" t="s">
        <v>237</v>
      </c>
      <c r="J40" s="129"/>
      <c r="K40" s="129"/>
      <c r="L40" s="129"/>
      <c r="M40" s="129"/>
      <c r="N40" s="129"/>
      <c r="O40" s="129"/>
      <c r="P40" s="129"/>
      <c r="Q40" s="147"/>
      <c r="R40" s="8" t="s">
        <v>236</v>
      </c>
      <c r="S40" s="129"/>
      <c r="T40" s="129"/>
      <c r="U40" s="129"/>
      <c r="V40" s="129"/>
      <c r="W40" s="129"/>
      <c r="X40" s="148"/>
      <c r="Y40" s="451" t="s">
        <v>155</v>
      </c>
      <c r="Z40" s="452"/>
      <c r="AA40" s="448" t="s">
        <v>156</v>
      </c>
      <c r="AB40" s="449"/>
      <c r="AC40" s="450"/>
      <c r="AD40" s="139">
        <v>1</v>
      </c>
      <c r="AE40" s="124"/>
      <c r="AF40" s="124"/>
      <c r="AG40" s="124"/>
      <c r="AH40" s="133">
        <v>0</v>
      </c>
      <c r="AI40" s="133"/>
      <c r="AJ40" s="133"/>
      <c r="AK40" s="133"/>
      <c r="AL40" s="133"/>
      <c r="AM40" s="133"/>
      <c r="AN40" s="133"/>
      <c r="AO40" s="124"/>
      <c r="AP40" s="124"/>
      <c r="AQ40" s="124"/>
      <c r="AR40" s="124"/>
      <c r="AS40" s="131" t="s">
        <v>238</v>
      </c>
      <c r="AT40" s="137"/>
      <c r="AU40" s="137"/>
      <c r="AV40" s="137"/>
      <c r="AW40" s="137"/>
      <c r="AX40" s="137"/>
      <c r="AY40" s="137"/>
      <c r="AZ40" s="137"/>
      <c r="BA40" s="137"/>
      <c r="BB40" s="137"/>
      <c r="BC40" s="137"/>
      <c r="BD40" s="138"/>
    </row>
    <row r="41" spans="1:57" s="1" customFormat="1" ht="14.4" customHeight="1">
      <c r="A41" s="145">
        <f>IF(B41="","",COUNTA($B$8:B41))</f>
        <v>33</v>
      </c>
      <c r="B41" s="8" t="s">
        <v>239</v>
      </c>
      <c r="C41" s="127"/>
      <c r="D41" s="127"/>
      <c r="E41" s="127"/>
      <c r="F41" s="127"/>
      <c r="G41" s="127"/>
      <c r="H41" s="148"/>
      <c r="I41" s="128" t="s">
        <v>240</v>
      </c>
      <c r="J41" s="129"/>
      <c r="K41" s="129"/>
      <c r="L41" s="129"/>
      <c r="M41" s="129"/>
      <c r="N41" s="129"/>
      <c r="O41" s="129"/>
      <c r="P41" s="129"/>
      <c r="Q41" s="147"/>
      <c r="R41" s="8" t="s">
        <v>239</v>
      </c>
      <c r="S41" s="129"/>
      <c r="T41" s="129"/>
      <c r="U41" s="129"/>
      <c r="V41" s="129"/>
      <c r="W41" s="129"/>
      <c r="X41" s="148"/>
      <c r="Y41" s="451" t="s">
        <v>169</v>
      </c>
      <c r="Z41" s="452"/>
      <c r="AA41" s="448" t="s">
        <v>170</v>
      </c>
      <c r="AB41" s="449"/>
      <c r="AC41" s="450"/>
      <c r="AD41" s="139"/>
      <c r="AE41" s="124"/>
      <c r="AF41" s="124"/>
      <c r="AG41" s="124"/>
      <c r="AH41" s="133"/>
      <c r="AI41" s="133"/>
      <c r="AJ41" s="133"/>
      <c r="AK41" s="133"/>
      <c r="AL41" s="133"/>
      <c r="AM41" s="133"/>
      <c r="AN41" s="133"/>
      <c r="AO41" s="124"/>
      <c r="AP41" s="124"/>
      <c r="AQ41" s="124"/>
      <c r="AR41" s="124"/>
      <c r="AS41" s="131"/>
      <c r="AT41" s="137"/>
      <c r="AU41" s="137"/>
      <c r="AV41" s="137"/>
      <c r="AW41" s="137"/>
      <c r="AX41" s="137"/>
      <c r="AY41" s="137"/>
      <c r="AZ41" s="137"/>
      <c r="BA41" s="137"/>
      <c r="BB41" s="137"/>
      <c r="BC41" s="137"/>
      <c r="BD41" s="138"/>
    </row>
    <row r="42" spans="1:57" s="1" customFormat="1" ht="14.4" customHeight="1">
      <c r="A42" s="145">
        <f>IF(B42="","",COUNTA($B$8:B42))</f>
        <v>34</v>
      </c>
      <c r="B42" s="8" t="s">
        <v>280</v>
      </c>
      <c r="C42" s="127"/>
      <c r="D42" s="127"/>
      <c r="E42" s="127"/>
      <c r="F42" s="127"/>
      <c r="G42" s="127"/>
      <c r="H42" s="148"/>
      <c r="I42" s="128" t="s">
        <v>281</v>
      </c>
      <c r="J42" s="129"/>
      <c r="K42" s="129"/>
      <c r="L42" s="129"/>
      <c r="M42" s="129"/>
      <c r="N42" s="129"/>
      <c r="O42" s="129"/>
      <c r="P42" s="129"/>
      <c r="Q42" s="147"/>
      <c r="R42" s="8" t="s">
        <v>280</v>
      </c>
      <c r="S42" s="129"/>
      <c r="T42" s="129"/>
      <c r="U42" s="129"/>
      <c r="V42" s="129"/>
      <c r="W42" s="129"/>
      <c r="X42" s="148"/>
      <c r="Y42" s="451" t="s">
        <v>155</v>
      </c>
      <c r="Z42" s="452"/>
      <c r="AA42" s="448" t="s">
        <v>156</v>
      </c>
      <c r="AB42" s="449"/>
      <c r="AC42" s="450"/>
      <c r="AD42" s="139">
        <v>1</v>
      </c>
      <c r="AE42" s="124"/>
      <c r="AF42" s="124"/>
      <c r="AG42" s="124"/>
      <c r="AH42" s="133">
        <v>0</v>
      </c>
      <c r="AI42" s="133"/>
      <c r="AJ42" s="133"/>
      <c r="AK42" s="133"/>
      <c r="AL42" s="133"/>
      <c r="AM42" s="133"/>
      <c r="AN42" s="133"/>
      <c r="AO42" s="124"/>
      <c r="AP42" s="124"/>
      <c r="AQ42" s="124"/>
      <c r="AR42" s="124"/>
      <c r="AS42" s="131" t="s">
        <v>282</v>
      </c>
      <c r="AT42" s="137"/>
      <c r="AU42" s="137"/>
      <c r="AV42" s="137"/>
      <c r="AW42" s="137"/>
      <c r="AX42" s="137"/>
      <c r="AY42" s="137"/>
      <c r="AZ42" s="137"/>
      <c r="BA42" s="137"/>
      <c r="BB42" s="137"/>
      <c r="BC42" s="137"/>
      <c r="BD42" s="138"/>
    </row>
    <row r="43" spans="1:57" s="1" customFormat="1" ht="14.4" customHeight="1">
      <c r="A43" s="145">
        <f>IF(B43="","",COUNTA($B$8:B43))</f>
        <v>35</v>
      </c>
      <c r="B43" s="8" t="s">
        <v>283</v>
      </c>
      <c r="C43" s="127"/>
      <c r="D43" s="127"/>
      <c r="E43" s="127"/>
      <c r="F43" s="127"/>
      <c r="G43" s="127"/>
      <c r="H43" s="148"/>
      <c r="I43" s="128" t="s">
        <v>284</v>
      </c>
      <c r="J43" s="129"/>
      <c r="K43" s="129"/>
      <c r="L43" s="129"/>
      <c r="M43" s="129"/>
      <c r="N43" s="129"/>
      <c r="O43" s="129"/>
      <c r="P43" s="129"/>
      <c r="Q43" s="147"/>
      <c r="R43" s="8" t="s">
        <v>283</v>
      </c>
      <c r="S43" s="129"/>
      <c r="T43" s="129"/>
      <c r="U43" s="129"/>
      <c r="V43" s="129"/>
      <c r="W43" s="129"/>
      <c r="X43" s="148"/>
      <c r="Y43" s="451" t="s">
        <v>155</v>
      </c>
      <c r="Z43" s="452"/>
      <c r="AA43" s="448" t="s">
        <v>156</v>
      </c>
      <c r="AB43" s="449"/>
      <c r="AC43" s="450"/>
      <c r="AD43" s="139">
        <v>1</v>
      </c>
      <c r="AE43" s="124"/>
      <c r="AF43" s="124"/>
      <c r="AG43" s="124"/>
      <c r="AH43" s="133">
        <v>0</v>
      </c>
      <c r="AI43" s="133"/>
      <c r="AJ43" s="133"/>
      <c r="AK43" s="133"/>
      <c r="AL43" s="133"/>
      <c r="AM43" s="133"/>
      <c r="AN43" s="133"/>
      <c r="AO43" s="124"/>
      <c r="AP43" s="124"/>
      <c r="AQ43" s="124"/>
      <c r="AR43" s="124"/>
      <c r="AS43" s="131" t="s">
        <v>285</v>
      </c>
      <c r="AT43" s="137"/>
      <c r="AU43" s="137"/>
      <c r="AV43" s="137"/>
      <c r="AW43" s="137"/>
      <c r="AX43" s="137"/>
      <c r="AY43" s="137"/>
      <c r="AZ43" s="137"/>
      <c r="BA43" s="137"/>
      <c r="BB43" s="137"/>
      <c r="BC43" s="137"/>
      <c r="BD43" s="138"/>
    </row>
    <row r="44" spans="1:57" s="1" customFormat="1" ht="14.4" customHeight="1">
      <c r="A44" s="145">
        <f>IF(B44="","",COUNTA($B$8:B44))</f>
        <v>36</v>
      </c>
      <c r="B44" s="8" t="s">
        <v>286</v>
      </c>
      <c r="C44" s="127"/>
      <c r="D44" s="127"/>
      <c r="E44" s="127"/>
      <c r="F44" s="127"/>
      <c r="G44" s="127"/>
      <c r="H44" s="148"/>
      <c r="I44" s="128" t="s">
        <v>287</v>
      </c>
      <c r="J44" s="129"/>
      <c r="K44" s="129"/>
      <c r="L44" s="129"/>
      <c r="M44" s="129"/>
      <c r="N44" s="129"/>
      <c r="O44" s="129"/>
      <c r="P44" s="129"/>
      <c r="Q44" s="147"/>
      <c r="R44" s="8" t="s">
        <v>286</v>
      </c>
      <c r="S44" s="129"/>
      <c r="T44" s="129"/>
      <c r="U44" s="129"/>
      <c r="V44" s="129"/>
      <c r="W44" s="129"/>
      <c r="X44" s="148"/>
      <c r="Y44" s="451" t="s">
        <v>155</v>
      </c>
      <c r="Z44" s="452"/>
      <c r="AA44" s="448" t="s">
        <v>156</v>
      </c>
      <c r="AB44" s="449"/>
      <c r="AC44" s="450"/>
      <c r="AD44" s="139">
        <v>1</v>
      </c>
      <c r="AE44" s="124"/>
      <c r="AF44" s="124"/>
      <c r="AG44" s="124"/>
      <c r="AH44" s="133">
        <v>0</v>
      </c>
      <c r="AI44" s="133"/>
      <c r="AJ44" s="133"/>
      <c r="AK44" s="133"/>
      <c r="AL44" s="133"/>
      <c r="AM44" s="133"/>
      <c r="AN44" s="133"/>
      <c r="AO44" s="124"/>
      <c r="AP44" s="124"/>
      <c r="AQ44" s="124"/>
      <c r="AR44" s="124"/>
      <c r="AS44" s="131" t="s">
        <v>288</v>
      </c>
      <c r="AT44" s="137"/>
      <c r="AU44" s="137"/>
      <c r="AV44" s="137"/>
      <c r="AW44" s="137"/>
      <c r="AX44" s="137"/>
      <c r="AY44" s="137"/>
      <c r="AZ44" s="137"/>
      <c r="BA44" s="137"/>
      <c r="BB44" s="137"/>
      <c r="BC44" s="137"/>
      <c r="BD44" s="138"/>
    </row>
    <row r="45" spans="1:57" s="1" customFormat="1" ht="14.4" customHeight="1">
      <c r="A45" s="145">
        <f>IF(B45="","",COUNTA($B$8:B45))</f>
        <v>37</v>
      </c>
      <c r="B45" s="8" t="s">
        <v>249</v>
      </c>
      <c r="C45" s="127"/>
      <c r="D45" s="127"/>
      <c r="E45" s="127"/>
      <c r="F45" s="127"/>
      <c r="G45" s="127"/>
      <c r="H45" s="148"/>
      <c r="I45" s="128" t="s">
        <v>250</v>
      </c>
      <c r="J45" s="129"/>
      <c r="K45" s="129"/>
      <c r="L45" s="129"/>
      <c r="M45" s="129"/>
      <c r="N45" s="129"/>
      <c r="O45" s="129"/>
      <c r="P45" s="129"/>
      <c r="Q45" s="147"/>
      <c r="R45" s="8" t="s">
        <v>249</v>
      </c>
      <c r="S45" s="129"/>
      <c r="T45" s="129"/>
      <c r="U45" s="129"/>
      <c r="V45" s="129"/>
      <c r="W45" s="129"/>
      <c r="X45" s="148"/>
      <c r="Y45" s="451" t="s">
        <v>150</v>
      </c>
      <c r="Z45" s="452"/>
      <c r="AA45" s="448" t="s">
        <v>151</v>
      </c>
      <c r="AB45" s="449"/>
      <c r="AC45" s="450"/>
      <c r="AD45" s="139">
        <v>4</v>
      </c>
      <c r="AE45" s="124"/>
      <c r="AF45" s="124"/>
      <c r="AG45" s="124"/>
      <c r="AH45" s="133"/>
      <c r="AI45" s="133"/>
      <c r="AJ45" s="133"/>
      <c r="AK45" s="133"/>
      <c r="AL45" s="133"/>
      <c r="AM45" s="133"/>
      <c r="AN45" s="133"/>
      <c r="AO45" s="124"/>
      <c r="AP45" s="124"/>
      <c r="AQ45" s="124"/>
      <c r="AR45" s="124"/>
      <c r="AS45" s="131"/>
      <c r="AT45" s="137"/>
      <c r="AU45" s="137"/>
      <c r="AV45" s="137"/>
      <c r="AW45" s="137"/>
      <c r="AX45" s="137"/>
      <c r="AY45" s="137"/>
      <c r="AZ45" s="137"/>
      <c r="BA45" s="137"/>
      <c r="BB45" s="137"/>
      <c r="BC45" s="137"/>
      <c r="BD45" s="138"/>
    </row>
    <row r="46" spans="1:57" s="1" customFormat="1" ht="14.4" customHeight="1">
      <c r="A46" s="145">
        <f>IF(B46="","",COUNTA($B$8:B46))</f>
        <v>38</v>
      </c>
      <c r="B46" s="8" t="s">
        <v>251</v>
      </c>
      <c r="C46" s="127"/>
      <c r="D46" s="127"/>
      <c r="E46" s="127"/>
      <c r="F46" s="127"/>
      <c r="G46" s="127"/>
      <c r="H46" s="148"/>
      <c r="I46" s="128" t="s">
        <v>252</v>
      </c>
      <c r="J46" s="129"/>
      <c r="K46" s="129"/>
      <c r="L46" s="129"/>
      <c r="M46" s="129"/>
      <c r="N46" s="129"/>
      <c r="O46" s="129"/>
      <c r="P46" s="129"/>
      <c r="Q46" s="147"/>
      <c r="R46" s="8" t="s">
        <v>251</v>
      </c>
      <c r="S46" s="129"/>
      <c r="T46" s="129"/>
      <c r="U46" s="129"/>
      <c r="V46" s="129"/>
      <c r="W46" s="129"/>
      <c r="X46" s="148"/>
      <c r="Y46" s="451" t="s">
        <v>150</v>
      </c>
      <c r="Z46" s="452"/>
      <c r="AA46" s="448" t="s">
        <v>151</v>
      </c>
      <c r="AB46" s="449"/>
      <c r="AC46" s="450"/>
      <c r="AD46" s="139">
        <v>4</v>
      </c>
      <c r="AE46" s="124"/>
      <c r="AF46" s="124"/>
      <c r="AG46" s="124"/>
      <c r="AH46" s="133"/>
      <c r="AI46" s="133"/>
      <c r="AJ46" s="133"/>
      <c r="AK46" s="133"/>
      <c r="AL46" s="133"/>
      <c r="AM46" s="133"/>
      <c r="AN46" s="133"/>
      <c r="AO46" s="124"/>
      <c r="AP46" s="124"/>
      <c r="AQ46" s="124"/>
      <c r="AR46" s="124"/>
      <c r="AS46" s="131"/>
      <c r="AT46" s="137"/>
      <c r="AU46" s="137"/>
      <c r="AV46" s="137"/>
      <c r="AW46" s="137"/>
      <c r="AX46" s="137"/>
      <c r="AY46" s="137"/>
      <c r="AZ46" s="137"/>
      <c r="BA46" s="137"/>
      <c r="BB46" s="137"/>
      <c r="BC46" s="137"/>
      <c r="BD46" s="138"/>
    </row>
    <row r="47" spans="1:57" s="1" customFormat="1" ht="14.4" customHeight="1">
      <c r="A47" s="145">
        <f>IF(B47="","",COUNTA($B$8:B47))</f>
        <v>39</v>
      </c>
      <c r="B47" s="8" t="s">
        <v>253</v>
      </c>
      <c r="C47" s="127"/>
      <c r="D47" s="127"/>
      <c r="E47" s="127"/>
      <c r="F47" s="127"/>
      <c r="G47" s="127"/>
      <c r="H47" s="148"/>
      <c r="I47" s="131" t="s">
        <v>254</v>
      </c>
      <c r="J47" s="129"/>
      <c r="K47" s="129"/>
      <c r="L47" s="129"/>
      <c r="M47" s="129"/>
      <c r="N47" s="129"/>
      <c r="O47" s="129"/>
      <c r="P47" s="129"/>
      <c r="Q47" s="147"/>
      <c r="R47" s="8" t="s">
        <v>253</v>
      </c>
      <c r="S47" s="129"/>
      <c r="T47" s="129"/>
      <c r="U47" s="129"/>
      <c r="V47" s="129"/>
      <c r="W47" s="129"/>
      <c r="X47" s="148"/>
      <c r="Y47" s="451" t="s">
        <v>150</v>
      </c>
      <c r="Z47" s="452"/>
      <c r="AA47" s="448" t="s">
        <v>151</v>
      </c>
      <c r="AB47" s="449"/>
      <c r="AC47" s="450"/>
      <c r="AD47" s="139">
        <v>10</v>
      </c>
      <c r="AE47" s="124"/>
      <c r="AF47" s="124"/>
      <c r="AG47" s="124"/>
      <c r="AH47" s="133"/>
      <c r="AI47" s="133"/>
      <c r="AJ47" s="133"/>
      <c r="AK47" s="133"/>
      <c r="AL47" s="133"/>
      <c r="AM47" s="133"/>
      <c r="AN47" s="133"/>
      <c r="AO47" s="124"/>
      <c r="AP47" s="124"/>
      <c r="AQ47" s="124"/>
      <c r="AR47" s="124"/>
      <c r="AS47" s="131"/>
      <c r="AT47" s="137"/>
      <c r="AU47" s="137"/>
      <c r="AV47" s="137"/>
      <c r="AW47" s="137"/>
      <c r="AX47" s="137"/>
      <c r="AY47" s="137"/>
      <c r="AZ47" s="137"/>
      <c r="BA47" s="137"/>
      <c r="BB47" s="137"/>
      <c r="BC47" s="137"/>
      <c r="BD47" s="138"/>
    </row>
    <row r="48" spans="1:57" s="1" customFormat="1" ht="14.4" customHeight="1">
      <c r="A48" s="145">
        <f>IF(B48="","",COUNTA($B$8:B48))</f>
        <v>40</v>
      </c>
      <c r="B48" s="8" t="s">
        <v>255</v>
      </c>
      <c r="C48" s="127"/>
      <c r="D48" s="127"/>
      <c r="E48" s="127"/>
      <c r="F48" s="127"/>
      <c r="G48" s="127"/>
      <c r="H48" s="148"/>
      <c r="I48" s="131" t="s">
        <v>256</v>
      </c>
      <c r="J48" s="129"/>
      <c r="K48" s="129"/>
      <c r="L48" s="129"/>
      <c r="M48" s="129"/>
      <c r="N48" s="129"/>
      <c r="O48" s="129"/>
      <c r="P48" s="129"/>
      <c r="Q48" s="147"/>
      <c r="R48" s="8" t="s">
        <v>255</v>
      </c>
      <c r="S48" s="129"/>
      <c r="T48" s="129"/>
      <c r="U48" s="129"/>
      <c r="V48" s="129"/>
      <c r="W48" s="129"/>
      <c r="X48" s="148"/>
      <c r="Y48" s="451" t="s">
        <v>150</v>
      </c>
      <c r="Z48" s="452"/>
      <c r="AA48" s="448" t="s">
        <v>151</v>
      </c>
      <c r="AB48" s="449"/>
      <c r="AC48" s="450"/>
      <c r="AD48" s="139">
        <v>10</v>
      </c>
      <c r="AE48" s="124"/>
      <c r="AF48" s="124"/>
      <c r="AG48" s="124"/>
      <c r="AH48" s="133"/>
      <c r="AI48" s="133"/>
      <c r="AJ48" s="133"/>
      <c r="AK48" s="133"/>
      <c r="AL48" s="133"/>
      <c r="AM48" s="133"/>
      <c r="AN48" s="133"/>
      <c r="AO48" s="124"/>
      <c r="AP48" s="124"/>
      <c r="AQ48" s="124"/>
      <c r="AR48" s="124"/>
      <c r="AS48" s="131"/>
      <c r="AT48" s="137"/>
      <c r="AU48" s="137"/>
      <c r="AV48" s="137"/>
      <c r="AW48" s="137"/>
      <c r="AX48" s="137"/>
      <c r="AY48" s="137"/>
      <c r="AZ48" s="137"/>
      <c r="BA48" s="137"/>
      <c r="BB48" s="137"/>
      <c r="BC48" s="137"/>
      <c r="BD48" s="138"/>
    </row>
    <row r="49" spans="1:56" s="1" customFormat="1" ht="14.4" customHeight="1">
      <c r="A49" s="145">
        <f>IF(B49="","",COUNTA($B$8:B49))</f>
        <v>41</v>
      </c>
      <c r="B49" s="8" t="s">
        <v>257</v>
      </c>
      <c r="C49" s="127"/>
      <c r="D49" s="127"/>
      <c r="E49" s="127"/>
      <c r="F49" s="127"/>
      <c r="G49" s="127"/>
      <c r="H49" s="148"/>
      <c r="I49" s="131" t="s">
        <v>258</v>
      </c>
      <c r="J49" s="129"/>
      <c r="K49" s="129"/>
      <c r="L49" s="129"/>
      <c r="M49" s="129"/>
      <c r="N49" s="129"/>
      <c r="O49" s="129"/>
      <c r="P49" s="129"/>
      <c r="Q49" s="147"/>
      <c r="R49" s="8" t="s">
        <v>257</v>
      </c>
      <c r="S49" s="129"/>
      <c r="T49" s="129"/>
      <c r="U49" s="129"/>
      <c r="V49" s="129"/>
      <c r="W49" s="129"/>
      <c r="X49" s="148"/>
      <c r="Y49" s="451" t="s">
        <v>169</v>
      </c>
      <c r="Z49" s="452"/>
      <c r="AA49" s="448" t="s">
        <v>243</v>
      </c>
      <c r="AB49" s="449"/>
      <c r="AC49" s="450"/>
      <c r="AD49" s="188"/>
      <c r="AE49" s="124"/>
      <c r="AF49" s="124"/>
      <c r="AG49" s="124"/>
      <c r="AH49" s="134"/>
      <c r="AI49" s="134"/>
      <c r="AJ49" s="133"/>
      <c r="AK49" s="133"/>
      <c r="AL49" s="133"/>
      <c r="AM49" s="133"/>
      <c r="AN49" s="133"/>
      <c r="AO49" s="124"/>
      <c r="AP49" s="124"/>
      <c r="AQ49" s="124"/>
      <c r="AR49" s="124"/>
      <c r="AS49" s="131"/>
      <c r="AT49" s="137"/>
      <c r="AU49" s="137"/>
      <c r="AV49" s="137"/>
      <c r="AW49" s="137"/>
      <c r="AX49" s="137"/>
      <c r="AY49" s="137"/>
      <c r="AZ49" s="137"/>
      <c r="BA49" s="137"/>
      <c r="BB49" s="137"/>
      <c r="BC49" s="137"/>
      <c r="BD49" s="138"/>
    </row>
    <row r="50" spans="1:56" s="1" customFormat="1" ht="14.4" customHeight="1">
      <c r="A50" s="145">
        <f>IF(B50="","",COUNTA($B$8:B50))</f>
        <v>42</v>
      </c>
      <c r="B50" s="8" t="s">
        <v>259</v>
      </c>
      <c r="C50" s="127"/>
      <c r="D50" s="127"/>
      <c r="E50" s="127"/>
      <c r="F50" s="127"/>
      <c r="G50" s="127"/>
      <c r="H50" s="148"/>
      <c r="I50" s="131" t="s">
        <v>260</v>
      </c>
      <c r="J50" s="129"/>
      <c r="K50" s="129"/>
      <c r="L50" s="129"/>
      <c r="M50" s="129"/>
      <c r="N50" s="129"/>
      <c r="O50" s="129"/>
      <c r="P50" s="129"/>
      <c r="Q50" s="147"/>
      <c r="R50" s="8" t="s">
        <v>259</v>
      </c>
      <c r="S50" s="129"/>
      <c r="T50" s="129"/>
      <c r="U50" s="129"/>
      <c r="V50" s="129"/>
      <c r="W50" s="129"/>
      <c r="X50" s="148"/>
      <c r="Y50" s="451" t="s">
        <v>150</v>
      </c>
      <c r="Z50" s="452"/>
      <c r="AA50" s="448" t="s">
        <v>151</v>
      </c>
      <c r="AB50" s="449"/>
      <c r="AC50" s="450"/>
      <c r="AD50" s="139">
        <v>10</v>
      </c>
      <c r="AE50" s="124"/>
      <c r="AF50" s="124"/>
      <c r="AG50" s="124"/>
      <c r="AH50" s="134"/>
      <c r="AI50" s="134"/>
      <c r="AJ50" s="133"/>
      <c r="AK50" s="133"/>
      <c r="AL50" s="133"/>
      <c r="AM50" s="133"/>
      <c r="AN50" s="133"/>
      <c r="AO50" s="124"/>
      <c r="AP50" s="124"/>
      <c r="AQ50" s="124"/>
      <c r="AR50" s="124"/>
      <c r="AS50" s="131"/>
      <c r="AT50" s="137"/>
      <c r="AU50" s="137"/>
      <c r="AV50" s="137"/>
      <c r="AW50" s="137"/>
      <c r="AX50" s="137"/>
      <c r="AY50" s="137"/>
      <c r="AZ50" s="137"/>
      <c r="BA50" s="137"/>
      <c r="BB50" s="137"/>
      <c r="BC50" s="137"/>
      <c r="BD50" s="138"/>
    </row>
    <row r="51" spans="1:56" s="1" customFormat="1" ht="14.4" customHeight="1">
      <c r="A51" s="145">
        <f>IF(B51="","",COUNTA($B$8:B51))</f>
        <v>43</v>
      </c>
      <c r="B51" s="8" t="s">
        <v>261</v>
      </c>
      <c r="C51" s="127"/>
      <c r="D51" s="127"/>
      <c r="E51" s="127"/>
      <c r="F51" s="127"/>
      <c r="G51" s="127"/>
      <c r="H51" s="148"/>
      <c r="I51" s="131" t="s">
        <v>262</v>
      </c>
      <c r="J51" s="129"/>
      <c r="K51" s="129"/>
      <c r="L51" s="129"/>
      <c r="M51" s="129"/>
      <c r="N51" s="129"/>
      <c r="O51" s="129"/>
      <c r="P51" s="129"/>
      <c r="Q51" s="147"/>
      <c r="R51" s="8" t="s">
        <v>261</v>
      </c>
      <c r="S51" s="129"/>
      <c r="T51" s="129"/>
      <c r="U51" s="129"/>
      <c r="V51" s="129"/>
      <c r="W51" s="129"/>
      <c r="X51" s="148"/>
      <c r="Y51" s="451" t="s">
        <v>150</v>
      </c>
      <c r="Z51" s="452"/>
      <c r="AA51" s="448" t="s">
        <v>151</v>
      </c>
      <c r="AB51" s="449"/>
      <c r="AC51" s="450"/>
      <c r="AD51" s="188">
        <v>10</v>
      </c>
      <c r="AE51" s="124"/>
      <c r="AF51" s="124"/>
      <c r="AG51" s="124"/>
      <c r="AH51" s="133"/>
      <c r="AI51" s="133"/>
      <c r="AJ51" s="133"/>
      <c r="AK51" s="133"/>
      <c r="AL51" s="134"/>
      <c r="AM51" s="134"/>
      <c r="AN51" s="134"/>
      <c r="AO51" s="135"/>
      <c r="AP51" s="135"/>
      <c r="AQ51" s="135"/>
      <c r="AR51" s="135"/>
      <c r="AS51" s="136"/>
      <c r="AT51" s="190"/>
      <c r="AU51" s="137"/>
      <c r="AV51" s="137"/>
      <c r="AW51" s="137"/>
      <c r="AX51" s="137"/>
      <c r="AY51" s="137"/>
      <c r="AZ51" s="137"/>
      <c r="BA51" s="137"/>
      <c r="BB51" s="137"/>
      <c r="BC51" s="137"/>
      <c r="BD51" s="138"/>
    </row>
    <row r="52" spans="1:56" s="1" customFormat="1" ht="14.4" customHeight="1">
      <c r="A52" s="145">
        <f>IF(B52="","",COUNTA($B$8:B52))</f>
        <v>44</v>
      </c>
      <c r="B52" s="8" t="s">
        <v>263</v>
      </c>
      <c r="C52" s="127"/>
      <c r="D52" s="127"/>
      <c r="E52" s="127"/>
      <c r="F52" s="127"/>
      <c r="G52" s="127"/>
      <c r="H52" s="148"/>
      <c r="I52" s="131" t="s">
        <v>264</v>
      </c>
      <c r="J52" s="129"/>
      <c r="K52" s="129"/>
      <c r="L52" s="129"/>
      <c r="M52" s="129"/>
      <c r="N52" s="129"/>
      <c r="O52" s="129"/>
      <c r="P52" s="129"/>
      <c r="Q52" s="147"/>
      <c r="R52" s="146" t="s">
        <v>263</v>
      </c>
      <c r="S52" s="129"/>
      <c r="T52" s="129"/>
      <c r="U52" s="129"/>
      <c r="V52" s="129"/>
      <c r="W52" s="129"/>
      <c r="X52" s="148"/>
      <c r="Y52" s="451" t="s">
        <v>169</v>
      </c>
      <c r="Z52" s="452"/>
      <c r="AA52" s="448" t="s">
        <v>243</v>
      </c>
      <c r="AB52" s="449"/>
      <c r="AC52" s="450"/>
      <c r="AD52" s="188"/>
      <c r="AE52" s="124"/>
      <c r="AF52" s="124"/>
      <c r="AG52" s="124"/>
      <c r="AH52" s="134"/>
      <c r="AI52" s="134"/>
      <c r="AJ52" s="134"/>
      <c r="AK52" s="134"/>
      <c r="AL52" s="134"/>
      <c r="AM52" s="134"/>
      <c r="AN52" s="134"/>
      <c r="AO52" s="135"/>
      <c r="AP52" s="135"/>
      <c r="AQ52" s="135"/>
      <c r="AR52" s="135"/>
      <c r="AS52" s="136"/>
      <c r="AT52" s="190"/>
      <c r="AU52" s="137"/>
      <c r="AV52" s="137"/>
      <c r="AW52" s="137"/>
      <c r="AX52" s="137"/>
      <c r="AY52" s="137"/>
      <c r="AZ52" s="137"/>
      <c r="BA52" s="137"/>
      <c r="BB52" s="137"/>
      <c r="BC52" s="137"/>
      <c r="BD52" s="138"/>
    </row>
    <row r="53" spans="1:56" ht="14.4" customHeight="1">
      <c r="A53" s="70" t="str">
        <f>IF(B53="","",COUNTA($B$8:B53))</f>
        <v/>
      </c>
      <c r="B53" s="19"/>
      <c r="C53" s="20"/>
      <c r="D53" s="20"/>
      <c r="E53" s="20"/>
      <c r="F53" s="20"/>
      <c r="G53" s="20"/>
      <c r="H53" s="24"/>
      <c r="I53" s="34"/>
      <c r="J53" s="23"/>
      <c r="K53" s="23"/>
      <c r="L53" s="23"/>
      <c r="M53" s="23"/>
      <c r="N53" s="23"/>
      <c r="O53" s="23"/>
      <c r="P53" s="23"/>
      <c r="Q53" s="37"/>
      <c r="R53" s="19"/>
      <c r="S53" s="23"/>
      <c r="T53" s="23"/>
      <c r="U53" s="23"/>
      <c r="V53" s="23"/>
      <c r="W53" s="23"/>
      <c r="X53" s="24"/>
      <c r="Y53" s="440"/>
      <c r="Z53" s="441"/>
      <c r="AA53" s="442"/>
      <c r="AB53" s="443"/>
      <c r="AC53" s="444"/>
      <c r="AD53" s="30"/>
      <c r="AE53" s="29" t="s">
        <v>244</v>
      </c>
      <c r="AF53" s="29"/>
      <c r="AG53" s="29"/>
      <c r="AH53" s="40"/>
      <c r="AI53" s="40"/>
      <c r="AJ53" s="40"/>
      <c r="AK53" s="40"/>
      <c r="AL53" s="40"/>
      <c r="AM53" s="40"/>
      <c r="AN53" s="40"/>
      <c r="AO53" s="41"/>
      <c r="AP53" s="41"/>
      <c r="AQ53" s="41"/>
      <c r="AR53" s="41"/>
      <c r="AS53" s="42"/>
      <c r="AT53" s="43"/>
      <c r="AU53" s="67"/>
      <c r="AV53" s="67"/>
      <c r="AW53" s="67"/>
      <c r="AX53" s="67"/>
      <c r="AY53" s="67"/>
      <c r="AZ53" s="67"/>
      <c r="BA53" s="67"/>
      <c r="BB53" s="67"/>
      <c r="BC53" s="67"/>
      <c r="BD53" s="68"/>
    </row>
    <row r="54" spans="1:56" ht="14.4" customHeight="1">
      <c r="A54" s="70" t="str">
        <f>IF(B54="","",COUNTA($B$8:B54))</f>
        <v/>
      </c>
      <c r="B54" s="19"/>
      <c r="C54" s="20"/>
      <c r="D54" s="20"/>
      <c r="E54" s="20"/>
      <c r="F54" s="20"/>
      <c r="G54" s="20"/>
      <c r="H54" s="24"/>
      <c r="I54" s="34"/>
      <c r="J54" s="23"/>
      <c r="K54" s="23"/>
      <c r="L54" s="23"/>
      <c r="M54" s="23"/>
      <c r="N54" s="23"/>
      <c r="O54" s="23"/>
      <c r="P54" s="23"/>
      <c r="Q54" s="37"/>
      <c r="R54" s="19"/>
      <c r="S54" s="23"/>
      <c r="T54" s="23"/>
      <c r="U54" s="23"/>
      <c r="V54" s="23"/>
      <c r="W54" s="23"/>
      <c r="X54" s="24"/>
      <c r="Y54" s="440"/>
      <c r="Z54" s="441"/>
      <c r="AA54" s="442"/>
      <c r="AB54" s="443"/>
      <c r="AC54" s="444"/>
      <c r="AD54" s="30"/>
      <c r="AE54" s="29" t="s">
        <v>244</v>
      </c>
      <c r="AF54" s="29"/>
      <c r="AG54" s="29"/>
      <c r="AH54" s="40"/>
      <c r="AI54" s="40"/>
      <c r="AJ54" s="40"/>
      <c r="AK54" s="40"/>
      <c r="AL54" s="40"/>
      <c r="AM54" s="40"/>
      <c r="AN54" s="40"/>
      <c r="AO54" s="41"/>
      <c r="AP54" s="41"/>
      <c r="AQ54" s="41"/>
      <c r="AR54" s="41"/>
      <c r="AS54" s="42"/>
      <c r="AT54" s="43"/>
      <c r="AU54" s="67"/>
      <c r="AV54" s="67"/>
      <c r="AW54" s="67"/>
      <c r="AX54" s="67"/>
      <c r="AY54" s="67"/>
      <c r="AZ54" s="67"/>
      <c r="BA54" s="67"/>
      <c r="BB54" s="67"/>
      <c r="BC54" s="67"/>
      <c r="BD54" s="68"/>
    </row>
    <row r="55" spans="1:56" ht="14.4" customHeight="1">
      <c r="A55" s="70" t="str">
        <f>IF(B55="","",COUNTA($B$8:B55))</f>
        <v/>
      </c>
      <c r="B55" s="19"/>
      <c r="C55" s="20"/>
      <c r="D55" s="20"/>
      <c r="E55" s="20"/>
      <c r="F55" s="20"/>
      <c r="G55" s="20"/>
      <c r="H55" s="24"/>
      <c r="I55" s="34"/>
      <c r="J55" s="23"/>
      <c r="K55" s="23"/>
      <c r="L55" s="23"/>
      <c r="M55" s="23"/>
      <c r="N55" s="23"/>
      <c r="O55" s="23"/>
      <c r="P55" s="23"/>
      <c r="Q55" s="37"/>
      <c r="R55" s="19"/>
      <c r="S55" s="23"/>
      <c r="T55" s="23"/>
      <c r="U55" s="23"/>
      <c r="V55" s="23"/>
      <c r="W55" s="23"/>
      <c r="X55" s="24"/>
      <c r="Y55" s="440"/>
      <c r="Z55" s="441"/>
      <c r="AA55" s="442"/>
      <c r="AB55" s="443"/>
      <c r="AC55" s="444"/>
      <c r="AD55" s="30"/>
      <c r="AE55" s="29" t="s">
        <v>244</v>
      </c>
      <c r="AF55" s="29"/>
      <c r="AG55" s="29"/>
      <c r="AH55" s="40"/>
      <c r="AI55" s="40"/>
      <c r="AJ55" s="40"/>
      <c r="AK55" s="40"/>
      <c r="AL55" s="40"/>
      <c r="AM55" s="40"/>
      <c r="AN55" s="40"/>
      <c r="AO55" s="41"/>
      <c r="AP55" s="41"/>
      <c r="AQ55" s="41"/>
      <c r="AR55" s="41"/>
      <c r="AS55" s="42"/>
      <c r="AT55" s="43"/>
      <c r="AU55" s="67"/>
      <c r="AV55" s="67"/>
      <c r="AW55" s="67"/>
      <c r="AX55" s="67"/>
      <c r="AY55" s="67"/>
      <c r="AZ55" s="67"/>
      <c r="BA55" s="67"/>
      <c r="BB55" s="67"/>
      <c r="BC55" s="67"/>
      <c r="BD55" s="68"/>
    </row>
    <row r="56" spans="1:56" ht="14.4" customHeight="1">
      <c r="A56" s="70" t="str">
        <f>IF(B56="","",COUNTA($B$8:B56))</f>
        <v/>
      </c>
      <c r="B56" s="19"/>
      <c r="C56" s="20"/>
      <c r="D56" s="20"/>
      <c r="E56" s="20"/>
      <c r="F56" s="20"/>
      <c r="G56" s="20"/>
      <c r="H56" s="24"/>
      <c r="I56" s="34"/>
      <c r="J56" s="23"/>
      <c r="K56" s="23"/>
      <c r="L56" s="23"/>
      <c r="M56" s="23"/>
      <c r="N56" s="23"/>
      <c r="O56" s="23"/>
      <c r="P56" s="23"/>
      <c r="Q56" s="37"/>
      <c r="R56" s="19"/>
      <c r="S56" s="23"/>
      <c r="T56" s="23"/>
      <c r="U56" s="23"/>
      <c r="V56" s="23"/>
      <c r="W56" s="23"/>
      <c r="X56" s="24"/>
      <c r="Y56" s="440"/>
      <c r="Z56" s="441"/>
      <c r="AA56" s="442"/>
      <c r="AB56" s="443"/>
      <c r="AC56" s="444"/>
      <c r="AD56" s="30"/>
      <c r="AE56" s="29" t="s">
        <v>244</v>
      </c>
      <c r="AF56" s="29"/>
      <c r="AG56" s="29"/>
      <c r="AH56" s="40"/>
      <c r="AI56" s="40"/>
      <c r="AJ56" s="40"/>
      <c r="AK56" s="40"/>
      <c r="AL56" s="40"/>
      <c r="AM56" s="40"/>
      <c r="AN56" s="40"/>
      <c r="AO56" s="41"/>
      <c r="AP56" s="41"/>
      <c r="AQ56" s="41"/>
      <c r="AR56" s="41"/>
      <c r="AS56" s="42"/>
      <c r="AT56" s="43"/>
      <c r="AU56" s="67"/>
      <c r="AV56" s="67"/>
      <c r="AW56" s="67"/>
      <c r="AX56" s="67"/>
      <c r="AY56" s="67"/>
      <c r="AZ56" s="67"/>
      <c r="BA56" s="67"/>
      <c r="BB56" s="67"/>
      <c r="BC56" s="67"/>
      <c r="BD56" s="68"/>
    </row>
    <row r="57" spans="1:56" ht="14.4" customHeight="1">
      <c r="A57" s="70" t="str">
        <f>IF(B57="","",COUNTA($B$8:B57))</f>
        <v/>
      </c>
      <c r="B57" s="19"/>
      <c r="C57" s="20"/>
      <c r="D57" s="20"/>
      <c r="E57" s="20"/>
      <c r="F57" s="20"/>
      <c r="G57" s="20"/>
      <c r="H57" s="24"/>
      <c r="I57" s="34"/>
      <c r="J57" s="23"/>
      <c r="K57" s="23"/>
      <c r="L57" s="23"/>
      <c r="M57" s="23"/>
      <c r="N57" s="23"/>
      <c r="O57" s="23"/>
      <c r="P57" s="23"/>
      <c r="Q57" s="37"/>
      <c r="R57" s="19"/>
      <c r="S57" s="23"/>
      <c r="T57" s="23"/>
      <c r="U57" s="23"/>
      <c r="V57" s="23"/>
      <c r="W57" s="23"/>
      <c r="X57" s="24"/>
      <c r="Y57" s="440"/>
      <c r="Z57" s="441"/>
      <c r="AA57" s="442"/>
      <c r="AB57" s="443"/>
      <c r="AC57" s="444"/>
      <c r="AD57" s="30"/>
      <c r="AE57" s="29" t="s">
        <v>244</v>
      </c>
      <c r="AF57" s="29"/>
      <c r="AG57" s="29"/>
      <c r="AH57" s="40"/>
      <c r="AI57" s="40"/>
      <c r="AJ57" s="40"/>
      <c r="AK57" s="40"/>
      <c r="AL57" s="40"/>
      <c r="AM57" s="40"/>
      <c r="AN57" s="40"/>
      <c r="AO57" s="41"/>
      <c r="AP57" s="41"/>
      <c r="AQ57" s="41"/>
      <c r="AR57" s="41"/>
      <c r="AS57" s="42"/>
      <c r="AT57" s="43"/>
      <c r="AU57" s="67"/>
      <c r="AV57" s="67"/>
      <c r="AW57" s="67"/>
      <c r="AX57" s="67"/>
      <c r="AY57" s="67"/>
      <c r="AZ57" s="67"/>
      <c r="BA57" s="67"/>
      <c r="BB57" s="67"/>
      <c r="BC57" s="67"/>
      <c r="BD57" s="68"/>
    </row>
    <row r="58" spans="1:56" ht="14.4" customHeight="1">
      <c r="A58" s="70" t="str">
        <f>IF(B58="","",COUNTA($B$8:B58))</f>
        <v/>
      </c>
      <c r="B58" s="19"/>
      <c r="C58" s="20"/>
      <c r="D58" s="20"/>
      <c r="E58" s="20"/>
      <c r="F58" s="20"/>
      <c r="G58" s="20"/>
      <c r="H58" s="24"/>
      <c r="I58" s="34"/>
      <c r="J58" s="23"/>
      <c r="K58" s="23"/>
      <c r="L58" s="23"/>
      <c r="M58" s="23"/>
      <c r="N58" s="23"/>
      <c r="O58" s="23"/>
      <c r="P58" s="23"/>
      <c r="Q58" s="37"/>
      <c r="R58" s="19"/>
      <c r="S58" s="23"/>
      <c r="T58" s="23"/>
      <c r="U58" s="23"/>
      <c r="V58" s="23"/>
      <c r="W58" s="23"/>
      <c r="X58" s="24"/>
      <c r="Y58" s="440"/>
      <c r="Z58" s="441"/>
      <c r="AA58" s="442"/>
      <c r="AB58" s="443"/>
      <c r="AC58" s="444"/>
      <c r="AD58" s="30"/>
      <c r="AE58" s="29" t="s">
        <v>244</v>
      </c>
      <c r="AF58" s="29"/>
      <c r="AG58" s="29"/>
      <c r="AH58" s="40"/>
      <c r="AI58" s="40"/>
      <c r="AJ58" s="40"/>
      <c r="AK58" s="40"/>
      <c r="AL58" s="40"/>
      <c r="AM58" s="40"/>
      <c r="AN58" s="40"/>
      <c r="AO58" s="41"/>
      <c r="AP58" s="41"/>
      <c r="AQ58" s="41"/>
      <c r="AR58" s="41"/>
      <c r="AS58" s="42"/>
      <c r="AT58" s="43"/>
      <c r="AU58" s="67"/>
      <c r="AV58" s="67"/>
      <c r="AW58" s="67"/>
      <c r="AX58" s="67"/>
      <c r="AY58" s="67"/>
      <c r="AZ58" s="67"/>
      <c r="BA58" s="67"/>
      <c r="BB58" s="67"/>
      <c r="BC58" s="67"/>
      <c r="BD58" s="68"/>
    </row>
    <row r="59" spans="1:56" ht="14.4" customHeight="1">
      <c r="A59" s="70" t="str">
        <f>IF(B59="","",COUNTA($B$8:B59))</f>
        <v/>
      </c>
      <c r="B59" s="19"/>
      <c r="C59" s="20"/>
      <c r="D59" s="20"/>
      <c r="E59" s="20"/>
      <c r="F59" s="20"/>
      <c r="G59" s="20"/>
      <c r="H59" s="24"/>
      <c r="I59" s="34"/>
      <c r="J59" s="23"/>
      <c r="K59" s="23"/>
      <c r="L59" s="23"/>
      <c r="M59" s="23"/>
      <c r="N59" s="23"/>
      <c r="O59" s="23"/>
      <c r="P59" s="23"/>
      <c r="Q59" s="37"/>
      <c r="R59" s="19"/>
      <c r="S59" s="23"/>
      <c r="T59" s="23"/>
      <c r="U59" s="23"/>
      <c r="V59" s="23"/>
      <c r="W59" s="23"/>
      <c r="X59" s="24"/>
      <c r="Y59" s="440"/>
      <c r="Z59" s="441"/>
      <c r="AA59" s="442"/>
      <c r="AB59" s="443"/>
      <c r="AC59" s="444"/>
      <c r="AD59" s="30"/>
      <c r="AE59" s="29" t="s">
        <v>244</v>
      </c>
      <c r="AF59" s="29"/>
      <c r="AG59" s="29"/>
      <c r="AH59" s="40"/>
      <c r="AI59" s="40"/>
      <c r="AJ59" s="40"/>
      <c r="AK59" s="40"/>
      <c r="AL59" s="40"/>
      <c r="AM59" s="40"/>
      <c r="AN59" s="40"/>
      <c r="AO59" s="41"/>
      <c r="AP59" s="41"/>
      <c r="AQ59" s="41"/>
      <c r="AR59" s="41"/>
      <c r="AS59" s="42"/>
      <c r="AT59" s="43"/>
      <c r="AU59" s="67"/>
      <c r="AV59" s="67"/>
      <c r="AW59" s="67"/>
      <c r="AX59" s="67"/>
      <c r="AY59" s="67"/>
      <c r="AZ59" s="67"/>
      <c r="BA59" s="67"/>
      <c r="BB59" s="67"/>
      <c r="BC59" s="67"/>
      <c r="BD59" s="68"/>
    </row>
    <row r="60" spans="1:56" ht="14.4" customHeight="1">
      <c r="A60" s="70" t="str">
        <f>IF(B60="","",COUNTA($B$8:B60))</f>
        <v/>
      </c>
      <c r="B60" s="19"/>
      <c r="C60" s="20"/>
      <c r="D60" s="20"/>
      <c r="E60" s="20"/>
      <c r="F60" s="20"/>
      <c r="G60" s="20"/>
      <c r="H60" s="24"/>
      <c r="I60" s="34"/>
      <c r="J60" s="23"/>
      <c r="K60" s="23"/>
      <c r="L60" s="23"/>
      <c r="M60" s="23"/>
      <c r="N60" s="23"/>
      <c r="O60" s="23"/>
      <c r="P60" s="23"/>
      <c r="Q60" s="37"/>
      <c r="R60" s="19"/>
      <c r="S60" s="23"/>
      <c r="T60" s="23"/>
      <c r="U60" s="23"/>
      <c r="V60" s="23"/>
      <c r="W60" s="23"/>
      <c r="X60" s="24"/>
      <c r="Y60" s="440"/>
      <c r="Z60" s="441"/>
      <c r="AA60" s="442"/>
      <c r="AB60" s="443"/>
      <c r="AC60" s="444"/>
      <c r="AD60" s="30"/>
      <c r="AE60" s="29" t="s">
        <v>244</v>
      </c>
      <c r="AF60" s="29"/>
      <c r="AG60" s="29"/>
      <c r="AH60" s="40"/>
      <c r="AI60" s="40"/>
      <c r="AJ60" s="40"/>
      <c r="AK60" s="40"/>
      <c r="AL60" s="40"/>
      <c r="AM60" s="40"/>
      <c r="AN60" s="40"/>
      <c r="AO60" s="41"/>
      <c r="AP60" s="41"/>
      <c r="AQ60" s="41"/>
      <c r="AR60" s="41"/>
      <c r="AS60" s="42"/>
      <c r="AT60" s="43"/>
      <c r="AU60" s="67"/>
      <c r="AV60" s="67"/>
      <c r="AW60" s="67"/>
      <c r="AX60" s="67"/>
      <c r="AY60" s="67"/>
      <c r="AZ60" s="67"/>
      <c r="BA60" s="67"/>
      <c r="BB60" s="67"/>
      <c r="BC60" s="67"/>
      <c r="BD60" s="68"/>
    </row>
    <row r="61" spans="1:56" ht="14.4" customHeight="1">
      <c r="A61" s="70" t="str">
        <f>IF(B61="","",COUNTA($B$8:B61))</f>
        <v/>
      </c>
      <c r="B61" s="19"/>
      <c r="C61" s="20"/>
      <c r="D61" s="20"/>
      <c r="E61" s="20"/>
      <c r="F61" s="20"/>
      <c r="G61" s="20"/>
      <c r="H61" s="24"/>
      <c r="I61" s="34"/>
      <c r="J61" s="23"/>
      <c r="K61" s="23"/>
      <c r="L61" s="23"/>
      <c r="M61" s="23"/>
      <c r="N61" s="23"/>
      <c r="O61" s="23"/>
      <c r="P61" s="23"/>
      <c r="Q61" s="37"/>
      <c r="R61" s="19"/>
      <c r="S61" s="23"/>
      <c r="T61" s="23"/>
      <c r="U61" s="23"/>
      <c r="V61" s="23"/>
      <c r="W61" s="23"/>
      <c r="X61" s="24"/>
      <c r="Y61" s="440"/>
      <c r="Z61" s="441"/>
      <c r="AA61" s="442"/>
      <c r="AB61" s="443"/>
      <c r="AC61" s="444"/>
      <c r="AD61" s="30"/>
      <c r="AE61" s="29" t="s">
        <v>244</v>
      </c>
      <c r="AF61" s="29"/>
      <c r="AG61" s="29"/>
      <c r="AH61" s="40"/>
      <c r="AI61" s="40"/>
      <c r="AJ61" s="40"/>
      <c r="AK61" s="40"/>
      <c r="AL61" s="40"/>
      <c r="AM61" s="40"/>
      <c r="AN61" s="40"/>
      <c r="AO61" s="41"/>
      <c r="AP61" s="41"/>
      <c r="AQ61" s="41"/>
      <c r="AR61" s="41"/>
      <c r="AS61" s="42"/>
      <c r="AT61" s="43"/>
      <c r="AU61" s="67"/>
      <c r="AV61" s="67"/>
      <c r="AW61" s="67"/>
      <c r="AX61" s="67"/>
      <c r="AY61" s="67"/>
      <c r="AZ61" s="67"/>
      <c r="BA61" s="67"/>
      <c r="BB61" s="67"/>
      <c r="BC61" s="67"/>
      <c r="BD61" s="68"/>
    </row>
    <row r="62" spans="1:56" ht="14.4" customHeight="1">
      <c r="A62" s="70" t="str">
        <f>IF(B62="","",COUNTA($B$8:B62))</f>
        <v/>
      </c>
      <c r="B62" s="19"/>
      <c r="C62" s="20"/>
      <c r="D62" s="20"/>
      <c r="E62" s="20"/>
      <c r="F62" s="20"/>
      <c r="G62" s="20"/>
      <c r="H62" s="24"/>
      <c r="I62" s="34"/>
      <c r="J62" s="23"/>
      <c r="K62" s="23"/>
      <c r="L62" s="23"/>
      <c r="M62" s="23"/>
      <c r="N62" s="23"/>
      <c r="O62" s="23"/>
      <c r="P62" s="23"/>
      <c r="Q62" s="37"/>
      <c r="R62" s="19"/>
      <c r="S62" s="23"/>
      <c r="T62" s="23"/>
      <c r="U62" s="23"/>
      <c r="V62" s="23"/>
      <c r="W62" s="23"/>
      <c r="X62" s="24"/>
      <c r="Y62" s="440"/>
      <c r="Z62" s="441"/>
      <c r="AA62" s="442"/>
      <c r="AB62" s="443"/>
      <c r="AC62" s="444"/>
      <c r="AD62" s="30"/>
      <c r="AE62" s="29" t="s">
        <v>244</v>
      </c>
      <c r="AF62" s="29"/>
      <c r="AG62" s="29"/>
      <c r="AH62" s="40"/>
      <c r="AI62" s="40"/>
      <c r="AJ62" s="40"/>
      <c r="AK62" s="40"/>
      <c r="AL62" s="40"/>
      <c r="AM62" s="40"/>
      <c r="AN62" s="40"/>
      <c r="AO62" s="41"/>
      <c r="AP62" s="41"/>
      <c r="AQ62" s="41"/>
      <c r="AR62" s="41"/>
      <c r="AS62" s="42"/>
      <c r="AT62" s="43"/>
      <c r="AU62" s="67"/>
      <c r="AV62" s="67"/>
      <c r="AW62" s="67"/>
      <c r="AX62" s="67"/>
      <c r="AY62" s="67"/>
      <c r="AZ62" s="67"/>
      <c r="BA62" s="67"/>
      <c r="BB62" s="67"/>
      <c r="BC62" s="67"/>
      <c r="BD62" s="68"/>
    </row>
    <row r="63" spans="1:56" ht="14.4" customHeight="1">
      <c r="A63" s="70" t="str">
        <f>IF(B63="","",COUNTA($B$8:B63))</f>
        <v/>
      </c>
      <c r="B63" s="19"/>
      <c r="C63" s="20"/>
      <c r="D63" s="20"/>
      <c r="E63" s="20"/>
      <c r="F63" s="20"/>
      <c r="G63" s="20"/>
      <c r="H63" s="24"/>
      <c r="I63" s="34"/>
      <c r="J63" s="23"/>
      <c r="K63" s="23"/>
      <c r="L63" s="23"/>
      <c r="M63" s="23"/>
      <c r="N63" s="23"/>
      <c r="O63" s="23"/>
      <c r="P63" s="23"/>
      <c r="Q63" s="37"/>
      <c r="R63" s="19"/>
      <c r="S63" s="23"/>
      <c r="T63" s="23"/>
      <c r="U63" s="23"/>
      <c r="V63" s="23"/>
      <c r="W63" s="23"/>
      <c r="X63" s="24"/>
      <c r="Y63" s="440"/>
      <c r="Z63" s="441"/>
      <c r="AA63" s="442"/>
      <c r="AB63" s="443"/>
      <c r="AC63" s="444"/>
      <c r="AD63" s="30"/>
      <c r="AE63" s="29" t="s">
        <v>244</v>
      </c>
      <c r="AF63" s="29"/>
      <c r="AG63" s="29"/>
      <c r="AH63" s="40"/>
      <c r="AI63" s="40"/>
      <c r="AJ63" s="40"/>
      <c r="AK63" s="40"/>
      <c r="AL63" s="40"/>
      <c r="AM63" s="40"/>
      <c r="AN63" s="40"/>
      <c r="AO63" s="41"/>
      <c r="AP63" s="41"/>
      <c r="AQ63" s="41"/>
      <c r="AR63" s="41"/>
      <c r="AS63" s="42"/>
      <c r="AT63" s="43"/>
      <c r="AU63" s="67"/>
      <c r="AV63" s="67"/>
      <c r="AW63" s="67"/>
      <c r="AX63" s="67"/>
      <c r="AY63" s="67"/>
      <c r="AZ63" s="67"/>
      <c r="BA63" s="67"/>
      <c r="BB63" s="67"/>
      <c r="BC63" s="67"/>
      <c r="BD63" s="68"/>
    </row>
    <row r="64" spans="1:56" ht="14.4" customHeight="1">
      <c r="A64" s="70" t="str">
        <f>IF(B64="","",COUNTA($B$8:B64))</f>
        <v/>
      </c>
      <c r="B64" s="19"/>
      <c r="C64" s="20"/>
      <c r="D64" s="20"/>
      <c r="E64" s="20"/>
      <c r="F64" s="20"/>
      <c r="G64" s="20"/>
      <c r="H64" s="24"/>
      <c r="I64" s="34"/>
      <c r="J64" s="23"/>
      <c r="K64" s="23"/>
      <c r="L64" s="23"/>
      <c r="M64" s="23"/>
      <c r="N64" s="23"/>
      <c r="O64" s="23"/>
      <c r="P64" s="23"/>
      <c r="Q64" s="37"/>
      <c r="R64" s="19"/>
      <c r="S64" s="23"/>
      <c r="T64" s="23"/>
      <c r="U64" s="23"/>
      <c r="V64" s="23"/>
      <c r="W64" s="23"/>
      <c r="X64" s="24"/>
      <c r="Y64" s="440"/>
      <c r="Z64" s="441"/>
      <c r="AA64" s="442"/>
      <c r="AB64" s="443"/>
      <c r="AC64" s="444"/>
      <c r="AD64" s="30"/>
      <c r="AE64" s="29" t="s">
        <v>244</v>
      </c>
      <c r="AF64" s="29"/>
      <c r="AG64" s="29"/>
      <c r="AH64" s="40"/>
      <c r="AI64" s="40"/>
      <c r="AJ64" s="40"/>
      <c r="AK64" s="40"/>
      <c r="AL64" s="40"/>
      <c r="AM64" s="40"/>
      <c r="AN64" s="40"/>
      <c r="AO64" s="41"/>
      <c r="AP64" s="41"/>
      <c r="AQ64" s="41"/>
      <c r="AR64" s="41"/>
      <c r="AS64" s="42"/>
      <c r="AT64" s="43"/>
      <c r="AU64" s="67"/>
      <c r="AV64" s="67"/>
      <c r="AW64" s="67"/>
      <c r="AX64" s="67"/>
      <c r="AY64" s="67"/>
      <c r="AZ64" s="67"/>
      <c r="BA64" s="67"/>
      <c r="BB64" s="67"/>
      <c r="BC64" s="67"/>
      <c r="BD64" s="68"/>
    </row>
    <row r="65" spans="1:56" ht="14.4" customHeight="1">
      <c r="A65" s="70" t="str">
        <f>IF(B65="","",COUNTA($B$8:B65))</f>
        <v/>
      </c>
      <c r="B65" s="19"/>
      <c r="C65" s="20"/>
      <c r="D65" s="20"/>
      <c r="E65" s="20"/>
      <c r="F65" s="20"/>
      <c r="G65" s="20"/>
      <c r="H65" s="24"/>
      <c r="I65" s="34"/>
      <c r="J65" s="23"/>
      <c r="K65" s="23"/>
      <c r="L65" s="23"/>
      <c r="M65" s="23"/>
      <c r="N65" s="23"/>
      <c r="O65" s="23"/>
      <c r="P65" s="23"/>
      <c r="Q65" s="37"/>
      <c r="R65" s="19"/>
      <c r="S65" s="23"/>
      <c r="T65" s="23"/>
      <c r="U65" s="23"/>
      <c r="V65" s="23"/>
      <c r="W65" s="23"/>
      <c r="X65" s="24"/>
      <c r="Y65" s="440"/>
      <c r="Z65" s="441"/>
      <c r="AA65" s="442"/>
      <c r="AB65" s="443"/>
      <c r="AC65" s="444"/>
      <c r="AD65" s="30"/>
      <c r="AE65" s="29" t="s">
        <v>244</v>
      </c>
      <c r="AF65" s="29"/>
      <c r="AG65" s="29"/>
      <c r="AH65" s="40"/>
      <c r="AI65" s="40"/>
      <c r="AJ65" s="40"/>
      <c r="AK65" s="40"/>
      <c r="AL65" s="40"/>
      <c r="AM65" s="40"/>
      <c r="AN65" s="40"/>
      <c r="AO65" s="41"/>
      <c r="AP65" s="41"/>
      <c r="AQ65" s="41"/>
      <c r="AR65" s="41"/>
      <c r="AS65" s="42"/>
      <c r="AT65" s="43"/>
      <c r="AU65" s="67"/>
      <c r="AV65" s="67"/>
      <c r="AW65" s="67"/>
      <c r="AX65" s="67"/>
      <c r="AY65" s="67"/>
      <c r="AZ65" s="67"/>
      <c r="BA65" s="67"/>
      <c r="BB65" s="67"/>
      <c r="BC65" s="67"/>
      <c r="BD65" s="68"/>
    </row>
    <row r="66" spans="1:56" ht="14.4" customHeight="1">
      <c r="A66" s="70" t="str">
        <f>IF(B66="","",COUNTA($B$8:B66))</f>
        <v/>
      </c>
      <c r="B66" s="19"/>
      <c r="C66" s="20"/>
      <c r="D66" s="20"/>
      <c r="E66" s="20"/>
      <c r="F66" s="20"/>
      <c r="G66" s="20"/>
      <c r="H66" s="24"/>
      <c r="I66" s="34"/>
      <c r="J66" s="23"/>
      <c r="K66" s="23"/>
      <c r="L66" s="23"/>
      <c r="M66" s="23"/>
      <c r="N66" s="23"/>
      <c r="O66" s="23"/>
      <c r="P66" s="23"/>
      <c r="Q66" s="37"/>
      <c r="R66" s="19"/>
      <c r="S66" s="23"/>
      <c r="T66" s="23"/>
      <c r="U66" s="23"/>
      <c r="V66" s="23"/>
      <c r="W66" s="23"/>
      <c r="X66" s="24"/>
      <c r="Y66" s="440"/>
      <c r="Z66" s="441"/>
      <c r="AA66" s="442"/>
      <c r="AB66" s="443"/>
      <c r="AC66" s="444"/>
      <c r="AD66" s="30"/>
      <c r="AE66" s="29" t="s">
        <v>244</v>
      </c>
      <c r="AF66" s="29"/>
      <c r="AG66" s="29"/>
      <c r="AH66" s="40"/>
      <c r="AI66" s="40"/>
      <c r="AJ66" s="40"/>
      <c r="AK66" s="40"/>
      <c r="AL66" s="40"/>
      <c r="AM66" s="40"/>
      <c r="AN66" s="40"/>
      <c r="AO66" s="41"/>
      <c r="AP66" s="41"/>
      <c r="AQ66" s="41"/>
      <c r="AR66" s="41"/>
      <c r="AS66" s="42"/>
      <c r="AT66" s="43"/>
      <c r="AU66" s="67"/>
      <c r="AV66" s="67"/>
      <c r="AW66" s="67"/>
      <c r="AX66" s="67"/>
      <c r="AY66" s="67"/>
      <c r="AZ66" s="67"/>
      <c r="BA66" s="67"/>
      <c r="BB66" s="67"/>
      <c r="BC66" s="67"/>
      <c r="BD66" s="68"/>
    </row>
    <row r="67" spans="1:56" ht="14.4" customHeight="1">
      <c r="A67" s="70" t="str">
        <f>IF(B67="","",COUNTA($B$8:B67))</f>
        <v/>
      </c>
      <c r="B67" s="19"/>
      <c r="C67" s="20"/>
      <c r="D67" s="20"/>
      <c r="E67" s="20"/>
      <c r="F67" s="20"/>
      <c r="G67" s="20"/>
      <c r="H67" s="24"/>
      <c r="I67" s="34"/>
      <c r="J67" s="23"/>
      <c r="K67" s="23"/>
      <c r="L67" s="23"/>
      <c r="M67" s="23"/>
      <c r="N67" s="23"/>
      <c r="O67" s="23"/>
      <c r="P67" s="23"/>
      <c r="Q67" s="37"/>
      <c r="R67" s="19"/>
      <c r="S67" s="23"/>
      <c r="T67" s="23"/>
      <c r="U67" s="23"/>
      <c r="V67" s="23"/>
      <c r="W67" s="23"/>
      <c r="X67" s="24"/>
      <c r="Y67" s="440"/>
      <c r="Z67" s="441"/>
      <c r="AA67" s="442"/>
      <c r="AB67" s="443"/>
      <c r="AC67" s="444"/>
      <c r="AD67" s="30"/>
      <c r="AE67" s="29" t="s">
        <v>244</v>
      </c>
      <c r="AF67" s="29"/>
      <c r="AG67" s="29"/>
      <c r="AH67" s="40"/>
      <c r="AI67" s="40"/>
      <c r="AJ67" s="40"/>
      <c r="AK67" s="40"/>
      <c r="AL67" s="40"/>
      <c r="AM67" s="40"/>
      <c r="AN67" s="40"/>
      <c r="AO67" s="41"/>
      <c r="AP67" s="41"/>
      <c r="AQ67" s="41"/>
      <c r="AR67" s="41"/>
      <c r="AS67" s="42"/>
      <c r="AT67" s="43"/>
      <c r="AU67" s="67"/>
      <c r="AV67" s="67"/>
      <c r="AW67" s="67"/>
      <c r="AX67" s="67"/>
      <c r="AY67" s="67"/>
      <c r="AZ67" s="67"/>
      <c r="BA67" s="67"/>
      <c r="BB67" s="67"/>
      <c r="BC67" s="67"/>
      <c r="BD67" s="68"/>
    </row>
    <row r="68" spans="1:56" ht="14.4" customHeight="1">
      <c r="A68" s="70" t="str">
        <f>IF(B68="","",COUNTA($B$8:B68))</f>
        <v/>
      </c>
      <c r="B68" s="19"/>
      <c r="C68" s="20"/>
      <c r="D68" s="20"/>
      <c r="E68" s="20"/>
      <c r="F68" s="20"/>
      <c r="G68" s="20"/>
      <c r="H68" s="24"/>
      <c r="I68" s="34"/>
      <c r="J68" s="23"/>
      <c r="K68" s="23"/>
      <c r="L68" s="23"/>
      <c r="M68" s="23"/>
      <c r="N68" s="23"/>
      <c r="O68" s="23"/>
      <c r="P68" s="23"/>
      <c r="Q68" s="37"/>
      <c r="R68" s="19"/>
      <c r="S68" s="23"/>
      <c r="T68" s="23"/>
      <c r="U68" s="23"/>
      <c r="V68" s="23"/>
      <c r="W68" s="23"/>
      <c r="X68" s="24"/>
      <c r="Y68" s="440"/>
      <c r="Z68" s="441"/>
      <c r="AA68" s="442"/>
      <c r="AB68" s="443"/>
      <c r="AC68" s="444"/>
      <c r="AD68" s="30"/>
      <c r="AE68" s="29" t="s">
        <v>244</v>
      </c>
      <c r="AF68" s="29"/>
      <c r="AG68" s="29"/>
      <c r="AH68" s="40"/>
      <c r="AI68" s="40"/>
      <c r="AJ68" s="40"/>
      <c r="AK68" s="40"/>
      <c r="AL68" s="40"/>
      <c r="AM68" s="40"/>
      <c r="AN68" s="40"/>
      <c r="AO68" s="41"/>
      <c r="AP68" s="41"/>
      <c r="AQ68" s="41"/>
      <c r="AR68" s="41"/>
      <c r="AS68" s="42"/>
      <c r="AT68" s="43"/>
      <c r="AU68" s="67"/>
      <c r="AV68" s="67"/>
      <c r="AW68" s="67"/>
      <c r="AX68" s="67"/>
      <c r="AY68" s="67"/>
      <c r="AZ68" s="67"/>
      <c r="BA68" s="67"/>
      <c r="BB68" s="67"/>
      <c r="BC68" s="67"/>
      <c r="BD68" s="68"/>
    </row>
    <row r="69" spans="1:56" ht="14.4" customHeight="1">
      <c r="A69" s="70" t="str">
        <f>IF(B69="","",COUNTA($B$8:B69))</f>
        <v/>
      </c>
      <c r="B69" s="19"/>
      <c r="C69" s="20"/>
      <c r="D69" s="20"/>
      <c r="E69" s="20"/>
      <c r="F69" s="20"/>
      <c r="G69" s="20"/>
      <c r="H69" s="24"/>
      <c r="I69" s="34"/>
      <c r="J69" s="23"/>
      <c r="K69" s="23"/>
      <c r="L69" s="23"/>
      <c r="M69" s="23"/>
      <c r="N69" s="23"/>
      <c r="O69" s="23"/>
      <c r="P69" s="23"/>
      <c r="Q69" s="37"/>
      <c r="R69" s="19"/>
      <c r="S69" s="23"/>
      <c r="T69" s="23"/>
      <c r="U69" s="23"/>
      <c r="V69" s="23"/>
      <c r="W69" s="23"/>
      <c r="X69" s="24"/>
      <c r="Y69" s="440"/>
      <c r="Z69" s="441"/>
      <c r="AA69" s="442"/>
      <c r="AB69" s="443"/>
      <c r="AC69" s="444"/>
      <c r="AD69" s="30"/>
      <c r="AE69" s="29" t="s">
        <v>244</v>
      </c>
      <c r="AF69" s="29"/>
      <c r="AG69" s="29"/>
      <c r="AH69" s="40"/>
      <c r="AI69" s="40"/>
      <c r="AJ69" s="40"/>
      <c r="AK69" s="40"/>
      <c r="AL69" s="40"/>
      <c r="AM69" s="40"/>
      <c r="AN69" s="40"/>
      <c r="AO69" s="41"/>
      <c r="AP69" s="41"/>
      <c r="AQ69" s="41"/>
      <c r="AR69" s="41"/>
      <c r="AS69" s="42"/>
      <c r="AT69" s="43"/>
      <c r="AU69" s="67"/>
      <c r="AV69" s="67"/>
      <c r="AW69" s="67"/>
      <c r="AX69" s="67"/>
      <c r="AY69" s="67"/>
      <c r="AZ69" s="67"/>
      <c r="BA69" s="67"/>
      <c r="BB69" s="67"/>
      <c r="BC69" s="67"/>
      <c r="BD69" s="68"/>
    </row>
    <row r="70" spans="1:56" ht="14.4" customHeight="1">
      <c r="A70" s="70" t="str">
        <f>IF(B70="","",COUNTA($B$8:B70))</f>
        <v/>
      </c>
      <c r="B70" s="19"/>
      <c r="C70" s="20"/>
      <c r="D70" s="20"/>
      <c r="E70" s="20"/>
      <c r="F70" s="20"/>
      <c r="G70" s="20"/>
      <c r="H70" s="24"/>
      <c r="I70" s="34"/>
      <c r="J70" s="23"/>
      <c r="K70" s="23"/>
      <c r="L70" s="23"/>
      <c r="M70" s="23"/>
      <c r="N70" s="23"/>
      <c r="O70" s="23"/>
      <c r="P70" s="23"/>
      <c r="Q70" s="37"/>
      <c r="R70" s="19"/>
      <c r="S70" s="23"/>
      <c r="T70" s="23"/>
      <c r="U70" s="23"/>
      <c r="V70" s="23"/>
      <c r="W70" s="23"/>
      <c r="X70" s="24"/>
      <c r="Y70" s="440"/>
      <c r="Z70" s="441"/>
      <c r="AA70" s="442"/>
      <c r="AB70" s="443"/>
      <c r="AC70" s="444"/>
      <c r="AD70" s="30"/>
      <c r="AE70" s="29" t="s">
        <v>244</v>
      </c>
      <c r="AF70" s="29"/>
      <c r="AG70" s="29"/>
      <c r="AH70" s="40"/>
      <c r="AI70" s="40"/>
      <c r="AJ70" s="40"/>
      <c r="AK70" s="40"/>
      <c r="AL70" s="40"/>
      <c r="AM70" s="40"/>
      <c r="AN70" s="40"/>
      <c r="AO70" s="41"/>
      <c r="AP70" s="41"/>
      <c r="AQ70" s="41"/>
      <c r="AR70" s="41"/>
      <c r="AS70" s="42"/>
      <c r="AT70" s="43"/>
      <c r="AU70" s="67"/>
      <c r="AV70" s="67"/>
      <c r="AW70" s="67"/>
      <c r="AX70" s="67"/>
      <c r="AY70" s="67"/>
      <c r="AZ70" s="67"/>
      <c r="BA70" s="67"/>
      <c r="BB70" s="67"/>
      <c r="BC70" s="67"/>
      <c r="BD70" s="68"/>
    </row>
    <row r="71" spans="1:56" ht="14.4" customHeight="1">
      <c r="A71" s="70" t="str">
        <f>IF(B71="","",COUNTA($B$8:B71))</f>
        <v/>
      </c>
      <c r="B71" s="19"/>
      <c r="C71" s="20"/>
      <c r="D71" s="20"/>
      <c r="E71" s="20"/>
      <c r="F71" s="20"/>
      <c r="G71" s="20"/>
      <c r="H71" s="24"/>
      <c r="I71" s="34"/>
      <c r="J71" s="23"/>
      <c r="K71" s="23"/>
      <c r="L71" s="23"/>
      <c r="M71" s="23"/>
      <c r="N71" s="23"/>
      <c r="O71" s="23"/>
      <c r="P71" s="23"/>
      <c r="Q71" s="37"/>
      <c r="R71" s="19"/>
      <c r="S71" s="23"/>
      <c r="T71" s="23"/>
      <c r="U71" s="23"/>
      <c r="V71" s="23"/>
      <c r="W71" s="23"/>
      <c r="X71" s="24"/>
      <c r="Y71" s="440"/>
      <c r="Z71" s="441"/>
      <c r="AA71" s="442"/>
      <c r="AB71" s="443"/>
      <c r="AC71" s="444"/>
      <c r="AD71" s="30"/>
      <c r="AE71" s="29" t="s">
        <v>244</v>
      </c>
      <c r="AF71" s="29"/>
      <c r="AG71" s="29"/>
      <c r="AH71" s="40"/>
      <c r="AI71" s="40"/>
      <c r="AJ71" s="40"/>
      <c r="AK71" s="40"/>
      <c r="AL71" s="40"/>
      <c r="AM71" s="40"/>
      <c r="AN71" s="40"/>
      <c r="AO71" s="41"/>
      <c r="AP71" s="41"/>
      <c r="AQ71" s="41"/>
      <c r="AR71" s="41"/>
      <c r="AS71" s="42"/>
      <c r="AT71" s="43"/>
      <c r="AU71" s="67"/>
      <c r="AV71" s="67"/>
      <c r="AW71" s="67"/>
      <c r="AX71" s="67"/>
      <c r="AY71" s="67"/>
      <c r="AZ71" s="67"/>
      <c r="BA71" s="67"/>
      <c r="BB71" s="67"/>
      <c r="BC71" s="67"/>
      <c r="BD71" s="68"/>
    </row>
    <row r="72" spans="1:56" ht="14.4" customHeight="1">
      <c r="A72" s="70" t="str">
        <f>IF(B72="","",COUNTA($B$8:B72))</f>
        <v/>
      </c>
      <c r="B72" s="19"/>
      <c r="C72" s="20"/>
      <c r="D72" s="20"/>
      <c r="E72" s="20"/>
      <c r="F72" s="20"/>
      <c r="G72" s="20"/>
      <c r="H72" s="24"/>
      <c r="I72" s="34"/>
      <c r="J72" s="23"/>
      <c r="K72" s="23"/>
      <c r="L72" s="23"/>
      <c r="M72" s="23"/>
      <c r="N72" s="23"/>
      <c r="O72" s="23"/>
      <c r="P72" s="23"/>
      <c r="Q72" s="37"/>
      <c r="R72" s="19"/>
      <c r="S72" s="23"/>
      <c r="T72" s="23"/>
      <c r="U72" s="23"/>
      <c r="V72" s="23"/>
      <c r="W72" s="23"/>
      <c r="X72" s="24"/>
      <c r="Y72" s="440"/>
      <c r="Z72" s="441"/>
      <c r="AA72" s="442"/>
      <c r="AB72" s="443"/>
      <c r="AC72" s="444"/>
      <c r="AD72" s="30"/>
      <c r="AE72" s="29" t="s">
        <v>244</v>
      </c>
      <c r="AF72" s="29"/>
      <c r="AG72" s="29"/>
      <c r="AH72" s="40"/>
      <c r="AI72" s="40"/>
      <c r="AJ72" s="40"/>
      <c r="AK72" s="40"/>
      <c r="AL72" s="40"/>
      <c r="AM72" s="40"/>
      <c r="AN72" s="40"/>
      <c r="AO72" s="41"/>
      <c r="AP72" s="41"/>
      <c r="AQ72" s="41"/>
      <c r="AR72" s="41"/>
      <c r="AS72" s="42"/>
      <c r="AT72" s="43"/>
      <c r="AU72" s="67"/>
      <c r="AV72" s="67"/>
      <c r="AW72" s="67"/>
      <c r="AX72" s="67"/>
      <c r="AY72" s="67"/>
      <c r="AZ72" s="67"/>
      <c r="BA72" s="67"/>
      <c r="BB72" s="67"/>
      <c r="BC72" s="67"/>
      <c r="BD72" s="68"/>
    </row>
    <row r="73" spans="1:56" ht="14.4" customHeight="1">
      <c r="A73" s="70" t="str">
        <f>IF(B73="","",COUNTA($B$8:B73))</f>
        <v/>
      </c>
      <c r="B73" s="19"/>
      <c r="C73" s="20"/>
      <c r="D73" s="20"/>
      <c r="E73" s="20"/>
      <c r="F73" s="20"/>
      <c r="G73" s="20"/>
      <c r="H73" s="24"/>
      <c r="I73" s="34"/>
      <c r="J73" s="23"/>
      <c r="K73" s="23"/>
      <c r="L73" s="23"/>
      <c r="M73" s="23"/>
      <c r="N73" s="23"/>
      <c r="O73" s="23"/>
      <c r="P73" s="23"/>
      <c r="Q73" s="37"/>
      <c r="R73" s="19"/>
      <c r="S73" s="23"/>
      <c r="T73" s="23"/>
      <c r="U73" s="23"/>
      <c r="V73" s="23"/>
      <c r="W73" s="23"/>
      <c r="X73" s="24"/>
      <c r="Y73" s="440"/>
      <c r="Z73" s="441"/>
      <c r="AA73" s="442"/>
      <c r="AB73" s="443"/>
      <c r="AC73" s="444"/>
      <c r="AD73" s="30"/>
      <c r="AE73" s="29" t="s">
        <v>244</v>
      </c>
      <c r="AF73" s="29"/>
      <c r="AG73" s="29"/>
      <c r="AH73" s="40"/>
      <c r="AI73" s="40"/>
      <c r="AJ73" s="40"/>
      <c r="AK73" s="40"/>
      <c r="AL73" s="40"/>
      <c r="AM73" s="40"/>
      <c r="AN73" s="40"/>
      <c r="AO73" s="41"/>
      <c r="AP73" s="41"/>
      <c r="AQ73" s="41"/>
      <c r="AR73" s="41"/>
      <c r="AS73" s="42"/>
      <c r="AT73" s="43"/>
      <c r="AU73" s="67"/>
      <c r="AV73" s="67"/>
      <c r="AW73" s="67"/>
      <c r="AX73" s="67"/>
      <c r="AY73" s="67"/>
      <c r="AZ73" s="67"/>
      <c r="BA73" s="67"/>
      <c r="BB73" s="67"/>
      <c r="BC73" s="67"/>
      <c r="BD73" s="68"/>
    </row>
    <row r="74" spans="1:56" ht="14.4" customHeight="1">
      <c r="A74" s="70" t="str">
        <f>IF(B74="","",COUNTA($B$8:B74))</f>
        <v/>
      </c>
      <c r="B74" s="19"/>
      <c r="C74" s="20"/>
      <c r="D74" s="20"/>
      <c r="E74" s="20"/>
      <c r="F74" s="20"/>
      <c r="G74" s="20"/>
      <c r="H74" s="24"/>
      <c r="I74" s="34"/>
      <c r="J74" s="23"/>
      <c r="K74" s="23"/>
      <c r="L74" s="23"/>
      <c r="M74" s="23"/>
      <c r="N74" s="23"/>
      <c r="O74" s="23"/>
      <c r="P74" s="23"/>
      <c r="Q74" s="37"/>
      <c r="R74" s="19"/>
      <c r="S74" s="23"/>
      <c r="T74" s="23"/>
      <c r="U74" s="23"/>
      <c r="V74" s="23"/>
      <c r="W74" s="23"/>
      <c r="X74" s="24"/>
      <c r="Y74" s="440"/>
      <c r="Z74" s="441"/>
      <c r="AA74" s="442"/>
      <c r="AB74" s="443"/>
      <c r="AC74" s="444"/>
      <c r="AD74" s="30"/>
      <c r="AE74" s="29" t="s">
        <v>244</v>
      </c>
      <c r="AF74" s="29"/>
      <c r="AG74" s="29"/>
      <c r="AH74" s="40"/>
      <c r="AI74" s="40"/>
      <c r="AJ74" s="40"/>
      <c r="AK74" s="40"/>
      <c r="AL74" s="40"/>
      <c r="AM74" s="40"/>
      <c r="AN74" s="40"/>
      <c r="AO74" s="41"/>
      <c r="AP74" s="41"/>
      <c r="AQ74" s="41"/>
      <c r="AR74" s="41"/>
      <c r="AS74" s="42"/>
      <c r="AT74" s="43"/>
      <c r="AU74" s="67"/>
      <c r="AV74" s="67"/>
      <c r="AW74" s="67"/>
      <c r="AX74" s="67"/>
      <c r="AY74" s="67"/>
      <c r="AZ74" s="67"/>
      <c r="BA74" s="67"/>
      <c r="BB74" s="67"/>
      <c r="BC74" s="67"/>
      <c r="BD74" s="68"/>
    </row>
    <row r="75" spans="1:56" ht="14.4" customHeight="1">
      <c r="A75" s="70" t="str">
        <f>IF(B75="","",COUNTA($B$8:B75))</f>
        <v/>
      </c>
      <c r="B75" s="19"/>
      <c r="C75" s="20"/>
      <c r="D75" s="20"/>
      <c r="E75" s="20"/>
      <c r="F75" s="20"/>
      <c r="G75" s="20"/>
      <c r="H75" s="24"/>
      <c r="I75" s="34"/>
      <c r="J75" s="23"/>
      <c r="K75" s="23"/>
      <c r="L75" s="23"/>
      <c r="M75" s="23"/>
      <c r="N75" s="23"/>
      <c r="O75" s="23"/>
      <c r="P75" s="23"/>
      <c r="Q75" s="37"/>
      <c r="R75" s="19"/>
      <c r="S75" s="23"/>
      <c r="T75" s="23"/>
      <c r="U75" s="23"/>
      <c r="V75" s="23"/>
      <c r="W75" s="23"/>
      <c r="X75" s="24"/>
      <c r="Y75" s="440"/>
      <c r="Z75" s="441"/>
      <c r="AA75" s="442"/>
      <c r="AB75" s="443"/>
      <c r="AC75" s="444"/>
      <c r="AD75" s="30"/>
      <c r="AE75" s="29" t="s">
        <v>244</v>
      </c>
      <c r="AF75" s="29"/>
      <c r="AG75" s="29"/>
      <c r="AH75" s="40"/>
      <c r="AI75" s="40"/>
      <c r="AJ75" s="40"/>
      <c r="AK75" s="40"/>
      <c r="AL75" s="40"/>
      <c r="AM75" s="40"/>
      <c r="AN75" s="40"/>
      <c r="AO75" s="41"/>
      <c r="AP75" s="41"/>
      <c r="AQ75" s="41"/>
      <c r="AR75" s="41"/>
      <c r="AS75" s="42"/>
      <c r="AT75" s="43"/>
      <c r="AU75" s="67"/>
      <c r="AV75" s="67"/>
      <c r="AW75" s="67"/>
      <c r="AX75" s="67"/>
      <c r="AY75" s="67"/>
      <c r="AZ75" s="67"/>
      <c r="BA75" s="67"/>
      <c r="BB75" s="67"/>
      <c r="BC75" s="67"/>
      <c r="BD75" s="68"/>
    </row>
    <row r="76" spans="1:56" ht="14.4" customHeight="1">
      <c r="A76" s="70" t="str">
        <f>IF(B76="","",COUNTA($B$8:B76))</f>
        <v/>
      </c>
      <c r="B76" s="19"/>
      <c r="C76" s="20"/>
      <c r="D76" s="20"/>
      <c r="E76" s="20"/>
      <c r="F76" s="20"/>
      <c r="G76" s="20"/>
      <c r="H76" s="24"/>
      <c r="I76" s="34"/>
      <c r="J76" s="23"/>
      <c r="K76" s="23"/>
      <c r="L76" s="23"/>
      <c r="M76" s="23"/>
      <c r="N76" s="23"/>
      <c r="O76" s="23"/>
      <c r="P76" s="23"/>
      <c r="Q76" s="37"/>
      <c r="R76" s="19"/>
      <c r="S76" s="23"/>
      <c r="T76" s="23"/>
      <c r="U76" s="23"/>
      <c r="V76" s="23"/>
      <c r="W76" s="23"/>
      <c r="X76" s="24"/>
      <c r="Y76" s="440"/>
      <c r="Z76" s="441"/>
      <c r="AA76" s="442"/>
      <c r="AB76" s="443"/>
      <c r="AC76" s="444"/>
      <c r="AD76" s="30"/>
      <c r="AE76" s="29" t="s">
        <v>244</v>
      </c>
      <c r="AF76" s="29"/>
      <c r="AG76" s="29"/>
      <c r="AH76" s="40"/>
      <c r="AI76" s="40"/>
      <c r="AJ76" s="40"/>
      <c r="AK76" s="40"/>
      <c r="AL76" s="40"/>
      <c r="AM76" s="40"/>
      <c r="AN76" s="40"/>
      <c r="AO76" s="41"/>
      <c r="AP76" s="41"/>
      <c r="AQ76" s="41"/>
      <c r="AR76" s="41"/>
      <c r="AS76" s="42"/>
      <c r="AT76" s="43"/>
      <c r="AU76" s="67"/>
      <c r="AV76" s="67"/>
      <c r="AW76" s="67"/>
      <c r="AX76" s="67"/>
      <c r="AY76" s="67"/>
      <c r="AZ76" s="67"/>
      <c r="BA76" s="67"/>
      <c r="BB76" s="67"/>
      <c r="BC76" s="67"/>
      <c r="BD76" s="68"/>
    </row>
    <row r="77" spans="1:56" ht="14.4" customHeight="1">
      <c r="A77" s="70" t="str">
        <f>IF(B77="","",COUNTA($B$8:B77))</f>
        <v/>
      </c>
      <c r="B77" s="19"/>
      <c r="C77" s="20"/>
      <c r="D77" s="20"/>
      <c r="E77" s="20"/>
      <c r="F77" s="20"/>
      <c r="G77" s="20"/>
      <c r="H77" s="24"/>
      <c r="I77" s="34"/>
      <c r="J77" s="23"/>
      <c r="K77" s="23"/>
      <c r="L77" s="23"/>
      <c r="M77" s="23"/>
      <c r="N77" s="23"/>
      <c r="O77" s="23"/>
      <c r="P77" s="23"/>
      <c r="Q77" s="37"/>
      <c r="R77" s="19"/>
      <c r="S77" s="23"/>
      <c r="T77" s="23"/>
      <c r="U77" s="23"/>
      <c r="V77" s="23"/>
      <c r="W77" s="23"/>
      <c r="X77" s="24"/>
      <c r="Y77" s="440"/>
      <c r="Z77" s="441"/>
      <c r="AA77" s="442"/>
      <c r="AB77" s="443"/>
      <c r="AC77" s="444"/>
      <c r="AD77" s="30"/>
      <c r="AE77" s="29" t="s">
        <v>244</v>
      </c>
      <c r="AF77" s="29"/>
      <c r="AG77" s="29"/>
      <c r="AH77" s="40"/>
      <c r="AI77" s="40"/>
      <c r="AJ77" s="40"/>
      <c r="AK77" s="40"/>
      <c r="AL77" s="40"/>
      <c r="AM77" s="40"/>
      <c r="AN77" s="40"/>
      <c r="AO77" s="41"/>
      <c r="AP77" s="41"/>
      <c r="AQ77" s="41"/>
      <c r="AR77" s="41"/>
      <c r="AS77" s="42"/>
      <c r="AT77" s="43"/>
      <c r="AU77" s="67"/>
      <c r="AV77" s="67"/>
      <c r="AW77" s="67"/>
      <c r="AX77" s="67"/>
      <c r="AY77" s="67"/>
      <c r="AZ77" s="67"/>
      <c r="BA77" s="67"/>
      <c r="BB77" s="67"/>
      <c r="BC77" s="67"/>
      <c r="BD77" s="68"/>
    </row>
    <row r="78" spans="1:56" ht="14.4" customHeight="1">
      <c r="A78" s="70" t="str">
        <f>IF(B78="","",COUNTA($B$8:B78))</f>
        <v/>
      </c>
      <c r="B78" s="19"/>
      <c r="C78" s="20"/>
      <c r="D78" s="20"/>
      <c r="E78" s="20"/>
      <c r="F78" s="20"/>
      <c r="G78" s="20"/>
      <c r="H78" s="24"/>
      <c r="I78" s="34"/>
      <c r="J78" s="23"/>
      <c r="K78" s="23"/>
      <c r="L78" s="23"/>
      <c r="M78" s="23"/>
      <c r="N78" s="23"/>
      <c r="O78" s="23"/>
      <c r="P78" s="23"/>
      <c r="Q78" s="37"/>
      <c r="R78" s="19"/>
      <c r="S78" s="23"/>
      <c r="T78" s="23"/>
      <c r="U78" s="23"/>
      <c r="V78" s="23"/>
      <c r="W78" s="23"/>
      <c r="X78" s="24"/>
      <c r="Y78" s="440"/>
      <c r="Z78" s="441"/>
      <c r="AA78" s="442"/>
      <c r="AB78" s="443"/>
      <c r="AC78" s="444"/>
      <c r="AD78" s="30"/>
      <c r="AE78" s="29" t="s">
        <v>244</v>
      </c>
      <c r="AF78" s="29"/>
      <c r="AG78" s="29"/>
      <c r="AH78" s="40"/>
      <c r="AI78" s="40"/>
      <c r="AJ78" s="40"/>
      <c r="AK78" s="40"/>
      <c r="AL78" s="40"/>
      <c r="AM78" s="40"/>
      <c r="AN78" s="40"/>
      <c r="AO78" s="41"/>
      <c r="AP78" s="41"/>
      <c r="AQ78" s="41"/>
      <c r="AR78" s="41"/>
      <c r="AS78" s="42"/>
      <c r="AT78" s="43"/>
      <c r="AU78" s="67"/>
      <c r="AV78" s="67"/>
      <c r="AW78" s="67"/>
      <c r="AX78" s="67"/>
      <c r="AY78" s="67"/>
      <c r="AZ78" s="67"/>
      <c r="BA78" s="67"/>
      <c r="BB78" s="67"/>
      <c r="BC78" s="67"/>
      <c r="BD78" s="68"/>
    </row>
    <row r="79" spans="1:56" ht="14.4" customHeight="1">
      <c r="A79" s="70" t="str">
        <f>IF(B79="","",COUNTA($B$8:B79))</f>
        <v/>
      </c>
      <c r="B79" s="19"/>
      <c r="C79" s="20"/>
      <c r="D79" s="20"/>
      <c r="E79" s="20"/>
      <c r="F79" s="20"/>
      <c r="G79" s="20"/>
      <c r="H79" s="24"/>
      <c r="I79" s="34"/>
      <c r="J79" s="23"/>
      <c r="K79" s="23"/>
      <c r="L79" s="23"/>
      <c r="M79" s="23"/>
      <c r="N79" s="23"/>
      <c r="O79" s="23"/>
      <c r="P79" s="23"/>
      <c r="Q79" s="37"/>
      <c r="R79" s="19"/>
      <c r="S79" s="23"/>
      <c r="T79" s="23"/>
      <c r="U79" s="23"/>
      <c r="V79" s="23"/>
      <c r="W79" s="23"/>
      <c r="X79" s="24"/>
      <c r="Y79" s="440"/>
      <c r="Z79" s="441"/>
      <c r="AA79" s="442"/>
      <c r="AB79" s="443"/>
      <c r="AC79" s="444"/>
      <c r="AD79" s="30"/>
      <c r="AE79" s="29" t="s">
        <v>244</v>
      </c>
      <c r="AF79" s="29"/>
      <c r="AG79" s="29"/>
      <c r="AH79" s="40"/>
      <c r="AI79" s="40"/>
      <c r="AJ79" s="40"/>
      <c r="AK79" s="40"/>
      <c r="AL79" s="40"/>
      <c r="AM79" s="40"/>
      <c r="AN79" s="40"/>
      <c r="AO79" s="41"/>
      <c r="AP79" s="41"/>
      <c r="AQ79" s="41"/>
      <c r="AR79" s="41"/>
      <c r="AS79" s="42"/>
      <c r="AT79" s="43"/>
      <c r="AU79" s="67"/>
      <c r="AV79" s="67"/>
      <c r="AW79" s="67"/>
      <c r="AX79" s="67"/>
      <c r="AY79" s="67"/>
      <c r="AZ79" s="67"/>
      <c r="BA79" s="67"/>
      <c r="BB79" s="67"/>
      <c r="BC79" s="67"/>
      <c r="BD79" s="68"/>
    </row>
    <row r="80" spans="1:56" ht="14.4" customHeight="1">
      <c r="A80" s="70" t="str">
        <f>IF(B80="","",COUNTA($B$8:B80))</f>
        <v/>
      </c>
      <c r="B80" s="19"/>
      <c r="C80" s="20"/>
      <c r="D80" s="20"/>
      <c r="E80" s="20"/>
      <c r="F80" s="20"/>
      <c r="G80" s="20"/>
      <c r="H80" s="24"/>
      <c r="I80" s="34"/>
      <c r="J80" s="23"/>
      <c r="K80" s="23"/>
      <c r="L80" s="23"/>
      <c r="M80" s="23"/>
      <c r="N80" s="23"/>
      <c r="O80" s="23"/>
      <c r="P80" s="23"/>
      <c r="Q80" s="37"/>
      <c r="R80" s="19"/>
      <c r="S80" s="23"/>
      <c r="T80" s="23"/>
      <c r="U80" s="23"/>
      <c r="V80" s="23"/>
      <c r="W80" s="23"/>
      <c r="X80" s="24"/>
      <c r="Y80" s="440"/>
      <c r="Z80" s="441"/>
      <c r="AA80" s="442"/>
      <c r="AB80" s="443"/>
      <c r="AC80" s="444"/>
      <c r="AD80" s="30"/>
      <c r="AE80" s="29" t="s">
        <v>244</v>
      </c>
      <c r="AF80" s="29"/>
      <c r="AG80" s="29"/>
      <c r="AH80" s="40"/>
      <c r="AI80" s="40"/>
      <c r="AJ80" s="40"/>
      <c r="AK80" s="40"/>
      <c r="AL80" s="40"/>
      <c r="AM80" s="40"/>
      <c r="AN80" s="40"/>
      <c r="AO80" s="41"/>
      <c r="AP80" s="41"/>
      <c r="AQ80" s="41"/>
      <c r="AR80" s="41"/>
      <c r="AS80" s="42"/>
      <c r="AT80" s="43"/>
      <c r="AU80" s="67"/>
      <c r="AV80" s="67"/>
      <c r="AW80" s="67"/>
      <c r="AX80" s="67"/>
      <c r="AY80" s="67"/>
      <c r="AZ80" s="67"/>
      <c r="BA80" s="67"/>
      <c r="BB80" s="67"/>
      <c r="BC80" s="67"/>
      <c r="BD80" s="68"/>
    </row>
    <row r="81" spans="1:56" ht="14.4" customHeight="1">
      <c r="A81" s="70" t="str">
        <f>IF(B81="","",COUNTA($B$8:B81))</f>
        <v/>
      </c>
      <c r="B81" s="19"/>
      <c r="C81" s="20"/>
      <c r="D81" s="20"/>
      <c r="E81" s="20"/>
      <c r="F81" s="20"/>
      <c r="G81" s="20"/>
      <c r="H81" s="24"/>
      <c r="I81" s="34"/>
      <c r="J81" s="23"/>
      <c r="K81" s="23"/>
      <c r="L81" s="23"/>
      <c r="M81" s="23"/>
      <c r="N81" s="23"/>
      <c r="O81" s="23"/>
      <c r="P81" s="23"/>
      <c r="Q81" s="37"/>
      <c r="R81" s="19"/>
      <c r="S81" s="23"/>
      <c r="T81" s="23"/>
      <c r="U81" s="23"/>
      <c r="V81" s="23"/>
      <c r="W81" s="23"/>
      <c r="X81" s="24"/>
      <c r="Y81" s="440"/>
      <c r="Z81" s="441"/>
      <c r="AA81" s="442"/>
      <c r="AB81" s="443"/>
      <c r="AC81" s="444"/>
      <c r="AD81" s="30"/>
      <c r="AE81" s="29" t="s">
        <v>244</v>
      </c>
      <c r="AF81" s="29"/>
      <c r="AG81" s="29"/>
      <c r="AH81" s="40"/>
      <c r="AI81" s="40"/>
      <c r="AJ81" s="40"/>
      <c r="AK81" s="40"/>
      <c r="AL81" s="40"/>
      <c r="AM81" s="40"/>
      <c r="AN81" s="40"/>
      <c r="AO81" s="41"/>
      <c r="AP81" s="41"/>
      <c r="AQ81" s="41"/>
      <c r="AR81" s="41"/>
      <c r="AS81" s="42"/>
      <c r="AT81" s="43"/>
      <c r="AU81" s="67"/>
      <c r="AV81" s="67"/>
      <c r="AW81" s="67"/>
      <c r="AX81" s="67"/>
      <c r="AY81" s="67"/>
      <c r="AZ81" s="67"/>
      <c r="BA81" s="67"/>
      <c r="BB81" s="67"/>
      <c r="BC81" s="67"/>
      <c r="BD81" s="68"/>
    </row>
    <row r="82" spans="1:56" ht="14.4" customHeight="1">
      <c r="A82" s="70" t="str">
        <f>IF(B82="","",COUNTA($B$8:B82))</f>
        <v/>
      </c>
      <c r="B82" s="19"/>
      <c r="C82" s="20"/>
      <c r="D82" s="20"/>
      <c r="E82" s="20"/>
      <c r="F82" s="20"/>
      <c r="G82" s="20"/>
      <c r="H82" s="24"/>
      <c r="I82" s="34"/>
      <c r="J82" s="23"/>
      <c r="K82" s="23"/>
      <c r="L82" s="23"/>
      <c r="M82" s="23"/>
      <c r="N82" s="23"/>
      <c r="O82" s="23"/>
      <c r="P82" s="23"/>
      <c r="Q82" s="37"/>
      <c r="R82" s="19"/>
      <c r="S82" s="23"/>
      <c r="T82" s="23"/>
      <c r="U82" s="23"/>
      <c r="V82" s="23"/>
      <c r="W82" s="23"/>
      <c r="X82" s="24"/>
      <c r="Y82" s="440"/>
      <c r="Z82" s="441"/>
      <c r="AA82" s="442"/>
      <c r="AB82" s="443"/>
      <c r="AC82" s="444"/>
      <c r="AD82" s="30"/>
      <c r="AE82" s="29" t="s">
        <v>244</v>
      </c>
      <c r="AF82" s="29"/>
      <c r="AG82" s="29"/>
      <c r="AH82" s="40"/>
      <c r="AI82" s="40"/>
      <c r="AJ82" s="40"/>
      <c r="AK82" s="40"/>
      <c r="AL82" s="40"/>
      <c r="AM82" s="40"/>
      <c r="AN82" s="40"/>
      <c r="AO82" s="41"/>
      <c r="AP82" s="41"/>
      <c r="AQ82" s="41"/>
      <c r="AR82" s="41"/>
      <c r="AS82" s="42"/>
      <c r="AT82" s="43"/>
      <c r="AU82" s="67"/>
      <c r="AV82" s="67"/>
      <c r="AW82" s="67"/>
      <c r="AX82" s="67"/>
      <c r="AY82" s="67"/>
      <c r="AZ82" s="67"/>
      <c r="BA82" s="67"/>
      <c r="BB82" s="67"/>
      <c r="BC82" s="67"/>
      <c r="BD82" s="68"/>
    </row>
    <row r="83" spans="1:56" ht="14.4" customHeight="1">
      <c r="A83" s="70" t="str">
        <f>IF(B83="","",COUNTA($B$8:B83))</f>
        <v/>
      </c>
      <c r="B83" s="19"/>
      <c r="C83" s="20"/>
      <c r="D83" s="20"/>
      <c r="E83" s="20"/>
      <c r="F83" s="20"/>
      <c r="G83" s="20"/>
      <c r="H83" s="24"/>
      <c r="I83" s="34"/>
      <c r="J83" s="23"/>
      <c r="K83" s="23"/>
      <c r="L83" s="23"/>
      <c r="M83" s="23"/>
      <c r="N83" s="23"/>
      <c r="O83" s="23"/>
      <c r="P83" s="23"/>
      <c r="Q83" s="37"/>
      <c r="R83" s="19"/>
      <c r="S83" s="23"/>
      <c r="T83" s="23"/>
      <c r="U83" s="23"/>
      <c r="V83" s="23"/>
      <c r="W83" s="23"/>
      <c r="X83" s="24"/>
      <c r="Y83" s="440"/>
      <c r="Z83" s="441"/>
      <c r="AA83" s="442"/>
      <c r="AB83" s="443"/>
      <c r="AC83" s="444"/>
      <c r="AD83" s="30"/>
      <c r="AE83" s="29" t="s">
        <v>244</v>
      </c>
      <c r="AF83" s="29"/>
      <c r="AG83" s="29"/>
      <c r="AH83" s="40"/>
      <c r="AI83" s="40"/>
      <c r="AJ83" s="40"/>
      <c r="AK83" s="40"/>
      <c r="AL83" s="40"/>
      <c r="AM83" s="40"/>
      <c r="AN83" s="40"/>
      <c r="AO83" s="41"/>
      <c r="AP83" s="41"/>
      <c r="AQ83" s="41"/>
      <c r="AR83" s="41"/>
      <c r="AS83" s="42"/>
      <c r="AT83" s="43"/>
      <c r="AU83" s="67"/>
      <c r="AV83" s="67"/>
      <c r="AW83" s="67"/>
      <c r="AX83" s="67"/>
      <c r="AY83" s="67"/>
      <c r="AZ83" s="67"/>
      <c r="BA83" s="67"/>
      <c r="BB83" s="67"/>
      <c r="BC83" s="67"/>
      <c r="BD83" s="68"/>
    </row>
    <row r="84" spans="1:56" ht="14.4" customHeight="1">
      <c r="A84" s="70" t="str">
        <f>IF(B84="","",COUNTA($B$8:B84))</f>
        <v/>
      </c>
      <c r="B84" s="19"/>
      <c r="C84" s="20"/>
      <c r="D84" s="20"/>
      <c r="E84" s="20"/>
      <c r="F84" s="20"/>
      <c r="G84" s="20"/>
      <c r="H84" s="24"/>
      <c r="I84" s="34"/>
      <c r="J84" s="23"/>
      <c r="K84" s="23"/>
      <c r="L84" s="23"/>
      <c r="M84" s="23"/>
      <c r="N84" s="23"/>
      <c r="O84" s="23"/>
      <c r="P84" s="23"/>
      <c r="Q84" s="37"/>
      <c r="R84" s="19"/>
      <c r="S84" s="23"/>
      <c r="T84" s="23"/>
      <c r="U84" s="23"/>
      <c r="V84" s="23"/>
      <c r="W84" s="23"/>
      <c r="X84" s="24"/>
      <c r="Y84" s="440"/>
      <c r="Z84" s="441"/>
      <c r="AA84" s="442"/>
      <c r="AB84" s="443"/>
      <c r="AC84" s="444"/>
      <c r="AD84" s="30"/>
      <c r="AE84" s="29" t="s">
        <v>244</v>
      </c>
      <c r="AF84" s="29"/>
      <c r="AG84" s="29"/>
      <c r="AH84" s="40"/>
      <c r="AI84" s="40"/>
      <c r="AJ84" s="40"/>
      <c r="AK84" s="40"/>
      <c r="AL84" s="40"/>
      <c r="AM84" s="40"/>
      <c r="AN84" s="40"/>
      <c r="AO84" s="41"/>
      <c r="AP84" s="41"/>
      <c r="AQ84" s="41"/>
      <c r="AR84" s="41"/>
      <c r="AS84" s="42"/>
      <c r="AT84" s="43"/>
      <c r="AU84" s="67"/>
      <c r="AV84" s="67"/>
      <c r="AW84" s="67"/>
      <c r="AX84" s="67"/>
      <c r="AY84" s="67"/>
      <c r="AZ84" s="67"/>
      <c r="BA84" s="67"/>
      <c r="BB84" s="67"/>
      <c r="BC84" s="67"/>
      <c r="BD84" s="68"/>
    </row>
    <row r="85" spans="1:56" ht="14.4" customHeight="1">
      <c r="A85" s="70" t="str">
        <f>IF(B85="","",COUNTA($B$8:B85))</f>
        <v/>
      </c>
      <c r="B85" s="19"/>
      <c r="C85" s="20"/>
      <c r="D85" s="20"/>
      <c r="E85" s="20"/>
      <c r="F85" s="20"/>
      <c r="G85" s="20"/>
      <c r="H85" s="24"/>
      <c r="I85" s="34"/>
      <c r="J85" s="23"/>
      <c r="K85" s="23"/>
      <c r="L85" s="23"/>
      <c r="M85" s="23"/>
      <c r="N85" s="23"/>
      <c r="O85" s="23"/>
      <c r="P85" s="23"/>
      <c r="Q85" s="37"/>
      <c r="R85" s="19"/>
      <c r="S85" s="23"/>
      <c r="T85" s="23"/>
      <c r="U85" s="23"/>
      <c r="V85" s="23"/>
      <c r="W85" s="23"/>
      <c r="X85" s="24"/>
      <c r="Y85" s="440"/>
      <c r="Z85" s="441"/>
      <c r="AA85" s="442"/>
      <c r="AB85" s="443"/>
      <c r="AC85" s="444"/>
      <c r="AD85" s="30"/>
      <c r="AE85" s="29" t="s">
        <v>244</v>
      </c>
      <c r="AF85" s="29"/>
      <c r="AG85" s="29"/>
      <c r="AH85" s="40"/>
      <c r="AI85" s="40"/>
      <c r="AJ85" s="40"/>
      <c r="AK85" s="40"/>
      <c r="AL85" s="40"/>
      <c r="AM85" s="40"/>
      <c r="AN85" s="40"/>
      <c r="AO85" s="41"/>
      <c r="AP85" s="41"/>
      <c r="AQ85" s="41"/>
      <c r="AR85" s="41"/>
      <c r="AS85" s="42"/>
      <c r="AT85" s="43"/>
      <c r="AU85" s="67"/>
      <c r="AV85" s="67"/>
      <c r="AW85" s="67"/>
      <c r="AX85" s="67"/>
      <c r="AY85" s="67"/>
      <c r="AZ85" s="67"/>
      <c r="BA85" s="67"/>
      <c r="BB85" s="67"/>
      <c r="BC85" s="67"/>
      <c r="BD85" s="68"/>
    </row>
  </sheetData>
  <mergeCells count="185">
    <mergeCell ref="Y84:Z84"/>
    <mergeCell ref="AA84:AC84"/>
    <mergeCell ref="Y85:Z85"/>
    <mergeCell ref="AA85:AC85"/>
    <mergeCell ref="Y79:Z79"/>
    <mergeCell ref="AA79:AC79"/>
    <mergeCell ref="Y80:Z80"/>
    <mergeCell ref="AA80:AC80"/>
    <mergeCell ref="Y81:Z81"/>
    <mergeCell ref="AA81:AC81"/>
    <mergeCell ref="Y82:Z82"/>
    <mergeCell ref="AA82:AC82"/>
    <mergeCell ref="Y83:Z83"/>
    <mergeCell ref="AA83:AC83"/>
    <mergeCell ref="Y74:Z74"/>
    <mergeCell ref="AA74:AC74"/>
    <mergeCell ref="Y75:Z75"/>
    <mergeCell ref="AA75:AC75"/>
    <mergeCell ref="Y76:Z76"/>
    <mergeCell ref="AA76:AC76"/>
    <mergeCell ref="Y77:Z77"/>
    <mergeCell ref="AA77:AC77"/>
    <mergeCell ref="Y78:Z78"/>
    <mergeCell ref="AA78:AC78"/>
    <mergeCell ref="Y69:Z69"/>
    <mergeCell ref="AA69:AC69"/>
    <mergeCell ref="Y70:Z70"/>
    <mergeCell ref="AA70:AC70"/>
    <mergeCell ref="Y71:Z71"/>
    <mergeCell ref="AA71:AC71"/>
    <mergeCell ref="Y72:Z72"/>
    <mergeCell ref="AA72:AC72"/>
    <mergeCell ref="Y73:Z73"/>
    <mergeCell ref="AA73:AC73"/>
    <mergeCell ref="Y64:Z64"/>
    <mergeCell ref="AA64:AC64"/>
    <mergeCell ref="Y65:Z65"/>
    <mergeCell ref="AA65:AC65"/>
    <mergeCell ref="Y66:Z66"/>
    <mergeCell ref="AA66:AC66"/>
    <mergeCell ref="Y67:Z67"/>
    <mergeCell ref="AA67:AC67"/>
    <mergeCell ref="Y68:Z68"/>
    <mergeCell ref="AA68:AC68"/>
    <mergeCell ref="A1:H4"/>
    <mergeCell ref="AZ1:BD1"/>
    <mergeCell ref="I2:Q4"/>
    <mergeCell ref="R2:X4"/>
    <mergeCell ref="Y2:AO3"/>
    <mergeCell ref="AP2:AT2"/>
    <mergeCell ref="AZ2:BD2"/>
    <mergeCell ref="AP3:AT3"/>
    <mergeCell ref="AU3:AY3"/>
    <mergeCell ref="AZ3:BD3"/>
    <mergeCell ref="Y4:AO4"/>
    <mergeCell ref="I1:Q1"/>
    <mergeCell ref="R1:X1"/>
    <mergeCell ref="Y1:AO1"/>
    <mergeCell ref="AP1:AT1"/>
    <mergeCell ref="AU1:AY1"/>
    <mergeCell ref="AP4:AT4"/>
    <mergeCell ref="AU4:AY4"/>
    <mergeCell ref="A6:A7"/>
    <mergeCell ref="B6:H7"/>
    <mergeCell ref="I6:Q7"/>
    <mergeCell ref="R6:X7"/>
    <mergeCell ref="Y6:Z7"/>
    <mergeCell ref="AA6:AC7"/>
    <mergeCell ref="AD6:AD7"/>
    <mergeCell ref="AE6:AE7"/>
    <mergeCell ref="AF6:AF7"/>
    <mergeCell ref="Y9:Z9"/>
    <mergeCell ref="AS6:BD7"/>
    <mergeCell ref="Y8:Z8"/>
    <mergeCell ref="AZ4:BD4"/>
    <mergeCell ref="Y11:Z11"/>
    <mergeCell ref="Y12:Z12"/>
    <mergeCell ref="AG6:AG7"/>
    <mergeCell ref="AH6:AH7"/>
    <mergeCell ref="AI6:AR6"/>
    <mergeCell ref="AA8:AC8"/>
    <mergeCell ref="AA9:AC9"/>
    <mergeCell ref="AA10:AC10"/>
    <mergeCell ref="AA11:AC11"/>
    <mergeCell ref="AA12:AC12"/>
    <mergeCell ref="Y21:Z21"/>
    <mergeCell ref="Y22:Z22"/>
    <mergeCell ref="Y17:Z17"/>
    <mergeCell ref="Y10:Z10"/>
    <mergeCell ref="Y16:Z16"/>
    <mergeCell ref="Y18:Z18"/>
    <mergeCell ref="Y30:Z30"/>
    <mergeCell ref="Y31:Z31"/>
    <mergeCell ref="Y32:Z32"/>
    <mergeCell ref="Y26:Z26"/>
    <mergeCell ref="Y27:Z27"/>
    <mergeCell ref="Y29:Z29"/>
    <mergeCell ref="Y28:Z28"/>
    <mergeCell ref="Y23:Z23"/>
    <mergeCell ref="Y24:Z24"/>
    <mergeCell ref="Y25:Z25"/>
    <mergeCell ref="Y39:Z39"/>
    <mergeCell ref="Y40:Z40"/>
    <mergeCell ref="Y38:Z38"/>
    <mergeCell ref="Y36:Z36"/>
    <mergeCell ref="Y37:Z37"/>
    <mergeCell ref="Y33:Z33"/>
    <mergeCell ref="Y34:Z34"/>
    <mergeCell ref="Y35:Z35"/>
    <mergeCell ref="Y41:Z41"/>
    <mergeCell ref="Y63:Z63"/>
    <mergeCell ref="Y62:Z62"/>
    <mergeCell ref="Y19:Z19"/>
    <mergeCell ref="Y20:Z20"/>
    <mergeCell ref="Y59:Z59"/>
    <mergeCell ref="Y60:Z60"/>
    <mergeCell ref="Y61:Z61"/>
    <mergeCell ref="Y56:Z56"/>
    <mergeCell ref="Y57:Z57"/>
    <mergeCell ref="Y58:Z58"/>
    <mergeCell ref="Y53:Z53"/>
    <mergeCell ref="Y54:Z54"/>
    <mergeCell ref="Y55:Z55"/>
    <mergeCell ref="Y50:Z50"/>
    <mergeCell ref="Y51:Z51"/>
    <mergeCell ref="Y52:Z52"/>
    <mergeCell ref="Y47:Z47"/>
    <mergeCell ref="Y48:Z48"/>
    <mergeCell ref="Y49:Z49"/>
    <mergeCell ref="Y44:Z44"/>
    <mergeCell ref="Y45:Z45"/>
    <mergeCell ref="Y46:Z46"/>
    <mergeCell ref="Y42:Z42"/>
    <mergeCell ref="Y43:Z43"/>
    <mergeCell ref="AA13:AC13"/>
    <mergeCell ref="AA14:AC14"/>
    <mergeCell ref="AA15:AC15"/>
    <mergeCell ref="AA16:AC16"/>
    <mergeCell ref="AA17:AC17"/>
    <mergeCell ref="AA18:AC18"/>
    <mergeCell ref="AA19:AC19"/>
    <mergeCell ref="AA20:AC20"/>
    <mergeCell ref="AA21:AC21"/>
    <mergeCell ref="AA22:AC22"/>
    <mergeCell ref="AA23:AC23"/>
    <mergeCell ref="AA24:AC24"/>
    <mergeCell ref="AA25:AC25"/>
    <mergeCell ref="AA26:AC26"/>
    <mergeCell ref="AA27:AC27"/>
    <mergeCell ref="AA28:AC28"/>
    <mergeCell ref="AA29:AC29"/>
    <mergeCell ref="AA30:AC30"/>
    <mergeCell ref="AA31:AC31"/>
    <mergeCell ref="AA32:AC32"/>
    <mergeCell ref="AA33:AC33"/>
    <mergeCell ref="AA34:AC34"/>
    <mergeCell ref="AA35:AC35"/>
    <mergeCell ref="AA36:AC36"/>
    <mergeCell ref="AA37:AC37"/>
    <mergeCell ref="AA38:AC38"/>
    <mergeCell ref="AA39:AC39"/>
    <mergeCell ref="AA40:AC40"/>
    <mergeCell ref="AA41:AC41"/>
    <mergeCell ref="AA42:AC42"/>
    <mergeCell ref="AA43:AC43"/>
    <mergeCell ref="AA44:AC44"/>
    <mergeCell ref="AA45:AC45"/>
    <mergeCell ref="AA46:AC46"/>
    <mergeCell ref="AA47:AC47"/>
    <mergeCell ref="AA48:AC48"/>
    <mergeCell ref="AA58:AC58"/>
    <mergeCell ref="AA59:AC59"/>
    <mergeCell ref="AA60:AC60"/>
    <mergeCell ref="AA61:AC61"/>
    <mergeCell ref="AA62:AC62"/>
    <mergeCell ref="AA63:AC63"/>
    <mergeCell ref="AA49:AC49"/>
    <mergeCell ref="AA50:AC50"/>
    <mergeCell ref="AA51:AC51"/>
    <mergeCell ref="AA52:AC52"/>
    <mergeCell ref="AA53:AC53"/>
    <mergeCell ref="AA54:AC54"/>
    <mergeCell ref="AA55:AC55"/>
    <mergeCell ref="AA56:AC56"/>
    <mergeCell ref="AA57:AC57"/>
  </mergeCells>
  <phoneticPr fontId="5"/>
  <dataValidations count="3">
    <dataValidation imeMode="hiragana" allowBlank="1" showInputMessage="1" showErrorMessage="1" sqref="JO65521:JZ65523 TK65521:TV65523 ADG65521:ADR65523 ANC65521:ANN65523 AWY65521:AXJ65523 BGU65521:BHF65523 BQQ65521:BRB65523 CAM65521:CAX65523 CKI65521:CKT65523 CUE65521:CUP65523 DEA65521:DEL65523 DNW65521:DOH65523 DXS65521:DYD65523 EHO65521:EHZ65523 ERK65521:ERV65523 FBG65521:FBR65523 FLC65521:FLN65523 FUY65521:FVJ65523 GEU65521:GFF65523 GOQ65521:GPB65523 GYM65521:GYX65523 HII65521:HIT65523 HSE65521:HSP65523 ICA65521:ICL65523 ILW65521:IMH65523 IVS65521:IWD65523 JFO65521:JFZ65523 JPK65521:JPV65523 JZG65521:JZR65523 KJC65521:KJN65523 KSY65521:KTJ65523 LCU65521:LDF65523 LMQ65521:LNB65523 LWM65521:LWX65523 MGI65521:MGT65523 MQE65521:MQP65523 NAA65521:NAL65523 NJW65521:NKH65523 NTS65521:NUD65523 ODO65521:ODZ65523 ONK65521:ONV65523 OXG65521:OXR65523 PHC65521:PHN65523 PQY65521:PRJ65523 QAU65521:QBF65523 QKQ65521:QLB65523 QUM65521:QUX65523 REI65521:RET65523 ROE65521:ROP65523 RYA65521:RYL65523 SHW65521:SIH65523 SRS65521:SSD65523 TBO65521:TBZ65523 TLK65521:TLV65523 TVG65521:TVR65523 UFC65521:UFN65523 UOY65521:UPJ65523 UYU65521:UZF65523 VIQ65521:VJB65523 VSM65521:VSX65523 WCI65521:WCT65523 WME65521:WMP65523 WWA65521:WWL65523 JO131057:JZ131059 TK131057:TV131059 ADG131057:ADR131059 ANC131057:ANN131059 AWY131057:AXJ131059 BGU131057:BHF131059 BQQ131057:BRB131059 CAM131057:CAX131059 CKI131057:CKT131059 CUE131057:CUP131059 DEA131057:DEL131059 DNW131057:DOH131059 DXS131057:DYD131059 EHO131057:EHZ131059 ERK131057:ERV131059 FBG131057:FBR131059 FLC131057:FLN131059 FUY131057:FVJ131059 GEU131057:GFF131059 GOQ131057:GPB131059 GYM131057:GYX131059 HII131057:HIT131059 HSE131057:HSP131059 ICA131057:ICL131059 ILW131057:IMH131059 IVS131057:IWD131059 JFO131057:JFZ131059 JPK131057:JPV131059 JZG131057:JZR131059 KJC131057:KJN131059 KSY131057:KTJ131059 LCU131057:LDF131059 LMQ131057:LNB131059 LWM131057:LWX131059 MGI131057:MGT131059 MQE131057:MQP131059 NAA131057:NAL131059 NJW131057:NKH131059 NTS131057:NUD131059 ODO131057:ODZ131059 ONK131057:ONV131059 OXG131057:OXR131059 PHC131057:PHN131059 PQY131057:PRJ131059 QAU131057:QBF131059 QKQ131057:QLB131059 QUM131057:QUX131059 REI131057:RET131059 ROE131057:ROP131059 RYA131057:RYL131059 SHW131057:SIH131059 SRS131057:SSD131059 TBO131057:TBZ131059 TLK131057:TLV131059 TVG131057:TVR131059 UFC131057:UFN131059 UOY131057:UPJ131059 UYU131057:UZF131059 VIQ131057:VJB131059 VSM131057:VSX131059 WCI131057:WCT131059 WME131057:WMP131059 WWA131057:WWL131059 JO196593:JZ196595 TK196593:TV196595 ADG196593:ADR196595 ANC196593:ANN196595 AWY196593:AXJ196595 BGU196593:BHF196595 BQQ196593:BRB196595 CAM196593:CAX196595 CKI196593:CKT196595 CUE196593:CUP196595 DEA196593:DEL196595 DNW196593:DOH196595 DXS196593:DYD196595 EHO196593:EHZ196595 ERK196593:ERV196595 FBG196593:FBR196595 FLC196593:FLN196595 FUY196593:FVJ196595 GEU196593:GFF196595 GOQ196593:GPB196595 GYM196593:GYX196595 HII196593:HIT196595 HSE196593:HSP196595 ICA196593:ICL196595 ILW196593:IMH196595 IVS196593:IWD196595 JFO196593:JFZ196595 JPK196593:JPV196595 JZG196593:JZR196595 KJC196593:KJN196595 KSY196593:KTJ196595 LCU196593:LDF196595 LMQ196593:LNB196595 LWM196593:LWX196595 MGI196593:MGT196595 MQE196593:MQP196595 NAA196593:NAL196595 NJW196593:NKH196595 NTS196593:NUD196595 ODO196593:ODZ196595 ONK196593:ONV196595 OXG196593:OXR196595 PHC196593:PHN196595 PQY196593:PRJ196595 QAU196593:QBF196595 QKQ196593:QLB196595 QUM196593:QUX196595 REI196593:RET196595 ROE196593:ROP196595 RYA196593:RYL196595 SHW196593:SIH196595 SRS196593:SSD196595 TBO196593:TBZ196595 TLK196593:TLV196595 TVG196593:TVR196595 UFC196593:UFN196595 UOY196593:UPJ196595 UYU196593:UZF196595 VIQ196593:VJB196595 VSM196593:VSX196595 WCI196593:WCT196595 WME196593:WMP196595 WWA196593:WWL196595 JO262129:JZ262131 TK262129:TV262131 ADG262129:ADR262131 ANC262129:ANN262131 AWY262129:AXJ262131 BGU262129:BHF262131 BQQ262129:BRB262131 CAM262129:CAX262131 CKI262129:CKT262131 CUE262129:CUP262131 DEA262129:DEL262131 DNW262129:DOH262131 DXS262129:DYD262131 EHO262129:EHZ262131 ERK262129:ERV262131 FBG262129:FBR262131 FLC262129:FLN262131 FUY262129:FVJ262131 GEU262129:GFF262131 GOQ262129:GPB262131 GYM262129:GYX262131 HII262129:HIT262131 HSE262129:HSP262131 ICA262129:ICL262131 ILW262129:IMH262131 IVS262129:IWD262131 JFO262129:JFZ262131 JPK262129:JPV262131 JZG262129:JZR262131 KJC262129:KJN262131 KSY262129:KTJ262131 LCU262129:LDF262131 LMQ262129:LNB262131 LWM262129:LWX262131 MGI262129:MGT262131 MQE262129:MQP262131 NAA262129:NAL262131 NJW262129:NKH262131 NTS262129:NUD262131 ODO262129:ODZ262131 ONK262129:ONV262131 OXG262129:OXR262131 PHC262129:PHN262131 PQY262129:PRJ262131 QAU262129:QBF262131 QKQ262129:QLB262131 QUM262129:QUX262131 REI262129:RET262131 ROE262129:ROP262131 RYA262129:RYL262131 SHW262129:SIH262131 SRS262129:SSD262131 TBO262129:TBZ262131 TLK262129:TLV262131 TVG262129:TVR262131 UFC262129:UFN262131 UOY262129:UPJ262131 UYU262129:UZF262131 VIQ262129:VJB262131 VSM262129:VSX262131 WCI262129:WCT262131 WME262129:WMP262131 WWA262129:WWL262131 JO327665:JZ327667 TK327665:TV327667 ADG327665:ADR327667 ANC327665:ANN327667 AWY327665:AXJ327667 BGU327665:BHF327667 BQQ327665:BRB327667 CAM327665:CAX327667 CKI327665:CKT327667 CUE327665:CUP327667 DEA327665:DEL327667 DNW327665:DOH327667 DXS327665:DYD327667 EHO327665:EHZ327667 ERK327665:ERV327667 FBG327665:FBR327667 FLC327665:FLN327667 FUY327665:FVJ327667 GEU327665:GFF327667 GOQ327665:GPB327667 GYM327665:GYX327667 HII327665:HIT327667 HSE327665:HSP327667 ICA327665:ICL327667 ILW327665:IMH327667 IVS327665:IWD327667 JFO327665:JFZ327667 JPK327665:JPV327667 JZG327665:JZR327667 KJC327665:KJN327667 KSY327665:KTJ327667 LCU327665:LDF327667 LMQ327665:LNB327667 LWM327665:LWX327667 MGI327665:MGT327667 MQE327665:MQP327667 NAA327665:NAL327667 NJW327665:NKH327667 NTS327665:NUD327667 ODO327665:ODZ327667 ONK327665:ONV327667 OXG327665:OXR327667 PHC327665:PHN327667 PQY327665:PRJ327667 QAU327665:QBF327667 QKQ327665:QLB327667 QUM327665:QUX327667 REI327665:RET327667 ROE327665:ROP327667 RYA327665:RYL327667 SHW327665:SIH327667 SRS327665:SSD327667 TBO327665:TBZ327667 TLK327665:TLV327667 TVG327665:TVR327667 UFC327665:UFN327667 UOY327665:UPJ327667 UYU327665:UZF327667 VIQ327665:VJB327667 VSM327665:VSX327667 WCI327665:WCT327667 WME327665:WMP327667 WWA327665:WWL327667 JO393201:JZ393203 TK393201:TV393203 ADG393201:ADR393203 ANC393201:ANN393203 AWY393201:AXJ393203 BGU393201:BHF393203 BQQ393201:BRB393203 CAM393201:CAX393203 CKI393201:CKT393203 CUE393201:CUP393203 DEA393201:DEL393203 DNW393201:DOH393203 DXS393201:DYD393203 EHO393201:EHZ393203 ERK393201:ERV393203 FBG393201:FBR393203 FLC393201:FLN393203 FUY393201:FVJ393203 GEU393201:GFF393203 GOQ393201:GPB393203 GYM393201:GYX393203 HII393201:HIT393203 HSE393201:HSP393203 ICA393201:ICL393203 ILW393201:IMH393203 IVS393201:IWD393203 JFO393201:JFZ393203 JPK393201:JPV393203 JZG393201:JZR393203 KJC393201:KJN393203 KSY393201:KTJ393203 LCU393201:LDF393203 LMQ393201:LNB393203 LWM393201:LWX393203 MGI393201:MGT393203 MQE393201:MQP393203 NAA393201:NAL393203 NJW393201:NKH393203 NTS393201:NUD393203 ODO393201:ODZ393203 ONK393201:ONV393203 OXG393201:OXR393203 PHC393201:PHN393203 PQY393201:PRJ393203 QAU393201:QBF393203 QKQ393201:QLB393203 QUM393201:QUX393203 REI393201:RET393203 ROE393201:ROP393203 RYA393201:RYL393203 SHW393201:SIH393203 SRS393201:SSD393203 TBO393201:TBZ393203 TLK393201:TLV393203 TVG393201:TVR393203 UFC393201:UFN393203 UOY393201:UPJ393203 UYU393201:UZF393203 VIQ393201:VJB393203 VSM393201:VSX393203 WCI393201:WCT393203 WME393201:WMP393203 WWA393201:WWL393203 JO458737:JZ458739 TK458737:TV458739 ADG458737:ADR458739 ANC458737:ANN458739 AWY458737:AXJ458739 BGU458737:BHF458739 BQQ458737:BRB458739 CAM458737:CAX458739 CKI458737:CKT458739 CUE458737:CUP458739 DEA458737:DEL458739 DNW458737:DOH458739 DXS458737:DYD458739 EHO458737:EHZ458739 ERK458737:ERV458739 FBG458737:FBR458739 FLC458737:FLN458739 FUY458737:FVJ458739 GEU458737:GFF458739 GOQ458737:GPB458739 GYM458737:GYX458739 HII458737:HIT458739 HSE458737:HSP458739 ICA458737:ICL458739 ILW458737:IMH458739 IVS458737:IWD458739 JFO458737:JFZ458739 JPK458737:JPV458739 JZG458737:JZR458739 KJC458737:KJN458739 KSY458737:KTJ458739 LCU458737:LDF458739 LMQ458737:LNB458739 LWM458737:LWX458739 MGI458737:MGT458739 MQE458737:MQP458739 NAA458737:NAL458739 NJW458737:NKH458739 NTS458737:NUD458739 ODO458737:ODZ458739 ONK458737:ONV458739 OXG458737:OXR458739 PHC458737:PHN458739 PQY458737:PRJ458739 QAU458737:QBF458739 QKQ458737:QLB458739 QUM458737:QUX458739 REI458737:RET458739 ROE458737:ROP458739 RYA458737:RYL458739 SHW458737:SIH458739 SRS458737:SSD458739 TBO458737:TBZ458739 TLK458737:TLV458739 TVG458737:TVR458739 UFC458737:UFN458739 UOY458737:UPJ458739 UYU458737:UZF458739 VIQ458737:VJB458739 VSM458737:VSX458739 WCI458737:WCT458739 WME458737:WMP458739 WWA458737:WWL458739 JO524273:JZ524275 TK524273:TV524275 ADG524273:ADR524275 ANC524273:ANN524275 AWY524273:AXJ524275 BGU524273:BHF524275 BQQ524273:BRB524275 CAM524273:CAX524275 CKI524273:CKT524275 CUE524273:CUP524275 DEA524273:DEL524275 DNW524273:DOH524275 DXS524273:DYD524275 EHO524273:EHZ524275 ERK524273:ERV524275 FBG524273:FBR524275 FLC524273:FLN524275 FUY524273:FVJ524275 GEU524273:GFF524275 GOQ524273:GPB524275 GYM524273:GYX524275 HII524273:HIT524275 HSE524273:HSP524275 ICA524273:ICL524275 ILW524273:IMH524275 IVS524273:IWD524275 JFO524273:JFZ524275 JPK524273:JPV524275 JZG524273:JZR524275 KJC524273:KJN524275 KSY524273:KTJ524275 LCU524273:LDF524275 LMQ524273:LNB524275 LWM524273:LWX524275 MGI524273:MGT524275 MQE524273:MQP524275 NAA524273:NAL524275 NJW524273:NKH524275 NTS524273:NUD524275 ODO524273:ODZ524275 ONK524273:ONV524275 OXG524273:OXR524275 PHC524273:PHN524275 PQY524273:PRJ524275 QAU524273:QBF524275 QKQ524273:QLB524275 QUM524273:QUX524275 REI524273:RET524275 ROE524273:ROP524275 RYA524273:RYL524275 SHW524273:SIH524275 SRS524273:SSD524275 TBO524273:TBZ524275 TLK524273:TLV524275 TVG524273:TVR524275 UFC524273:UFN524275 UOY524273:UPJ524275 UYU524273:UZF524275 VIQ524273:VJB524275 VSM524273:VSX524275 WCI524273:WCT524275 WME524273:WMP524275 WWA524273:WWL524275 JO589809:JZ589811 TK589809:TV589811 ADG589809:ADR589811 ANC589809:ANN589811 AWY589809:AXJ589811 BGU589809:BHF589811 BQQ589809:BRB589811 CAM589809:CAX589811 CKI589809:CKT589811 CUE589809:CUP589811 DEA589809:DEL589811 DNW589809:DOH589811 DXS589809:DYD589811 EHO589809:EHZ589811 ERK589809:ERV589811 FBG589809:FBR589811 FLC589809:FLN589811 FUY589809:FVJ589811 GEU589809:GFF589811 GOQ589809:GPB589811 GYM589809:GYX589811 HII589809:HIT589811 HSE589809:HSP589811 ICA589809:ICL589811 ILW589809:IMH589811 IVS589809:IWD589811 JFO589809:JFZ589811 JPK589809:JPV589811 JZG589809:JZR589811 KJC589809:KJN589811 KSY589809:KTJ589811 LCU589809:LDF589811 LMQ589809:LNB589811 LWM589809:LWX589811 MGI589809:MGT589811 MQE589809:MQP589811 NAA589809:NAL589811 NJW589809:NKH589811 NTS589809:NUD589811 ODO589809:ODZ589811 ONK589809:ONV589811 OXG589809:OXR589811 PHC589809:PHN589811 PQY589809:PRJ589811 QAU589809:QBF589811 QKQ589809:QLB589811 QUM589809:QUX589811 REI589809:RET589811 ROE589809:ROP589811 RYA589809:RYL589811 SHW589809:SIH589811 SRS589809:SSD589811 TBO589809:TBZ589811 TLK589809:TLV589811 TVG589809:TVR589811 UFC589809:UFN589811 UOY589809:UPJ589811 UYU589809:UZF589811 VIQ589809:VJB589811 VSM589809:VSX589811 WCI589809:WCT589811 WME589809:WMP589811 WWA589809:WWL589811 JO655345:JZ655347 TK655345:TV655347 ADG655345:ADR655347 ANC655345:ANN655347 AWY655345:AXJ655347 BGU655345:BHF655347 BQQ655345:BRB655347 CAM655345:CAX655347 CKI655345:CKT655347 CUE655345:CUP655347 DEA655345:DEL655347 DNW655345:DOH655347 DXS655345:DYD655347 EHO655345:EHZ655347 ERK655345:ERV655347 FBG655345:FBR655347 FLC655345:FLN655347 FUY655345:FVJ655347 GEU655345:GFF655347 GOQ655345:GPB655347 GYM655345:GYX655347 HII655345:HIT655347 HSE655345:HSP655347 ICA655345:ICL655347 ILW655345:IMH655347 IVS655345:IWD655347 JFO655345:JFZ655347 JPK655345:JPV655347 JZG655345:JZR655347 KJC655345:KJN655347 KSY655345:KTJ655347 LCU655345:LDF655347 LMQ655345:LNB655347 LWM655345:LWX655347 MGI655345:MGT655347 MQE655345:MQP655347 NAA655345:NAL655347 NJW655345:NKH655347 NTS655345:NUD655347 ODO655345:ODZ655347 ONK655345:ONV655347 OXG655345:OXR655347 PHC655345:PHN655347 PQY655345:PRJ655347 QAU655345:QBF655347 QKQ655345:QLB655347 QUM655345:QUX655347 REI655345:RET655347 ROE655345:ROP655347 RYA655345:RYL655347 SHW655345:SIH655347 SRS655345:SSD655347 TBO655345:TBZ655347 TLK655345:TLV655347 TVG655345:TVR655347 UFC655345:UFN655347 UOY655345:UPJ655347 UYU655345:UZF655347 VIQ655345:VJB655347 VSM655345:VSX655347 WCI655345:WCT655347 WME655345:WMP655347 WWA655345:WWL655347 JO720881:JZ720883 TK720881:TV720883 ADG720881:ADR720883 ANC720881:ANN720883 AWY720881:AXJ720883 BGU720881:BHF720883 BQQ720881:BRB720883 CAM720881:CAX720883 CKI720881:CKT720883 CUE720881:CUP720883 DEA720881:DEL720883 DNW720881:DOH720883 DXS720881:DYD720883 EHO720881:EHZ720883 ERK720881:ERV720883 FBG720881:FBR720883 FLC720881:FLN720883 FUY720881:FVJ720883 GEU720881:GFF720883 GOQ720881:GPB720883 GYM720881:GYX720883 HII720881:HIT720883 HSE720881:HSP720883 ICA720881:ICL720883 ILW720881:IMH720883 IVS720881:IWD720883 JFO720881:JFZ720883 JPK720881:JPV720883 JZG720881:JZR720883 KJC720881:KJN720883 KSY720881:KTJ720883 LCU720881:LDF720883 LMQ720881:LNB720883 LWM720881:LWX720883 MGI720881:MGT720883 MQE720881:MQP720883 NAA720881:NAL720883 NJW720881:NKH720883 NTS720881:NUD720883 ODO720881:ODZ720883 ONK720881:ONV720883 OXG720881:OXR720883 PHC720881:PHN720883 PQY720881:PRJ720883 QAU720881:QBF720883 QKQ720881:QLB720883 QUM720881:QUX720883 REI720881:RET720883 ROE720881:ROP720883 RYA720881:RYL720883 SHW720881:SIH720883 SRS720881:SSD720883 TBO720881:TBZ720883 TLK720881:TLV720883 TVG720881:TVR720883 UFC720881:UFN720883 UOY720881:UPJ720883 UYU720881:UZF720883 VIQ720881:VJB720883 VSM720881:VSX720883 WCI720881:WCT720883 WME720881:WMP720883 WWA720881:WWL720883 JO786417:JZ786419 TK786417:TV786419 ADG786417:ADR786419 ANC786417:ANN786419 AWY786417:AXJ786419 BGU786417:BHF786419 BQQ786417:BRB786419 CAM786417:CAX786419 CKI786417:CKT786419 CUE786417:CUP786419 DEA786417:DEL786419 DNW786417:DOH786419 DXS786417:DYD786419 EHO786417:EHZ786419 ERK786417:ERV786419 FBG786417:FBR786419 FLC786417:FLN786419 FUY786417:FVJ786419 GEU786417:GFF786419 GOQ786417:GPB786419 GYM786417:GYX786419 HII786417:HIT786419 HSE786417:HSP786419 ICA786417:ICL786419 ILW786417:IMH786419 IVS786417:IWD786419 JFO786417:JFZ786419 JPK786417:JPV786419 JZG786417:JZR786419 KJC786417:KJN786419 KSY786417:KTJ786419 LCU786417:LDF786419 LMQ786417:LNB786419 LWM786417:LWX786419 MGI786417:MGT786419 MQE786417:MQP786419 NAA786417:NAL786419 NJW786417:NKH786419 NTS786417:NUD786419 ODO786417:ODZ786419 ONK786417:ONV786419 OXG786417:OXR786419 PHC786417:PHN786419 PQY786417:PRJ786419 QAU786417:QBF786419 QKQ786417:QLB786419 QUM786417:QUX786419 REI786417:RET786419 ROE786417:ROP786419 RYA786417:RYL786419 SHW786417:SIH786419 SRS786417:SSD786419 TBO786417:TBZ786419 TLK786417:TLV786419 TVG786417:TVR786419 UFC786417:UFN786419 UOY786417:UPJ786419 UYU786417:UZF786419 VIQ786417:VJB786419 VSM786417:VSX786419 WCI786417:WCT786419 WME786417:WMP786419 WWA786417:WWL786419 JO851953:JZ851955 TK851953:TV851955 ADG851953:ADR851955 ANC851953:ANN851955 AWY851953:AXJ851955 BGU851953:BHF851955 BQQ851953:BRB851955 CAM851953:CAX851955 CKI851953:CKT851955 CUE851953:CUP851955 DEA851953:DEL851955 DNW851953:DOH851955 DXS851953:DYD851955 EHO851953:EHZ851955 ERK851953:ERV851955 FBG851953:FBR851955 FLC851953:FLN851955 FUY851953:FVJ851955 GEU851953:GFF851955 GOQ851953:GPB851955 GYM851953:GYX851955 HII851953:HIT851955 HSE851953:HSP851955 ICA851953:ICL851955 ILW851953:IMH851955 IVS851953:IWD851955 JFO851953:JFZ851955 JPK851953:JPV851955 JZG851953:JZR851955 KJC851953:KJN851955 KSY851953:KTJ851955 LCU851953:LDF851955 LMQ851953:LNB851955 LWM851953:LWX851955 MGI851953:MGT851955 MQE851953:MQP851955 NAA851953:NAL851955 NJW851953:NKH851955 NTS851953:NUD851955 ODO851953:ODZ851955 ONK851953:ONV851955 OXG851953:OXR851955 PHC851953:PHN851955 PQY851953:PRJ851955 QAU851953:QBF851955 QKQ851953:QLB851955 QUM851953:QUX851955 REI851953:RET851955 ROE851953:ROP851955 RYA851953:RYL851955 SHW851953:SIH851955 SRS851953:SSD851955 TBO851953:TBZ851955 TLK851953:TLV851955 TVG851953:TVR851955 UFC851953:UFN851955 UOY851953:UPJ851955 UYU851953:UZF851955 VIQ851953:VJB851955 VSM851953:VSX851955 WCI851953:WCT851955 WME851953:WMP851955 WWA851953:WWL851955 JO917489:JZ917491 TK917489:TV917491 ADG917489:ADR917491 ANC917489:ANN917491 AWY917489:AXJ917491 BGU917489:BHF917491 BQQ917489:BRB917491 CAM917489:CAX917491 CKI917489:CKT917491 CUE917489:CUP917491 DEA917489:DEL917491 DNW917489:DOH917491 DXS917489:DYD917491 EHO917489:EHZ917491 ERK917489:ERV917491 FBG917489:FBR917491 FLC917489:FLN917491 FUY917489:FVJ917491 GEU917489:GFF917491 GOQ917489:GPB917491 GYM917489:GYX917491 HII917489:HIT917491 HSE917489:HSP917491 ICA917489:ICL917491 ILW917489:IMH917491 IVS917489:IWD917491 JFO917489:JFZ917491 JPK917489:JPV917491 JZG917489:JZR917491 KJC917489:KJN917491 KSY917489:KTJ917491 LCU917489:LDF917491 LMQ917489:LNB917491 LWM917489:LWX917491 MGI917489:MGT917491 MQE917489:MQP917491 NAA917489:NAL917491 NJW917489:NKH917491 NTS917489:NUD917491 ODO917489:ODZ917491 ONK917489:ONV917491 OXG917489:OXR917491 PHC917489:PHN917491 PQY917489:PRJ917491 QAU917489:QBF917491 QKQ917489:QLB917491 QUM917489:QUX917491 REI917489:RET917491 ROE917489:ROP917491 RYA917489:RYL917491 SHW917489:SIH917491 SRS917489:SSD917491 TBO917489:TBZ917491 TLK917489:TLV917491 TVG917489:TVR917491 UFC917489:UFN917491 UOY917489:UPJ917491 UYU917489:UZF917491 VIQ917489:VJB917491 VSM917489:VSX917491 WCI917489:WCT917491 WME917489:WMP917491 WWA917489:WWL917491 JO983025:JZ983027 TK983025:TV983027 ADG983025:ADR983027 ANC983025:ANN983027 AWY983025:AXJ983027 BGU983025:BHF983027 BQQ983025:BRB983027 CAM983025:CAX983027 CKI983025:CKT983027 CUE983025:CUP983027 DEA983025:DEL983027 DNW983025:DOH983027 DXS983025:DYD983027 EHO983025:EHZ983027 ERK983025:ERV983027 FBG983025:FBR983027 FLC983025:FLN983027 FUY983025:FVJ983027 GEU983025:GFF983027 GOQ983025:GPB983027 GYM983025:GYX983027 HII983025:HIT983027 HSE983025:HSP983027 ICA983025:ICL983027 ILW983025:IMH983027 IVS983025:IWD983027 JFO983025:JFZ983027 JPK983025:JPV983027 JZG983025:JZR983027 KJC983025:KJN983027 KSY983025:KTJ983027 LCU983025:LDF983027 LMQ983025:LNB983027 LWM983025:LWX983027 MGI983025:MGT983027 MQE983025:MQP983027 NAA983025:NAL983027 NJW983025:NKH983027 NTS983025:NUD983027 ODO983025:ODZ983027 ONK983025:ONV983027 OXG983025:OXR983027 PHC983025:PHN983027 PQY983025:PRJ983027 QAU983025:QBF983027 QKQ983025:QLB983027 QUM983025:QUX983027 REI983025:RET983027 ROE983025:ROP983027 RYA983025:RYL983027 SHW983025:SIH983027 SRS983025:SSD983027 TBO983025:TBZ983027 TLK983025:TLV983027 TVG983025:TVR983027 UFC983025:UFN983027 UOY983025:UPJ983027 UYU983025:UZF983027 VIQ983025:VJB983027 VSM983025:VSX983027 WCI983025:WCT983027 WME983025:WMP983027 WWA983025:WWL983027 JP2:KA4 TL2:TW4 ADH2:ADS4 AND2:ANO4 AWZ2:AXK4 BGV2:BHG4 BQR2:BRC4 CAN2:CAY4 CKJ2:CKU4 CUF2:CUQ4 DEB2:DEM4 DNX2:DOI4 DXT2:DYE4 EHP2:EIA4 ERL2:ERW4 FBH2:FBS4 FLD2:FLO4 FUZ2:FVK4 GEV2:GFG4 GOR2:GPC4 GYN2:GYY4 HIJ2:HIU4 HSF2:HSQ4 ICB2:ICM4 ILX2:IMI4 IVT2:IWE4 JFP2:JGA4 JPL2:JPW4 JZH2:JZS4 KJD2:KJO4 KSZ2:KTK4 LCV2:LDG4 LMR2:LNC4 LWN2:LWY4 MGJ2:MGU4 MQF2:MQQ4 NAB2:NAM4 NJX2:NKI4 NTT2:NUE4 ODP2:OEA4 ONL2:ONW4 OXH2:OXS4 PHD2:PHO4 PQZ2:PRK4 QAV2:QBG4 QKR2:QLC4 QUN2:QUY4 REJ2:REU4 ROF2:ROQ4 RYB2:RYM4 SHX2:SII4 SRT2:SSE4 TBP2:TCA4 TLL2:TLW4 TVH2:TVS4 UFD2:UFO4 UOZ2:UPK4 UYV2:UZG4 VIR2:VJC4 VSN2:VSY4 WCJ2:WCU4 WMF2:WMQ4 WWB2:WWM4 AC65521:AM65523 AC983025:AM983027 AC917489:AM917491 AC851953:AM851955 AC786417:AM786419 AC720881:AM720883 AC655345:AM655347 AC589809:AM589811 AC524273:AM524275 AC458737:AM458739 AC393201:AM393203 AC327665:AM327667 AC262129:AM262131 AC196593:AM196595 AC131057:AM131059 R2"/>
    <dataValidation type="list" allowBlank="1" showInputMessage="1" showErrorMessage="1" sqref="Y8:Z85">
      <formula1>"文字,数値,日付,時間"</formula1>
    </dataValidation>
    <dataValidation type="list" allowBlank="1" showInputMessage="1" showErrorMessage="1" sqref="AA8:AC85">
      <formula1>"int,numeric,varchar,date,datetime2(0),datetime2,varbinary(max)"</formula1>
    </dataValidation>
  </dataValidations>
  <pageMargins left="0.39370078740157483" right="0.39370078740157483" top="0.59055118110236227" bottom="0.39370078740157483" header="0.39370078740157483" footer="0.19685039370078741"/>
  <pageSetup paperSize="9" scale="80" fitToHeight="0" orientation="landscape" useFirstPageNumber="1" verticalDpi="300" r:id="rId1"/>
  <headerFooter alignWithMargins="0">
    <oddFooter>&amp;R&amp;A - &amp;P</oddFooter>
  </headerFooter>
  <legacyDrawing r:id="rId2"/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52"/>
  <dimension ref="A1:BE85"/>
  <sheetViews>
    <sheetView showGridLines="0" zoomScaleNormal="100" zoomScaleSheetLayoutView="100" workbookViewId="0">
      <pane ySplit="7" topLeftCell="A8" activePane="bottomLeft" state="frozen"/>
      <selection sqref="A1:K4"/>
      <selection pane="bottomLeft" sqref="A1:H4"/>
    </sheetView>
  </sheetViews>
  <sheetFormatPr defaultColWidth="2.6328125" defaultRowHeight="14.4" customHeight="1"/>
  <cols>
    <col min="1" max="1" width="4.6328125" style="18" customWidth="1"/>
    <col min="2" max="29" width="2.6328125" style="18"/>
    <col min="30" max="30" width="4.6328125" style="18" customWidth="1"/>
    <col min="31" max="33" width="2.6328125" style="18"/>
    <col min="34" max="34" width="6.6328125" style="18" customWidth="1"/>
    <col min="35" max="44" width="2.6328125" style="18"/>
    <col min="45" max="56" width="2.6328125" style="46"/>
    <col min="57" max="16384" width="2.6328125" style="18"/>
  </cols>
  <sheetData>
    <row r="1" spans="1:56" s="17" customFormat="1" ht="14.4" customHeight="1">
      <c r="A1" s="417" t="s">
        <v>78</v>
      </c>
      <c r="B1" s="418"/>
      <c r="C1" s="418"/>
      <c r="D1" s="418"/>
      <c r="E1" s="418"/>
      <c r="F1" s="418"/>
      <c r="G1" s="418"/>
      <c r="H1" s="419"/>
      <c r="I1" s="354" t="s">
        <v>79</v>
      </c>
      <c r="J1" s="355"/>
      <c r="K1" s="355"/>
      <c r="L1" s="355"/>
      <c r="M1" s="355"/>
      <c r="N1" s="355"/>
      <c r="O1" s="355"/>
      <c r="P1" s="355"/>
      <c r="Q1" s="356"/>
      <c r="R1" s="354" t="s">
        <v>80</v>
      </c>
      <c r="S1" s="355"/>
      <c r="T1" s="355"/>
      <c r="U1" s="355"/>
      <c r="V1" s="355"/>
      <c r="W1" s="355"/>
      <c r="X1" s="356"/>
      <c r="Y1" s="354" t="s">
        <v>135</v>
      </c>
      <c r="Z1" s="355"/>
      <c r="AA1" s="355"/>
      <c r="AB1" s="355"/>
      <c r="AC1" s="355"/>
      <c r="AD1" s="355"/>
      <c r="AE1" s="355"/>
      <c r="AF1" s="355"/>
      <c r="AG1" s="355"/>
      <c r="AH1" s="355"/>
      <c r="AI1" s="355"/>
      <c r="AJ1" s="355"/>
      <c r="AK1" s="355"/>
      <c r="AL1" s="355"/>
      <c r="AM1" s="355"/>
      <c r="AN1" s="355"/>
      <c r="AO1" s="356"/>
      <c r="AP1" s="428" t="s">
        <v>82</v>
      </c>
      <c r="AQ1" s="429"/>
      <c r="AR1" s="429"/>
      <c r="AS1" s="429"/>
      <c r="AT1" s="430"/>
      <c r="AU1" s="428" t="s">
        <v>83</v>
      </c>
      <c r="AV1" s="429"/>
      <c r="AW1" s="429"/>
      <c r="AX1" s="429"/>
      <c r="AY1" s="430"/>
      <c r="AZ1" s="428" t="s">
        <v>84</v>
      </c>
      <c r="BA1" s="429"/>
      <c r="BB1" s="429"/>
      <c r="BC1" s="429"/>
      <c r="BD1" s="430"/>
    </row>
    <row r="2" spans="1:56" s="17" customFormat="1" ht="14.4" customHeight="1">
      <c r="A2" s="420"/>
      <c r="B2" s="421"/>
      <c r="C2" s="421"/>
      <c r="D2" s="421"/>
      <c r="E2" s="421"/>
      <c r="F2" s="421"/>
      <c r="G2" s="421"/>
      <c r="H2" s="422"/>
      <c r="I2" s="384" t="s">
        <v>85</v>
      </c>
      <c r="J2" s="385"/>
      <c r="K2" s="385"/>
      <c r="L2" s="385"/>
      <c r="M2" s="385"/>
      <c r="N2" s="385"/>
      <c r="O2" s="385"/>
      <c r="P2" s="385"/>
      <c r="Q2" s="386"/>
      <c r="R2" s="384" t="str">
        <f ca="1">VLOOKUP(RIGHT(CELL("filename",A2),LEN(CELL("filename",A2))-FIND("]",CELL("filename",A2))),テーブル一覧!B:AD,22,FALSE)</f>
        <v>B.生産計画</v>
      </c>
      <c r="S2" s="385"/>
      <c r="T2" s="385"/>
      <c r="U2" s="385"/>
      <c r="V2" s="385"/>
      <c r="W2" s="385"/>
      <c r="X2" s="386"/>
      <c r="Y2" s="384" t="str">
        <f ca="1">VLOOKUP(RIGHT(CELL("filename",A2),LEN(CELL("filename",A2))-FIND("]",CELL("filename",A2))),テーブル一覧!B:AD,1,FALSE)</f>
        <v>生産計画情報（コーヒーフィルタ）</v>
      </c>
      <c r="Z2" s="385"/>
      <c r="AA2" s="385"/>
      <c r="AB2" s="385"/>
      <c r="AC2" s="385"/>
      <c r="AD2" s="385"/>
      <c r="AE2" s="385"/>
      <c r="AF2" s="385"/>
      <c r="AG2" s="385"/>
      <c r="AH2" s="385"/>
      <c r="AI2" s="385"/>
      <c r="AJ2" s="385"/>
      <c r="AK2" s="385"/>
      <c r="AL2" s="385"/>
      <c r="AM2" s="385"/>
      <c r="AN2" s="385"/>
      <c r="AO2" s="386"/>
      <c r="AP2" s="357"/>
      <c r="AQ2" s="358"/>
      <c r="AR2" s="358"/>
      <c r="AS2" s="358"/>
      <c r="AT2" s="359"/>
      <c r="AU2" s="58" t="s">
        <v>88</v>
      </c>
      <c r="AV2" s="59"/>
      <c r="AW2" s="59"/>
      <c r="AX2" s="59"/>
      <c r="AY2" s="60"/>
      <c r="AZ2" s="434" t="s">
        <v>89</v>
      </c>
      <c r="BA2" s="435"/>
      <c r="BB2" s="435"/>
      <c r="BC2" s="435"/>
      <c r="BD2" s="436"/>
    </row>
    <row r="3" spans="1:56" s="17" customFormat="1" ht="14.4" customHeight="1">
      <c r="A3" s="420"/>
      <c r="B3" s="421"/>
      <c r="C3" s="421"/>
      <c r="D3" s="421"/>
      <c r="E3" s="421"/>
      <c r="F3" s="421"/>
      <c r="G3" s="421"/>
      <c r="H3" s="422"/>
      <c r="I3" s="387"/>
      <c r="J3" s="388"/>
      <c r="K3" s="388"/>
      <c r="L3" s="388"/>
      <c r="M3" s="388"/>
      <c r="N3" s="388"/>
      <c r="O3" s="388"/>
      <c r="P3" s="388"/>
      <c r="Q3" s="389"/>
      <c r="R3" s="387"/>
      <c r="S3" s="388"/>
      <c r="T3" s="388"/>
      <c r="U3" s="388"/>
      <c r="V3" s="388"/>
      <c r="W3" s="388"/>
      <c r="X3" s="389"/>
      <c r="Y3" s="390"/>
      <c r="Z3" s="391"/>
      <c r="AA3" s="391"/>
      <c r="AB3" s="391"/>
      <c r="AC3" s="391"/>
      <c r="AD3" s="391"/>
      <c r="AE3" s="391"/>
      <c r="AF3" s="391"/>
      <c r="AG3" s="391"/>
      <c r="AH3" s="391"/>
      <c r="AI3" s="391"/>
      <c r="AJ3" s="391"/>
      <c r="AK3" s="391"/>
      <c r="AL3" s="391"/>
      <c r="AM3" s="391"/>
      <c r="AN3" s="391"/>
      <c r="AO3" s="392"/>
      <c r="AP3" s="360"/>
      <c r="AQ3" s="361"/>
      <c r="AR3" s="361"/>
      <c r="AS3" s="361"/>
      <c r="AT3" s="362"/>
      <c r="AU3" s="431"/>
      <c r="AV3" s="432"/>
      <c r="AW3" s="432"/>
      <c r="AX3" s="432"/>
      <c r="AY3" s="433"/>
      <c r="AZ3" s="434"/>
      <c r="BA3" s="435"/>
      <c r="BB3" s="435"/>
      <c r="BC3" s="435"/>
      <c r="BD3" s="436"/>
    </row>
    <row r="4" spans="1:56" s="17" customFormat="1" ht="14.4" customHeight="1">
      <c r="A4" s="423"/>
      <c r="B4" s="424"/>
      <c r="C4" s="424"/>
      <c r="D4" s="424"/>
      <c r="E4" s="424"/>
      <c r="F4" s="424"/>
      <c r="G4" s="424"/>
      <c r="H4" s="425"/>
      <c r="I4" s="390"/>
      <c r="J4" s="391"/>
      <c r="K4" s="391"/>
      <c r="L4" s="391"/>
      <c r="M4" s="391"/>
      <c r="N4" s="391"/>
      <c r="O4" s="391"/>
      <c r="P4" s="391"/>
      <c r="Q4" s="392"/>
      <c r="R4" s="390"/>
      <c r="S4" s="391"/>
      <c r="T4" s="391"/>
      <c r="U4" s="391"/>
      <c r="V4" s="391"/>
      <c r="W4" s="391"/>
      <c r="X4" s="392"/>
      <c r="Y4" s="437" t="str">
        <f ca="1">IF(VLOOKUP(RIGHT(CELL("filename",A2),LEN(CELL("filename",A2))-FIND("]",CELL("filename",A2))),テーブル一覧!B:AD,11,FALSE)=0,"",VLOOKUP(RIGHT(CELL("filename",A2),LEN(CELL("filename",A2))-FIND("]",CELL("filename",A2))),テーブル一覧!B:AD,11,FALSE))</f>
        <v>t_seisan_keikaku_cf</v>
      </c>
      <c r="Z4" s="438"/>
      <c r="AA4" s="438"/>
      <c r="AB4" s="438"/>
      <c r="AC4" s="438"/>
      <c r="AD4" s="438"/>
      <c r="AE4" s="438"/>
      <c r="AF4" s="438"/>
      <c r="AG4" s="438"/>
      <c r="AH4" s="438"/>
      <c r="AI4" s="438"/>
      <c r="AJ4" s="438"/>
      <c r="AK4" s="438"/>
      <c r="AL4" s="438"/>
      <c r="AM4" s="438"/>
      <c r="AN4" s="438"/>
      <c r="AO4" s="439"/>
      <c r="AP4" s="360"/>
      <c r="AQ4" s="361"/>
      <c r="AR4" s="361"/>
      <c r="AS4" s="361"/>
      <c r="AT4" s="362"/>
      <c r="AU4" s="431"/>
      <c r="AV4" s="432"/>
      <c r="AW4" s="432"/>
      <c r="AX4" s="432"/>
      <c r="AY4" s="433"/>
      <c r="AZ4" s="434"/>
      <c r="BA4" s="435"/>
      <c r="BB4" s="435"/>
      <c r="BC4" s="435"/>
      <c r="BD4" s="436"/>
    </row>
    <row r="6" spans="1:56" ht="14.4" customHeight="1">
      <c r="A6" s="426" t="s">
        <v>90</v>
      </c>
      <c r="B6" s="407" t="s">
        <v>136</v>
      </c>
      <c r="C6" s="415"/>
      <c r="D6" s="415"/>
      <c r="E6" s="415"/>
      <c r="F6" s="415"/>
      <c r="G6" s="415"/>
      <c r="H6" s="408"/>
      <c r="I6" s="407" t="s">
        <v>137</v>
      </c>
      <c r="J6" s="415"/>
      <c r="K6" s="415"/>
      <c r="L6" s="415"/>
      <c r="M6" s="415"/>
      <c r="N6" s="415"/>
      <c r="O6" s="415"/>
      <c r="P6" s="415"/>
      <c r="Q6" s="408"/>
      <c r="R6" s="407" t="s">
        <v>138</v>
      </c>
      <c r="S6" s="415"/>
      <c r="T6" s="415"/>
      <c r="U6" s="415"/>
      <c r="V6" s="415"/>
      <c r="W6" s="415"/>
      <c r="X6" s="408"/>
      <c r="Y6" s="407" t="s">
        <v>139</v>
      </c>
      <c r="Z6" s="408"/>
      <c r="AA6" s="407" t="s">
        <v>140</v>
      </c>
      <c r="AB6" s="415"/>
      <c r="AC6" s="408"/>
      <c r="AD6" s="411" t="s">
        <v>141</v>
      </c>
      <c r="AE6" s="413" t="s">
        <v>142</v>
      </c>
      <c r="AF6" s="411" t="s">
        <v>143</v>
      </c>
      <c r="AG6" s="411" t="s">
        <v>144</v>
      </c>
      <c r="AH6" s="411" t="s">
        <v>145</v>
      </c>
      <c r="AI6" s="404" t="s">
        <v>146</v>
      </c>
      <c r="AJ6" s="405"/>
      <c r="AK6" s="405"/>
      <c r="AL6" s="405"/>
      <c r="AM6" s="405"/>
      <c r="AN6" s="405"/>
      <c r="AO6" s="405"/>
      <c r="AP6" s="405"/>
      <c r="AQ6" s="405"/>
      <c r="AR6" s="406"/>
      <c r="AS6" s="407" t="s">
        <v>147</v>
      </c>
      <c r="AT6" s="415"/>
      <c r="AU6" s="415"/>
      <c r="AV6" s="415"/>
      <c r="AW6" s="415"/>
      <c r="AX6" s="415"/>
      <c r="AY6" s="415"/>
      <c r="AZ6" s="415"/>
      <c r="BA6" s="415"/>
      <c r="BB6" s="415"/>
      <c r="BC6" s="415"/>
      <c r="BD6" s="408"/>
    </row>
    <row r="7" spans="1:56" ht="14.4" customHeight="1">
      <c r="A7" s="427"/>
      <c r="B7" s="409"/>
      <c r="C7" s="416"/>
      <c r="D7" s="416"/>
      <c r="E7" s="416"/>
      <c r="F7" s="416"/>
      <c r="G7" s="416"/>
      <c r="H7" s="410"/>
      <c r="I7" s="409"/>
      <c r="J7" s="416"/>
      <c r="K7" s="416"/>
      <c r="L7" s="416"/>
      <c r="M7" s="416"/>
      <c r="N7" s="416"/>
      <c r="O7" s="416"/>
      <c r="P7" s="416"/>
      <c r="Q7" s="410"/>
      <c r="R7" s="409"/>
      <c r="S7" s="416"/>
      <c r="T7" s="416"/>
      <c r="U7" s="416"/>
      <c r="V7" s="416"/>
      <c r="W7" s="416"/>
      <c r="X7" s="410"/>
      <c r="Y7" s="409"/>
      <c r="Z7" s="410"/>
      <c r="AA7" s="409"/>
      <c r="AB7" s="416"/>
      <c r="AC7" s="410"/>
      <c r="AD7" s="412"/>
      <c r="AE7" s="414"/>
      <c r="AF7" s="412"/>
      <c r="AG7" s="412"/>
      <c r="AH7" s="412"/>
      <c r="AI7" s="52">
        <v>1</v>
      </c>
      <c r="AJ7" s="52">
        <v>2</v>
      </c>
      <c r="AK7" s="52">
        <v>3</v>
      </c>
      <c r="AL7" s="52">
        <v>4</v>
      </c>
      <c r="AM7" s="52">
        <v>5</v>
      </c>
      <c r="AN7" s="52">
        <v>6</v>
      </c>
      <c r="AO7" s="52">
        <v>7</v>
      </c>
      <c r="AP7" s="52">
        <v>8</v>
      </c>
      <c r="AQ7" s="52">
        <v>9</v>
      </c>
      <c r="AR7" s="52">
        <v>10</v>
      </c>
      <c r="AS7" s="409"/>
      <c r="AT7" s="416"/>
      <c r="AU7" s="416"/>
      <c r="AV7" s="416"/>
      <c r="AW7" s="416"/>
      <c r="AX7" s="416"/>
      <c r="AY7" s="416"/>
      <c r="AZ7" s="416"/>
      <c r="BA7" s="416"/>
      <c r="BB7" s="416"/>
      <c r="BC7" s="416"/>
      <c r="BD7" s="410"/>
    </row>
    <row r="8" spans="1:56" s="1" customFormat="1" ht="14.4" customHeight="1">
      <c r="A8" s="145">
        <f>IF(B8="","",COUNTA($B$8:B8))</f>
        <v>1</v>
      </c>
      <c r="B8" s="146" t="s">
        <v>148</v>
      </c>
      <c r="C8" s="129"/>
      <c r="D8" s="129"/>
      <c r="E8" s="129"/>
      <c r="F8" s="129"/>
      <c r="G8" s="129"/>
      <c r="H8" s="147"/>
      <c r="I8" s="128" t="s">
        <v>149</v>
      </c>
      <c r="J8" s="129"/>
      <c r="K8" s="129"/>
      <c r="L8" s="129"/>
      <c r="M8" s="129"/>
      <c r="N8" s="129"/>
      <c r="O8" s="129"/>
      <c r="P8" s="129"/>
      <c r="Q8" s="147"/>
      <c r="R8" s="146" t="s">
        <v>148</v>
      </c>
      <c r="S8" s="129"/>
      <c r="T8" s="129"/>
      <c r="U8" s="129"/>
      <c r="V8" s="129"/>
      <c r="W8" s="129"/>
      <c r="X8" s="148"/>
      <c r="Y8" s="451" t="s">
        <v>150</v>
      </c>
      <c r="Z8" s="452"/>
      <c r="AA8" s="448" t="s">
        <v>151</v>
      </c>
      <c r="AB8" s="449"/>
      <c r="AC8" s="450"/>
      <c r="AD8" s="139">
        <v>15</v>
      </c>
      <c r="AE8" s="124"/>
      <c r="AF8" s="124">
        <v>1</v>
      </c>
      <c r="AG8" s="133" t="s">
        <v>152</v>
      </c>
      <c r="AH8" s="133"/>
      <c r="AI8" s="133"/>
      <c r="AJ8" s="133"/>
      <c r="AK8" s="133"/>
      <c r="AL8" s="133"/>
      <c r="AM8" s="133"/>
      <c r="AN8" s="133"/>
      <c r="AO8" s="124"/>
      <c r="AP8" s="124"/>
      <c r="AQ8" s="124"/>
      <c r="AR8" s="124"/>
      <c r="AS8" s="192"/>
      <c r="AT8" s="193"/>
      <c r="AU8" s="193"/>
      <c r="AV8" s="193"/>
      <c r="AW8" s="193"/>
      <c r="AX8" s="193"/>
      <c r="AY8" s="193"/>
      <c r="AZ8" s="193"/>
      <c r="BA8" s="193"/>
      <c r="BB8" s="193"/>
      <c r="BC8" s="193"/>
      <c r="BD8" s="194"/>
    </row>
    <row r="9" spans="1:56" s="1" customFormat="1" ht="14.4" customHeight="1">
      <c r="A9" s="145">
        <f>IF(B9="","",COUNTA($B$8:B9))</f>
        <v>2</v>
      </c>
      <c r="B9" s="8" t="s">
        <v>157</v>
      </c>
      <c r="C9" s="127"/>
      <c r="D9" s="127"/>
      <c r="E9" s="127"/>
      <c r="F9" s="127"/>
      <c r="G9" s="127"/>
      <c r="H9" s="148"/>
      <c r="I9" s="128" t="s">
        <v>158</v>
      </c>
      <c r="J9" s="129"/>
      <c r="K9" s="129"/>
      <c r="L9" s="129"/>
      <c r="M9" s="129"/>
      <c r="N9" s="129"/>
      <c r="O9" s="129"/>
      <c r="P9" s="129"/>
      <c r="Q9" s="147"/>
      <c r="R9" s="8" t="s">
        <v>157</v>
      </c>
      <c r="S9" s="129"/>
      <c r="T9" s="129"/>
      <c r="U9" s="129"/>
      <c r="V9" s="129"/>
      <c r="W9" s="129"/>
      <c r="X9" s="148"/>
      <c r="Y9" s="451" t="s">
        <v>150</v>
      </c>
      <c r="Z9" s="452"/>
      <c r="AA9" s="448" t="s">
        <v>151</v>
      </c>
      <c r="AB9" s="449"/>
      <c r="AC9" s="450"/>
      <c r="AD9" s="139">
        <v>10</v>
      </c>
      <c r="AE9" s="124"/>
      <c r="AF9" s="124"/>
      <c r="AG9" s="124"/>
      <c r="AH9" s="133"/>
      <c r="AI9" s="133"/>
      <c r="AJ9" s="133"/>
      <c r="AK9" s="133"/>
      <c r="AL9" s="133"/>
      <c r="AM9" s="133"/>
      <c r="AN9" s="133"/>
      <c r="AO9" s="124"/>
      <c r="AP9" s="124"/>
      <c r="AQ9" s="124"/>
      <c r="AR9" s="124"/>
      <c r="AS9" s="131"/>
      <c r="AT9" s="137"/>
      <c r="AU9" s="137"/>
      <c r="AV9" s="137"/>
      <c r="AW9" s="137"/>
      <c r="AX9" s="137"/>
      <c r="AY9" s="137"/>
      <c r="AZ9" s="137"/>
      <c r="BA9" s="137"/>
      <c r="BB9" s="137"/>
      <c r="BC9" s="137"/>
      <c r="BD9" s="138"/>
    </row>
    <row r="10" spans="1:56" s="1" customFormat="1" ht="14.4" customHeight="1">
      <c r="A10" s="145">
        <f>IF(B10="","",COUNTA($B$8:B10))</f>
        <v>3</v>
      </c>
      <c r="B10" s="8" t="s">
        <v>159</v>
      </c>
      <c r="C10" s="127"/>
      <c r="D10" s="127"/>
      <c r="E10" s="127"/>
      <c r="F10" s="127"/>
      <c r="G10" s="127"/>
      <c r="H10" s="148"/>
      <c r="I10" s="128" t="s">
        <v>160</v>
      </c>
      <c r="J10" s="129"/>
      <c r="K10" s="129"/>
      <c r="L10" s="129"/>
      <c r="M10" s="129"/>
      <c r="N10" s="129"/>
      <c r="O10" s="129"/>
      <c r="P10" s="129"/>
      <c r="Q10" s="147"/>
      <c r="R10" s="8" t="s">
        <v>159</v>
      </c>
      <c r="S10" s="129"/>
      <c r="T10" s="129"/>
      <c r="U10" s="129"/>
      <c r="V10" s="129"/>
      <c r="W10" s="129"/>
      <c r="X10" s="148"/>
      <c r="Y10" s="451" t="s">
        <v>150</v>
      </c>
      <c r="Z10" s="452"/>
      <c r="AA10" s="448" t="s">
        <v>151</v>
      </c>
      <c r="AB10" s="449"/>
      <c r="AC10" s="450"/>
      <c r="AD10" s="139">
        <v>4</v>
      </c>
      <c r="AE10" s="124"/>
      <c r="AF10" s="124"/>
      <c r="AG10" s="124"/>
      <c r="AH10" s="133"/>
      <c r="AI10" s="133" t="s">
        <v>161</v>
      </c>
      <c r="AJ10" s="133"/>
      <c r="AK10" s="133"/>
      <c r="AL10" s="133"/>
      <c r="AM10" s="133"/>
      <c r="AN10" s="133"/>
      <c r="AO10" s="124"/>
      <c r="AP10" s="124"/>
      <c r="AQ10" s="124"/>
      <c r="AR10" s="124"/>
      <c r="AS10" s="131"/>
      <c r="AT10" s="137"/>
      <c r="AU10" s="137"/>
      <c r="AV10" s="137"/>
      <c r="AW10" s="137"/>
      <c r="AX10" s="137"/>
      <c r="AY10" s="137"/>
      <c r="AZ10" s="137"/>
      <c r="BA10" s="137"/>
      <c r="BB10" s="137"/>
      <c r="BC10" s="137"/>
      <c r="BD10" s="138"/>
    </row>
    <row r="11" spans="1:56" s="1" customFormat="1" ht="14.4" customHeight="1">
      <c r="A11" s="145">
        <f>IF(B11="","",COUNTA($B$8:B11))</f>
        <v>4</v>
      </c>
      <c r="B11" s="195" t="s">
        <v>162</v>
      </c>
      <c r="D11" s="127"/>
      <c r="E11" s="127"/>
      <c r="F11" s="127"/>
      <c r="G11" s="127"/>
      <c r="H11" s="148"/>
      <c r="I11" s="195" t="s">
        <v>163</v>
      </c>
      <c r="J11" s="129"/>
      <c r="K11" s="129"/>
      <c r="L11" s="129"/>
      <c r="M11" s="129"/>
      <c r="N11" s="129"/>
      <c r="O11" s="129"/>
      <c r="P11" s="129"/>
      <c r="Q11" s="147"/>
      <c r="R11" s="8" t="s">
        <v>164</v>
      </c>
      <c r="S11" s="129"/>
      <c r="T11" s="129"/>
      <c r="U11" s="129"/>
      <c r="V11" s="129"/>
      <c r="W11" s="129"/>
      <c r="X11" s="148"/>
      <c r="Y11" s="451" t="s">
        <v>150</v>
      </c>
      <c r="Z11" s="452"/>
      <c r="AA11" s="448" t="s">
        <v>151</v>
      </c>
      <c r="AB11" s="449"/>
      <c r="AC11" s="450"/>
      <c r="AD11" s="139">
        <v>4</v>
      </c>
      <c r="AE11" s="124"/>
      <c r="AF11" s="124"/>
      <c r="AG11" s="124"/>
      <c r="AH11" s="133"/>
      <c r="AI11" s="133" t="s">
        <v>165</v>
      </c>
      <c r="AJ11" s="133"/>
      <c r="AK11" s="133"/>
      <c r="AL11" s="133"/>
      <c r="AM11" s="133"/>
      <c r="AN11" s="133"/>
      <c r="AO11" s="124"/>
      <c r="AP11" s="124"/>
      <c r="AQ11" s="124"/>
      <c r="AR11" s="124"/>
      <c r="AS11" s="131"/>
      <c r="AT11" s="137"/>
      <c r="AU11" s="137"/>
      <c r="AV11" s="137"/>
      <c r="AW11" s="137"/>
      <c r="AX11" s="137"/>
      <c r="AY11" s="137"/>
      <c r="AZ11" s="137"/>
      <c r="BA11" s="137"/>
      <c r="BB11" s="137"/>
      <c r="BC11" s="137"/>
      <c r="BD11" s="138"/>
    </row>
    <row r="12" spans="1:56" s="1" customFormat="1" ht="14.4" customHeight="1">
      <c r="A12" s="145">
        <f>IF(B12="","",COUNTA($B$8:B12))</f>
        <v>5</v>
      </c>
      <c r="B12" s="8" t="s">
        <v>166</v>
      </c>
      <c r="C12" s="127"/>
      <c r="D12" s="127"/>
      <c r="E12" s="127"/>
      <c r="F12" s="127"/>
      <c r="G12" s="127"/>
      <c r="H12" s="148"/>
      <c r="I12" s="128" t="s">
        <v>167</v>
      </c>
      <c r="J12" s="129"/>
      <c r="K12" s="129"/>
      <c r="L12" s="129"/>
      <c r="M12" s="129"/>
      <c r="N12" s="129"/>
      <c r="O12" s="129"/>
      <c r="P12" s="129"/>
      <c r="Q12" s="147"/>
      <c r="R12" s="8" t="s">
        <v>168</v>
      </c>
      <c r="S12" s="129"/>
      <c r="T12" s="129"/>
      <c r="U12" s="129"/>
      <c r="V12" s="129"/>
      <c r="W12" s="129"/>
      <c r="X12" s="148"/>
      <c r="Y12" s="8" t="s">
        <v>169</v>
      </c>
      <c r="Z12" s="132"/>
      <c r="AA12" s="401" t="s">
        <v>170</v>
      </c>
      <c r="AB12" s="402"/>
      <c r="AC12" s="403"/>
      <c r="AD12" s="249"/>
      <c r="AE12" s="237"/>
      <c r="AF12" s="237"/>
      <c r="AG12" s="237"/>
      <c r="AH12" s="238"/>
      <c r="AI12" s="238" t="s">
        <v>171</v>
      </c>
      <c r="AJ12" s="238"/>
      <c r="AK12" s="238"/>
      <c r="AL12" s="238"/>
      <c r="AM12" s="238"/>
      <c r="AN12" s="238"/>
      <c r="AO12" s="237"/>
      <c r="AP12" s="237"/>
      <c r="AQ12" s="237"/>
      <c r="AR12" s="237"/>
      <c r="AS12" s="233"/>
      <c r="AT12" s="220"/>
      <c r="AU12" s="220"/>
      <c r="AV12" s="220"/>
      <c r="AW12" s="220"/>
      <c r="AX12" s="137"/>
      <c r="AY12" s="137"/>
      <c r="AZ12" s="137"/>
      <c r="BA12" s="137"/>
      <c r="BB12" s="137"/>
      <c r="BC12" s="137"/>
      <c r="BD12" s="138"/>
    </row>
    <row r="13" spans="1:56" s="1" customFormat="1" ht="14.4" customHeight="1">
      <c r="A13" s="145">
        <f>IF(B13="","",COUNTA($B$8:B13))</f>
        <v>6</v>
      </c>
      <c r="B13" s="8" t="s">
        <v>174</v>
      </c>
      <c r="C13" s="127"/>
      <c r="D13" s="127"/>
      <c r="E13" s="127"/>
      <c r="F13" s="127"/>
      <c r="G13" s="127"/>
      <c r="H13" s="148"/>
      <c r="I13" s="128" t="s">
        <v>175</v>
      </c>
      <c r="J13" s="129"/>
      <c r="K13" s="129"/>
      <c r="L13" s="129"/>
      <c r="M13" s="129"/>
      <c r="N13" s="129"/>
      <c r="O13" s="129"/>
      <c r="P13" s="129"/>
      <c r="Q13" s="147"/>
      <c r="R13" s="8" t="s">
        <v>176</v>
      </c>
      <c r="S13" s="129"/>
      <c r="T13" s="129"/>
      <c r="U13" s="129"/>
      <c r="V13" s="129"/>
      <c r="W13" s="129"/>
      <c r="X13" s="148"/>
      <c r="Y13" s="8" t="s">
        <v>169</v>
      </c>
      <c r="Z13" s="132"/>
      <c r="AA13" s="401" t="s">
        <v>170</v>
      </c>
      <c r="AB13" s="402"/>
      <c r="AC13" s="403"/>
      <c r="AD13" s="236"/>
      <c r="AE13" s="237"/>
      <c r="AF13" s="237"/>
      <c r="AG13" s="237"/>
      <c r="AH13" s="238"/>
      <c r="AI13" s="238" t="s">
        <v>173</v>
      </c>
      <c r="AJ13" s="238"/>
      <c r="AK13" s="238"/>
      <c r="AL13" s="238"/>
      <c r="AM13" s="238"/>
      <c r="AN13" s="238"/>
      <c r="AO13" s="237"/>
      <c r="AP13" s="237"/>
      <c r="AQ13" s="237"/>
      <c r="AR13" s="237"/>
      <c r="AS13" s="233"/>
      <c r="AT13" s="220"/>
      <c r="AU13" s="220"/>
      <c r="AV13" s="220"/>
      <c r="AW13" s="220"/>
      <c r="AX13" s="137"/>
      <c r="AY13" s="137"/>
      <c r="AZ13" s="137"/>
      <c r="BA13" s="137"/>
      <c r="BB13" s="137"/>
      <c r="BC13" s="137"/>
      <c r="BD13" s="138"/>
    </row>
    <row r="14" spans="1:56" s="1" customFormat="1" ht="14.4" customHeight="1">
      <c r="A14" s="145">
        <f>IF(B14="","",COUNTA($B$8:B14))</f>
        <v>7</v>
      </c>
      <c r="B14" s="8" t="s">
        <v>172</v>
      </c>
      <c r="C14" s="127"/>
      <c r="D14" s="127"/>
      <c r="E14" s="127"/>
      <c r="F14" s="127"/>
      <c r="G14" s="127"/>
      <c r="H14" s="148"/>
      <c r="I14" s="128" t="s">
        <v>177</v>
      </c>
      <c r="J14" s="129"/>
      <c r="K14" s="129"/>
      <c r="L14" s="129"/>
      <c r="M14" s="129"/>
      <c r="N14" s="129"/>
      <c r="O14" s="129"/>
      <c r="P14" s="129"/>
      <c r="Q14" s="147"/>
      <c r="R14" s="8" t="s">
        <v>172</v>
      </c>
      <c r="S14" s="129"/>
      <c r="T14" s="129"/>
      <c r="U14" s="129"/>
      <c r="V14" s="129"/>
      <c r="W14" s="129"/>
      <c r="X14" s="148"/>
      <c r="Y14" s="8" t="s">
        <v>155</v>
      </c>
      <c r="Z14" s="132"/>
      <c r="AA14" s="401" t="s">
        <v>156</v>
      </c>
      <c r="AB14" s="402"/>
      <c r="AC14" s="403"/>
      <c r="AD14" s="236">
        <v>5</v>
      </c>
      <c r="AE14" s="237">
        <v>1</v>
      </c>
      <c r="AF14" s="237"/>
      <c r="AG14" s="237"/>
      <c r="AH14" s="238"/>
      <c r="AI14" s="238"/>
      <c r="AJ14" s="238"/>
      <c r="AK14" s="238"/>
      <c r="AL14" s="238"/>
      <c r="AM14" s="238"/>
      <c r="AN14" s="238"/>
      <c r="AO14" s="237"/>
      <c r="AP14" s="237"/>
      <c r="AQ14" s="237"/>
      <c r="AR14" s="237"/>
      <c r="AS14" s="233"/>
      <c r="AT14" s="220"/>
      <c r="AU14" s="220"/>
      <c r="AV14" s="220"/>
      <c r="AW14" s="220"/>
      <c r="AX14" s="137"/>
      <c r="AY14" s="137"/>
      <c r="AZ14" s="137"/>
      <c r="BA14" s="137"/>
      <c r="BB14" s="137"/>
      <c r="BC14" s="137"/>
      <c r="BD14" s="138"/>
    </row>
    <row r="15" spans="1:56" s="1" customFormat="1" ht="14.4" customHeight="1">
      <c r="A15" s="145">
        <f>IF(B15="","",COUNTA($B$8:B15))</f>
        <v>8</v>
      </c>
      <c r="B15" s="8" t="s">
        <v>178</v>
      </c>
      <c r="C15" s="127"/>
      <c r="D15" s="127"/>
      <c r="E15" s="127"/>
      <c r="F15" s="127"/>
      <c r="G15" s="127"/>
      <c r="H15" s="148"/>
      <c r="I15" s="128" t="s">
        <v>179</v>
      </c>
      <c r="J15" s="129"/>
      <c r="K15" s="129"/>
      <c r="L15" s="129"/>
      <c r="M15" s="129"/>
      <c r="N15" s="129"/>
      <c r="O15" s="129"/>
      <c r="P15" s="129"/>
      <c r="Q15" s="147"/>
      <c r="R15" s="8" t="s">
        <v>178</v>
      </c>
      <c r="S15" s="129"/>
      <c r="T15" s="129"/>
      <c r="U15" s="129"/>
      <c r="V15" s="129"/>
      <c r="W15" s="129"/>
      <c r="X15" s="148"/>
      <c r="Y15" s="451" t="s">
        <v>150</v>
      </c>
      <c r="Z15" s="452"/>
      <c r="AA15" s="401" t="s">
        <v>151</v>
      </c>
      <c r="AB15" s="402"/>
      <c r="AC15" s="403"/>
      <c r="AD15" s="249">
        <v>20</v>
      </c>
      <c r="AE15" s="237"/>
      <c r="AF15" s="237"/>
      <c r="AG15" s="237"/>
      <c r="AH15" s="238"/>
      <c r="AI15" s="238"/>
      <c r="AJ15" s="238"/>
      <c r="AK15" s="238"/>
      <c r="AL15" s="238"/>
      <c r="AM15" s="238"/>
      <c r="AN15" s="238"/>
      <c r="AO15" s="237"/>
      <c r="AP15" s="237"/>
      <c r="AQ15" s="237"/>
      <c r="AR15" s="237"/>
      <c r="AS15" s="233" t="s">
        <v>180</v>
      </c>
      <c r="AT15" s="220"/>
      <c r="AU15" s="220"/>
      <c r="AV15" s="220"/>
      <c r="AW15" s="220"/>
      <c r="AX15" s="137"/>
      <c r="AY15" s="137"/>
      <c r="AZ15" s="137"/>
      <c r="BA15" s="137"/>
      <c r="BB15" s="137"/>
      <c r="BC15" s="137"/>
      <c r="BD15" s="138"/>
    </row>
    <row r="16" spans="1:56" s="1" customFormat="1" ht="14.4" customHeight="1">
      <c r="A16" s="145">
        <f>IF(B16="","",COUNTA($B$8:B16))</f>
        <v>9</v>
      </c>
      <c r="B16" s="8" t="s">
        <v>181</v>
      </c>
      <c r="C16" s="127"/>
      <c r="D16" s="127"/>
      <c r="E16" s="127"/>
      <c r="F16" s="127"/>
      <c r="G16" s="127"/>
      <c r="H16" s="148"/>
      <c r="I16" s="128" t="s">
        <v>182</v>
      </c>
      <c r="J16" s="129"/>
      <c r="K16" s="129"/>
      <c r="L16" s="129"/>
      <c r="M16" s="129"/>
      <c r="N16" s="129"/>
      <c r="O16" s="129"/>
      <c r="P16" s="129"/>
      <c r="Q16" s="147"/>
      <c r="R16" s="8" t="s">
        <v>181</v>
      </c>
      <c r="S16" s="129"/>
      <c r="T16" s="129"/>
      <c r="U16" s="129"/>
      <c r="V16" s="129"/>
      <c r="W16" s="129"/>
      <c r="X16" s="147"/>
      <c r="Y16" s="451" t="s">
        <v>150</v>
      </c>
      <c r="Z16" s="452"/>
      <c r="AA16" s="401" t="s">
        <v>151</v>
      </c>
      <c r="AB16" s="402"/>
      <c r="AC16" s="403"/>
      <c r="AD16" s="249">
        <v>30</v>
      </c>
      <c r="AE16" s="237"/>
      <c r="AF16" s="237"/>
      <c r="AG16" s="237"/>
      <c r="AH16" s="238"/>
      <c r="AI16" s="238"/>
      <c r="AJ16" s="238"/>
      <c r="AK16" s="238"/>
      <c r="AL16" s="238"/>
      <c r="AM16" s="238"/>
      <c r="AN16" s="238"/>
      <c r="AO16" s="237"/>
      <c r="AP16" s="237"/>
      <c r="AQ16" s="237"/>
      <c r="AR16" s="237"/>
      <c r="AS16" s="233" t="s">
        <v>1476</v>
      </c>
      <c r="AT16" s="220"/>
      <c r="AU16" s="220"/>
      <c r="AV16" s="220"/>
      <c r="AW16" s="220"/>
      <c r="AX16" s="137"/>
      <c r="AY16" s="137"/>
      <c r="AZ16" s="137"/>
      <c r="BA16" s="137"/>
      <c r="BB16" s="137"/>
      <c r="BC16" s="137"/>
      <c r="BD16" s="138"/>
    </row>
    <row r="17" spans="1:57" s="1" customFormat="1" ht="14.4" customHeight="1">
      <c r="A17" s="145">
        <f>IF(B17="","",COUNTA($B$8:B17))</f>
        <v>10</v>
      </c>
      <c r="B17" s="8" t="s">
        <v>183</v>
      </c>
      <c r="C17" s="127"/>
      <c r="D17" s="127"/>
      <c r="E17" s="127"/>
      <c r="F17" s="127"/>
      <c r="G17" s="127"/>
      <c r="H17" s="148"/>
      <c r="I17" s="128" t="s">
        <v>184</v>
      </c>
      <c r="J17" s="129"/>
      <c r="K17" s="129"/>
      <c r="L17" s="129"/>
      <c r="M17" s="129"/>
      <c r="N17" s="129"/>
      <c r="O17" s="129"/>
      <c r="P17" s="129"/>
      <c r="Q17" s="147"/>
      <c r="R17" s="8" t="s">
        <v>183</v>
      </c>
      <c r="S17" s="129"/>
      <c r="T17" s="129"/>
      <c r="U17" s="129"/>
      <c r="V17" s="129"/>
      <c r="W17" s="129"/>
      <c r="X17" s="148"/>
      <c r="Y17" s="451" t="s">
        <v>150</v>
      </c>
      <c r="Z17" s="452"/>
      <c r="AA17" s="401" t="s">
        <v>151</v>
      </c>
      <c r="AB17" s="402"/>
      <c r="AC17" s="403"/>
      <c r="AD17" s="249">
        <v>1000</v>
      </c>
      <c r="AE17" s="237"/>
      <c r="AF17" s="237"/>
      <c r="AG17" s="237"/>
      <c r="AH17" s="238"/>
      <c r="AI17" s="238"/>
      <c r="AJ17" s="238"/>
      <c r="AK17" s="238"/>
      <c r="AL17" s="238"/>
      <c r="AM17" s="238"/>
      <c r="AN17" s="238"/>
      <c r="AO17" s="237"/>
      <c r="AP17" s="237"/>
      <c r="AQ17" s="237"/>
      <c r="AR17" s="237"/>
      <c r="AS17" s="233"/>
      <c r="AT17" s="220"/>
      <c r="AU17" s="220"/>
      <c r="AV17" s="220"/>
      <c r="AW17" s="220"/>
      <c r="AX17" s="137"/>
      <c r="AY17" s="137"/>
      <c r="AZ17" s="137"/>
      <c r="BA17" s="137"/>
      <c r="BB17" s="137"/>
      <c r="BC17" s="137"/>
      <c r="BD17" s="138"/>
    </row>
    <row r="18" spans="1:57" ht="14.4" customHeight="1">
      <c r="A18" s="145">
        <f>IF(B18="","",COUNTA($B$8:B18))</f>
        <v>11</v>
      </c>
      <c r="B18" s="19" t="s">
        <v>185</v>
      </c>
      <c r="C18" s="20"/>
      <c r="D18" s="20"/>
      <c r="E18" s="20"/>
      <c r="F18" s="20"/>
      <c r="G18" s="20"/>
      <c r="H18" s="24"/>
      <c r="I18" s="34" t="s">
        <v>186</v>
      </c>
      <c r="J18" s="23"/>
      <c r="K18" s="23"/>
      <c r="L18" s="23"/>
      <c r="M18" s="23"/>
      <c r="N18" s="23"/>
      <c r="O18" s="23"/>
      <c r="P18" s="23"/>
      <c r="Q18" s="37"/>
      <c r="R18" s="19" t="s">
        <v>185</v>
      </c>
      <c r="S18" s="23"/>
      <c r="T18" s="23"/>
      <c r="U18" s="23"/>
      <c r="V18" s="23"/>
      <c r="W18" s="23"/>
      <c r="X18" s="24"/>
      <c r="Y18" s="440" t="s">
        <v>150</v>
      </c>
      <c r="Z18" s="441"/>
      <c r="AA18" s="401" t="s">
        <v>151</v>
      </c>
      <c r="AB18" s="402"/>
      <c r="AC18" s="403"/>
      <c r="AD18" s="249">
        <v>75</v>
      </c>
      <c r="AE18" s="237"/>
      <c r="AF18" s="237"/>
      <c r="AG18" s="237"/>
      <c r="AH18" s="238"/>
      <c r="AI18" s="238"/>
      <c r="AJ18" s="238" t="s">
        <v>161</v>
      </c>
      <c r="AK18" s="238"/>
      <c r="AL18" s="238"/>
      <c r="AM18" s="238"/>
      <c r="AN18" s="238"/>
      <c r="AO18" s="237"/>
      <c r="AP18" s="237"/>
      <c r="AQ18" s="237"/>
      <c r="AR18" s="237"/>
      <c r="AS18" s="233" t="s">
        <v>1468</v>
      </c>
      <c r="AT18" s="220"/>
      <c r="AU18" s="220"/>
      <c r="AV18" s="220"/>
      <c r="AW18" s="220"/>
      <c r="AX18" s="67"/>
      <c r="AY18" s="67"/>
      <c r="AZ18" s="67"/>
      <c r="BA18" s="67"/>
      <c r="BB18" s="67"/>
      <c r="BC18" s="67"/>
      <c r="BD18" s="68"/>
      <c r="BE18" s="18" t="s">
        <v>1477</v>
      </c>
    </row>
    <row r="19" spans="1:57" ht="14.4" customHeight="1">
      <c r="A19" s="145">
        <f>IF(B19="","",COUNTA($B$8:B19))</f>
        <v>12</v>
      </c>
      <c r="B19" s="25" t="s">
        <v>193</v>
      </c>
      <c r="C19" s="26"/>
      <c r="D19" s="26"/>
      <c r="E19" s="26"/>
      <c r="F19" s="26"/>
      <c r="G19" s="26"/>
      <c r="H19" s="39"/>
      <c r="I19" s="34" t="s">
        <v>194</v>
      </c>
      <c r="J19" s="23"/>
      <c r="K19" s="23"/>
      <c r="L19" s="23"/>
      <c r="M19" s="23"/>
      <c r="N19" s="23"/>
      <c r="O19" s="23"/>
      <c r="P19" s="23"/>
      <c r="Q19" s="37"/>
      <c r="R19" s="25" t="s">
        <v>193</v>
      </c>
      <c r="S19" s="23"/>
      <c r="T19" s="23"/>
      <c r="U19" s="23"/>
      <c r="V19" s="23"/>
      <c r="W19" s="23"/>
      <c r="X19" s="24"/>
      <c r="Y19" s="440" t="s">
        <v>150</v>
      </c>
      <c r="Z19" s="441"/>
      <c r="AA19" s="401" t="s">
        <v>151</v>
      </c>
      <c r="AB19" s="402"/>
      <c r="AC19" s="403"/>
      <c r="AD19" s="249">
        <v>25</v>
      </c>
      <c r="AE19" s="237"/>
      <c r="AF19" s="237"/>
      <c r="AG19" s="237"/>
      <c r="AH19" s="238"/>
      <c r="AI19" s="238"/>
      <c r="AJ19" s="238"/>
      <c r="AK19" s="238"/>
      <c r="AL19" s="238"/>
      <c r="AM19" s="238"/>
      <c r="AN19" s="238"/>
      <c r="AO19" s="237"/>
      <c r="AP19" s="237"/>
      <c r="AQ19" s="237"/>
      <c r="AR19" s="237"/>
      <c r="AS19" s="233" t="s">
        <v>1469</v>
      </c>
      <c r="AT19" s="260"/>
      <c r="AU19" s="260"/>
      <c r="AV19" s="260"/>
      <c r="AW19" s="260"/>
      <c r="AX19" s="32"/>
      <c r="AY19" s="32"/>
      <c r="AZ19" s="32"/>
      <c r="BA19" s="32"/>
      <c r="BB19" s="32"/>
      <c r="BC19" s="32"/>
      <c r="BD19" s="33"/>
      <c r="BE19" s="18" t="s">
        <v>1477</v>
      </c>
    </row>
    <row r="20" spans="1:57" s="1" customFormat="1" ht="14.4" customHeight="1">
      <c r="A20" s="145">
        <f>IF(B20="","",COUNTA($B$8:B20))</f>
        <v>13</v>
      </c>
      <c r="B20" s="8" t="s">
        <v>195</v>
      </c>
      <c r="C20" s="127"/>
      <c r="D20" s="127"/>
      <c r="E20" s="127"/>
      <c r="F20" s="127"/>
      <c r="G20" s="127"/>
      <c r="H20" s="148"/>
      <c r="I20" s="128" t="s">
        <v>196</v>
      </c>
      <c r="J20" s="129"/>
      <c r="K20" s="129"/>
      <c r="L20" s="129"/>
      <c r="M20" s="129"/>
      <c r="N20" s="129"/>
      <c r="O20" s="129"/>
      <c r="P20" s="129"/>
      <c r="Q20" s="147"/>
      <c r="R20" s="8" t="s">
        <v>195</v>
      </c>
      <c r="S20" s="129"/>
      <c r="T20" s="129"/>
      <c r="U20" s="129"/>
      <c r="V20" s="129"/>
      <c r="W20" s="129"/>
      <c r="X20" s="148"/>
      <c r="Y20" s="451" t="s">
        <v>150</v>
      </c>
      <c r="Z20" s="452"/>
      <c r="AA20" s="401" t="s">
        <v>151</v>
      </c>
      <c r="AB20" s="402"/>
      <c r="AC20" s="403"/>
      <c r="AD20" s="249">
        <v>30</v>
      </c>
      <c r="AE20" s="237"/>
      <c r="AF20" s="237"/>
      <c r="AG20" s="237"/>
      <c r="AH20" s="238"/>
      <c r="AI20" s="238"/>
      <c r="AJ20" s="238"/>
      <c r="AK20" s="238"/>
      <c r="AL20" s="238"/>
      <c r="AM20" s="238"/>
      <c r="AN20" s="238"/>
      <c r="AO20" s="237"/>
      <c r="AP20" s="237"/>
      <c r="AQ20" s="237"/>
      <c r="AR20" s="237"/>
      <c r="AS20" s="233"/>
      <c r="AT20" s="220"/>
      <c r="AU20" s="220"/>
      <c r="AV20" s="220"/>
      <c r="AW20" s="220"/>
      <c r="AX20" s="137"/>
      <c r="AY20" s="137"/>
      <c r="AZ20" s="137"/>
      <c r="BA20" s="137"/>
      <c r="BB20" s="137"/>
      <c r="BC20" s="137"/>
      <c r="BD20" s="138"/>
    </row>
    <row r="21" spans="1:57" s="1" customFormat="1" ht="14.4" customHeight="1">
      <c r="A21" s="145">
        <f>IF(B21="","",COUNTA($B$8:B21))</f>
        <v>14</v>
      </c>
      <c r="B21" s="8" t="s">
        <v>197</v>
      </c>
      <c r="C21" s="127"/>
      <c r="D21" s="127"/>
      <c r="E21" s="127"/>
      <c r="F21" s="127"/>
      <c r="G21" s="127"/>
      <c r="H21" s="148"/>
      <c r="I21" s="128" t="s">
        <v>198</v>
      </c>
      <c r="J21" s="129"/>
      <c r="K21" s="129"/>
      <c r="L21" s="129"/>
      <c r="M21" s="129"/>
      <c r="N21" s="129"/>
      <c r="O21" s="129"/>
      <c r="P21" s="129"/>
      <c r="Q21" s="147"/>
      <c r="R21" s="8" t="s">
        <v>197</v>
      </c>
      <c r="S21" s="129"/>
      <c r="T21" s="129"/>
      <c r="U21" s="129"/>
      <c r="V21" s="129"/>
      <c r="W21" s="129"/>
      <c r="X21" s="148"/>
      <c r="Y21" s="451" t="s">
        <v>150</v>
      </c>
      <c r="Z21" s="452"/>
      <c r="AA21" s="401" t="s">
        <v>151</v>
      </c>
      <c r="AB21" s="402"/>
      <c r="AC21" s="403"/>
      <c r="AD21" s="249">
        <v>5</v>
      </c>
      <c r="AE21" s="237"/>
      <c r="AF21" s="237"/>
      <c r="AG21" s="237"/>
      <c r="AH21" s="238"/>
      <c r="AI21" s="238"/>
      <c r="AJ21" s="238"/>
      <c r="AK21" s="238"/>
      <c r="AL21" s="238"/>
      <c r="AM21" s="238"/>
      <c r="AN21" s="238"/>
      <c r="AO21" s="237"/>
      <c r="AP21" s="237"/>
      <c r="AQ21" s="237"/>
      <c r="AR21" s="237"/>
      <c r="AS21" s="233"/>
      <c r="AT21" s="220"/>
      <c r="AU21" s="220"/>
      <c r="AV21" s="220"/>
      <c r="AW21" s="220"/>
      <c r="AX21" s="137"/>
      <c r="AY21" s="137"/>
      <c r="AZ21" s="137"/>
      <c r="BA21" s="137"/>
      <c r="BB21" s="137"/>
      <c r="BC21" s="137"/>
      <c r="BD21" s="138"/>
    </row>
    <row r="22" spans="1:57" s="1" customFormat="1" ht="14.4" customHeight="1">
      <c r="A22" s="145">
        <f>IF(B22="","",COUNTA($B$8:B22))</f>
        <v>15</v>
      </c>
      <c r="B22" s="8" t="s">
        <v>199</v>
      </c>
      <c r="C22" s="127"/>
      <c r="D22" s="127"/>
      <c r="E22" s="127"/>
      <c r="F22" s="127"/>
      <c r="G22" s="127"/>
      <c r="H22" s="148"/>
      <c r="I22" s="128" t="s">
        <v>200</v>
      </c>
      <c r="J22" s="129"/>
      <c r="K22" s="129"/>
      <c r="L22" s="129"/>
      <c r="M22" s="129"/>
      <c r="N22" s="129"/>
      <c r="O22" s="129"/>
      <c r="P22" s="129"/>
      <c r="Q22" s="147"/>
      <c r="R22" s="8" t="s">
        <v>199</v>
      </c>
      <c r="S22" s="129"/>
      <c r="T22" s="129"/>
      <c r="U22" s="129"/>
      <c r="V22" s="129"/>
      <c r="W22" s="129"/>
      <c r="X22" s="148"/>
      <c r="Y22" s="451" t="s">
        <v>150</v>
      </c>
      <c r="Z22" s="452"/>
      <c r="AA22" s="401" t="s">
        <v>151</v>
      </c>
      <c r="AB22" s="402"/>
      <c r="AC22" s="403"/>
      <c r="AD22" s="249">
        <v>20</v>
      </c>
      <c r="AE22" s="237"/>
      <c r="AF22" s="237"/>
      <c r="AG22" s="237"/>
      <c r="AH22" s="238"/>
      <c r="AI22" s="238"/>
      <c r="AJ22" s="238"/>
      <c r="AK22" s="238"/>
      <c r="AL22" s="238"/>
      <c r="AM22" s="238"/>
      <c r="AN22" s="238"/>
      <c r="AO22" s="237"/>
      <c r="AP22" s="237"/>
      <c r="AQ22" s="237"/>
      <c r="AR22" s="237"/>
      <c r="AS22" s="233"/>
      <c r="AT22" s="220"/>
      <c r="AU22" s="220"/>
      <c r="AV22" s="220"/>
      <c r="AW22" s="220"/>
      <c r="AX22" s="137"/>
      <c r="AY22" s="137"/>
      <c r="AZ22" s="137"/>
      <c r="BA22" s="137"/>
      <c r="BB22" s="137"/>
      <c r="BC22" s="137"/>
      <c r="BD22" s="138"/>
    </row>
    <row r="23" spans="1:57" s="1" customFormat="1" ht="14.4" customHeight="1">
      <c r="A23" s="145">
        <f>IF(B23="","",COUNTA($B$8:B23))</f>
        <v>16</v>
      </c>
      <c r="B23" s="8" t="s">
        <v>201</v>
      </c>
      <c r="C23" s="127"/>
      <c r="D23" s="127"/>
      <c r="E23" s="127"/>
      <c r="F23" s="127"/>
      <c r="G23" s="127"/>
      <c r="H23" s="148"/>
      <c r="I23" s="128" t="s">
        <v>202</v>
      </c>
      <c r="J23" s="129"/>
      <c r="K23" s="129"/>
      <c r="L23" s="129"/>
      <c r="M23" s="129"/>
      <c r="N23" s="129"/>
      <c r="O23" s="129"/>
      <c r="P23" s="129"/>
      <c r="Q23" s="147"/>
      <c r="R23" s="8" t="s">
        <v>201</v>
      </c>
      <c r="S23" s="129"/>
      <c r="T23" s="129"/>
      <c r="U23" s="129"/>
      <c r="V23" s="129"/>
      <c r="W23" s="129"/>
      <c r="X23" s="148"/>
      <c r="Y23" s="451" t="s">
        <v>150</v>
      </c>
      <c r="Z23" s="452"/>
      <c r="AA23" s="401" t="s">
        <v>151</v>
      </c>
      <c r="AB23" s="402"/>
      <c r="AC23" s="403"/>
      <c r="AD23" s="249">
        <v>30</v>
      </c>
      <c r="AE23" s="237"/>
      <c r="AF23" s="237"/>
      <c r="AG23" s="237"/>
      <c r="AH23" s="238"/>
      <c r="AI23" s="238"/>
      <c r="AJ23" s="238"/>
      <c r="AK23" s="238"/>
      <c r="AL23" s="238"/>
      <c r="AM23" s="238"/>
      <c r="AN23" s="238"/>
      <c r="AO23" s="237"/>
      <c r="AP23" s="237"/>
      <c r="AQ23" s="237"/>
      <c r="AR23" s="237"/>
      <c r="AS23" s="233"/>
      <c r="AT23" s="220"/>
      <c r="AU23" s="220"/>
      <c r="AV23" s="220"/>
      <c r="AW23" s="220"/>
      <c r="AX23" s="137"/>
      <c r="AY23" s="137"/>
      <c r="AZ23" s="137"/>
      <c r="BA23" s="137"/>
      <c r="BB23" s="137"/>
      <c r="BC23" s="137"/>
      <c r="BD23" s="138"/>
    </row>
    <row r="24" spans="1:57" s="1" customFormat="1" ht="14.4" customHeight="1">
      <c r="A24" s="145">
        <f>IF(B24="","",COUNTA($B$8:B24))</f>
        <v>17</v>
      </c>
      <c r="B24" s="308" t="s">
        <v>1456</v>
      </c>
      <c r="C24" s="309"/>
      <c r="D24" s="309"/>
      <c r="E24" s="309"/>
      <c r="F24" s="309"/>
      <c r="G24" s="309"/>
      <c r="H24" s="310"/>
      <c r="I24" s="311" t="s">
        <v>1458</v>
      </c>
      <c r="J24" s="312"/>
      <c r="K24" s="312"/>
      <c r="L24" s="312"/>
      <c r="M24" s="312"/>
      <c r="N24" s="312"/>
      <c r="O24" s="312"/>
      <c r="P24" s="312"/>
      <c r="Q24" s="313"/>
      <c r="R24" s="308" t="s">
        <v>1456</v>
      </c>
      <c r="S24" s="312"/>
      <c r="T24" s="312"/>
      <c r="U24" s="312"/>
      <c r="V24" s="312"/>
      <c r="W24" s="312"/>
      <c r="X24" s="313"/>
      <c r="Y24" s="464" t="s">
        <v>150</v>
      </c>
      <c r="Z24" s="465"/>
      <c r="AA24" s="461" t="s">
        <v>151</v>
      </c>
      <c r="AB24" s="462"/>
      <c r="AC24" s="463"/>
      <c r="AD24" s="314">
        <v>30</v>
      </c>
      <c r="AE24" s="315"/>
      <c r="AF24" s="315"/>
      <c r="AG24" s="315"/>
      <c r="AH24" s="316"/>
      <c r="AI24" s="316"/>
      <c r="AJ24" s="316"/>
      <c r="AK24" s="316"/>
      <c r="AL24" s="316"/>
      <c r="AM24" s="316"/>
      <c r="AN24" s="316"/>
      <c r="AO24" s="315"/>
      <c r="AP24" s="315"/>
      <c r="AQ24" s="315"/>
      <c r="AR24" s="315"/>
      <c r="AS24" s="317" t="s">
        <v>1570</v>
      </c>
      <c r="AT24" s="318"/>
      <c r="AU24" s="318"/>
      <c r="AV24" s="318"/>
      <c r="AW24" s="318"/>
      <c r="AX24" s="318"/>
      <c r="AY24" s="318"/>
      <c r="AZ24" s="318"/>
      <c r="BA24" s="318"/>
      <c r="BB24" s="318"/>
      <c r="BC24" s="318"/>
      <c r="BD24" s="319"/>
      <c r="BE24" s="1" t="s">
        <v>1571</v>
      </c>
    </row>
    <row r="25" spans="1:57" s="1" customFormat="1" ht="14.4" customHeight="1">
      <c r="A25" s="145">
        <f>IF(B25="","",COUNTA($B$8:B25))</f>
        <v>18</v>
      </c>
      <c r="B25" s="146" t="s">
        <v>289</v>
      </c>
      <c r="C25" s="127"/>
      <c r="D25" s="127"/>
      <c r="E25" s="127"/>
      <c r="F25" s="127"/>
      <c r="G25" s="127"/>
      <c r="H25" s="148"/>
      <c r="I25" s="128" t="s">
        <v>290</v>
      </c>
      <c r="J25" s="129"/>
      <c r="K25" s="129"/>
      <c r="L25" s="129"/>
      <c r="M25" s="129"/>
      <c r="N25" s="129"/>
      <c r="O25" s="129"/>
      <c r="P25" s="129"/>
      <c r="Q25" s="147"/>
      <c r="R25" s="146" t="s">
        <v>289</v>
      </c>
      <c r="S25" s="127"/>
      <c r="T25" s="127"/>
      <c r="U25" s="127"/>
      <c r="V25" s="127"/>
      <c r="W25" s="127"/>
      <c r="X25" s="148"/>
      <c r="Y25" s="451" t="s">
        <v>155</v>
      </c>
      <c r="Z25" s="452"/>
      <c r="AA25" s="401" t="s">
        <v>156</v>
      </c>
      <c r="AB25" s="402"/>
      <c r="AC25" s="403"/>
      <c r="AD25" s="249">
        <v>5</v>
      </c>
      <c r="AE25" s="237"/>
      <c r="AF25" s="237"/>
      <c r="AG25" s="237"/>
      <c r="AH25" s="238"/>
      <c r="AI25" s="238"/>
      <c r="AJ25" s="238"/>
      <c r="AK25" s="238"/>
      <c r="AL25" s="238"/>
      <c r="AM25" s="238"/>
      <c r="AN25" s="238"/>
      <c r="AO25" s="237"/>
      <c r="AP25" s="237"/>
      <c r="AQ25" s="237"/>
      <c r="AR25" s="237"/>
      <c r="AS25" s="233" t="s">
        <v>291</v>
      </c>
      <c r="AT25" s="220"/>
      <c r="AU25" s="220"/>
      <c r="AV25" s="220"/>
      <c r="AW25" s="220"/>
      <c r="AX25" s="137"/>
      <c r="AY25" s="137"/>
      <c r="AZ25" s="137"/>
      <c r="BA25" s="137"/>
      <c r="BB25" s="137"/>
      <c r="BC25" s="137"/>
      <c r="BD25" s="138"/>
    </row>
    <row r="26" spans="1:57" s="1" customFormat="1" ht="14.4" customHeight="1">
      <c r="A26" s="145">
        <f>IF(B26="","",COUNTA($B$8:B26))</f>
        <v>19</v>
      </c>
      <c r="B26" s="146" t="s">
        <v>292</v>
      </c>
      <c r="C26" s="127"/>
      <c r="D26" s="127"/>
      <c r="E26" s="127"/>
      <c r="F26" s="127"/>
      <c r="G26" s="127"/>
      <c r="H26" s="148"/>
      <c r="I26" s="128" t="s">
        <v>293</v>
      </c>
      <c r="J26" s="129"/>
      <c r="K26" s="129"/>
      <c r="L26" s="129"/>
      <c r="M26" s="129"/>
      <c r="N26" s="129"/>
      <c r="O26" s="129"/>
      <c r="P26" s="129"/>
      <c r="Q26" s="147"/>
      <c r="R26" s="146" t="s">
        <v>292</v>
      </c>
      <c r="S26" s="127"/>
      <c r="T26" s="127"/>
      <c r="U26" s="127"/>
      <c r="V26" s="127"/>
      <c r="W26" s="127"/>
      <c r="X26" s="148"/>
      <c r="Y26" s="451" t="s">
        <v>155</v>
      </c>
      <c r="Z26" s="452"/>
      <c r="AA26" s="448" t="s">
        <v>156</v>
      </c>
      <c r="AB26" s="449"/>
      <c r="AC26" s="450"/>
      <c r="AD26" s="139">
        <v>5</v>
      </c>
      <c r="AE26" s="124"/>
      <c r="AF26" s="124"/>
      <c r="AG26" s="124"/>
      <c r="AH26" s="133"/>
      <c r="AI26" s="133"/>
      <c r="AJ26" s="133"/>
      <c r="AK26" s="133"/>
      <c r="AL26" s="133"/>
      <c r="AM26" s="133"/>
      <c r="AN26" s="133"/>
      <c r="AO26" s="124"/>
      <c r="AP26" s="124"/>
      <c r="AQ26" s="124"/>
      <c r="AR26" s="124"/>
      <c r="AS26" s="131" t="s">
        <v>291</v>
      </c>
      <c r="AT26" s="137"/>
      <c r="AU26" s="137"/>
      <c r="AV26" s="137"/>
      <c r="AW26" s="137"/>
      <c r="AX26" s="137"/>
      <c r="AY26" s="137"/>
      <c r="AZ26" s="137"/>
      <c r="BA26" s="137"/>
      <c r="BB26" s="137"/>
      <c r="BC26" s="137"/>
      <c r="BD26" s="138"/>
    </row>
    <row r="27" spans="1:57" s="1" customFormat="1" ht="14.4" customHeight="1">
      <c r="A27" s="145">
        <f>IF(B27="","",COUNTA($B$8:B27))</f>
        <v>20</v>
      </c>
      <c r="B27" s="146" t="s">
        <v>294</v>
      </c>
      <c r="C27" s="127"/>
      <c r="D27" s="127"/>
      <c r="E27" s="127"/>
      <c r="F27" s="127"/>
      <c r="G27" s="127"/>
      <c r="H27" s="148"/>
      <c r="I27" s="128" t="s">
        <v>295</v>
      </c>
      <c r="J27" s="129"/>
      <c r="K27" s="129"/>
      <c r="L27" s="129"/>
      <c r="M27" s="129"/>
      <c r="N27" s="129"/>
      <c r="O27" s="129"/>
      <c r="P27" s="129"/>
      <c r="Q27" s="147"/>
      <c r="R27" s="146" t="s">
        <v>294</v>
      </c>
      <c r="S27" s="129"/>
      <c r="T27" s="129"/>
      <c r="U27" s="129"/>
      <c r="V27" s="129"/>
      <c r="W27" s="129"/>
      <c r="X27" s="148"/>
      <c r="Y27" s="451" t="s">
        <v>155</v>
      </c>
      <c r="Z27" s="452"/>
      <c r="AA27" s="448" t="s">
        <v>156</v>
      </c>
      <c r="AB27" s="449"/>
      <c r="AC27" s="450"/>
      <c r="AD27" s="139">
        <v>5</v>
      </c>
      <c r="AE27" s="124"/>
      <c r="AF27" s="124"/>
      <c r="AG27" s="124"/>
      <c r="AH27" s="133"/>
      <c r="AI27" s="133"/>
      <c r="AJ27" s="133"/>
      <c r="AK27" s="133"/>
      <c r="AL27" s="133"/>
      <c r="AM27" s="133"/>
      <c r="AN27" s="133"/>
      <c r="AO27" s="124"/>
      <c r="AP27" s="124"/>
      <c r="AQ27" s="124"/>
      <c r="AR27" s="124"/>
      <c r="AS27" s="131" t="s">
        <v>291</v>
      </c>
      <c r="AT27" s="137"/>
      <c r="AU27" s="137"/>
      <c r="AV27" s="137"/>
      <c r="AW27" s="137"/>
      <c r="AX27" s="137"/>
      <c r="AY27" s="137"/>
      <c r="AZ27" s="137"/>
      <c r="BA27" s="137"/>
      <c r="BB27" s="137"/>
      <c r="BC27" s="137"/>
      <c r="BD27" s="138"/>
    </row>
    <row r="28" spans="1:57" s="1" customFormat="1" ht="14.4" customHeight="1">
      <c r="A28" s="145">
        <f>IF(B28="","",COUNTA($B$8:B28))</f>
        <v>21</v>
      </c>
      <c r="B28" s="146" t="s">
        <v>296</v>
      </c>
      <c r="C28" s="127"/>
      <c r="D28" s="127"/>
      <c r="E28" s="127"/>
      <c r="F28" s="127"/>
      <c r="G28" s="127"/>
      <c r="H28" s="148"/>
      <c r="I28" s="128" t="s">
        <v>297</v>
      </c>
      <c r="J28" s="129"/>
      <c r="K28" s="129"/>
      <c r="L28" s="129"/>
      <c r="M28" s="129"/>
      <c r="N28" s="129"/>
      <c r="O28" s="129"/>
      <c r="P28" s="129"/>
      <c r="Q28" s="147"/>
      <c r="R28" s="146" t="s">
        <v>296</v>
      </c>
      <c r="S28" s="129"/>
      <c r="T28" s="129"/>
      <c r="U28" s="129"/>
      <c r="V28" s="129"/>
      <c r="W28" s="129"/>
      <c r="X28" s="148"/>
      <c r="Y28" s="451" t="s">
        <v>155</v>
      </c>
      <c r="Z28" s="452"/>
      <c r="AA28" s="448" t="s">
        <v>156</v>
      </c>
      <c r="AB28" s="449"/>
      <c r="AC28" s="450"/>
      <c r="AD28" s="139">
        <v>5</v>
      </c>
      <c r="AE28" s="124"/>
      <c r="AF28" s="124"/>
      <c r="AG28" s="124"/>
      <c r="AH28" s="133"/>
      <c r="AI28" s="133"/>
      <c r="AJ28" s="133"/>
      <c r="AK28" s="133"/>
      <c r="AL28" s="133"/>
      <c r="AM28" s="133"/>
      <c r="AN28" s="133"/>
      <c r="AO28" s="124"/>
      <c r="AP28" s="124"/>
      <c r="AQ28" s="124"/>
      <c r="AR28" s="124"/>
      <c r="AS28" s="131" t="s">
        <v>291</v>
      </c>
      <c r="AT28" s="137"/>
      <c r="AU28" s="137"/>
      <c r="AV28" s="137"/>
      <c r="AW28" s="137"/>
      <c r="AX28" s="137"/>
      <c r="AY28" s="137"/>
      <c r="AZ28" s="137"/>
      <c r="BA28" s="137"/>
      <c r="BB28" s="137"/>
      <c r="BC28" s="137"/>
      <c r="BD28" s="138"/>
    </row>
    <row r="29" spans="1:57" s="1" customFormat="1" ht="14.4" customHeight="1">
      <c r="A29" s="145">
        <f>IF(B29="","",COUNTA($B$8:B29))</f>
        <v>22</v>
      </c>
      <c r="B29" s="146" t="s">
        <v>298</v>
      </c>
      <c r="C29" s="127"/>
      <c r="D29" s="127"/>
      <c r="E29" s="127"/>
      <c r="F29" s="127"/>
      <c r="G29" s="127"/>
      <c r="H29" s="148"/>
      <c r="I29" s="128" t="s">
        <v>299</v>
      </c>
      <c r="J29" s="129"/>
      <c r="K29" s="129"/>
      <c r="L29" s="129"/>
      <c r="M29" s="129"/>
      <c r="N29" s="129"/>
      <c r="O29" s="129"/>
      <c r="P29" s="129"/>
      <c r="Q29" s="147"/>
      <c r="R29" s="146" t="s">
        <v>298</v>
      </c>
      <c r="S29" s="129"/>
      <c r="T29" s="129"/>
      <c r="U29" s="129"/>
      <c r="V29" s="129"/>
      <c r="W29" s="129"/>
      <c r="X29" s="148"/>
      <c r="Y29" s="451" t="s">
        <v>155</v>
      </c>
      <c r="Z29" s="452"/>
      <c r="AA29" s="448" t="s">
        <v>156</v>
      </c>
      <c r="AB29" s="449"/>
      <c r="AC29" s="450"/>
      <c r="AD29" s="139">
        <v>5</v>
      </c>
      <c r="AE29" s="124"/>
      <c r="AF29" s="124"/>
      <c r="AG29" s="124"/>
      <c r="AH29" s="133"/>
      <c r="AI29" s="133"/>
      <c r="AJ29" s="133"/>
      <c r="AK29" s="133"/>
      <c r="AL29" s="133"/>
      <c r="AM29" s="133"/>
      <c r="AN29" s="133"/>
      <c r="AO29" s="124"/>
      <c r="AP29" s="124"/>
      <c r="AQ29" s="124"/>
      <c r="AR29" s="124"/>
      <c r="AS29" s="131"/>
      <c r="AT29" s="137"/>
      <c r="AU29" s="137"/>
      <c r="AV29" s="137"/>
      <c r="AW29" s="137"/>
      <c r="AX29" s="137"/>
      <c r="AY29" s="137"/>
      <c r="AZ29" s="137"/>
      <c r="BA29" s="137"/>
      <c r="BB29" s="137"/>
      <c r="BC29" s="137"/>
      <c r="BD29" s="138"/>
    </row>
    <row r="30" spans="1:57" s="1" customFormat="1" ht="14.4" customHeight="1">
      <c r="A30" s="145">
        <f>IF(B30="","",COUNTA($B$8:B30))</f>
        <v>23</v>
      </c>
      <c r="B30" s="146" t="s">
        <v>300</v>
      </c>
      <c r="C30" s="127"/>
      <c r="D30" s="127"/>
      <c r="E30" s="127"/>
      <c r="F30" s="127"/>
      <c r="G30" s="127"/>
      <c r="H30" s="148"/>
      <c r="I30" s="128" t="s">
        <v>301</v>
      </c>
      <c r="J30" s="129"/>
      <c r="K30" s="129"/>
      <c r="L30" s="129"/>
      <c r="M30" s="129"/>
      <c r="N30" s="129"/>
      <c r="O30" s="129"/>
      <c r="P30" s="129"/>
      <c r="Q30" s="147"/>
      <c r="R30" s="146" t="s">
        <v>300</v>
      </c>
      <c r="S30" s="129"/>
      <c r="T30" s="129"/>
      <c r="U30" s="129"/>
      <c r="V30" s="129"/>
      <c r="W30" s="129"/>
      <c r="X30" s="148"/>
      <c r="Y30" s="451" t="s">
        <v>155</v>
      </c>
      <c r="Z30" s="452"/>
      <c r="AA30" s="448" t="s">
        <v>156</v>
      </c>
      <c r="AB30" s="449"/>
      <c r="AC30" s="450"/>
      <c r="AD30" s="197">
        <v>5</v>
      </c>
      <c r="AE30" s="124"/>
      <c r="AF30" s="124"/>
      <c r="AG30" s="124"/>
      <c r="AH30" s="133"/>
      <c r="AI30" s="133"/>
      <c r="AJ30" s="133"/>
      <c r="AK30" s="133"/>
      <c r="AL30" s="133"/>
      <c r="AM30" s="133"/>
      <c r="AN30" s="133"/>
      <c r="AO30" s="124"/>
      <c r="AP30" s="124"/>
      <c r="AQ30" s="124"/>
      <c r="AR30" s="124"/>
      <c r="AS30" s="131"/>
      <c r="AT30" s="137"/>
      <c r="AU30" s="137"/>
      <c r="AV30" s="137"/>
      <c r="AW30" s="137"/>
      <c r="AX30" s="137"/>
      <c r="AY30" s="137"/>
      <c r="AZ30" s="137"/>
      <c r="BA30" s="137"/>
      <c r="BB30" s="137"/>
      <c r="BC30" s="137"/>
      <c r="BD30" s="138"/>
    </row>
    <row r="31" spans="1:57" s="1" customFormat="1" ht="14.4" customHeight="1">
      <c r="A31" s="145">
        <f>IF(B31="","",COUNTA($B$8:B31))</f>
        <v>24</v>
      </c>
      <c r="B31" s="8" t="s">
        <v>226</v>
      </c>
      <c r="C31" s="127"/>
      <c r="D31" s="127"/>
      <c r="E31" s="127"/>
      <c r="F31" s="127"/>
      <c r="G31" s="127"/>
      <c r="H31" s="148"/>
      <c r="I31" s="128" t="s">
        <v>227</v>
      </c>
      <c r="J31" s="129"/>
      <c r="K31" s="129"/>
      <c r="L31" s="129"/>
      <c r="M31" s="129"/>
      <c r="N31" s="129"/>
      <c r="O31" s="129"/>
      <c r="P31" s="129"/>
      <c r="Q31" s="147"/>
      <c r="R31" s="8" t="s">
        <v>226</v>
      </c>
      <c r="S31" s="129"/>
      <c r="T31" s="129"/>
      <c r="U31" s="129"/>
      <c r="V31" s="129"/>
      <c r="W31" s="129"/>
      <c r="X31" s="148"/>
      <c r="Y31" s="451" t="s">
        <v>150</v>
      </c>
      <c r="Z31" s="452"/>
      <c r="AA31" s="448" t="s">
        <v>151</v>
      </c>
      <c r="AB31" s="449"/>
      <c r="AC31" s="450"/>
      <c r="AD31" s="139">
        <v>3</v>
      </c>
      <c r="AE31" s="124"/>
      <c r="AF31" s="124"/>
      <c r="AG31" s="124"/>
      <c r="AH31" s="133"/>
      <c r="AI31" s="133"/>
      <c r="AJ31" s="133"/>
      <c r="AK31" s="133"/>
      <c r="AL31" s="133"/>
      <c r="AM31" s="133"/>
      <c r="AN31" s="133"/>
      <c r="AO31" s="124"/>
      <c r="AP31" s="124"/>
      <c r="AQ31" s="124"/>
      <c r="AR31" s="124"/>
      <c r="AS31" s="131"/>
      <c r="AT31" s="137"/>
      <c r="AU31" s="137"/>
      <c r="AV31" s="137"/>
      <c r="AW31" s="137"/>
      <c r="AX31" s="137"/>
      <c r="AY31" s="137"/>
      <c r="AZ31" s="137"/>
      <c r="BA31" s="137"/>
      <c r="BB31" s="137"/>
      <c r="BC31" s="137"/>
      <c r="BD31" s="138"/>
    </row>
    <row r="32" spans="1:57" s="1" customFormat="1" ht="14.4" customHeight="1">
      <c r="A32" s="145">
        <f>IF(B32="","",COUNTA($B$8:B32))</f>
        <v>25</v>
      </c>
      <c r="B32" s="8" t="s">
        <v>228</v>
      </c>
      <c r="C32" s="127"/>
      <c r="D32" s="127"/>
      <c r="E32" s="127"/>
      <c r="F32" s="127"/>
      <c r="G32" s="127"/>
      <c r="H32" s="148"/>
      <c r="I32" s="128" t="s">
        <v>229</v>
      </c>
      <c r="J32" s="129"/>
      <c r="K32" s="129"/>
      <c r="L32" s="129"/>
      <c r="M32" s="129"/>
      <c r="N32" s="129"/>
      <c r="O32" s="129"/>
      <c r="P32" s="129"/>
      <c r="Q32" s="147"/>
      <c r="R32" s="8" t="s">
        <v>228</v>
      </c>
      <c r="S32" s="129"/>
      <c r="T32" s="129"/>
      <c r="U32" s="129"/>
      <c r="V32" s="129"/>
      <c r="W32" s="129"/>
      <c r="X32" s="148"/>
      <c r="Y32" s="451" t="s">
        <v>150</v>
      </c>
      <c r="Z32" s="452"/>
      <c r="AA32" s="448" t="s">
        <v>151</v>
      </c>
      <c r="AB32" s="449"/>
      <c r="AC32" s="450"/>
      <c r="AD32" s="139">
        <v>1000</v>
      </c>
      <c r="AE32" s="124"/>
      <c r="AF32" s="124"/>
      <c r="AG32" s="124"/>
      <c r="AH32" s="133"/>
      <c r="AI32" s="133"/>
      <c r="AJ32" s="133"/>
      <c r="AK32" s="133"/>
      <c r="AL32" s="133"/>
      <c r="AM32" s="133"/>
      <c r="AN32" s="133"/>
      <c r="AO32" s="124"/>
      <c r="AP32" s="124"/>
      <c r="AQ32" s="124"/>
      <c r="AR32" s="124"/>
      <c r="AS32" s="131"/>
      <c r="AT32" s="137"/>
      <c r="AU32" s="137"/>
      <c r="AV32" s="137"/>
      <c r="AW32" s="137"/>
      <c r="AX32" s="137"/>
      <c r="AY32" s="137"/>
      <c r="AZ32" s="137"/>
      <c r="BA32" s="137"/>
      <c r="BB32" s="137"/>
      <c r="BC32" s="137"/>
      <c r="BD32" s="138"/>
    </row>
    <row r="33" spans="1:57" s="1" customFormat="1" ht="14.4" customHeight="1">
      <c r="A33" s="145">
        <f>IF(B33="","",COUNTA($B$8:B33))</f>
        <v>26</v>
      </c>
      <c r="B33" s="8" t="s">
        <v>230</v>
      </c>
      <c r="C33" s="127"/>
      <c r="D33" s="127"/>
      <c r="E33" s="127"/>
      <c r="F33" s="127"/>
      <c r="G33" s="127"/>
      <c r="H33" s="148"/>
      <c r="I33" s="128" t="s">
        <v>231</v>
      </c>
      <c r="J33" s="129"/>
      <c r="K33" s="129"/>
      <c r="L33" s="129"/>
      <c r="M33" s="129"/>
      <c r="N33" s="129"/>
      <c r="O33" s="129"/>
      <c r="P33" s="129"/>
      <c r="Q33" s="147"/>
      <c r="R33" s="8" t="s">
        <v>230</v>
      </c>
      <c r="S33" s="129"/>
      <c r="T33" s="129"/>
      <c r="U33" s="129"/>
      <c r="V33" s="129"/>
      <c r="W33" s="129"/>
      <c r="X33" s="148"/>
      <c r="Y33" s="451" t="s">
        <v>169</v>
      </c>
      <c r="Z33" s="452"/>
      <c r="AA33" s="448" t="s">
        <v>170</v>
      </c>
      <c r="AB33" s="449"/>
      <c r="AC33" s="450"/>
      <c r="AD33" s="139"/>
      <c r="AE33" s="124"/>
      <c r="AF33" s="124"/>
      <c r="AG33" s="124"/>
      <c r="AH33" s="133"/>
      <c r="AI33" s="133"/>
      <c r="AJ33" s="133"/>
      <c r="AK33" s="133"/>
      <c r="AL33" s="133"/>
      <c r="AM33" s="133"/>
      <c r="AN33" s="133"/>
      <c r="AO33" s="124"/>
      <c r="AP33" s="124"/>
      <c r="AQ33" s="124"/>
      <c r="AR33" s="124"/>
      <c r="AS33" s="131" t="s">
        <v>232</v>
      </c>
      <c r="AT33" s="137"/>
      <c r="AU33" s="137"/>
      <c r="AV33" s="137"/>
      <c r="AW33" s="137"/>
      <c r="AX33" s="137"/>
      <c r="AY33" s="137"/>
      <c r="AZ33" s="137"/>
      <c r="BA33" s="137"/>
      <c r="BB33" s="137"/>
      <c r="BC33" s="137"/>
      <c r="BD33" s="138"/>
    </row>
    <row r="34" spans="1:57" s="1" customFormat="1" ht="14.4" customHeight="1">
      <c r="A34" s="145">
        <f>IF(B34="","",COUNTA($B$8:B34))</f>
        <v>27</v>
      </c>
      <c r="B34" s="8" t="s">
        <v>233</v>
      </c>
      <c r="C34" s="127"/>
      <c r="D34" s="127"/>
      <c r="E34" s="127"/>
      <c r="F34" s="127"/>
      <c r="G34" s="127"/>
      <c r="H34" s="148"/>
      <c r="I34" s="128" t="s">
        <v>234</v>
      </c>
      <c r="J34" s="129"/>
      <c r="K34" s="129"/>
      <c r="L34" s="129"/>
      <c r="M34" s="129"/>
      <c r="N34" s="129"/>
      <c r="O34" s="129"/>
      <c r="P34" s="129"/>
      <c r="Q34" s="147"/>
      <c r="R34" s="8" t="s">
        <v>233</v>
      </c>
      <c r="S34" s="129"/>
      <c r="T34" s="129"/>
      <c r="U34" s="129"/>
      <c r="V34" s="129"/>
      <c r="W34" s="129"/>
      <c r="X34" s="148"/>
      <c r="Y34" s="451" t="s">
        <v>155</v>
      </c>
      <c r="Z34" s="452"/>
      <c r="AA34" s="448" t="s">
        <v>156</v>
      </c>
      <c r="AB34" s="449"/>
      <c r="AC34" s="450"/>
      <c r="AD34" s="139">
        <v>1</v>
      </c>
      <c r="AE34" s="124"/>
      <c r="AF34" s="124"/>
      <c r="AG34" s="124"/>
      <c r="AH34" s="133">
        <v>0</v>
      </c>
      <c r="AI34" s="133"/>
      <c r="AJ34" s="133"/>
      <c r="AK34" s="133"/>
      <c r="AL34" s="133"/>
      <c r="AM34" s="133"/>
      <c r="AN34" s="133"/>
      <c r="AO34" s="124"/>
      <c r="AP34" s="124"/>
      <c r="AQ34" s="124"/>
      <c r="AR34" s="124"/>
      <c r="AS34" s="131"/>
      <c r="AT34" s="137"/>
      <c r="AU34" s="137"/>
      <c r="AV34" s="137"/>
      <c r="AW34" s="137"/>
      <c r="AX34" s="137"/>
      <c r="AY34" s="137"/>
      <c r="AZ34" s="137"/>
      <c r="BA34" s="137"/>
      <c r="BB34" s="137"/>
      <c r="BC34" s="137"/>
      <c r="BD34" s="138"/>
    </row>
    <row r="35" spans="1:57" s="1" customFormat="1" ht="14.4" customHeight="1">
      <c r="A35" s="145">
        <f>IF(B35="","",COUNTA($B$8:B35))</f>
        <v>28</v>
      </c>
      <c r="B35" s="182" t="s">
        <v>276</v>
      </c>
      <c r="C35" s="170"/>
      <c r="D35" s="170"/>
      <c r="E35" s="170"/>
      <c r="F35" s="170"/>
      <c r="G35" s="170"/>
      <c r="H35" s="171"/>
      <c r="I35" s="196" t="s">
        <v>277</v>
      </c>
      <c r="J35" s="172"/>
      <c r="K35" s="172"/>
      <c r="L35" s="172"/>
      <c r="M35" s="172"/>
      <c r="N35" s="172"/>
      <c r="O35" s="172"/>
      <c r="P35" s="172"/>
      <c r="Q35" s="173"/>
      <c r="R35" s="182" t="s">
        <v>276</v>
      </c>
      <c r="S35" s="172"/>
      <c r="T35" s="172"/>
      <c r="U35" s="172"/>
      <c r="V35" s="172"/>
      <c r="W35" s="172"/>
      <c r="X35" s="171"/>
      <c r="Y35" s="459" t="s">
        <v>155</v>
      </c>
      <c r="Z35" s="460"/>
      <c r="AA35" s="445" t="s">
        <v>156</v>
      </c>
      <c r="AB35" s="446"/>
      <c r="AC35" s="447"/>
      <c r="AD35" s="174">
        <v>1</v>
      </c>
      <c r="AE35" s="175"/>
      <c r="AF35" s="175"/>
      <c r="AG35" s="175"/>
      <c r="AH35" s="176">
        <v>0</v>
      </c>
      <c r="AI35" s="176"/>
      <c r="AJ35" s="176"/>
      <c r="AK35" s="176"/>
      <c r="AL35" s="176"/>
      <c r="AM35" s="176"/>
      <c r="AN35" s="176"/>
      <c r="AO35" s="175"/>
      <c r="AP35" s="175"/>
      <c r="AQ35" s="175"/>
      <c r="AR35" s="175"/>
      <c r="AS35" s="177" t="s">
        <v>235</v>
      </c>
      <c r="AT35" s="178"/>
      <c r="AU35" s="178"/>
      <c r="AV35" s="178"/>
      <c r="AW35" s="178"/>
      <c r="AX35" s="178"/>
      <c r="AY35" s="178"/>
      <c r="AZ35" s="178"/>
      <c r="BA35" s="178"/>
      <c r="BB35" s="178"/>
      <c r="BC35" s="178"/>
      <c r="BD35" s="179"/>
      <c r="BE35" s="1" t="s">
        <v>1474</v>
      </c>
    </row>
    <row r="36" spans="1:57" s="1" customFormat="1" ht="14.4" customHeight="1">
      <c r="A36" s="145">
        <f>IF(B36="","",COUNTA($B$8:B36))</f>
        <v>29</v>
      </c>
      <c r="B36" s="8" t="s">
        <v>236</v>
      </c>
      <c r="C36" s="127"/>
      <c r="D36" s="127"/>
      <c r="E36" s="127"/>
      <c r="F36" s="127"/>
      <c r="G36" s="127"/>
      <c r="H36" s="148"/>
      <c r="I36" s="128" t="s">
        <v>237</v>
      </c>
      <c r="J36" s="129"/>
      <c r="K36" s="129"/>
      <c r="L36" s="129"/>
      <c r="M36" s="129"/>
      <c r="N36" s="129"/>
      <c r="O36" s="129"/>
      <c r="P36" s="129"/>
      <c r="Q36" s="147"/>
      <c r="R36" s="8" t="s">
        <v>236</v>
      </c>
      <c r="S36" s="129"/>
      <c r="T36" s="129"/>
      <c r="U36" s="129"/>
      <c r="V36" s="129"/>
      <c r="W36" s="129"/>
      <c r="X36" s="148"/>
      <c r="Y36" s="451" t="s">
        <v>155</v>
      </c>
      <c r="Z36" s="452"/>
      <c r="AA36" s="448" t="s">
        <v>156</v>
      </c>
      <c r="AB36" s="449"/>
      <c r="AC36" s="450"/>
      <c r="AD36" s="139">
        <v>1</v>
      </c>
      <c r="AE36" s="124"/>
      <c r="AF36" s="124"/>
      <c r="AG36" s="124"/>
      <c r="AH36" s="133">
        <v>0</v>
      </c>
      <c r="AI36" s="133"/>
      <c r="AJ36" s="133"/>
      <c r="AK36" s="133"/>
      <c r="AL36" s="133"/>
      <c r="AM36" s="133"/>
      <c r="AN36" s="133"/>
      <c r="AO36" s="124"/>
      <c r="AP36" s="124"/>
      <c r="AQ36" s="124"/>
      <c r="AR36" s="124"/>
      <c r="AS36" s="131" t="s">
        <v>238</v>
      </c>
      <c r="AT36" s="137"/>
      <c r="AU36" s="137"/>
      <c r="AV36" s="137"/>
      <c r="AW36" s="137"/>
      <c r="AX36" s="137"/>
      <c r="AY36" s="137"/>
      <c r="AZ36" s="137"/>
      <c r="BA36" s="137"/>
      <c r="BB36" s="137"/>
      <c r="BC36" s="137"/>
      <c r="BD36" s="138"/>
    </row>
    <row r="37" spans="1:57" s="1" customFormat="1" ht="14.4" customHeight="1">
      <c r="A37" s="145">
        <f>IF(B37="","",COUNTA($B$8:B37))</f>
        <v>30</v>
      </c>
      <c r="B37" s="8" t="s">
        <v>239</v>
      </c>
      <c r="C37" s="127"/>
      <c r="D37" s="127"/>
      <c r="E37" s="127"/>
      <c r="F37" s="127"/>
      <c r="G37" s="127"/>
      <c r="H37" s="148"/>
      <c r="I37" s="128" t="s">
        <v>240</v>
      </c>
      <c r="J37" s="129"/>
      <c r="K37" s="129"/>
      <c r="L37" s="129"/>
      <c r="M37" s="129"/>
      <c r="N37" s="129"/>
      <c r="O37" s="129"/>
      <c r="P37" s="129"/>
      <c r="Q37" s="147"/>
      <c r="R37" s="8" t="s">
        <v>239</v>
      </c>
      <c r="S37" s="129"/>
      <c r="T37" s="129"/>
      <c r="U37" s="129"/>
      <c r="V37" s="129"/>
      <c r="W37" s="129"/>
      <c r="X37" s="148"/>
      <c r="Y37" s="451" t="s">
        <v>169</v>
      </c>
      <c r="Z37" s="452"/>
      <c r="AA37" s="448" t="s">
        <v>170</v>
      </c>
      <c r="AB37" s="449"/>
      <c r="AC37" s="450"/>
      <c r="AD37" s="139"/>
      <c r="AE37" s="124"/>
      <c r="AF37" s="124"/>
      <c r="AG37" s="124"/>
      <c r="AH37" s="133"/>
      <c r="AI37" s="133"/>
      <c r="AJ37" s="133"/>
      <c r="AK37" s="133"/>
      <c r="AL37" s="133"/>
      <c r="AM37" s="133"/>
      <c r="AN37" s="133"/>
      <c r="AO37" s="124"/>
      <c r="AP37" s="124"/>
      <c r="AQ37" s="124"/>
      <c r="AR37" s="124"/>
      <c r="AS37" s="131"/>
      <c r="AT37" s="137"/>
      <c r="AU37" s="137"/>
      <c r="AV37" s="137"/>
      <c r="AW37" s="137"/>
      <c r="AX37" s="137"/>
      <c r="AY37" s="137"/>
      <c r="AZ37" s="137"/>
      <c r="BA37" s="137"/>
      <c r="BB37" s="137"/>
      <c r="BC37" s="137"/>
      <c r="BD37" s="138"/>
    </row>
    <row r="38" spans="1:57" s="1" customFormat="1" ht="14.4" customHeight="1">
      <c r="A38" s="189">
        <f>IF(B38="","",COUNTA($B$8:B38))</f>
        <v>31</v>
      </c>
      <c r="B38" s="4" t="s">
        <v>241</v>
      </c>
      <c r="C38" s="127"/>
      <c r="D38" s="127"/>
      <c r="E38" s="127"/>
      <c r="F38" s="127"/>
      <c r="G38" s="127"/>
      <c r="H38" s="127"/>
      <c r="I38" s="128" t="s">
        <v>242</v>
      </c>
      <c r="J38" s="129"/>
      <c r="K38" s="129"/>
      <c r="L38" s="129"/>
      <c r="M38" s="129"/>
      <c r="N38" s="129"/>
      <c r="O38" s="129"/>
      <c r="P38" s="129"/>
      <c r="Q38" s="129"/>
      <c r="R38" s="4" t="s">
        <v>241</v>
      </c>
      <c r="S38" s="127"/>
      <c r="T38" s="5"/>
      <c r="U38" s="5"/>
      <c r="V38" s="5"/>
      <c r="W38" s="5"/>
      <c r="X38" s="5"/>
      <c r="Y38" s="8" t="s">
        <v>150</v>
      </c>
      <c r="Z38" s="132"/>
      <c r="AA38" s="448" t="s">
        <v>243</v>
      </c>
      <c r="AB38" s="449"/>
      <c r="AC38" s="450"/>
      <c r="AD38" s="130"/>
      <c r="AE38" s="133" t="s">
        <v>244</v>
      </c>
      <c r="AF38" s="134"/>
      <c r="AG38" s="134"/>
      <c r="AH38" s="134"/>
      <c r="AI38" s="134"/>
      <c r="AJ38" s="134"/>
      <c r="AK38" s="134"/>
      <c r="AL38" s="134"/>
      <c r="AM38" s="134"/>
      <c r="AN38" s="134"/>
      <c r="AO38" s="135"/>
      <c r="AP38" s="135"/>
      <c r="AQ38" s="135"/>
      <c r="AR38" s="135"/>
      <c r="AS38" s="136" t="s">
        <v>245</v>
      </c>
      <c r="AT38" s="137"/>
      <c r="AU38" s="137"/>
      <c r="AV38" s="137"/>
      <c r="AW38" s="137"/>
      <c r="AX38" s="137"/>
      <c r="AY38" s="137"/>
      <c r="AZ38" s="137"/>
      <c r="BA38" s="137"/>
      <c r="BB38" s="137"/>
      <c r="BC38" s="137"/>
      <c r="BD38" s="138"/>
    </row>
    <row r="39" spans="1:57" s="1" customFormat="1" ht="14.4" customHeight="1">
      <c r="A39" s="189">
        <f>IF(B39="","",COUNTA($B$8:B39))</f>
        <v>32</v>
      </c>
      <c r="B39" s="4" t="s">
        <v>246</v>
      </c>
      <c r="C39" s="127"/>
      <c r="D39" s="127"/>
      <c r="E39" s="127"/>
      <c r="F39" s="127"/>
      <c r="G39" s="127"/>
      <c r="H39" s="127"/>
      <c r="I39" s="128" t="s">
        <v>247</v>
      </c>
      <c r="J39" s="129"/>
      <c r="K39" s="129"/>
      <c r="L39" s="129"/>
      <c r="M39" s="129"/>
      <c r="N39" s="129"/>
      <c r="O39" s="129"/>
      <c r="P39" s="129"/>
      <c r="Q39" s="129"/>
      <c r="R39" s="4" t="s">
        <v>246</v>
      </c>
      <c r="S39" s="127"/>
      <c r="T39" s="5"/>
      <c r="U39" s="5"/>
      <c r="V39" s="5"/>
      <c r="W39" s="5"/>
      <c r="X39" s="5"/>
      <c r="Y39" s="8" t="s">
        <v>150</v>
      </c>
      <c r="Z39" s="132"/>
      <c r="AA39" s="448" t="s">
        <v>243</v>
      </c>
      <c r="AB39" s="449"/>
      <c r="AC39" s="450"/>
      <c r="AD39" s="130"/>
      <c r="AE39" s="133" t="s">
        <v>244</v>
      </c>
      <c r="AF39" s="134"/>
      <c r="AG39" s="134"/>
      <c r="AH39" s="134"/>
      <c r="AI39" s="134"/>
      <c r="AJ39" s="134"/>
      <c r="AK39" s="134"/>
      <c r="AL39" s="134"/>
      <c r="AM39" s="134"/>
      <c r="AN39" s="134"/>
      <c r="AO39" s="135"/>
      <c r="AP39" s="135"/>
      <c r="AQ39" s="135"/>
      <c r="AR39" s="135"/>
      <c r="AS39" s="136" t="s">
        <v>248</v>
      </c>
      <c r="AT39" s="137"/>
      <c r="AU39" s="137"/>
      <c r="AV39" s="137"/>
      <c r="AW39" s="137"/>
      <c r="AX39" s="137"/>
      <c r="AY39" s="137"/>
      <c r="AZ39" s="137"/>
      <c r="BA39" s="137"/>
      <c r="BB39" s="137"/>
      <c r="BC39" s="137"/>
      <c r="BD39" s="138"/>
    </row>
    <row r="40" spans="1:57" s="1" customFormat="1" ht="14.4" customHeight="1">
      <c r="A40" s="145">
        <f>IF(B40="","",COUNTA($B$8:B40))</f>
        <v>33</v>
      </c>
      <c r="B40" s="8" t="s">
        <v>249</v>
      </c>
      <c r="C40" s="127"/>
      <c r="D40" s="127"/>
      <c r="E40" s="127"/>
      <c r="F40" s="127"/>
      <c r="G40" s="127"/>
      <c r="H40" s="148"/>
      <c r="I40" s="128" t="s">
        <v>250</v>
      </c>
      <c r="J40" s="129"/>
      <c r="K40" s="129"/>
      <c r="L40" s="129"/>
      <c r="M40" s="129"/>
      <c r="N40" s="129"/>
      <c r="O40" s="129"/>
      <c r="P40" s="129"/>
      <c r="Q40" s="147"/>
      <c r="R40" s="8" t="s">
        <v>249</v>
      </c>
      <c r="S40" s="129"/>
      <c r="T40" s="129"/>
      <c r="U40" s="129"/>
      <c r="V40" s="129"/>
      <c r="W40" s="129"/>
      <c r="X40" s="148"/>
      <c r="Y40" s="451" t="s">
        <v>150</v>
      </c>
      <c r="Z40" s="452"/>
      <c r="AA40" s="448" t="s">
        <v>151</v>
      </c>
      <c r="AB40" s="449"/>
      <c r="AC40" s="450"/>
      <c r="AD40" s="139">
        <v>4</v>
      </c>
      <c r="AE40" s="124"/>
      <c r="AF40" s="124"/>
      <c r="AG40" s="124"/>
      <c r="AH40" s="133"/>
      <c r="AI40" s="133"/>
      <c r="AJ40" s="133"/>
      <c r="AK40" s="133"/>
      <c r="AL40" s="133"/>
      <c r="AM40" s="133"/>
      <c r="AN40" s="133"/>
      <c r="AO40" s="124"/>
      <c r="AP40" s="124"/>
      <c r="AQ40" s="124"/>
      <c r="AR40" s="124"/>
      <c r="AS40" s="131"/>
      <c r="AT40" s="137"/>
      <c r="AU40" s="137"/>
      <c r="AV40" s="137"/>
      <c r="AW40" s="137"/>
      <c r="AX40" s="137"/>
      <c r="AY40" s="137"/>
      <c r="AZ40" s="137"/>
      <c r="BA40" s="137"/>
      <c r="BB40" s="137"/>
      <c r="BC40" s="137"/>
      <c r="BD40" s="138"/>
    </row>
    <row r="41" spans="1:57" ht="14.4" customHeight="1">
      <c r="A41" s="70">
        <f>IF(B41="","",COUNTA($B$8:B41))</f>
        <v>34</v>
      </c>
      <c r="B41" s="19" t="s">
        <v>251</v>
      </c>
      <c r="C41" s="20"/>
      <c r="D41" s="20"/>
      <c r="E41" s="20"/>
      <c r="F41" s="20"/>
      <c r="G41" s="20"/>
      <c r="H41" s="24"/>
      <c r="I41" s="34" t="s">
        <v>252</v>
      </c>
      <c r="J41" s="23"/>
      <c r="K41" s="23"/>
      <c r="L41" s="23"/>
      <c r="M41" s="23"/>
      <c r="N41" s="23"/>
      <c r="O41" s="23"/>
      <c r="P41" s="23"/>
      <c r="Q41" s="37"/>
      <c r="R41" s="19" t="s">
        <v>251</v>
      </c>
      <c r="S41" s="23"/>
      <c r="T41" s="23"/>
      <c r="U41" s="23"/>
      <c r="V41" s="23"/>
      <c r="W41" s="23"/>
      <c r="X41" s="24"/>
      <c r="Y41" s="440" t="s">
        <v>150</v>
      </c>
      <c r="Z41" s="441"/>
      <c r="AA41" s="442" t="s">
        <v>151</v>
      </c>
      <c r="AB41" s="443"/>
      <c r="AC41" s="444"/>
      <c r="AD41" s="27">
        <v>4</v>
      </c>
      <c r="AE41" s="29"/>
      <c r="AF41" s="29"/>
      <c r="AG41" s="29"/>
      <c r="AH41" s="28"/>
      <c r="AI41" s="28"/>
      <c r="AJ41" s="28"/>
      <c r="AK41" s="28"/>
      <c r="AL41" s="28"/>
      <c r="AM41" s="28"/>
      <c r="AN41" s="28"/>
      <c r="AO41" s="29"/>
      <c r="AP41" s="29"/>
      <c r="AQ41" s="29"/>
      <c r="AR41" s="29"/>
      <c r="AS41" s="31"/>
      <c r="AT41" s="67"/>
      <c r="AU41" s="67"/>
      <c r="AV41" s="67"/>
      <c r="AW41" s="67"/>
      <c r="AX41" s="67"/>
      <c r="AY41" s="67"/>
      <c r="AZ41" s="67"/>
      <c r="BA41" s="67"/>
      <c r="BB41" s="67"/>
      <c r="BC41" s="67"/>
      <c r="BD41" s="68"/>
    </row>
    <row r="42" spans="1:57" ht="14.4" customHeight="1">
      <c r="A42" s="70">
        <f>IF(B42="","",COUNTA($B$8:B42))</f>
        <v>35</v>
      </c>
      <c r="B42" s="19" t="s">
        <v>253</v>
      </c>
      <c r="C42" s="20"/>
      <c r="D42" s="20"/>
      <c r="E42" s="20"/>
      <c r="F42" s="20"/>
      <c r="G42" s="20"/>
      <c r="H42" s="24"/>
      <c r="I42" s="31" t="s">
        <v>254</v>
      </c>
      <c r="J42" s="23"/>
      <c r="K42" s="23"/>
      <c r="L42" s="23"/>
      <c r="M42" s="23"/>
      <c r="N42" s="23"/>
      <c r="O42" s="23"/>
      <c r="P42" s="23"/>
      <c r="Q42" s="37"/>
      <c r="R42" s="19" t="s">
        <v>253</v>
      </c>
      <c r="S42" s="23"/>
      <c r="T42" s="23"/>
      <c r="U42" s="23"/>
      <c r="V42" s="23"/>
      <c r="W42" s="23"/>
      <c r="X42" s="24"/>
      <c r="Y42" s="440" t="s">
        <v>150</v>
      </c>
      <c r="Z42" s="441"/>
      <c r="AA42" s="442" t="s">
        <v>151</v>
      </c>
      <c r="AB42" s="443"/>
      <c r="AC42" s="444"/>
      <c r="AD42" s="27">
        <v>10</v>
      </c>
      <c r="AE42" s="29"/>
      <c r="AF42" s="29"/>
      <c r="AG42" s="29"/>
      <c r="AH42" s="28"/>
      <c r="AI42" s="28"/>
      <c r="AJ42" s="28"/>
      <c r="AK42" s="28"/>
      <c r="AL42" s="28"/>
      <c r="AM42" s="28"/>
      <c r="AN42" s="28"/>
      <c r="AO42" s="29"/>
      <c r="AP42" s="29"/>
      <c r="AQ42" s="29"/>
      <c r="AR42" s="29"/>
      <c r="AS42" s="31"/>
      <c r="AT42" s="67"/>
      <c r="AU42" s="67"/>
      <c r="AV42" s="67"/>
      <c r="AW42" s="67"/>
      <c r="AX42" s="67"/>
      <c r="AY42" s="67"/>
      <c r="AZ42" s="67"/>
      <c r="BA42" s="67"/>
      <c r="BB42" s="67"/>
      <c r="BC42" s="67"/>
      <c r="BD42" s="68"/>
    </row>
    <row r="43" spans="1:57" ht="14.4" customHeight="1">
      <c r="A43" s="70">
        <f>IF(B43="","",COUNTA($B$8:B43))</f>
        <v>36</v>
      </c>
      <c r="B43" s="19" t="s">
        <v>255</v>
      </c>
      <c r="C43" s="20"/>
      <c r="D43" s="20"/>
      <c r="E43" s="20"/>
      <c r="F43" s="20"/>
      <c r="G43" s="20"/>
      <c r="H43" s="24"/>
      <c r="I43" s="31" t="s">
        <v>256</v>
      </c>
      <c r="J43" s="23"/>
      <c r="K43" s="23"/>
      <c r="L43" s="23"/>
      <c r="M43" s="23"/>
      <c r="N43" s="23"/>
      <c r="O43" s="23"/>
      <c r="P43" s="23"/>
      <c r="Q43" s="37"/>
      <c r="R43" s="19" t="s">
        <v>255</v>
      </c>
      <c r="S43" s="23"/>
      <c r="T43" s="23"/>
      <c r="U43" s="23"/>
      <c r="V43" s="23"/>
      <c r="W43" s="23"/>
      <c r="X43" s="24"/>
      <c r="Y43" s="440" t="s">
        <v>150</v>
      </c>
      <c r="Z43" s="441"/>
      <c r="AA43" s="442" t="s">
        <v>151</v>
      </c>
      <c r="AB43" s="443"/>
      <c r="AC43" s="444"/>
      <c r="AD43" s="27">
        <v>10</v>
      </c>
      <c r="AE43" s="29"/>
      <c r="AF43" s="29"/>
      <c r="AG43" s="29"/>
      <c r="AH43" s="28"/>
      <c r="AI43" s="28"/>
      <c r="AJ43" s="28"/>
      <c r="AK43" s="28"/>
      <c r="AL43" s="28"/>
      <c r="AM43" s="28"/>
      <c r="AN43" s="28"/>
      <c r="AO43" s="29"/>
      <c r="AP43" s="29"/>
      <c r="AQ43" s="29"/>
      <c r="AR43" s="29"/>
      <c r="AS43" s="31"/>
      <c r="AT43" s="67"/>
      <c r="AU43" s="67"/>
      <c r="AV43" s="67"/>
      <c r="AW43" s="67"/>
      <c r="AX43" s="67"/>
      <c r="AY43" s="67"/>
      <c r="AZ43" s="67"/>
      <c r="BA43" s="67"/>
      <c r="BB43" s="67"/>
      <c r="BC43" s="67"/>
      <c r="BD43" s="68"/>
    </row>
    <row r="44" spans="1:57" ht="14.4" customHeight="1">
      <c r="A44" s="70">
        <f>IF(B44="","",COUNTA($B$8:B44))</f>
        <v>37</v>
      </c>
      <c r="B44" s="19" t="s">
        <v>257</v>
      </c>
      <c r="C44" s="20"/>
      <c r="D44" s="20"/>
      <c r="E44" s="20"/>
      <c r="F44" s="20"/>
      <c r="G44" s="20"/>
      <c r="H44" s="24"/>
      <c r="I44" s="31" t="s">
        <v>258</v>
      </c>
      <c r="J44" s="23"/>
      <c r="K44" s="23"/>
      <c r="L44" s="23"/>
      <c r="M44" s="23"/>
      <c r="N44" s="23"/>
      <c r="O44" s="23"/>
      <c r="P44" s="23"/>
      <c r="Q44" s="37"/>
      <c r="R44" s="19" t="s">
        <v>257</v>
      </c>
      <c r="S44" s="23"/>
      <c r="T44" s="23"/>
      <c r="U44" s="23"/>
      <c r="V44" s="23"/>
      <c r="W44" s="23"/>
      <c r="X44" s="24"/>
      <c r="Y44" s="440" t="s">
        <v>169</v>
      </c>
      <c r="Z44" s="441"/>
      <c r="AA44" s="442" t="s">
        <v>243</v>
      </c>
      <c r="AB44" s="443"/>
      <c r="AC44" s="444"/>
      <c r="AD44" s="30"/>
      <c r="AE44" s="29"/>
      <c r="AF44" s="29"/>
      <c r="AG44" s="29"/>
      <c r="AH44" s="40"/>
      <c r="AI44" s="40"/>
      <c r="AJ44" s="28"/>
      <c r="AK44" s="28"/>
      <c r="AL44" s="28"/>
      <c r="AM44" s="28"/>
      <c r="AN44" s="28"/>
      <c r="AO44" s="29"/>
      <c r="AP44" s="29"/>
      <c r="AQ44" s="29"/>
      <c r="AR44" s="29"/>
      <c r="AS44" s="31"/>
      <c r="AT44" s="67"/>
      <c r="AU44" s="67"/>
      <c r="AV44" s="67"/>
      <c r="AW44" s="67"/>
      <c r="AX44" s="67"/>
      <c r="AY44" s="67"/>
      <c r="AZ44" s="67"/>
      <c r="BA44" s="67"/>
      <c r="BB44" s="67"/>
      <c r="BC44" s="67"/>
      <c r="BD44" s="68"/>
    </row>
    <row r="45" spans="1:57" ht="14.4" customHeight="1">
      <c r="A45" s="70">
        <f>IF(B45="","",COUNTA($B$8:B45))</f>
        <v>38</v>
      </c>
      <c r="B45" s="19" t="s">
        <v>259</v>
      </c>
      <c r="C45" s="20"/>
      <c r="D45" s="20"/>
      <c r="E45" s="20"/>
      <c r="F45" s="20"/>
      <c r="G45" s="20"/>
      <c r="H45" s="24"/>
      <c r="I45" s="31" t="s">
        <v>260</v>
      </c>
      <c r="J45" s="23"/>
      <c r="K45" s="23"/>
      <c r="L45" s="23"/>
      <c r="M45" s="23"/>
      <c r="N45" s="23"/>
      <c r="O45" s="23"/>
      <c r="P45" s="23"/>
      <c r="Q45" s="37"/>
      <c r="R45" s="19" t="s">
        <v>259</v>
      </c>
      <c r="S45" s="23"/>
      <c r="T45" s="23"/>
      <c r="U45" s="23"/>
      <c r="V45" s="23"/>
      <c r="W45" s="23"/>
      <c r="X45" s="24"/>
      <c r="Y45" s="440" t="s">
        <v>150</v>
      </c>
      <c r="Z45" s="441"/>
      <c r="AA45" s="442" t="s">
        <v>151</v>
      </c>
      <c r="AB45" s="443"/>
      <c r="AC45" s="444"/>
      <c r="AD45" s="27">
        <v>10</v>
      </c>
      <c r="AE45" s="29"/>
      <c r="AF45" s="29"/>
      <c r="AG45" s="29"/>
      <c r="AH45" s="40"/>
      <c r="AI45" s="40"/>
      <c r="AJ45" s="28"/>
      <c r="AK45" s="28"/>
      <c r="AL45" s="28"/>
      <c r="AM45" s="28"/>
      <c r="AN45" s="28"/>
      <c r="AO45" s="29"/>
      <c r="AP45" s="29"/>
      <c r="AQ45" s="29"/>
      <c r="AR45" s="29"/>
      <c r="AS45" s="31"/>
      <c r="AT45" s="67"/>
      <c r="AU45" s="67"/>
      <c r="AV45" s="67"/>
      <c r="AW45" s="67"/>
      <c r="AX45" s="67"/>
      <c r="AY45" s="67"/>
      <c r="AZ45" s="67"/>
      <c r="BA45" s="67"/>
      <c r="BB45" s="67"/>
      <c r="BC45" s="67"/>
      <c r="BD45" s="68"/>
    </row>
    <row r="46" spans="1:57" ht="14.4" customHeight="1">
      <c r="A46" s="70">
        <f>IF(B46="","",COUNTA($B$8:B46))</f>
        <v>39</v>
      </c>
      <c r="B46" s="19" t="s">
        <v>261</v>
      </c>
      <c r="C46" s="20"/>
      <c r="D46" s="20"/>
      <c r="E46" s="20"/>
      <c r="F46" s="20"/>
      <c r="G46" s="20"/>
      <c r="H46" s="24"/>
      <c r="I46" s="31" t="s">
        <v>262</v>
      </c>
      <c r="J46" s="23"/>
      <c r="K46" s="23"/>
      <c r="L46" s="23"/>
      <c r="M46" s="23"/>
      <c r="N46" s="23"/>
      <c r="O46" s="23"/>
      <c r="P46" s="23"/>
      <c r="Q46" s="37"/>
      <c r="R46" s="19" t="s">
        <v>261</v>
      </c>
      <c r="S46" s="23"/>
      <c r="T46" s="23"/>
      <c r="U46" s="23"/>
      <c r="V46" s="23"/>
      <c r="W46" s="23"/>
      <c r="X46" s="24"/>
      <c r="Y46" s="440" t="s">
        <v>150</v>
      </c>
      <c r="Z46" s="441"/>
      <c r="AA46" s="442" t="s">
        <v>151</v>
      </c>
      <c r="AB46" s="443"/>
      <c r="AC46" s="444"/>
      <c r="AD46" s="30">
        <v>10</v>
      </c>
      <c r="AE46" s="29"/>
      <c r="AF46" s="29"/>
      <c r="AG46" s="29"/>
      <c r="AH46" s="28"/>
      <c r="AI46" s="28"/>
      <c r="AJ46" s="28"/>
      <c r="AK46" s="28"/>
      <c r="AL46" s="40"/>
      <c r="AM46" s="40"/>
      <c r="AN46" s="40"/>
      <c r="AO46" s="41"/>
      <c r="AP46" s="41"/>
      <c r="AQ46" s="41"/>
      <c r="AR46" s="41"/>
      <c r="AS46" s="42"/>
      <c r="AT46" s="43"/>
      <c r="AU46" s="67"/>
      <c r="AV46" s="67"/>
      <c r="AW46" s="67"/>
      <c r="AX46" s="67"/>
      <c r="AY46" s="67"/>
      <c r="AZ46" s="67"/>
      <c r="BA46" s="67"/>
      <c r="BB46" s="67"/>
      <c r="BC46" s="67"/>
      <c r="BD46" s="68"/>
    </row>
    <row r="47" spans="1:57" ht="14.4" customHeight="1">
      <c r="A47" s="70">
        <f>IF(B47="","",COUNTA($B$8:B47))</f>
        <v>40</v>
      </c>
      <c r="B47" s="19" t="s">
        <v>263</v>
      </c>
      <c r="C47" s="20"/>
      <c r="D47" s="20"/>
      <c r="E47" s="20"/>
      <c r="F47" s="20"/>
      <c r="G47" s="20"/>
      <c r="H47" s="24"/>
      <c r="I47" s="31" t="s">
        <v>264</v>
      </c>
      <c r="J47" s="23"/>
      <c r="K47" s="23"/>
      <c r="L47" s="23"/>
      <c r="M47" s="23"/>
      <c r="N47" s="23"/>
      <c r="O47" s="23"/>
      <c r="P47" s="23"/>
      <c r="Q47" s="37"/>
      <c r="R47" s="22" t="s">
        <v>263</v>
      </c>
      <c r="S47" s="23"/>
      <c r="T47" s="23"/>
      <c r="U47" s="23"/>
      <c r="V47" s="23"/>
      <c r="W47" s="23"/>
      <c r="X47" s="24"/>
      <c r="Y47" s="440" t="s">
        <v>169</v>
      </c>
      <c r="Z47" s="441"/>
      <c r="AA47" s="442" t="s">
        <v>243</v>
      </c>
      <c r="AB47" s="443"/>
      <c r="AC47" s="444"/>
      <c r="AD47" s="30"/>
      <c r="AE47" s="29"/>
      <c r="AF47" s="29"/>
      <c r="AG47" s="29"/>
      <c r="AH47" s="40"/>
      <c r="AI47" s="40"/>
      <c r="AJ47" s="40"/>
      <c r="AK47" s="40"/>
      <c r="AL47" s="40"/>
      <c r="AM47" s="40"/>
      <c r="AN47" s="40"/>
      <c r="AO47" s="41"/>
      <c r="AP47" s="41"/>
      <c r="AQ47" s="41"/>
      <c r="AR47" s="41"/>
      <c r="AS47" s="42"/>
      <c r="AT47" s="43"/>
      <c r="AU47" s="67"/>
      <c r="AV47" s="67"/>
      <c r="AW47" s="67"/>
      <c r="AX47" s="67"/>
      <c r="AY47" s="67"/>
      <c r="AZ47" s="67"/>
      <c r="BA47" s="67"/>
      <c r="BB47" s="67"/>
      <c r="BC47" s="67"/>
      <c r="BD47" s="68"/>
    </row>
    <row r="48" spans="1:57" ht="14.4" customHeight="1">
      <c r="A48" s="70" t="str">
        <f>IF(B48="","",COUNTA($B$8:B48))</f>
        <v/>
      </c>
      <c r="B48" s="217"/>
      <c r="C48" s="20"/>
      <c r="D48" s="20"/>
      <c r="E48" s="20"/>
      <c r="F48" s="20"/>
      <c r="G48" s="20"/>
      <c r="H48" s="24"/>
      <c r="I48" s="31"/>
      <c r="J48" s="23"/>
      <c r="K48" s="23"/>
      <c r="L48" s="23"/>
      <c r="M48" s="23"/>
      <c r="N48" s="23"/>
      <c r="O48" s="23"/>
      <c r="P48" s="23"/>
      <c r="Q48" s="37"/>
      <c r="R48" s="22"/>
      <c r="S48" s="23"/>
      <c r="T48" s="23"/>
      <c r="U48" s="23"/>
      <c r="V48" s="23"/>
      <c r="W48" s="23"/>
      <c r="X48" s="24"/>
      <c r="Y48" s="440"/>
      <c r="Z48" s="441"/>
      <c r="AA48" s="442"/>
      <c r="AB48" s="443"/>
      <c r="AC48" s="444"/>
      <c r="AD48" s="30"/>
      <c r="AE48" s="29"/>
      <c r="AF48" s="29"/>
      <c r="AG48" s="29"/>
      <c r="AH48" s="40"/>
      <c r="AI48" s="40"/>
      <c r="AJ48" s="40"/>
      <c r="AK48" s="40"/>
      <c r="AL48" s="40"/>
      <c r="AM48" s="40"/>
      <c r="AN48" s="40"/>
      <c r="AO48" s="41"/>
      <c r="AP48" s="41"/>
      <c r="AQ48" s="41"/>
      <c r="AR48" s="41"/>
      <c r="AS48" s="42"/>
      <c r="AT48" s="43"/>
      <c r="AU48" s="67"/>
      <c r="AV48" s="67"/>
      <c r="AW48" s="67"/>
      <c r="AX48" s="67"/>
      <c r="AY48" s="67"/>
      <c r="AZ48" s="67"/>
      <c r="BA48" s="67"/>
      <c r="BB48" s="67"/>
      <c r="BC48" s="67"/>
      <c r="BD48" s="68"/>
    </row>
    <row r="49" spans="1:56" ht="14.4" customHeight="1">
      <c r="A49" s="70" t="str">
        <f>IF(B49="","",COUNTA($B$8:B49))</f>
        <v/>
      </c>
      <c r="B49" s="217"/>
      <c r="C49" s="20"/>
      <c r="D49" s="20"/>
      <c r="E49" s="20"/>
      <c r="F49" s="20"/>
      <c r="G49" s="20"/>
      <c r="H49" s="24"/>
      <c r="I49" s="31"/>
      <c r="J49" s="23"/>
      <c r="K49" s="23"/>
      <c r="L49" s="23"/>
      <c r="M49" s="23"/>
      <c r="N49" s="23"/>
      <c r="O49" s="23"/>
      <c r="P49" s="23"/>
      <c r="Q49" s="37"/>
      <c r="R49" s="22"/>
      <c r="S49" s="23"/>
      <c r="T49" s="23"/>
      <c r="U49" s="23"/>
      <c r="V49" s="23"/>
      <c r="W49" s="23"/>
      <c r="X49" s="24"/>
      <c r="Y49" s="440"/>
      <c r="Z49" s="441"/>
      <c r="AA49" s="442"/>
      <c r="AB49" s="443"/>
      <c r="AC49" s="444"/>
      <c r="AD49" s="30"/>
      <c r="AE49" s="29"/>
      <c r="AF49" s="29"/>
      <c r="AG49" s="29"/>
      <c r="AH49" s="40"/>
      <c r="AI49" s="40"/>
      <c r="AJ49" s="40"/>
      <c r="AK49" s="40"/>
      <c r="AL49" s="40"/>
      <c r="AM49" s="40"/>
      <c r="AN49" s="40"/>
      <c r="AO49" s="41"/>
      <c r="AP49" s="41"/>
      <c r="AQ49" s="41"/>
      <c r="AR49" s="41"/>
      <c r="AS49" s="42"/>
      <c r="AT49" s="43"/>
      <c r="AU49" s="67"/>
      <c r="AV49" s="67"/>
      <c r="AW49" s="67"/>
      <c r="AX49" s="67"/>
      <c r="AY49" s="67"/>
      <c r="AZ49" s="67"/>
      <c r="BA49" s="67"/>
      <c r="BB49" s="67"/>
      <c r="BC49" s="67"/>
      <c r="BD49" s="68"/>
    </row>
    <row r="50" spans="1:56" ht="14.4" customHeight="1">
      <c r="A50" s="70" t="str">
        <f>IF(B50="","",COUNTA($B$8:B50))</f>
        <v/>
      </c>
      <c r="B50" s="217"/>
      <c r="C50" s="20"/>
      <c r="D50" s="20"/>
      <c r="E50" s="20"/>
      <c r="F50" s="20"/>
      <c r="G50" s="20"/>
      <c r="H50" s="24"/>
      <c r="I50" s="31"/>
      <c r="J50" s="23"/>
      <c r="K50" s="23"/>
      <c r="L50" s="23"/>
      <c r="M50" s="23"/>
      <c r="N50" s="23"/>
      <c r="O50" s="23"/>
      <c r="P50" s="23"/>
      <c r="Q50" s="37"/>
      <c r="R50" s="22"/>
      <c r="S50" s="23"/>
      <c r="T50" s="23"/>
      <c r="U50" s="23"/>
      <c r="V50" s="23"/>
      <c r="W50" s="23"/>
      <c r="X50" s="24"/>
      <c r="Y50" s="440"/>
      <c r="Z50" s="441"/>
      <c r="AA50" s="442"/>
      <c r="AB50" s="443"/>
      <c r="AC50" s="444"/>
      <c r="AD50" s="30"/>
      <c r="AE50" s="29"/>
      <c r="AF50" s="29"/>
      <c r="AG50" s="29"/>
      <c r="AH50" s="40"/>
      <c r="AI50" s="40"/>
      <c r="AJ50" s="40"/>
      <c r="AK50" s="40"/>
      <c r="AL50" s="40"/>
      <c r="AM50" s="40"/>
      <c r="AN50" s="40"/>
      <c r="AO50" s="41"/>
      <c r="AP50" s="41"/>
      <c r="AQ50" s="41"/>
      <c r="AR50" s="41"/>
      <c r="AS50" s="42"/>
      <c r="AT50" s="43"/>
      <c r="AU50" s="67"/>
      <c r="AV50" s="67"/>
      <c r="AW50" s="67"/>
      <c r="AX50" s="67"/>
      <c r="AY50" s="67"/>
      <c r="AZ50" s="67"/>
      <c r="BA50" s="67"/>
      <c r="BB50" s="67"/>
      <c r="BC50" s="67"/>
      <c r="BD50" s="68"/>
    </row>
    <row r="51" spans="1:56" ht="14.4" customHeight="1">
      <c r="A51" s="70" t="str">
        <f>IF(B51="","",COUNTA($B$8:B51))</f>
        <v/>
      </c>
      <c r="B51" s="217"/>
      <c r="C51" s="20"/>
      <c r="D51" s="20"/>
      <c r="E51" s="20"/>
      <c r="F51" s="20"/>
      <c r="G51" s="20"/>
      <c r="H51" s="24"/>
      <c r="I51" s="31"/>
      <c r="J51" s="23"/>
      <c r="K51" s="23"/>
      <c r="L51" s="23"/>
      <c r="M51" s="23"/>
      <c r="N51" s="23"/>
      <c r="O51" s="23"/>
      <c r="P51" s="23"/>
      <c r="Q51" s="37"/>
      <c r="R51" s="22"/>
      <c r="S51" s="23"/>
      <c r="T51" s="23"/>
      <c r="U51" s="23"/>
      <c r="V51" s="23"/>
      <c r="W51" s="23"/>
      <c r="X51" s="24"/>
      <c r="Y51" s="440"/>
      <c r="Z51" s="441"/>
      <c r="AA51" s="442"/>
      <c r="AB51" s="443"/>
      <c r="AC51" s="444"/>
      <c r="AD51" s="30"/>
      <c r="AE51" s="29"/>
      <c r="AF51" s="29"/>
      <c r="AG51" s="29"/>
      <c r="AH51" s="40"/>
      <c r="AI51" s="40"/>
      <c r="AJ51" s="40"/>
      <c r="AK51" s="40"/>
      <c r="AL51" s="40"/>
      <c r="AM51" s="40"/>
      <c r="AN51" s="40"/>
      <c r="AO51" s="41"/>
      <c r="AP51" s="41"/>
      <c r="AQ51" s="41"/>
      <c r="AR51" s="41"/>
      <c r="AS51" s="42"/>
      <c r="AT51" s="43"/>
      <c r="AU51" s="67"/>
      <c r="AV51" s="67"/>
      <c r="AW51" s="67"/>
      <c r="AX51" s="67"/>
      <c r="AY51" s="67"/>
      <c r="AZ51" s="67"/>
      <c r="BA51" s="67"/>
      <c r="BB51" s="67"/>
      <c r="BC51" s="67"/>
      <c r="BD51" s="68"/>
    </row>
    <row r="52" spans="1:56" ht="14.4" customHeight="1">
      <c r="A52" s="70" t="str">
        <f>IF(B52="","",COUNTA($B$8:B52))</f>
        <v/>
      </c>
      <c r="B52" s="217"/>
      <c r="C52" s="20"/>
      <c r="D52" s="20"/>
      <c r="E52" s="20"/>
      <c r="F52" s="20"/>
      <c r="G52" s="20"/>
      <c r="H52" s="24"/>
      <c r="I52" s="31"/>
      <c r="J52" s="23"/>
      <c r="K52" s="23"/>
      <c r="L52" s="23"/>
      <c r="M52" s="23"/>
      <c r="N52" s="23"/>
      <c r="O52" s="23"/>
      <c r="P52" s="23"/>
      <c r="Q52" s="37"/>
      <c r="R52" s="22"/>
      <c r="S52" s="23"/>
      <c r="T52" s="23"/>
      <c r="U52" s="23"/>
      <c r="V52" s="23"/>
      <c r="W52" s="23"/>
      <c r="X52" s="24"/>
      <c r="Y52" s="440"/>
      <c r="Z52" s="441"/>
      <c r="AA52" s="442"/>
      <c r="AB52" s="443"/>
      <c r="AC52" s="444"/>
      <c r="AD52" s="30"/>
      <c r="AE52" s="29"/>
      <c r="AF52" s="29"/>
      <c r="AG52" s="29"/>
      <c r="AH52" s="40"/>
      <c r="AI52" s="40"/>
      <c r="AJ52" s="40"/>
      <c r="AK52" s="40"/>
      <c r="AL52" s="40"/>
      <c r="AM52" s="40"/>
      <c r="AN52" s="40"/>
      <c r="AO52" s="41"/>
      <c r="AP52" s="41"/>
      <c r="AQ52" s="41"/>
      <c r="AR52" s="41"/>
      <c r="AS52" s="42"/>
      <c r="AT52" s="43"/>
      <c r="AU52" s="67"/>
      <c r="AV52" s="67"/>
      <c r="AW52" s="67"/>
      <c r="AX52" s="67"/>
      <c r="AY52" s="67"/>
      <c r="AZ52" s="67"/>
      <c r="BA52" s="67"/>
      <c r="BB52" s="67"/>
      <c r="BC52" s="67"/>
      <c r="BD52" s="68"/>
    </row>
    <row r="53" spans="1:56" ht="14.4" customHeight="1">
      <c r="A53" s="70" t="str">
        <f>IF(B53="","",COUNTA($B$8:B53))</f>
        <v/>
      </c>
      <c r="B53" s="217"/>
      <c r="C53" s="20"/>
      <c r="D53" s="20"/>
      <c r="E53" s="20"/>
      <c r="F53" s="20"/>
      <c r="G53" s="20"/>
      <c r="H53" s="24"/>
      <c r="I53" s="31"/>
      <c r="J53" s="23"/>
      <c r="K53" s="23"/>
      <c r="L53" s="23"/>
      <c r="M53" s="23"/>
      <c r="N53" s="23"/>
      <c r="O53" s="23"/>
      <c r="P53" s="23"/>
      <c r="Q53" s="37"/>
      <c r="R53" s="22"/>
      <c r="S53" s="23"/>
      <c r="T53" s="23"/>
      <c r="U53" s="23"/>
      <c r="V53" s="23"/>
      <c r="W53" s="23"/>
      <c r="X53" s="24"/>
      <c r="Y53" s="440"/>
      <c r="Z53" s="441"/>
      <c r="AA53" s="442"/>
      <c r="AB53" s="443"/>
      <c r="AC53" s="444"/>
      <c r="AD53" s="30"/>
      <c r="AE53" s="29"/>
      <c r="AF53" s="29"/>
      <c r="AG53" s="29"/>
      <c r="AH53" s="40"/>
      <c r="AI53" s="40"/>
      <c r="AJ53" s="40"/>
      <c r="AK53" s="40"/>
      <c r="AL53" s="40"/>
      <c r="AM53" s="40"/>
      <c r="AN53" s="40"/>
      <c r="AO53" s="41"/>
      <c r="AP53" s="41"/>
      <c r="AQ53" s="41"/>
      <c r="AR53" s="41"/>
      <c r="AS53" s="42"/>
      <c r="AT53" s="43"/>
      <c r="AU53" s="67"/>
      <c r="AV53" s="67"/>
      <c r="AW53" s="67"/>
      <c r="AX53" s="67"/>
      <c r="AY53" s="67"/>
      <c r="AZ53" s="67"/>
      <c r="BA53" s="67"/>
      <c r="BB53" s="67"/>
      <c r="BC53" s="67"/>
      <c r="BD53" s="68"/>
    </row>
    <row r="54" spans="1:56" ht="14.4" customHeight="1">
      <c r="A54" s="70" t="str">
        <f>IF(B54="","",COUNTA($B$8:B54))</f>
        <v/>
      </c>
      <c r="B54" s="217"/>
      <c r="C54" s="20"/>
      <c r="D54" s="20"/>
      <c r="E54" s="20"/>
      <c r="F54" s="20"/>
      <c r="G54" s="20"/>
      <c r="H54" s="24"/>
      <c r="I54" s="31"/>
      <c r="J54" s="23"/>
      <c r="K54" s="23"/>
      <c r="L54" s="23"/>
      <c r="M54" s="23"/>
      <c r="N54" s="23"/>
      <c r="O54" s="23"/>
      <c r="P54" s="23"/>
      <c r="Q54" s="37"/>
      <c r="R54" s="22"/>
      <c r="S54" s="23"/>
      <c r="T54" s="23"/>
      <c r="U54" s="23"/>
      <c r="V54" s="23"/>
      <c r="W54" s="23"/>
      <c r="X54" s="24"/>
      <c r="Y54" s="440"/>
      <c r="Z54" s="441"/>
      <c r="AA54" s="442"/>
      <c r="AB54" s="443"/>
      <c r="AC54" s="444"/>
      <c r="AD54" s="30"/>
      <c r="AE54" s="29"/>
      <c r="AF54" s="29"/>
      <c r="AG54" s="29"/>
      <c r="AH54" s="40"/>
      <c r="AI54" s="40"/>
      <c r="AJ54" s="40"/>
      <c r="AK54" s="40"/>
      <c r="AL54" s="40"/>
      <c r="AM54" s="40"/>
      <c r="AN54" s="40"/>
      <c r="AO54" s="41"/>
      <c r="AP54" s="41"/>
      <c r="AQ54" s="41"/>
      <c r="AR54" s="41"/>
      <c r="AS54" s="42"/>
      <c r="AT54" s="43"/>
      <c r="AU54" s="67"/>
      <c r="AV54" s="67"/>
      <c r="AW54" s="67"/>
      <c r="AX54" s="67"/>
      <c r="AY54" s="67"/>
      <c r="AZ54" s="67"/>
      <c r="BA54" s="67"/>
      <c r="BB54" s="67"/>
      <c r="BC54" s="67"/>
      <c r="BD54" s="68"/>
    </row>
    <row r="55" spans="1:56" ht="14.4" customHeight="1">
      <c r="A55" s="70" t="str">
        <f>IF(B55="","",COUNTA($B$8:B55))</f>
        <v/>
      </c>
      <c r="B55" s="217"/>
      <c r="C55" s="20"/>
      <c r="D55" s="20"/>
      <c r="E55" s="20"/>
      <c r="F55" s="20"/>
      <c r="G55" s="20"/>
      <c r="H55" s="24"/>
      <c r="I55" s="31"/>
      <c r="J55" s="23"/>
      <c r="K55" s="23"/>
      <c r="L55" s="23"/>
      <c r="M55" s="23"/>
      <c r="N55" s="23"/>
      <c r="O55" s="23"/>
      <c r="P55" s="23"/>
      <c r="Q55" s="37"/>
      <c r="R55" s="22"/>
      <c r="S55" s="23"/>
      <c r="T55" s="23"/>
      <c r="U55" s="23"/>
      <c r="V55" s="23"/>
      <c r="W55" s="23"/>
      <c r="X55" s="24"/>
      <c r="Y55" s="440"/>
      <c r="Z55" s="441"/>
      <c r="AA55" s="442"/>
      <c r="AB55" s="443"/>
      <c r="AC55" s="444"/>
      <c r="AD55" s="30"/>
      <c r="AE55" s="29"/>
      <c r="AF55" s="29"/>
      <c r="AG55" s="29"/>
      <c r="AH55" s="40"/>
      <c r="AI55" s="40"/>
      <c r="AJ55" s="40"/>
      <c r="AK55" s="40"/>
      <c r="AL55" s="40"/>
      <c r="AM55" s="40"/>
      <c r="AN55" s="40"/>
      <c r="AO55" s="41"/>
      <c r="AP55" s="41"/>
      <c r="AQ55" s="41"/>
      <c r="AR55" s="41"/>
      <c r="AS55" s="42"/>
      <c r="AT55" s="43"/>
      <c r="AU55" s="67"/>
      <c r="AV55" s="67"/>
      <c r="AW55" s="67"/>
      <c r="AX55" s="67"/>
      <c r="AY55" s="67"/>
      <c r="AZ55" s="67"/>
      <c r="BA55" s="67"/>
      <c r="BB55" s="67"/>
      <c r="BC55" s="67"/>
      <c r="BD55" s="68"/>
    </row>
    <row r="56" spans="1:56" ht="14.4" customHeight="1">
      <c r="A56" s="70" t="str">
        <f>IF(B56="","",COUNTA($B$8:B56))</f>
        <v/>
      </c>
      <c r="B56" s="217"/>
      <c r="C56" s="20"/>
      <c r="D56" s="20"/>
      <c r="E56" s="20"/>
      <c r="F56" s="20"/>
      <c r="G56" s="20"/>
      <c r="H56" s="24"/>
      <c r="I56" s="31"/>
      <c r="J56" s="23"/>
      <c r="K56" s="23"/>
      <c r="L56" s="23"/>
      <c r="M56" s="23"/>
      <c r="N56" s="23"/>
      <c r="O56" s="23"/>
      <c r="P56" s="23"/>
      <c r="Q56" s="37"/>
      <c r="R56" s="22"/>
      <c r="S56" s="23"/>
      <c r="T56" s="23"/>
      <c r="U56" s="23"/>
      <c r="V56" s="23"/>
      <c r="W56" s="23"/>
      <c r="X56" s="24"/>
      <c r="Y56" s="440"/>
      <c r="Z56" s="441"/>
      <c r="AA56" s="442"/>
      <c r="AB56" s="443"/>
      <c r="AC56" s="444"/>
      <c r="AD56" s="30"/>
      <c r="AE56" s="29"/>
      <c r="AF56" s="29"/>
      <c r="AG56" s="29"/>
      <c r="AH56" s="40"/>
      <c r="AI56" s="40"/>
      <c r="AJ56" s="40"/>
      <c r="AK56" s="40"/>
      <c r="AL56" s="40"/>
      <c r="AM56" s="40"/>
      <c r="AN56" s="40"/>
      <c r="AO56" s="41"/>
      <c r="AP56" s="41"/>
      <c r="AQ56" s="41"/>
      <c r="AR56" s="41"/>
      <c r="AS56" s="42"/>
      <c r="AT56" s="43"/>
      <c r="AU56" s="67"/>
      <c r="AV56" s="67"/>
      <c r="AW56" s="67"/>
      <c r="AX56" s="67"/>
      <c r="AY56" s="67"/>
      <c r="AZ56" s="67"/>
      <c r="BA56" s="67"/>
      <c r="BB56" s="67"/>
      <c r="BC56" s="67"/>
      <c r="BD56" s="68"/>
    </row>
    <row r="57" spans="1:56" ht="14.4" customHeight="1">
      <c r="A57" s="70" t="str">
        <f>IF(B57="","",COUNTA($B$8:B57))</f>
        <v/>
      </c>
      <c r="B57" s="217"/>
      <c r="C57" s="20"/>
      <c r="D57" s="20"/>
      <c r="E57" s="20"/>
      <c r="F57" s="20"/>
      <c r="G57" s="20"/>
      <c r="H57" s="24"/>
      <c r="I57" s="31"/>
      <c r="J57" s="23"/>
      <c r="K57" s="23"/>
      <c r="L57" s="23"/>
      <c r="M57" s="23"/>
      <c r="N57" s="23"/>
      <c r="O57" s="23"/>
      <c r="P57" s="23"/>
      <c r="Q57" s="37"/>
      <c r="R57" s="22"/>
      <c r="S57" s="23"/>
      <c r="T57" s="23"/>
      <c r="U57" s="23"/>
      <c r="V57" s="23"/>
      <c r="W57" s="23"/>
      <c r="X57" s="24"/>
      <c r="Y57" s="440"/>
      <c r="Z57" s="441"/>
      <c r="AA57" s="442"/>
      <c r="AB57" s="443"/>
      <c r="AC57" s="444"/>
      <c r="AD57" s="30"/>
      <c r="AE57" s="29"/>
      <c r="AF57" s="29"/>
      <c r="AG57" s="29"/>
      <c r="AH57" s="40"/>
      <c r="AI57" s="40"/>
      <c r="AJ57" s="40"/>
      <c r="AK57" s="40"/>
      <c r="AL57" s="40"/>
      <c r="AM57" s="40"/>
      <c r="AN57" s="40"/>
      <c r="AO57" s="41"/>
      <c r="AP57" s="41"/>
      <c r="AQ57" s="41"/>
      <c r="AR57" s="41"/>
      <c r="AS57" s="42"/>
      <c r="AT57" s="43"/>
      <c r="AU57" s="67"/>
      <c r="AV57" s="67"/>
      <c r="AW57" s="67"/>
      <c r="AX57" s="67"/>
      <c r="AY57" s="67"/>
      <c r="AZ57" s="67"/>
      <c r="BA57" s="67"/>
      <c r="BB57" s="67"/>
      <c r="BC57" s="67"/>
      <c r="BD57" s="68"/>
    </row>
    <row r="58" spans="1:56" ht="14.4" customHeight="1">
      <c r="A58" s="70" t="str">
        <f>IF(B58="","",COUNTA($B$8:B58))</f>
        <v/>
      </c>
      <c r="B58" s="217"/>
      <c r="C58" s="20"/>
      <c r="D58" s="20"/>
      <c r="E58" s="20"/>
      <c r="F58" s="20"/>
      <c r="G58" s="20"/>
      <c r="H58" s="24"/>
      <c r="I58" s="31"/>
      <c r="J58" s="23"/>
      <c r="K58" s="23"/>
      <c r="L58" s="23"/>
      <c r="M58" s="23"/>
      <c r="N58" s="23"/>
      <c r="O58" s="23"/>
      <c r="P58" s="23"/>
      <c r="Q58" s="37"/>
      <c r="R58" s="22"/>
      <c r="S58" s="23"/>
      <c r="T58" s="23"/>
      <c r="U58" s="23"/>
      <c r="V58" s="23"/>
      <c r="W58" s="23"/>
      <c r="X58" s="24"/>
      <c r="Y58" s="440"/>
      <c r="Z58" s="441"/>
      <c r="AA58" s="442"/>
      <c r="AB58" s="443"/>
      <c r="AC58" s="444"/>
      <c r="AD58" s="30"/>
      <c r="AE58" s="29"/>
      <c r="AF58" s="29"/>
      <c r="AG58" s="29"/>
      <c r="AH58" s="40"/>
      <c r="AI58" s="40"/>
      <c r="AJ58" s="40"/>
      <c r="AK58" s="40"/>
      <c r="AL58" s="40"/>
      <c r="AM58" s="40"/>
      <c r="AN58" s="40"/>
      <c r="AO58" s="41"/>
      <c r="AP58" s="41"/>
      <c r="AQ58" s="41"/>
      <c r="AR58" s="41"/>
      <c r="AS58" s="42"/>
      <c r="AT58" s="43"/>
      <c r="AU58" s="67"/>
      <c r="AV58" s="67"/>
      <c r="AW58" s="67"/>
      <c r="AX58" s="67"/>
      <c r="AY58" s="67"/>
      <c r="AZ58" s="67"/>
      <c r="BA58" s="67"/>
      <c r="BB58" s="67"/>
      <c r="BC58" s="67"/>
      <c r="BD58" s="68"/>
    </row>
    <row r="59" spans="1:56" ht="14.4" customHeight="1">
      <c r="A59" s="70" t="str">
        <f>IF(B59="","",COUNTA($B$8:B59))</f>
        <v/>
      </c>
      <c r="B59" s="217"/>
      <c r="C59" s="20"/>
      <c r="D59" s="20"/>
      <c r="E59" s="20"/>
      <c r="F59" s="20"/>
      <c r="G59" s="20"/>
      <c r="H59" s="24"/>
      <c r="I59" s="31"/>
      <c r="J59" s="23"/>
      <c r="K59" s="23"/>
      <c r="L59" s="23"/>
      <c r="M59" s="23"/>
      <c r="N59" s="23"/>
      <c r="O59" s="23"/>
      <c r="P59" s="23"/>
      <c r="Q59" s="37"/>
      <c r="R59" s="22"/>
      <c r="S59" s="23"/>
      <c r="T59" s="23"/>
      <c r="U59" s="23"/>
      <c r="V59" s="23"/>
      <c r="W59" s="23"/>
      <c r="X59" s="24"/>
      <c r="Y59" s="440"/>
      <c r="Z59" s="441"/>
      <c r="AA59" s="442"/>
      <c r="AB59" s="443"/>
      <c r="AC59" s="444"/>
      <c r="AD59" s="30"/>
      <c r="AE59" s="29"/>
      <c r="AF59" s="29"/>
      <c r="AG59" s="29"/>
      <c r="AH59" s="40"/>
      <c r="AI59" s="40"/>
      <c r="AJ59" s="40"/>
      <c r="AK59" s="40"/>
      <c r="AL59" s="40"/>
      <c r="AM59" s="40"/>
      <c r="AN59" s="40"/>
      <c r="AO59" s="41"/>
      <c r="AP59" s="41"/>
      <c r="AQ59" s="41"/>
      <c r="AR59" s="41"/>
      <c r="AS59" s="42"/>
      <c r="AT59" s="43"/>
      <c r="AU59" s="67"/>
      <c r="AV59" s="67"/>
      <c r="AW59" s="67"/>
      <c r="AX59" s="67"/>
      <c r="AY59" s="67"/>
      <c r="AZ59" s="67"/>
      <c r="BA59" s="67"/>
      <c r="BB59" s="67"/>
      <c r="BC59" s="67"/>
      <c r="BD59" s="68"/>
    </row>
    <row r="60" spans="1:56" ht="14.4" customHeight="1">
      <c r="A60" s="70" t="str">
        <f>IF(B60="","",COUNTA($B$8:B60))</f>
        <v/>
      </c>
      <c r="B60" s="217"/>
      <c r="C60" s="20"/>
      <c r="D60" s="20"/>
      <c r="E60" s="20"/>
      <c r="F60" s="20"/>
      <c r="G60" s="20"/>
      <c r="H60" s="24"/>
      <c r="I60" s="31"/>
      <c r="J60" s="23"/>
      <c r="K60" s="23"/>
      <c r="L60" s="23"/>
      <c r="M60" s="23"/>
      <c r="N60" s="23"/>
      <c r="O60" s="23"/>
      <c r="P60" s="23"/>
      <c r="Q60" s="37"/>
      <c r="R60" s="22"/>
      <c r="S60" s="23"/>
      <c r="T60" s="23"/>
      <c r="U60" s="23"/>
      <c r="V60" s="23"/>
      <c r="W60" s="23"/>
      <c r="X60" s="24"/>
      <c r="Y60" s="440"/>
      <c r="Z60" s="441"/>
      <c r="AA60" s="442"/>
      <c r="AB60" s="443"/>
      <c r="AC60" s="444"/>
      <c r="AD60" s="30"/>
      <c r="AE60" s="29"/>
      <c r="AF60" s="29"/>
      <c r="AG60" s="29"/>
      <c r="AH60" s="40"/>
      <c r="AI60" s="40"/>
      <c r="AJ60" s="40"/>
      <c r="AK60" s="40"/>
      <c r="AL60" s="40"/>
      <c r="AM60" s="40"/>
      <c r="AN60" s="40"/>
      <c r="AO60" s="41"/>
      <c r="AP60" s="41"/>
      <c r="AQ60" s="41"/>
      <c r="AR60" s="41"/>
      <c r="AS60" s="42"/>
      <c r="AT60" s="43"/>
      <c r="AU60" s="67"/>
      <c r="AV60" s="67"/>
      <c r="AW60" s="67"/>
      <c r="AX60" s="67"/>
      <c r="AY60" s="67"/>
      <c r="AZ60" s="67"/>
      <c r="BA60" s="67"/>
      <c r="BB60" s="67"/>
      <c r="BC60" s="67"/>
      <c r="BD60" s="68"/>
    </row>
    <row r="61" spans="1:56" ht="14.4" customHeight="1">
      <c r="A61" s="70" t="str">
        <f>IF(B61="","",COUNTA($B$8:B61))</f>
        <v/>
      </c>
      <c r="B61" s="217"/>
      <c r="C61" s="20"/>
      <c r="D61" s="20"/>
      <c r="E61" s="20"/>
      <c r="F61" s="20"/>
      <c r="G61" s="20"/>
      <c r="H61" s="24"/>
      <c r="I61" s="31"/>
      <c r="J61" s="23"/>
      <c r="K61" s="23"/>
      <c r="L61" s="23"/>
      <c r="M61" s="23"/>
      <c r="N61" s="23"/>
      <c r="O61" s="23"/>
      <c r="P61" s="23"/>
      <c r="Q61" s="37"/>
      <c r="R61" s="22"/>
      <c r="S61" s="23"/>
      <c r="T61" s="23"/>
      <c r="U61" s="23"/>
      <c r="V61" s="23"/>
      <c r="W61" s="23"/>
      <c r="X61" s="24"/>
      <c r="Y61" s="440"/>
      <c r="Z61" s="441"/>
      <c r="AA61" s="442"/>
      <c r="AB61" s="443"/>
      <c r="AC61" s="444"/>
      <c r="AD61" s="30"/>
      <c r="AE61" s="29"/>
      <c r="AF61" s="29"/>
      <c r="AG61" s="29"/>
      <c r="AH61" s="40"/>
      <c r="AI61" s="40"/>
      <c r="AJ61" s="40"/>
      <c r="AK61" s="40"/>
      <c r="AL61" s="40"/>
      <c r="AM61" s="40"/>
      <c r="AN61" s="40"/>
      <c r="AO61" s="41"/>
      <c r="AP61" s="41"/>
      <c r="AQ61" s="41"/>
      <c r="AR61" s="41"/>
      <c r="AS61" s="42"/>
      <c r="AT61" s="43"/>
      <c r="AU61" s="67"/>
      <c r="AV61" s="67"/>
      <c r="AW61" s="67"/>
      <c r="AX61" s="67"/>
      <c r="AY61" s="67"/>
      <c r="AZ61" s="67"/>
      <c r="BA61" s="67"/>
      <c r="BB61" s="67"/>
      <c r="BC61" s="67"/>
      <c r="BD61" s="68"/>
    </row>
    <row r="62" spans="1:56" ht="14.4" customHeight="1">
      <c r="A62" s="70" t="str">
        <f>IF(B62="","",COUNTA($B$8:B62))</f>
        <v/>
      </c>
      <c r="B62" s="217"/>
      <c r="C62" s="20"/>
      <c r="D62" s="20"/>
      <c r="E62" s="20"/>
      <c r="F62" s="20"/>
      <c r="G62" s="20"/>
      <c r="H62" s="24"/>
      <c r="I62" s="31"/>
      <c r="J62" s="23"/>
      <c r="K62" s="23"/>
      <c r="L62" s="23"/>
      <c r="M62" s="23"/>
      <c r="N62" s="23"/>
      <c r="O62" s="23"/>
      <c r="P62" s="23"/>
      <c r="Q62" s="37"/>
      <c r="R62" s="22"/>
      <c r="S62" s="23"/>
      <c r="T62" s="23"/>
      <c r="U62" s="23"/>
      <c r="V62" s="23"/>
      <c r="W62" s="23"/>
      <c r="X62" s="24"/>
      <c r="Y62" s="440"/>
      <c r="Z62" s="441"/>
      <c r="AA62" s="442"/>
      <c r="AB62" s="443"/>
      <c r="AC62" s="444"/>
      <c r="AD62" s="30"/>
      <c r="AE62" s="29"/>
      <c r="AF62" s="29"/>
      <c r="AG62" s="29"/>
      <c r="AH62" s="40"/>
      <c r="AI62" s="40"/>
      <c r="AJ62" s="40"/>
      <c r="AK62" s="40"/>
      <c r="AL62" s="40"/>
      <c r="AM62" s="40"/>
      <c r="AN62" s="40"/>
      <c r="AO62" s="41"/>
      <c r="AP62" s="41"/>
      <c r="AQ62" s="41"/>
      <c r="AR62" s="41"/>
      <c r="AS62" s="42"/>
      <c r="AT62" s="43"/>
      <c r="AU62" s="67"/>
      <c r="AV62" s="67"/>
      <c r="AW62" s="67"/>
      <c r="AX62" s="67"/>
      <c r="AY62" s="67"/>
      <c r="AZ62" s="67"/>
      <c r="BA62" s="67"/>
      <c r="BB62" s="67"/>
      <c r="BC62" s="67"/>
      <c r="BD62" s="68"/>
    </row>
    <row r="63" spans="1:56" ht="14.4" customHeight="1">
      <c r="A63" s="70" t="str">
        <f>IF(B63="","",COUNTA($B$8:B63))</f>
        <v/>
      </c>
      <c r="B63" s="217"/>
      <c r="C63" s="20"/>
      <c r="D63" s="20"/>
      <c r="E63" s="20"/>
      <c r="F63" s="20"/>
      <c r="G63" s="20"/>
      <c r="H63" s="24"/>
      <c r="I63" s="31"/>
      <c r="J63" s="23"/>
      <c r="K63" s="23"/>
      <c r="L63" s="23"/>
      <c r="M63" s="23"/>
      <c r="N63" s="23"/>
      <c r="O63" s="23"/>
      <c r="P63" s="23"/>
      <c r="Q63" s="37"/>
      <c r="R63" s="22"/>
      <c r="S63" s="23"/>
      <c r="T63" s="23"/>
      <c r="U63" s="23"/>
      <c r="V63" s="23"/>
      <c r="W63" s="23"/>
      <c r="X63" s="24"/>
      <c r="Y63" s="440"/>
      <c r="Z63" s="441"/>
      <c r="AA63" s="442"/>
      <c r="AB63" s="443"/>
      <c r="AC63" s="444"/>
      <c r="AD63" s="30"/>
      <c r="AE63" s="29"/>
      <c r="AF63" s="29"/>
      <c r="AG63" s="29"/>
      <c r="AH63" s="40"/>
      <c r="AI63" s="40"/>
      <c r="AJ63" s="40"/>
      <c r="AK63" s="40"/>
      <c r="AL63" s="40"/>
      <c r="AM63" s="40"/>
      <c r="AN63" s="40"/>
      <c r="AO63" s="41"/>
      <c r="AP63" s="41"/>
      <c r="AQ63" s="41"/>
      <c r="AR63" s="41"/>
      <c r="AS63" s="42"/>
      <c r="AT63" s="43"/>
      <c r="AU63" s="67"/>
      <c r="AV63" s="67"/>
      <c r="AW63" s="67"/>
      <c r="AX63" s="67"/>
      <c r="AY63" s="67"/>
      <c r="AZ63" s="67"/>
      <c r="BA63" s="67"/>
      <c r="BB63" s="67"/>
      <c r="BC63" s="67"/>
      <c r="BD63" s="68"/>
    </row>
    <row r="64" spans="1:56" ht="14.4" customHeight="1">
      <c r="A64" s="70" t="str">
        <f>IF(B64="","",COUNTA($B$8:B64))</f>
        <v/>
      </c>
      <c r="B64" s="217"/>
      <c r="C64" s="20"/>
      <c r="D64" s="20"/>
      <c r="E64" s="20"/>
      <c r="F64" s="20"/>
      <c r="G64" s="20"/>
      <c r="H64" s="24"/>
      <c r="I64" s="31"/>
      <c r="J64" s="23"/>
      <c r="K64" s="23"/>
      <c r="L64" s="23"/>
      <c r="M64" s="23"/>
      <c r="N64" s="23"/>
      <c r="O64" s="23"/>
      <c r="P64" s="23"/>
      <c r="Q64" s="37"/>
      <c r="R64" s="22"/>
      <c r="S64" s="23"/>
      <c r="T64" s="23"/>
      <c r="U64" s="23"/>
      <c r="V64" s="23"/>
      <c r="W64" s="23"/>
      <c r="X64" s="24"/>
      <c r="Y64" s="440"/>
      <c r="Z64" s="441"/>
      <c r="AA64" s="442"/>
      <c r="AB64" s="443"/>
      <c r="AC64" s="444"/>
      <c r="AD64" s="30"/>
      <c r="AE64" s="29"/>
      <c r="AF64" s="29"/>
      <c r="AG64" s="29"/>
      <c r="AH64" s="40"/>
      <c r="AI64" s="40"/>
      <c r="AJ64" s="40"/>
      <c r="AK64" s="40"/>
      <c r="AL64" s="40"/>
      <c r="AM64" s="40"/>
      <c r="AN64" s="40"/>
      <c r="AO64" s="41"/>
      <c r="AP64" s="41"/>
      <c r="AQ64" s="41"/>
      <c r="AR64" s="41"/>
      <c r="AS64" s="42"/>
      <c r="AT64" s="43"/>
      <c r="AU64" s="67"/>
      <c r="AV64" s="67"/>
      <c r="AW64" s="67"/>
      <c r="AX64" s="67"/>
      <c r="AY64" s="67"/>
      <c r="AZ64" s="67"/>
      <c r="BA64" s="67"/>
      <c r="BB64" s="67"/>
      <c r="BC64" s="67"/>
      <c r="BD64" s="68"/>
    </row>
    <row r="65" spans="1:56" ht="14.4" customHeight="1">
      <c r="A65" s="70" t="str">
        <f>IF(B65="","",COUNTA($B$8:B65))</f>
        <v/>
      </c>
      <c r="B65" s="217"/>
      <c r="C65" s="20"/>
      <c r="D65" s="20"/>
      <c r="E65" s="20"/>
      <c r="F65" s="20"/>
      <c r="G65" s="20"/>
      <c r="H65" s="24"/>
      <c r="I65" s="31"/>
      <c r="J65" s="23"/>
      <c r="K65" s="23"/>
      <c r="L65" s="23"/>
      <c r="M65" s="23"/>
      <c r="N65" s="23"/>
      <c r="O65" s="23"/>
      <c r="P65" s="23"/>
      <c r="Q65" s="37"/>
      <c r="R65" s="22"/>
      <c r="S65" s="23"/>
      <c r="T65" s="23"/>
      <c r="U65" s="23"/>
      <c r="V65" s="23"/>
      <c r="W65" s="23"/>
      <c r="X65" s="24"/>
      <c r="Y65" s="440"/>
      <c r="Z65" s="441"/>
      <c r="AA65" s="442"/>
      <c r="AB65" s="443"/>
      <c r="AC65" s="444"/>
      <c r="AD65" s="30"/>
      <c r="AE65" s="29"/>
      <c r="AF65" s="29"/>
      <c r="AG65" s="29"/>
      <c r="AH65" s="40"/>
      <c r="AI65" s="40"/>
      <c r="AJ65" s="40"/>
      <c r="AK65" s="40"/>
      <c r="AL65" s="40"/>
      <c r="AM65" s="40"/>
      <c r="AN65" s="40"/>
      <c r="AO65" s="41"/>
      <c r="AP65" s="41"/>
      <c r="AQ65" s="41"/>
      <c r="AR65" s="41"/>
      <c r="AS65" s="42"/>
      <c r="AT65" s="43"/>
      <c r="AU65" s="67"/>
      <c r="AV65" s="67"/>
      <c r="AW65" s="67"/>
      <c r="AX65" s="67"/>
      <c r="AY65" s="67"/>
      <c r="AZ65" s="67"/>
      <c r="BA65" s="67"/>
      <c r="BB65" s="67"/>
      <c r="BC65" s="67"/>
      <c r="BD65" s="68"/>
    </row>
    <row r="66" spans="1:56" ht="14.4" customHeight="1">
      <c r="A66" s="70" t="str">
        <f>IF(B66="","",COUNTA($B$8:B66))</f>
        <v/>
      </c>
      <c r="B66" s="217"/>
      <c r="C66" s="20"/>
      <c r="D66" s="20"/>
      <c r="E66" s="20"/>
      <c r="F66" s="20"/>
      <c r="G66" s="20"/>
      <c r="H66" s="24"/>
      <c r="I66" s="31"/>
      <c r="J66" s="23"/>
      <c r="K66" s="23"/>
      <c r="L66" s="23"/>
      <c r="M66" s="23"/>
      <c r="N66" s="23"/>
      <c r="O66" s="23"/>
      <c r="P66" s="23"/>
      <c r="Q66" s="37"/>
      <c r="R66" s="22"/>
      <c r="S66" s="23"/>
      <c r="T66" s="23"/>
      <c r="U66" s="23"/>
      <c r="V66" s="23"/>
      <c r="W66" s="23"/>
      <c r="X66" s="24"/>
      <c r="Y66" s="440"/>
      <c r="Z66" s="441"/>
      <c r="AA66" s="442"/>
      <c r="AB66" s="443"/>
      <c r="AC66" s="444"/>
      <c r="AD66" s="30"/>
      <c r="AE66" s="29"/>
      <c r="AF66" s="29"/>
      <c r="AG66" s="29"/>
      <c r="AH66" s="40"/>
      <c r="AI66" s="40"/>
      <c r="AJ66" s="40"/>
      <c r="AK66" s="40"/>
      <c r="AL66" s="40"/>
      <c r="AM66" s="40"/>
      <c r="AN66" s="40"/>
      <c r="AO66" s="41"/>
      <c r="AP66" s="41"/>
      <c r="AQ66" s="41"/>
      <c r="AR66" s="41"/>
      <c r="AS66" s="42"/>
      <c r="AT66" s="43"/>
      <c r="AU66" s="67"/>
      <c r="AV66" s="67"/>
      <c r="AW66" s="67"/>
      <c r="AX66" s="67"/>
      <c r="AY66" s="67"/>
      <c r="AZ66" s="67"/>
      <c r="BA66" s="67"/>
      <c r="BB66" s="67"/>
      <c r="BC66" s="67"/>
      <c r="BD66" s="68"/>
    </row>
    <row r="67" spans="1:56" ht="14.4" customHeight="1">
      <c r="A67" s="70" t="str">
        <f>IF(B67="","",COUNTA($B$8:B67))</f>
        <v/>
      </c>
      <c r="B67" s="217"/>
      <c r="C67" s="20"/>
      <c r="D67" s="20"/>
      <c r="E67" s="20"/>
      <c r="F67" s="20"/>
      <c r="G67" s="20"/>
      <c r="H67" s="24"/>
      <c r="I67" s="31"/>
      <c r="J67" s="23"/>
      <c r="K67" s="23"/>
      <c r="L67" s="23"/>
      <c r="M67" s="23"/>
      <c r="N67" s="23"/>
      <c r="O67" s="23"/>
      <c r="P67" s="23"/>
      <c r="Q67" s="37"/>
      <c r="R67" s="22"/>
      <c r="S67" s="23"/>
      <c r="T67" s="23"/>
      <c r="U67" s="23"/>
      <c r="V67" s="23"/>
      <c r="W67" s="23"/>
      <c r="X67" s="24"/>
      <c r="Y67" s="440"/>
      <c r="Z67" s="441"/>
      <c r="AA67" s="442"/>
      <c r="AB67" s="443"/>
      <c r="AC67" s="444"/>
      <c r="AD67" s="30"/>
      <c r="AE67" s="29"/>
      <c r="AF67" s="29"/>
      <c r="AG67" s="29"/>
      <c r="AH67" s="40"/>
      <c r="AI67" s="40"/>
      <c r="AJ67" s="40"/>
      <c r="AK67" s="40"/>
      <c r="AL67" s="40"/>
      <c r="AM67" s="40"/>
      <c r="AN67" s="40"/>
      <c r="AO67" s="41"/>
      <c r="AP67" s="41"/>
      <c r="AQ67" s="41"/>
      <c r="AR67" s="41"/>
      <c r="AS67" s="42"/>
      <c r="AT67" s="43"/>
      <c r="AU67" s="67"/>
      <c r="AV67" s="67"/>
      <c r="AW67" s="67"/>
      <c r="AX67" s="67"/>
      <c r="AY67" s="67"/>
      <c r="AZ67" s="67"/>
      <c r="BA67" s="67"/>
      <c r="BB67" s="67"/>
      <c r="BC67" s="67"/>
      <c r="BD67" s="68"/>
    </row>
    <row r="68" spans="1:56" ht="14.4" customHeight="1">
      <c r="A68" s="70" t="str">
        <f>IF(B68="","",COUNTA($B$8:B68))</f>
        <v/>
      </c>
      <c r="B68" s="217"/>
      <c r="C68" s="20"/>
      <c r="D68" s="20"/>
      <c r="E68" s="20"/>
      <c r="F68" s="20"/>
      <c r="G68" s="20"/>
      <c r="H68" s="24"/>
      <c r="I68" s="31"/>
      <c r="J68" s="23"/>
      <c r="K68" s="23"/>
      <c r="L68" s="23"/>
      <c r="M68" s="23"/>
      <c r="N68" s="23"/>
      <c r="O68" s="23"/>
      <c r="P68" s="23"/>
      <c r="Q68" s="37"/>
      <c r="R68" s="22"/>
      <c r="S68" s="23"/>
      <c r="T68" s="23"/>
      <c r="U68" s="23"/>
      <c r="V68" s="23"/>
      <c r="W68" s="23"/>
      <c r="X68" s="24"/>
      <c r="Y68" s="440"/>
      <c r="Z68" s="441"/>
      <c r="AA68" s="442"/>
      <c r="AB68" s="443"/>
      <c r="AC68" s="444"/>
      <c r="AD68" s="30"/>
      <c r="AE68" s="29"/>
      <c r="AF68" s="29"/>
      <c r="AG68" s="29"/>
      <c r="AH68" s="40"/>
      <c r="AI68" s="40"/>
      <c r="AJ68" s="40"/>
      <c r="AK68" s="40"/>
      <c r="AL68" s="40"/>
      <c r="AM68" s="40"/>
      <c r="AN68" s="40"/>
      <c r="AO68" s="41"/>
      <c r="AP68" s="41"/>
      <c r="AQ68" s="41"/>
      <c r="AR68" s="41"/>
      <c r="AS68" s="42"/>
      <c r="AT68" s="43"/>
      <c r="AU68" s="67"/>
      <c r="AV68" s="67"/>
      <c r="AW68" s="67"/>
      <c r="AX68" s="67"/>
      <c r="AY68" s="67"/>
      <c r="AZ68" s="67"/>
      <c r="BA68" s="67"/>
      <c r="BB68" s="67"/>
      <c r="BC68" s="67"/>
      <c r="BD68" s="68"/>
    </row>
    <row r="69" spans="1:56" ht="14.4" customHeight="1">
      <c r="A69" s="70" t="str">
        <f>IF(B69="","",COUNTA($B$8:B69))</f>
        <v/>
      </c>
      <c r="B69" s="217"/>
      <c r="C69" s="20"/>
      <c r="D69" s="20"/>
      <c r="E69" s="20"/>
      <c r="F69" s="20"/>
      <c r="G69" s="20"/>
      <c r="H69" s="24"/>
      <c r="I69" s="31"/>
      <c r="J69" s="23"/>
      <c r="K69" s="23"/>
      <c r="L69" s="23"/>
      <c r="M69" s="23"/>
      <c r="N69" s="23"/>
      <c r="O69" s="23"/>
      <c r="P69" s="23"/>
      <c r="Q69" s="37"/>
      <c r="R69" s="22"/>
      <c r="S69" s="23"/>
      <c r="T69" s="23"/>
      <c r="U69" s="23"/>
      <c r="V69" s="23"/>
      <c r="W69" s="23"/>
      <c r="X69" s="24"/>
      <c r="Y69" s="440"/>
      <c r="Z69" s="441"/>
      <c r="AA69" s="442"/>
      <c r="AB69" s="443"/>
      <c r="AC69" s="444"/>
      <c r="AD69" s="30"/>
      <c r="AE69" s="29"/>
      <c r="AF69" s="29"/>
      <c r="AG69" s="29"/>
      <c r="AH69" s="40"/>
      <c r="AI69" s="40"/>
      <c r="AJ69" s="40"/>
      <c r="AK69" s="40"/>
      <c r="AL69" s="40"/>
      <c r="AM69" s="40"/>
      <c r="AN69" s="40"/>
      <c r="AO69" s="41"/>
      <c r="AP69" s="41"/>
      <c r="AQ69" s="41"/>
      <c r="AR69" s="41"/>
      <c r="AS69" s="42"/>
      <c r="AT69" s="43"/>
      <c r="AU69" s="67"/>
      <c r="AV69" s="67"/>
      <c r="AW69" s="67"/>
      <c r="AX69" s="67"/>
      <c r="AY69" s="67"/>
      <c r="AZ69" s="67"/>
      <c r="BA69" s="67"/>
      <c r="BB69" s="67"/>
      <c r="BC69" s="67"/>
      <c r="BD69" s="68"/>
    </row>
    <row r="70" spans="1:56" ht="14.4" customHeight="1">
      <c r="A70" s="70" t="str">
        <f>IF(B70="","",COUNTA($B$8:B70))</f>
        <v/>
      </c>
      <c r="B70" s="217"/>
      <c r="C70" s="20"/>
      <c r="D70" s="20"/>
      <c r="E70" s="20"/>
      <c r="F70" s="20"/>
      <c r="G70" s="20"/>
      <c r="H70" s="24"/>
      <c r="I70" s="31"/>
      <c r="J70" s="23"/>
      <c r="K70" s="23"/>
      <c r="L70" s="23"/>
      <c r="M70" s="23"/>
      <c r="N70" s="23"/>
      <c r="O70" s="23"/>
      <c r="P70" s="23"/>
      <c r="Q70" s="37"/>
      <c r="R70" s="22"/>
      <c r="S70" s="23"/>
      <c r="T70" s="23"/>
      <c r="U70" s="23"/>
      <c r="V70" s="23"/>
      <c r="W70" s="23"/>
      <c r="X70" s="24"/>
      <c r="Y70" s="440"/>
      <c r="Z70" s="441"/>
      <c r="AA70" s="442"/>
      <c r="AB70" s="443"/>
      <c r="AC70" s="444"/>
      <c r="AD70" s="30"/>
      <c r="AE70" s="29"/>
      <c r="AF70" s="29"/>
      <c r="AG70" s="29"/>
      <c r="AH70" s="40"/>
      <c r="AI70" s="40"/>
      <c r="AJ70" s="40"/>
      <c r="AK70" s="40"/>
      <c r="AL70" s="40"/>
      <c r="AM70" s="40"/>
      <c r="AN70" s="40"/>
      <c r="AO70" s="41"/>
      <c r="AP70" s="41"/>
      <c r="AQ70" s="41"/>
      <c r="AR70" s="41"/>
      <c r="AS70" s="42"/>
      <c r="AT70" s="43"/>
      <c r="AU70" s="67"/>
      <c r="AV70" s="67"/>
      <c r="AW70" s="67"/>
      <c r="AX70" s="67"/>
      <c r="AY70" s="67"/>
      <c r="AZ70" s="67"/>
      <c r="BA70" s="67"/>
      <c r="BB70" s="67"/>
      <c r="BC70" s="67"/>
      <c r="BD70" s="68"/>
    </row>
    <row r="71" spans="1:56" ht="14.4" customHeight="1">
      <c r="A71" s="70" t="str">
        <f>IF(B71="","",COUNTA($B$8:B71))</f>
        <v/>
      </c>
      <c r="B71" s="217"/>
      <c r="C71" s="20"/>
      <c r="D71" s="20"/>
      <c r="E71" s="20"/>
      <c r="F71" s="20"/>
      <c r="G71" s="20"/>
      <c r="H71" s="24"/>
      <c r="I71" s="31"/>
      <c r="J71" s="23"/>
      <c r="K71" s="23"/>
      <c r="L71" s="23"/>
      <c r="M71" s="23"/>
      <c r="N71" s="23"/>
      <c r="O71" s="23"/>
      <c r="P71" s="23"/>
      <c r="Q71" s="37"/>
      <c r="R71" s="22"/>
      <c r="S71" s="23"/>
      <c r="T71" s="23"/>
      <c r="U71" s="23"/>
      <c r="V71" s="23"/>
      <c r="W71" s="23"/>
      <c r="X71" s="24"/>
      <c r="Y71" s="440"/>
      <c r="Z71" s="441"/>
      <c r="AA71" s="442"/>
      <c r="AB71" s="443"/>
      <c r="AC71" s="444"/>
      <c r="AD71" s="30"/>
      <c r="AE71" s="29"/>
      <c r="AF71" s="29"/>
      <c r="AG71" s="29"/>
      <c r="AH71" s="40"/>
      <c r="AI71" s="40"/>
      <c r="AJ71" s="40"/>
      <c r="AK71" s="40"/>
      <c r="AL71" s="40"/>
      <c r="AM71" s="40"/>
      <c r="AN71" s="40"/>
      <c r="AO71" s="41"/>
      <c r="AP71" s="41"/>
      <c r="AQ71" s="41"/>
      <c r="AR71" s="41"/>
      <c r="AS71" s="42"/>
      <c r="AT71" s="43"/>
      <c r="AU71" s="67"/>
      <c r="AV71" s="67"/>
      <c r="AW71" s="67"/>
      <c r="AX71" s="67"/>
      <c r="AY71" s="67"/>
      <c r="AZ71" s="67"/>
      <c r="BA71" s="67"/>
      <c r="BB71" s="67"/>
      <c r="BC71" s="67"/>
      <c r="BD71" s="68"/>
    </row>
    <row r="72" spans="1:56" ht="14.4" customHeight="1">
      <c r="A72" s="70" t="str">
        <f>IF(B72="","",COUNTA($B$8:B72))</f>
        <v/>
      </c>
      <c r="B72" s="217"/>
      <c r="C72" s="20"/>
      <c r="D72" s="20"/>
      <c r="E72" s="20"/>
      <c r="F72" s="20"/>
      <c r="G72" s="20"/>
      <c r="H72" s="24"/>
      <c r="I72" s="31"/>
      <c r="J72" s="23"/>
      <c r="K72" s="23"/>
      <c r="L72" s="23"/>
      <c r="M72" s="23"/>
      <c r="N72" s="23"/>
      <c r="O72" s="23"/>
      <c r="P72" s="23"/>
      <c r="Q72" s="37"/>
      <c r="R72" s="22"/>
      <c r="S72" s="23"/>
      <c r="T72" s="23"/>
      <c r="U72" s="23"/>
      <c r="V72" s="23"/>
      <c r="W72" s="23"/>
      <c r="X72" s="24"/>
      <c r="Y72" s="440"/>
      <c r="Z72" s="441"/>
      <c r="AA72" s="442"/>
      <c r="AB72" s="443"/>
      <c r="AC72" s="444"/>
      <c r="AD72" s="30"/>
      <c r="AE72" s="29"/>
      <c r="AF72" s="29"/>
      <c r="AG72" s="29"/>
      <c r="AH72" s="40"/>
      <c r="AI72" s="40"/>
      <c r="AJ72" s="40"/>
      <c r="AK72" s="40"/>
      <c r="AL72" s="40"/>
      <c r="AM72" s="40"/>
      <c r="AN72" s="40"/>
      <c r="AO72" s="41"/>
      <c r="AP72" s="41"/>
      <c r="AQ72" s="41"/>
      <c r="AR72" s="41"/>
      <c r="AS72" s="42"/>
      <c r="AT72" s="43"/>
      <c r="AU72" s="67"/>
      <c r="AV72" s="67"/>
      <c r="AW72" s="67"/>
      <c r="AX72" s="67"/>
      <c r="AY72" s="67"/>
      <c r="AZ72" s="67"/>
      <c r="BA72" s="67"/>
      <c r="BB72" s="67"/>
      <c r="BC72" s="67"/>
      <c r="BD72" s="68"/>
    </row>
    <row r="73" spans="1:56" ht="14.4" customHeight="1">
      <c r="A73" s="70" t="str">
        <f>IF(B73="","",COUNTA($B$8:B73))</f>
        <v/>
      </c>
      <c r="B73" s="217"/>
      <c r="C73" s="20"/>
      <c r="D73" s="20"/>
      <c r="E73" s="20"/>
      <c r="F73" s="20"/>
      <c r="G73" s="20"/>
      <c r="H73" s="24"/>
      <c r="I73" s="31"/>
      <c r="J73" s="23"/>
      <c r="K73" s="23"/>
      <c r="L73" s="23"/>
      <c r="M73" s="23"/>
      <c r="N73" s="23"/>
      <c r="O73" s="23"/>
      <c r="P73" s="23"/>
      <c r="Q73" s="37"/>
      <c r="R73" s="22"/>
      <c r="S73" s="23"/>
      <c r="T73" s="23"/>
      <c r="U73" s="23"/>
      <c r="V73" s="23"/>
      <c r="W73" s="23"/>
      <c r="X73" s="24"/>
      <c r="Y73" s="440"/>
      <c r="Z73" s="441"/>
      <c r="AA73" s="442"/>
      <c r="AB73" s="443"/>
      <c r="AC73" s="444"/>
      <c r="AD73" s="30"/>
      <c r="AE73" s="29"/>
      <c r="AF73" s="29"/>
      <c r="AG73" s="29"/>
      <c r="AH73" s="40"/>
      <c r="AI73" s="40"/>
      <c r="AJ73" s="40"/>
      <c r="AK73" s="40"/>
      <c r="AL73" s="40"/>
      <c r="AM73" s="40"/>
      <c r="AN73" s="40"/>
      <c r="AO73" s="41"/>
      <c r="AP73" s="41"/>
      <c r="AQ73" s="41"/>
      <c r="AR73" s="41"/>
      <c r="AS73" s="42"/>
      <c r="AT73" s="43"/>
      <c r="AU73" s="67"/>
      <c r="AV73" s="67"/>
      <c r="AW73" s="67"/>
      <c r="AX73" s="67"/>
      <c r="AY73" s="67"/>
      <c r="AZ73" s="67"/>
      <c r="BA73" s="67"/>
      <c r="BB73" s="67"/>
      <c r="BC73" s="67"/>
      <c r="BD73" s="68"/>
    </row>
    <row r="74" spans="1:56" ht="14.4" customHeight="1">
      <c r="A74" s="70" t="str">
        <f>IF(B74="","",COUNTA($B$8:B74))</f>
        <v/>
      </c>
      <c r="B74" s="217"/>
      <c r="C74" s="20"/>
      <c r="D74" s="20"/>
      <c r="E74" s="20"/>
      <c r="F74" s="20"/>
      <c r="G74" s="20"/>
      <c r="H74" s="24"/>
      <c r="I74" s="31"/>
      <c r="J74" s="23"/>
      <c r="K74" s="23"/>
      <c r="L74" s="23"/>
      <c r="M74" s="23"/>
      <c r="N74" s="23"/>
      <c r="O74" s="23"/>
      <c r="P74" s="23"/>
      <c r="Q74" s="37"/>
      <c r="R74" s="22"/>
      <c r="S74" s="23"/>
      <c r="T74" s="23"/>
      <c r="U74" s="23"/>
      <c r="V74" s="23"/>
      <c r="W74" s="23"/>
      <c r="X74" s="24"/>
      <c r="Y74" s="440"/>
      <c r="Z74" s="441"/>
      <c r="AA74" s="442"/>
      <c r="AB74" s="443"/>
      <c r="AC74" s="444"/>
      <c r="AD74" s="30"/>
      <c r="AE74" s="29"/>
      <c r="AF74" s="29"/>
      <c r="AG74" s="29"/>
      <c r="AH74" s="40"/>
      <c r="AI74" s="40"/>
      <c r="AJ74" s="40"/>
      <c r="AK74" s="40"/>
      <c r="AL74" s="40"/>
      <c r="AM74" s="40"/>
      <c r="AN74" s="40"/>
      <c r="AO74" s="41"/>
      <c r="AP74" s="41"/>
      <c r="AQ74" s="41"/>
      <c r="AR74" s="41"/>
      <c r="AS74" s="42"/>
      <c r="AT74" s="43"/>
      <c r="AU74" s="67"/>
      <c r="AV74" s="67"/>
      <c r="AW74" s="67"/>
      <c r="AX74" s="67"/>
      <c r="AY74" s="67"/>
      <c r="AZ74" s="67"/>
      <c r="BA74" s="67"/>
      <c r="BB74" s="67"/>
      <c r="BC74" s="67"/>
      <c r="BD74" s="68"/>
    </row>
    <row r="75" spans="1:56" ht="14.4" customHeight="1">
      <c r="A75" s="70" t="str">
        <f>IF(B75="","",COUNTA($B$8:B75))</f>
        <v/>
      </c>
      <c r="B75" s="217"/>
      <c r="C75" s="20"/>
      <c r="D75" s="20"/>
      <c r="E75" s="20"/>
      <c r="F75" s="20"/>
      <c r="G75" s="20"/>
      <c r="H75" s="24"/>
      <c r="I75" s="31"/>
      <c r="J75" s="23"/>
      <c r="K75" s="23"/>
      <c r="L75" s="23"/>
      <c r="M75" s="23"/>
      <c r="N75" s="23"/>
      <c r="O75" s="23"/>
      <c r="P75" s="23"/>
      <c r="Q75" s="37"/>
      <c r="R75" s="22"/>
      <c r="S75" s="23"/>
      <c r="T75" s="23"/>
      <c r="U75" s="23"/>
      <c r="V75" s="23"/>
      <c r="W75" s="23"/>
      <c r="X75" s="24"/>
      <c r="Y75" s="440"/>
      <c r="Z75" s="441"/>
      <c r="AA75" s="442"/>
      <c r="AB75" s="443"/>
      <c r="AC75" s="444"/>
      <c r="AD75" s="30"/>
      <c r="AE75" s="29"/>
      <c r="AF75" s="29"/>
      <c r="AG75" s="29"/>
      <c r="AH75" s="40"/>
      <c r="AI75" s="40"/>
      <c r="AJ75" s="40"/>
      <c r="AK75" s="40"/>
      <c r="AL75" s="40"/>
      <c r="AM75" s="40"/>
      <c r="AN75" s="40"/>
      <c r="AO75" s="41"/>
      <c r="AP75" s="41"/>
      <c r="AQ75" s="41"/>
      <c r="AR75" s="41"/>
      <c r="AS75" s="42"/>
      <c r="AT75" s="43"/>
      <c r="AU75" s="67"/>
      <c r="AV75" s="67"/>
      <c r="AW75" s="67"/>
      <c r="AX75" s="67"/>
      <c r="AY75" s="67"/>
      <c r="AZ75" s="67"/>
      <c r="BA75" s="67"/>
      <c r="BB75" s="67"/>
      <c r="BC75" s="67"/>
      <c r="BD75" s="68"/>
    </row>
    <row r="76" spans="1:56" ht="14.4" customHeight="1">
      <c r="A76" s="70" t="str">
        <f>IF(B76="","",COUNTA($B$8:B76))</f>
        <v/>
      </c>
      <c r="B76" s="217"/>
      <c r="C76" s="20"/>
      <c r="D76" s="20"/>
      <c r="E76" s="20"/>
      <c r="F76" s="20"/>
      <c r="G76" s="20"/>
      <c r="H76" s="24"/>
      <c r="I76" s="31"/>
      <c r="J76" s="23"/>
      <c r="K76" s="23"/>
      <c r="L76" s="23"/>
      <c r="M76" s="23"/>
      <c r="N76" s="23"/>
      <c r="O76" s="23"/>
      <c r="P76" s="23"/>
      <c r="Q76" s="37"/>
      <c r="R76" s="22"/>
      <c r="S76" s="23"/>
      <c r="T76" s="23"/>
      <c r="U76" s="23"/>
      <c r="V76" s="23"/>
      <c r="W76" s="23"/>
      <c r="X76" s="24"/>
      <c r="Y76" s="440"/>
      <c r="Z76" s="441"/>
      <c r="AA76" s="442"/>
      <c r="AB76" s="443"/>
      <c r="AC76" s="444"/>
      <c r="AD76" s="30"/>
      <c r="AE76" s="29"/>
      <c r="AF76" s="29"/>
      <c r="AG76" s="29"/>
      <c r="AH76" s="40"/>
      <c r="AI76" s="40"/>
      <c r="AJ76" s="40"/>
      <c r="AK76" s="40"/>
      <c r="AL76" s="40"/>
      <c r="AM76" s="40"/>
      <c r="AN76" s="40"/>
      <c r="AO76" s="41"/>
      <c r="AP76" s="41"/>
      <c r="AQ76" s="41"/>
      <c r="AR76" s="41"/>
      <c r="AS76" s="42"/>
      <c r="AT76" s="43"/>
      <c r="AU76" s="67"/>
      <c r="AV76" s="67"/>
      <c r="AW76" s="67"/>
      <c r="AX76" s="67"/>
      <c r="AY76" s="67"/>
      <c r="AZ76" s="67"/>
      <c r="BA76" s="67"/>
      <c r="BB76" s="67"/>
      <c r="BC76" s="67"/>
      <c r="BD76" s="68"/>
    </row>
    <row r="77" spans="1:56" ht="14.4" customHeight="1">
      <c r="A77" s="70" t="str">
        <f>IF(B77="","",COUNTA($B$8:B77))</f>
        <v/>
      </c>
      <c r="B77" s="217"/>
      <c r="C77" s="20"/>
      <c r="D77" s="20"/>
      <c r="E77" s="20"/>
      <c r="F77" s="20"/>
      <c r="G77" s="20"/>
      <c r="H77" s="24"/>
      <c r="I77" s="31"/>
      <c r="J77" s="23"/>
      <c r="K77" s="23"/>
      <c r="L77" s="23"/>
      <c r="M77" s="23"/>
      <c r="N77" s="23"/>
      <c r="O77" s="23"/>
      <c r="P77" s="23"/>
      <c r="Q77" s="37"/>
      <c r="R77" s="22"/>
      <c r="S77" s="23"/>
      <c r="T77" s="23"/>
      <c r="U77" s="23"/>
      <c r="V77" s="23"/>
      <c r="W77" s="23"/>
      <c r="X77" s="24"/>
      <c r="Y77" s="440"/>
      <c r="Z77" s="441"/>
      <c r="AA77" s="442"/>
      <c r="AB77" s="443"/>
      <c r="AC77" s="444"/>
      <c r="AD77" s="30"/>
      <c r="AE77" s="29"/>
      <c r="AF77" s="29"/>
      <c r="AG77" s="29"/>
      <c r="AH77" s="40"/>
      <c r="AI77" s="40"/>
      <c r="AJ77" s="40"/>
      <c r="AK77" s="40"/>
      <c r="AL77" s="40"/>
      <c r="AM77" s="40"/>
      <c r="AN77" s="40"/>
      <c r="AO77" s="41"/>
      <c r="AP77" s="41"/>
      <c r="AQ77" s="41"/>
      <c r="AR77" s="41"/>
      <c r="AS77" s="42"/>
      <c r="AT77" s="43"/>
      <c r="AU77" s="67"/>
      <c r="AV77" s="67"/>
      <c r="AW77" s="67"/>
      <c r="AX77" s="67"/>
      <c r="AY77" s="67"/>
      <c r="AZ77" s="67"/>
      <c r="BA77" s="67"/>
      <c r="BB77" s="67"/>
      <c r="BC77" s="67"/>
      <c r="BD77" s="68"/>
    </row>
    <row r="78" spans="1:56" ht="14.4" customHeight="1">
      <c r="A78" s="70" t="str">
        <f>IF(B78="","",COUNTA($B$8:B78))</f>
        <v/>
      </c>
      <c r="B78" s="217"/>
      <c r="C78" s="20"/>
      <c r="D78" s="20"/>
      <c r="E78" s="20"/>
      <c r="F78" s="20"/>
      <c r="G78" s="20"/>
      <c r="H78" s="24"/>
      <c r="I78" s="31"/>
      <c r="J78" s="23"/>
      <c r="K78" s="23"/>
      <c r="L78" s="23"/>
      <c r="M78" s="23"/>
      <c r="N78" s="23"/>
      <c r="O78" s="23"/>
      <c r="P78" s="23"/>
      <c r="Q78" s="37"/>
      <c r="R78" s="22"/>
      <c r="S78" s="23"/>
      <c r="T78" s="23"/>
      <c r="U78" s="23"/>
      <c r="V78" s="23"/>
      <c r="W78" s="23"/>
      <c r="X78" s="24"/>
      <c r="Y78" s="440"/>
      <c r="Z78" s="441"/>
      <c r="AA78" s="442"/>
      <c r="AB78" s="443"/>
      <c r="AC78" s="444"/>
      <c r="AD78" s="30"/>
      <c r="AE78" s="29"/>
      <c r="AF78" s="29"/>
      <c r="AG78" s="29"/>
      <c r="AH78" s="40"/>
      <c r="AI78" s="40"/>
      <c r="AJ78" s="40"/>
      <c r="AK78" s="40"/>
      <c r="AL78" s="40"/>
      <c r="AM78" s="40"/>
      <c r="AN78" s="40"/>
      <c r="AO78" s="41"/>
      <c r="AP78" s="41"/>
      <c r="AQ78" s="41"/>
      <c r="AR78" s="41"/>
      <c r="AS78" s="42"/>
      <c r="AT78" s="43"/>
      <c r="AU78" s="67"/>
      <c r="AV78" s="67"/>
      <c r="AW78" s="67"/>
      <c r="AX78" s="67"/>
      <c r="AY78" s="67"/>
      <c r="AZ78" s="67"/>
      <c r="BA78" s="67"/>
      <c r="BB78" s="67"/>
      <c r="BC78" s="67"/>
      <c r="BD78" s="68"/>
    </row>
    <row r="79" spans="1:56" ht="14.4" customHeight="1">
      <c r="A79" s="70" t="str">
        <f>IF(B79="","",COUNTA($B$8:B79))</f>
        <v/>
      </c>
      <c r="B79" s="217"/>
      <c r="C79" s="20"/>
      <c r="D79" s="20"/>
      <c r="E79" s="20"/>
      <c r="F79" s="20"/>
      <c r="G79" s="20"/>
      <c r="H79" s="24"/>
      <c r="I79" s="31"/>
      <c r="J79" s="23"/>
      <c r="K79" s="23"/>
      <c r="L79" s="23"/>
      <c r="M79" s="23"/>
      <c r="N79" s="23"/>
      <c r="O79" s="23"/>
      <c r="P79" s="23"/>
      <c r="Q79" s="37"/>
      <c r="R79" s="22"/>
      <c r="S79" s="23"/>
      <c r="T79" s="23"/>
      <c r="U79" s="23"/>
      <c r="V79" s="23"/>
      <c r="W79" s="23"/>
      <c r="X79" s="24"/>
      <c r="Y79" s="440"/>
      <c r="Z79" s="441"/>
      <c r="AA79" s="442"/>
      <c r="AB79" s="443"/>
      <c r="AC79" s="444"/>
      <c r="AD79" s="30"/>
      <c r="AE79" s="29"/>
      <c r="AF79" s="29"/>
      <c r="AG79" s="29"/>
      <c r="AH79" s="40"/>
      <c r="AI79" s="40"/>
      <c r="AJ79" s="40"/>
      <c r="AK79" s="40"/>
      <c r="AL79" s="40"/>
      <c r="AM79" s="40"/>
      <c r="AN79" s="40"/>
      <c r="AO79" s="41"/>
      <c r="AP79" s="41"/>
      <c r="AQ79" s="41"/>
      <c r="AR79" s="41"/>
      <c r="AS79" s="42"/>
      <c r="AT79" s="43"/>
      <c r="AU79" s="67"/>
      <c r="AV79" s="67"/>
      <c r="AW79" s="67"/>
      <c r="AX79" s="67"/>
      <c r="AY79" s="67"/>
      <c r="AZ79" s="67"/>
      <c r="BA79" s="67"/>
      <c r="BB79" s="67"/>
      <c r="BC79" s="67"/>
      <c r="BD79" s="68"/>
    </row>
    <row r="80" spans="1:56" ht="14.4" customHeight="1">
      <c r="A80" s="70" t="str">
        <f>IF(B80="","",COUNTA($B$8:B80))</f>
        <v/>
      </c>
      <c r="B80" s="217"/>
      <c r="C80" s="20"/>
      <c r="D80" s="20"/>
      <c r="E80" s="20"/>
      <c r="F80" s="20"/>
      <c r="G80" s="20"/>
      <c r="H80" s="24"/>
      <c r="I80" s="31"/>
      <c r="J80" s="23"/>
      <c r="K80" s="23"/>
      <c r="L80" s="23"/>
      <c r="M80" s="23"/>
      <c r="N80" s="23"/>
      <c r="O80" s="23"/>
      <c r="P80" s="23"/>
      <c r="Q80" s="37"/>
      <c r="R80" s="22"/>
      <c r="S80" s="23"/>
      <c r="T80" s="23"/>
      <c r="U80" s="23"/>
      <c r="V80" s="23"/>
      <c r="W80" s="23"/>
      <c r="X80" s="24"/>
      <c r="Y80" s="440"/>
      <c r="Z80" s="441"/>
      <c r="AA80" s="442"/>
      <c r="AB80" s="443"/>
      <c r="AC80" s="444"/>
      <c r="AD80" s="30"/>
      <c r="AE80" s="29"/>
      <c r="AF80" s="29"/>
      <c r="AG80" s="29"/>
      <c r="AH80" s="40"/>
      <c r="AI80" s="40"/>
      <c r="AJ80" s="40"/>
      <c r="AK80" s="40"/>
      <c r="AL80" s="40"/>
      <c r="AM80" s="40"/>
      <c r="AN80" s="40"/>
      <c r="AO80" s="41"/>
      <c r="AP80" s="41"/>
      <c r="AQ80" s="41"/>
      <c r="AR80" s="41"/>
      <c r="AS80" s="42"/>
      <c r="AT80" s="43"/>
      <c r="AU80" s="67"/>
      <c r="AV80" s="67"/>
      <c r="AW80" s="67"/>
      <c r="AX80" s="67"/>
      <c r="AY80" s="67"/>
      <c r="AZ80" s="67"/>
      <c r="BA80" s="67"/>
      <c r="BB80" s="67"/>
      <c r="BC80" s="67"/>
      <c r="BD80" s="68"/>
    </row>
    <row r="81" spans="1:56" ht="14.4" customHeight="1">
      <c r="A81" s="70" t="str">
        <f>IF(B81="","",COUNTA($B$8:B81))</f>
        <v/>
      </c>
      <c r="B81" s="217"/>
      <c r="C81" s="20"/>
      <c r="D81" s="20"/>
      <c r="E81" s="20"/>
      <c r="F81" s="20"/>
      <c r="G81" s="20"/>
      <c r="H81" s="24"/>
      <c r="I81" s="31"/>
      <c r="J81" s="23"/>
      <c r="K81" s="23"/>
      <c r="L81" s="23"/>
      <c r="M81" s="23"/>
      <c r="N81" s="23"/>
      <c r="O81" s="23"/>
      <c r="P81" s="23"/>
      <c r="Q81" s="37"/>
      <c r="R81" s="22"/>
      <c r="S81" s="23"/>
      <c r="T81" s="23"/>
      <c r="U81" s="23"/>
      <c r="V81" s="23"/>
      <c r="W81" s="23"/>
      <c r="X81" s="24"/>
      <c r="Y81" s="440"/>
      <c r="Z81" s="441"/>
      <c r="AA81" s="442"/>
      <c r="AB81" s="443"/>
      <c r="AC81" s="444"/>
      <c r="AD81" s="30"/>
      <c r="AE81" s="29"/>
      <c r="AF81" s="29"/>
      <c r="AG81" s="29"/>
      <c r="AH81" s="40"/>
      <c r="AI81" s="40"/>
      <c r="AJ81" s="40"/>
      <c r="AK81" s="40"/>
      <c r="AL81" s="40"/>
      <c r="AM81" s="40"/>
      <c r="AN81" s="40"/>
      <c r="AO81" s="41"/>
      <c r="AP81" s="41"/>
      <c r="AQ81" s="41"/>
      <c r="AR81" s="41"/>
      <c r="AS81" s="42"/>
      <c r="AT81" s="43"/>
      <c r="AU81" s="67"/>
      <c r="AV81" s="67"/>
      <c r="AW81" s="67"/>
      <c r="AX81" s="67"/>
      <c r="AY81" s="67"/>
      <c r="AZ81" s="67"/>
      <c r="BA81" s="67"/>
      <c r="BB81" s="67"/>
      <c r="BC81" s="67"/>
      <c r="BD81" s="68"/>
    </row>
    <row r="82" spans="1:56" ht="14.4" customHeight="1">
      <c r="A82" s="70" t="str">
        <f>IF(B82="","",COUNTA($B$8:B82))</f>
        <v/>
      </c>
      <c r="B82" s="217"/>
      <c r="C82" s="20"/>
      <c r="D82" s="20"/>
      <c r="E82" s="20"/>
      <c r="F82" s="20"/>
      <c r="G82" s="20"/>
      <c r="H82" s="24"/>
      <c r="I82" s="31"/>
      <c r="J82" s="23"/>
      <c r="K82" s="23"/>
      <c r="L82" s="23"/>
      <c r="M82" s="23"/>
      <c r="N82" s="23"/>
      <c r="O82" s="23"/>
      <c r="P82" s="23"/>
      <c r="Q82" s="37"/>
      <c r="R82" s="22"/>
      <c r="S82" s="23"/>
      <c r="T82" s="23"/>
      <c r="U82" s="23"/>
      <c r="V82" s="23"/>
      <c r="W82" s="23"/>
      <c r="X82" s="24"/>
      <c r="Y82" s="440"/>
      <c r="Z82" s="441"/>
      <c r="AA82" s="442"/>
      <c r="AB82" s="443"/>
      <c r="AC82" s="444"/>
      <c r="AD82" s="30"/>
      <c r="AE82" s="29"/>
      <c r="AF82" s="29"/>
      <c r="AG82" s="29"/>
      <c r="AH82" s="40"/>
      <c r="AI82" s="40"/>
      <c r="AJ82" s="40"/>
      <c r="AK82" s="40"/>
      <c r="AL82" s="40"/>
      <c r="AM82" s="40"/>
      <c r="AN82" s="40"/>
      <c r="AO82" s="41"/>
      <c r="AP82" s="41"/>
      <c r="AQ82" s="41"/>
      <c r="AR82" s="41"/>
      <c r="AS82" s="42"/>
      <c r="AT82" s="43"/>
      <c r="AU82" s="67"/>
      <c r="AV82" s="67"/>
      <c r="AW82" s="67"/>
      <c r="AX82" s="67"/>
      <c r="AY82" s="67"/>
      <c r="AZ82" s="67"/>
      <c r="BA82" s="67"/>
      <c r="BB82" s="67"/>
      <c r="BC82" s="67"/>
      <c r="BD82" s="68"/>
    </row>
    <row r="83" spans="1:56" ht="14.4" customHeight="1">
      <c r="A83" s="70" t="str">
        <f>IF(B83="","",COUNTA($B$8:B83))</f>
        <v/>
      </c>
      <c r="B83" s="217"/>
      <c r="C83" s="20"/>
      <c r="D83" s="20"/>
      <c r="E83" s="20"/>
      <c r="F83" s="20"/>
      <c r="G83" s="20"/>
      <c r="H83" s="24"/>
      <c r="I83" s="31"/>
      <c r="J83" s="23"/>
      <c r="K83" s="23"/>
      <c r="L83" s="23"/>
      <c r="M83" s="23"/>
      <c r="N83" s="23"/>
      <c r="O83" s="23"/>
      <c r="P83" s="23"/>
      <c r="Q83" s="37"/>
      <c r="R83" s="22"/>
      <c r="S83" s="23"/>
      <c r="T83" s="23"/>
      <c r="U83" s="23"/>
      <c r="V83" s="23"/>
      <c r="W83" s="23"/>
      <c r="X83" s="24"/>
      <c r="Y83" s="440"/>
      <c r="Z83" s="441"/>
      <c r="AA83" s="442"/>
      <c r="AB83" s="443"/>
      <c r="AC83" s="444"/>
      <c r="AD83" s="30"/>
      <c r="AE83" s="29"/>
      <c r="AF83" s="29"/>
      <c r="AG83" s="29"/>
      <c r="AH83" s="40"/>
      <c r="AI83" s="40"/>
      <c r="AJ83" s="40"/>
      <c r="AK83" s="40"/>
      <c r="AL83" s="40"/>
      <c r="AM83" s="40"/>
      <c r="AN83" s="40"/>
      <c r="AO83" s="41"/>
      <c r="AP83" s="41"/>
      <c r="AQ83" s="41"/>
      <c r="AR83" s="41"/>
      <c r="AS83" s="42"/>
      <c r="AT83" s="43"/>
      <c r="AU83" s="67"/>
      <c r="AV83" s="67"/>
      <c r="AW83" s="67"/>
      <c r="AX83" s="67"/>
      <c r="AY83" s="67"/>
      <c r="AZ83" s="67"/>
      <c r="BA83" s="67"/>
      <c r="BB83" s="67"/>
      <c r="BC83" s="67"/>
      <c r="BD83" s="68"/>
    </row>
    <row r="84" spans="1:56" ht="14.4" customHeight="1">
      <c r="A84" s="70" t="str">
        <f>IF(B84="","",COUNTA($B$8:B84))</f>
        <v/>
      </c>
      <c r="B84" s="217"/>
      <c r="C84" s="20"/>
      <c r="D84" s="20"/>
      <c r="E84" s="20"/>
      <c r="F84" s="20"/>
      <c r="G84" s="20"/>
      <c r="H84" s="24"/>
      <c r="I84" s="31"/>
      <c r="J84" s="23"/>
      <c r="K84" s="23"/>
      <c r="L84" s="23"/>
      <c r="M84" s="23"/>
      <c r="N84" s="23"/>
      <c r="O84" s="23"/>
      <c r="P84" s="23"/>
      <c r="Q84" s="37"/>
      <c r="R84" s="22"/>
      <c r="S84" s="23"/>
      <c r="T84" s="23"/>
      <c r="U84" s="23"/>
      <c r="V84" s="23"/>
      <c r="W84" s="23"/>
      <c r="X84" s="24"/>
      <c r="Y84" s="440"/>
      <c r="Z84" s="441"/>
      <c r="AA84" s="442"/>
      <c r="AB84" s="443"/>
      <c r="AC84" s="444"/>
      <c r="AD84" s="30"/>
      <c r="AE84" s="29"/>
      <c r="AF84" s="29"/>
      <c r="AG84" s="29"/>
      <c r="AH84" s="40"/>
      <c r="AI84" s="40"/>
      <c r="AJ84" s="40"/>
      <c r="AK84" s="40"/>
      <c r="AL84" s="40"/>
      <c r="AM84" s="40"/>
      <c r="AN84" s="40"/>
      <c r="AO84" s="41"/>
      <c r="AP84" s="41"/>
      <c r="AQ84" s="41"/>
      <c r="AR84" s="41"/>
      <c r="AS84" s="42"/>
      <c r="AT84" s="43"/>
      <c r="AU84" s="67"/>
      <c r="AV84" s="67"/>
      <c r="AW84" s="67"/>
      <c r="AX84" s="67"/>
      <c r="AY84" s="67"/>
      <c r="AZ84" s="67"/>
      <c r="BA84" s="67"/>
      <c r="BB84" s="67"/>
      <c r="BC84" s="67"/>
      <c r="BD84" s="68"/>
    </row>
    <row r="85" spans="1:56" ht="14.4" customHeight="1">
      <c r="A85" s="70" t="str">
        <f>IF(B85="","",COUNTA($B$8:B85))</f>
        <v/>
      </c>
      <c r="B85" s="217"/>
      <c r="C85" s="20"/>
      <c r="D85" s="20"/>
      <c r="E85" s="20"/>
      <c r="F85" s="20"/>
      <c r="G85" s="20"/>
      <c r="H85" s="24"/>
      <c r="I85" s="31"/>
      <c r="J85" s="23"/>
      <c r="K85" s="23"/>
      <c r="L85" s="23"/>
      <c r="M85" s="23"/>
      <c r="N85" s="23"/>
      <c r="O85" s="23"/>
      <c r="P85" s="23"/>
      <c r="Q85" s="37"/>
      <c r="R85" s="22"/>
      <c r="S85" s="23"/>
      <c r="T85" s="23"/>
      <c r="U85" s="23"/>
      <c r="V85" s="23"/>
      <c r="W85" s="23"/>
      <c r="X85" s="24"/>
      <c r="Y85" s="440"/>
      <c r="Z85" s="441"/>
      <c r="AA85" s="442"/>
      <c r="AB85" s="443"/>
      <c r="AC85" s="444"/>
      <c r="AD85" s="30"/>
      <c r="AE85" s="29"/>
      <c r="AF85" s="29"/>
      <c r="AG85" s="29"/>
      <c r="AH85" s="40"/>
      <c r="AI85" s="40"/>
      <c r="AJ85" s="40"/>
      <c r="AK85" s="40"/>
      <c r="AL85" s="40"/>
      <c r="AM85" s="40"/>
      <c r="AN85" s="40"/>
      <c r="AO85" s="41"/>
      <c r="AP85" s="41"/>
      <c r="AQ85" s="41"/>
      <c r="AR85" s="41"/>
      <c r="AS85" s="42"/>
      <c r="AT85" s="43"/>
      <c r="AU85" s="67"/>
      <c r="AV85" s="67"/>
      <c r="AW85" s="67"/>
      <c r="AX85" s="67"/>
      <c r="AY85" s="67"/>
      <c r="AZ85" s="67"/>
      <c r="BA85" s="67"/>
      <c r="BB85" s="67"/>
      <c r="BC85" s="67"/>
      <c r="BD85" s="68"/>
    </row>
  </sheetData>
  <mergeCells count="183">
    <mergeCell ref="Y85:Z85"/>
    <mergeCell ref="AA85:AC85"/>
    <mergeCell ref="Y77:Z77"/>
    <mergeCell ref="AA77:AC77"/>
    <mergeCell ref="Y78:Z78"/>
    <mergeCell ref="AA78:AC78"/>
    <mergeCell ref="Y79:Z79"/>
    <mergeCell ref="AA79:AC79"/>
    <mergeCell ref="Y80:Z80"/>
    <mergeCell ref="AA80:AC80"/>
    <mergeCell ref="Y81:Z81"/>
    <mergeCell ref="AA81:AC81"/>
    <mergeCell ref="Y75:Z75"/>
    <mergeCell ref="AA75:AC75"/>
    <mergeCell ref="Y76:Z76"/>
    <mergeCell ref="AA76:AC76"/>
    <mergeCell ref="Y82:Z82"/>
    <mergeCell ref="AA82:AC82"/>
    <mergeCell ref="Y83:Z83"/>
    <mergeCell ref="AA83:AC83"/>
    <mergeCell ref="Y84:Z84"/>
    <mergeCell ref="AA84:AC84"/>
    <mergeCell ref="Y70:Z70"/>
    <mergeCell ref="AA70:AC70"/>
    <mergeCell ref="Y71:Z71"/>
    <mergeCell ref="AA71:AC71"/>
    <mergeCell ref="Y72:Z72"/>
    <mergeCell ref="AA72:AC72"/>
    <mergeCell ref="Y73:Z73"/>
    <mergeCell ref="AA73:AC73"/>
    <mergeCell ref="Y74:Z74"/>
    <mergeCell ref="AA74:AC74"/>
    <mergeCell ref="Y65:Z65"/>
    <mergeCell ref="AA65:AC65"/>
    <mergeCell ref="Y66:Z66"/>
    <mergeCell ref="AA66:AC66"/>
    <mergeCell ref="Y67:Z67"/>
    <mergeCell ref="AA67:AC67"/>
    <mergeCell ref="Y68:Z68"/>
    <mergeCell ref="AA68:AC68"/>
    <mergeCell ref="Y69:Z69"/>
    <mergeCell ref="AA69:AC69"/>
    <mergeCell ref="Y60:Z60"/>
    <mergeCell ref="AA60:AC60"/>
    <mergeCell ref="Y61:Z61"/>
    <mergeCell ref="AA61:AC61"/>
    <mergeCell ref="Y62:Z62"/>
    <mergeCell ref="AA62:AC62"/>
    <mergeCell ref="Y63:Z63"/>
    <mergeCell ref="AA63:AC63"/>
    <mergeCell ref="Y64:Z64"/>
    <mergeCell ref="AA64:AC64"/>
    <mergeCell ref="Y55:Z55"/>
    <mergeCell ref="AA55:AC55"/>
    <mergeCell ref="Y56:Z56"/>
    <mergeCell ref="AA56:AC56"/>
    <mergeCell ref="Y57:Z57"/>
    <mergeCell ref="AA57:AC57"/>
    <mergeCell ref="Y58:Z58"/>
    <mergeCell ref="AA58:AC58"/>
    <mergeCell ref="Y59:Z59"/>
    <mergeCell ref="AA59:AC59"/>
    <mergeCell ref="Y42:Z42"/>
    <mergeCell ref="Y46:Z46"/>
    <mergeCell ref="Y47:Z47"/>
    <mergeCell ref="Y52:Z52"/>
    <mergeCell ref="AA52:AC52"/>
    <mergeCell ref="Y53:Z53"/>
    <mergeCell ref="AA53:AC53"/>
    <mergeCell ref="Y54:Z54"/>
    <mergeCell ref="AA54:AC54"/>
    <mergeCell ref="Y48:Z48"/>
    <mergeCell ref="AA48:AC48"/>
    <mergeCell ref="Y49:Z49"/>
    <mergeCell ref="AA49:AC49"/>
    <mergeCell ref="Y50:Z50"/>
    <mergeCell ref="AA50:AC50"/>
    <mergeCell ref="Y51:Z51"/>
    <mergeCell ref="AA51:AC51"/>
    <mergeCell ref="Y43:Z43"/>
    <mergeCell ref="Y44:Z44"/>
    <mergeCell ref="Y45:Z45"/>
    <mergeCell ref="Y35:Z35"/>
    <mergeCell ref="AA38:AC38"/>
    <mergeCell ref="AA39:AC39"/>
    <mergeCell ref="AA40:AC40"/>
    <mergeCell ref="AA41:AC41"/>
    <mergeCell ref="Y37:Z37"/>
    <mergeCell ref="Y36:Z36"/>
    <mergeCell ref="Y32:Z32"/>
    <mergeCell ref="Y28:Z28"/>
    <mergeCell ref="Y29:Z29"/>
    <mergeCell ref="Y33:Z33"/>
    <mergeCell ref="Y34:Z34"/>
    <mergeCell ref="Y30:Z30"/>
    <mergeCell ref="Y40:Z40"/>
    <mergeCell ref="Y41:Z41"/>
    <mergeCell ref="Y18:Z18"/>
    <mergeCell ref="Y31:Z31"/>
    <mergeCell ref="Y24:Z24"/>
    <mergeCell ref="Y17:Z17"/>
    <mergeCell ref="Y16:Z16"/>
    <mergeCell ref="Y9:Z9"/>
    <mergeCell ref="Y15:Z15"/>
    <mergeCell ref="Y10:Z10"/>
    <mergeCell ref="Y11:Z11"/>
    <mergeCell ref="Y19:Z19"/>
    <mergeCell ref="Y27:Z27"/>
    <mergeCell ref="Y20:Z20"/>
    <mergeCell ref="Y21:Z21"/>
    <mergeCell ref="Y22:Z22"/>
    <mergeCell ref="Y23:Z23"/>
    <mergeCell ref="Y25:Z25"/>
    <mergeCell ref="Y26:Z26"/>
    <mergeCell ref="AA26:AC26"/>
    <mergeCell ref="AA27:AC27"/>
    <mergeCell ref="AA8:AC8"/>
    <mergeCell ref="AA9:AC9"/>
    <mergeCell ref="AG6:AG7"/>
    <mergeCell ref="AH6:AH7"/>
    <mergeCell ref="AA10:AC10"/>
    <mergeCell ref="AA11:AC11"/>
    <mergeCell ref="AA12:AC12"/>
    <mergeCell ref="AA13:AC13"/>
    <mergeCell ref="AA14:AC14"/>
    <mergeCell ref="AA15:AC15"/>
    <mergeCell ref="AA16:AC16"/>
    <mergeCell ref="AA18:AC18"/>
    <mergeCell ref="AA19:AC19"/>
    <mergeCell ref="AA20:AC20"/>
    <mergeCell ref="AA24:AC24"/>
    <mergeCell ref="AZ1:BD1"/>
    <mergeCell ref="I2:Q4"/>
    <mergeCell ref="R2:X4"/>
    <mergeCell ref="Y2:AO3"/>
    <mergeCell ref="AP2:AT2"/>
    <mergeCell ref="AZ2:BD2"/>
    <mergeCell ref="AP3:AT3"/>
    <mergeCell ref="AU3:AY3"/>
    <mergeCell ref="AZ3:BD3"/>
    <mergeCell ref="Y4:AO4"/>
    <mergeCell ref="AP1:AT1"/>
    <mergeCell ref="AU1:AY1"/>
    <mergeCell ref="AP4:AT4"/>
    <mergeCell ref="AU4:AY4"/>
    <mergeCell ref="A6:A7"/>
    <mergeCell ref="B6:H7"/>
    <mergeCell ref="I6:Q7"/>
    <mergeCell ref="R6:X7"/>
    <mergeCell ref="Y6:Z7"/>
    <mergeCell ref="AA6:AC7"/>
    <mergeCell ref="AD6:AD7"/>
    <mergeCell ref="I1:Q1"/>
    <mergeCell ref="R1:X1"/>
    <mergeCell ref="Y1:AO1"/>
    <mergeCell ref="AI6:AR6"/>
    <mergeCell ref="A1:H4"/>
    <mergeCell ref="AE6:AE7"/>
    <mergeCell ref="AF6:AF7"/>
    <mergeCell ref="AS6:BD7"/>
    <mergeCell ref="Y8:Z8"/>
    <mergeCell ref="AZ4:BD4"/>
    <mergeCell ref="AA37:AC37"/>
    <mergeCell ref="AA43:AC43"/>
    <mergeCell ref="AA44:AC44"/>
    <mergeCell ref="AA45:AC45"/>
    <mergeCell ref="AA46:AC46"/>
    <mergeCell ref="AA47:AC47"/>
    <mergeCell ref="AA28:AC28"/>
    <mergeCell ref="AA29:AC29"/>
    <mergeCell ref="AA30:AC30"/>
    <mergeCell ref="AA31:AC31"/>
    <mergeCell ref="AA32:AC32"/>
    <mergeCell ref="AA33:AC33"/>
    <mergeCell ref="AA34:AC34"/>
    <mergeCell ref="AA35:AC35"/>
    <mergeCell ref="AA36:AC36"/>
    <mergeCell ref="AA42:AC42"/>
    <mergeCell ref="AA17:AC17"/>
    <mergeCell ref="AA21:AC21"/>
    <mergeCell ref="AA22:AC22"/>
    <mergeCell ref="AA23:AC23"/>
    <mergeCell ref="AA25:AC25"/>
  </mergeCells>
  <phoneticPr fontId="5"/>
  <dataValidations count="3">
    <dataValidation imeMode="hiragana" allowBlank="1" showInputMessage="1" showErrorMessage="1" sqref="JO65489:JZ65491 TK65489:TV65491 ADG65489:ADR65491 ANC65489:ANN65491 AWY65489:AXJ65491 BGU65489:BHF65491 BQQ65489:BRB65491 CAM65489:CAX65491 CKI65489:CKT65491 CUE65489:CUP65491 DEA65489:DEL65491 DNW65489:DOH65491 DXS65489:DYD65491 EHO65489:EHZ65491 ERK65489:ERV65491 FBG65489:FBR65491 FLC65489:FLN65491 FUY65489:FVJ65491 GEU65489:GFF65491 GOQ65489:GPB65491 GYM65489:GYX65491 HII65489:HIT65491 HSE65489:HSP65491 ICA65489:ICL65491 ILW65489:IMH65491 IVS65489:IWD65491 JFO65489:JFZ65491 JPK65489:JPV65491 JZG65489:JZR65491 KJC65489:KJN65491 KSY65489:KTJ65491 LCU65489:LDF65491 LMQ65489:LNB65491 LWM65489:LWX65491 MGI65489:MGT65491 MQE65489:MQP65491 NAA65489:NAL65491 NJW65489:NKH65491 NTS65489:NUD65491 ODO65489:ODZ65491 ONK65489:ONV65491 OXG65489:OXR65491 PHC65489:PHN65491 PQY65489:PRJ65491 QAU65489:QBF65491 QKQ65489:QLB65491 QUM65489:QUX65491 REI65489:RET65491 ROE65489:ROP65491 RYA65489:RYL65491 SHW65489:SIH65491 SRS65489:SSD65491 TBO65489:TBZ65491 TLK65489:TLV65491 TVG65489:TVR65491 UFC65489:UFN65491 UOY65489:UPJ65491 UYU65489:UZF65491 VIQ65489:VJB65491 VSM65489:VSX65491 WCI65489:WCT65491 WME65489:WMP65491 WWA65489:WWL65491 JO131025:JZ131027 TK131025:TV131027 ADG131025:ADR131027 ANC131025:ANN131027 AWY131025:AXJ131027 BGU131025:BHF131027 BQQ131025:BRB131027 CAM131025:CAX131027 CKI131025:CKT131027 CUE131025:CUP131027 DEA131025:DEL131027 DNW131025:DOH131027 DXS131025:DYD131027 EHO131025:EHZ131027 ERK131025:ERV131027 FBG131025:FBR131027 FLC131025:FLN131027 FUY131025:FVJ131027 GEU131025:GFF131027 GOQ131025:GPB131027 GYM131025:GYX131027 HII131025:HIT131027 HSE131025:HSP131027 ICA131025:ICL131027 ILW131025:IMH131027 IVS131025:IWD131027 JFO131025:JFZ131027 JPK131025:JPV131027 JZG131025:JZR131027 KJC131025:KJN131027 KSY131025:KTJ131027 LCU131025:LDF131027 LMQ131025:LNB131027 LWM131025:LWX131027 MGI131025:MGT131027 MQE131025:MQP131027 NAA131025:NAL131027 NJW131025:NKH131027 NTS131025:NUD131027 ODO131025:ODZ131027 ONK131025:ONV131027 OXG131025:OXR131027 PHC131025:PHN131027 PQY131025:PRJ131027 QAU131025:QBF131027 QKQ131025:QLB131027 QUM131025:QUX131027 REI131025:RET131027 ROE131025:ROP131027 RYA131025:RYL131027 SHW131025:SIH131027 SRS131025:SSD131027 TBO131025:TBZ131027 TLK131025:TLV131027 TVG131025:TVR131027 UFC131025:UFN131027 UOY131025:UPJ131027 UYU131025:UZF131027 VIQ131025:VJB131027 VSM131025:VSX131027 WCI131025:WCT131027 WME131025:WMP131027 WWA131025:WWL131027 JO196561:JZ196563 TK196561:TV196563 ADG196561:ADR196563 ANC196561:ANN196563 AWY196561:AXJ196563 BGU196561:BHF196563 BQQ196561:BRB196563 CAM196561:CAX196563 CKI196561:CKT196563 CUE196561:CUP196563 DEA196561:DEL196563 DNW196561:DOH196563 DXS196561:DYD196563 EHO196561:EHZ196563 ERK196561:ERV196563 FBG196561:FBR196563 FLC196561:FLN196563 FUY196561:FVJ196563 GEU196561:GFF196563 GOQ196561:GPB196563 GYM196561:GYX196563 HII196561:HIT196563 HSE196561:HSP196563 ICA196561:ICL196563 ILW196561:IMH196563 IVS196561:IWD196563 JFO196561:JFZ196563 JPK196561:JPV196563 JZG196561:JZR196563 KJC196561:KJN196563 KSY196561:KTJ196563 LCU196561:LDF196563 LMQ196561:LNB196563 LWM196561:LWX196563 MGI196561:MGT196563 MQE196561:MQP196563 NAA196561:NAL196563 NJW196561:NKH196563 NTS196561:NUD196563 ODO196561:ODZ196563 ONK196561:ONV196563 OXG196561:OXR196563 PHC196561:PHN196563 PQY196561:PRJ196563 QAU196561:QBF196563 QKQ196561:QLB196563 QUM196561:QUX196563 REI196561:RET196563 ROE196561:ROP196563 RYA196561:RYL196563 SHW196561:SIH196563 SRS196561:SSD196563 TBO196561:TBZ196563 TLK196561:TLV196563 TVG196561:TVR196563 UFC196561:UFN196563 UOY196561:UPJ196563 UYU196561:UZF196563 VIQ196561:VJB196563 VSM196561:VSX196563 WCI196561:WCT196563 WME196561:WMP196563 WWA196561:WWL196563 JO262097:JZ262099 TK262097:TV262099 ADG262097:ADR262099 ANC262097:ANN262099 AWY262097:AXJ262099 BGU262097:BHF262099 BQQ262097:BRB262099 CAM262097:CAX262099 CKI262097:CKT262099 CUE262097:CUP262099 DEA262097:DEL262099 DNW262097:DOH262099 DXS262097:DYD262099 EHO262097:EHZ262099 ERK262097:ERV262099 FBG262097:FBR262099 FLC262097:FLN262099 FUY262097:FVJ262099 GEU262097:GFF262099 GOQ262097:GPB262099 GYM262097:GYX262099 HII262097:HIT262099 HSE262097:HSP262099 ICA262097:ICL262099 ILW262097:IMH262099 IVS262097:IWD262099 JFO262097:JFZ262099 JPK262097:JPV262099 JZG262097:JZR262099 KJC262097:KJN262099 KSY262097:KTJ262099 LCU262097:LDF262099 LMQ262097:LNB262099 LWM262097:LWX262099 MGI262097:MGT262099 MQE262097:MQP262099 NAA262097:NAL262099 NJW262097:NKH262099 NTS262097:NUD262099 ODO262097:ODZ262099 ONK262097:ONV262099 OXG262097:OXR262099 PHC262097:PHN262099 PQY262097:PRJ262099 QAU262097:QBF262099 QKQ262097:QLB262099 QUM262097:QUX262099 REI262097:RET262099 ROE262097:ROP262099 RYA262097:RYL262099 SHW262097:SIH262099 SRS262097:SSD262099 TBO262097:TBZ262099 TLK262097:TLV262099 TVG262097:TVR262099 UFC262097:UFN262099 UOY262097:UPJ262099 UYU262097:UZF262099 VIQ262097:VJB262099 VSM262097:VSX262099 WCI262097:WCT262099 WME262097:WMP262099 WWA262097:WWL262099 JO327633:JZ327635 TK327633:TV327635 ADG327633:ADR327635 ANC327633:ANN327635 AWY327633:AXJ327635 BGU327633:BHF327635 BQQ327633:BRB327635 CAM327633:CAX327635 CKI327633:CKT327635 CUE327633:CUP327635 DEA327633:DEL327635 DNW327633:DOH327635 DXS327633:DYD327635 EHO327633:EHZ327635 ERK327633:ERV327635 FBG327633:FBR327635 FLC327633:FLN327635 FUY327633:FVJ327635 GEU327633:GFF327635 GOQ327633:GPB327635 GYM327633:GYX327635 HII327633:HIT327635 HSE327633:HSP327635 ICA327633:ICL327635 ILW327633:IMH327635 IVS327633:IWD327635 JFO327633:JFZ327635 JPK327633:JPV327635 JZG327633:JZR327635 KJC327633:KJN327635 KSY327633:KTJ327635 LCU327633:LDF327635 LMQ327633:LNB327635 LWM327633:LWX327635 MGI327633:MGT327635 MQE327633:MQP327635 NAA327633:NAL327635 NJW327633:NKH327635 NTS327633:NUD327635 ODO327633:ODZ327635 ONK327633:ONV327635 OXG327633:OXR327635 PHC327633:PHN327635 PQY327633:PRJ327635 QAU327633:QBF327635 QKQ327633:QLB327635 QUM327633:QUX327635 REI327633:RET327635 ROE327633:ROP327635 RYA327633:RYL327635 SHW327633:SIH327635 SRS327633:SSD327635 TBO327633:TBZ327635 TLK327633:TLV327635 TVG327633:TVR327635 UFC327633:UFN327635 UOY327633:UPJ327635 UYU327633:UZF327635 VIQ327633:VJB327635 VSM327633:VSX327635 WCI327633:WCT327635 WME327633:WMP327635 WWA327633:WWL327635 JO393169:JZ393171 TK393169:TV393171 ADG393169:ADR393171 ANC393169:ANN393171 AWY393169:AXJ393171 BGU393169:BHF393171 BQQ393169:BRB393171 CAM393169:CAX393171 CKI393169:CKT393171 CUE393169:CUP393171 DEA393169:DEL393171 DNW393169:DOH393171 DXS393169:DYD393171 EHO393169:EHZ393171 ERK393169:ERV393171 FBG393169:FBR393171 FLC393169:FLN393171 FUY393169:FVJ393171 GEU393169:GFF393171 GOQ393169:GPB393171 GYM393169:GYX393171 HII393169:HIT393171 HSE393169:HSP393171 ICA393169:ICL393171 ILW393169:IMH393171 IVS393169:IWD393171 JFO393169:JFZ393171 JPK393169:JPV393171 JZG393169:JZR393171 KJC393169:KJN393171 KSY393169:KTJ393171 LCU393169:LDF393171 LMQ393169:LNB393171 LWM393169:LWX393171 MGI393169:MGT393171 MQE393169:MQP393171 NAA393169:NAL393171 NJW393169:NKH393171 NTS393169:NUD393171 ODO393169:ODZ393171 ONK393169:ONV393171 OXG393169:OXR393171 PHC393169:PHN393171 PQY393169:PRJ393171 QAU393169:QBF393171 QKQ393169:QLB393171 QUM393169:QUX393171 REI393169:RET393171 ROE393169:ROP393171 RYA393169:RYL393171 SHW393169:SIH393171 SRS393169:SSD393171 TBO393169:TBZ393171 TLK393169:TLV393171 TVG393169:TVR393171 UFC393169:UFN393171 UOY393169:UPJ393171 UYU393169:UZF393171 VIQ393169:VJB393171 VSM393169:VSX393171 WCI393169:WCT393171 WME393169:WMP393171 WWA393169:WWL393171 JO458705:JZ458707 TK458705:TV458707 ADG458705:ADR458707 ANC458705:ANN458707 AWY458705:AXJ458707 BGU458705:BHF458707 BQQ458705:BRB458707 CAM458705:CAX458707 CKI458705:CKT458707 CUE458705:CUP458707 DEA458705:DEL458707 DNW458705:DOH458707 DXS458705:DYD458707 EHO458705:EHZ458707 ERK458705:ERV458707 FBG458705:FBR458707 FLC458705:FLN458707 FUY458705:FVJ458707 GEU458705:GFF458707 GOQ458705:GPB458707 GYM458705:GYX458707 HII458705:HIT458707 HSE458705:HSP458707 ICA458705:ICL458707 ILW458705:IMH458707 IVS458705:IWD458707 JFO458705:JFZ458707 JPK458705:JPV458707 JZG458705:JZR458707 KJC458705:KJN458707 KSY458705:KTJ458707 LCU458705:LDF458707 LMQ458705:LNB458707 LWM458705:LWX458707 MGI458705:MGT458707 MQE458705:MQP458707 NAA458705:NAL458707 NJW458705:NKH458707 NTS458705:NUD458707 ODO458705:ODZ458707 ONK458705:ONV458707 OXG458705:OXR458707 PHC458705:PHN458707 PQY458705:PRJ458707 QAU458705:QBF458707 QKQ458705:QLB458707 QUM458705:QUX458707 REI458705:RET458707 ROE458705:ROP458707 RYA458705:RYL458707 SHW458705:SIH458707 SRS458705:SSD458707 TBO458705:TBZ458707 TLK458705:TLV458707 TVG458705:TVR458707 UFC458705:UFN458707 UOY458705:UPJ458707 UYU458705:UZF458707 VIQ458705:VJB458707 VSM458705:VSX458707 WCI458705:WCT458707 WME458705:WMP458707 WWA458705:WWL458707 JO524241:JZ524243 TK524241:TV524243 ADG524241:ADR524243 ANC524241:ANN524243 AWY524241:AXJ524243 BGU524241:BHF524243 BQQ524241:BRB524243 CAM524241:CAX524243 CKI524241:CKT524243 CUE524241:CUP524243 DEA524241:DEL524243 DNW524241:DOH524243 DXS524241:DYD524243 EHO524241:EHZ524243 ERK524241:ERV524243 FBG524241:FBR524243 FLC524241:FLN524243 FUY524241:FVJ524243 GEU524241:GFF524243 GOQ524241:GPB524243 GYM524241:GYX524243 HII524241:HIT524243 HSE524241:HSP524243 ICA524241:ICL524243 ILW524241:IMH524243 IVS524241:IWD524243 JFO524241:JFZ524243 JPK524241:JPV524243 JZG524241:JZR524243 KJC524241:KJN524243 KSY524241:KTJ524243 LCU524241:LDF524243 LMQ524241:LNB524243 LWM524241:LWX524243 MGI524241:MGT524243 MQE524241:MQP524243 NAA524241:NAL524243 NJW524241:NKH524243 NTS524241:NUD524243 ODO524241:ODZ524243 ONK524241:ONV524243 OXG524241:OXR524243 PHC524241:PHN524243 PQY524241:PRJ524243 QAU524241:QBF524243 QKQ524241:QLB524243 QUM524241:QUX524243 REI524241:RET524243 ROE524241:ROP524243 RYA524241:RYL524243 SHW524241:SIH524243 SRS524241:SSD524243 TBO524241:TBZ524243 TLK524241:TLV524243 TVG524241:TVR524243 UFC524241:UFN524243 UOY524241:UPJ524243 UYU524241:UZF524243 VIQ524241:VJB524243 VSM524241:VSX524243 WCI524241:WCT524243 WME524241:WMP524243 WWA524241:WWL524243 JO589777:JZ589779 TK589777:TV589779 ADG589777:ADR589779 ANC589777:ANN589779 AWY589777:AXJ589779 BGU589777:BHF589779 BQQ589777:BRB589779 CAM589777:CAX589779 CKI589777:CKT589779 CUE589777:CUP589779 DEA589777:DEL589779 DNW589777:DOH589779 DXS589777:DYD589779 EHO589777:EHZ589779 ERK589777:ERV589779 FBG589777:FBR589779 FLC589777:FLN589779 FUY589777:FVJ589779 GEU589777:GFF589779 GOQ589777:GPB589779 GYM589777:GYX589779 HII589777:HIT589779 HSE589777:HSP589779 ICA589777:ICL589779 ILW589777:IMH589779 IVS589777:IWD589779 JFO589777:JFZ589779 JPK589777:JPV589779 JZG589777:JZR589779 KJC589777:KJN589779 KSY589777:KTJ589779 LCU589777:LDF589779 LMQ589777:LNB589779 LWM589777:LWX589779 MGI589777:MGT589779 MQE589777:MQP589779 NAA589777:NAL589779 NJW589777:NKH589779 NTS589777:NUD589779 ODO589777:ODZ589779 ONK589777:ONV589779 OXG589777:OXR589779 PHC589777:PHN589779 PQY589777:PRJ589779 QAU589777:QBF589779 QKQ589777:QLB589779 QUM589777:QUX589779 REI589777:RET589779 ROE589777:ROP589779 RYA589777:RYL589779 SHW589777:SIH589779 SRS589777:SSD589779 TBO589777:TBZ589779 TLK589777:TLV589779 TVG589777:TVR589779 UFC589777:UFN589779 UOY589777:UPJ589779 UYU589777:UZF589779 VIQ589777:VJB589779 VSM589777:VSX589779 WCI589777:WCT589779 WME589777:WMP589779 WWA589777:WWL589779 JO655313:JZ655315 TK655313:TV655315 ADG655313:ADR655315 ANC655313:ANN655315 AWY655313:AXJ655315 BGU655313:BHF655315 BQQ655313:BRB655315 CAM655313:CAX655315 CKI655313:CKT655315 CUE655313:CUP655315 DEA655313:DEL655315 DNW655313:DOH655315 DXS655313:DYD655315 EHO655313:EHZ655315 ERK655313:ERV655315 FBG655313:FBR655315 FLC655313:FLN655315 FUY655313:FVJ655315 GEU655313:GFF655315 GOQ655313:GPB655315 GYM655313:GYX655315 HII655313:HIT655315 HSE655313:HSP655315 ICA655313:ICL655315 ILW655313:IMH655315 IVS655313:IWD655315 JFO655313:JFZ655315 JPK655313:JPV655315 JZG655313:JZR655315 KJC655313:KJN655315 KSY655313:KTJ655315 LCU655313:LDF655315 LMQ655313:LNB655315 LWM655313:LWX655315 MGI655313:MGT655315 MQE655313:MQP655315 NAA655313:NAL655315 NJW655313:NKH655315 NTS655313:NUD655315 ODO655313:ODZ655315 ONK655313:ONV655315 OXG655313:OXR655315 PHC655313:PHN655315 PQY655313:PRJ655315 QAU655313:QBF655315 QKQ655313:QLB655315 QUM655313:QUX655315 REI655313:RET655315 ROE655313:ROP655315 RYA655313:RYL655315 SHW655313:SIH655315 SRS655313:SSD655315 TBO655313:TBZ655315 TLK655313:TLV655315 TVG655313:TVR655315 UFC655313:UFN655315 UOY655313:UPJ655315 UYU655313:UZF655315 VIQ655313:VJB655315 VSM655313:VSX655315 WCI655313:WCT655315 WME655313:WMP655315 WWA655313:WWL655315 JO720849:JZ720851 TK720849:TV720851 ADG720849:ADR720851 ANC720849:ANN720851 AWY720849:AXJ720851 BGU720849:BHF720851 BQQ720849:BRB720851 CAM720849:CAX720851 CKI720849:CKT720851 CUE720849:CUP720851 DEA720849:DEL720851 DNW720849:DOH720851 DXS720849:DYD720851 EHO720849:EHZ720851 ERK720849:ERV720851 FBG720849:FBR720851 FLC720849:FLN720851 FUY720849:FVJ720851 GEU720849:GFF720851 GOQ720849:GPB720851 GYM720849:GYX720851 HII720849:HIT720851 HSE720849:HSP720851 ICA720849:ICL720851 ILW720849:IMH720851 IVS720849:IWD720851 JFO720849:JFZ720851 JPK720849:JPV720851 JZG720849:JZR720851 KJC720849:KJN720851 KSY720849:KTJ720851 LCU720849:LDF720851 LMQ720849:LNB720851 LWM720849:LWX720851 MGI720849:MGT720851 MQE720849:MQP720851 NAA720849:NAL720851 NJW720849:NKH720851 NTS720849:NUD720851 ODO720849:ODZ720851 ONK720849:ONV720851 OXG720849:OXR720851 PHC720849:PHN720851 PQY720849:PRJ720851 QAU720849:QBF720851 QKQ720849:QLB720851 QUM720849:QUX720851 REI720849:RET720851 ROE720849:ROP720851 RYA720849:RYL720851 SHW720849:SIH720851 SRS720849:SSD720851 TBO720849:TBZ720851 TLK720849:TLV720851 TVG720849:TVR720851 UFC720849:UFN720851 UOY720849:UPJ720851 UYU720849:UZF720851 VIQ720849:VJB720851 VSM720849:VSX720851 WCI720849:WCT720851 WME720849:WMP720851 WWA720849:WWL720851 JO786385:JZ786387 TK786385:TV786387 ADG786385:ADR786387 ANC786385:ANN786387 AWY786385:AXJ786387 BGU786385:BHF786387 BQQ786385:BRB786387 CAM786385:CAX786387 CKI786385:CKT786387 CUE786385:CUP786387 DEA786385:DEL786387 DNW786385:DOH786387 DXS786385:DYD786387 EHO786385:EHZ786387 ERK786385:ERV786387 FBG786385:FBR786387 FLC786385:FLN786387 FUY786385:FVJ786387 GEU786385:GFF786387 GOQ786385:GPB786387 GYM786385:GYX786387 HII786385:HIT786387 HSE786385:HSP786387 ICA786385:ICL786387 ILW786385:IMH786387 IVS786385:IWD786387 JFO786385:JFZ786387 JPK786385:JPV786387 JZG786385:JZR786387 KJC786385:KJN786387 KSY786385:KTJ786387 LCU786385:LDF786387 LMQ786385:LNB786387 LWM786385:LWX786387 MGI786385:MGT786387 MQE786385:MQP786387 NAA786385:NAL786387 NJW786385:NKH786387 NTS786385:NUD786387 ODO786385:ODZ786387 ONK786385:ONV786387 OXG786385:OXR786387 PHC786385:PHN786387 PQY786385:PRJ786387 QAU786385:QBF786387 QKQ786385:QLB786387 QUM786385:QUX786387 REI786385:RET786387 ROE786385:ROP786387 RYA786385:RYL786387 SHW786385:SIH786387 SRS786385:SSD786387 TBO786385:TBZ786387 TLK786385:TLV786387 TVG786385:TVR786387 UFC786385:UFN786387 UOY786385:UPJ786387 UYU786385:UZF786387 VIQ786385:VJB786387 VSM786385:VSX786387 WCI786385:WCT786387 WME786385:WMP786387 WWA786385:WWL786387 JO851921:JZ851923 TK851921:TV851923 ADG851921:ADR851923 ANC851921:ANN851923 AWY851921:AXJ851923 BGU851921:BHF851923 BQQ851921:BRB851923 CAM851921:CAX851923 CKI851921:CKT851923 CUE851921:CUP851923 DEA851921:DEL851923 DNW851921:DOH851923 DXS851921:DYD851923 EHO851921:EHZ851923 ERK851921:ERV851923 FBG851921:FBR851923 FLC851921:FLN851923 FUY851921:FVJ851923 GEU851921:GFF851923 GOQ851921:GPB851923 GYM851921:GYX851923 HII851921:HIT851923 HSE851921:HSP851923 ICA851921:ICL851923 ILW851921:IMH851923 IVS851921:IWD851923 JFO851921:JFZ851923 JPK851921:JPV851923 JZG851921:JZR851923 KJC851921:KJN851923 KSY851921:KTJ851923 LCU851921:LDF851923 LMQ851921:LNB851923 LWM851921:LWX851923 MGI851921:MGT851923 MQE851921:MQP851923 NAA851921:NAL851923 NJW851921:NKH851923 NTS851921:NUD851923 ODO851921:ODZ851923 ONK851921:ONV851923 OXG851921:OXR851923 PHC851921:PHN851923 PQY851921:PRJ851923 QAU851921:QBF851923 QKQ851921:QLB851923 QUM851921:QUX851923 REI851921:RET851923 ROE851921:ROP851923 RYA851921:RYL851923 SHW851921:SIH851923 SRS851921:SSD851923 TBO851921:TBZ851923 TLK851921:TLV851923 TVG851921:TVR851923 UFC851921:UFN851923 UOY851921:UPJ851923 UYU851921:UZF851923 VIQ851921:VJB851923 VSM851921:VSX851923 WCI851921:WCT851923 WME851921:WMP851923 WWA851921:WWL851923 JO917457:JZ917459 TK917457:TV917459 ADG917457:ADR917459 ANC917457:ANN917459 AWY917457:AXJ917459 BGU917457:BHF917459 BQQ917457:BRB917459 CAM917457:CAX917459 CKI917457:CKT917459 CUE917457:CUP917459 DEA917457:DEL917459 DNW917457:DOH917459 DXS917457:DYD917459 EHO917457:EHZ917459 ERK917457:ERV917459 FBG917457:FBR917459 FLC917457:FLN917459 FUY917457:FVJ917459 GEU917457:GFF917459 GOQ917457:GPB917459 GYM917457:GYX917459 HII917457:HIT917459 HSE917457:HSP917459 ICA917457:ICL917459 ILW917457:IMH917459 IVS917457:IWD917459 JFO917457:JFZ917459 JPK917457:JPV917459 JZG917457:JZR917459 KJC917457:KJN917459 KSY917457:KTJ917459 LCU917457:LDF917459 LMQ917457:LNB917459 LWM917457:LWX917459 MGI917457:MGT917459 MQE917457:MQP917459 NAA917457:NAL917459 NJW917457:NKH917459 NTS917457:NUD917459 ODO917457:ODZ917459 ONK917457:ONV917459 OXG917457:OXR917459 PHC917457:PHN917459 PQY917457:PRJ917459 QAU917457:QBF917459 QKQ917457:QLB917459 QUM917457:QUX917459 REI917457:RET917459 ROE917457:ROP917459 RYA917457:RYL917459 SHW917457:SIH917459 SRS917457:SSD917459 TBO917457:TBZ917459 TLK917457:TLV917459 TVG917457:TVR917459 UFC917457:UFN917459 UOY917457:UPJ917459 UYU917457:UZF917459 VIQ917457:VJB917459 VSM917457:VSX917459 WCI917457:WCT917459 WME917457:WMP917459 WWA917457:WWL917459 JO982993:JZ982995 TK982993:TV982995 ADG982993:ADR982995 ANC982993:ANN982995 AWY982993:AXJ982995 BGU982993:BHF982995 BQQ982993:BRB982995 CAM982993:CAX982995 CKI982993:CKT982995 CUE982993:CUP982995 DEA982993:DEL982995 DNW982993:DOH982995 DXS982993:DYD982995 EHO982993:EHZ982995 ERK982993:ERV982995 FBG982993:FBR982995 FLC982993:FLN982995 FUY982993:FVJ982995 GEU982993:GFF982995 GOQ982993:GPB982995 GYM982993:GYX982995 HII982993:HIT982995 HSE982993:HSP982995 ICA982993:ICL982995 ILW982993:IMH982995 IVS982993:IWD982995 JFO982993:JFZ982995 JPK982993:JPV982995 JZG982993:JZR982995 KJC982993:KJN982995 KSY982993:KTJ982995 LCU982993:LDF982995 LMQ982993:LNB982995 LWM982993:LWX982995 MGI982993:MGT982995 MQE982993:MQP982995 NAA982993:NAL982995 NJW982993:NKH982995 NTS982993:NUD982995 ODO982993:ODZ982995 ONK982993:ONV982995 OXG982993:OXR982995 PHC982993:PHN982995 PQY982993:PRJ982995 QAU982993:QBF982995 QKQ982993:QLB982995 QUM982993:QUX982995 REI982993:RET982995 ROE982993:ROP982995 RYA982993:RYL982995 SHW982993:SIH982995 SRS982993:SSD982995 TBO982993:TBZ982995 TLK982993:TLV982995 TVG982993:TVR982995 UFC982993:UFN982995 UOY982993:UPJ982995 UYU982993:UZF982995 VIQ982993:VJB982995 VSM982993:VSX982995 WCI982993:WCT982995 WME982993:WMP982995 WWA982993:WWL982995 JP2:KA4 TL2:TW4 ADH2:ADS4 AND2:ANO4 AWZ2:AXK4 BGV2:BHG4 BQR2:BRC4 CAN2:CAY4 CKJ2:CKU4 CUF2:CUQ4 DEB2:DEM4 DNX2:DOI4 DXT2:DYE4 EHP2:EIA4 ERL2:ERW4 FBH2:FBS4 FLD2:FLO4 FUZ2:FVK4 GEV2:GFG4 GOR2:GPC4 GYN2:GYY4 HIJ2:HIU4 HSF2:HSQ4 ICB2:ICM4 ILX2:IMI4 IVT2:IWE4 JFP2:JGA4 JPL2:JPW4 JZH2:JZS4 KJD2:KJO4 KSZ2:KTK4 LCV2:LDG4 LMR2:LNC4 LWN2:LWY4 MGJ2:MGU4 MQF2:MQQ4 NAB2:NAM4 NJX2:NKI4 NTT2:NUE4 ODP2:OEA4 ONL2:ONW4 OXH2:OXS4 PHD2:PHO4 PQZ2:PRK4 QAV2:QBG4 QKR2:QLC4 QUN2:QUY4 REJ2:REU4 ROF2:ROQ4 RYB2:RYM4 SHX2:SII4 SRT2:SSE4 TBP2:TCA4 TLL2:TLW4 TVH2:TVS4 UFD2:UFO4 UOZ2:UPK4 UYV2:UZG4 VIR2:VJC4 VSN2:VSY4 WCJ2:WCU4 WMF2:WMQ4 WWB2:WWM4 AC65489:AM65491 AC982993:AM982995 AC917457:AM917459 AC851921:AM851923 AC786385:AM786387 AC720849:AM720851 AC655313:AM655315 AC589777:AM589779 AC524241:AM524243 AC458705:AM458707 AC393169:AM393171 AC327633:AM327635 AC262097:AM262099 AC196561:AM196563 AC131025:AM131027 R2"/>
    <dataValidation type="list" allowBlank="1" showInputMessage="1" showErrorMessage="1" sqref="Y8:Z85">
      <formula1>"文字,数値,日付,時間"</formula1>
    </dataValidation>
    <dataValidation type="list" allowBlank="1" showInputMessage="1" showErrorMessage="1" sqref="AA8:AC85">
      <formula1>"int,numeric,varchar,date,datetime2(0),datetime2,varbinary(max)"</formula1>
    </dataValidation>
  </dataValidations>
  <pageMargins left="0.39370078740157483" right="0.39370078740157483" top="0.59055118110236227" bottom="0.39370078740157483" header="0.39370078740157483" footer="0.19685039370078741"/>
  <pageSetup paperSize="9" scale="80" fitToHeight="0" orientation="landscape" useFirstPageNumber="1" verticalDpi="300" r:id="rId1"/>
  <headerFooter alignWithMargins="0">
    <oddFooter>&amp;R&amp;A - &amp;P</oddFooter>
  </headerFooter>
  <legacyDrawing r:id="rId2"/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55"/>
  <dimension ref="A1:BE46"/>
  <sheetViews>
    <sheetView showGridLines="0" zoomScaleNormal="100" zoomScaleSheetLayoutView="100" workbookViewId="0">
      <pane ySplit="7" topLeftCell="A8" activePane="bottomLeft" state="frozen"/>
      <selection sqref="A1:K4"/>
      <selection pane="bottomLeft" sqref="A1:H4"/>
    </sheetView>
  </sheetViews>
  <sheetFormatPr defaultColWidth="2.6328125" defaultRowHeight="14.4" customHeight="1"/>
  <cols>
    <col min="1" max="1" width="4.6328125" style="18" customWidth="1"/>
    <col min="2" max="29" width="2.6328125" style="18"/>
    <col min="30" max="30" width="4.6328125" style="18" customWidth="1"/>
    <col min="31" max="33" width="2.6328125" style="18"/>
    <col min="34" max="34" width="6.6328125" style="18" customWidth="1"/>
    <col min="35" max="44" width="2.6328125" style="18"/>
    <col min="45" max="56" width="2.6328125" style="46"/>
    <col min="57" max="16384" width="2.6328125" style="18"/>
  </cols>
  <sheetData>
    <row r="1" spans="1:56" s="17" customFormat="1" ht="14.4" customHeight="1">
      <c r="A1" s="417" t="s">
        <v>78</v>
      </c>
      <c r="B1" s="418"/>
      <c r="C1" s="418"/>
      <c r="D1" s="418"/>
      <c r="E1" s="418"/>
      <c r="F1" s="418"/>
      <c r="G1" s="418"/>
      <c r="H1" s="419"/>
      <c r="I1" s="354" t="s">
        <v>79</v>
      </c>
      <c r="J1" s="355"/>
      <c r="K1" s="355"/>
      <c r="L1" s="355"/>
      <c r="M1" s="355"/>
      <c r="N1" s="355"/>
      <c r="O1" s="355"/>
      <c r="P1" s="355"/>
      <c r="Q1" s="356"/>
      <c r="R1" s="354" t="s">
        <v>80</v>
      </c>
      <c r="S1" s="355"/>
      <c r="T1" s="355"/>
      <c r="U1" s="355"/>
      <c r="V1" s="355"/>
      <c r="W1" s="355"/>
      <c r="X1" s="356"/>
      <c r="Y1" s="354" t="s">
        <v>135</v>
      </c>
      <c r="Z1" s="355"/>
      <c r="AA1" s="355"/>
      <c r="AB1" s="355"/>
      <c r="AC1" s="355"/>
      <c r="AD1" s="355"/>
      <c r="AE1" s="355"/>
      <c r="AF1" s="355"/>
      <c r="AG1" s="355"/>
      <c r="AH1" s="355"/>
      <c r="AI1" s="355"/>
      <c r="AJ1" s="355"/>
      <c r="AK1" s="355"/>
      <c r="AL1" s="355"/>
      <c r="AM1" s="355"/>
      <c r="AN1" s="355"/>
      <c r="AO1" s="356"/>
      <c r="AP1" s="428" t="s">
        <v>82</v>
      </c>
      <c r="AQ1" s="429"/>
      <c r="AR1" s="429"/>
      <c r="AS1" s="429"/>
      <c r="AT1" s="430"/>
      <c r="AU1" s="428" t="s">
        <v>83</v>
      </c>
      <c r="AV1" s="429"/>
      <c r="AW1" s="429"/>
      <c r="AX1" s="429"/>
      <c r="AY1" s="430"/>
      <c r="AZ1" s="428" t="s">
        <v>84</v>
      </c>
      <c r="BA1" s="429"/>
      <c r="BB1" s="429"/>
      <c r="BC1" s="429"/>
      <c r="BD1" s="430"/>
    </row>
    <row r="2" spans="1:56" s="17" customFormat="1" ht="14.4" customHeight="1">
      <c r="A2" s="420"/>
      <c r="B2" s="421"/>
      <c r="C2" s="421"/>
      <c r="D2" s="421"/>
      <c r="E2" s="421"/>
      <c r="F2" s="421"/>
      <c r="G2" s="421"/>
      <c r="H2" s="422"/>
      <c r="I2" s="384" t="s">
        <v>85</v>
      </c>
      <c r="J2" s="385"/>
      <c r="K2" s="385"/>
      <c r="L2" s="385"/>
      <c r="M2" s="385"/>
      <c r="N2" s="385"/>
      <c r="O2" s="385"/>
      <c r="P2" s="385"/>
      <c r="Q2" s="386"/>
      <c r="R2" s="384" t="str">
        <f ca="1">VLOOKUP(RIGHT(CELL("filename",A2),LEN(CELL("filename",A2))-FIND("]",CELL("filename",A2))),テーブル一覧!B:AD,22,FALSE)</f>
        <v>B.生産計画</v>
      </c>
      <c r="S2" s="385"/>
      <c r="T2" s="385"/>
      <c r="U2" s="385"/>
      <c r="V2" s="385"/>
      <c r="W2" s="385"/>
      <c r="X2" s="386"/>
      <c r="Y2" s="384" t="str">
        <f ca="1">VLOOKUP(RIGHT(CELL("filename",A2),LEN(CELL("filename",A2))-FIND("]",CELL("filename",A2))),テーブル一覧!B:AD,1,FALSE)</f>
        <v>生産計画情報（パッケージ工場）</v>
      </c>
      <c r="Z2" s="385"/>
      <c r="AA2" s="385"/>
      <c r="AB2" s="385"/>
      <c r="AC2" s="385"/>
      <c r="AD2" s="385"/>
      <c r="AE2" s="385"/>
      <c r="AF2" s="385"/>
      <c r="AG2" s="385"/>
      <c r="AH2" s="385"/>
      <c r="AI2" s="385"/>
      <c r="AJ2" s="385"/>
      <c r="AK2" s="385"/>
      <c r="AL2" s="385"/>
      <c r="AM2" s="385"/>
      <c r="AN2" s="385"/>
      <c r="AO2" s="386"/>
      <c r="AP2" s="357"/>
      <c r="AQ2" s="358"/>
      <c r="AR2" s="358"/>
      <c r="AS2" s="358"/>
      <c r="AT2" s="359"/>
      <c r="AU2" s="58" t="s">
        <v>88</v>
      </c>
      <c r="AV2" s="59"/>
      <c r="AW2" s="59"/>
      <c r="AX2" s="59"/>
      <c r="AY2" s="60"/>
      <c r="AZ2" s="434" t="s">
        <v>89</v>
      </c>
      <c r="BA2" s="435"/>
      <c r="BB2" s="435"/>
      <c r="BC2" s="435"/>
      <c r="BD2" s="436"/>
    </row>
    <row r="3" spans="1:56" s="17" customFormat="1" ht="14.4" customHeight="1">
      <c r="A3" s="420"/>
      <c r="B3" s="421"/>
      <c r="C3" s="421"/>
      <c r="D3" s="421"/>
      <c r="E3" s="421"/>
      <c r="F3" s="421"/>
      <c r="G3" s="421"/>
      <c r="H3" s="422"/>
      <c r="I3" s="387"/>
      <c r="J3" s="388"/>
      <c r="K3" s="388"/>
      <c r="L3" s="388"/>
      <c r="M3" s="388"/>
      <c r="N3" s="388"/>
      <c r="O3" s="388"/>
      <c r="P3" s="388"/>
      <c r="Q3" s="389"/>
      <c r="R3" s="387"/>
      <c r="S3" s="388"/>
      <c r="T3" s="388"/>
      <c r="U3" s="388"/>
      <c r="V3" s="388"/>
      <c r="W3" s="388"/>
      <c r="X3" s="389"/>
      <c r="Y3" s="390"/>
      <c r="Z3" s="391"/>
      <c r="AA3" s="391"/>
      <c r="AB3" s="391"/>
      <c r="AC3" s="391"/>
      <c r="AD3" s="391"/>
      <c r="AE3" s="391"/>
      <c r="AF3" s="391"/>
      <c r="AG3" s="391"/>
      <c r="AH3" s="391"/>
      <c r="AI3" s="391"/>
      <c r="AJ3" s="391"/>
      <c r="AK3" s="391"/>
      <c r="AL3" s="391"/>
      <c r="AM3" s="391"/>
      <c r="AN3" s="391"/>
      <c r="AO3" s="392"/>
      <c r="AP3" s="360"/>
      <c r="AQ3" s="361"/>
      <c r="AR3" s="361"/>
      <c r="AS3" s="361"/>
      <c r="AT3" s="362"/>
      <c r="AU3" s="431"/>
      <c r="AV3" s="432"/>
      <c r="AW3" s="432"/>
      <c r="AX3" s="432"/>
      <c r="AY3" s="433"/>
      <c r="AZ3" s="434"/>
      <c r="BA3" s="435"/>
      <c r="BB3" s="435"/>
      <c r="BC3" s="435"/>
      <c r="BD3" s="436"/>
    </row>
    <row r="4" spans="1:56" s="17" customFormat="1" ht="14.4" customHeight="1">
      <c r="A4" s="423"/>
      <c r="B4" s="424"/>
      <c r="C4" s="424"/>
      <c r="D4" s="424"/>
      <c r="E4" s="424"/>
      <c r="F4" s="424"/>
      <c r="G4" s="424"/>
      <c r="H4" s="425"/>
      <c r="I4" s="390"/>
      <c r="J4" s="391"/>
      <c r="K4" s="391"/>
      <c r="L4" s="391"/>
      <c r="M4" s="391"/>
      <c r="N4" s="391"/>
      <c r="O4" s="391"/>
      <c r="P4" s="391"/>
      <c r="Q4" s="392"/>
      <c r="R4" s="390"/>
      <c r="S4" s="391"/>
      <c r="T4" s="391"/>
      <c r="U4" s="391"/>
      <c r="V4" s="391"/>
      <c r="W4" s="391"/>
      <c r="X4" s="392"/>
      <c r="Y4" s="437" t="str">
        <f ca="1">IF(VLOOKUP(RIGHT(CELL("filename",A2),LEN(CELL("filename",A2))-FIND("]",CELL("filename",A2))),テーブル一覧!B:AD,11,FALSE)=0,"",VLOOKUP(RIGHT(CELL("filename",A2),LEN(CELL("filename",A2))-FIND("]",CELL("filename",A2))),テーブル一覧!B:AD,11,FALSE))</f>
        <v>t_seisan_keikaku_pk</v>
      </c>
      <c r="Z4" s="438"/>
      <c r="AA4" s="438"/>
      <c r="AB4" s="438"/>
      <c r="AC4" s="438"/>
      <c r="AD4" s="438"/>
      <c r="AE4" s="438"/>
      <c r="AF4" s="438"/>
      <c r="AG4" s="438"/>
      <c r="AH4" s="438"/>
      <c r="AI4" s="438"/>
      <c r="AJ4" s="438"/>
      <c r="AK4" s="438"/>
      <c r="AL4" s="438"/>
      <c r="AM4" s="438"/>
      <c r="AN4" s="438"/>
      <c r="AO4" s="439"/>
      <c r="AP4" s="360"/>
      <c r="AQ4" s="361"/>
      <c r="AR4" s="361"/>
      <c r="AS4" s="361"/>
      <c r="AT4" s="362"/>
      <c r="AU4" s="431"/>
      <c r="AV4" s="432"/>
      <c r="AW4" s="432"/>
      <c r="AX4" s="432"/>
      <c r="AY4" s="433"/>
      <c r="AZ4" s="434"/>
      <c r="BA4" s="435"/>
      <c r="BB4" s="435"/>
      <c r="BC4" s="435"/>
      <c r="BD4" s="436"/>
    </row>
    <row r="6" spans="1:56" ht="14.4" customHeight="1">
      <c r="A6" s="426" t="s">
        <v>90</v>
      </c>
      <c r="B6" s="407" t="s">
        <v>136</v>
      </c>
      <c r="C6" s="415"/>
      <c r="D6" s="415"/>
      <c r="E6" s="415"/>
      <c r="F6" s="415"/>
      <c r="G6" s="415"/>
      <c r="H6" s="408"/>
      <c r="I6" s="407" t="s">
        <v>137</v>
      </c>
      <c r="J6" s="415"/>
      <c r="K6" s="415"/>
      <c r="L6" s="415"/>
      <c r="M6" s="415"/>
      <c r="N6" s="415"/>
      <c r="O6" s="415"/>
      <c r="P6" s="415"/>
      <c r="Q6" s="408"/>
      <c r="R6" s="407" t="s">
        <v>138</v>
      </c>
      <c r="S6" s="415"/>
      <c r="T6" s="415"/>
      <c r="U6" s="415"/>
      <c r="V6" s="415"/>
      <c r="W6" s="415"/>
      <c r="X6" s="408"/>
      <c r="Y6" s="407" t="s">
        <v>139</v>
      </c>
      <c r="Z6" s="408"/>
      <c r="AA6" s="407" t="s">
        <v>140</v>
      </c>
      <c r="AB6" s="415"/>
      <c r="AC6" s="408"/>
      <c r="AD6" s="411" t="s">
        <v>141</v>
      </c>
      <c r="AE6" s="413" t="s">
        <v>142</v>
      </c>
      <c r="AF6" s="411" t="s">
        <v>143</v>
      </c>
      <c r="AG6" s="411" t="s">
        <v>144</v>
      </c>
      <c r="AH6" s="411" t="s">
        <v>145</v>
      </c>
      <c r="AI6" s="404" t="s">
        <v>146</v>
      </c>
      <c r="AJ6" s="405"/>
      <c r="AK6" s="405"/>
      <c r="AL6" s="405"/>
      <c r="AM6" s="405"/>
      <c r="AN6" s="405"/>
      <c r="AO6" s="405"/>
      <c r="AP6" s="405"/>
      <c r="AQ6" s="405"/>
      <c r="AR6" s="406"/>
      <c r="AS6" s="407" t="s">
        <v>147</v>
      </c>
      <c r="AT6" s="415"/>
      <c r="AU6" s="415"/>
      <c r="AV6" s="415"/>
      <c r="AW6" s="415"/>
      <c r="AX6" s="415"/>
      <c r="AY6" s="415"/>
      <c r="AZ6" s="415"/>
      <c r="BA6" s="415"/>
      <c r="BB6" s="415"/>
      <c r="BC6" s="415"/>
      <c r="BD6" s="408"/>
    </row>
    <row r="7" spans="1:56" ht="14.4" customHeight="1">
      <c r="A7" s="427"/>
      <c r="B7" s="409"/>
      <c r="C7" s="416"/>
      <c r="D7" s="416"/>
      <c r="E7" s="416"/>
      <c r="F7" s="416"/>
      <c r="G7" s="416"/>
      <c r="H7" s="410"/>
      <c r="I7" s="409"/>
      <c r="J7" s="416"/>
      <c r="K7" s="416"/>
      <c r="L7" s="416"/>
      <c r="M7" s="416"/>
      <c r="N7" s="416"/>
      <c r="O7" s="416"/>
      <c r="P7" s="416"/>
      <c r="Q7" s="410"/>
      <c r="R7" s="409"/>
      <c r="S7" s="416"/>
      <c r="T7" s="416"/>
      <c r="U7" s="416"/>
      <c r="V7" s="416"/>
      <c r="W7" s="416"/>
      <c r="X7" s="410"/>
      <c r="Y7" s="409"/>
      <c r="Z7" s="410"/>
      <c r="AA7" s="409"/>
      <c r="AB7" s="416"/>
      <c r="AC7" s="410"/>
      <c r="AD7" s="412"/>
      <c r="AE7" s="414"/>
      <c r="AF7" s="412"/>
      <c r="AG7" s="412"/>
      <c r="AH7" s="412"/>
      <c r="AI7" s="52">
        <v>1</v>
      </c>
      <c r="AJ7" s="52">
        <v>2</v>
      </c>
      <c r="AK7" s="52">
        <v>3</v>
      </c>
      <c r="AL7" s="52">
        <v>4</v>
      </c>
      <c r="AM7" s="52">
        <v>5</v>
      </c>
      <c r="AN7" s="52">
        <v>6</v>
      </c>
      <c r="AO7" s="52">
        <v>7</v>
      </c>
      <c r="AP7" s="52">
        <v>8</v>
      </c>
      <c r="AQ7" s="52">
        <v>9</v>
      </c>
      <c r="AR7" s="52">
        <v>10</v>
      </c>
      <c r="AS7" s="409"/>
      <c r="AT7" s="416"/>
      <c r="AU7" s="416"/>
      <c r="AV7" s="416"/>
      <c r="AW7" s="416"/>
      <c r="AX7" s="416"/>
      <c r="AY7" s="416"/>
      <c r="AZ7" s="416"/>
      <c r="BA7" s="416"/>
      <c r="BB7" s="416"/>
      <c r="BC7" s="416"/>
      <c r="BD7" s="410"/>
    </row>
    <row r="8" spans="1:56" s="1" customFormat="1" ht="14.4" customHeight="1">
      <c r="A8" s="145">
        <f>IF(B8="","",COUNTA($B$8:B8))</f>
        <v>1</v>
      </c>
      <c r="B8" s="146" t="s">
        <v>148</v>
      </c>
      <c r="C8" s="129"/>
      <c r="D8" s="129"/>
      <c r="E8" s="129"/>
      <c r="F8" s="129"/>
      <c r="G8" s="129"/>
      <c r="H8" s="147"/>
      <c r="I8" s="128" t="s">
        <v>149</v>
      </c>
      <c r="J8" s="129"/>
      <c r="K8" s="129"/>
      <c r="L8" s="129"/>
      <c r="M8" s="129"/>
      <c r="N8" s="129"/>
      <c r="O8" s="129"/>
      <c r="P8" s="129"/>
      <c r="Q8" s="147"/>
      <c r="R8" s="146" t="s">
        <v>148</v>
      </c>
      <c r="S8" s="129"/>
      <c r="T8" s="129"/>
      <c r="U8" s="129"/>
      <c r="V8" s="129"/>
      <c r="W8" s="129"/>
      <c r="X8" s="148"/>
      <c r="Y8" s="451" t="s">
        <v>150</v>
      </c>
      <c r="Z8" s="452"/>
      <c r="AA8" s="448" t="s">
        <v>151</v>
      </c>
      <c r="AB8" s="449"/>
      <c r="AC8" s="450"/>
      <c r="AD8" s="139">
        <v>15</v>
      </c>
      <c r="AE8" s="124"/>
      <c r="AF8" s="124">
        <v>1</v>
      </c>
      <c r="AG8" s="133" t="s">
        <v>152</v>
      </c>
      <c r="AH8" s="133"/>
      <c r="AI8" s="133"/>
      <c r="AJ8" s="133"/>
      <c r="AK8" s="133"/>
      <c r="AL8" s="133"/>
      <c r="AM8" s="133"/>
      <c r="AN8" s="133"/>
      <c r="AO8" s="124"/>
      <c r="AP8" s="124"/>
      <c r="AQ8" s="124"/>
      <c r="AR8" s="124"/>
      <c r="AS8" s="192"/>
      <c r="AT8" s="193"/>
      <c r="AU8" s="193"/>
      <c r="AV8" s="193"/>
      <c r="AW8" s="193"/>
      <c r="AX8" s="193"/>
      <c r="AY8" s="193"/>
      <c r="AZ8" s="193"/>
      <c r="BA8" s="193"/>
      <c r="BB8" s="193"/>
      <c r="BC8" s="193"/>
      <c r="BD8" s="194"/>
    </row>
    <row r="9" spans="1:56" s="1" customFormat="1" ht="14.4" customHeight="1">
      <c r="A9" s="145">
        <f>IF(B9="","",COUNTA($B$8:B9))</f>
        <v>2</v>
      </c>
      <c r="B9" s="208" t="s">
        <v>157</v>
      </c>
      <c r="C9" s="127"/>
      <c r="D9" s="127"/>
      <c r="E9" s="127"/>
      <c r="F9" s="127"/>
      <c r="G9" s="127"/>
      <c r="H9" s="148"/>
      <c r="I9" s="128" t="s">
        <v>158</v>
      </c>
      <c r="J9" s="129"/>
      <c r="K9" s="129"/>
      <c r="L9" s="129"/>
      <c r="M9" s="129"/>
      <c r="N9" s="129"/>
      <c r="O9" s="129"/>
      <c r="P9" s="129"/>
      <c r="Q9" s="147"/>
      <c r="R9" s="208" t="s">
        <v>157</v>
      </c>
      <c r="S9" s="129"/>
      <c r="T9" s="129"/>
      <c r="U9" s="129"/>
      <c r="V9" s="129"/>
      <c r="W9" s="129"/>
      <c r="X9" s="148"/>
      <c r="Y9" s="451" t="s">
        <v>150</v>
      </c>
      <c r="Z9" s="452"/>
      <c r="AA9" s="448" t="s">
        <v>151</v>
      </c>
      <c r="AB9" s="449"/>
      <c r="AC9" s="450"/>
      <c r="AD9" s="139">
        <v>10</v>
      </c>
      <c r="AE9" s="124"/>
      <c r="AF9" s="124"/>
      <c r="AG9" s="124"/>
      <c r="AH9" s="133"/>
      <c r="AI9" s="133"/>
      <c r="AJ9" s="133"/>
      <c r="AK9" s="133"/>
      <c r="AL9" s="133"/>
      <c r="AM9" s="133"/>
      <c r="AN9" s="133"/>
      <c r="AO9" s="124"/>
      <c r="AP9" s="124"/>
      <c r="AQ9" s="124"/>
      <c r="AR9" s="124"/>
      <c r="AS9" s="131"/>
      <c r="AT9" s="137"/>
      <c r="AU9" s="137"/>
      <c r="AV9" s="137"/>
      <c r="AW9" s="137"/>
      <c r="AX9" s="137"/>
      <c r="AY9" s="137"/>
      <c r="AZ9" s="137"/>
      <c r="BA9" s="137"/>
      <c r="BB9" s="137"/>
      <c r="BC9" s="137"/>
      <c r="BD9" s="138"/>
    </row>
    <row r="10" spans="1:56" s="1" customFormat="1" ht="14.4" customHeight="1">
      <c r="A10" s="145">
        <f>IF(B10="","",COUNTA($B$8:B10))</f>
        <v>3</v>
      </c>
      <c r="B10" s="208" t="s">
        <v>159</v>
      </c>
      <c r="C10" s="127"/>
      <c r="D10" s="127"/>
      <c r="E10" s="127"/>
      <c r="F10" s="127"/>
      <c r="G10" s="127"/>
      <c r="H10" s="148"/>
      <c r="I10" s="128" t="s">
        <v>160</v>
      </c>
      <c r="J10" s="129"/>
      <c r="K10" s="129"/>
      <c r="L10" s="129"/>
      <c r="M10" s="129"/>
      <c r="N10" s="129"/>
      <c r="O10" s="129"/>
      <c r="P10" s="129"/>
      <c r="Q10" s="147"/>
      <c r="R10" s="208" t="s">
        <v>159</v>
      </c>
      <c r="S10" s="129"/>
      <c r="T10" s="129"/>
      <c r="U10" s="129"/>
      <c r="V10" s="129"/>
      <c r="W10" s="129"/>
      <c r="X10" s="148"/>
      <c r="Y10" s="451" t="s">
        <v>150</v>
      </c>
      <c r="Z10" s="452"/>
      <c r="AA10" s="448" t="s">
        <v>151</v>
      </c>
      <c r="AB10" s="449"/>
      <c r="AC10" s="450"/>
      <c r="AD10" s="139">
        <v>4</v>
      </c>
      <c r="AE10" s="124"/>
      <c r="AF10" s="124"/>
      <c r="AG10" s="124"/>
      <c r="AH10" s="133"/>
      <c r="AI10" s="133" t="s">
        <v>161</v>
      </c>
      <c r="AJ10" s="133"/>
      <c r="AK10" s="133"/>
      <c r="AL10" s="133"/>
      <c r="AM10" s="133"/>
      <c r="AN10" s="133"/>
      <c r="AO10" s="124"/>
      <c r="AP10" s="124"/>
      <c r="AQ10" s="124"/>
      <c r="AR10" s="124"/>
      <c r="AS10" s="131"/>
      <c r="AT10" s="137"/>
      <c r="AU10" s="137"/>
      <c r="AV10" s="137"/>
      <c r="AW10" s="137"/>
      <c r="AX10" s="137"/>
      <c r="AY10" s="137"/>
      <c r="AZ10" s="137"/>
      <c r="BA10" s="137"/>
      <c r="BB10" s="137"/>
      <c r="BC10" s="137"/>
      <c r="BD10" s="138"/>
    </row>
    <row r="11" spans="1:56" s="1" customFormat="1" ht="14.4" customHeight="1">
      <c r="A11" s="145">
        <f>IF(B11="","",COUNTA($B$8:B11))</f>
        <v>4</v>
      </c>
      <c r="B11" s="195" t="s">
        <v>162</v>
      </c>
      <c r="D11" s="127"/>
      <c r="E11" s="127"/>
      <c r="F11" s="127"/>
      <c r="G11" s="127"/>
      <c r="H11" s="148"/>
      <c r="I11" s="195" t="s">
        <v>163</v>
      </c>
      <c r="J11" s="129"/>
      <c r="K11" s="129"/>
      <c r="L11" s="129"/>
      <c r="M11" s="129"/>
      <c r="N11" s="129"/>
      <c r="O11" s="129"/>
      <c r="P11" s="129"/>
      <c r="Q11" s="147"/>
      <c r="R11" s="208" t="s">
        <v>164</v>
      </c>
      <c r="S11" s="129"/>
      <c r="T11" s="129"/>
      <c r="U11" s="129"/>
      <c r="V11" s="129"/>
      <c r="W11" s="129"/>
      <c r="X11" s="148"/>
      <c r="Y11" s="451" t="s">
        <v>150</v>
      </c>
      <c r="Z11" s="452"/>
      <c r="AA11" s="448" t="s">
        <v>151</v>
      </c>
      <c r="AB11" s="449"/>
      <c r="AC11" s="450"/>
      <c r="AD11" s="139">
        <v>4</v>
      </c>
      <c r="AE11" s="124"/>
      <c r="AF11" s="124"/>
      <c r="AG11" s="124"/>
      <c r="AH11" s="133"/>
      <c r="AI11" s="133" t="s">
        <v>165</v>
      </c>
      <c r="AJ11" s="133"/>
      <c r="AK11" s="133"/>
      <c r="AL11" s="133"/>
      <c r="AM11" s="133"/>
      <c r="AN11" s="133"/>
      <c r="AO11" s="124"/>
      <c r="AP11" s="124"/>
      <c r="AQ11" s="124"/>
      <c r="AR11" s="124"/>
      <c r="AS11" s="131"/>
      <c r="AT11" s="137"/>
      <c r="AU11" s="137"/>
      <c r="AV11" s="137"/>
      <c r="AW11" s="137"/>
      <c r="AX11" s="137"/>
      <c r="AY11" s="137"/>
      <c r="AZ11" s="137"/>
      <c r="BA11" s="137"/>
      <c r="BB11" s="137"/>
      <c r="BC11" s="137"/>
      <c r="BD11" s="138"/>
    </row>
    <row r="12" spans="1:56" s="1" customFormat="1" ht="14.4" customHeight="1">
      <c r="A12" s="145">
        <f>IF(B12="","",COUNTA($B$8:B12))</f>
        <v>5</v>
      </c>
      <c r="B12" s="208" t="s">
        <v>166</v>
      </c>
      <c r="C12" s="127"/>
      <c r="D12" s="127"/>
      <c r="E12" s="127"/>
      <c r="F12" s="127"/>
      <c r="G12" s="127"/>
      <c r="H12" s="148"/>
      <c r="I12" s="128" t="s">
        <v>167</v>
      </c>
      <c r="J12" s="129"/>
      <c r="K12" s="129"/>
      <c r="L12" s="129"/>
      <c r="M12" s="129"/>
      <c r="N12" s="129"/>
      <c r="O12" s="129"/>
      <c r="P12" s="129"/>
      <c r="Q12" s="147"/>
      <c r="R12" s="208" t="s">
        <v>168</v>
      </c>
      <c r="S12" s="129"/>
      <c r="T12" s="129"/>
      <c r="U12" s="129"/>
      <c r="V12" s="129"/>
      <c r="W12" s="129"/>
      <c r="X12" s="148"/>
      <c r="Y12" s="208" t="s">
        <v>169</v>
      </c>
      <c r="Z12" s="209"/>
      <c r="AA12" s="210" t="s">
        <v>170</v>
      </c>
      <c r="AB12" s="211"/>
      <c r="AC12" s="212"/>
      <c r="AD12" s="139"/>
      <c r="AE12" s="124"/>
      <c r="AF12" s="124"/>
      <c r="AG12" s="124"/>
      <c r="AH12" s="133"/>
      <c r="AI12" s="133" t="s">
        <v>171</v>
      </c>
      <c r="AJ12" s="133"/>
      <c r="AK12" s="133"/>
      <c r="AL12" s="133"/>
      <c r="AM12" s="133"/>
      <c r="AN12" s="133"/>
      <c r="AO12" s="124"/>
      <c r="AP12" s="124"/>
      <c r="AQ12" s="124"/>
      <c r="AR12" s="124"/>
      <c r="AS12" s="131"/>
      <c r="AT12" s="137"/>
      <c r="AU12" s="137"/>
      <c r="AV12" s="137"/>
      <c r="AW12" s="137"/>
      <c r="AX12" s="137"/>
      <c r="AY12" s="137"/>
      <c r="AZ12" s="137"/>
      <c r="BA12" s="137"/>
      <c r="BB12" s="137"/>
      <c r="BC12" s="137"/>
      <c r="BD12" s="138"/>
    </row>
    <row r="13" spans="1:56" s="1" customFormat="1" ht="14.4" customHeight="1">
      <c r="A13" s="145">
        <f>IF(B13="","",COUNTA($B$8:B13))</f>
        <v>6</v>
      </c>
      <c r="B13" s="208" t="s">
        <v>174</v>
      </c>
      <c r="C13" s="127"/>
      <c r="D13" s="127"/>
      <c r="E13" s="127"/>
      <c r="F13" s="127"/>
      <c r="G13" s="127"/>
      <c r="H13" s="148"/>
      <c r="I13" s="128" t="s">
        <v>175</v>
      </c>
      <c r="J13" s="129"/>
      <c r="K13" s="129"/>
      <c r="L13" s="129"/>
      <c r="M13" s="129"/>
      <c r="N13" s="129"/>
      <c r="O13" s="129"/>
      <c r="P13" s="129"/>
      <c r="Q13" s="147"/>
      <c r="R13" s="208" t="s">
        <v>176</v>
      </c>
      <c r="S13" s="129"/>
      <c r="T13" s="129"/>
      <c r="U13" s="129"/>
      <c r="V13" s="129"/>
      <c r="W13" s="129"/>
      <c r="X13" s="148"/>
      <c r="Y13" s="208" t="s">
        <v>169</v>
      </c>
      <c r="Z13" s="209"/>
      <c r="AA13" s="210" t="s">
        <v>170</v>
      </c>
      <c r="AB13" s="211"/>
      <c r="AC13" s="212"/>
      <c r="AD13" s="188"/>
      <c r="AE13" s="124"/>
      <c r="AF13" s="124"/>
      <c r="AG13" s="124"/>
      <c r="AH13" s="133"/>
      <c r="AI13" s="133" t="s">
        <v>173</v>
      </c>
      <c r="AJ13" s="133"/>
      <c r="AK13" s="133"/>
      <c r="AL13" s="133"/>
      <c r="AM13" s="133"/>
      <c r="AN13" s="133"/>
      <c r="AO13" s="124"/>
      <c r="AP13" s="124"/>
      <c r="AQ13" s="124"/>
      <c r="AR13" s="124"/>
      <c r="AS13" s="131"/>
      <c r="AT13" s="137"/>
      <c r="AU13" s="137"/>
      <c r="AV13" s="137"/>
      <c r="AW13" s="137"/>
      <c r="AX13" s="137"/>
      <c r="AY13" s="137"/>
      <c r="AZ13" s="137"/>
      <c r="BA13" s="137"/>
      <c r="BB13" s="137"/>
      <c r="BC13" s="137"/>
      <c r="BD13" s="138"/>
    </row>
    <row r="14" spans="1:56" s="1" customFormat="1" ht="14.4" customHeight="1">
      <c r="A14" s="145">
        <f>IF(B14="","",COUNTA($B$8:B14))</f>
        <v>7</v>
      </c>
      <c r="B14" s="208" t="s">
        <v>172</v>
      </c>
      <c r="C14" s="127"/>
      <c r="D14" s="127"/>
      <c r="E14" s="127"/>
      <c r="F14" s="127"/>
      <c r="G14" s="127"/>
      <c r="H14" s="148"/>
      <c r="I14" s="128" t="s">
        <v>177</v>
      </c>
      <c r="J14" s="129"/>
      <c r="K14" s="129"/>
      <c r="L14" s="129"/>
      <c r="M14" s="129"/>
      <c r="N14" s="129"/>
      <c r="O14" s="129"/>
      <c r="P14" s="129"/>
      <c r="Q14" s="147"/>
      <c r="R14" s="208" t="s">
        <v>172</v>
      </c>
      <c r="S14" s="129"/>
      <c r="T14" s="129"/>
      <c r="U14" s="129"/>
      <c r="V14" s="129"/>
      <c r="W14" s="129"/>
      <c r="X14" s="148"/>
      <c r="Y14" s="208" t="s">
        <v>155</v>
      </c>
      <c r="Z14" s="209"/>
      <c r="AA14" s="210" t="s">
        <v>156</v>
      </c>
      <c r="AB14" s="211"/>
      <c r="AC14" s="212"/>
      <c r="AD14" s="188">
        <v>5</v>
      </c>
      <c r="AE14" s="124">
        <v>1</v>
      </c>
      <c r="AF14" s="133"/>
      <c r="AG14" s="133"/>
      <c r="AH14" s="133"/>
      <c r="AI14" s="133"/>
      <c r="AJ14" s="133"/>
      <c r="AK14" s="133"/>
      <c r="AL14" s="133"/>
      <c r="AM14" s="133"/>
      <c r="AN14" s="133"/>
      <c r="AO14" s="124"/>
      <c r="AP14" s="124"/>
      <c r="AQ14" s="124"/>
      <c r="AR14" s="124"/>
      <c r="AS14" s="131"/>
      <c r="AT14" s="137"/>
      <c r="AU14" s="137"/>
      <c r="AV14" s="137"/>
      <c r="AW14" s="137"/>
      <c r="AX14" s="137"/>
      <c r="AY14" s="137"/>
      <c r="AZ14" s="137"/>
      <c r="BA14" s="137"/>
      <c r="BB14" s="137"/>
      <c r="BC14" s="137"/>
      <c r="BD14" s="138"/>
    </row>
    <row r="15" spans="1:56" s="1" customFormat="1" ht="14.4" customHeight="1">
      <c r="A15" s="145">
        <f>IF(B15="","",COUNTA($B$8:B15))</f>
        <v>8</v>
      </c>
      <c r="B15" s="208" t="s">
        <v>178</v>
      </c>
      <c r="C15" s="127"/>
      <c r="D15" s="127"/>
      <c r="E15" s="127"/>
      <c r="F15" s="127"/>
      <c r="G15" s="127"/>
      <c r="H15" s="148"/>
      <c r="I15" s="128" t="s">
        <v>179</v>
      </c>
      <c r="J15" s="129"/>
      <c r="K15" s="129"/>
      <c r="L15" s="129"/>
      <c r="M15" s="129"/>
      <c r="N15" s="129"/>
      <c r="O15" s="129"/>
      <c r="P15" s="129"/>
      <c r="Q15" s="147"/>
      <c r="R15" s="208" t="s">
        <v>178</v>
      </c>
      <c r="S15" s="129"/>
      <c r="T15" s="129"/>
      <c r="U15" s="129"/>
      <c r="V15" s="129"/>
      <c r="W15" s="129"/>
      <c r="X15" s="148"/>
      <c r="Y15" s="451" t="s">
        <v>150</v>
      </c>
      <c r="Z15" s="452"/>
      <c r="AA15" s="448" t="s">
        <v>151</v>
      </c>
      <c r="AB15" s="449"/>
      <c r="AC15" s="450"/>
      <c r="AD15" s="139">
        <v>20</v>
      </c>
      <c r="AE15" s="124"/>
      <c r="AF15" s="124"/>
      <c r="AG15" s="124"/>
      <c r="AH15" s="133"/>
      <c r="AI15" s="133"/>
      <c r="AJ15" s="133"/>
      <c r="AK15" s="133"/>
      <c r="AL15" s="133"/>
      <c r="AM15" s="133"/>
      <c r="AN15" s="133"/>
      <c r="AO15" s="124"/>
      <c r="AP15" s="124"/>
      <c r="AQ15" s="124"/>
      <c r="AR15" s="124"/>
      <c r="AS15" s="131" t="s">
        <v>180</v>
      </c>
      <c r="AT15" s="137"/>
      <c r="AU15" s="137"/>
      <c r="AV15" s="137"/>
      <c r="AW15" s="137"/>
      <c r="AX15" s="137"/>
      <c r="AY15" s="137"/>
      <c r="AZ15" s="137"/>
      <c r="BA15" s="137"/>
      <c r="BB15" s="137"/>
      <c r="BC15" s="137"/>
      <c r="BD15" s="138"/>
    </row>
    <row r="16" spans="1:56" s="1" customFormat="1" ht="14.4" customHeight="1">
      <c r="A16" s="145">
        <f>IF(B16="","",COUNTA($B$8:B16))</f>
        <v>9</v>
      </c>
      <c r="B16" s="207" t="s">
        <v>1550</v>
      </c>
      <c r="C16" s="211"/>
      <c r="D16" s="211"/>
      <c r="E16" s="211"/>
      <c r="F16" s="211"/>
      <c r="G16" s="211"/>
      <c r="H16" s="212"/>
      <c r="I16" s="128" t="s">
        <v>1496</v>
      </c>
      <c r="J16" s="129"/>
      <c r="K16" s="129"/>
      <c r="L16" s="129"/>
      <c r="M16" s="129"/>
      <c r="N16" s="129"/>
      <c r="O16" s="129"/>
      <c r="P16" s="129"/>
      <c r="Q16" s="147"/>
      <c r="R16" s="207" t="s">
        <v>1550</v>
      </c>
      <c r="S16" s="129"/>
      <c r="T16" s="129"/>
      <c r="U16" s="129"/>
      <c r="V16" s="129"/>
      <c r="W16" s="129"/>
      <c r="X16" s="148"/>
      <c r="Y16" s="451" t="s">
        <v>150</v>
      </c>
      <c r="Z16" s="452"/>
      <c r="AA16" s="448" t="s">
        <v>151</v>
      </c>
      <c r="AB16" s="449"/>
      <c r="AC16" s="450"/>
      <c r="AD16" s="139">
        <v>30</v>
      </c>
      <c r="AE16" s="124"/>
      <c r="AF16" s="124"/>
      <c r="AG16" s="124"/>
      <c r="AH16" s="133"/>
      <c r="AI16" s="133"/>
      <c r="AJ16" s="133"/>
      <c r="AK16" s="133"/>
      <c r="AL16" s="133"/>
      <c r="AM16" s="133"/>
      <c r="AN16" s="133"/>
      <c r="AO16" s="124"/>
      <c r="AP16" s="124"/>
      <c r="AQ16" s="124"/>
      <c r="AR16" s="124"/>
      <c r="AS16" s="131" t="s">
        <v>1478</v>
      </c>
      <c r="AT16" s="186"/>
      <c r="AU16" s="186"/>
      <c r="AV16" s="186"/>
      <c r="AW16" s="186"/>
      <c r="AX16" s="186"/>
      <c r="AY16" s="186"/>
      <c r="AZ16" s="186"/>
      <c r="BA16" s="186"/>
      <c r="BB16" s="186"/>
      <c r="BC16" s="186"/>
      <c r="BD16" s="187"/>
    </row>
    <row r="17" spans="1:57" s="1" customFormat="1" ht="14.4" customHeight="1">
      <c r="A17" s="145">
        <f>IF(B17="","",COUNTA($B$8:B17))</f>
        <v>10</v>
      </c>
      <c r="B17" s="210" t="s">
        <v>1448</v>
      </c>
      <c r="C17" s="211"/>
      <c r="D17" s="211"/>
      <c r="E17" s="211"/>
      <c r="F17" s="211"/>
      <c r="G17" s="211"/>
      <c r="H17" s="212"/>
      <c r="I17" s="128" t="s">
        <v>1449</v>
      </c>
      <c r="J17" s="129"/>
      <c r="K17" s="129"/>
      <c r="L17" s="129"/>
      <c r="M17" s="129"/>
      <c r="N17" s="129"/>
      <c r="O17" s="129"/>
      <c r="P17" s="129"/>
      <c r="Q17" s="147"/>
      <c r="R17" s="210" t="s">
        <v>1448</v>
      </c>
      <c r="S17" s="129"/>
      <c r="T17" s="129"/>
      <c r="U17" s="129"/>
      <c r="V17" s="129"/>
      <c r="W17" s="129"/>
      <c r="X17" s="148"/>
      <c r="Y17" s="451" t="s">
        <v>150</v>
      </c>
      <c r="Z17" s="452"/>
      <c r="AA17" s="448" t="s">
        <v>151</v>
      </c>
      <c r="AB17" s="449"/>
      <c r="AC17" s="450"/>
      <c r="AD17" s="139">
        <v>30</v>
      </c>
      <c r="AE17" s="124"/>
      <c r="AF17" s="124"/>
      <c r="AG17" s="124"/>
      <c r="AH17" s="133"/>
      <c r="AI17" s="133"/>
      <c r="AJ17" s="133"/>
      <c r="AK17" s="133"/>
      <c r="AL17" s="133"/>
      <c r="AM17" s="133"/>
      <c r="AN17" s="133"/>
      <c r="AO17" s="124"/>
      <c r="AP17" s="124"/>
      <c r="AQ17" s="124"/>
      <c r="AR17" s="124"/>
      <c r="AS17" s="131"/>
      <c r="AT17" s="186"/>
      <c r="AU17" s="186"/>
      <c r="AV17" s="186"/>
      <c r="AW17" s="186"/>
      <c r="AX17" s="186"/>
      <c r="AY17" s="186"/>
      <c r="AZ17" s="186"/>
      <c r="BA17" s="186"/>
      <c r="BB17" s="186"/>
      <c r="BC17" s="186"/>
      <c r="BD17" s="187"/>
      <c r="BE17" s="1" t="s">
        <v>498</v>
      </c>
    </row>
    <row r="18" spans="1:57" s="1" customFormat="1" ht="14.4" customHeight="1">
      <c r="A18" s="145">
        <f>IF(B18="","",COUNTA($B$8:B18))</f>
        <v>11</v>
      </c>
      <c r="B18" s="208" t="s">
        <v>197</v>
      </c>
      <c r="C18" s="127"/>
      <c r="D18" s="127"/>
      <c r="E18" s="127"/>
      <c r="F18" s="127"/>
      <c r="G18" s="127"/>
      <c r="H18" s="148"/>
      <c r="I18" s="128" t="s">
        <v>198</v>
      </c>
      <c r="J18" s="129"/>
      <c r="K18" s="129"/>
      <c r="L18" s="129"/>
      <c r="M18" s="129"/>
      <c r="N18" s="129"/>
      <c r="O18" s="129"/>
      <c r="P18" s="129"/>
      <c r="Q18" s="147"/>
      <c r="R18" s="208" t="s">
        <v>197</v>
      </c>
      <c r="S18" s="129"/>
      <c r="T18" s="129"/>
      <c r="U18" s="129"/>
      <c r="V18" s="129"/>
      <c r="W18" s="129"/>
      <c r="X18" s="148"/>
      <c r="Y18" s="451" t="s">
        <v>150</v>
      </c>
      <c r="Z18" s="452"/>
      <c r="AA18" s="448" t="s">
        <v>151</v>
      </c>
      <c r="AB18" s="449"/>
      <c r="AC18" s="450"/>
      <c r="AD18" s="139">
        <v>5</v>
      </c>
      <c r="AE18" s="124"/>
      <c r="AF18" s="124"/>
      <c r="AG18" s="124"/>
      <c r="AH18" s="133"/>
      <c r="AI18" s="133"/>
      <c r="AJ18" s="133"/>
      <c r="AK18" s="133"/>
      <c r="AL18" s="133"/>
      <c r="AM18" s="133"/>
      <c r="AN18" s="133"/>
      <c r="AO18" s="124"/>
      <c r="AP18" s="124"/>
      <c r="AQ18" s="124"/>
      <c r="AR18" s="124"/>
      <c r="AS18" s="131"/>
      <c r="AT18" s="137"/>
      <c r="AU18" s="137"/>
      <c r="AV18" s="137"/>
      <c r="AW18" s="137"/>
      <c r="AX18" s="137"/>
      <c r="AY18" s="137"/>
      <c r="AZ18" s="137"/>
      <c r="BA18" s="137"/>
      <c r="BB18" s="137"/>
      <c r="BC18" s="137"/>
      <c r="BD18" s="138"/>
    </row>
    <row r="19" spans="1:57" s="1" customFormat="1" ht="14.4" customHeight="1">
      <c r="A19" s="145">
        <f>IF(B19="","",COUNTA($B$8:B19))</f>
        <v>12</v>
      </c>
      <c r="B19" s="208" t="s">
        <v>199</v>
      </c>
      <c r="C19" s="127"/>
      <c r="D19" s="127"/>
      <c r="E19" s="127"/>
      <c r="F19" s="127"/>
      <c r="G19" s="127"/>
      <c r="H19" s="148"/>
      <c r="I19" s="128" t="s">
        <v>200</v>
      </c>
      <c r="J19" s="129"/>
      <c r="K19" s="129"/>
      <c r="L19" s="129"/>
      <c r="M19" s="129"/>
      <c r="N19" s="129"/>
      <c r="O19" s="129"/>
      <c r="P19" s="129"/>
      <c r="Q19" s="147"/>
      <c r="R19" s="208" t="s">
        <v>199</v>
      </c>
      <c r="S19" s="129"/>
      <c r="T19" s="129"/>
      <c r="U19" s="129"/>
      <c r="V19" s="129"/>
      <c r="W19" s="129"/>
      <c r="X19" s="148"/>
      <c r="Y19" s="451" t="s">
        <v>150</v>
      </c>
      <c r="Z19" s="452"/>
      <c r="AA19" s="448" t="s">
        <v>151</v>
      </c>
      <c r="AB19" s="449"/>
      <c r="AC19" s="450"/>
      <c r="AD19" s="139">
        <v>20</v>
      </c>
      <c r="AE19" s="124"/>
      <c r="AF19" s="124"/>
      <c r="AG19" s="124"/>
      <c r="AH19" s="133"/>
      <c r="AI19" s="133"/>
      <c r="AJ19" s="133"/>
      <c r="AK19" s="133"/>
      <c r="AL19" s="133"/>
      <c r="AM19" s="133"/>
      <c r="AN19" s="133"/>
      <c r="AO19" s="124"/>
      <c r="AP19" s="124"/>
      <c r="AQ19" s="124"/>
      <c r="AR19" s="124"/>
      <c r="AS19" s="131"/>
      <c r="AT19" s="137"/>
      <c r="AU19" s="137"/>
      <c r="AV19" s="137"/>
      <c r="AW19" s="137"/>
      <c r="AX19" s="137"/>
      <c r="AY19" s="137"/>
      <c r="AZ19" s="137"/>
      <c r="BA19" s="137"/>
      <c r="BB19" s="137"/>
      <c r="BC19" s="137"/>
      <c r="BD19" s="138"/>
    </row>
    <row r="20" spans="1:57" s="1" customFormat="1" ht="14.4" customHeight="1">
      <c r="A20" s="145">
        <f>IF(B20="","",COUNTA($B$8:B20))</f>
        <v>13</v>
      </c>
      <c r="B20" s="208" t="s">
        <v>201</v>
      </c>
      <c r="C20" s="127"/>
      <c r="D20" s="127"/>
      <c r="E20" s="127"/>
      <c r="F20" s="127"/>
      <c r="G20" s="127"/>
      <c r="H20" s="148"/>
      <c r="I20" s="128" t="s">
        <v>202</v>
      </c>
      <c r="J20" s="129"/>
      <c r="K20" s="129"/>
      <c r="L20" s="129"/>
      <c r="M20" s="129"/>
      <c r="N20" s="129"/>
      <c r="O20" s="129"/>
      <c r="P20" s="129"/>
      <c r="Q20" s="147"/>
      <c r="R20" s="208" t="s">
        <v>201</v>
      </c>
      <c r="S20" s="129"/>
      <c r="T20" s="129"/>
      <c r="U20" s="129"/>
      <c r="V20" s="129"/>
      <c r="W20" s="129"/>
      <c r="X20" s="148"/>
      <c r="Y20" s="451" t="s">
        <v>150</v>
      </c>
      <c r="Z20" s="452"/>
      <c r="AA20" s="448" t="s">
        <v>151</v>
      </c>
      <c r="AB20" s="449"/>
      <c r="AC20" s="450"/>
      <c r="AD20" s="139">
        <v>30</v>
      </c>
      <c r="AE20" s="124"/>
      <c r="AF20" s="124"/>
      <c r="AG20" s="124"/>
      <c r="AH20" s="133"/>
      <c r="AI20" s="133"/>
      <c r="AJ20" s="133"/>
      <c r="AK20" s="133"/>
      <c r="AL20" s="133"/>
      <c r="AM20" s="133"/>
      <c r="AN20" s="133"/>
      <c r="AO20" s="124"/>
      <c r="AP20" s="124"/>
      <c r="AQ20" s="124"/>
      <c r="AR20" s="124"/>
      <c r="AS20" s="131"/>
      <c r="AT20" s="137"/>
      <c r="AU20" s="137"/>
      <c r="AV20" s="137"/>
      <c r="AW20" s="137"/>
      <c r="AX20" s="137"/>
      <c r="AY20" s="137"/>
      <c r="AZ20" s="137"/>
      <c r="BA20" s="137"/>
      <c r="BB20" s="137"/>
      <c r="BC20" s="137"/>
      <c r="BD20" s="138"/>
    </row>
    <row r="21" spans="1:57" s="1" customFormat="1" ht="14.4" customHeight="1">
      <c r="A21" s="145">
        <f>IF(B21="","",COUNTA($B$8:B21))</f>
        <v>14</v>
      </c>
      <c r="B21" s="338" t="s">
        <v>1586</v>
      </c>
      <c r="C21" s="309"/>
      <c r="D21" s="309"/>
      <c r="E21" s="309"/>
      <c r="F21" s="309"/>
      <c r="G21" s="309"/>
      <c r="H21" s="310"/>
      <c r="I21" s="311" t="s">
        <v>1587</v>
      </c>
      <c r="J21" s="312"/>
      <c r="K21" s="312"/>
      <c r="L21" s="312"/>
      <c r="M21" s="312"/>
      <c r="N21" s="312"/>
      <c r="O21" s="312"/>
      <c r="P21" s="312"/>
      <c r="Q21" s="313"/>
      <c r="R21" s="338" t="s">
        <v>1586</v>
      </c>
      <c r="S21" s="312"/>
      <c r="T21" s="312"/>
      <c r="U21" s="312"/>
      <c r="V21" s="312"/>
      <c r="W21" s="312"/>
      <c r="X21" s="310"/>
      <c r="Y21" s="464" t="s">
        <v>150</v>
      </c>
      <c r="Z21" s="465"/>
      <c r="AA21" s="461" t="s">
        <v>151</v>
      </c>
      <c r="AB21" s="462"/>
      <c r="AC21" s="463"/>
      <c r="AD21" s="314">
        <v>30</v>
      </c>
      <c r="AE21" s="315"/>
      <c r="AF21" s="315"/>
      <c r="AG21" s="315"/>
      <c r="AH21" s="316"/>
      <c r="AI21" s="316"/>
      <c r="AJ21" s="316"/>
      <c r="AK21" s="316"/>
      <c r="AL21" s="316"/>
      <c r="AM21" s="316"/>
      <c r="AN21" s="316"/>
      <c r="AO21" s="315"/>
      <c r="AP21" s="315"/>
      <c r="AQ21" s="315"/>
      <c r="AR21" s="315"/>
      <c r="AS21" s="317" t="s">
        <v>1598</v>
      </c>
      <c r="AT21" s="318"/>
      <c r="AU21" s="318"/>
      <c r="AV21" s="318"/>
      <c r="AW21" s="318"/>
      <c r="AX21" s="318"/>
      <c r="AY21" s="318"/>
      <c r="AZ21" s="318"/>
      <c r="BA21" s="318"/>
      <c r="BB21" s="318"/>
      <c r="BC21" s="318"/>
      <c r="BD21" s="319"/>
      <c r="BE21" s="350" t="s">
        <v>1588</v>
      </c>
    </row>
    <row r="22" spans="1:57" s="1" customFormat="1" ht="14.4" customHeight="1">
      <c r="A22" s="145">
        <f>IF(B22="","",COUNTA($B$8:B22))</f>
        <v>15</v>
      </c>
      <c r="B22" s="349" t="s">
        <v>302</v>
      </c>
      <c r="C22" s="170"/>
      <c r="D22" s="170"/>
      <c r="E22" s="170"/>
      <c r="F22" s="170"/>
      <c r="G22" s="170"/>
      <c r="H22" s="171"/>
      <c r="I22" s="196" t="s">
        <v>303</v>
      </c>
      <c r="J22" s="172"/>
      <c r="K22" s="172"/>
      <c r="L22" s="172"/>
      <c r="M22" s="172"/>
      <c r="N22" s="172"/>
      <c r="O22" s="172"/>
      <c r="P22" s="172"/>
      <c r="Q22" s="173"/>
      <c r="R22" s="349" t="s">
        <v>302</v>
      </c>
      <c r="S22" s="172"/>
      <c r="T22" s="172"/>
      <c r="U22" s="172"/>
      <c r="V22" s="172"/>
      <c r="W22" s="172"/>
      <c r="X22" s="171"/>
      <c r="Y22" s="459" t="s">
        <v>150</v>
      </c>
      <c r="Z22" s="460"/>
      <c r="AA22" s="445" t="s">
        <v>151</v>
      </c>
      <c r="AB22" s="446"/>
      <c r="AC22" s="447"/>
      <c r="AD22" s="174">
        <v>5</v>
      </c>
      <c r="AE22" s="175"/>
      <c r="AF22" s="175"/>
      <c r="AG22" s="175"/>
      <c r="AH22" s="176"/>
      <c r="AI22" s="176"/>
      <c r="AJ22" s="176"/>
      <c r="AK22" s="176"/>
      <c r="AL22" s="176"/>
      <c r="AM22" s="176"/>
      <c r="AN22" s="176"/>
      <c r="AO22" s="175"/>
      <c r="AP22" s="175"/>
      <c r="AQ22" s="175"/>
      <c r="AR22" s="175"/>
      <c r="AS22" s="177"/>
      <c r="AT22" s="178"/>
      <c r="AU22" s="178"/>
      <c r="AV22" s="178"/>
      <c r="AW22" s="178"/>
      <c r="AX22" s="178"/>
      <c r="AY22" s="178"/>
      <c r="AZ22" s="178"/>
      <c r="BA22" s="178"/>
      <c r="BB22" s="178"/>
      <c r="BC22" s="178"/>
      <c r="BD22" s="179"/>
      <c r="BE22" s="350" t="s">
        <v>1599</v>
      </c>
    </row>
    <row r="23" spans="1:57" s="1" customFormat="1" ht="14.4" customHeight="1">
      <c r="A23" s="145">
        <f>IF(B23="","",COUNTA($B$8:B23))</f>
        <v>16</v>
      </c>
      <c r="B23" s="349" t="s">
        <v>304</v>
      </c>
      <c r="C23" s="170"/>
      <c r="D23" s="170"/>
      <c r="E23" s="170"/>
      <c r="F23" s="170"/>
      <c r="G23" s="170"/>
      <c r="H23" s="171"/>
      <c r="I23" s="196" t="s">
        <v>305</v>
      </c>
      <c r="J23" s="172"/>
      <c r="K23" s="172"/>
      <c r="L23" s="172"/>
      <c r="M23" s="172"/>
      <c r="N23" s="172"/>
      <c r="O23" s="172"/>
      <c r="P23" s="172"/>
      <c r="Q23" s="173"/>
      <c r="R23" s="349" t="s">
        <v>304</v>
      </c>
      <c r="S23" s="172"/>
      <c r="T23" s="172"/>
      <c r="U23" s="172"/>
      <c r="V23" s="172"/>
      <c r="W23" s="172"/>
      <c r="X23" s="171"/>
      <c r="Y23" s="459" t="s">
        <v>150</v>
      </c>
      <c r="Z23" s="460"/>
      <c r="AA23" s="445" t="s">
        <v>151</v>
      </c>
      <c r="AB23" s="446"/>
      <c r="AC23" s="447"/>
      <c r="AD23" s="174">
        <v>20</v>
      </c>
      <c r="AE23" s="175"/>
      <c r="AF23" s="175"/>
      <c r="AG23" s="175"/>
      <c r="AH23" s="176"/>
      <c r="AI23" s="176"/>
      <c r="AJ23" s="176"/>
      <c r="AK23" s="176"/>
      <c r="AL23" s="176"/>
      <c r="AM23" s="176"/>
      <c r="AN23" s="176"/>
      <c r="AO23" s="175"/>
      <c r="AP23" s="175"/>
      <c r="AQ23" s="175"/>
      <c r="AR23" s="175"/>
      <c r="AS23" s="177"/>
      <c r="AT23" s="178"/>
      <c r="AU23" s="178"/>
      <c r="AV23" s="178"/>
      <c r="AW23" s="178"/>
      <c r="AX23" s="178"/>
      <c r="AY23" s="178"/>
      <c r="AZ23" s="178"/>
      <c r="BA23" s="178"/>
      <c r="BB23" s="178"/>
      <c r="BC23" s="178"/>
      <c r="BD23" s="179"/>
      <c r="BE23" s="350" t="s">
        <v>1599</v>
      </c>
    </row>
    <row r="24" spans="1:57" s="1" customFormat="1" ht="14.4" customHeight="1">
      <c r="A24" s="145">
        <f>IF(B24="","",COUNTA($B$8:B24))</f>
        <v>17</v>
      </c>
      <c r="B24" s="349" t="s">
        <v>306</v>
      </c>
      <c r="C24" s="170"/>
      <c r="D24" s="170"/>
      <c r="E24" s="170"/>
      <c r="F24" s="170"/>
      <c r="G24" s="170"/>
      <c r="H24" s="171"/>
      <c r="I24" s="196" t="s">
        <v>307</v>
      </c>
      <c r="J24" s="172"/>
      <c r="K24" s="172"/>
      <c r="L24" s="172"/>
      <c r="M24" s="172"/>
      <c r="N24" s="172"/>
      <c r="O24" s="172"/>
      <c r="P24" s="172"/>
      <c r="Q24" s="173"/>
      <c r="R24" s="349" t="s">
        <v>306</v>
      </c>
      <c r="S24" s="172"/>
      <c r="T24" s="172"/>
      <c r="U24" s="172"/>
      <c r="V24" s="172"/>
      <c r="W24" s="172"/>
      <c r="X24" s="171"/>
      <c r="Y24" s="459" t="s">
        <v>150</v>
      </c>
      <c r="Z24" s="460"/>
      <c r="AA24" s="445" t="s">
        <v>151</v>
      </c>
      <c r="AB24" s="446"/>
      <c r="AC24" s="447"/>
      <c r="AD24" s="174">
        <v>30</v>
      </c>
      <c r="AE24" s="175"/>
      <c r="AF24" s="175"/>
      <c r="AG24" s="175"/>
      <c r="AH24" s="176"/>
      <c r="AI24" s="176"/>
      <c r="AJ24" s="176"/>
      <c r="AK24" s="176"/>
      <c r="AL24" s="176"/>
      <c r="AM24" s="176"/>
      <c r="AN24" s="176"/>
      <c r="AO24" s="175"/>
      <c r="AP24" s="175"/>
      <c r="AQ24" s="175"/>
      <c r="AR24" s="175"/>
      <c r="AS24" s="177"/>
      <c r="AT24" s="178"/>
      <c r="AU24" s="178"/>
      <c r="AV24" s="178"/>
      <c r="AW24" s="178"/>
      <c r="AX24" s="178"/>
      <c r="AY24" s="178"/>
      <c r="AZ24" s="178"/>
      <c r="BA24" s="178"/>
      <c r="BB24" s="178"/>
      <c r="BC24" s="178"/>
      <c r="BD24" s="179"/>
      <c r="BE24" s="350" t="s">
        <v>1599</v>
      </c>
    </row>
    <row r="25" spans="1:57" s="1" customFormat="1" ht="14.4" customHeight="1">
      <c r="A25" s="145">
        <f>IF(B25="","",COUNTA($B$8:B25))</f>
        <v>18</v>
      </c>
      <c r="B25" s="208" t="s">
        <v>300</v>
      </c>
      <c r="C25" s="127"/>
      <c r="D25" s="127"/>
      <c r="E25" s="127"/>
      <c r="F25" s="127"/>
      <c r="G25" s="127"/>
      <c r="H25" s="148"/>
      <c r="I25" s="128" t="s">
        <v>301</v>
      </c>
      <c r="J25" s="129"/>
      <c r="K25" s="129"/>
      <c r="L25" s="129"/>
      <c r="M25" s="129"/>
      <c r="N25" s="129"/>
      <c r="O25" s="129"/>
      <c r="P25" s="129"/>
      <c r="Q25" s="147"/>
      <c r="R25" s="208" t="s">
        <v>300</v>
      </c>
      <c r="S25" s="129"/>
      <c r="T25" s="129"/>
      <c r="U25" s="129"/>
      <c r="V25" s="129"/>
      <c r="W25" s="129"/>
      <c r="X25" s="148"/>
      <c r="Y25" s="208" t="s">
        <v>155</v>
      </c>
      <c r="Z25" s="209"/>
      <c r="AA25" s="210" t="s">
        <v>156</v>
      </c>
      <c r="AB25" s="211"/>
      <c r="AC25" s="212"/>
      <c r="AD25" s="188">
        <v>5</v>
      </c>
      <c r="AE25" s="124"/>
      <c r="AF25" s="124"/>
      <c r="AG25" s="124"/>
      <c r="AH25" s="133"/>
      <c r="AI25" s="133"/>
      <c r="AJ25" s="133"/>
      <c r="AK25" s="133"/>
      <c r="AL25" s="133"/>
      <c r="AM25" s="133"/>
      <c r="AN25" s="133"/>
      <c r="AO25" s="124"/>
      <c r="AP25" s="124"/>
      <c r="AQ25" s="124"/>
      <c r="AR25" s="124"/>
      <c r="AS25" s="131"/>
      <c r="AT25" s="137"/>
      <c r="AU25" s="137"/>
      <c r="AV25" s="137"/>
      <c r="AW25" s="137"/>
      <c r="AX25" s="137"/>
      <c r="AY25" s="137"/>
      <c r="AZ25" s="137"/>
      <c r="BA25" s="137"/>
      <c r="BB25" s="137"/>
      <c r="BC25" s="137"/>
      <c r="BD25" s="138"/>
    </row>
    <row r="26" spans="1:57" s="1" customFormat="1" ht="14.4" customHeight="1">
      <c r="A26" s="145">
        <f>IF(B26="","",COUNTA($B$8:B26))</f>
        <v>19</v>
      </c>
      <c r="B26" s="208" t="s">
        <v>226</v>
      </c>
      <c r="C26" s="127"/>
      <c r="D26" s="127"/>
      <c r="E26" s="127"/>
      <c r="F26" s="127"/>
      <c r="G26" s="127"/>
      <c r="H26" s="148"/>
      <c r="I26" s="128" t="s">
        <v>227</v>
      </c>
      <c r="J26" s="129"/>
      <c r="K26" s="129"/>
      <c r="L26" s="129"/>
      <c r="M26" s="129"/>
      <c r="N26" s="129"/>
      <c r="O26" s="129"/>
      <c r="P26" s="129"/>
      <c r="Q26" s="147"/>
      <c r="R26" s="208" t="s">
        <v>226</v>
      </c>
      <c r="S26" s="129"/>
      <c r="T26" s="129"/>
      <c r="U26" s="129"/>
      <c r="V26" s="129"/>
      <c r="W26" s="129"/>
      <c r="X26" s="148"/>
      <c r="Y26" s="451" t="s">
        <v>150</v>
      </c>
      <c r="Z26" s="452"/>
      <c r="AA26" s="448" t="s">
        <v>151</v>
      </c>
      <c r="AB26" s="449"/>
      <c r="AC26" s="450"/>
      <c r="AD26" s="139">
        <v>3</v>
      </c>
      <c r="AE26" s="124"/>
      <c r="AF26" s="124"/>
      <c r="AG26" s="124"/>
      <c r="AH26" s="133"/>
      <c r="AI26" s="133"/>
      <c r="AJ26" s="133"/>
      <c r="AK26" s="133"/>
      <c r="AL26" s="133"/>
      <c r="AM26" s="133"/>
      <c r="AN26" s="133"/>
      <c r="AO26" s="124"/>
      <c r="AP26" s="124"/>
      <c r="AQ26" s="124"/>
      <c r="AR26" s="124"/>
      <c r="AS26" s="131"/>
      <c r="AT26" s="137"/>
      <c r="AU26" s="137"/>
      <c r="AV26" s="137"/>
      <c r="AW26" s="137"/>
      <c r="AX26" s="137"/>
      <c r="AY26" s="137"/>
      <c r="AZ26" s="137"/>
      <c r="BA26" s="137"/>
      <c r="BB26" s="137"/>
      <c r="BC26" s="137"/>
      <c r="BD26" s="138"/>
    </row>
    <row r="27" spans="1:57" s="1" customFormat="1" ht="14.4" customHeight="1">
      <c r="A27" s="145">
        <f>IF(B27="","",COUNTA($B$8:B27))</f>
        <v>20</v>
      </c>
      <c r="B27" s="208" t="s">
        <v>228</v>
      </c>
      <c r="C27" s="127"/>
      <c r="D27" s="127"/>
      <c r="E27" s="127"/>
      <c r="F27" s="127"/>
      <c r="G27" s="127"/>
      <c r="H27" s="148"/>
      <c r="I27" s="128" t="s">
        <v>229</v>
      </c>
      <c r="J27" s="129"/>
      <c r="K27" s="129"/>
      <c r="L27" s="129"/>
      <c r="M27" s="129"/>
      <c r="N27" s="129"/>
      <c r="O27" s="129"/>
      <c r="P27" s="129"/>
      <c r="Q27" s="147"/>
      <c r="R27" s="208" t="s">
        <v>228</v>
      </c>
      <c r="S27" s="129"/>
      <c r="T27" s="129"/>
      <c r="U27" s="129"/>
      <c r="V27" s="129"/>
      <c r="W27" s="129"/>
      <c r="X27" s="148"/>
      <c r="Y27" s="451" t="s">
        <v>150</v>
      </c>
      <c r="Z27" s="452"/>
      <c r="AA27" s="448" t="s">
        <v>151</v>
      </c>
      <c r="AB27" s="449"/>
      <c r="AC27" s="450"/>
      <c r="AD27" s="139">
        <v>1000</v>
      </c>
      <c r="AE27" s="124"/>
      <c r="AF27" s="124"/>
      <c r="AG27" s="124"/>
      <c r="AH27" s="133"/>
      <c r="AI27" s="133"/>
      <c r="AJ27" s="133"/>
      <c r="AK27" s="133"/>
      <c r="AL27" s="133"/>
      <c r="AM27" s="133"/>
      <c r="AN27" s="133"/>
      <c r="AO27" s="124"/>
      <c r="AP27" s="124"/>
      <c r="AQ27" s="124"/>
      <c r="AR27" s="124"/>
      <c r="AS27" s="131"/>
      <c r="AT27" s="137"/>
      <c r="AU27" s="137"/>
      <c r="AV27" s="137"/>
      <c r="AW27" s="137"/>
      <c r="AX27" s="137"/>
      <c r="AY27" s="137"/>
      <c r="AZ27" s="137"/>
      <c r="BA27" s="137"/>
      <c r="BB27" s="137"/>
      <c r="BC27" s="137"/>
      <c r="BD27" s="138"/>
    </row>
    <row r="28" spans="1:57" s="1" customFormat="1" ht="14.4" customHeight="1">
      <c r="A28" s="145">
        <f>IF(B28="","",COUNTA($B$8:B28))</f>
        <v>21</v>
      </c>
      <c r="B28" s="208" t="s">
        <v>230</v>
      </c>
      <c r="C28" s="127"/>
      <c r="D28" s="127"/>
      <c r="E28" s="127"/>
      <c r="F28" s="127"/>
      <c r="G28" s="127"/>
      <c r="H28" s="148"/>
      <c r="I28" s="128" t="s">
        <v>231</v>
      </c>
      <c r="J28" s="129"/>
      <c r="K28" s="129"/>
      <c r="L28" s="129"/>
      <c r="M28" s="129"/>
      <c r="N28" s="129"/>
      <c r="O28" s="129"/>
      <c r="P28" s="129"/>
      <c r="Q28" s="147"/>
      <c r="R28" s="208" t="s">
        <v>230</v>
      </c>
      <c r="S28" s="129"/>
      <c r="T28" s="129"/>
      <c r="U28" s="129"/>
      <c r="V28" s="129"/>
      <c r="W28" s="129"/>
      <c r="X28" s="148"/>
      <c r="Y28" s="451" t="s">
        <v>169</v>
      </c>
      <c r="Z28" s="452"/>
      <c r="AA28" s="448" t="s">
        <v>170</v>
      </c>
      <c r="AB28" s="449"/>
      <c r="AC28" s="450"/>
      <c r="AD28" s="139"/>
      <c r="AE28" s="124"/>
      <c r="AF28" s="124"/>
      <c r="AG28" s="124"/>
      <c r="AH28" s="133"/>
      <c r="AI28" s="133"/>
      <c r="AJ28" s="133"/>
      <c r="AK28" s="133"/>
      <c r="AL28" s="133"/>
      <c r="AM28" s="133"/>
      <c r="AN28" s="133"/>
      <c r="AO28" s="124"/>
      <c r="AP28" s="124"/>
      <c r="AQ28" s="124"/>
      <c r="AR28" s="124"/>
      <c r="AS28" s="131" t="s">
        <v>232</v>
      </c>
      <c r="AT28" s="137"/>
      <c r="AU28" s="137"/>
      <c r="AV28" s="137"/>
      <c r="AW28" s="137"/>
      <c r="AX28" s="137"/>
      <c r="AY28" s="137"/>
      <c r="AZ28" s="137"/>
      <c r="BA28" s="137"/>
      <c r="BB28" s="137"/>
      <c r="BC28" s="137"/>
      <c r="BD28" s="138"/>
    </row>
    <row r="29" spans="1:57" s="1" customFormat="1" ht="14.4" customHeight="1">
      <c r="A29" s="145">
        <f>IF(B29="","",COUNTA($B$8:B29))</f>
        <v>22</v>
      </c>
      <c r="B29" s="208" t="s">
        <v>233</v>
      </c>
      <c r="C29" s="127"/>
      <c r="D29" s="127"/>
      <c r="E29" s="127"/>
      <c r="F29" s="127"/>
      <c r="G29" s="127"/>
      <c r="H29" s="148"/>
      <c r="I29" s="128" t="s">
        <v>234</v>
      </c>
      <c r="J29" s="129"/>
      <c r="K29" s="129"/>
      <c r="L29" s="129"/>
      <c r="M29" s="129"/>
      <c r="N29" s="129"/>
      <c r="O29" s="129"/>
      <c r="P29" s="129"/>
      <c r="Q29" s="147"/>
      <c r="R29" s="208" t="s">
        <v>233</v>
      </c>
      <c r="S29" s="129"/>
      <c r="T29" s="129"/>
      <c r="U29" s="129"/>
      <c r="V29" s="129"/>
      <c r="W29" s="129"/>
      <c r="X29" s="148"/>
      <c r="Y29" s="451" t="s">
        <v>155</v>
      </c>
      <c r="Z29" s="452"/>
      <c r="AA29" s="448" t="s">
        <v>156</v>
      </c>
      <c r="AB29" s="449"/>
      <c r="AC29" s="450"/>
      <c r="AD29" s="139">
        <v>1</v>
      </c>
      <c r="AE29" s="124"/>
      <c r="AF29" s="124"/>
      <c r="AG29" s="124"/>
      <c r="AH29" s="133">
        <v>0</v>
      </c>
      <c r="AI29" s="133"/>
      <c r="AJ29" s="133"/>
      <c r="AK29" s="133"/>
      <c r="AL29" s="133"/>
      <c r="AM29" s="133"/>
      <c r="AN29" s="133"/>
      <c r="AO29" s="124"/>
      <c r="AP29" s="124"/>
      <c r="AQ29" s="124"/>
      <c r="AR29" s="124"/>
      <c r="AS29" s="131"/>
      <c r="AT29" s="137"/>
      <c r="AU29" s="137"/>
      <c r="AV29" s="137"/>
      <c r="AW29" s="137"/>
      <c r="AX29" s="137"/>
      <c r="AY29" s="137"/>
      <c r="AZ29" s="137"/>
      <c r="BA29" s="137"/>
      <c r="BB29" s="137"/>
      <c r="BC29" s="137"/>
      <c r="BD29" s="138"/>
    </row>
    <row r="30" spans="1:57" s="1" customFormat="1" ht="14.4" customHeight="1">
      <c r="A30" s="145">
        <f>IF(B30="","",COUNTA($B$8:B30))</f>
        <v>23</v>
      </c>
      <c r="B30" s="213" t="s">
        <v>276</v>
      </c>
      <c r="C30" s="170"/>
      <c r="D30" s="170"/>
      <c r="E30" s="170"/>
      <c r="F30" s="170"/>
      <c r="G30" s="170"/>
      <c r="H30" s="171"/>
      <c r="I30" s="196" t="s">
        <v>277</v>
      </c>
      <c r="J30" s="172"/>
      <c r="K30" s="172"/>
      <c r="L30" s="172"/>
      <c r="M30" s="172"/>
      <c r="N30" s="172"/>
      <c r="O30" s="172"/>
      <c r="P30" s="172"/>
      <c r="Q30" s="173"/>
      <c r="R30" s="213" t="s">
        <v>276</v>
      </c>
      <c r="S30" s="172"/>
      <c r="T30" s="172"/>
      <c r="U30" s="172"/>
      <c r="V30" s="172"/>
      <c r="W30" s="172"/>
      <c r="X30" s="171"/>
      <c r="Y30" s="459" t="s">
        <v>155</v>
      </c>
      <c r="Z30" s="460"/>
      <c r="AA30" s="445" t="s">
        <v>156</v>
      </c>
      <c r="AB30" s="446"/>
      <c r="AC30" s="447"/>
      <c r="AD30" s="174">
        <v>1</v>
      </c>
      <c r="AE30" s="175"/>
      <c r="AF30" s="175"/>
      <c r="AG30" s="175"/>
      <c r="AH30" s="176">
        <v>0</v>
      </c>
      <c r="AI30" s="176"/>
      <c r="AJ30" s="176"/>
      <c r="AK30" s="176"/>
      <c r="AL30" s="176"/>
      <c r="AM30" s="176"/>
      <c r="AN30" s="176"/>
      <c r="AO30" s="175"/>
      <c r="AP30" s="175"/>
      <c r="AQ30" s="175"/>
      <c r="AR30" s="175"/>
      <c r="AS30" s="177" t="s">
        <v>235</v>
      </c>
      <c r="AT30" s="178"/>
      <c r="AU30" s="178"/>
      <c r="AV30" s="178"/>
      <c r="AW30" s="178"/>
      <c r="AX30" s="178"/>
      <c r="AY30" s="178"/>
      <c r="AZ30" s="178"/>
      <c r="BA30" s="178"/>
      <c r="BB30" s="178"/>
      <c r="BC30" s="178"/>
      <c r="BD30" s="179"/>
      <c r="BE30" s="1" t="s">
        <v>1474</v>
      </c>
    </row>
    <row r="31" spans="1:57" s="1" customFormat="1" ht="14.4" customHeight="1">
      <c r="A31" s="145">
        <f>IF(B31="","",COUNTA($B$8:B31))</f>
        <v>24</v>
      </c>
      <c r="B31" s="208" t="s">
        <v>239</v>
      </c>
      <c r="C31" s="127"/>
      <c r="D31" s="127"/>
      <c r="E31" s="127"/>
      <c r="F31" s="127"/>
      <c r="G31" s="127"/>
      <c r="H31" s="148"/>
      <c r="I31" s="128" t="s">
        <v>240</v>
      </c>
      <c r="J31" s="129"/>
      <c r="K31" s="129"/>
      <c r="L31" s="129"/>
      <c r="M31" s="129"/>
      <c r="N31" s="129"/>
      <c r="O31" s="129"/>
      <c r="P31" s="129"/>
      <c r="Q31" s="147"/>
      <c r="R31" s="208" t="s">
        <v>239</v>
      </c>
      <c r="S31" s="129"/>
      <c r="T31" s="129"/>
      <c r="U31" s="129"/>
      <c r="V31" s="129"/>
      <c r="W31" s="129"/>
      <c r="X31" s="148"/>
      <c r="Y31" s="451" t="s">
        <v>169</v>
      </c>
      <c r="Z31" s="452"/>
      <c r="AA31" s="448" t="s">
        <v>170</v>
      </c>
      <c r="AB31" s="449"/>
      <c r="AC31" s="450"/>
      <c r="AD31" s="139"/>
      <c r="AE31" s="124"/>
      <c r="AF31" s="124"/>
      <c r="AG31" s="124"/>
      <c r="AH31" s="133"/>
      <c r="AI31" s="133"/>
      <c r="AJ31" s="133"/>
      <c r="AK31" s="133"/>
      <c r="AL31" s="133"/>
      <c r="AM31" s="133"/>
      <c r="AN31" s="133"/>
      <c r="AO31" s="124"/>
      <c r="AP31" s="124"/>
      <c r="AQ31" s="124"/>
      <c r="AR31" s="124"/>
      <c r="AS31" s="131"/>
      <c r="AT31" s="137"/>
      <c r="AU31" s="137"/>
      <c r="AV31" s="137"/>
      <c r="AW31" s="137"/>
      <c r="AX31" s="137"/>
      <c r="AY31" s="137"/>
      <c r="AZ31" s="137"/>
      <c r="BA31" s="137"/>
      <c r="BB31" s="137"/>
      <c r="BC31" s="137"/>
      <c r="BD31" s="138"/>
    </row>
    <row r="32" spans="1:57" s="1" customFormat="1" ht="14.4" customHeight="1">
      <c r="A32" s="189">
        <f>IF(B32="","",COUNTA($B$8:B32))</f>
        <v>25</v>
      </c>
      <c r="B32" s="4" t="s">
        <v>241</v>
      </c>
      <c r="C32" s="127"/>
      <c r="D32" s="127"/>
      <c r="E32" s="127"/>
      <c r="F32" s="127"/>
      <c r="G32" s="127"/>
      <c r="H32" s="127"/>
      <c r="I32" s="128" t="s">
        <v>242</v>
      </c>
      <c r="J32" s="129"/>
      <c r="K32" s="129"/>
      <c r="L32" s="129"/>
      <c r="M32" s="129"/>
      <c r="N32" s="129"/>
      <c r="O32" s="129"/>
      <c r="P32" s="129"/>
      <c r="Q32" s="129"/>
      <c r="R32" s="4" t="s">
        <v>241</v>
      </c>
      <c r="S32" s="127"/>
      <c r="T32" s="5"/>
      <c r="U32" s="5"/>
      <c r="V32" s="5"/>
      <c r="W32" s="5"/>
      <c r="X32" s="5"/>
      <c r="Y32" s="208" t="s">
        <v>150</v>
      </c>
      <c r="Z32" s="209"/>
      <c r="AA32" s="448" t="s">
        <v>243</v>
      </c>
      <c r="AB32" s="449"/>
      <c r="AC32" s="450"/>
      <c r="AD32" s="130"/>
      <c r="AE32" s="133" t="s">
        <v>244</v>
      </c>
      <c r="AF32" s="134"/>
      <c r="AG32" s="134"/>
      <c r="AH32" s="134"/>
      <c r="AI32" s="134"/>
      <c r="AJ32" s="134"/>
      <c r="AK32" s="134"/>
      <c r="AL32" s="134"/>
      <c r="AM32" s="134"/>
      <c r="AN32" s="134"/>
      <c r="AO32" s="135"/>
      <c r="AP32" s="135"/>
      <c r="AQ32" s="135"/>
      <c r="AR32" s="135"/>
      <c r="AS32" s="136" t="s">
        <v>245</v>
      </c>
      <c r="AT32" s="137"/>
      <c r="AU32" s="137"/>
      <c r="AV32" s="137"/>
      <c r="AW32" s="137"/>
      <c r="AX32" s="137"/>
      <c r="AY32" s="137"/>
      <c r="AZ32" s="137"/>
      <c r="BA32" s="137"/>
      <c r="BB32" s="137"/>
      <c r="BC32" s="137"/>
      <c r="BD32" s="138"/>
    </row>
    <row r="33" spans="1:56" s="1" customFormat="1" ht="14.4" customHeight="1">
      <c r="A33" s="189">
        <f>IF(B33="","",COUNTA($B$8:B33))</f>
        <v>26</v>
      </c>
      <c r="B33" s="4" t="s">
        <v>246</v>
      </c>
      <c r="C33" s="127"/>
      <c r="D33" s="127"/>
      <c r="E33" s="127"/>
      <c r="F33" s="127"/>
      <c r="G33" s="127"/>
      <c r="H33" s="127"/>
      <c r="I33" s="128" t="s">
        <v>247</v>
      </c>
      <c r="J33" s="129"/>
      <c r="K33" s="129"/>
      <c r="L33" s="129"/>
      <c r="M33" s="129"/>
      <c r="N33" s="129"/>
      <c r="O33" s="129"/>
      <c r="P33" s="129"/>
      <c r="Q33" s="129"/>
      <c r="R33" s="4" t="s">
        <v>246</v>
      </c>
      <c r="S33" s="127"/>
      <c r="T33" s="5"/>
      <c r="U33" s="5"/>
      <c r="V33" s="5"/>
      <c r="W33" s="5"/>
      <c r="X33" s="5"/>
      <c r="Y33" s="208" t="s">
        <v>150</v>
      </c>
      <c r="Z33" s="209"/>
      <c r="AA33" s="448" t="s">
        <v>243</v>
      </c>
      <c r="AB33" s="449"/>
      <c r="AC33" s="450"/>
      <c r="AD33" s="130"/>
      <c r="AE33" s="133" t="s">
        <v>244</v>
      </c>
      <c r="AF33" s="134"/>
      <c r="AG33" s="134"/>
      <c r="AH33" s="134"/>
      <c r="AI33" s="134"/>
      <c r="AJ33" s="134"/>
      <c r="AK33" s="134"/>
      <c r="AL33" s="134"/>
      <c r="AM33" s="134"/>
      <c r="AN33" s="134"/>
      <c r="AO33" s="135"/>
      <c r="AP33" s="135"/>
      <c r="AQ33" s="135"/>
      <c r="AR33" s="135"/>
      <c r="AS33" s="136" t="s">
        <v>248</v>
      </c>
      <c r="AT33" s="137"/>
      <c r="AU33" s="137"/>
      <c r="AV33" s="137"/>
      <c r="AW33" s="137"/>
      <c r="AX33" s="137"/>
      <c r="AY33" s="137"/>
      <c r="AZ33" s="137"/>
      <c r="BA33" s="137"/>
      <c r="BB33" s="137"/>
      <c r="BC33" s="137"/>
      <c r="BD33" s="138"/>
    </row>
    <row r="34" spans="1:56" s="1" customFormat="1" ht="14.4" customHeight="1">
      <c r="A34" s="145">
        <f>IF(B34="","",COUNTA($B$8:B34))</f>
        <v>27</v>
      </c>
      <c r="B34" s="208" t="s">
        <v>249</v>
      </c>
      <c r="C34" s="127"/>
      <c r="D34" s="127"/>
      <c r="E34" s="127"/>
      <c r="F34" s="127"/>
      <c r="G34" s="127"/>
      <c r="H34" s="148"/>
      <c r="I34" s="128" t="s">
        <v>250</v>
      </c>
      <c r="J34" s="129"/>
      <c r="K34" s="129"/>
      <c r="L34" s="129"/>
      <c r="M34" s="129"/>
      <c r="N34" s="129"/>
      <c r="O34" s="129"/>
      <c r="P34" s="129"/>
      <c r="Q34" s="147"/>
      <c r="R34" s="208" t="s">
        <v>249</v>
      </c>
      <c r="S34" s="129"/>
      <c r="T34" s="129"/>
      <c r="U34" s="129"/>
      <c r="V34" s="129"/>
      <c r="W34" s="129"/>
      <c r="X34" s="148"/>
      <c r="Y34" s="451" t="s">
        <v>150</v>
      </c>
      <c r="Z34" s="452"/>
      <c r="AA34" s="448" t="s">
        <v>151</v>
      </c>
      <c r="AB34" s="449"/>
      <c r="AC34" s="450"/>
      <c r="AD34" s="139">
        <v>4</v>
      </c>
      <c r="AE34" s="124"/>
      <c r="AF34" s="124"/>
      <c r="AG34" s="124"/>
      <c r="AH34" s="133"/>
      <c r="AI34" s="133"/>
      <c r="AJ34" s="133"/>
      <c r="AK34" s="133"/>
      <c r="AL34" s="133"/>
      <c r="AM34" s="133"/>
      <c r="AN34" s="133"/>
      <c r="AO34" s="124"/>
      <c r="AP34" s="124"/>
      <c r="AQ34" s="124"/>
      <c r="AR34" s="124"/>
      <c r="AS34" s="131"/>
      <c r="AT34" s="137"/>
      <c r="AU34" s="137"/>
      <c r="AV34" s="137"/>
      <c r="AW34" s="137"/>
      <c r="AX34" s="137"/>
      <c r="AY34" s="137"/>
      <c r="AZ34" s="137"/>
      <c r="BA34" s="137"/>
      <c r="BB34" s="137"/>
      <c r="BC34" s="137"/>
      <c r="BD34" s="138"/>
    </row>
    <row r="35" spans="1:56" s="1" customFormat="1" ht="14.4" customHeight="1">
      <c r="A35" s="145">
        <f>IF(B35="","",COUNTA($B$8:B35))</f>
        <v>28</v>
      </c>
      <c r="B35" s="208" t="s">
        <v>251</v>
      </c>
      <c r="C35" s="127"/>
      <c r="D35" s="127"/>
      <c r="E35" s="127"/>
      <c r="F35" s="127"/>
      <c r="G35" s="127"/>
      <c r="H35" s="148"/>
      <c r="I35" s="128" t="s">
        <v>252</v>
      </c>
      <c r="J35" s="129"/>
      <c r="K35" s="129"/>
      <c r="L35" s="129"/>
      <c r="M35" s="129"/>
      <c r="N35" s="129"/>
      <c r="O35" s="129"/>
      <c r="P35" s="129"/>
      <c r="Q35" s="147"/>
      <c r="R35" s="208" t="s">
        <v>251</v>
      </c>
      <c r="S35" s="129"/>
      <c r="T35" s="129"/>
      <c r="U35" s="129"/>
      <c r="V35" s="129"/>
      <c r="W35" s="129"/>
      <c r="X35" s="148"/>
      <c r="Y35" s="451" t="s">
        <v>150</v>
      </c>
      <c r="Z35" s="452"/>
      <c r="AA35" s="448" t="s">
        <v>151</v>
      </c>
      <c r="AB35" s="449"/>
      <c r="AC35" s="450"/>
      <c r="AD35" s="139">
        <v>4</v>
      </c>
      <c r="AE35" s="124"/>
      <c r="AF35" s="124"/>
      <c r="AG35" s="124"/>
      <c r="AH35" s="133"/>
      <c r="AI35" s="133"/>
      <c r="AJ35" s="133"/>
      <c r="AK35" s="133"/>
      <c r="AL35" s="133"/>
      <c r="AM35" s="133"/>
      <c r="AN35" s="133"/>
      <c r="AO35" s="124"/>
      <c r="AP35" s="124"/>
      <c r="AQ35" s="124"/>
      <c r="AR35" s="124"/>
      <c r="AS35" s="131"/>
      <c r="AT35" s="137"/>
      <c r="AU35" s="137"/>
      <c r="AV35" s="137"/>
      <c r="AW35" s="137"/>
      <c r="AX35" s="137"/>
      <c r="AY35" s="137"/>
      <c r="AZ35" s="137"/>
      <c r="BA35" s="137"/>
      <c r="BB35" s="137"/>
      <c r="BC35" s="137"/>
      <c r="BD35" s="138"/>
    </row>
    <row r="36" spans="1:56" s="1" customFormat="1" ht="14.4" customHeight="1">
      <c r="A36" s="145">
        <f>IF(B36="","",COUNTA($B$8:B36))</f>
        <v>29</v>
      </c>
      <c r="B36" s="208" t="s">
        <v>253</v>
      </c>
      <c r="C36" s="127"/>
      <c r="D36" s="127"/>
      <c r="E36" s="127"/>
      <c r="F36" s="127"/>
      <c r="G36" s="127"/>
      <c r="H36" s="148"/>
      <c r="I36" s="131" t="s">
        <v>254</v>
      </c>
      <c r="J36" s="129"/>
      <c r="K36" s="129"/>
      <c r="L36" s="129"/>
      <c r="M36" s="129"/>
      <c r="N36" s="129"/>
      <c r="O36" s="129"/>
      <c r="P36" s="129"/>
      <c r="Q36" s="147"/>
      <c r="R36" s="208" t="s">
        <v>253</v>
      </c>
      <c r="S36" s="129"/>
      <c r="T36" s="129"/>
      <c r="U36" s="129"/>
      <c r="V36" s="129"/>
      <c r="W36" s="129"/>
      <c r="X36" s="148"/>
      <c r="Y36" s="451" t="s">
        <v>150</v>
      </c>
      <c r="Z36" s="452"/>
      <c r="AA36" s="448" t="s">
        <v>151</v>
      </c>
      <c r="AB36" s="449"/>
      <c r="AC36" s="450"/>
      <c r="AD36" s="139">
        <v>10</v>
      </c>
      <c r="AE36" s="124"/>
      <c r="AF36" s="124"/>
      <c r="AG36" s="124"/>
      <c r="AH36" s="133"/>
      <c r="AI36" s="133"/>
      <c r="AJ36" s="133"/>
      <c r="AK36" s="133"/>
      <c r="AL36" s="133"/>
      <c r="AM36" s="133"/>
      <c r="AN36" s="133"/>
      <c r="AO36" s="124"/>
      <c r="AP36" s="124"/>
      <c r="AQ36" s="124"/>
      <c r="AR36" s="124"/>
      <c r="AS36" s="131"/>
      <c r="AT36" s="137"/>
      <c r="AU36" s="137"/>
      <c r="AV36" s="137"/>
      <c r="AW36" s="137"/>
      <c r="AX36" s="137"/>
      <c r="AY36" s="137"/>
      <c r="AZ36" s="137"/>
      <c r="BA36" s="137"/>
      <c r="BB36" s="137"/>
      <c r="BC36" s="137"/>
      <c r="BD36" s="138"/>
    </row>
    <row r="37" spans="1:56" s="1" customFormat="1" ht="14.4" customHeight="1">
      <c r="A37" s="145">
        <f>IF(B37="","",COUNTA($B$8:B37))</f>
        <v>30</v>
      </c>
      <c r="B37" s="208" t="s">
        <v>255</v>
      </c>
      <c r="C37" s="127"/>
      <c r="D37" s="127"/>
      <c r="E37" s="127"/>
      <c r="F37" s="127"/>
      <c r="G37" s="127"/>
      <c r="H37" s="148"/>
      <c r="I37" s="131" t="s">
        <v>256</v>
      </c>
      <c r="J37" s="129"/>
      <c r="K37" s="129"/>
      <c r="L37" s="129"/>
      <c r="M37" s="129"/>
      <c r="N37" s="129"/>
      <c r="O37" s="129"/>
      <c r="P37" s="129"/>
      <c r="Q37" s="147"/>
      <c r="R37" s="208" t="s">
        <v>255</v>
      </c>
      <c r="S37" s="129"/>
      <c r="T37" s="129"/>
      <c r="U37" s="129"/>
      <c r="V37" s="129"/>
      <c r="W37" s="129"/>
      <c r="X37" s="148"/>
      <c r="Y37" s="451" t="s">
        <v>150</v>
      </c>
      <c r="Z37" s="452"/>
      <c r="AA37" s="448" t="s">
        <v>151</v>
      </c>
      <c r="AB37" s="449"/>
      <c r="AC37" s="450"/>
      <c r="AD37" s="139">
        <v>10</v>
      </c>
      <c r="AE37" s="124"/>
      <c r="AF37" s="124"/>
      <c r="AG37" s="124"/>
      <c r="AH37" s="133"/>
      <c r="AI37" s="133"/>
      <c r="AJ37" s="133"/>
      <c r="AK37" s="133"/>
      <c r="AL37" s="133"/>
      <c r="AM37" s="133"/>
      <c r="AN37" s="133"/>
      <c r="AO37" s="124"/>
      <c r="AP37" s="124"/>
      <c r="AQ37" s="124"/>
      <c r="AR37" s="124"/>
      <c r="AS37" s="131"/>
      <c r="AT37" s="137"/>
      <c r="AU37" s="137"/>
      <c r="AV37" s="137"/>
      <c r="AW37" s="137"/>
      <c r="AX37" s="137"/>
      <c r="AY37" s="137"/>
      <c r="AZ37" s="137"/>
      <c r="BA37" s="137"/>
      <c r="BB37" s="137"/>
      <c r="BC37" s="137"/>
      <c r="BD37" s="138"/>
    </row>
    <row r="38" spans="1:56" s="1" customFormat="1" ht="14.4" customHeight="1">
      <c r="A38" s="145">
        <f>IF(B38="","",COUNTA($B$8:B38))</f>
        <v>31</v>
      </c>
      <c r="B38" s="208" t="s">
        <v>257</v>
      </c>
      <c r="C38" s="127"/>
      <c r="D38" s="127"/>
      <c r="E38" s="127"/>
      <c r="F38" s="127"/>
      <c r="G38" s="127"/>
      <c r="H38" s="148"/>
      <c r="I38" s="131" t="s">
        <v>258</v>
      </c>
      <c r="J38" s="129"/>
      <c r="K38" s="129"/>
      <c r="L38" s="129"/>
      <c r="M38" s="129"/>
      <c r="N38" s="129"/>
      <c r="O38" s="129"/>
      <c r="P38" s="129"/>
      <c r="Q38" s="147"/>
      <c r="R38" s="208" t="s">
        <v>257</v>
      </c>
      <c r="S38" s="129"/>
      <c r="T38" s="129"/>
      <c r="U38" s="129"/>
      <c r="V38" s="129"/>
      <c r="W38" s="129"/>
      <c r="X38" s="148"/>
      <c r="Y38" s="451" t="s">
        <v>169</v>
      </c>
      <c r="Z38" s="452"/>
      <c r="AA38" s="448" t="s">
        <v>243</v>
      </c>
      <c r="AB38" s="449"/>
      <c r="AC38" s="450"/>
      <c r="AD38" s="188"/>
      <c r="AE38" s="124"/>
      <c r="AF38" s="124"/>
      <c r="AG38" s="124"/>
      <c r="AH38" s="134"/>
      <c r="AI38" s="134"/>
      <c r="AJ38" s="133"/>
      <c r="AK38" s="133"/>
      <c r="AL38" s="133"/>
      <c r="AM38" s="133"/>
      <c r="AN38" s="133"/>
      <c r="AO38" s="124"/>
      <c r="AP38" s="124"/>
      <c r="AQ38" s="124"/>
      <c r="AR38" s="124"/>
      <c r="AS38" s="131"/>
      <c r="AT38" s="137"/>
      <c r="AU38" s="137"/>
      <c r="AV38" s="137"/>
      <c r="AW38" s="137"/>
      <c r="AX38" s="137"/>
      <c r="AY38" s="137"/>
      <c r="AZ38" s="137"/>
      <c r="BA38" s="137"/>
      <c r="BB38" s="137"/>
      <c r="BC38" s="137"/>
      <c r="BD38" s="138"/>
    </row>
    <row r="39" spans="1:56" s="1" customFormat="1" ht="14.4" customHeight="1">
      <c r="A39" s="145">
        <f>IF(B39="","",COUNTA($B$8:B39))</f>
        <v>32</v>
      </c>
      <c r="B39" s="208" t="s">
        <v>259</v>
      </c>
      <c r="C39" s="127"/>
      <c r="D39" s="127"/>
      <c r="E39" s="127"/>
      <c r="F39" s="127"/>
      <c r="G39" s="127"/>
      <c r="H39" s="148"/>
      <c r="I39" s="131" t="s">
        <v>260</v>
      </c>
      <c r="J39" s="129"/>
      <c r="K39" s="129"/>
      <c r="L39" s="129"/>
      <c r="M39" s="129"/>
      <c r="N39" s="129"/>
      <c r="O39" s="129"/>
      <c r="P39" s="129"/>
      <c r="Q39" s="147"/>
      <c r="R39" s="208" t="s">
        <v>259</v>
      </c>
      <c r="S39" s="129"/>
      <c r="T39" s="129"/>
      <c r="U39" s="129"/>
      <c r="V39" s="129"/>
      <c r="W39" s="129"/>
      <c r="X39" s="148"/>
      <c r="Y39" s="451" t="s">
        <v>150</v>
      </c>
      <c r="Z39" s="452"/>
      <c r="AA39" s="448" t="s">
        <v>151</v>
      </c>
      <c r="AB39" s="449"/>
      <c r="AC39" s="450"/>
      <c r="AD39" s="139">
        <v>10</v>
      </c>
      <c r="AE39" s="124"/>
      <c r="AF39" s="124"/>
      <c r="AG39" s="124"/>
      <c r="AH39" s="134"/>
      <c r="AI39" s="134"/>
      <c r="AJ39" s="133"/>
      <c r="AK39" s="133"/>
      <c r="AL39" s="133"/>
      <c r="AM39" s="133"/>
      <c r="AN39" s="133"/>
      <c r="AO39" s="124"/>
      <c r="AP39" s="124"/>
      <c r="AQ39" s="124"/>
      <c r="AR39" s="124"/>
      <c r="AS39" s="131"/>
      <c r="AT39" s="137"/>
      <c r="AU39" s="137"/>
      <c r="AV39" s="137"/>
      <c r="AW39" s="137"/>
      <c r="AX39" s="137"/>
      <c r="AY39" s="137"/>
      <c r="AZ39" s="137"/>
      <c r="BA39" s="137"/>
      <c r="BB39" s="137"/>
      <c r="BC39" s="137"/>
      <c r="BD39" s="138"/>
    </row>
    <row r="40" spans="1:56" s="1" customFormat="1" ht="14.4" customHeight="1">
      <c r="A40" s="145">
        <f>IF(B40="","",COUNTA($B$8:B40))</f>
        <v>33</v>
      </c>
      <c r="B40" s="208" t="s">
        <v>261</v>
      </c>
      <c r="C40" s="127"/>
      <c r="D40" s="127"/>
      <c r="E40" s="127"/>
      <c r="F40" s="127"/>
      <c r="G40" s="127"/>
      <c r="H40" s="148"/>
      <c r="I40" s="131" t="s">
        <v>262</v>
      </c>
      <c r="J40" s="129"/>
      <c r="K40" s="129"/>
      <c r="L40" s="129"/>
      <c r="M40" s="129"/>
      <c r="N40" s="129"/>
      <c r="O40" s="129"/>
      <c r="P40" s="129"/>
      <c r="Q40" s="147"/>
      <c r="R40" s="208" t="s">
        <v>261</v>
      </c>
      <c r="S40" s="129"/>
      <c r="T40" s="129"/>
      <c r="U40" s="129"/>
      <c r="V40" s="129"/>
      <c r="W40" s="129"/>
      <c r="X40" s="148"/>
      <c r="Y40" s="451" t="s">
        <v>150</v>
      </c>
      <c r="Z40" s="452"/>
      <c r="AA40" s="448" t="s">
        <v>151</v>
      </c>
      <c r="AB40" s="449"/>
      <c r="AC40" s="450"/>
      <c r="AD40" s="188">
        <v>10</v>
      </c>
      <c r="AE40" s="124"/>
      <c r="AF40" s="124"/>
      <c r="AG40" s="124"/>
      <c r="AH40" s="133"/>
      <c r="AI40" s="133"/>
      <c r="AJ40" s="133"/>
      <c r="AK40" s="133"/>
      <c r="AL40" s="134"/>
      <c r="AM40" s="134"/>
      <c r="AN40" s="134"/>
      <c r="AO40" s="135"/>
      <c r="AP40" s="135"/>
      <c r="AQ40" s="135"/>
      <c r="AR40" s="135"/>
      <c r="AS40" s="136"/>
      <c r="AT40" s="190"/>
      <c r="AU40" s="137"/>
      <c r="AV40" s="137"/>
      <c r="AW40" s="137"/>
      <c r="AX40" s="137"/>
      <c r="AY40" s="137"/>
      <c r="AZ40" s="137"/>
      <c r="BA40" s="137"/>
      <c r="BB40" s="137"/>
      <c r="BC40" s="137"/>
      <c r="BD40" s="138"/>
    </row>
    <row r="41" spans="1:56" s="1" customFormat="1" ht="14.4" customHeight="1">
      <c r="A41" s="145">
        <f>IF(B41="","",COUNTA($B$8:B41))</f>
        <v>34</v>
      </c>
      <c r="B41" s="208" t="s">
        <v>263</v>
      </c>
      <c r="C41" s="127"/>
      <c r="D41" s="127"/>
      <c r="E41" s="127"/>
      <c r="F41" s="127"/>
      <c r="G41" s="127"/>
      <c r="H41" s="148"/>
      <c r="I41" s="131" t="s">
        <v>264</v>
      </c>
      <c r="J41" s="129"/>
      <c r="K41" s="129"/>
      <c r="L41" s="129"/>
      <c r="M41" s="129"/>
      <c r="N41" s="129"/>
      <c r="O41" s="129"/>
      <c r="P41" s="129"/>
      <c r="Q41" s="147"/>
      <c r="R41" s="146" t="s">
        <v>263</v>
      </c>
      <c r="S41" s="129"/>
      <c r="T41" s="129"/>
      <c r="U41" s="129"/>
      <c r="V41" s="129"/>
      <c r="W41" s="129"/>
      <c r="X41" s="148"/>
      <c r="Y41" s="451" t="s">
        <v>169</v>
      </c>
      <c r="Z41" s="452"/>
      <c r="AA41" s="448" t="s">
        <v>243</v>
      </c>
      <c r="AB41" s="449"/>
      <c r="AC41" s="450"/>
      <c r="AD41" s="188"/>
      <c r="AE41" s="124"/>
      <c r="AF41" s="124"/>
      <c r="AG41" s="124"/>
      <c r="AH41" s="134"/>
      <c r="AI41" s="134"/>
      <c r="AJ41" s="134"/>
      <c r="AK41" s="134"/>
      <c r="AL41" s="134"/>
      <c r="AM41" s="134"/>
      <c r="AN41" s="134"/>
      <c r="AO41" s="135"/>
      <c r="AP41" s="135"/>
      <c r="AQ41" s="135"/>
      <c r="AR41" s="135"/>
      <c r="AS41" s="136"/>
      <c r="AT41" s="190"/>
      <c r="AU41" s="137"/>
      <c r="AV41" s="137"/>
      <c r="AW41" s="137"/>
      <c r="AX41" s="137"/>
      <c r="AY41" s="137"/>
      <c r="AZ41" s="137"/>
      <c r="BA41" s="137"/>
      <c r="BB41" s="137"/>
      <c r="BC41" s="137"/>
      <c r="BD41" s="138"/>
    </row>
    <row r="42" spans="1:56" s="1" customFormat="1" ht="14.4" customHeight="1">
      <c r="A42" s="145" t="str">
        <f>IF(B42="","",COUNTA($B$8:B42))</f>
        <v/>
      </c>
      <c r="B42" s="208"/>
      <c r="C42" s="127"/>
      <c r="D42" s="127"/>
      <c r="E42" s="127"/>
      <c r="F42" s="127"/>
      <c r="G42" s="127"/>
      <c r="H42" s="148"/>
      <c r="I42" s="128"/>
      <c r="J42" s="129"/>
      <c r="K42" s="129"/>
      <c r="L42" s="129"/>
      <c r="M42" s="129"/>
      <c r="N42" s="129"/>
      <c r="O42" s="129"/>
      <c r="P42" s="129"/>
      <c r="Q42" s="147"/>
      <c r="R42" s="208"/>
      <c r="S42" s="129"/>
      <c r="T42" s="129"/>
      <c r="U42" s="129"/>
      <c r="V42" s="129"/>
      <c r="W42" s="129"/>
      <c r="X42" s="148"/>
      <c r="Y42" s="451"/>
      <c r="Z42" s="452"/>
      <c r="AA42" s="448"/>
      <c r="AB42" s="449"/>
      <c r="AC42" s="450"/>
      <c r="AD42" s="188"/>
      <c r="AE42" s="124" t="s">
        <v>244</v>
      </c>
      <c r="AF42" s="124"/>
      <c r="AG42" s="124"/>
      <c r="AH42" s="134"/>
      <c r="AI42" s="134"/>
      <c r="AJ42" s="134"/>
      <c r="AK42" s="134"/>
      <c r="AL42" s="134"/>
      <c r="AM42" s="134"/>
      <c r="AN42" s="134"/>
      <c r="AO42" s="135"/>
      <c r="AP42" s="135"/>
      <c r="AQ42" s="135"/>
      <c r="AR42" s="135"/>
      <c r="AS42" s="136"/>
      <c r="AT42" s="190"/>
      <c r="AU42" s="137"/>
      <c r="AV42" s="137"/>
      <c r="AW42" s="137"/>
      <c r="AX42" s="137"/>
      <c r="AY42" s="137"/>
      <c r="AZ42" s="137"/>
      <c r="BA42" s="137"/>
      <c r="BB42" s="137"/>
      <c r="BC42" s="137"/>
      <c r="BD42" s="138"/>
    </row>
    <row r="43" spans="1:56" s="1" customFormat="1" ht="14.4" customHeight="1">
      <c r="A43" s="145" t="str">
        <f>IF(B43="","",COUNTA($B$8:B43))</f>
        <v/>
      </c>
      <c r="B43" s="208"/>
      <c r="C43" s="127"/>
      <c r="D43" s="127"/>
      <c r="E43" s="127"/>
      <c r="F43" s="127"/>
      <c r="G43" s="127"/>
      <c r="H43" s="148"/>
      <c r="I43" s="128"/>
      <c r="J43" s="129"/>
      <c r="K43" s="129"/>
      <c r="L43" s="129"/>
      <c r="M43" s="129"/>
      <c r="N43" s="129"/>
      <c r="O43" s="129"/>
      <c r="P43" s="129"/>
      <c r="Q43" s="147"/>
      <c r="R43" s="208"/>
      <c r="S43" s="129"/>
      <c r="T43" s="129"/>
      <c r="U43" s="129"/>
      <c r="V43" s="129"/>
      <c r="W43" s="129"/>
      <c r="X43" s="148"/>
      <c r="Y43" s="451"/>
      <c r="Z43" s="452"/>
      <c r="AA43" s="448"/>
      <c r="AB43" s="449"/>
      <c r="AC43" s="450"/>
      <c r="AD43" s="188"/>
      <c r="AE43" s="124" t="s">
        <v>244</v>
      </c>
      <c r="AF43" s="124"/>
      <c r="AG43" s="124"/>
      <c r="AH43" s="134"/>
      <c r="AI43" s="134"/>
      <c r="AJ43" s="134"/>
      <c r="AK43" s="134"/>
      <c r="AL43" s="134"/>
      <c r="AM43" s="134"/>
      <c r="AN43" s="134"/>
      <c r="AO43" s="135"/>
      <c r="AP43" s="135"/>
      <c r="AQ43" s="135"/>
      <c r="AR43" s="135"/>
      <c r="AS43" s="136"/>
      <c r="AT43" s="190"/>
      <c r="AU43" s="137"/>
      <c r="AV43" s="137"/>
      <c r="AW43" s="137"/>
      <c r="AX43" s="137"/>
      <c r="AY43" s="137"/>
      <c r="AZ43" s="137"/>
      <c r="BA43" s="137"/>
      <c r="BB43" s="137"/>
      <c r="BC43" s="137"/>
      <c r="BD43" s="138"/>
    </row>
    <row r="44" spans="1:56" s="1" customFormat="1" ht="14.4" customHeight="1">
      <c r="A44" s="145" t="str">
        <f>IF(B44="","",COUNTA($B$8:B44))</f>
        <v/>
      </c>
      <c r="B44" s="208"/>
      <c r="C44" s="127"/>
      <c r="D44" s="127"/>
      <c r="E44" s="127"/>
      <c r="F44" s="127"/>
      <c r="G44" s="127"/>
      <c r="H44" s="148"/>
      <c r="I44" s="128"/>
      <c r="J44" s="129"/>
      <c r="K44" s="129"/>
      <c r="L44" s="129"/>
      <c r="M44" s="129"/>
      <c r="N44" s="129"/>
      <c r="O44" s="129"/>
      <c r="P44" s="129"/>
      <c r="Q44" s="147"/>
      <c r="R44" s="208"/>
      <c r="S44" s="129"/>
      <c r="T44" s="129"/>
      <c r="U44" s="129"/>
      <c r="V44" s="129"/>
      <c r="W44" s="129"/>
      <c r="X44" s="148"/>
      <c r="Y44" s="451"/>
      <c r="Z44" s="452"/>
      <c r="AA44" s="448"/>
      <c r="AB44" s="449"/>
      <c r="AC44" s="450"/>
      <c r="AD44" s="188"/>
      <c r="AE44" s="124" t="s">
        <v>244</v>
      </c>
      <c r="AF44" s="124"/>
      <c r="AG44" s="124"/>
      <c r="AH44" s="134"/>
      <c r="AI44" s="134"/>
      <c r="AJ44" s="134"/>
      <c r="AK44" s="134"/>
      <c r="AL44" s="134"/>
      <c r="AM44" s="134"/>
      <c r="AN44" s="134"/>
      <c r="AO44" s="135"/>
      <c r="AP44" s="135"/>
      <c r="AQ44" s="135"/>
      <c r="AR44" s="135"/>
      <c r="AS44" s="136"/>
      <c r="AT44" s="190"/>
      <c r="AU44" s="137"/>
      <c r="AV44" s="137"/>
      <c r="AW44" s="137"/>
      <c r="AX44" s="137"/>
      <c r="AY44" s="137"/>
      <c r="AZ44" s="137"/>
      <c r="BA44" s="137"/>
      <c r="BB44" s="137"/>
      <c r="BC44" s="137"/>
      <c r="BD44" s="138"/>
    </row>
    <row r="45" spans="1:56" s="1" customFormat="1" ht="14.4" customHeight="1">
      <c r="A45" s="145" t="str">
        <f>IF(B45="","",COUNTA($B$8:B45))</f>
        <v/>
      </c>
      <c r="B45" s="8"/>
      <c r="C45" s="127"/>
      <c r="D45" s="127"/>
      <c r="E45" s="127"/>
      <c r="F45" s="127"/>
      <c r="G45" s="127"/>
      <c r="H45" s="148"/>
      <c r="I45" s="128"/>
      <c r="J45" s="129"/>
      <c r="K45" s="129"/>
      <c r="L45" s="129"/>
      <c r="M45" s="129"/>
      <c r="N45" s="129"/>
      <c r="O45" s="129"/>
      <c r="P45" s="129"/>
      <c r="Q45" s="147"/>
      <c r="R45" s="8"/>
      <c r="S45" s="129"/>
      <c r="T45" s="129"/>
      <c r="U45" s="129"/>
      <c r="V45" s="129"/>
      <c r="W45" s="129"/>
      <c r="X45" s="148"/>
      <c r="Y45" s="451"/>
      <c r="Z45" s="452"/>
      <c r="AA45" s="448"/>
      <c r="AB45" s="449"/>
      <c r="AC45" s="450"/>
      <c r="AD45" s="188"/>
      <c r="AE45" s="124" t="s">
        <v>244</v>
      </c>
      <c r="AF45" s="124"/>
      <c r="AG45" s="124"/>
      <c r="AH45" s="134"/>
      <c r="AI45" s="134"/>
      <c r="AJ45" s="134"/>
      <c r="AK45" s="134"/>
      <c r="AL45" s="134"/>
      <c r="AM45" s="134"/>
      <c r="AN45" s="134"/>
      <c r="AO45" s="135"/>
      <c r="AP45" s="135"/>
      <c r="AQ45" s="135"/>
      <c r="AR45" s="135"/>
      <c r="AS45" s="136"/>
      <c r="AT45" s="190"/>
      <c r="AU45" s="137"/>
      <c r="AV45" s="137"/>
      <c r="AW45" s="137"/>
      <c r="AX45" s="137"/>
      <c r="AY45" s="137"/>
      <c r="AZ45" s="137"/>
      <c r="BA45" s="137"/>
      <c r="BB45" s="137"/>
      <c r="BC45" s="137"/>
      <c r="BD45" s="138"/>
    </row>
    <row r="46" spans="1:56" s="1" customFormat="1" ht="14.4" customHeight="1">
      <c r="A46" s="145" t="str">
        <f>IF(B46="","",COUNTA($B$8:B46))</f>
        <v/>
      </c>
      <c r="B46" s="8"/>
      <c r="C46" s="127"/>
      <c r="D46" s="127"/>
      <c r="E46" s="127"/>
      <c r="F46" s="127"/>
      <c r="G46" s="127"/>
      <c r="H46" s="148"/>
      <c r="I46" s="128"/>
      <c r="J46" s="129"/>
      <c r="K46" s="129"/>
      <c r="L46" s="129"/>
      <c r="M46" s="129"/>
      <c r="N46" s="129"/>
      <c r="O46" s="129"/>
      <c r="P46" s="129"/>
      <c r="Q46" s="147"/>
      <c r="R46" s="8"/>
      <c r="S46" s="129"/>
      <c r="T46" s="129"/>
      <c r="U46" s="129"/>
      <c r="V46" s="129"/>
      <c r="W46" s="129"/>
      <c r="X46" s="148"/>
      <c r="Y46" s="451"/>
      <c r="Z46" s="452"/>
      <c r="AA46" s="448"/>
      <c r="AB46" s="449"/>
      <c r="AC46" s="450"/>
      <c r="AD46" s="188"/>
      <c r="AE46" s="124" t="s">
        <v>244</v>
      </c>
      <c r="AF46" s="124"/>
      <c r="AG46" s="124"/>
      <c r="AH46" s="134"/>
      <c r="AI46" s="134"/>
      <c r="AJ46" s="134"/>
      <c r="AK46" s="134"/>
      <c r="AL46" s="134"/>
      <c r="AM46" s="134"/>
      <c r="AN46" s="134"/>
      <c r="AO46" s="135"/>
      <c r="AP46" s="135"/>
      <c r="AQ46" s="135"/>
      <c r="AR46" s="135"/>
      <c r="AS46" s="136"/>
      <c r="AT46" s="190"/>
      <c r="AU46" s="137"/>
      <c r="AV46" s="137"/>
      <c r="AW46" s="137"/>
      <c r="AX46" s="137"/>
      <c r="AY46" s="137"/>
      <c r="AZ46" s="137"/>
      <c r="BA46" s="137"/>
      <c r="BB46" s="137"/>
      <c r="BC46" s="137"/>
      <c r="BD46" s="138"/>
    </row>
  </sheetData>
  <mergeCells count="100">
    <mergeCell ref="AA35:AC35"/>
    <mergeCell ref="Y36:Z36"/>
    <mergeCell ref="AA36:AC36"/>
    <mergeCell ref="AA24:AC24"/>
    <mergeCell ref="Y39:Z39"/>
    <mergeCell ref="Y28:Z28"/>
    <mergeCell ref="Y29:Z29"/>
    <mergeCell ref="Y30:Z30"/>
    <mergeCell ref="Y16:Z16"/>
    <mergeCell ref="AA16:AC16"/>
    <mergeCell ref="Y31:Z31"/>
    <mergeCell ref="AA33:AC33"/>
    <mergeCell ref="Y34:Z34"/>
    <mergeCell ref="AA34:AC34"/>
    <mergeCell ref="Y46:Z46"/>
    <mergeCell ref="AA46:AC46"/>
    <mergeCell ref="AA37:AC37"/>
    <mergeCell ref="Y38:Z38"/>
    <mergeCell ref="AA38:AC38"/>
    <mergeCell ref="Y44:Z44"/>
    <mergeCell ref="AA44:AC44"/>
    <mergeCell ref="Y42:Z42"/>
    <mergeCell ref="AA42:AC42"/>
    <mergeCell ref="Y43:Z43"/>
    <mergeCell ref="AA43:AC43"/>
    <mergeCell ref="Y41:Z41"/>
    <mergeCell ref="AA41:AC41"/>
    <mergeCell ref="Y45:Z45"/>
    <mergeCell ref="AA45:AC45"/>
    <mergeCell ref="Y20:Z20"/>
    <mergeCell ref="Y22:Z22"/>
    <mergeCell ref="Y27:Z27"/>
    <mergeCell ref="Y26:Z26"/>
    <mergeCell ref="Y37:Z37"/>
    <mergeCell ref="Y24:Z24"/>
    <mergeCell ref="Y21:Z21"/>
    <mergeCell ref="Y35:Z35"/>
    <mergeCell ref="A6:A7"/>
    <mergeCell ref="B6:H7"/>
    <mergeCell ref="Y15:Z15"/>
    <mergeCell ref="AA15:AC15"/>
    <mergeCell ref="Y23:Z23"/>
    <mergeCell ref="AA23:AC23"/>
    <mergeCell ref="Y18:Z18"/>
    <mergeCell ref="AA18:AC18"/>
    <mergeCell ref="Y17:Z17"/>
    <mergeCell ref="AA17:AC17"/>
    <mergeCell ref="Y9:Z9"/>
    <mergeCell ref="I6:Q7"/>
    <mergeCell ref="R6:X7"/>
    <mergeCell ref="Y6:Z7"/>
    <mergeCell ref="Y8:Z8"/>
    <mergeCell ref="Y19:Z19"/>
    <mergeCell ref="AP4:AT4"/>
    <mergeCell ref="AU4:AY4"/>
    <mergeCell ref="AZ4:BD4"/>
    <mergeCell ref="Y40:Z40"/>
    <mergeCell ref="AA40:AC40"/>
    <mergeCell ref="Y10:Z10"/>
    <mergeCell ref="AA10:AC10"/>
    <mergeCell ref="Y11:Z11"/>
    <mergeCell ref="AA11:AC11"/>
    <mergeCell ref="AA32:AC32"/>
    <mergeCell ref="AA31:AC31"/>
    <mergeCell ref="AA39:AC39"/>
    <mergeCell ref="AA28:AC28"/>
    <mergeCell ref="AA30:AC30"/>
    <mergeCell ref="AA8:AC8"/>
    <mergeCell ref="AA6:AC7"/>
    <mergeCell ref="A1:H4"/>
    <mergeCell ref="AZ1:BD1"/>
    <mergeCell ref="I2:Q4"/>
    <mergeCell ref="R2:X4"/>
    <mergeCell ref="Y2:AO3"/>
    <mergeCell ref="AP2:AT2"/>
    <mergeCell ref="AZ2:BD2"/>
    <mergeCell ref="AP3:AT3"/>
    <mergeCell ref="AU3:AY3"/>
    <mergeCell ref="AZ3:BD3"/>
    <mergeCell ref="Y4:AO4"/>
    <mergeCell ref="I1:Q1"/>
    <mergeCell ref="R1:X1"/>
    <mergeCell ref="Y1:AO1"/>
    <mergeCell ref="AP1:AT1"/>
    <mergeCell ref="AU1:AY1"/>
    <mergeCell ref="AD6:AD7"/>
    <mergeCell ref="AE6:AE7"/>
    <mergeCell ref="AA26:AC26"/>
    <mergeCell ref="AA9:AC9"/>
    <mergeCell ref="AA29:AC29"/>
    <mergeCell ref="AA20:AC20"/>
    <mergeCell ref="AA22:AC22"/>
    <mergeCell ref="AA27:AC27"/>
    <mergeCell ref="AA19:AC19"/>
    <mergeCell ref="AA21:AC21"/>
    <mergeCell ref="AG6:AG7"/>
    <mergeCell ref="AH6:AH7"/>
    <mergeCell ref="AI6:AR6"/>
    <mergeCell ref="AS6:BD7"/>
    <mergeCell ref="AF6:AF7"/>
  </mergeCells>
  <phoneticPr fontId="5"/>
  <dataValidations count="3">
    <dataValidation imeMode="hiragana" allowBlank="1" showInputMessage="1" showErrorMessage="1" sqref="JO65490:JZ65492 TK65490:TV65492 ADG65490:ADR65492 ANC65490:ANN65492 AWY65490:AXJ65492 BGU65490:BHF65492 BQQ65490:BRB65492 CAM65490:CAX65492 CKI65490:CKT65492 CUE65490:CUP65492 DEA65490:DEL65492 DNW65490:DOH65492 DXS65490:DYD65492 EHO65490:EHZ65492 ERK65490:ERV65492 FBG65490:FBR65492 FLC65490:FLN65492 FUY65490:FVJ65492 GEU65490:GFF65492 GOQ65490:GPB65492 GYM65490:GYX65492 HII65490:HIT65492 HSE65490:HSP65492 ICA65490:ICL65492 ILW65490:IMH65492 IVS65490:IWD65492 JFO65490:JFZ65492 JPK65490:JPV65492 JZG65490:JZR65492 KJC65490:KJN65492 KSY65490:KTJ65492 LCU65490:LDF65492 LMQ65490:LNB65492 LWM65490:LWX65492 MGI65490:MGT65492 MQE65490:MQP65492 NAA65490:NAL65492 NJW65490:NKH65492 NTS65490:NUD65492 ODO65490:ODZ65492 ONK65490:ONV65492 OXG65490:OXR65492 PHC65490:PHN65492 PQY65490:PRJ65492 QAU65490:QBF65492 QKQ65490:QLB65492 QUM65490:QUX65492 REI65490:RET65492 ROE65490:ROP65492 RYA65490:RYL65492 SHW65490:SIH65492 SRS65490:SSD65492 TBO65490:TBZ65492 TLK65490:TLV65492 TVG65490:TVR65492 UFC65490:UFN65492 UOY65490:UPJ65492 UYU65490:UZF65492 VIQ65490:VJB65492 VSM65490:VSX65492 WCI65490:WCT65492 WME65490:WMP65492 WWA65490:WWL65492 JO131026:JZ131028 TK131026:TV131028 ADG131026:ADR131028 ANC131026:ANN131028 AWY131026:AXJ131028 BGU131026:BHF131028 BQQ131026:BRB131028 CAM131026:CAX131028 CKI131026:CKT131028 CUE131026:CUP131028 DEA131026:DEL131028 DNW131026:DOH131028 DXS131026:DYD131028 EHO131026:EHZ131028 ERK131026:ERV131028 FBG131026:FBR131028 FLC131026:FLN131028 FUY131026:FVJ131028 GEU131026:GFF131028 GOQ131026:GPB131028 GYM131026:GYX131028 HII131026:HIT131028 HSE131026:HSP131028 ICA131026:ICL131028 ILW131026:IMH131028 IVS131026:IWD131028 JFO131026:JFZ131028 JPK131026:JPV131028 JZG131026:JZR131028 KJC131026:KJN131028 KSY131026:KTJ131028 LCU131026:LDF131028 LMQ131026:LNB131028 LWM131026:LWX131028 MGI131026:MGT131028 MQE131026:MQP131028 NAA131026:NAL131028 NJW131026:NKH131028 NTS131026:NUD131028 ODO131026:ODZ131028 ONK131026:ONV131028 OXG131026:OXR131028 PHC131026:PHN131028 PQY131026:PRJ131028 QAU131026:QBF131028 QKQ131026:QLB131028 QUM131026:QUX131028 REI131026:RET131028 ROE131026:ROP131028 RYA131026:RYL131028 SHW131026:SIH131028 SRS131026:SSD131028 TBO131026:TBZ131028 TLK131026:TLV131028 TVG131026:TVR131028 UFC131026:UFN131028 UOY131026:UPJ131028 UYU131026:UZF131028 VIQ131026:VJB131028 VSM131026:VSX131028 WCI131026:WCT131028 WME131026:WMP131028 WWA131026:WWL131028 JO196562:JZ196564 TK196562:TV196564 ADG196562:ADR196564 ANC196562:ANN196564 AWY196562:AXJ196564 BGU196562:BHF196564 BQQ196562:BRB196564 CAM196562:CAX196564 CKI196562:CKT196564 CUE196562:CUP196564 DEA196562:DEL196564 DNW196562:DOH196564 DXS196562:DYD196564 EHO196562:EHZ196564 ERK196562:ERV196564 FBG196562:FBR196564 FLC196562:FLN196564 FUY196562:FVJ196564 GEU196562:GFF196564 GOQ196562:GPB196564 GYM196562:GYX196564 HII196562:HIT196564 HSE196562:HSP196564 ICA196562:ICL196564 ILW196562:IMH196564 IVS196562:IWD196564 JFO196562:JFZ196564 JPK196562:JPV196564 JZG196562:JZR196564 KJC196562:KJN196564 KSY196562:KTJ196564 LCU196562:LDF196564 LMQ196562:LNB196564 LWM196562:LWX196564 MGI196562:MGT196564 MQE196562:MQP196564 NAA196562:NAL196564 NJW196562:NKH196564 NTS196562:NUD196564 ODO196562:ODZ196564 ONK196562:ONV196564 OXG196562:OXR196564 PHC196562:PHN196564 PQY196562:PRJ196564 QAU196562:QBF196564 QKQ196562:QLB196564 QUM196562:QUX196564 REI196562:RET196564 ROE196562:ROP196564 RYA196562:RYL196564 SHW196562:SIH196564 SRS196562:SSD196564 TBO196562:TBZ196564 TLK196562:TLV196564 TVG196562:TVR196564 UFC196562:UFN196564 UOY196562:UPJ196564 UYU196562:UZF196564 VIQ196562:VJB196564 VSM196562:VSX196564 WCI196562:WCT196564 WME196562:WMP196564 WWA196562:WWL196564 JO262098:JZ262100 TK262098:TV262100 ADG262098:ADR262100 ANC262098:ANN262100 AWY262098:AXJ262100 BGU262098:BHF262100 BQQ262098:BRB262100 CAM262098:CAX262100 CKI262098:CKT262100 CUE262098:CUP262100 DEA262098:DEL262100 DNW262098:DOH262100 DXS262098:DYD262100 EHO262098:EHZ262100 ERK262098:ERV262100 FBG262098:FBR262100 FLC262098:FLN262100 FUY262098:FVJ262100 GEU262098:GFF262100 GOQ262098:GPB262100 GYM262098:GYX262100 HII262098:HIT262100 HSE262098:HSP262100 ICA262098:ICL262100 ILW262098:IMH262100 IVS262098:IWD262100 JFO262098:JFZ262100 JPK262098:JPV262100 JZG262098:JZR262100 KJC262098:KJN262100 KSY262098:KTJ262100 LCU262098:LDF262100 LMQ262098:LNB262100 LWM262098:LWX262100 MGI262098:MGT262100 MQE262098:MQP262100 NAA262098:NAL262100 NJW262098:NKH262100 NTS262098:NUD262100 ODO262098:ODZ262100 ONK262098:ONV262100 OXG262098:OXR262100 PHC262098:PHN262100 PQY262098:PRJ262100 QAU262098:QBF262100 QKQ262098:QLB262100 QUM262098:QUX262100 REI262098:RET262100 ROE262098:ROP262100 RYA262098:RYL262100 SHW262098:SIH262100 SRS262098:SSD262100 TBO262098:TBZ262100 TLK262098:TLV262100 TVG262098:TVR262100 UFC262098:UFN262100 UOY262098:UPJ262100 UYU262098:UZF262100 VIQ262098:VJB262100 VSM262098:VSX262100 WCI262098:WCT262100 WME262098:WMP262100 WWA262098:WWL262100 JO327634:JZ327636 TK327634:TV327636 ADG327634:ADR327636 ANC327634:ANN327636 AWY327634:AXJ327636 BGU327634:BHF327636 BQQ327634:BRB327636 CAM327634:CAX327636 CKI327634:CKT327636 CUE327634:CUP327636 DEA327634:DEL327636 DNW327634:DOH327636 DXS327634:DYD327636 EHO327634:EHZ327636 ERK327634:ERV327636 FBG327634:FBR327636 FLC327634:FLN327636 FUY327634:FVJ327636 GEU327634:GFF327636 GOQ327634:GPB327636 GYM327634:GYX327636 HII327634:HIT327636 HSE327634:HSP327636 ICA327634:ICL327636 ILW327634:IMH327636 IVS327634:IWD327636 JFO327634:JFZ327636 JPK327634:JPV327636 JZG327634:JZR327636 KJC327634:KJN327636 KSY327634:KTJ327636 LCU327634:LDF327636 LMQ327634:LNB327636 LWM327634:LWX327636 MGI327634:MGT327636 MQE327634:MQP327636 NAA327634:NAL327636 NJW327634:NKH327636 NTS327634:NUD327636 ODO327634:ODZ327636 ONK327634:ONV327636 OXG327634:OXR327636 PHC327634:PHN327636 PQY327634:PRJ327636 QAU327634:QBF327636 QKQ327634:QLB327636 QUM327634:QUX327636 REI327634:RET327636 ROE327634:ROP327636 RYA327634:RYL327636 SHW327634:SIH327636 SRS327634:SSD327636 TBO327634:TBZ327636 TLK327634:TLV327636 TVG327634:TVR327636 UFC327634:UFN327636 UOY327634:UPJ327636 UYU327634:UZF327636 VIQ327634:VJB327636 VSM327634:VSX327636 WCI327634:WCT327636 WME327634:WMP327636 WWA327634:WWL327636 JO393170:JZ393172 TK393170:TV393172 ADG393170:ADR393172 ANC393170:ANN393172 AWY393170:AXJ393172 BGU393170:BHF393172 BQQ393170:BRB393172 CAM393170:CAX393172 CKI393170:CKT393172 CUE393170:CUP393172 DEA393170:DEL393172 DNW393170:DOH393172 DXS393170:DYD393172 EHO393170:EHZ393172 ERK393170:ERV393172 FBG393170:FBR393172 FLC393170:FLN393172 FUY393170:FVJ393172 GEU393170:GFF393172 GOQ393170:GPB393172 GYM393170:GYX393172 HII393170:HIT393172 HSE393170:HSP393172 ICA393170:ICL393172 ILW393170:IMH393172 IVS393170:IWD393172 JFO393170:JFZ393172 JPK393170:JPV393172 JZG393170:JZR393172 KJC393170:KJN393172 KSY393170:KTJ393172 LCU393170:LDF393172 LMQ393170:LNB393172 LWM393170:LWX393172 MGI393170:MGT393172 MQE393170:MQP393172 NAA393170:NAL393172 NJW393170:NKH393172 NTS393170:NUD393172 ODO393170:ODZ393172 ONK393170:ONV393172 OXG393170:OXR393172 PHC393170:PHN393172 PQY393170:PRJ393172 QAU393170:QBF393172 QKQ393170:QLB393172 QUM393170:QUX393172 REI393170:RET393172 ROE393170:ROP393172 RYA393170:RYL393172 SHW393170:SIH393172 SRS393170:SSD393172 TBO393170:TBZ393172 TLK393170:TLV393172 TVG393170:TVR393172 UFC393170:UFN393172 UOY393170:UPJ393172 UYU393170:UZF393172 VIQ393170:VJB393172 VSM393170:VSX393172 WCI393170:WCT393172 WME393170:WMP393172 WWA393170:WWL393172 JO458706:JZ458708 TK458706:TV458708 ADG458706:ADR458708 ANC458706:ANN458708 AWY458706:AXJ458708 BGU458706:BHF458708 BQQ458706:BRB458708 CAM458706:CAX458708 CKI458706:CKT458708 CUE458706:CUP458708 DEA458706:DEL458708 DNW458706:DOH458708 DXS458706:DYD458708 EHO458706:EHZ458708 ERK458706:ERV458708 FBG458706:FBR458708 FLC458706:FLN458708 FUY458706:FVJ458708 GEU458706:GFF458708 GOQ458706:GPB458708 GYM458706:GYX458708 HII458706:HIT458708 HSE458706:HSP458708 ICA458706:ICL458708 ILW458706:IMH458708 IVS458706:IWD458708 JFO458706:JFZ458708 JPK458706:JPV458708 JZG458706:JZR458708 KJC458706:KJN458708 KSY458706:KTJ458708 LCU458706:LDF458708 LMQ458706:LNB458708 LWM458706:LWX458708 MGI458706:MGT458708 MQE458706:MQP458708 NAA458706:NAL458708 NJW458706:NKH458708 NTS458706:NUD458708 ODO458706:ODZ458708 ONK458706:ONV458708 OXG458706:OXR458708 PHC458706:PHN458708 PQY458706:PRJ458708 QAU458706:QBF458708 QKQ458706:QLB458708 QUM458706:QUX458708 REI458706:RET458708 ROE458706:ROP458708 RYA458706:RYL458708 SHW458706:SIH458708 SRS458706:SSD458708 TBO458706:TBZ458708 TLK458706:TLV458708 TVG458706:TVR458708 UFC458706:UFN458708 UOY458706:UPJ458708 UYU458706:UZF458708 VIQ458706:VJB458708 VSM458706:VSX458708 WCI458706:WCT458708 WME458706:WMP458708 WWA458706:WWL458708 JO524242:JZ524244 TK524242:TV524244 ADG524242:ADR524244 ANC524242:ANN524244 AWY524242:AXJ524244 BGU524242:BHF524244 BQQ524242:BRB524244 CAM524242:CAX524244 CKI524242:CKT524244 CUE524242:CUP524244 DEA524242:DEL524244 DNW524242:DOH524244 DXS524242:DYD524244 EHO524242:EHZ524244 ERK524242:ERV524244 FBG524242:FBR524244 FLC524242:FLN524244 FUY524242:FVJ524244 GEU524242:GFF524244 GOQ524242:GPB524244 GYM524242:GYX524244 HII524242:HIT524244 HSE524242:HSP524244 ICA524242:ICL524244 ILW524242:IMH524244 IVS524242:IWD524244 JFO524242:JFZ524244 JPK524242:JPV524244 JZG524242:JZR524244 KJC524242:KJN524244 KSY524242:KTJ524244 LCU524242:LDF524244 LMQ524242:LNB524244 LWM524242:LWX524244 MGI524242:MGT524244 MQE524242:MQP524244 NAA524242:NAL524244 NJW524242:NKH524244 NTS524242:NUD524244 ODO524242:ODZ524244 ONK524242:ONV524244 OXG524242:OXR524244 PHC524242:PHN524244 PQY524242:PRJ524244 QAU524242:QBF524244 QKQ524242:QLB524244 QUM524242:QUX524244 REI524242:RET524244 ROE524242:ROP524244 RYA524242:RYL524244 SHW524242:SIH524244 SRS524242:SSD524244 TBO524242:TBZ524244 TLK524242:TLV524244 TVG524242:TVR524244 UFC524242:UFN524244 UOY524242:UPJ524244 UYU524242:UZF524244 VIQ524242:VJB524244 VSM524242:VSX524244 WCI524242:WCT524244 WME524242:WMP524244 WWA524242:WWL524244 JO589778:JZ589780 TK589778:TV589780 ADG589778:ADR589780 ANC589778:ANN589780 AWY589778:AXJ589780 BGU589778:BHF589780 BQQ589778:BRB589780 CAM589778:CAX589780 CKI589778:CKT589780 CUE589778:CUP589780 DEA589778:DEL589780 DNW589778:DOH589780 DXS589778:DYD589780 EHO589778:EHZ589780 ERK589778:ERV589780 FBG589778:FBR589780 FLC589778:FLN589780 FUY589778:FVJ589780 GEU589778:GFF589780 GOQ589778:GPB589780 GYM589778:GYX589780 HII589778:HIT589780 HSE589778:HSP589780 ICA589778:ICL589780 ILW589778:IMH589780 IVS589778:IWD589780 JFO589778:JFZ589780 JPK589778:JPV589780 JZG589778:JZR589780 KJC589778:KJN589780 KSY589778:KTJ589780 LCU589778:LDF589780 LMQ589778:LNB589780 LWM589778:LWX589780 MGI589778:MGT589780 MQE589778:MQP589780 NAA589778:NAL589780 NJW589778:NKH589780 NTS589778:NUD589780 ODO589778:ODZ589780 ONK589778:ONV589780 OXG589778:OXR589780 PHC589778:PHN589780 PQY589778:PRJ589780 QAU589778:QBF589780 QKQ589778:QLB589780 QUM589778:QUX589780 REI589778:RET589780 ROE589778:ROP589780 RYA589778:RYL589780 SHW589778:SIH589780 SRS589778:SSD589780 TBO589778:TBZ589780 TLK589778:TLV589780 TVG589778:TVR589780 UFC589778:UFN589780 UOY589778:UPJ589780 UYU589778:UZF589780 VIQ589778:VJB589780 VSM589778:VSX589780 WCI589778:WCT589780 WME589778:WMP589780 WWA589778:WWL589780 JO655314:JZ655316 TK655314:TV655316 ADG655314:ADR655316 ANC655314:ANN655316 AWY655314:AXJ655316 BGU655314:BHF655316 BQQ655314:BRB655316 CAM655314:CAX655316 CKI655314:CKT655316 CUE655314:CUP655316 DEA655314:DEL655316 DNW655314:DOH655316 DXS655314:DYD655316 EHO655314:EHZ655316 ERK655314:ERV655316 FBG655314:FBR655316 FLC655314:FLN655316 FUY655314:FVJ655316 GEU655314:GFF655316 GOQ655314:GPB655316 GYM655314:GYX655316 HII655314:HIT655316 HSE655314:HSP655316 ICA655314:ICL655316 ILW655314:IMH655316 IVS655314:IWD655316 JFO655314:JFZ655316 JPK655314:JPV655316 JZG655314:JZR655316 KJC655314:KJN655316 KSY655314:KTJ655316 LCU655314:LDF655316 LMQ655314:LNB655316 LWM655314:LWX655316 MGI655314:MGT655316 MQE655314:MQP655316 NAA655314:NAL655316 NJW655314:NKH655316 NTS655314:NUD655316 ODO655314:ODZ655316 ONK655314:ONV655316 OXG655314:OXR655316 PHC655314:PHN655316 PQY655314:PRJ655316 QAU655314:QBF655316 QKQ655314:QLB655316 QUM655314:QUX655316 REI655314:RET655316 ROE655314:ROP655316 RYA655314:RYL655316 SHW655314:SIH655316 SRS655314:SSD655316 TBO655314:TBZ655316 TLK655314:TLV655316 TVG655314:TVR655316 UFC655314:UFN655316 UOY655314:UPJ655316 UYU655314:UZF655316 VIQ655314:VJB655316 VSM655314:VSX655316 WCI655314:WCT655316 WME655314:WMP655316 WWA655314:WWL655316 JO720850:JZ720852 TK720850:TV720852 ADG720850:ADR720852 ANC720850:ANN720852 AWY720850:AXJ720852 BGU720850:BHF720852 BQQ720850:BRB720852 CAM720850:CAX720852 CKI720850:CKT720852 CUE720850:CUP720852 DEA720850:DEL720852 DNW720850:DOH720852 DXS720850:DYD720852 EHO720850:EHZ720852 ERK720850:ERV720852 FBG720850:FBR720852 FLC720850:FLN720852 FUY720850:FVJ720852 GEU720850:GFF720852 GOQ720850:GPB720852 GYM720850:GYX720852 HII720850:HIT720852 HSE720850:HSP720852 ICA720850:ICL720852 ILW720850:IMH720852 IVS720850:IWD720852 JFO720850:JFZ720852 JPK720850:JPV720852 JZG720850:JZR720852 KJC720850:KJN720852 KSY720850:KTJ720852 LCU720850:LDF720852 LMQ720850:LNB720852 LWM720850:LWX720852 MGI720850:MGT720852 MQE720850:MQP720852 NAA720850:NAL720852 NJW720850:NKH720852 NTS720850:NUD720852 ODO720850:ODZ720852 ONK720850:ONV720852 OXG720850:OXR720852 PHC720850:PHN720852 PQY720850:PRJ720852 QAU720850:QBF720852 QKQ720850:QLB720852 QUM720850:QUX720852 REI720850:RET720852 ROE720850:ROP720852 RYA720850:RYL720852 SHW720850:SIH720852 SRS720850:SSD720852 TBO720850:TBZ720852 TLK720850:TLV720852 TVG720850:TVR720852 UFC720850:UFN720852 UOY720850:UPJ720852 UYU720850:UZF720852 VIQ720850:VJB720852 VSM720850:VSX720852 WCI720850:WCT720852 WME720850:WMP720852 WWA720850:WWL720852 JO786386:JZ786388 TK786386:TV786388 ADG786386:ADR786388 ANC786386:ANN786388 AWY786386:AXJ786388 BGU786386:BHF786388 BQQ786386:BRB786388 CAM786386:CAX786388 CKI786386:CKT786388 CUE786386:CUP786388 DEA786386:DEL786388 DNW786386:DOH786388 DXS786386:DYD786388 EHO786386:EHZ786388 ERK786386:ERV786388 FBG786386:FBR786388 FLC786386:FLN786388 FUY786386:FVJ786388 GEU786386:GFF786388 GOQ786386:GPB786388 GYM786386:GYX786388 HII786386:HIT786388 HSE786386:HSP786388 ICA786386:ICL786388 ILW786386:IMH786388 IVS786386:IWD786388 JFO786386:JFZ786388 JPK786386:JPV786388 JZG786386:JZR786388 KJC786386:KJN786388 KSY786386:KTJ786388 LCU786386:LDF786388 LMQ786386:LNB786388 LWM786386:LWX786388 MGI786386:MGT786388 MQE786386:MQP786388 NAA786386:NAL786388 NJW786386:NKH786388 NTS786386:NUD786388 ODO786386:ODZ786388 ONK786386:ONV786388 OXG786386:OXR786388 PHC786386:PHN786388 PQY786386:PRJ786388 QAU786386:QBF786388 QKQ786386:QLB786388 QUM786386:QUX786388 REI786386:RET786388 ROE786386:ROP786388 RYA786386:RYL786388 SHW786386:SIH786388 SRS786386:SSD786388 TBO786386:TBZ786388 TLK786386:TLV786388 TVG786386:TVR786388 UFC786386:UFN786388 UOY786386:UPJ786388 UYU786386:UZF786388 VIQ786386:VJB786388 VSM786386:VSX786388 WCI786386:WCT786388 WME786386:WMP786388 WWA786386:WWL786388 JO851922:JZ851924 TK851922:TV851924 ADG851922:ADR851924 ANC851922:ANN851924 AWY851922:AXJ851924 BGU851922:BHF851924 BQQ851922:BRB851924 CAM851922:CAX851924 CKI851922:CKT851924 CUE851922:CUP851924 DEA851922:DEL851924 DNW851922:DOH851924 DXS851922:DYD851924 EHO851922:EHZ851924 ERK851922:ERV851924 FBG851922:FBR851924 FLC851922:FLN851924 FUY851922:FVJ851924 GEU851922:GFF851924 GOQ851922:GPB851924 GYM851922:GYX851924 HII851922:HIT851924 HSE851922:HSP851924 ICA851922:ICL851924 ILW851922:IMH851924 IVS851922:IWD851924 JFO851922:JFZ851924 JPK851922:JPV851924 JZG851922:JZR851924 KJC851922:KJN851924 KSY851922:KTJ851924 LCU851922:LDF851924 LMQ851922:LNB851924 LWM851922:LWX851924 MGI851922:MGT851924 MQE851922:MQP851924 NAA851922:NAL851924 NJW851922:NKH851924 NTS851922:NUD851924 ODO851922:ODZ851924 ONK851922:ONV851924 OXG851922:OXR851924 PHC851922:PHN851924 PQY851922:PRJ851924 QAU851922:QBF851924 QKQ851922:QLB851924 QUM851922:QUX851924 REI851922:RET851924 ROE851922:ROP851924 RYA851922:RYL851924 SHW851922:SIH851924 SRS851922:SSD851924 TBO851922:TBZ851924 TLK851922:TLV851924 TVG851922:TVR851924 UFC851922:UFN851924 UOY851922:UPJ851924 UYU851922:UZF851924 VIQ851922:VJB851924 VSM851922:VSX851924 WCI851922:WCT851924 WME851922:WMP851924 WWA851922:WWL851924 JO917458:JZ917460 TK917458:TV917460 ADG917458:ADR917460 ANC917458:ANN917460 AWY917458:AXJ917460 BGU917458:BHF917460 BQQ917458:BRB917460 CAM917458:CAX917460 CKI917458:CKT917460 CUE917458:CUP917460 DEA917458:DEL917460 DNW917458:DOH917460 DXS917458:DYD917460 EHO917458:EHZ917460 ERK917458:ERV917460 FBG917458:FBR917460 FLC917458:FLN917460 FUY917458:FVJ917460 GEU917458:GFF917460 GOQ917458:GPB917460 GYM917458:GYX917460 HII917458:HIT917460 HSE917458:HSP917460 ICA917458:ICL917460 ILW917458:IMH917460 IVS917458:IWD917460 JFO917458:JFZ917460 JPK917458:JPV917460 JZG917458:JZR917460 KJC917458:KJN917460 KSY917458:KTJ917460 LCU917458:LDF917460 LMQ917458:LNB917460 LWM917458:LWX917460 MGI917458:MGT917460 MQE917458:MQP917460 NAA917458:NAL917460 NJW917458:NKH917460 NTS917458:NUD917460 ODO917458:ODZ917460 ONK917458:ONV917460 OXG917458:OXR917460 PHC917458:PHN917460 PQY917458:PRJ917460 QAU917458:QBF917460 QKQ917458:QLB917460 QUM917458:QUX917460 REI917458:RET917460 ROE917458:ROP917460 RYA917458:RYL917460 SHW917458:SIH917460 SRS917458:SSD917460 TBO917458:TBZ917460 TLK917458:TLV917460 TVG917458:TVR917460 UFC917458:UFN917460 UOY917458:UPJ917460 UYU917458:UZF917460 VIQ917458:VJB917460 VSM917458:VSX917460 WCI917458:WCT917460 WME917458:WMP917460 WWA917458:WWL917460 JO982994:JZ982996 TK982994:TV982996 ADG982994:ADR982996 ANC982994:ANN982996 AWY982994:AXJ982996 BGU982994:BHF982996 BQQ982994:BRB982996 CAM982994:CAX982996 CKI982994:CKT982996 CUE982994:CUP982996 DEA982994:DEL982996 DNW982994:DOH982996 DXS982994:DYD982996 EHO982994:EHZ982996 ERK982994:ERV982996 FBG982994:FBR982996 FLC982994:FLN982996 FUY982994:FVJ982996 GEU982994:GFF982996 GOQ982994:GPB982996 GYM982994:GYX982996 HII982994:HIT982996 HSE982994:HSP982996 ICA982994:ICL982996 ILW982994:IMH982996 IVS982994:IWD982996 JFO982994:JFZ982996 JPK982994:JPV982996 JZG982994:JZR982996 KJC982994:KJN982996 KSY982994:KTJ982996 LCU982994:LDF982996 LMQ982994:LNB982996 LWM982994:LWX982996 MGI982994:MGT982996 MQE982994:MQP982996 NAA982994:NAL982996 NJW982994:NKH982996 NTS982994:NUD982996 ODO982994:ODZ982996 ONK982994:ONV982996 OXG982994:OXR982996 PHC982994:PHN982996 PQY982994:PRJ982996 QAU982994:QBF982996 QKQ982994:QLB982996 QUM982994:QUX982996 REI982994:RET982996 ROE982994:ROP982996 RYA982994:RYL982996 SHW982994:SIH982996 SRS982994:SSD982996 TBO982994:TBZ982996 TLK982994:TLV982996 TVG982994:TVR982996 UFC982994:UFN982996 UOY982994:UPJ982996 UYU982994:UZF982996 VIQ982994:VJB982996 VSM982994:VSX982996 WCI982994:WCT982996 WME982994:WMP982996 WWA982994:WWL982996 JP2:KA4 TL2:TW4 ADH2:ADS4 AND2:ANO4 AWZ2:AXK4 BGV2:BHG4 BQR2:BRC4 CAN2:CAY4 CKJ2:CKU4 CUF2:CUQ4 DEB2:DEM4 DNX2:DOI4 DXT2:DYE4 EHP2:EIA4 ERL2:ERW4 FBH2:FBS4 FLD2:FLO4 FUZ2:FVK4 GEV2:GFG4 GOR2:GPC4 GYN2:GYY4 HIJ2:HIU4 HSF2:HSQ4 ICB2:ICM4 ILX2:IMI4 IVT2:IWE4 JFP2:JGA4 JPL2:JPW4 JZH2:JZS4 KJD2:KJO4 KSZ2:KTK4 LCV2:LDG4 LMR2:LNC4 LWN2:LWY4 MGJ2:MGU4 MQF2:MQQ4 NAB2:NAM4 NJX2:NKI4 NTT2:NUE4 ODP2:OEA4 ONL2:ONW4 OXH2:OXS4 PHD2:PHO4 PQZ2:PRK4 QAV2:QBG4 QKR2:QLC4 QUN2:QUY4 REJ2:REU4 ROF2:ROQ4 RYB2:RYM4 SHX2:SII4 SRT2:SSE4 TBP2:TCA4 TLL2:TLW4 TVH2:TVS4 UFD2:UFO4 UOZ2:UPK4 UYV2:UZG4 VIR2:VJC4 VSN2:VSY4 WCJ2:WCU4 WMF2:WMQ4 WWB2:WWM4 AC65490:AM65492 AC982994:AM982996 AC917458:AM917460 AC851922:AM851924 AC786386:AM786388 AC720850:AM720852 AC655314:AM655316 AC589778:AM589780 AC524242:AM524244 AC458706:AM458708 AC393170:AM393172 AC327634:AM327636 AC262098:AM262100 AC196562:AM196564 AC131026:AM131028 R2"/>
    <dataValidation type="list" allowBlank="1" showInputMessage="1" showErrorMessage="1" sqref="Y8:Z46">
      <formula1>"文字,数値,日付,時間"</formula1>
    </dataValidation>
    <dataValidation type="list" allowBlank="1" showInputMessage="1" showErrorMessage="1" sqref="AA8:AC46">
      <formula1>"int,numeric,varchar,date,datetime2(0),datetime2,varbinary(max)"</formula1>
    </dataValidation>
  </dataValidations>
  <pageMargins left="0.39370078740157483" right="0.39370078740157483" top="0.59055118110236227" bottom="0.39370078740157483" header="0.39370078740157483" footer="0.19685039370078741"/>
  <pageSetup paperSize="9" scale="80" fitToHeight="0" orientation="landscape" useFirstPageNumber="1" verticalDpi="300" r:id="rId1"/>
  <headerFooter alignWithMargins="0">
    <oddFooter>&amp;R&amp;A - &amp;P</oddFooter>
  </headerFooter>
  <legacyDrawing r:id="rId2"/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54"/>
  <dimension ref="A1:BE85"/>
  <sheetViews>
    <sheetView showGridLines="0" zoomScaleNormal="100" zoomScaleSheetLayoutView="100" workbookViewId="0">
      <pane ySplit="7" topLeftCell="A8" activePane="bottomLeft" state="frozen"/>
      <selection sqref="A1:K4"/>
      <selection pane="bottomLeft" sqref="A1:H4"/>
    </sheetView>
  </sheetViews>
  <sheetFormatPr defaultColWidth="2.6328125" defaultRowHeight="14.4" customHeight="1"/>
  <cols>
    <col min="1" max="1" width="4.6328125" style="18" customWidth="1"/>
    <col min="2" max="29" width="2.6328125" style="18"/>
    <col min="30" max="30" width="4.6328125" style="18" customWidth="1"/>
    <col min="31" max="33" width="2.6328125" style="18"/>
    <col min="34" max="34" width="6.6328125" style="18" customWidth="1"/>
    <col min="35" max="44" width="2.6328125" style="18"/>
    <col min="45" max="56" width="2.6328125" style="46"/>
    <col min="57" max="16384" width="2.6328125" style="18"/>
  </cols>
  <sheetData>
    <row r="1" spans="1:57" s="17" customFormat="1" ht="14.4" customHeight="1">
      <c r="A1" s="417" t="s">
        <v>78</v>
      </c>
      <c r="B1" s="418"/>
      <c r="C1" s="418"/>
      <c r="D1" s="418"/>
      <c r="E1" s="418"/>
      <c r="F1" s="418"/>
      <c r="G1" s="418"/>
      <c r="H1" s="419"/>
      <c r="I1" s="354" t="s">
        <v>79</v>
      </c>
      <c r="J1" s="355"/>
      <c r="K1" s="355"/>
      <c r="L1" s="355"/>
      <c r="M1" s="355"/>
      <c r="N1" s="355"/>
      <c r="O1" s="355"/>
      <c r="P1" s="355"/>
      <c r="Q1" s="356"/>
      <c r="R1" s="354" t="s">
        <v>80</v>
      </c>
      <c r="S1" s="355"/>
      <c r="T1" s="355"/>
      <c r="U1" s="355"/>
      <c r="V1" s="355"/>
      <c r="W1" s="355"/>
      <c r="X1" s="356"/>
      <c r="Y1" s="354" t="s">
        <v>135</v>
      </c>
      <c r="Z1" s="355"/>
      <c r="AA1" s="355"/>
      <c r="AB1" s="355"/>
      <c r="AC1" s="355"/>
      <c r="AD1" s="355"/>
      <c r="AE1" s="355"/>
      <c r="AF1" s="355"/>
      <c r="AG1" s="355"/>
      <c r="AH1" s="355"/>
      <c r="AI1" s="355"/>
      <c r="AJ1" s="355"/>
      <c r="AK1" s="355"/>
      <c r="AL1" s="355"/>
      <c r="AM1" s="355"/>
      <c r="AN1" s="355"/>
      <c r="AO1" s="356"/>
      <c r="AP1" s="428" t="s">
        <v>82</v>
      </c>
      <c r="AQ1" s="429"/>
      <c r="AR1" s="429"/>
      <c r="AS1" s="429"/>
      <c r="AT1" s="430"/>
      <c r="AU1" s="428" t="s">
        <v>83</v>
      </c>
      <c r="AV1" s="429"/>
      <c r="AW1" s="429"/>
      <c r="AX1" s="429"/>
      <c r="AY1" s="430"/>
      <c r="AZ1" s="428" t="s">
        <v>84</v>
      </c>
      <c r="BA1" s="429"/>
      <c r="BB1" s="429"/>
      <c r="BC1" s="429"/>
      <c r="BD1" s="430"/>
    </row>
    <row r="2" spans="1:57" s="17" customFormat="1" ht="14.4" customHeight="1">
      <c r="A2" s="420"/>
      <c r="B2" s="421"/>
      <c r="C2" s="421"/>
      <c r="D2" s="421"/>
      <c r="E2" s="421"/>
      <c r="F2" s="421"/>
      <c r="G2" s="421"/>
      <c r="H2" s="422"/>
      <c r="I2" s="384" t="s">
        <v>85</v>
      </c>
      <c r="J2" s="385"/>
      <c r="K2" s="385"/>
      <c r="L2" s="385"/>
      <c r="M2" s="385"/>
      <c r="N2" s="385"/>
      <c r="O2" s="385"/>
      <c r="P2" s="385"/>
      <c r="Q2" s="386"/>
      <c r="R2" s="384" t="str">
        <f ca="1">VLOOKUP(RIGHT(CELL("filename",A2),LEN(CELL("filename",A2))-FIND("]",CELL("filename",A2))),テーブル一覧!B:AD,22,FALSE)</f>
        <v>B.生産計画</v>
      </c>
      <c r="S2" s="385"/>
      <c r="T2" s="385"/>
      <c r="U2" s="385"/>
      <c r="V2" s="385"/>
      <c r="W2" s="385"/>
      <c r="X2" s="386"/>
      <c r="Y2" s="384" t="str">
        <f ca="1">VLOOKUP(RIGHT(CELL("filename",A2),LEN(CELL("filename",A2))-FIND("]",CELL("filename",A2))),テーブル一覧!B:AD,1,FALSE)</f>
        <v>生産計画情報（WD工場）</v>
      </c>
      <c r="Z2" s="385"/>
      <c r="AA2" s="385"/>
      <c r="AB2" s="385"/>
      <c r="AC2" s="385"/>
      <c r="AD2" s="385"/>
      <c r="AE2" s="385"/>
      <c r="AF2" s="385"/>
      <c r="AG2" s="385"/>
      <c r="AH2" s="385"/>
      <c r="AI2" s="385"/>
      <c r="AJ2" s="385"/>
      <c r="AK2" s="385"/>
      <c r="AL2" s="385"/>
      <c r="AM2" s="385"/>
      <c r="AN2" s="385"/>
      <c r="AO2" s="386"/>
      <c r="AP2" s="357"/>
      <c r="AQ2" s="358"/>
      <c r="AR2" s="358"/>
      <c r="AS2" s="358"/>
      <c r="AT2" s="359"/>
      <c r="AU2" s="58" t="s">
        <v>88</v>
      </c>
      <c r="AV2" s="59"/>
      <c r="AW2" s="59"/>
      <c r="AX2" s="59"/>
      <c r="AY2" s="60"/>
      <c r="AZ2" s="434" t="s">
        <v>89</v>
      </c>
      <c r="BA2" s="435"/>
      <c r="BB2" s="435"/>
      <c r="BC2" s="435"/>
      <c r="BD2" s="436"/>
    </row>
    <row r="3" spans="1:57" s="17" customFormat="1" ht="14.4" customHeight="1">
      <c r="A3" s="420"/>
      <c r="B3" s="421"/>
      <c r="C3" s="421"/>
      <c r="D3" s="421"/>
      <c r="E3" s="421"/>
      <c r="F3" s="421"/>
      <c r="G3" s="421"/>
      <c r="H3" s="422"/>
      <c r="I3" s="387"/>
      <c r="J3" s="388"/>
      <c r="K3" s="388"/>
      <c r="L3" s="388"/>
      <c r="M3" s="388"/>
      <c r="N3" s="388"/>
      <c r="O3" s="388"/>
      <c r="P3" s="388"/>
      <c r="Q3" s="389"/>
      <c r="R3" s="387"/>
      <c r="S3" s="388"/>
      <c r="T3" s="388"/>
      <c r="U3" s="388"/>
      <c r="V3" s="388"/>
      <c r="W3" s="388"/>
      <c r="X3" s="389"/>
      <c r="Y3" s="390"/>
      <c r="Z3" s="391"/>
      <c r="AA3" s="391"/>
      <c r="AB3" s="391"/>
      <c r="AC3" s="391"/>
      <c r="AD3" s="391"/>
      <c r="AE3" s="391"/>
      <c r="AF3" s="391"/>
      <c r="AG3" s="391"/>
      <c r="AH3" s="391"/>
      <c r="AI3" s="391"/>
      <c r="AJ3" s="391"/>
      <c r="AK3" s="391"/>
      <c r="AL3" s="391"/>
      <c r="AM3" s="391"/>
      <c r="AN3" s="391"/>
      <c r="AO3" s="392"/>
      <c r="AP3" s="360"/>
      <c r="AQ3" s="361"/>
      <c r="AR3" s="361"/>
      <c r="AS3" s="361"/>
      <c r="AT3" s="362"/>
      <c r="AU3" s="431"/>
      <c r="AV3" s="432"/>
      <c r="AW3" s="432"/>
      <c r="AX3" s="432"/>
      <c r="AY3" s="433"/>
      <c r="AZ3" s="434"/>
      <c r="BA3" s="435"/>
      <c r="BB3" s="435"/>
      <c r="BC3" s="435"/>
      <c r="BD3" s="436"/>
    </row>
    <row r="4" spans="1:57" s="17" customFormat="1" ht="14.4" customHeight="1">
      <c r="A4" s="423"/>
      <c r="B4" s="424"/>
      <c r="C4" s="424"/>
      <c r="D4" s="424"/>
      <c r="E4" s="424"/>
      <c r="F4" s="424"/>
      <c r="G4" s="424"/>
      <c r="H4" s="425"/>
      <c r="I4" s="390"/>
      <c r="J4" s="391"/>
      <c r="K4" s="391"/>
      <c r="L4" s="391"/>
      <c r="M4" s="391"/>
      <c r="N4" s="391"/>
      <c r="O4" s="391"/>
      <c r="P4" s="391"/>
      <c r="Q4" s="392"/>
      <c r="R4" s="390"/>
      <c r="S4" s="391"/>
      <c r="T4" s="391"/>
      <c r="U4" s="391"/>
      <c r="V4" s="391"/>
      <c r="W4" s="391"/>
      <c r="X4" s="392"/>
      <c r="Y4" s="437" t="str">
        <f ca="1">IF(VLOOKUP(RIGHT(CELL("filename",A2),LEN(CELL("filename",A2))-FIND("]",CELL("filename",A2))),テーブル一覧!B:AD,11,FALSE)=0,"",VLOOKUP(RIGHT(CELL("filename",A2),LEN(CELL("filename",A2))-FIND("]",CELL("filename",A2))),テーブル一覧!B:AD,11,FALSE))</f>
        <v>t_seisan_keikaku_wd</v>
      </c>
      <c r="Z4" s="438"/>
      <c r="AA4" s="438"/>
      <c r="AB4" s="438"/>
      <c r="AC4" s="438"/>
      <c r="AD4" s="438"/>
      <c r="AE4" s="438"/>
      <c r="AF4" s="438"/>
      <c r="AG4" s="438"/>
      <c r="AH4" s="438"/>
      <c r="AI4" s="438"/>
      <c r="AJ4" s="438"/>
      <c r="AK4" s="438"/>
      <c r="AL4" s="438"/>
      <c r="AM4" s="438"/>
      <c r="AN4" s="438"/>
      <c r="AO4" s="439"/>
      <c r="AP4" s="360"/>
      <c r="AQ4" s="361"/>
      <c r="AR4" s="361"/>
      <c r="AS4" s="361"/>
      <c r="AT4" s="362"/>
      <c r="AU4" s="431"/>
      <c r="AV4" s="432"/>
      <c r="AW4" s="432"/>
      <c r="AX4" s="432"/>
      <c r="AY4" s="433"/>
      <c r="AZ4" s="434"/>
      <c r="BA4" s="435"/>
      <c r="BB4" s="435"/>
      <c r="BC4" s="435"/>
      <c r="BD4" s="436"/>
    </row>
    <row r="6" spans="1:57" ht="14.4" customHeight="1">
      <c r="A6" s="426" t="s">
        <v>90</v>
      </c>
      <c r="B6" s="407" t="s">
        <v>136</v>
      </c>
      <c r="C6" s="415"/>
      <c r="D6" s="415"/>
      <c r="E6" s="415"/>
      <c r="F6" s="415"/>
      <c r="G6" s="415"/>
      <c r="H6" s="408"/>
      <c r="I6" s="407" t="s">
        <v>137</v>
      </c>
      <c r="J6" s="415"/>
      <c r="K6" s="415"/>
      <c r="L6" s="415"/>
      <c r="M6" s="415"/>
      <c r="N6" s="415"/>
      <c r="O6" s="415"/>
      <c r="P6" s="415"/>
      <c r="Q6" s="408"/>
      <c r="R6" s="407" t="s">
        <v>138</v>
      </c>
      <c r="S6" s="415"/>
      <c r="T6" s="415"/>
      <c r="U6" s="415"/>
      <c r="V6" s="415"/>
      <c r="W6" s="415"/>
      <c r="X6" s="408"/>
      <c r="Y6" s="407" t="s">
        <v>139</v>
      </c>
      <c r="Z6" s="408"/>
      <c r="AA6" s="407" t="s">
        <v>140</v>
      </c>
      <c r="AB6" s="415"/>
      <c r="AC6" s="408"/>
      <c r="AD6" s="411" t="s">
        <v>141</v>
      </c>
      <c r="AE6" s="413" t="s">
        <v>142</v>
      </c>
      <c r="AF6" s="411" t="s">
        <v>143</v>
      </c>
      <c r="AG6" s="411" t="s">
        <v>144</v>
      </c>
      <c r="AH6" s="411" t="s">
        <v>145</v>
      </c>
      <c r="AI6" s="404" t="s">
        <v>146</v>
      </c>
      <c r="AJ6" s="405"/>
      <c r="AK6" s="405"/>
      <c r="AL6" s="405"/>
      <c r="AM6" s="405"/>
      <c r="AN6" s="405"/>
      <c r="AO6" s="405"/>
      <c r="AP6" s="405"/>
      <c r="AQ6" s="405"/>
      <c r="AR6" s="406"/>
      <c r="AS6" s="407" t="s">
        <v>147</v>
      </c>
      <c r="AT6" s="415"/>
      <c r="AU6" s="415"/>
      <c r="AV6" s="415"/>
      <c r="AW6" s="415"/>
      <c r="AX6" s="415"/>
      <c r="AY6" s="415"/>
      <c r="AZ6" s="415"/>
      <c r="BA6" s="415"/>
      <c r="BB6" s="415"/>
      <c r="BC6" s="415"/>
      <c r="BD6" s="408"/>
    </row>
    <row r="7" spans="1:57" ht="14.4" customHeight="1">
      <c r="A7" s="427"/>
      <c r="B7" s="409"/>
      <c r="C7" s="416"/>
      <c r="D7" s="416"/>
      <c r="E7" s="416"/>
      <c r="F7" s="416"/>
      <c r="G7" s="416"/>
      <c r="H7" s="410"/>
      <c r="I7" s="409"/>
      <c r="J7" s="416"/>
      <c r="K7" s="416"/>
      <c r="L7" s="416"/>
      <c r="M7" s="416"/>
      <c r="N7" s="416"/>
      <c r="O7" s="416"/>
      <c r="P7" s="416"/>
      <c r="Q7" s="410"/>
      <c r="R7" s="409"/>
      <c r="S7" s="416"/>
      <c r="T7" s="416"/>
      <c r="U7" s="416"/>
      <c r="V7" s="416"/>
      <c r="W7" s="416"/>
      <c r="X7" s="410"/>
      <c r="Y7" s="409"/>
      <c r="Z7" s="410"/>
      <c r="AA7" s="409"/>
      <c r="AB7" s="416"/>
      <c r="AC7" s="410"/>
      <c r="AD7" s="412"/>
      <c r="AE7" s="414"/>
      <c r="AF7" s="412"/>
      <c r="AG7" s="412"/>
      <c r="AH7" s="412"/>
      <c r="AI7" s="52">
        <v>1</v>
      </c>
      <c r="AJ7" s="52">
        <v>2</v>
      </c>
      <c r="AK7" s="52">
        <v>3</v>
      </c>
      <c r="AL7" s="52">
        <v>4</v>
      </c>
      <c r="AM7" s="52">
        <v>5</v>
      </c>
      <c r="AN7" s="52">
        <v>6</v>
      </c>
      <c r="AO7" s="52">
        <v>7</v>
      </c>
      <c r="AP7" s="52">
        <v>8</v>
      </c>
      <c r="AQ7" s="52">
        <v>9</v>
      </c>
      <c r="AR7" s="52">
        <v>10</v>
      </c>
      <c r="AS7" s="409"/>
      <c r="AT7" s="416"/>
      <c r="AU7" s="416"/>
      <c r="AV7" s="416"/>
      <c r="AW7" s="416"/>
      <c r="AX7" s="416"/>
      <c r="AY7" s="416"/>
      <c r="AZ7" s="416"/>
      <c r="BA7" s="416"/>
      <c r="BB7" s="416"/>
      <c r="BC7" s="416"/>
      <c r="BD7" s="410"/>
    </row>
    <row r="8" spans="1:57" ht="14.4" customHeight="1">
      <c r="A8" s="70">
        <f>IF(B8="","",COUNTA($B$8:B8))</f>
        <v>1</v>
      </c>
      <c r="B8" s="22" t="s">
        <v>148</v>
      </c>
      <c r="C8" s="23"/>
      <c r="D8" s="23"/>
      <c r="E8" s="23"/>
      <c r="F8" s="23"/>
      <c r="G8" s="23"/>
      <c r="H8" s="37"/>
      <c r="I8" s="34" t="s">
        <v>149</v>
      </c>
      <c r="J8" s="23"/>
      <c r="K8" s="23"/>
      <c r="L8" s="23"/>
      <c r="M8" s="23"/>
      <c r="N8" s="23"/>
      <c r="O8" s="23"/>
      <c r="P8" s="23"/>
      <c r="Q8" s="37"/>
      <c r="R8" s="22" t="s">
        <v>148</v>
      </c>
      <c r="S8" s="23"/>
      <c r="T8" s="23"/>
      <c r="U8" s="23"/>
      <c r="V8" s="23"/>
      <c r="W8" s="23"/>
      <c r="X8" s="24"/>
      <c r="Y8" s="440" t="s">
        <v>150</v>
      </c>
      <c r="Z8" s="441"/>
      <c r="AA8" s="442" t="s">
        <v>151</v>
      </c>
      <c r="AB8" s="443"/>
      <c r="AC8" s="444"/>
      <c r="AD8" s="27">
        <v>15</v>
      </c>
      <c r="AE8" s="29"/>
      <c r="AF8" s="29">
        <v>1</v>
      </c>
      <c r="AG8" s="28" t="s">
        <v>152</v>
      </c>
      <c r="AH8" s="28"/>
      <c r="AI8" s="28"/>
      <c r="AJ8" s="28"/>
      <c r="AK8" s="28"/>
      <c r="AL8" s="28"/>
      <c r="AM8" s="28"/>
      <c r="AN8" s="28"/>
      <c r="AO8" s="29"/>
      <c r="AP8" s="29"/>
      <c r="AQ8" s="29"/>
      <c r="AR8" s="29"/>
      <c r="AS8" s="192"/>
      <c r="AT8" s="48"/>
      <c r="AU8" s="48"/>
      <c r="AV8" s="48"/>
      <c r="AW8" s="48"/>
      <c r="AX8" s="48"/>
      <c r="AY8" s="48"/>
      <c r="AZ8" s="48"/>
      <c r="BA8" s="48"/>
      <c r="BB8" s="48"/>
      <c r="BC8" s="48"/>
      <c r="BD8" s="66"/>
    </row>
    <row r="9" spans="1:57" ht="14.4" customHeight="1">
      <c r="A9" s="70">
        <f>IF(B9="","",COUNTA($B$8:B9))</f>
        <v>2</v>
      </c>
      <c r="B9" s="19" t="s">
        <v>1454</v>
      </c>
      <c r="C9" s="20"/>
      <c r="D9" s="20"/>
      <c r="E9" s="20"/>
      <c r="F9" s="20"/>
      <c r="G9" s="20"/>
      <c r="H9" s="24"/>
      <c r="I9" s="34" t="s">
        <v>1455</v>
      </c>
      <c r="J9" s="23"/>
      <c r="K9" s="23"/>
      <c r="L9" s="23"/>
      <c r="M9" s="23"/>
      <c r="N9" s="23"/>
      <c r="O9" s="23"/>
      <c r="P9" s="23"/>
      <c r="Q9" s="37"/>
      <c r="R9" s="19" t="s">
        <v>1454</v>
      </c>
      <c r="S9" s="23"/>
      <c r="T9" s="23"/>
      <c r="U9" s="23"/>
      <c r="V9" s="23"/>
      <c r="W9" s="23"/>
      <c r="X9" s="24"/>
      <c r="Y9" s="440" t="s">
        <v>155</v>
      </c>
      <c r="Z9" s="441"/>
      <c r="AA9" s="442" t="s">
        <v>156</v>
      </c>
      <c r="AB9" s="443"/>
      <c r="AC9" s="444"/>
      <c r="AD9" s="27">
        <v>3</v>
      </c>
      <c r="AE9" s="29" t="s">
        <v>244</v>
      </c>
      <c r="AF9" s="29">
        <v>2</v>
      </c>
      <c r="AG9" s="28" t="s">
        <v>152</v>
      </c>
      <c r="AH9" s="40"/>
      <c r="AI9" s="40"/>
      <c r="AJ9" s="40"/>
      <c r="AK9" s="40"/>
      <c r="AL9" s="40"/>
      <c r="AM9" s="40"/>
      <c r="AN9" s="40"/>
      <c r="AO9" s="41"/>
      <c r="AP9" s="41"/>
      <c r="AQ9" s="41"/>
      <c r="AR9" s="41"/>
      <c r="AS9" s="136" t="s">
        <v>1453</v>
      </c>
      <c r="AT9" s="43"/>
      <c r="AU9" s="67"/>
      <c r="AV9" s="67"/>
      <c r="AW9" s="67"/>
      <c r="AX9" s="67"/>
      <c r="AY9" s="67"/>
      <c r="AZ9" s="67"/>
      <c r="BA9" s="67"/>
      <c r="BB9" s="67"/>
      <c r="BC9" s="67"/>
      <c r="BD9" s="68"/>
      <c r="BE9" s="18" t="s">
        <v>1462</v>
      </c>
    </row>
    <row r="10" spans="1:57" ht="14.4" customHeight="1">
      <c r="A10" s="70">
        <f>IF(B10="","",COUNTA($B$8:B10))</f>
        <v>3</v>
      </c>
      <c r="B10" s="19" t="s">
        <v>153</v>
      </c>
      <c r="C10" s="20"/>
      <c r="D10" s="20"/>
      <c r="E10" s="20"/>
      <c r="F10" s="20"/>
      <c r="G10" s="20"/>
      <c r="H10" s="24"/>
      <c r="I10" s="34" t="s">
        <v>154</v>
      </c>
      <c r="J10" s="23"/>
      <c r="K10" s="23"/>
      <c r="L10" s="23"/>
      <c r="M10" s="23"/>
      <c r="N10" s="23"/>
      <c r="O10" s="23"/>
      <c r="P10" s="23"/>
      <c r="Q10" s="37"/>
      <c r="R10" s="19" t="s">
        <v>153</v>
      </c>
      <c r="S10" s="23"/>
      <c r="T10" s="23"/>
      <c r="U10" s="23"/>
      <c r="V10" s="23"/>
      <c r="W10" s="23"/>
      <c r="X10" s="24"/>
      <c r="Y10" s="440" t="s">
        <v>155</v>
      </c>
      <c r="Z10" s="441"/>
      <c r="AA10" s="442" t="s">
        <v>156</v>
      </c>
      <c r="AB10" s="443"/>
      <c r="AC10" s="444"/>
      <c r="AD10" s="27">
        <v>3</v>
      </c>
      <c r="AE10" s="29"/>
      <c r="AF10" s="29"/>
      <c r="AG10" s="28"/>
      <c r="AH10" s="28"/>
      <c r="AI10" s="28"/>
      <c r="AJ10" s="28"/>
      <c r="AK10" s="28"/>
      <c r="AL10" s="28"/>
      <c r="AM10" s="28"/>
      <c r="AN10" s="28"/>
      <c r="AO10" s="29"/>
      <c r="AP10" s="29"/>
      <c r="AQ10" s="29"/>
      <c r="AR10" s="29"/>
      <c r="AS10" s="131" t="s">
        <v>364</v>
      </c>
      <c r="AT10" s="67"/>
      <c r="AU10" s="67"/>
      <c r="AV10" s="67"/>
      <c r="AW10" s="67"/>
      <c r="AX10" s="67"/>
      <c r="AY10" s="67"/>
      <c r="AZ10" s="67"/>
      <c r="BA10" s="67"/>
      <c r="BB10" s="67"/>
      <c r="BC10" s="67"/>
      <c r="BD10" s="68"/>
    </row>
    <row r="11" spans="1:57" ht="14.4" customHeight="1">
      <c r="A11" s="70">
        <f>IF(B11="","",COUNTA($B$8:B11))</f>
        <v>4</v>
      </c>
      <c r="B11" s="19" t="s">
        <v>157</v>
      </c>
      <c r="C11" s="20"/>
      <c r="D11" s="20"/>
      <c r="E11" s="20"/>
      <c r="F11" s="20"/>
      <c r="G11" s="20"/>
      <c r="H11" s="24"/>
      <c r="I11" s="34" t="s">
        <v>158</v>
      </c>
      <c r="J11" s="23"/>
      <c r="K11" s="23"/>
      <c r="L11" s="23"/>
      <c r="M11" s="23"/>
      <c r="N11" s="23"/>
      <c r="O11" s="23"/>
      <c r="P11" s="23"/>
      <c r="Q11" s="37"/>
      <c r="R11" s="19" t="s">
        <v>157</v>
      </c>
      <c r="S11" s="23"/>
      <c r="T11" s="23"/>
      <c r="U11" s="23"/>
      <c r="V11" s="23"/>
      <c r="W11" s="23"/>
      <c r="X11" s="24"/>
      <c r="Y11" s="440" t="s">
        <v>150</v>
      </c>
      <c r="Z11" s="441"/>
      <c r="AA11" s="442" t="s">
        <v>151</v>
      </c>
      <c r="AB11" s="443"/>
      <c r="AC11" s="444"/>
      <c r="AD11" s="27">
        <v>10</v>
      </c>
      <c r="AE11" s="29"/>
      <c r="AF11" s="29"/>
      <c r="AG11" s="29"/>
      <c r="AH11" s="28"/>
      <c r="AI11" s="28"/>
      <c r="AJ11" s="28"/>
      <c r="AK11" s="28"/>
      <c r="AL11" s="28"/>
      <c r="AM11" s="28"/>
      <c r="AN11" s="28"/>
      <c r="AO11" s="29"/>
      <c r="AP11" s="29"/>
      <c r="AQ11" s="29"/>
      <c r="AR11" s="29"/>
      <c r="AS11" s="131"/>
      <c r="AT11" s="67"/>
      <c r="AU11" s="67"/>
      <c r="AV11" s="67"/>
      <c r="AW11" s="67"/>
      <c r="AX11" s="67"/>
      <c r="AY11" s="67"/>
      <c r="AZ11" s="67"/>
      <c r="BA11" s="67"/>
      <c r="BB11" s="67"/>
      <c r="BC11" s="67"/>
      <c r="BD11" s="68"/>
    </row>
    <row r="12" spans="1:57" ht="14.4" customHeight="1">
      <c r="A12" s="70">
        <f>IF(B12="","",COUNTA($B$8:B12))</f>
        <v>5</v>
      </c>
      <c r="B12" s="19" t="s">
        <v>159</v>
      </c>
      <c r="C12" s="20"/>
      <c r="D12" s="20"/>
      <c r="E12" s="20"/>
      <c r="F12" s="20"/>
      <c r="G12" s="20"/>
      <c r="H12" s="24"/>
      <c r="I12" s="34" t="s">
        <v>160</v>
      </c>
      <c r="J12" s="23"/>
      <c r="K12" s="23"/>
      <c r="L12" s="23"/>
      <c r="M12" s="23"/>
      <c r="N12" s="23"/>
      <c r="O12" s="23"/>
      <c r="P12" s="23"/>
      <c r="Q12" s="37"/>
      <c r="R12" s="19" t="s">
        <v>159</v>
      </c>
      <c r="S12" s="23"/>
      <c r="T12" s="23"/>
      <c r="U12" s="23"/>
      <c r="V12" s="23"/>
      <c r="W12" s="23"/>
      <c r="X12" s="24"/>
      <c r="Y12" s="440" t="s">
        <v>150</v>
      </c>
      <c r="Z12" s="441"/>
      <c r="AA12" s="442" t="s">
        <v>151</v>
      </c>
      <c r="AB12" s="443"/>
      <c r="AC12" s="444"/>
      <c r="AD12" s="27">
        <v>4</v>
      </c>
      <c r="AE12" s="29"/>
      <c r="AF12" s="29"/>
      <c r="AG12" s="29"/>
      <c r="AH12" s="28"/>
      <c r="AI12" s="28" t="s">
        <v>161</v>
      </c>
      <c r="AJ12" s="28"/>
      <c r="AK12" s="28"/>
      <c r="AL12" s="28"/>
      <c r="AM12" s="28"/>
      <c r="AN12" s="28"/>
      <c r="AO12" s="29"/>
      <c r="AP12" s="29"/>
      <c r="AQ12" s="29"/>
      <c r="AR12" s="29"/>
      <c r="AS12" s="131"/>
      <c r="AT12" s="67"/>
      <c r="AU12" s="67"/>
      <c r="AV12" s="67"/>
      <c r="AW12" s="67"/>
      <c r="AX12" s="67"/>
      <c r="AY12" s="67"/>
      <c r="AZ12" s="67"/>
      <c r="BA12" s="67"/>
      <c r="BB12" s="67"/>
      <c r="BC12" s="67"/>
      <c r="BD12" s="68"/>
    </row>
    <row r="13" spans="1:57" ht="14.4" customHeight="1">
      <c r="A13" s="70">
        <f>IF(B13="","",COUNTA($B$8:B13))</f>
        <v>6</v>
      </c>
      <c r="B13" s="184" t="s">
        <v>162</v>
      </c>
      <c r="D13" s="20"/>
      <c r="E13" s="20"/>
      <c r="F13" s="20"/>
      <c r="G13" s="20"/>
      <c r="H13" s="24"/>
      <c r="I13" s="184" t="s">
        <v>163</v>
      </c>
      <c r="J13" s="23"/>
      <c r="K13" s="23"/>
      <c r="L13" s="23"/>
      <c r="M13" s="23"/>
      <c r="N13" s="23"/>
      <c r="O13" s="23"/>
      <c r="P13" s="23"/>
      <c r="Q13" s="37"/>
      <c r="R13" s="19" t="s">
        <v>164</v>
      </c>
      <c r="S13" s="23"/>
      <c r="T13" s="23"/>
      <c r="U13" s="23"/>
      <c r="V13" s="23"/>
      <c r="W13" s="23"/>
      <c r="X13" s="24"/>
      <c r="Y13" s="440" t="s">
        <v>150</v>
      </c>
      <c r="Z13" s="441"/>
      <c r="AA13" s="442" t="s">
        <v>151</v>
      </c>
      <c r="AB13" s="443"/>
      <c r="AC13" s="444"/>
      <c r="AD13" s="27">
        <v>4</v>
      </c>
      <c r="AE13" s="29"/>
      <c r="AF13" s="29"/>
      <c r="AG13" s="29"/>
      <c r="AH13" s="28"/>
      <c r="AI13" s="28" t="s">
        <v>165</v>
      </c>
      <c r="AJ13" s="28"/>
      <c r="AK13" s="28"/>
      <c r="AL13" s="28"/>
      <c r="AM13" s="28"/>
      <c r="AN13" s="28"/>
      <c r="AO13" s="29"/>
      <c r="AP13" s="29"/>
      <c r="AQ13" s="29"/>
      <c r="AR13" s="29"/>
      <c r="AS13" s="131"/>
      <c r="AT13" s="67"/>
      <c r="AU13" s="67"/>
      <c r="AV13" s="67"/>
      <c r="AW13" s="67"/>
      <c r="AX13" s="67"/>
      <c r="AY13" s="67"/>
      <c r="AZ13" s="67"/>
      <c r="BA13" s="67"/>
      <c r="BB13" s="67"/>
      <c r="BC13" s="67"/>
      <c r="BD13" s="68"/>
    </row>
    <row r="14" spans="1:57" ht="14.4" customHeight="1">
      <c r="A14" s="70">
        <f>IF(B14="","",COUNTA($B$8:B14))</f>
        <v>7</v>
      </c>
      <c r="B14" s="19" t="s">
        <v>308</v>
      </c>
      <c r="C14" s="20"/>
      <c r="D14" s="20"/>
      <c r="E14" s="20"/>
      <c r="F14" s="20"/>
      <c r="G14" s="20"/>
      <c r="H14" s="24"/>
      <c r="I14" s="34" t="s">
        <v>309</v>
      </c>
      <c r="J14" s="23"/>
      <c r="K14" s="23"/>
      <c r="L14" s="23"/>
      <c r="M14" s="23"/>
      <c r="N14" s="23"/>
      <c r="O14" s="23"/>
      <c r="P14" s="23"/>
      <c r="Q14" s="37"/>
      <c r="R14" s="19" t="s">
        <v>308</v>
      </c>
      <c r="S14" s="23"/>
      <c r="T14" s="23"/>
      <c r="U14" s="23"/>
      <c r="V14" s="23"/>
      <c r="W14" s="23"/>
      <c r="X14" s="24"/>
      <c r="Y14" s="19" t="s">
        <v>169</v>
      </c>
      <c r="Z14" s="183"/>
      <c r="AA14" s="25" t="s">
        <v>170</v>
      </c>
      <c r="AB14" s="26"/>
      <c r="AC14" s="39"/>
      <c r="AD14" s="27"/>
      <c r="AE14" s="29"/>
      <c r="AF14" s="29"/>
      <c r="AG14" s="29"/>
      <c r="AH14" s="28"/>
      <c r="AI14" s="28" t="s">
        <v>171</v>
      </c>
      <c r="AJ14" s="28"/>
      <c r="AK14" s="28"/>
      <c r="AL14" s="28"/>
      <c r="AM14" s="28"/>
      <c r="AN14" s="28"/>
      <c r="AO14" s="29"/>
      <c r="AP14" s="29"/>
      <c r="AQ14" s="29"/>
      <c r="AR14" s="29"/>
      <c r="AS14" s="131"/>
      <c r="AT14" s="67"/>
      <c r="AU14" s="67"/>
      <c r="AV14" s="67"/>
      <c r="AW14" s="67"/>
      <c r="AX14" s="67"/>
      <c r="AY14" s="67"/>
      <c r="AZ14" s="67"/>
      <c r="BA14" s="67"/>
      <c r="BB14" s="67"/>
      <c r="BC14" s="67"/>
      <c r="BD14" s="68"/>
    </row>
    <row r="15" spans="1:57" ht="14.4" customHeight="1">
      <c r="A15" s="70">
        <f>IF(B15="","",COUNTA($B$8:B15))</f>
        <v>8</v>
      </c>
      <c r="B15" s="19" t="s">
        <v>166</v>
      </c>
      <c r="C15" s="20"/>
      <c r="D15" s="20"/>
      <c r="E15" s="20"/>
      <c r="F15" s="20"/>
      <c r="G15" s="20"/>
      <c r="H15" s="24"/>
      <c r="I15" s="34" t="s">
        <v>167</v>
      </c>
      <c r="J15" s="23"/>
      <c r="K15" s="23"/>
      <c r="L15" s="23"/>
      <c r="M15" s="23"/>
      <c r="N15" s="23"/>
      <c r="O15" s="23"/>
      <c r="P15" s="23"/>
      <c r="Q15" s="37"/>
      <c r="R15" s="19" t="s">
        <v>168</v>
      </c>
      <c r="S15" s="23"/>
      <c r="T15" s="23"/>
      <c r="U15" s="23"/>
      <c r="V15" s="23"/>
      <c r="W15" s="23"/>
      <c r="X15" s="24"/>
      <c r="Y15" s="19" t="s">
        <v>169</v>
      </c>
      <c r="Z15" s="183"/>
      <c r="AA15" s="25" t="s">
        <v>170</v>
      </c>
      <c r="AB15" s="26"/>
      <c r="AC15" s="39"/>
      <c r="AD15" s="27"/>
      <c r="AE15" s="29"/>
      <c r="AF15" s="29"/>
      <c r="AG15" s="29"/>
      <c r="AH15" s="28"/>
      <c r="AI15" s="28" t="s">
        <v>310</v>
      </c>
      <c r="AJ15" s="28"/>
      <c r="AK15" s="28"/>
      <c r="AL15" s="28"/>
      <c r="AM15" s="28"/>
      <c r="AN15" s="28"/>
      <c r="AO15" s="29"/>
      <c r="AP15" s="29"/>
      <c r="AQ15" s="29"/>
      <c r="AR15" s="29"/>
      <c r="AS15" s="131"/>
      <c r="AT15" s="67"/>
      <c r="AU15" s="67"/>
      <c r="AV15" s="67"/>
      <c r="AW15" s="67"/>
      <c r="AX15" s="67"/>
      <c r="AY15" s="67"/>
      <c r="AZ15" s="67"/>
      <c r="BA15" s="67"/>
      <c r="BB15" s="67"/>
      <c r="BC15" s="67"/>
      <c r="BD15" s="68"/>
    </row>
    <row r="16" spans="1:57" ht="14.4" customHeight="1">
      <c r="A16" s="70">
        <f>IF(B16="","",COUNTA($B$8:B16))</f>
        <v>9</v>
      </c>
      <c r="B16" s="19" t="s">
        <v>174</v>
      </c>
      <c r="C16" s="20"/>
      <c r="D16" s="20"/>
      <c r="E16" s="20"/>
      <c r="F16" s="20"/>
      <c r="G16" s="20"/>
      <c r="H16" s="24"/>
      <c r="I16" s="34" t="s">
        <v>175</v>
      </c>
      <c r="J16" s="23"/>
      <c r="K16" s="23"/>
      <c r="L16" s="23"/>
      <c r="M16" s="23"/>
      <c r="N16" s="23"/>
      <c r="O16" s="23"/>
      <c r="P16" s="23"/>
      <c r="Q16" s="37"/>
      <c r="R16" s="19" t="s">
        <v>176</v>
      </c>
      <c r="S16" s="23"/>
      <c r="T16" s="23"/>
      <c r="U16" s="23"/>
      <c r="V16" s="23"/>
      <c r="W16" s="23"/>
      <c r="X16" s="24"/>
      <c r="Y16" s="19" t="s">
        <v>169</v>
      </c>
      <c r="Z16" s="183"/>
      <c r="AA16" s="25" t="s">
        <v>170</v>
      </c>
      <c r="AB16" s="26"/>
      <c r="AC16" s="39"/>
      <c r="AD16" s="30"/>
      <c r="AE16" s="29"/>
      <c r="AF16" s="29"/>
      <c r="AG16" s="29"/>
      <c r="AH16" s="28"/>
      <c r="AI16" s="28" t="s">
        <v>311</v>
      </c>
      <c r="AJ16" s="28"/>
      <c r="AK16" s="28"/>
      <c r="AL16" s="28"/>
      <c r="AM16" s="28"/>
      <c r="AN16" s="28"/>
      <c r="AO16" s="29"/>
      <c r="AP16" s="29"/>
      <c r="AQ16" s="29"/>
      <c r="AR16" s="29"/>
      <c r="AS16" s="131"/>
      <c r="AT16" s="67"/>
      <c r="AU16" s="67"/>
      <c r="AV16" s="67"/>
      <c r="AW16" s="67"/>
      <c r="AX16" s="67"/>
      <c r="AY16" s="67"/>
      <c r="AZ16" s="67"/>
      <c r="BA16" s="67"/>
      <c r="BB16" s="67"/>
      <c r="BC16" s="67"/>
      <c r="BD16" s="68"/>
    </row>
    <row r="17" spans="1:57" ht="14.4" customHeight="1">
      <c r="A17" s="70">
        <f>IF(B17="","",COUNTA($B$8:B17))</f>
        <v>10</v>
      </c>
      <c r="B17" s="19" t="s">
        <v>172</v>
      </c>
      <c r="C17" s="20"/>
      <c r="D17" s="20"/>
      <c r="E17" s="20"/>
      <c r="F17" s="20"/>
      <c r="G17" s="20"/>
      <c r="H17" s="24"/>
      <c r="I17" s="34" t="s">
        <v>177</v>
      </c>
      <c r="J17" s="23"/>
      <c r="K17" s="23"/>
      <c r="L17" s="23"/>
      <c r="M17" s="23"/>
      <c r="N17" s="23"/>
      <c r="O17" s="23"/>
      <c r="P17" s="23"/>
      <c r="Q17" s="37"/>
      <c r="R17" s="19" t="s">
        <v>172</v>
      </c>
      <c r="S17" s="23"/>
      <c r="T17" s="23"/>
      <c r="U17" s="23"/>
      <c r="V17" s="23"/>
      <c r="W17" s="23"/>
      <c r="X17" s="24"/>
      <c r="Y17" s="19" t="s">
        <v>155</v>
      </c>
      <c r="Z17" s="183"/>
      <c r="AA17" s="25" t="s">
        <v>156</v>
      </c>
      <c r="AB17" s="26"/>
      <c r="AC17" s="39"/>
      <c r="AD17" s="30">
        <v>5</v>
      </c>
      <c r="AE17" s="29">
        <v>1</v>
      </c>
      <c r="AF17" s="29"/>
      <c r="AG17" s="29"/>
      <c r="AH17" s="28"/>
      <c r="AI17" s="28"/>
      <c r="AJ17" s="28"/>
      <c r="AK17" s="28"/>
      <c r="AL17" s="28"/>
      <c r="AM17" s="28"/>
      <c r="AN17" s="28"/>
      <c r="AO17" s="29"/>
      <c r="AP17" s="29"/>
      <c r="AQ17" s="29"/>
      <c r="AR17" s="29"/>
      <c r="AS17" s="131"/>
      <c r="AT17" s="67"/>
      <c r="AU17" s="67"/>
      <c r="AV17" s="67"/>
      <c r="AW17" s="67"/>
      <c r="AX17" s="67"/>
      <c r="AY17" s="67"/>
      <c r="AZ17" s="67"/>
      <c r="BA17" s="67"/>
      <c r="BB17" s="67"/>
      <c r="BC17" s="67"/>
      <c r="BD17" s="68"/>
    </row>
    <row r="18" spans="1:57" ht="14.4" customHeight="1">
      <c r="A18" s="70">
        <f>IF(B18="","",COUNTA($B$8:B18))</f>
        <v>11</v>
      </c>
      <c r="B18" s="19" t="s">
        <v>312</v>
      </c>
      <c r="C18" s="20"/>
      <c r="D18" s="20"/>
      <c r="E18" s="20"/>
      <c r="F18" s="20"/>
      <c r="G18" s="20"/>
      <c r="H18" s="24"/>
      <c r="I18" s="34" t="s">
        <v>313</v>
      </c>
      <c r="J18" s="35"/>
      <c r="K18" s="35"/>
      <c r="L18" s="35"/>
      <c r="M18" s="35"/>
      <c r="N18" s="35"/>
      <c r="O18" s="35"/>
      <c r="P18" s="35"/>
      <c r="Q18" s="36"/>
      <c r="R18" s="19" t="s">
        <v>312</v>
      </c>
      <c r="S18" s="35"/>
      <c r="T18" s="35"/>
      <c r="U18" s="35"/>
      <c r="V18" s="35"/>
      <c r="W18" s="35"/>
      <c r="X18" s="36"/>
      <c r="Y18" s="19" t="s">
        <v>169</v>
      </c>
      <c r="Z18" s="183"/>
      <c r="AA18" s="25" t="s">
        <v>170</v>
      </c>
      <c r="AB18" s="26"/>
      <c r="AC18" s="39"/>
      <c r="AD18" s="30"/>
      <c r="AE18" s="29"/>
      <c r="AF18" s="29"/>
      <c r="AG18" s="29"/>
      <c r="AH18" s="28"/>
      <c r="AI18" s="28"/>
      <c r="AJ18" s="28"/>
      <c r="AK18" s="28"/>
      <c r="AL18" s="28"/>
      <c r="AM18" s="28"/>
      <c r="AN18" s="28"/>
      <c r="AO18" s="29"/>
      <c r="AP18" s="29"/>
      <c r="AQ18" s="29"/>
      <c r="AR18" s="29"/>
      <c r="AS18" s="131"/>
      <c r="AT18" s="67"/>
      <c r="AU18" s="67"/>
      <c r="AV18" s="67"/>
      <c r="AW18" s="67"/>
      <c r="AX18" s="67"/>
      <c r="AY18" s="67"/>
      <c r="AZ18" s="67"/>
      <c r="BA18" s="67"/>
      <c r="BB18" s="67"/>
      <c r="BC18" s="67"/>
      <c r="BD18" s="68"/>
    </row>
    <row r="19" spans="1:57" ht="14.4" customHeight="1">
      <c r="A19" s="50">
        <f>IF(B19="","",COUNTA($B$8:B19))</f>
        <v>12</v>
      </c>
      <c r="B19" s="19" t="s">
        <v>314</v>
      </c>
      <c r="C19" s="20"/>
      <c r="D19" s="20"/>
      <c r="E19" s="20"/>
      <c r="F19" s="20"/>
      <c r="G19" s="20"/>
      <c r="H19" s="20"/>
      <c r="I19" s="34" t="s">
        <v>315</v>
      </c>
      <c r="J19" s="23"/>
      <c r="K19" s="23"/>
      <c r="L19" s="23"/>
      <c r="M19" s="23"/>
      <c r="N19" s="23"/>
      <c r="O19" s="23"/>
      <c r="P19" s="23"/>
      <c r="Q19" s="23"/>
      <c r="R19" s="19" t="s">
        <v>314</v>
      </c>
      <c r="S19" s="20"/>
      <c r="T19" s="49"/>
      <c r="U19" s="49"/>
      <c r="V19" s="49"/>
      <c r="W19" s="49"/>
      <c r="X19" s="49"/>
      <c r="Y19" s="19" t="s">
        <v>150</v>
      </c>
      <c r="Z19" s="183"/>
      <c r="AA19" s="25" t="s">
        <v>151</v>
      </c>
      <c r="AB19" s="26"/>
      <c r="AC19" s="39"/>
      <c r="AD19" s="51">
        <v>10</v>
      </c>
      <c r="AE19" s="28" t="s">
        <v>244</v>
      </c>
      <c r="AF19" s="40"/>
      <c r="AG19" s="40"/>
      <c r="AH19" s="40"/>
      <c r="AI19" s="40"/>
      <c r="AJ19" s="40"/>
      <c r="AK19" s="40"/>
      <c r="AL19" s="40"/>
      <c r="AM19" s="40"/>
      <c r="AN19" s="40"/>
      <c r="AO19" s="41"/>
      <c r="AP19" s="41"/>
      <c r="AQ19" s="41"/>
      <c r="AR19" s="41"/>
      <c r="AS19" s="136"/>
      <c r="AT19" s="67"/>
      <c r="AU19" s="67"/>
      <c r="AV19" s="67"/>
      <c r="AW19" s="67"/>
      <c r="AX19" s="67"/>
      <c r="AY19" s="67"/>
      <c r="AZ19" s="67"/>
      <c r="BA19" s="67"/>
      <c r="BB19" s="67"/>
      <c r="BC19" s="67"/>
      <c r="BD19" s="68"/>
    </row>
    <row r="20" spans="1:57" ht="14.4" customHeight="1">
      <c r="A20" s="70">
        <f>IF(B20="","",COUNTA($B$8:B20))</f>
        <v>13</v>
      </c>
      <c r="B20" s="19" t="s">
        <v>316</v>
      </c>
      <c r="C20" s="20"/>
      <c r="D20" s="20"/>
      <c r="E20" s="20"/>
      <c r="F20" s="20"/>
      <c r="G20" s="20"/>
      <c r="H20" s="24"/>
      <c r="I20" s="34" t="s">
        <v>317</v>
      </c>
      <c r="J20" s="23"/>
      <c r="K20" s="23"/>
      <c r="L20" s="23"/>
      <c r="M20" s="23"/>
      <c r="N20" s="23"/>
      <c r="O20" s="23"/>
      <c r="P20" s="23"/>
      <c r="Q20" s="37"/>
      <c r="R20" s="19" t="s">
        <v>316</v>
      </c>
      <c r="S20" s="23"/>
      <c r="T20" s="23"/>
      <c r="U20" s="23"/>
      <c r="V20" s="23"/>
      <c r="W20" s="23"/>
      <c r="X20" s="24"/>
      <c r="Y20" s="19" t="s">
        <v>169</v>
      </c>
      <c r="Z20" s="183"/>
      <c r="AA20" s="25" t="s">
        <v>170</v>
      </c>
      <c r="AB20" s="26"/>
      <c r="AC20" s="39"/>
      <c r="AD20" s="30"/>
      <c r="AE20" s="29"/>
      <c r="AF20" s="29"/>
      <c r="AG20" s="29"/>
      <c r="AH20" s="28"/>
      <c r="AI20" s="28"/>
      <c r="AJ20" s="28"/>
      <c r="AK20" s="28"/>
      <c r="AL20" s="28"/>
      <c r="AM20" s="28"/>
      <c r="AN20" s="28"/>
      <c r="AO20" s="29"/>
      <c r="AP20" s="29"/>
      <c r="AQ20" s="29"/>
      <c r="AR20" s="29"/>
      <c r="AS20" s="131"/>
      <c r="AT20" s="67"/>
      <c r="AU20" s="67"/>
      <c r="AV20" s="67"/>
      <c r="AW20" s="67"/>
      <c r="AX20" s="67"/>
      <c r="AY20" s="67"/>
      <c r="AZ20" s="67"/>
      <c r="BA20" s="67"/>
      <c r="BB20" s="67"/>
      <c r="BC20" s="67"/>
      <c r="BD20" s="68"/>
    </row>
    <row r="21" spans="1:57" ht="14.4" customHeight="1">
      <c r="A21" s="70">
        <f>IF(B21="","",COUNTA($B$8:B21))</f>
        <v>14</v>
      </c>
      <c r="B21" s="19" t="s">
        <v>178</v>
      </c>
      <c r="C21" s="20"/>
      <c r="D21" s="20"/>
      <c r="E21" s="20"/>
      <c r="F21" s="20"/>
      <c r="G21" s="20"/>
      <c r="H21" s="24"/>
      <c r="I21" s="34" t="s">
        <v>179</v>
      </c>
      <c r="J21" s="23"/>
      <c r="K21" s="23"/>
      <c r="L21" s="23"/>
      <c r="M21" s="23"/>
      <c r="N21" s="23"/>
      <c r="O21" s="23"/>
      <c r="P21" s="23"/>
      <c r="Q21" s="37"/>
      <c r="R21" s="19" t="s">
        <v>178</v>
      </c>
      <c r="S21" s="23"/>
      <c r="T21" s="23"/>
      <c r="U21" s="23"/>
      <c r="V21" s="23"/>
      <c r="W21" s="23"/>
      <c r="X21" s="24"/>
      <c r="Y21" s="440" t="s">
        <v>150</v>
      </c>
      <c r="Z21" s="441"/>
      <c r="AA21" s="442" t="s">
        <v>151</v>
      </c>
      <c r="AB21" s="443"/>
      <c r="AC21" s="444"/>
      <c r="AD21" s="27">
        <v>20</v>
      </c>
      <c r="AE21" s="29"/>
      <c r="AF21" s="29"/>
      <c r="AG21" s="29"/>
      <c r="AH21" s="28"/>
      <c r="AI21" s="28"/>
      <c r="AJ21" s="28"/>
      <c r="AK21" s="28"/>
      <c r="AL21" s="28"/>
      <c r="AM21" s="28"/>
      <c r="AN21" s="28"/>
      <c r="AO21" s="29"/>
      <c r="AP21" s="29"/>
      <c r="AQ21" s="29"/>
      <c r="AR21" s="29"/>
      <c r="AS21" s="131" t="s">
        <v>180</v>
      </c>
      <c r="AT21" s="67"/>
      <c r="AU21" s="67"/>
      <c r="AV21" s="67"/>
      <c r="AW21" s="67"/>
      <c r="AX21" s="67"/>
      <c r="AY21" s="67"/>
      <c r="AZ21" s="67"/>
      <c r="BA21" s="67"/>
      <c r="BB21" s="67"/>
      <c r="BC21" s="67"/>
      <c r="BD21" s="68"/>
    </row>
    <row r="22" spans="1:57" ht="14.4" customHeight="1">
      <c r="A22" s="70">
        <f>IF(B22="","",COUNTA($B$8:B22))</f>
        <v>15</v>
      </c>
      <c r="B22" s="19" t="s">
        <v>181</v>
      </c>
      <c r="C22" s="20"/>
      <c r="D22" s="20"/>
      <c r="E22" s="20"/>
      <c r="F22" s="20"/>
      <c r="G22" s="20"/>
      <c r="H22" s="24"/>
      <c r="I22" s="34" t="s">
        <v>182</v>
      </c>
      <c r="J22" s="23"/>
      <c r="K22" s="23"/>
      <c r="L22" s="23"/>
      <c r="M22" s="23"/>
      <c r="N22" s="23"/>
      <c r="O22" s="23"/>
      <c r="P22" s="23"/>
      <c r="Q22" s="37"/>
      <c r="R22" s="19" t="s">
        <v>181</v>
      </c>
      <c r="S22" s="23"/>
      <c r="T22" s="23"/>
      <c r="U22" s="23"/>
      <c r="V22" s="23"/>
      <c r="W22" s="23"/>
      <c r="X22" s="37"/>
      <c r="Y22" s="440" t="s">
        <v>150</v>
      </c>
      <c r="Z22" s="441"/>
      <c r="AA22" s="442" t="s">
        <v>151</v>
      </c>
      <c r="AB22" s="443"/>
      <c r="AC22" s="444"/>
      <c r="AD22" s="27">
        <v>30</v>
      </c>
      <c r="AE22" s="29"/>
      <c r="AF22" s="29"/>
      <c r="AG22" s="29"/>
      <c r="AH22" s="28"/>
      <c r="AI22" s="28"/>
      <c r="AJ22" s="28"/>
      <c r="AK22" s="28"/>
      <c r="AL22" s="28"/>
      <c r="AM22" s="28"/>
      <c r="AN22" s="28"/>
      <c r="AO22" s="29"/>
      <c r="AP22" s="29"/>
      <c r="AQ22" s="29"/>
      <c r="AR22" s="29"/>
      <c r="AS22" s="131" t="s">
        <v>1479</v>
      </c>
      <c r="AT22" s="67"/>
      <c r="AU22" s="67"/>
      <c r="AV22" s="67"/>
      <c r="AW22" s="67"/>
      <c r="AX22" s="67"/>
      <c r="AY22" s="67"/>
      <c r="AZ22" s="67"/>
      <c r="BA22" s="67"/>
      <c r="BB22" s="67"/>
      <c r="BC22" s="67"/>
      <c r="BD22" s="68"/>
    </row>
    <row r="23" spans="1:57" ht="14.4" customHeight="1">
      <c r="A23" s="70">
        <f>IF(B23="","",COUNTA($B$8:B23))</f>
        <v>16</v>
      </c>
      <c r="B23" s="19" t="s">
        <v>183</v>
      </c>
      <c r="C23" s="20"/>
      <c r="D23" s="20"/>
      <c r="E23" s="20"/>
      <c r="F23" s="20"/>
      <c r="G23" s="20"/>
      <c r="H23" s="24"/>
      <c r="I23" s="34" t="s">
        <v>184</v>
      </c>
      <c r="J23" s="23"/>
      <c r="K23" s="23"/>
      <c r="L23" s="23"/>
      <c r="M23" s="23"/>
      <c r="N23" s="23"/>
      <c r="O23" s="23"/>
      <c r="P23" s="23"/>
      <c r="Q23" s="37"/>
      <c r="R23" s="19" t="s">
        <v>183</v>
      </c>
      <c r="S23" s="23"/>
      <c r="T23" s="23"/>
      <c r="U23" s="23"/>
      <c r="V23" s="23"/>
      <c r="W23" s="23"/>
      <c r="X23" s="24"/>
      <c r="Y23" s="440" t="s">
        <v>150</v>
      </c>
      <c r="Z23" s="441"/>
      <c r="AA23" s="442" t="s">
        <v>151</v>
      </c>
      <c r="AB23" s="443"/>
      <c r="AC23" s="444"/>
      <c r="AD23" s="27">
        <v>1000</v>
      </c>
      <c r="AE23" s="29"/>
      <c r="AF23" s="29"/>
      <c r="AG23" s="29"/>
      <c r="AH23" s="28"/>
      <c r="AI23" s="28"/>
      <c r="AJ23" s="28"/>
      <c r="AK23" s="28"/>
      <c r="AL23" s="28"/>
      <c r="AM23" s="28"/>
      <c r="AN23" s="28"/>
      <c r="AO23" s="29"/>
      <c r="AP23" s="29"/>
      <c r="AQ23" s="29"/>
      <c r="AR23" s="29"/>
      <c r="AS23" s="131"/>
      <c r="AT23" s="67"/>
      <c r="AU23" s="67"/>
      <c r="AV23" s="67"/>
      <c r="AW23" s="67"/>
      <c r="AX23" s="67"/>
      <c r="AY23" s="67"/>
      <c r="AZ23" s="67"/>
      <c r="BA23" s="67"/>
      <c r="BB23" s="67"/>
      <c r="BC23" s="67"/>
      <c r="BD23" s="68"/>
    </row>
    <row r="24" spans="1:57" ht="14.4" customHeight="1">
      <c r="A24" s="70">
        <f>IF(B24="","",COUNTA($B$8:B24))</f>
        <v>17</v>
      </c>
      <c r="B24" s="19" t="s">
        <v>187</v>
      </c>
      <c r="C24" s="20"/>
      <c r="D24" s="20"/>
      <c r="E24" s="20"/>
      <c r="F24" s="20"/>
      <c r="G24" s="20"/>
      <c r="H24" s="24"/>
      <c r="I24" s="34" t="s">
        <v>188</v>
      </c>
      <c r="J24" s="23"/>
      <c r="K24" s="23"/>
      <c r="L24" s="23"/>
      <c r="M24" s="23"/>
      <c r="N24" s="23"/>
      <c r="O24" s="23"/>
      <c r="P24" s="23"/>
      <c r="Q24" s="37"/>
      <c r="R24" s="19" t="s">
        <v>187</v>
      </c>
      <c r="S24" s="23"/>
      <c r="T24" s="23"/>
      <c r="U24" s="23"/>
      <c r="V24" s="23"/>
      <c r="W24" s="23"/>
      <c r="X24" s="24"/>
      <c r="Y24" s="440" t="s">
        <v>155</v>
      </c>
      <c r="Z24" s="441"/>
      <c r="AA24" s="442" t="s">
        <v>156</v>
      </c>
      <c r="AB24" s="443"/>
      <c r="AC24" s="444"/>
      <c r="AD24" s="27">
        <v>3</v>
      </c>
      <c r="AE24" s="29"/>
      <c r="AF24" s="29"/>
      <c r="AG24" s="29"/>
      <c r="AH24" s="40"/>
      <c r="AI24" s="40"/>
      <c r="AJ24" s="40"/>
      <c r="AK24" s="40"/>
      <c r="AL24" s="40"/>
      <c r="AM24" s="40"/>
      <c r="AN24" s="40"/>
      <c r="AO24" s="41"/>
      <c r="AP24" s="41"/>
      <c r="AQ24" s="41"/>
      <c r="AR24" s="41"/>
      <c r="AS24" s="136"/>
      <c r="AT24" s="43"/>
      <c r="AU24" s="67"/>
      <c r="AV24" s="67"/>
      <c r="AW24" s="67"/>
      <c r="AX24" s="32"/>
      <c r="AY24" s="32"/>
      <c r="AZ24" s="32"/>
      <c r="BA24" s="32"/>
      <c r="BB24" s="32"/>
      <c r="BC24" s="32"/>
      <c r="BD24" s="33"/>
    </row>
    <row r="25" spans="1:57" ht="14.4" customHeight="1">
      <c r="A25" s="70">
        <f>IF(B25="","",COUNTA($B$8:B25))</f>
        <v>18</v>
      </c>
      <c r="B25" s="19" t="s">
        <v>189</v>
      </c>
      <c r="C25" s="20"/>
      <c r="D25" s="20"/>
      <c r="E25" s="20"/>
      <c r="F25" s="20"/>
      <c r="G25" s="20"/>
      <c r="H25" s="24"/>
      <c r="I25" s="34" t="s">
        <v>190</v>
      </c>
      <c r="J25" s="23"/>
      <c r="K25" s="23"/>
      <c r="L25" s="23"/>
      <c r="M25" s="23"/>
      <c r="N25" s="23"/>
      <c r="O25" s="23"/>
      <c r="P25" s="23"/>
      <c r="Q25" s="37"/>
      <c r="R25" s="19" t="s">
        <v>189</v>
      </c>
      <c r="S25" s="23"/>
      <c r="T25" s="23"/>
      <c r="U25" s="23"/>
      <c r="V25" s="23"/>
      <c r="W25" s="23"/>
      <c r="X25" s="24"/>
      <c r="Y25" s="440" t="s">
        <v>155</v>
      </c>
      <c r="Z25" s="441"/>
      <c r="AA25" s="442" t="s">
        <v>156</v>
      </c>
      <c r="AB25" s="443"/>
      <c r="AC25" s="444"/>
      <c r="AD25" s="27">
        <v>3</v>
      </c>
      <c r="AE25" s="41"/>
      <c r="AF25" s="41"/>
      <c r="AG25" s="40"/>
      <c r="AH25" s="40">
        <v>0</v>
      </c>
      <c r="AI25" s="40"/>
      <c r="AJ25" s="40"/>
      <c r="AK25" s="40"/>
      <c r="AL25" s="40"/>
      <c r="AM25" s="40"/>
      <c r="AN25" s="40"/>
      <c r="AO25" s="41"/>
      <c r="AP25" s="41"/>
      <c r="AQ25" s="41"/>
      <c r="AR25" s="41"/>
      <c r="AS25" s="136" t="s">
        <v>191</v>
      </c>
      <c r="AT25" s="43"/>
      <c r="AU25" s="67"/>
      <c r="AV25" s="67"/>
      <c r="AW25" s="67"/>
      <c r="AX25" s="67"/>
      <c r="AY25" s="67"/>
      <c r="AZ25" s="67"/>
      <c r="BA25" s="67"/>
      <c r="BB25" s="67"/>
      <c r="BC25" s="67"/>
      <c r="BD25" s="68"/>
    </row>
    <row r="26" spans="1:57" ht="14.4" customHeight="1">
      <c r="A26" s="70" t="str">
        <f>IF(B26="","",COUNTA($B$8:B26))</f>
        <v/>
      </c>
      <c r="B26" s="19"/>
      <c r="C26" s="20"/>
      <c r="D26" s="20"/>
      <c r="E26" s="20"/>
      <c r="F26" s="20"/>
      <c r="G26" s="20"/>
      <c r="H26" s="24"/>
      <c r="I26" s="34"/>
      <c r="J26" s="23"/>
      <c r="K26" s="23"/>
      <c r="L26" s="23"/>
      <c r="M26" s="23"/>
      <c r="N26" s="23"/>
      <c r="O26" s="23"/>
      <c r="P26" s="23"/>
      <c r="Q26" s="37"/>
      <c r="R26" s="19"/>
      <c r="S26" s="23"/>
      <c r="T26" s="23"/>
      <c r="U26" s="23"/>
      <c r="V26" s="23"/>
      <c r="W26" s="23"/>
      <c r="X26" s="24"/>
      <c r="Y26" s="440"/>
      <c r="Z26" s="441"/>
      <c r="AA26" s="442"/>
      <c r="AB26" s="443"/>
      <c r="AC26" s="444"/>
      <c r="AD26" s="27"/>
      <c r="AE26" s="41"/>
      <c r="AF26" s="41"/>
      <c r="AG26" s="40"/>
      <c r="AH26" s="40"/>
      <c r="AI26" s="40"/>
      <c r="AJ26" s="40"/>
      <c r="AK26" s="40"/>
      <c r="AL26" s="40"/>
      <c r="AM26" s="40"/>
      <c r="AN26" s="40"/>
      <c r="AO26" s="41"/>
      <c r="AP26" s="41"/>
      <c r="AQ26" s="41"/>
      <c r="AR26" s="41"/>
      <c r="AS26" s="136" t="s">
        <v>192</v>
      </c>
      <c r="AT26" s="43"/>
      <c r="AU26" s="67"/>
      <c r="AV26" s="67"/>
      <c r="AW26" s="67"/>
      <c r="AX26" s="67"/>
      <c r="AY26" s="67"/>
      <c r="AZ26" s="67"/>
      <c r="BA26" s="67"/>
      <c r="BB26" s="67"/>
      <c r="BC26" s="67"/>
      <c r="BD26" s="68"/>
    </row>
    <row r="27" spans="1:57" ht="14.4" customHeight="1">
      <c r="A27" s="70">
        <f>IF(B27="","",COUNTA($B$8:B27))</f>
        <v>19</v>
      </c>
      <c r="B27" s="25" t="s">
        <v>193</v>
      </c>
      <c r="C27" s="26"/>
      <c r="D27" s="26"/>
      <c r="E27" s="26"/>
      <c r="F27" s="26"/>
      <c r="G27" s="26"/>
      <c r="H27" s="39"/>
      <c r="I27" s="34" t="s">
        <v>194</v>
      </c>
      <c r="J27" s="23"/>
      <c r="K27" s="23"/>
      <c r="L27" s="23"/>
      <c r="M27" s="23"/>
      <c r="N27" s="23"/>
      <c r="O27" s="23"/>
      <c r="P27" s="23"/>
      <c r="Q27" s="37"/>
      <c r="R27" s="25" t="s">
        <v>193</v>
      </c>
      <c r="S27" s="23"/>
      <c r="T27" s="23"/>
      <c r="U27" s="23"/>
      <c r="V27" s="23"/>
      <c r="W27" s="23"/>
      <c r="X27" s="24"/>
      <c r="Y27" s="440" t="s">
        <v>150</v>
      </c>
      <c r="Z27" s="441"/>
      <c r="AA27" s="442" t="s">
        <v>151</v>
      </c>
      <c r="AB27" s="443"/>
      <c r="AC27" s="444"/>
      <c r="AD27" s="27">
        <v>25</v>
      </c>
      <c r="AE27" s="29"/>
      <c r="AF27" s="29"/>
      <c r="AG27" s="29"/>
      <c r="AH27" s="28"/>
      <c r="AI27" s="28"/>
      <c r="AJ27" s="28"/>
      <c r="AK27" s="28"/>
      <c r="AL27" s="28"/>
      <c r="AM27" s="28"/>
      <c r="AN27" s="28"/>
      <c r="AO27" s="29"/>
      <c r="AP27" s="29"/>
      <c r="AQ27" s="29"/>
      <c r="AR27" s="29"/>
      <c r="AS27" s="131" t="s">
        <v>1469</v>
      </c>
      <c r="AT27" s="32"/>
      <c r="AU27" s="32"/>
      <c r="AV27" s="32"/>
      <c r="AW27" s="32"/>
      <c r="AX27" s="32"/>
      <c r="AY27" s="32"/>
      <c r="AZ27" s="32"/>
      <c r="BA27" s="32"/>
      <c r="BB27" s="32"/>
      <c r="BC27" s="32"/>
      <c r="BD27" s="33"/>
      <c r="BE27" s="18" t="s">
        <v>1551</v>
      </c>
    </row>
    <row r="28" spans="1:57" ht="14.4" customHeight="1">
      <c r="A28" s="70">
        <f>IF(B28="","",COUNTA($B$8:B28))</f>
        <v>20</v>
      </c>
      <c r="B28" s="19" t="s">
        <v>195</v>
      </c>
      <c r="C28" s="20"/>
      <c r="D28" s="20"/>
      <c r="E28" s="20"/>
      <c r="F28" s="20"/>
      <c r="G28" s="20"/>
      <c r="H28" s="24"/>
      <c r="I28" s="34" t="s">
        <v>196</v>
      </c>
      <c r="J28" s="23"/>
      <c r="K28" s="23"/>
      <c r="L28" s="23"/>
      <c r="M28" s="23"/>
      <c r="N28" s="23"/>
      <c r="O28" s="23"/>
      <c r="P28" s="23"/>
      <c r="Q28" s="37"/>
      <c r="R28" s="19" t="s">
        <v>195</v>
      </c>
      <c r="S28" s="23"/>
      <c r="T28" s="23"/>
      <c r="U28" s="23"/>
      <c r="V28" s="23"/>
      <c r="W28" s="23"/>
      <c r="X28" s="24"/>
      <c r="Y28" s="440" t="s">
        <v>150</v>
      </c>
      <c r="Z28" s="441"/>
      <c r="AA28" s="442" t="s">
        <v>151</v>
      </c>
      <c r="AB28" s="443"/>
      <c r="AC28" s="444"/>
      <c r="AD28" s="27">
        <v>30</v>
      </c>
      <c r="AE28" s="29"/>
      <c r="AF28" s="29"/>
      <c r="AG28" s="29"/>
      <c r="AH28" s="28"/>
      <c r="AI28" s="28"/>
      <c r="AJ28" s="28"/>
      <c r="AK28" s="28"/>
      <c r="AL28" s="28"/>
      <c r="AM28" s="28"/>
      <c r="AN28" s="28"/>
      <c r="AO28" s="29"/>
      <c r="AP28" s="29"/>
      <c r="AQ28" s="29"/>
      <c r="AR28" s="29"/>
      <c r="AS28" s="131"/>
      <c r="AT28" s="67"/>
      <c r="AU28" s="67"/>
      <c r="AV28" s="67"/>
      <c r="AW28" s="67"/>
      <c r="AX28" s="67"/>
      <c r="AY28" s="67"/>
      <c r="AZ28" s="67"/>
      <c r="BA28" s="67"/>
      <c r="BB28" s="67"/>
      <c r="BC28" s="67"/>
      <c r="BD28" s="68"/>
    </row>
    <row r="29" spans="1:57" ht="14.4" customHeight="1">
      <c r="A29" s="70">
        <f>IF(B29="","",COUNTA($B$8:B29))</f>
        <v>21</v>
      </c>
      <c r="B29" s="19" t="s">
        <v>197</v>
      </c>
      <c r="C29" s="20"/>
      <c r="D29" s="20"/>
      <c r="E29" s="20"/>
      <c r="F29" s="20"/>
      <c r="G29" s="20"/>
      <c r="H29" s="24"/>
      <c r="I29" s="34" t="s">
        <v>198</v>
      </c>
      <c r="J29" s="23"/>
      <c r="K29" s="23"/>
      <c r="L29" s="23"/>
      <c r="M29" s="23"/>
      <c r="N29" s="23"/>
      <c r="O29" s="23"/>
      <c r="P29" s="23"/>
      <c r="Q29" s="37"/>
      <c r="R29" s="19" t="s">
        <v>197</v>
      </c>
      <c r="S29" s="23"/>
      <c r="T29" s="23"/>
      <c r="U29" s="23"/>
      <c r="V29" s="23"/>
      <c r="W29" s="23"/>
      <c r="X29" s="24"/>
      <c r="Y29" s="440" t="s">
        <v>150</v>
      </c>
      <c r="Z29" s="441"/>
      <c r="AA29" s="442" t="s">
        <v>151</v>
      </c>
      <c r="AB29" s="443"/>
      <c r="AC29" s="444"/>
      <c r="AD29" s="27">
        <v>5</v>
      </c>
      <c r="AE29" s="29"/>
      <c r="AF29" s="29"/>
      <c r="AG29" s="29"/>
      <c r="AH29" s="28"/>
      <c r="AI29" s="28"/>
      <c r="AJ29" s="28"/>
      <c r="AK29" s="28"/>
      <c r="AL29" s="28"/>
      <c r="AM29" s="28"/>
      <c r="AN29" s="28"/>
      <c r="AO29" s="29"/>
      <c r="AP29" s="29"/>
      <c r="AQ29" s="29"/>
      <c r="AR29" s="29"/>
      <c r="AS29" s="131"/>
      <c r="AT29" s="67"/>
      <c r="AU29" s="67"/>
      <c r="AV29" s="67"/>
      <c r="AW29" s="67"/>
      <c r="AX29" s="67"/>
      <c r="AY29" s="67"/>
      <c r="AZ29" s="67"/>
      <c r="BA29" s="67"/>
      <c r="BB29" s="67"/>
      <c r="BC29" s="67"/>
      <c r="BD29" s="68"/>
    </row>
    <row r="30" spans="1:57" ht="14.4" customHeight="1">
      <c r="A30" s="70">
        <f>IF(B30="","",COUNTA($B$8:B30))</f>
        <v>22</v>
      </c>
      <c r="B30" s="19" t="s">
        <v>199</v>
      </c>
      <c r="C30" s="20"/>
      <c r="D30" s="20"/>
      <c r="E30" s="20"/>
      <c r="F30" s="20"/>
      <c r="G30" s="20"/>
      <c r="H30" s="24"/>
      <c r="I30" s="34" t="s">
        <v>200</v>
      </c>
      <c r="J30" s="23"/>
      <c r="K30" s="23"/>
      <c r="L30" s="23"/>
      <c r="M30" s="23"/>
      <c r="N30" s="23"/>
      <c r="O30" s="23"/>
      <c r="P30" s="23"/>
      <c r="Q30" s="37"/>
      <c r="R30" s="19" t="s">
        <v>199</v>
      </c>
      <c r="S30" s="23"/>
      <c r="T30" s="23"/>
      <c r="U30" s="23"/>
      <c r="V30" s="23"/>
      <c r="W30" s="23"/>
      <c r="X30" s="24"/>
      <c r="Y30" s="440" t="s">
        <v>150</v>
      </c>
      <c r="Z30" s="441"/>
      <c r="AA30" s="442" t="s">
        <v>151</v>
      </c>
      <c r="AB30" s="443"/>
      <c r="AC30" s="444"/>
      <c r="AD30" s="27">
        <v>20</v>
      </c>
      <c r="AE30" s="29"/>
      <c r="AF30" s="29"/>
      <c r="AG30" s="29"/>
      <c r="AH30" s="28"/>
      <c r="AI30" s="28"/>
      <c r="AJ30" s="28"/>
      <c r="AK30" s="28"/>
      <c r="AL30" s="28"/>
      <c r="AM30" s="28"/>
      <c r="AN30" s="28"/>
      <c r="AO30" s="29"/>
      <c r="AP30" s="29"/>
      <c r="AQ30" s="29"/>
      <c r="AR30" s="29"/>
      <c r="AS30" s="131"/>
      <c r="AT30" s="67"/>
      <c r="AU30" s="67"/>
      <c r="AV30" s="67"/>
      <c r="AW30" s="67"/>
      <c r="AX30" s="67"/>
      <c r="AY30" s="67"/>
      <c r="AZ30" s="67"/>
      <c r="BA30" s="67"/>
      <c r="BB30" s="67"/>
      <c r="BC30" s="67"/>
      <c r="BD30" s="68"/>
    </row>
    <row r="31" spans="1:57" ht="14.4" customHeight="1">
      <c r="A31" s="70">
        <f>IF(B31="","",COUNTA($B$8:B31))</f>
        <v>23</v>
      </c>
      <c r="B31" s="19" t="s">
        <v>201</v>
      </c>
      <c r="C31" s="20"/>
      <c r="D31" s="20"/>
      <c r="E31" s="20"/>
      <c r="F31" s="20"/>
      <c r="G31" s="20"/>
      <c r="H31" s="24"/>
      <c r="I31" s="34" t="s">
        <v>202</v>
      </c>
      <c r="J31" s="23"/>
      <c r="K31" s="23"/>
      <c r="L31" s="23"/>
      <c r="M31" s="23"/>
      <c r="N31" s="23"/>
      <c r="O31" s="23"/>
      <c r="P31" s="23"/>
      <c r="Q31" s="37"/>
      <c r="R31" s="19" t="s">
        <v>201</v>
      </c>
      <c r="S31" s="23"/>
      <c r="T31" s="23"/>
      <c r="U31" s="23"/>
      <c r="V31" s="23"/>
      <c r="W31" s="23"/>
      <c r="X31" s="24"/>
      <c r="Y31" s="440" t="s">
        <v>150</v>
      </c>
      <c r="Z31" s="441"/>
      <c r="AA31" s="442" t="s">
        <v>151</v>
      </c>
      <c r="AB31" s="443"/>
      <c r="AC31" s="444"/>
      <c r="AD31" s="27">
        <v>30</v>
      </c>
      <c r="AE31" s="29"/>
      <c r="AF31" s="29"/>
      <c r="AG31" s="29"/>
      <c r="AH31" s="28"/>
      <c r="AI31" s="28"/>
      <c r="AJ31" s="28"/>
      <c r="AK31" s="28"/>
      <c r="AL31" s="28"/>
      <c r="AM31" s="28"/>
      <c r="AN31" s="28"/>
      <c r="AO31" s="29"/>
      <c r="AP31" s="29"/>
      <c r="AQ31" s="29"/>
      <c r="AR31" s="29"/>
      <c r="AS31" s="131"/>
      <c r="AT31" s="67"/>
      <c r="AU31" s="67"/>
      <c r="AV31" s="67"/>
      <c r="AW31" s="67"/>
      <c r="AX31" s="67"/>
      <c r="AY31" s="67"/>
      <c r="AZ31" s="67"/>
      <c r="BA31" s="67"/>
      <c r="BB31" s="67"/>
      <c r="BC31" s="67"/>
      <c r="BD31" s="68"/>
    </row>
    <row r="32" spans="1:57" ht="14.4" customHeight="1">
      <c r="A32" s="70">
        <f>IF(B32="","",COUNTA($B$8:B32))</f>
        <v>24</v>
      </c>
      <c r="B32" s="22" t="s">
        <v>203</v>
      </c>
      <c r="C32" s="20"/>
      <c r="D32" s="20"/>
      <c r="E32" s="20"/>
      <c r="F32" s="20"/>
      <c r="G32" s="20"/>
      <c r="H32" s="24"/>
      <c r="I32" s="34" t="s">
        <v>204</v>
      </c>
      <c r="J32" s="23"/>
      <c r="K32" s="23"/>
      <c r="L32" s="23"/>
      <c r="M32" s="23"/>
      <c r="N32" s="23"/>
      <c r="O32" s="23"/>
      <c r="P32" s="23"/>
      <c r="Q32" s="37"/>
      <c r="R32" s="22" t="s">
        <v>203</v>
      </c>
      <c r="S32" s="23"/>
      <c r="T32" s="23"/>
      <c r="U32" s="23"/>
      <c r="V32" s="23"/>
      <c r="W32" s="23"/>
      <c r="X32" s="24"/>
      <c r="Y32" s="440" t="s">
        <v>155</v>
      </c>
      <c r="Z32" s="441"/>
      <c r="AA32" s="442" t="s">
        <v>156</v>
      </c>
      <c r="AB32" s="443"/>
      <c r="AC32" s="444"/>
      <c r="AD32" s="27">
        <v>5</v>
      </c>
      <c r="AE32" s="29">
        <v>2</v>
      </c>
      <c r="AF32" s="29"/>
      <c r="AG32" s="29"/>
      <c r="AH32" s="28"/>
      <c r="AI32" s="28"/>
      <c r="AJ32" s="28"/>
      <c r="AK32" s="28"/>
      <c r="AL32" s="28"/>
      <c r="AM32" s="28"/>
      <c r="AN32" s="28"/>
      <c r="AO32" s="29"/>
      <c r="AP32" s="29"/>
      <c r="AQ32" s="29"/>
      <c r="AR32" s="29"/>
      <c r="AS32" s="131"/>
      <c r="AT32" s="67"/>
      <c r="AU32" s="67"/>
      <c r="AV32" s="67"/>
      <c r="AW32" s="67"/>
      <c r="AX32" s="67"/>
      <c r="AY32" s="67"/>
      <c r="AZ32" s="67"/>
      <c r="BA32" s="67"/>
      <c r="BB32" s="67"/>
      <c r="BC32" s="67"/>
      <c r="BD32" s="68"/>
    </row>
    <row r="33" spans="1:57" ht="14.4" customHeight="1">
      <c r="A33" s="70">
        <f>IF(B33="","",COUNTA($B$8:B33))</f>
        <v>25</v>
      </c>
      <c r="B33" s="22" t="s">
        <v>205</v>
      </c>
      <c r="C33" s="26"/>
      <c r="D33" s="26"/>
      <c r="E33" s="26"/>
      <c r="F33" s="26"/>
      <c r="G33" s="26"/>
      <c r="H33" s="39"/>
      <c r="I33" s="34" t="s">
        <v>206</v>
      </c>
      <c r="J33" s="23"/>
      <c r="K33" s="23"/>
      <c r="L33" s="23"/>
      <c r="M33" s="23"/>
      <c r="N33" s="23"/>
      <c r="O33" s="23"/>
      <c r="P33" s="23"/>
      <c r="Q33" s="37"/>
      <c r="R33" s="22" t="s">
        <v>207</v>
      </c>
      <c r="S33" s="23"/>
      <c r="T33" s="23"/>
      <c r="U33" s="23"/>
      <c r="V33" s="23"/>
      <c r="W33" s="23"/>
      <c r="X33" s="24"/>
      <c r="Y33" s="440" t="s">
        <v>155</v>
      </c>
      <c r="Z33" s="441"/>
      <c r="AA33" s="442" t="s">
        <v>156</v>
      </c>
      <c r="AB33" s="443"/>
      <c r="AC33" s="444"/>
      <c r="AD33" s="27">
        <v>4</v>
      </c>
      <c r="AE33" s="29"/>
      <c r="AF33" s="29"/>
      <c r="AG33" s="29"/>
      <c r="AH33" s="28"/>
      <c r="AI33" s="28"/>
      <c r="AJ33" s="28"/>
      <c r="AK33" s="28"/>
      <c r="AL33" s="28"/>
      <c r="AM33" s="28"/>
      <c r="AN33" s="28"/>
      <c r="AO33" s="29"/>
      <c r="AP33" s="29"/>
      <c r="AQ33" s="29"/>
      <c r="AR33" s="29"/>
      <c r="AS33" s="131"/>
      <c r="AT33" s="67"/>
      <c r="AU33" s="67"/>
      <c r="AV33" s="67"/>
      <c r="AW33" s="67"/>
      <c r="AX33" s="67"/>
      <c r="AY33" s="67"/>
      <c r="AZ33" s="67"/>
      <c r="BA33" s="67"/>
      <c r="BB33" s="67"/>
      <c r="BC33" s="67"/>
      <c r="BD33" s="68"/>
    </row>
    <row r="34" spans="1:57" ht="14.4" customHeight="1">
      <c r="A34" s="70">
        <f>IF(B34="","",COUNTA($B$8:B34))</f>
        <v>26</v>
      </c>
      <c r="B34" s="22" t="s">
        <v>208</v>
      </c>
      <c r="C34" s="26"/>
      <c r="D34" s="26"/>
      <c r="E34" s="26"/>
      <c r="F34" s="26"/>
      <c r="G34" s="26"/>
      <c r="H34" s="39"/>
      <c r="I34" s="34" t="s">
        <v>209</v>
      </c>
      <c r="J34" s="23"/>
      <c r="K34" s="23"/>
      <c r="L34" s="23"/>
      <c r="M34" s="23"/>
      <c r="N34" s="23"/>
      <c r="O34" s="23"/>
      <c r="P34" s="23"/>
      <c r="Q34" s="37"/>
      <c r="R34" s="22" t="s">
        <v>210</v>
      </c>
      <c r="S34" s="23"/>
      <c r="T34" s="23"/>
      <c r="U34" s="23"/>
      <c r="V34" s="23"/>
      <c r="W34" s="23"/>
      <c r="X34" s="24"/>
      <c r="Y34" s="440" t="s">
        <v>155</v>
      </c>
      <c r="Z34" s="441"/>
      <c r="AA34" s="442" t="s">
        <v>156</v>
      </c>
      <c r="AB34" s="443"/>
      <c r="AC34" s="444"/>
      <c r="AD34" s="27">
        <v>5</v>
      </c>
      <c r="AE34" s="29"/>
      <c r="AF34" s="29"/>
      <c r="AG34" s="29"/>
      <c r="AH34" s="28"/>
      <c r="AI34" s="28"/>
      <c r="AJ34" s="28"/>
      <c r="AK34" s="28"/>
      <c r="AL34" s="28"/>
      <c r="AM34" s="28"/>
      <c r="AN34" s="28"/>
      <c r="AO34" s="29"/>
      <c r="AP34" s="29"/>
      <c r="AQ34" s="29"/>
      <c r="AR34" s="29"/>
      <c r="AS34" s="131"/>
      <c r="AT34" s="67"/>
      <c r="AU34" s="67"/>
      <c r="AV34" s="67"/>
      <c r="AW34" s="67"/>
      <c r="AX34" s="67"/>
      <c r="AY34" s="67"/>
      <c r="AZ34" s="67"/>
      <c r="BA34" s="67"/>
      <c r="BB34" s="67"/>
      <c r="BC34" s="67"/>
      <c r="BD34" s="68"/>
    </row>
    <row r="35" spans="1:57" ht="14.4" customHeight="1">
      <c r="A35" s="70">
        <f>IF(B35="","",COUNTA($B$8:B35))</f>
        <v>27</v>
      </c>
      <c r="B35" s="19" t="s">
        <v>716</v>
      </c>
      <c r="C35" s="20"/>
      <c r="D35" s="20"/>
      <c r="E35" s="20"/>
      <c r="F35" s="20"/>
      <c r="G35" s="20"/>
      <c r="H35" s="24"/>
      <c r="I35" s="34" t="s">
        <v>1461</v>
      </c>
      <c r="J35" s="23"/>
      <c r="K35" s="23"/>
      <c r="L35" s="23"/>
      <c r="M35" s="23"/>
      <c r="N35" s="23"/>
      <c r="O35" s="23"/>
      <c r="P35" s="23"/>
      <c r="Q35" s="37"/>
      <c r="R35" s="19" t="s">
        <v>716</v>
      </c>
      <c r="S35" s="23"/>
      <c r="T35" s="23"/>
      <c r="U35" s="23"/>
      <c r="V35" s="23"/>
      <c r="W35" s="23"/>
      <c r="X35" s="37"/>
      <c r="Y35" s="440" t="s">
        <v>150</v>
      </c>
      <c r="Z35" s="441"/>
      <c r="AA35" s="442" t="s">
        <v>151</v>
      </c>
      <c r="AB35" s="443"/>
      <c r="AC35" s="444"/>
      <c r="AD35" s="27">
        <v>4</v>
      </c>
      <c r="AE35" s="29"/>
      <c r="AF35" s="29"/>
      <c r="AG35" s="29"/>
      <c r="AH35" s="28"/>
      <c r="AI35" s="28"/>
      <c r="AJ35" s="28"/>
      <c r="AK35" s="28"/>
      <c r="AL35" s="28"/>
      <c r="AM35" s="28"/>
      <c r="AN35" s="28"/>
      <c r="AO35" s="29"/>
      <c r="AP35" s="29"/>
      <c r="AQ35" s="29"/>
      <c r="AR35" s="29"/>
      <c r="AS35" s="131" t="s">
        <v>1460</v>
      </c>
      <c r="AT35" s="67"/>
      <c r="AU35" s="67"/>
      <c r="AV35" s="67"/>
      <c r="AW35" s="67"/>
      <c r="AX35" s="67"/>
      <c r="AY35" s="67"/>
      <c r="AZ35" s="67"/>
      <c r="BA35" s="67"/>
      <c r="BB35" s="67"/>
      <c r="BC35" s="67"/>
      <c r="BD35" s="68"/>
      <c r="BE35" s="18" t="s">
        <v>1464</v>
      </c>
    </row>
    <row r="36" spans="1:57" ht="14.4" customHeight="1">
      <c r="A36" s="70">
        <f>IF(B36="","",COUNTA($B$8:B36))</f>
        <v>28</v>
      </c>
      <c r="B36" s="22" t="s">
        <v>318</v>
      </c>
      <c r="C36" s="20"/>
      <c r="D36" s="20"/>
      <c r="E36" s="20"/>
      <c r="F36" s="20"/>
      <c r="G36" s="20"/>
      <c r="H36" s="24"/>
      <c r="I36" s="34" t="s">
        <v>319</v>
      </c>
      <c r="J36" s="23"/>
      <c r="K36" s="23"/>
      <c r="L36" s="23"/>
      <c r="M36" s="23"/>
      <c r="N36" s="23"/>
      <c r="O36" s="23"/>
      <c r="P36" s="23"/>
      <c r="Q36" s="37"/>
      <c r="R36" s="22" t="s">
        <v>318</v>
      </c>
      <c r="S36" s="23"/>
      <c r="T36" s="23"/>
      <c r="U36" s="23"/>
      <c r="V36" s="23"/>
      <c r="W36" s="23"/>
      <c r="X36" s="24"/>
      <c r="Y36" s="440" t="s">
        <v>155</v>
      </c>
      <c r="Z36" s="441"/>
      <c r="AA36" s="442" t="s">
        <v>156</v>
      </c>
      <c r="AB36" s="443"/>
      <c r="AC36" s="444"/>
      <c r="AD36" s="27">
        <v>5</v>
      </c>
      <c r="AE36" s="29"/>
      <c r="AF36" s="29"/>
      <c r="AG36" s="29"/>
      <c r="AH36" s="28"/>
      <c r="AI36" s="28"/>
      <c r="AJ36" s="28"/>
      <c r="AK36" s="28"/>
      <c r="AL36" s="28"/>
      <c r="AM36" s="28"/>
      <c r="AN36" s="28"/>
      <c r="AO36" s="29"/>
      <c r="AP36" s="29"/>
      <c r="AQ36" s="29"/>
      <c r="AR36" s="29"/>
      <c r="AS36" s="131"/>
      <c r="AT36" s="67"/>
      <c r="AU36" s="67"/>
      <c r="AV36" s="67"/>
      <c r="AW36" s="67"/>
      <c r="AX36" s="67"/>
      <c r="AY36" s="67"/>
      <c r="AZ36" s="67"/>
      <c r="BA36" s="67"/>
      <c r="BB36" s="67"/>
      <c r="BC36" s="67"/>
      <c r="BD36" s="68"/>
    </row>
    <row r="37" spans="1:57" ht="14.4" customHeight="1">
      <c r="A37" s="70">
        <f>IF(B37="","",COUNTA($B$8:B37))</f>
        <v>29</v>
      </c>
      <c r="B37" s="22" t="s">
        <v>211</v>
      </c>
      <c r="C37" s="20"/>
      <c r="D37" s="20"/>
      <c r="E37" s="20"/>
      <c r="F37" s="20"/>
      <c r="G37" s="20"/>
      <c r="H37" s="24"/>
      <c r="I37" s="34" t="s">
        <v>212</v>
      </c>
      <c r="J37" s="23"/>
      <c r="K37" s="23"/>
      <c r="L37" s="23"/>
      <c r="M37" s="23"/>
      <c r="N37" s="23"/>
      <c r="O37" s="23"/>
      <c r="P37" s="23"/>
      <c r="Q37" s="37"/>
      <c r="R37" s="22" t="s">
        <v>213</v>
      </c>
      <c r="S37" s="23"/>
      <c r="T37" s="23"/>
      <c r="U37" s="23"/>
      <c r="V37" s="23"/>
      <c r="W37" s="23"/>
      <c r="X37" s="24"/>
      <c r="Y37" s="440" t="s">
        <v>155</v>
      </c>
      <c r="Z37" s="441"/>
      <c r="AA37" s="442" t="s">
        <v>156</v>
      </c>
      <c r="AB37" s="443"/>
      <c r="AC37" s="444"/>
      <c r="AD37" s="27">
        <v>5</v>
      </c>
      <c r="AE37" s="29"/>
      <c r="AF37" s="29"/>
      <c r="AG37" s="29"/>
      <c r="AH37" s="28"/>
      <c r="AI37" s="28"/>
      <c r="AJ37" s="28"/>
      <c r="AK37" s="28"/>
      <c r="AL37" s="28"/>
      <c r="AM37" s="28"/>
      <c r="AN37" s="28"/>
      <c r="AO37" s="29"/>
      <c r="AP37" s="29"/>
      <c r="AQ37" s="29"/>
      <c r="AR37" s="29"/>
      <c r="AS37" s="131"/>
      <c r="AT37" s="67"/>
      <c r="AU37" s="67"/>
      <c r="AV37" s="67"/>
      <c r="AW37" s="67"/>
      <c r="AX37" s="67"/>
      <c r="AY37" s="67"/>
      <c r="AZ37" s="67"/>
      <c r="BA37" s="67"/>
      <c r="BB37" s="67"/>
      <c r="BC37" s="67"/>
      <c r="BD37" s="68"/>
    </row>
    <row r="38" spans="1:57" ht="14.4" customHeight="1">
      <c r="A38" s="70">
        <f>IF(B38="","",COUNTA($B$8:B38))</f>
        <v>30</v>
      </c>
      <c r="B38" s="22" t="s">
        <v>320</v>
      </c>
      <c r="C38" s="20"/>
      <c r="D38" s="20"/>
      <c r="E38" s="20"/>
      <c r="F38" s="20"/>
      <c r="G38" s="20"/>
      <c r="H38" s="24"/>
      <c r="I38" s="34" t="s">
        <v>321</v>
      </c>
      <c r="J38" s="23"/>
      <c r="K38" s="23"/>
      <c r="L38" s="23"/>
      <c r="M38" s="23"/>
      <c r="N38" s="23"/>
      <c r="O38" s="23"/>
      <c r="P38" s="23"/>
      <c r="Q38" s="37"/>
      <c r="R38" s="22" t="s">
        <v>322</v>
      </c>
      <c r="S38" s="23"/>
      <c r="T38" s="23"/>
      <c r="U38" s="23"/>
      <c r="V38" s="23"/>
      <c r="W38" s="23"/>
      <c r="X38" s="24"/>
      <c r="Y38" s="440" t="s">
        <v>155</v>
      </c>
      <c r="Z38" s="441"/>
      <c r="AA38" s="442" t="s">
        <v>156</v>
      </c>
      <c r="AB38" s="443"/>
      <c r="AC38" s="444"/>
      <c r="AD38" s="27">
        <v>5</v>
      </c>
      <c r="AE38" s="29"/>
      <c r="AF38" s="29"/>
      <c r="AG38" s="29"/>
      <c r="AH38" s="28"/>
      <c r="AI38" s="28"/>
      <c r="AJ38" s="28"/>
      <c r="AK38" s="28"/>
      <c r="AL38" s="28"/>
      <c r="AM38" s="28"/>
      <c r="AN38" s="28"/>
      <c r="AO38" s="29"/>
      <c r="AP38" s="29"/>
      <c r="AQ38" s="29"/>
      <c r="AR38" s="29"/>
      <c r="AS38" s="131"/>
      <c r="AT38" s="67"/>
      <c r="AU38" s="67"/>
      <c r="AV38" s="67"/>
      <c r="AW38" s="67"/>
      <c r="AX38" s="67"/>
      <c r="AY38" s="67"/>
      <c r="AZ38" s="67"/>
      <c r="BA38" s="67"/>
      <c r="BB38" s="67"/>
      <c r="BC38" s="67"/>
      <c r="BD38" s="68"/>
    </row>
    <row r="39" spans="1:57" ht="14.4" customHeight="1">
      <c r="A39" s="70">
        <f>IF(B39="","",COUNTA($B$8:B39))</f>
        <v>31</v>
      </c>
      <c r="B39" s="19" t="s">
        <v>228</v>
      </c>
      <c r="C39" s="20"/>
      <c r="D39" s="20"/>
      <c r="E39" s="20"/>
      <c r="F39" s="20"/>
      <c r="G39" s="20"/>
      <c r="H39" s="24"/>
      <c r="I39" s="34" t="s">
        <v>229</v>
      </c>
      <c r="J39" s="23"/>
      <c r="K39" s="23"/>
      <c r="L39" s="23"/>
      <c r="M39" s="23"/>
      <c r="N39" s="23"/>
      <c r="O39" s="23"/>
      <c r="P39" s="23"/>
      <c r="Q39" s="37"/>
      <c r="R39" s="19" t="s">
        <v>228</v>
      </c>
      <c r="S39" s="23"/>
      <c r="T39" s="23"/>
      <c r="U39" s="23"/>
      <c r="V39" s="23"/>
      <c r="W39" s="23"/>
      <c r="X39" s="24"/>
      <c r="Y39" s="440" t="s">
        <v>150</v>
      </c>
      <c r="Z39" s="441"/>
      <c r="AA39" s="442" t="s">
        <v>151</v>
      </c>
      <c r="AB39" s="443"/>
      <c r="AC39" s="444"/>
      <c r="AD39" s="27">
        <v>1000</v>
      </c>
      <c r="AE39" s="29"/>
      <c r="AF39" s="29"/>
      <c r="AG39" s="29"/>
      <c r="AH39" s="28"/>
      <c r="AI39" s="28"/>
      <c r="AJ39" s="28"/>
      <c r="AK39" s="28"/>
      <c r="AL39" s="28"/>
      <c r="AM39" s="28"/>
      <c r="AN39" s="28"/>
      <c r="AO39" s="29"/>
      <c r="AP39" s="29"/>
      <c r="AQ39" s="29"/>
      <c r="AR39" s="29"/>
      <c r="AS39" s="131"/>
      <c r="AT39" s="67"/>
      <c r="AU39" s="67"/>
      <c r="AV39" s="67"/>
      <c r="AW39" s="67"/>
      <c r="AX39" s="67"/>
      <c r="AY39" s="67"/>
      <c r="AZ39" s="67"/>
      <c r="BA39" s="67"/>
      <c r="BB39" s="67"/>
      <c r="BC39" s="67"/>
      <c r="BD39" s="68"/>
    </row>
    <row r="40" spans="1:57" ht="14.4" customHeight="1">
      <c r="A40" s="70">
        <f>IF(B40="","",COUNTA($B$8:B40))</f>
        <v>32</v>
      </c>
      <c r="B40" s="19" t="s">
        <v>323</v>
      </c>
      <c r="C40" s="20"/>
      <c r="D40" s="20"/>
      <c r="E40" s="20"/>
      <c r="F40" s="20"/>
      <c r="G40" s="20"/>
      <c r="H40" s="24"/>
      <c r="I40" s="34" t="s">
        <v>324</v>
      </c>
      <c r="J40" s="23"/>
      <c r="K40" s="23"/>
      <c r="L40" s="23"/>
      <c r="M40" s="23"/>
      <c r="N40" s="23"/>
      <c r="O40" s="23"/>
      <c r="P40" s="23"/>
      <c r="Q40" s="37"/>
      <c r="R40" s="19" t="s">
        <v>323</v>
      </c>
      <c r="S40" s="23"/>
      <c r="T40" s="23"/>
      <c r="U40" s="23"/>
      <c r="V40" s="23"/>
      <c r="W40" s="23"/>
      <c r="X40" s="24"/>
      <c r="Y40" s="440" t="s">
        <v>150</v>
      </c>
      <c r="Z40" s="441"/>
      <c r="AA40" s="442" t="s">
        <v>151</v>
      </c>
      <c r="AB40" s="443"/>
      <c r="AC40" s="444"/>
      <c r="AD40" s="27">
        <v>5</v>
      </c>
      <c r="AE40" s="29"/>
      <c r="AF40" s="29"/>
      <c r="AG40" s="29"/>
      <c r="AH40" s="28"/>
      <c r="AI40" s="28"/>
      <c r="AJ40" s="28"/>
      <c r="AK40" s="28"/>
      <c r="AL40" s="28"/>
      <c r="AM40" s="28"/>
      <c r="AN40" s="28"/>
      <c r="AO40" s="29"/>
      <c r="AP40" s="29"/>
      <c r="AQ40" s="29"/>
      <c r="AR40" s="29"/>
      <c r="AS40" s="131"/>
      <c r="AT40" s="67"/>
      <c r="AU40" s="67"/>
      <c r="AV40" s="67"/>
      <c r="AW40" s="67"/>
      <c r="AX40" s="67"/>
      <c r="AY40" s="67"/>
      <c r="AZ40" s="67"/>
      <c r="BA40" s="67"/>
      <c r="BB40" s="67"/>
      <c r="BC40" s="67"/>
      <c r="BD40" s="68"/>
    </row>
    <row r="41" spans="1:57" ht="14.4" customHeight="1">
      <c r="A41" s="70">
        <f>IF(B41="","",COUNTA($B$8:B41))</f>
        <v>33</v>
      </c>
      <c r="B41" s="19" t="s">
        <v>325</v>
      </c>
      <c r="C41" s="20"/>
      <c r="D41" s="20"/>
      <c r="E41" s="20"/>
      <c r="F41" s="20"/>
      <c r="G41" s="20"/>
      <c r="H41" s="24"/>
      <c r="I41" s="34" t="s">
        <v>326</v>
      </c>
      <c r="J41" s="23"/>
      <c r="K41" s="23"/>
      <c r="L41" s="23"/>
      <c r="M41" s="23"/>
      <c r="N41" s="23"/>
      <c r="O41" s="23"/>
      <c r="P41" s="23"/>
      <c r="Q41" s="37"/>
      <c r="R41" s="19" t="s">
        <v>325</v>
      </c>
      <c r="S41" s="23"/>
      <c r="T41" s="23"/>
      <c r="U41" s="23"/>
      <c r="V41" s="23"/>
      <c r="W41" s="23"/>
      <c r="X41" s="24"/>
      <c r="Y41" s="440" t="s">
        <v>150</v>
      </c>
      <c r="Z41" s="441"/>
      <c r="AA41" s="442" t="s">
        <v>151</v>
      </c>
      <c r="AB41" s="443"/>
      <c r="AC41" s="444"/>
      <c r="AD41" s="27">
        <v>20</v>
      </c>
      <c r="AE41" s="29"/>
      <c r="AF41" s="29"/>
      <c r="AG41" s="29"/>
      <c r="AH41" s="28"/>
      <c r="AI41" s="28"/>
      <c r="AJ41" s="28"/>
      <c r="AK41" s="28"/>
      <c r="AL41" s="28"/>
      <c r="AM41" s="28"/>
      <c r="AN41" s="28"/>
      <c r="AO41" s="29"/>
      <c r="AP41" s="29"/>
      <c r="AQ41" s="29"/>
      <c r="AR41" s="29"/>
      <c r="AS41" s="131"/>
      <c r="AT41" s="67"/>
      <c r="AU41" s="67"/>
      <c r="AV41" s="67"/>
      <c r="AW41" s="67"/>
      <c r="AX41" s="67"/>
      <c r="AY41" s="67"/>
      <c r="AZ41" s="67"/>
      <c r="BA41" s="67"/>
      <c r="BB41" s="67"/>
      <c r="BC41" s="67"/>
      <c r="BD41" s="68"/>
    </row>
    <row r="42" spans="1:57" ht="14.4" customHeight="1">
      <c r="A42" s="70">
        <f>IF(B42="","",COUNTA($B$8:B42))</f>
        <v>34</v>
      </c>
      <c r="B42" s="19" t="s">
        <v>327</v>
      </c>
      <c r="C42" s="20"/>
      <c r="D42" s="20"/>
      <c r="E42" s="20"/>
      <c r="F42" s="20"/>
      <c r="G42" s="20"/>
      <c r="H42" s="24"/>
      <c r="I42" s="34" t="s">
        <v>328</v>
      </c>
      <c r="J42" s="23"/>
      <c r="K42" s="23"/>
      <c r="L42" s="23"/>
      <c r="M42" s="23"/>
      <c r="N42" s="23"/>
      <c r="O42" s="23"/>
      <c r="P42" s="23"/>
      <c r="Q42" s="37"/>
      <c r="R42" s="19" t="s">
        <v>327</v>
      </c>
      <c r="S42" s="23"/>
      <c r="T42" s="23"/>
      <c r="U42" s="23"/>
      <c r="V42" s="23"/>
      <c r="W42" s="23"/>
      <c r="X42" s="24"/>
      <c r="Y42" s="440" t="s">
        <v>150</v>
      </c>
      <c r="Z42" s="441"/>
      <c r="AA42" s="442" t="s">
        <v>151</v>
      </c>
      <c r="AB42" s="443"/>
      <c r="AC42" s="444"/>
      <c r="AD42" s="27">
        <v>30</v>
      </c>
      <c r="AE42" s="29"/>
      <c r="AF42" s="29"/>
      <c r="AG42" s="29"/>
      <c r="AH42" s="28"/>
      <c r="AI42" s="28"/>
      <c r="AJ42" s="28"/>
      <c r="AK42" s="28"/>
      <c r="AL42" s="28"/>
      <c r="AM42" s="28"/>
      <c r="AN42" s="28"/>
      <c r="AO42" s="29"/>
      <c r="AP42" s="29"/>
      <c r="AQ42" s="29"/>
      <c r="AR42" s="29"/>
      <c r="AS42" s="131"/>
      <c r="AT42" s="67"/>
      <c r="AU42" s="67"/>
      <c r="AV42" s="67"/>
      <c r="AW42" s="67"/>
      <c r="AX42" s="67"/>
      <c r="AY42" s="67"/>
      <c r="AZ42" s="67"/>
      <c r="BA42" s="67"/>
      <c r="BB42" s="67"/>
      <c r="BC42" s="67"/>
      <c r="BD42" s="68"/>
    </row>
    <row r="43" spans="1:57" ht="14.4" customHeight="1">
      <c r="A43" s="70">
        <f>IF(B43="","",COUNTA($B$8:B43))</f>
        <v>35</v>
      </c>
      <c r="B43" s="22" t="s">
        <v>329</v>
      </c>
      <c r="C43" s="20"/>
      <c r="D43" s="20"/>
      <c r="E43" s="20"/>
      <c r="F43" s="20"/>
      <c r="G43" s="20"/>
      <c r="H43" s="24"/>
      <c r="I43" s="34" t="s">
        <v>330</v>
      </c>
      <c r="J43" s="23"/>
      <c r="K43" s="23"/>
      <c r="L43" s="23"/>
      <c r="M43" s="23"/>
      <c r="N43" s="23"/>
      <c r="O43" s="23"/>
      <c r="P43" s="23"/>
      <c r="Q43" s="37"/>
      <c r="R43" s="22" t="s">
        <v>329</v>
      </c>
      <c r="S43" s="23"/>
      <c r="T43" s="23"/>
      <c r="U43" s="23"/>
      <c r="V43" s="23"/>
      <c r="W43" s="23"/>
      <c r="X43" s="24"/>
      <c r="Y43" s="440" t="s">
        <v>155</v>
      </c>
      <c r="Z43" s="441"/>
      <c r="AA43" s="442" t="s">
        <v>156</v>
      </c>
      <c r="AB43" s="443"/>
      <c r="AC43" s="444"/>
      <c r="AD43" s="27">
        <v>5</v>
      </c>
      <c r="AE43" s="29">
        <v>2</v>
      </c>
      <c r="AF43" s="29"/>
      <c r="AG43" s="29"/>
      <c r="AH43" s="28"/>
      <c r="AI43" s="28"/>
      <c r="AJ43" s="28"/>
      <c r="AK43" s="28"/>
      <c r="AL43" s="28"/>
      <c r="AM43" s="28"/>
      <c r="AN43" s="28"/>
      <c r="AO43" s="29"/>
      <c r="AP43" s="29"/>
      <c r="AQ43" s="29"/>
      <c r="AR43" s="29"/>
      <c r="AS43" s="131"/>
      <c r="AT43" s="67"/>
      <c r="AU43" s="67"/>
      <c r="AV43" s="67"/>
      <c r="AW43" s="67"/>
      <c r="AX43" s="67"/>
      <c r="AY43" s="67"/>
      <c r="AZ43" s="67"/>
      <c r="BA43" s="67"/>
      <c r="BB43" s="67"/>
      <c r="BC43" s="67"/>
      <c r="BD43" s="68"/>
    </row>
    <row r="44" spans="1:57" ht="14.4" customHeight="1">
      <c r="A44" s="70">
        <f>IF(B44="","",COUNTA($B$8:B44))</f>
        <v>36</v>
      </c>
      <c r="B44" s="22" t="s">
        <v>331</v>
      </c>
      <c r="C44" s="26"/>
      <c r="D44" s="26"/>
      <c r="E44" s="26"/>
      <c r="F44" s="26"/>
      <c r="G44" s="26"/>
      <c r="H44" s="39"/>
      <c r="I44" s="34" t="s">
        <v>332</v>
      </c>
      <c r="J44" s="23"/>
      <c r="K44" s="23"/>
      <c r="L44" s="23"/>
      <c r="M44" s="23"/>
      <c r="N44" s="23"/>
      <c r="O44" s="23"/>
      <c r="P44" s="23"/>
      <c r="Q44" s="37"/>
      <c r="R44" s="22" t="s">
        <v>331</v>
      </c>
      <c r="S44" s="23"/>
      <c r="T44" s="23"/>
      <c r="U44" s="23"/>
      <c r="V44" s="23"/>
      <c r="W44" s="23"/>
      <c r="X44" s="24"/>
      <c r="Y44" s="440" t="s">
        <v>155</v>
      </c>
      <c r="Z44" s="441"/>
      <c r="AA44" s="442" t="s">
        <v>156</v>
      </c>
      <c r="AB44" s="443"/>
      <c r="AC44" s="444"/>
      <c r="AD44" s="27">
        <v>4</v>
      </c>
      <c r="AE44" s="29"/>
      <c r="AF44" s="29"/>
      <c r="AG44" s="29"/>
      <c r="AH44" s="28"/>
      <c r="AI44" s="28"/>
      <c r="AJ44" s="28"/>
      <c r="AK44" s="28"/>
      <c r="AL44" s="28"/>
      <c r="AM44" s="28"/>
      <c r="AN44" s="28"/>
      <c r="AO44" s="29"/>
      <c r="AP44" s="29"/>
      <c r="AQ44" s="29"/>
      <c r="AR44" s="29"/>
      <c r="AS44" s="131"/>
      <c r="AT44" s="67"/>
      <c r="AU44" s="67"/>
      <c r="AV44" s="67"/>
      <c r="AW44" s="67"/>
      <c r="AX44" s="67"/>
      <c r="AY44" s="67"/>
      <c r="AZ44" s="67"/>
      <c r="BA44" s="67"/>
      <c r="BB44" s="67"/>
      <c r="BC44" s="67"/>
      <c r="BD44" s="68"/>
    </row>
    <row r="45" spans="1:57" ht="14.4" customHeight="1">
      <c r="A45" s="70">
        <f>IF(B45="","",COUNTA($B$8:B45))</f>
        <v>37</v>
      </c>
      <c r="B45" s="22" t="s">
        <v>333</v>
      </c>
      <c r="C45" s="26"/>
      <c r="D45" s="26"/>
      <c r="E45" s="26"/>
      <c r="F45" s="26"/>
      <c r="G45" s="26"/>
      <c r="H45" s="39"/>
      <c r="I45" s="34" t="s">
        <v>334</v>
      </c>
      <c r="J45" s="23"/>
      <c r="K45" s="23"/>
      <c r="L45" s="23"/>
      <c r="M45" s="23"/>
      <c r="N45" s="23"/>
      <c r="O45" s="23"/>
      <c r="P45" s="23"/>
      <c r="Q45" s="37"/>
      <c r="R45" s="22" t="s">
        <v>333</v>
      </c>
      <c r="S45" s="23"/>
      <c r="T45" s="23"/>
      <c r="U45" s="23"/>
      <c r="V45" s="23"/>
      <c r="W45" s="23"/>
      <c r="X45" s="24"/>
      <c r="Y45" s="440" t="s">
        <v>155</v>
      </c>
      <c r="Z45" s="441"/>
      <c r="AA45" s="442" t="s">
        <v>156</v>
      </c>
      <c r="AB45" s="443"/>
      <c r="AC45" s="444"/>
      <c r="AD45" s="27">
        <v>5</v>
      </c>
      <c r="AE45" s="29"/>
      <c r="AF45" s="29"/>
      <c r="AG45" s="29"/>
      <c r="AH45" s="28"/>
      <c r="AI45" s="28"/>
      <c r="AJ45" s="28"/>
      <c r="AK45" s="28"/>
      <c r="AL45" s="28"/>
      <c r="AM45" s="28"/>
      <c r="AN45" s="28"/>
      <c r="AO45" s="29"/>
      <c r="AP45" s="29"/>
      <c r="AQ45" s="29"/>
      <c r="AR45" s="29"/>
      <c r="AS45" s="131"/>
      <c r="AT45" s="67"/>
      <c r="AU45" s="67"/>
      <c r="AV45" s="67"/>
      <c r="AW45" s="67"/>
      <c r="AX45" s="67"/>
      <c r="AY45" s="67"/>
      <c r="AZ45" s="67"/>
      <c r="BA45" s="67"/>
      <c r="BB45" s="67"/>
      <c r="BC45" s="67"/>
      <c r="BD45" s="68"/>
    </row>
    <row r="46" spans="1:57" ht="14.4" customHeight="1">
      <c r="A46" s="70">
        <f>IF(B46="","",COUNTA($B$8:B46))</f>
        <v>38</v>
      </c>
      <c r="B46" s="22" t="s">
        <v>335</v>
      </c>
      <c r="C46" s="20"/>
      <c r="D46" s="20"/>
      <c r="E46" s="20"/>
      <c r="F46" s="20"/>
      <c r="G46" s="20"/>
      <c r="H46" s="24"/>
      <c r="I46" s="34" t="s">
        <v>336</v>
      </c>
      <c r="J46" s="23"/>
      <c r="K46" s="23"/>
      <c r="L46" s="23"/>
      <c r="M46" s="23"/>
      <c r="N46" s="23"/>
      <c r="O46" s="23"/>
      <c r="P46" s="23"/>
      <c r="Q46" s="37"/>
      <c r="R46" s="22" t="s">
        <v>335</v>
      </c>
      <c r="S46" s="23"/>
      <c r="T46" s="23"/>
      <c r="U46" s="23"/>
      <c r="V46" s="23"/>
      <c r="W46" s="23"/>
      <c r="X46" s="24"/>
      <c r="Y46" s="440" t="s">
        <v>155</v>
      </c>
      <c r="Z46" s="441"/>
      <c r="AA46" s="442" t="s">
        <v>156</v>
      </c>
      <c r="AB46" s="443"/>
      <c r="AC46" s="444"/>
      <c r="AD46" s="27">
        <v>5</v>
      </c>
      <c r="AE46" s="29"/>
      <c r="AF46" s="29"/>
      <c r="AG46" s="29"/>
      <c r="AH46" s="28"/>
      <c r="AI46" s="28"/>
      <c r="AJ46" s="28"/>
      <c r="AK46" s="28"/>
      <c r="AL46" s="28"/>
      <c r="AM46" s="28"/>
      <c r="AN46" s="28"/>
      <c r="AO46" s="29"/>
      <c r="AP46" s="29"/>
      <c r="AQ46" s="29"/>
      <c r="AR46" s="29"/>
      <c r="AS46" s="131"/>
      <c r="AT46" s="67"/>
      <c r="AU46" s="67"/>
      <c r="AV46" s="67"/>
      <c r="AW46" s="67"/>
      <c r="AX46" s="67"/>
      <c r="AY46" s="67"/>
      <c r="AZ46" s="67"/>
      <c r="BA46" s="67"/>
      <c r="BB46" s="67"/>
      <c r="BC46" s="67"/>
      <c r="BD46" s="68"/>
    </row>
    <row r="47" spans="1:57" ht="14.4" customHeight="1">
      <c r="A47" s="70">
        <f>IF(B47="","",COUNTA($B$8:B47))</f>
        <v>39</v>
      </c>
      <c r="B47" s="19" t="s">
        <v>337</v>
      </c>
      <c r="C47" s="20"/>
      <c r="D47" s="20"/>
      <c r="E47" s="20"/>
      <c r="F47" s="20"/>
      <c r="G47" s="20"/>
      <c r="H47" s="24"/>
      <c r="I47" s="34" t="s">
        <v>338</v>
      </c>
      <c r="J47" s="23"/>
      <c r="K47" s="23"/>
      <c r="L47" s="23"/>
      <c r="M47" s="23"/>
      <c r="N47" s="23"/>
      <c r="O47" s="23"/>
      <c r="P47" s="23"/>
      <c r="Q47" s="37"/>
      <c r="R47" s="19" t="s">
        <v>337</v>
      </c>
      <c r="S47" s="23"/>
      <c r="T47" s="23"/>
      <c r="U47" s="23"/>
      <c r="V47" s="23"/>
      <c r="W47" s="23"/>
      <c r="X47" s="24"/>
      <c r="Y47" s="440" t="s">
        <v>150</v>
      </c>
      <c r="Z47" s="441"/>
      <c r="AA47" s="442" t="s">
        <v>151</v>
      </c>
      <c r="AB47" s="443"/>
      <c r="AC47" s="444"/>
      <c r="AD47" s="27">
        <v>1000</v>
      </c>
      <c r="AE47" s="29"/>
      <c r="AF47" s="29"/>
      <c r="AG47" s="29"/>
      <c r="AH47" s="28"/>
      <c r="AI47" s="28"/>
      <c r="AJ47" s="28"/>
      <c r="AK47" s="28"/>
      <c r="AL47" s="28"/>
      <c r="AM47" s="28"/>
      <c r="AN47" s="28"/>
      <c r="AO47" s="29"/>
      <c r="AP47" s="29"/>
      <c r="AQ47" s="29"/>
      <c r="AR47" s="29"/>
      <c r="AS47" s="131"/>
      <c r="AT47" s="67"/>
      <c r="AU47" s="67"/>
      <c r="AV47" s="67"/>
      <c r="AW47" s="67"/>
      <c r="AX47" s="67"/>
      <c r="AY47" s="67"/>
      <c r="AZ47" s="67"/>
      <c r="BA47" s="67"/>
      <c r="BB47" s="67"/>
      <c r="BC47" s="67"/>
      <c r="BD47" s="68"/>
    </row>
    <row r="48" spans="1:57" ht="14.4" customHeight="1">
      <c r="A48" s="70">
        <f>IF(B48="","",COUNTA($B$8:B48))</f>
        <v>40</v>
      </c>
      <c r="B48" s="19" t="s">
        <v>339</v>
      </c>
      <c r="C48" s="20"/>
      <c r="D48" s="20"/>
      <c r="E48" s="20"/>
      <c r="F48" s="20"/>
      <c r="G48" s="20"/>
      <c r="H48" s="24"/>
      <c r="I48" s="34" t="s">
        <v>340</v>
      </c>
      <c r="J48" s="23"/>
      <c r="K48" s="23"/>
      <c r="L48" s="23"/>
      <c r="M48" s="23"/>
      <c r="N48" s="23"/>
      <c r="O48" s="23"/>
      <c r="P48" s="23"/>
      <c r="Q48" s="37"/>
      <c r="R48" s="19" t="s">
        <v>339</v>
      </c>
      <c r="S48" s="23"/>
      <c r="T48" s="23"/>
      <c r="U48" s="23"/>
      <c r="V48" s="23"/>
      <c r="W48" s="23"/>
      <c r="X48" s="24"/>
      <c r="Y48" s="440" t="s">
        <v>150</v>
      </c>
      <c r="Z48" s="441"/>
      <c r="AA48" s="442" t="s">
        <v>151</v>
      </c>
      <c r="AB48" s="443"/>
      <c r="AC48" s="444"/>
      <c r="AD48" s="27">
        <v>100</v>
      </c>
      <c r="AE48" s="29"/>
      <c r="AF48" s="29"/>
      <c r="AG48" s="29"/>
      <c r="AH48" s="28"/>
      <c r="AI48" s="28"/>
      <c r="AJ48" s="28"/>
      <c r="AK48" s="28"/>
      <c r="AL48" s="28"/>
      <c r="AM48" s="28"/>
      <c r="AN48" s="28"/>
      <c r="AO48" s="29"/>
      <c r="AP48" s="29"/>
      <c r="AQ48" s="29"/>
      <c r="AR48" s="29"/>
      <c r="AS48" s="131"/>
      <c r="AT48" s="67"/>
      <c r="AU48" s="67"/>
      <c r="AV48" s="67"/>
      <c r="AW48" s="67"/>
      <c r="AX48" s="67"/>
      <c r="AY48" s="67"/>
      <c r="AZ48" s="67"/>
      <c r="BA48" s="67"/>
      <c r="BB48" s="67"/>
      <c r="BC48" s="67"/>
      <c r="BD48" s="68"/>
    </row>
    <row r="49" spans="1:56" ht="14.4" customHeight="1">
      <c r="A49" s="70">
        <f>IF(B49="","",COUNTA($B$8:B49))</f>
        <v>41</v>
      </c>
      <c r="B49" s="22" t="s">
        <v>296</v>
      </c>
      <c r="C49" s="20"/>
      <c r="D49" s="20"/>
      <c r="E49" s="20"/>
      <c r="F49" s="20"/>
      <c r="G49" s="20"/>
      <c r="H49" s="24"/>
      <c r="I49" s="34" t="s">
        <v>297</v>
      </c>
      <c r="J49" s="23"/>
      <c r="K49" s="23"/>
      <c r="L49" s="23"/>
      <c r="M49" s="23"/>
      <c r="N49" s="23"/>
      <c r="O49" s="23"/>
      <c r="P49" s="23"/>
      <c r="Q49" s="37"/>
      <c r="R49" s="22" t="s">
        <v>296</v>
      </c>
      <c r="S49" s="23"/>
      <c r="T49" s="23"/>
      <c r="U49" s="23"/>
      <c r="V49" s="23"/>
      <c r="W49" s="23"/>
      <c r="X49" s="24"/>
      <c r="Y49" s="440" t="s">
        <v>155</v>
      </c>
      <c r="Z49" s="441"/>
      <c r="AA49" s="442" t="s">
        <v>156</v>
      </c>
      <c r="AB49" s="443"/>
      <c r="AC49" s="444"/>
      <c r="AD49" s="27">
        <v>5</v>
      </c>
      <c r="AE49" s="29"/>
      <c r="AF49" s="29"/>
      <c r="AG49" s="29"/>
      <c r="AH49" s="28"/>
      <c r="AI49" s="28"/>
      <c r="AJ49" s="28"/>
      <c r="AK49" s="28"/>
      <c r="AL49" s="28"/>
      <c r="AM49" s="28"/>
      <c r="AN49" s="28"/>
      <c r="AO49" s="29"/>
      <c r="AP49" s="29"/>
      <c r="AQ49" s="29"/>
      <c r="AR49" s="29"/>
      <c r="AS49" s="131"/>
      <c r="AT49" s="67"/>
      <c r="AU49" s="67"/>
      <c r="AV49" s="67"/>
      <c r="AW49" s="67"/>
      <c r="AX49" s="67"/>
      <c r="AY49" s="67"/>
      <c r="AZ49" s="67"/>
      <c r="BA49" s="67"/>
      <c r="BB49" s="67"/>
      <c r="BC49" s="67"/>
      <c r="BD49" s="68"/>
    </row>
    <row r="50" spans="1:56" ht="14.4" customHeight="1">
      <c r="A50" s="70">
        <f>IF(B50="","",COUNTA($B$8:B50))</f>
        <v>42</v>
      </c>
      <c r="B50" s="19" t="s">
        <v>226</v>
      </c>
      <c r="C50" s="20"/>
      <c r="D50" s="20"/>
      <c r="E50" s="20"/>
      <c r="F50" s="20"/>
      <c r="G50" s="20"/>
      <c r="H50" s="24"/>
      <c r="I50" s="34" t="s">
        <v>227</v>
      </c>
      <c r="J50" s="23"/>
      <c r="K50" s="23"/>
      <c r="L50" s="23"/>
      <c r="M50" s="23"/>
      <c r="N50" s="23"/>
      <c r="O50" s="23"/>
      <c r="P50" s="23"/>
      <c r="Q50" s="37"/>
      <c r="R50" s="19" t="s">
        <v>226</v>
      </c>
      <c r="S50" s="23"/>
      <c r="T50" s="23"/>
      <c r="U50" s="23"/>
      <c r="V50" s="23"/>
      <c r="W50" s="23"/>
      <c r="X50" s="24"/>
      <c r="Y50" s="440" t="s">
        <v>150</v>
      </c>
      <c r="Z50" s="441"/>
      <c r="AA50" s="442" t="s">
        <v>151</v>
      </c>
      <c r="AB50" s="443"/>
      <c r="AC50" s="444"/>
      <c r="AD50" s="27">
        <v>3</v>
      </c>
      <c r="AE50" s="29"/>
      <c r="AF50" s="29"/>
      <c r="AG50" s="29"/>
      <c r="AH50" s="28"/>
      <c r="AI50" s="28"/>
      <c r="AJ50" s="28"/>
      <c r="AK50" s="28"/>
      <c r="AL50" s="28"/>
      <c r="AM50" s="28"/>
      <c r="AN50" s="28"/>
      <c r="AO50" s="29"/>
      <c r="AP50" s="29"/>
      <c r="AQ50" s="29"/>
      <c r="AR50" s="29"/>
      <c r="AS50" s="131"/>
      <c r="AT50" s="67"/>
      <c r="AU50" s="67"/>
      <c r="AV50" s="67"/>
      <c r="AW50" s="67"/>
      <c r="AX50" s="67"/>
      <c r="AY50" s="67"/>
      <c r="AZ50" s="67"/>
      <c r="BA50" s="67"/>
      <c r="BB50" s="67"/>
      <c r="BC50" s="67"/>
      <c r="BD50" s="68"/>
    </row>
    <row r="51" spans="1:56" ht="14.4" customHeight="1">
      <c r="A51" s="70">
        <f>IF(B51="","",COUNTA($B$8:B51))</f>
        <v>43</v>
      </c>
      <c r="B51" s="19" t="s">
        <v>341</v>
      </c>
      <c r="C51" s="20"/>
      <c r="D51" s="20"/>
      <c r="E51" s="20"/>
      <c r="F51" s="20"/>
      <c r="G51" s="20"/>
      <c r="H51" s="24"/>
      <c r="I51" s="34" t="s">
        <v>342</v>
      </c>
      <c r="J51" s="23"/>
      <c r="K51" s="23"/>
      <c r="L51" s="23"/>
      <c r="M51" s="23"/>
      <c r="N51" s="23"/>
      <c r="O51" s="23"/>
      <c r="P51" s="23"/>
      <c r="Q51" s="37"/>
      <c r="R51" s="19" t="s">
        <v>341</v>
      </c>
      <c r="S51" s="23"/>
      <c r="T51" s="23"/>
      <c r="U51" s="23"/>
      <c r="V51" s="23"/>
      <c r="W51" s="23"/>
      <c r="X51" s="24"/>
      <c r="Y51" s="440" t="s">
        <v>155</v>
      </c>
      <c r="Z51" s="441"/>
      <c r="AA51" s="442" t="s">
        <v>156</v>
      </c>
      <c r="AB51" s="443"/>
      <c r="AC51" s="444"/>
      <c r="AD51" s="27">
        <v>1</v>
      </c>
      <c r="AE51" s="29"/>
      <c r="AF51" s="29"/>
      <c r="AG51" s="29"/>
      <c r="AH51" s="28">
        <v>0</v>
      </c>
      <c r="AI51" s="28"/>
      <c r="AJ51" s="28"/>
      <c r="AK51" s="28"/>
      <c r="AL51" s="28"/>
      <c r="AM51" s="28"/>
      <c r="AN51" s="28"/>
      <c r="AO51" s="29"/>
      <c r="AP51" s="29"/>
      <c r="AQ51" s="29"/>
      <c r="AR51" s="29"/>
      <c r="AS51" s="131" t="s">
        <v>343</v>
      </c>
      <c r="AT51" s="67"/>
      <c r="AU51" s="67"/>
      <c r="AV51" s="67"/>
      <c r="AW51" s="67"/>
      <c r="AX51" s="67"/>
      <c r="AY51" s="67"/>
      <c r="AZ51" s="67"/>
      <c r="BA51" s="67"/>
      <c r="BB51" s="67"/>
      <c r="BC51" s="67"/>
      <c r="BD51" s="68"/>
    </row>
    <row r="52" spans="1:56" ht="14.4" customHeight="1">
      <c r="A52" s="70">
        <f>IF(B52="","",COUNTA($B$8:B52))</f>
        <v>44</v>
      </c>
      <c r="B52" s="19" t="s">
        <v>344</v>
      </c>
      <c r="C52" s="20"/>
      <c r="D52" s="20"/>
      <c r="E52" s="20"/>
      <c r="F52" s="20"/>
      <c r="G52" s="20"/>
      <c r="H52" s="24"/>
      <c r="I52" s="34" t="s">
        <v>345</v>
      </c>
      <c r="J52" s="23"/>
      <c r="K52" s="23"/>
      <c r="L52" s="23"/>
      <c r="M52" s="23"/>
      <c r="N52" s="23"/>
      <c r="O52" s="23"/>
      <c r="P52" s="23"/>
      <c r="Q52" s="37"/>
      <c r="R52" s="19" t="s">
        <v>344</v>
      </c>
      <c r="S52" s="23"/>
      <c r="T52" s="23"/>
      <c r="U52" s="23"/>
      <c r="V52" s="23"/>
      <c r="W52" s="23"/>
      <c r="X52" s="24"/>
      <c r="Y52" s="440" t="s">
        <v>155</v>
      </c>
      <c r="Z52" s="441"/>
      <c r="AA52" s="442" t="s">
        <v>156</v>
      </c>
      <c r="AB52" s="443"/>
      <c r="AC52" s="444"/>
      <c r="AD52" s="27">
        <v>1</v>
      </c>
      <c r="AE52" s="29"/>
      <c r="AF52" s="29"/>
      <c r="AG52" s="29"/>
      <c r="AH52" s="28">
        <v>0</v>
      </c>
      <c r="AI52" s="28"/>
      <c r="AJ52" s="28"/>
      <c r="AK52" s="28"/>
      <c r="AL52" s="28"/>
      <c r="AM52" s="28"/>
      <c r="AN52" s="28"/>
      <c r="AO52" s="29"/>
      <c r="AP52" s="29"/>
      <c r="AQ52" s="29"/>
      <c r="AR52" s="29"/>
      <c r="AS52" s="131" t="s">
        <v>343</v>
      </c>
      <c r="AT52" s="67"/>
      <c r="AU52" s="67"/>
      <c r="AV52" s="67"/>
      <c r="AW52" s="67"/>
      <c r="AX52" s="67"/>
      <c r="AY52" s="67"/>
      <c r="AZ52" s="67"/>
      <c r="BA52" s="67"/>
      <c r="BB52" s="67"/>
      <c r="BC52" s="67"/>
      <c r="BD52" s="68"/>
    </row>
    <row r="53" spans="1:56" ht="14.4" customHeight="1">
      <c r="A53" s="70">
        <f>IF(B53="","",COUNTA($B$8:B53))</f>
        <v>45</v>
      </c>
      <c r="B53" s="19" t="s">
        <v>230</v>
      </c>
      <c r="C53" s="20"/>
      <c r="D53" s="20"/>
      <c r="E53" s="20"/>
      <c r="F53" s="20"/>
      <c r="G53" s="20"/>
      <c r="H53" s="24"/>
      <c r="I53" s="34" t="s">
        <v>231</v>
      </c>
      <c r="J53" s="23"/>
      <c r="K53" s="23"/>
      <c r="L53" s="23"/>
      <c r="M53" s="23"/>
      <c r="N53" s="23"/>
      <c r="O53" s="23"/>
      <c r="P53" s="23"/>
      <c r="Q53" s="37"/>
      <c r="R53" s="19" t="s">
        <v>230</v>
      </c>
      <c r="S53" s="23"/>
      <c r="T53" s="23"/>
      <c r="U53" s="23"/>
      <c r="V53" s="23"/>
      <c r="W53" s="23"/>
      <c r="X53" s="24"/>
      <c r="Y53" s="440" t="s">
        <v>169</v>
      </c>
      <c r="Z53" s="441"/>
      <c r="AA53" s="442" t="s">
        <v>170</v>
      </c>
      <c r="AB53" s="443"/>
      <c r="AC53" s="444"/>
      <c r="AD53" s="27"/>
      <c r="AE53" s="29"/>
      <c r="AF53" s="29"/>
      <c r="AG53" s="29"/>
      <c r="AH53" s="28"/>
      <c r="AI53" s="28"/>
      <c r="AJ53" s="28"/>
      <c r="AK53" s="28"/>
      <c r="AL53" s="28"/>
      <c r="AM53" s="28"/>
      <c r="AN53" s="28"/>
      <c r="AO53" s="29"/>
      <c r="AP53" s="29"/>
      <c r="AQ53" s="29"/>
      <c r="AR53" s="29"/>
      <c r="AS53" s="131" t="s">
        <v>232</v>
      </c>
      <c r="AT53" s="67"/>
      <c r="AU53" s="67"/>
      <c r="AV53" s="67"/>
      <c r="AW53" s="67"/>
      <c r="AX53" s="67"/>
      <c r="AY53" s="67"/>
      <c r="AZ53" s="67"/>
      <c r="BA53" s="67"/>
      <c r="BB53" s="67"/>
      <c r="BC53" s="67"/>
      <c r="BD53" s="68"/>
    </row>
    <row r="54" spans="1:56" ht="14.4" customHeight="1">
      <c r="A54" s="70">
        <f>IF(B54="","",COUNTA($B$8:B54))</f>
        <v>46</v>
      </c>
      <c r="B54" s="19" t="s">
        <v>233</v>
      </c>
      <c r="C54" s="20"/>
      <c r="D54" s="20"/>
      <c r="E54" s="20"/>
      <c r="F54" s="20"/>
      <c r="G54" s="20"/>
      <c r="H54" s="24"/>
      <c r="I54" s="34" t="s">
        <v>234</v>
      </c>
      <c r="J54" s="23"/>
      <c r="K54" s="23"/>
      <c r="L54" s="23"/>
      <c r="M54" s="23"/>
      <c r="N54" s="23"/>
      <c r="O54" s="23"/>
      <c r="P54" s="23"/>
      <c r="Q54" s="37"/>
      <c r="R54" s="19" t="s">
        <v>233</v>
      </c>
      <c r="S54" s="23"/>
      <c r="T54" s="23"/>
      <c r="U54" s="23"/>
      <c r="V54" s="23"/>
      <c r="W54" s="23"/>
      <c r="X54" s="24"/>
      <c r="Y54" s="440" t="s">
        <v>155</v>
      </c>
      <c r="Z54" s="441"/>
      <c r="AA54" s="442" t="s">
        <v>156</v>
      </c>
      <c r="AB54" s="443"/>
      <c r="AC54" s="444"/>
      <c r="AD54" s="27">
        <v>1</v>
      </c>
      <c r="AE54" s="29"/>
      <c r="AF54" s="29"/>
      <c r="AG54" s="29"/>
      <c r="AH54" s="28">
        <v>0</v>
      </c>
      <c r="AI54" s="28"/>
      <c r="AJ54" s="28"/>
      <c r="AK54" s="28"/>
      <c r="AL54" s="28"/>
      <c r="AM54" s="28"/>
      <c r="AN54" s="28"/>
      <c r="AO54" s="29"/>
      <c r="AP54" s="29"/>
      <c r="AQ54" s="29"/>
      <c r="AR54" s="29"/>
      <c r="AS54" s="131"/>
      <c r="AT54" s="67"/>
      <c r="AU54" s="67"/>
      <c r="AV54" s="67"/>
      <c r="AW54" s="67"/>
      <c r="AX54" s="67"/>
      <c r="AY54" s="67"/>
      <c r="AZ54" s="67"/>
      <c r="BA54" s="67"/>
      <c r="BB54" s="67"/>
      <c r="BC54" s="67"/>
      <c r="BD54" s="68"/>
    </row>
    <row r="55" spans="1:56" ht="14.4" customHeight="1">
      <c r="A55" s="70">
        <f>IF(B55="","",COUNTA($B$8:B55))</f>
        <v>47</v>
      </c>
      <c r="B55" s="180" t="s">
        <v>276</v>
      </c>
      <c r="C55" s="86"/>
      <c r="D55" s="86"/>
      <c r="E55" s="86"/>
      <c r="F55" s="86"/>
      <c r="G55" s="86"/>
      <c r="H55" s="87"/>
      <c r="I55" s="88" t="s">
        <v>277</v>
      </c>
      <c r="J55" s="89"/>
      <c r="K55" s="89"/>
      <c r="L55" s="89"/>
      <c r="M55" s="89"/>
      <c r="N55" s="89"/>
      <c r="O55" s="89"/>
      <c r="P55" s="89"/>
      <c r="Q55" s="90"/>
      <c r="R55" s="180" t="s">
        <v>276</v>
      </c>
      <c r="S55" s="89"/>
      <c r="T55" s="89"/>
      <c r="U55" s="89"/>
      <c r="V55" s="89"/>
      <c r="W55" s="89"/>
      <c r="X55" s="87"/>
      <c r="Y55" s="466" t="s">
        <v>155</v>
      </c>
      <c r="Z55" s="467"/>
      <c r="AA55" s="468" t="s">
        <v>156</v>
      </c>
      <c r="AB55" s="469"/>
      <c r="AC55" s="470"/>
      <c r="AD55" s="91">
        <v>1</v>
      </c>
      <c r="AE55" s="93"/>
      <c r="AF55" s="93"/>
      <c r="AG55" s="93"/>
      <c r="AH55" s="92">
        <v>0</v>
      </c>
      <c r="AI55" s="92"/>
      <c r="AJ55" s="92"/>
      <c r="AK55" s="92"/>
      <c r="AL55" s="92"/>
      <c r="AM55" s="92"/>
      <c r="AN55" s="92"/>
      <c r="AO55" s="93"/>
      <c r="AP55" s="93"/>
      <c r="AQ55" s="93"/>
      <c r="AR55" s="93"/>
      <c r="AS55" s="177" t="s">
        <v>235</v>
      </c>
      <c r="AT55" s="94"/>
      <c r="AU55" s="94"/>
      <c r="AV55" s="94"/>
      <c r="AW55" s="94"/>
      <c r="AX55" s="94"/>
      <c r="AY55" s="94"/>
      <c r="AZ55" s="94"/>
      <c r="BA55" s="94"/>
      <c r="BB55" s="94"/>
      <c r="BC55" s="94"/>
      <c r="BD55" s="95"/>
    </row>
    <row r="56" spans="1:56" ht="14.4" customHeight="1">
      <c r="A56" s="70">
        <f>IF(B56="","",COUNTA($B$8:B56))</f>
        <v>48</v>
      </c>
      <c r="B56" s="19" t="s">
        <v>236</v>
      </c>
      <c r="C56" s="20"/>
      <c r="D56" s="20"/>
      <c r="E56" s="20"/>
      <c r="F56" s="20"/>
      <c r="G56" s="20"/>
      <c r="H56" s="24"/>
      <c r="I56" s="34" t="s">
        <v>237</v>
      </c>
      <c r="J56" s="23"/>
      <c r="K56" s="23"/>
      <c r="L56" s="23"/>
      <c r="M56" s="23"/>
      <c r="N56" s="23"/>
      <c r="O56" s="23"/>
      <c r="P56" s="23"/>
      <c r="Q56" s="37"/>
      <c r="R56" s="19" t="s">
        <v>236</v>
      </c>
      <c r="S56" s="23"/>
      <c r="T56" s="23"/>
      <c r="U56" s="23"/>
      <c r="V56" s="23"/>
      <c r="W56" s="23"/>
      <c r="X56" s="24"/>
      <c r="Y56" s="440" t="s">
        <v>155</v>
      </c>
      <c r="Z56" s="441"/>
      <c r="AA56" s="442" t="s">
        <v>156</v>
      </c>
      <c r="AB56" s="443"/>
      <c r="AC56" s="444"/>
      <c r="AD56" s="27">
        <v>1</v>
      </c>
      <c r="AE56" s="29"/>
      <c r="AF56" s="29"/>
      <c r="AG56" s="29"/>
      <c r="AH56" s="28">
        <v>0</v>
      </c>
      <c r="AI56" s="28"/>
      <c r="AJ56" s="28"/>
      <c r="AK56" s="28"/>
      <c r="AL56" s="28"/>
      <c r="AM56" s="28"/>
      <c r="AN56" s="28"/>
      <c r="AO56" s="29"/>
      <c r="AP56" s="29"/>
      <c r="AQ56" s="29"/>
      <c r="AR56" s="29"/>
      <c r="AS56" s="131" t="s">
        <v>238</v>
      </c>
      <c r="AT56" s="67"/>
      <c r="AU56" s="67"/>
      <c r="AV56" s="67"/>
      <c r="AW56" s="67"/>
      <c r="AX56" s="67"/>
      <c r="AY56" s="67"/>
      <c r="AZ56" s="67"/>
      <c r="BA56" s="67"/>
      <c r="BB56" s="67"/>
      <c r="BC56" s="67"/>
      <c r="BD56" s="68"/>
    </row>
    <row r="57" spans="1:56" ht="14.4" customHeight="1">
      <c r="A57" s="70">
        <f>IF(B57="","",COUNTA($B$8:B57))</f>
        <v>49</v>
      </c>
      <c r="B57" s="19" t="s">
        <v>239</v>
      </c>
      <c r="C57" s="20"/>
      <c r="D57" s="20"/>
      <c r="E57" s="20"/>
      <c r="F57" s="20"/>
      <c r="G57" s="20"/>
      <c r="H57" s="24"/>
      <c r="I57" s="34" t="s">
        <v>240</v>
      </c>
      <c r="J57" s="23"/>
      <c r="K57" s="23"/>
      <c r="L57" s="23"/>
      <c r="M57" s="23"/>
      <c r="N57" s="23"/>
      <c r="O57" s="23"/>
      <c r="P57" s="23"/>
      <c r="Q57" s="37"/>
      <c r="R57" s="19" t="s">
        <v>239</v>
      </c>
      <c r="S57" s="23"/>
      <c r="T57" s="23"/>
      <c r="U57" s="23"/>
      <c r="V57" s="23"/>
      <c r="W57" s="23"/>
      <c r="X57" s="24"/>
      <c r="Y57" s="440" t="s">
        <v>169</v>
      </c>
      <c r="Z57" s="441"/>
      <c r="AA57" s="442" t="s">
        <v>170</v>
      </c>
      <c r="AB57" s="443"/>
      <c r="AC57" s="444"/>
      <c r="AD57" s="27"/>
      <c r="AE57" s="29"/>
      <c r="AF57" s="29"/>
      <c r="AG57" s="29"/>
      <c r="AH57" s="28"/>
      <c r="AI57" s="28"/>
      <c r="AJ57" s="28"/>
      <c r="AK57" s="28"/>
      <c r="AL57" s="28"/>
      <c r="AM57" s="28"/>
      <c r="AN57" s="28"/>
      <c r="AO57" s="29"/>
      <c r="AP57" s="29"/>
      <c r="AQ57" s="29"/>
      <c r="AR57" s="29"/>
      <c r="AS57" s="131"/>
      <c r="AT57" s="67"/>
      <c r="AU57" s="67"/>
      <c r="AV57" s="67"/>
      <c r="AW57" s="67"/>
      <c r="AX57" s="67"/>
      <c r="AY57" s="67"/>
      <c r="AZ57" s="67"/>
      <c r="BA57" s="67"/>
      <c r="BB57" s="67"/>
      <c r="BC57" s="67"/>
      <c r="BD57" s="68"/>
    </row>
    <row r="58" spans="1:56" ht="14.4" customHeight="1">
      <c r="A58" s="50">
        <f>IF(B58="","",COUNTA($B$8:B58))</f>
        <v>50</v>
      </c>
      <c r="B58" s="185" t="s">
        <v>241</v>
      </c>
      <c r="C58" s="20"/>
      <c r="D58" s="20"/>
      <c r="E58" s="20"/>
      <c r="F58" s="20"/>
      <c r="G58" s="20"/>
      <c r="H58" s="20"/>
      <c r="I58" s="34" t="s">
        <v>242</v>
      </c>
      <c r="J58" s="23"/>
      <c r="K58" s="23"/>
      <c r="L58" s="23"/>
      <c r="M58" s="23"/>
      <c r="N58" s="23"/>
      <c r="O58" s="23"/>
      <c r="P58" s="23"/>
      <c r="Q58" s="23"/>
      <c r="R58" s="185" t="s">
        <v>241</v>
      </c>
      <c r="S58" s="20"/>
      <c r="T58" s="49"/>
      <c r="U58" s="49"/>
      <c r="V58" s="49"/>
      <c r="W58" s="49"/>
      <c r="X58" s="49"/>
      <c r="Y58" s="19" t="s">
        <v>150</v>
      </c>
      <c r="Z58" s="183"/>
      <c r="AA58" s="442" t="s">
        <v>243</v>
      </c>
      <c r="AB58" s="443"/>
      <c r="AC58" s="444"/>
      <c r="AD58" s="51"/>
      <c r="AE58" s="28" t="s">
        <v>244</v>
      </c>
      <c r="AF58" s="40"/>
      <c r="AG58" s="40"/>
      <c r="AH58" s="40"/>
      <c r="AI58" s="40"/>
      <c r="AJ58" s="40"/>
      <c r="AK58" s="40"/>
      <c r="AL58" s="40"/>
      <c r="AM58" s="40"/>
      <c r="AN58" s="40"/>
      <c r="AO58" s="41"/>
      <c r="AP58" s="41"/>
      <c r="AQ58" s="41"/>
      <c r="AR58" s="41"/>
      <c r="AS58" s="136" t="s">
        <v>245</v>
      </c>
      <c r="AT58" s="67"/>
      <c r="AU58" s="67"/>
      <c r="AV58" s="67"/>
      <c r="AW58" s="67"/>
      <c r="AX58" s="67"/>
      <c r="AY58" s="67"/>
      <c r="AZ58" s="67"/>
      <c r="BA58" s="67"/>
      <c r="BB58" s="67"/>
      <c r="BC58" s="67"/>
      <c r="BD58" s="68"/>
    </row>
    <row r="59" spans="1:56" ht="14.4" customHeight="1">
      <c r="A59" s="50">
        <f>IF(B59="","",COUNTA($B$8:B59))</f>
        <v>51</v>
      </c>
      <c r="B59" s="185" t="s">
        <v>246</v>
      </c>
      <c r="C59" s="20"/>
      <c r="D59" s="20"/>
      <c r="E59" s="20"/>
      <c r="F59" s="20"/>
      <c r="G59" s="20"/>
      <c r="H59" s="20"/>
      <c r="I59" s="34" t="s">
        <v>247</v>
      </c>
      <c r="J59" s="23"/>
      <c r="K59" s="23"/>
      <c r="L59" s="23"/>
      <c r="M59" s="23"/>
      <c r="N59" s="23"/>
      <c r="O59" s="23"/>
      <c r="P59" s="23"/>
      <c r="Q59" s="23"/>
      <c r="R59" s="185" t="s">
        <v>246</v>
      </c>
      <c r="S59" s="20"/>
      <c r="T59" s="49"/>
      <c r="U59" s="49"/>
      <c r="V59" s="49"/>
      <c r="W59" s="49"/>
      <c r="X59" s="49"/>
      <c r="Y59" s="19" t="s">
        <v>150</v>
      </c>
      <c r="Z59" s="183"/>
      <c r="AA59" s="442" t="s">
        <v>243</v>
      </c>
      <c r="AB59" s="443"/>
      <c r="AC59" s="444"/>
      <c r="AD59" s="51"/>
      <c r="AE59" s="28" t="s">
        <v>244</v>
      </c>
      <c r="AF59" s="40"/>
      <c r="AG59" s="40"/>
      <c r="AH59" s="40"/>
      <c r="AI59" s="40"/>
      <c r="AJ59" s="40"/>
      <c r="AK59" s="40"/>
      <c r="AL59" s="40"/>
      <c r="AM59" s="40"/>
      <c r="AN59" s="40"/>
      <c r="AO59" s="41"/>
      <c r="AP59" s="41"/>
      <c r="AQ59" s="41"/>
      <c r="AR59" s="41"/>
      <c r="AS59" s="136" t="s">
        <v>248</v>
      </c>
      <c r="AT59" s="67"/>
      <c r="AU59" s="67"/>
      <c r="AV59" s="67"/>
      <c r="AW59" s="67"/>
      <c r="AX59" s="67"/>
      <c r="AY59" s="67"/>
      <c r="AZ59" s="67"/>
      <c r="BA59" s="67"/>
      <c r="BB59" s="67"/>
      <c r="BC59" s="67"/>
      <c r="BD59" s="68"/>
    </row>
    <row r="60" spans="1:56" ht="14.4" customHeight="1">
      <c r="A60" s="70">
        <f>IF(B60="","",COUNTA($B$8:B60))</f>
        <v>52</v>
      </c>
      <c r="B60" s="19" t="s">
        <v>249</v>
      </c>
      <c r="C60" s="20"/>
      <c r="D60" s="20"/>
      <c r="E60" s="20"/>
      <c r="F60" s="20"/>
      <c r="G60" s="20"/>
      <c r="H60" s="24"/>
      <c r="I60" s="34" t="s">
        <v>250</v>
      </c>
      <c r="J60" s="23"/>
      <c r="K60" s="23"/>
      <c r="L60" s="23"/>
      <c r="M60" s="23"/>
      <c r="N60" s="23"/>
      <c r="O60" s="23"/>
      <c r="P60" s="23"/>
      <c r="Q60" s="37"/>
      <c r="R60" s="19" t="s">
        <v>249</v>
      </c>
      <c r="S60" s="23"/>
      <c r="T60" s="23"/>
      <c r="U60" s="23"/>
      <c r="V60" s="23"/>
      <c r="W60" s="23"/>
      <c r="X60" s="24"/>
      <c r="Y60" s="440" t="s">
        <v>150</v>
      </c>
      <c r="Z60" s="441"/>
      <c r="AA60" s="442" t="s">
        <v>151</v>
      </c>
      <c r="AB60" s="443"/>
      <c r="AC60" s="444"/>
      <c r="AD60" s="27">
        <v>4</v>
      </c>
      <c r="AE60" s="29"/>
      <c r="AF60" s="29"/>
      <c r="AG60" s="29"/>
      <c r="AH60" s="28"/>
      <c r="AI60" s="28"/>
      <c r="AJ60" s="28"/>
      <c r="AK60" s="28"/>
      <c r="AL60" s="28"/>
      <c r="AM60" s="28"/>
      <c r="AN60" s="28"/>
      <c r="AO60" s="29"/>
      <c r="AP60" s="29"/>
      <c r="AQ60" s="29"/>
      <c r="AR60" s="29"/>
      <c r="AS60" s="131"/>
      <c r="AT60" s="67"/>
      <c r="AU60" s="67"/>
      <c r="AV60" s="67"/>
      <c r="AW60" s="67"/>
      <c r="AX60" s="67"/>
      <c r="AY60" s="67"/>
      <c r="AZ60" s="67"/>
      <c r="BA60" s="67"/>
      <c r="BB60" s="67"/>
      <c r="BC60" s="67"/>
      <c r="BD60" s="68"/>
    </row>
    <row r="61" spans="1:56" ht="14.4" customHeight="1">
      <c r="A61" s="70">
        <f>IF(B61="","",COUNTA($B$8:B61))</f>
        <v>53</v>
      </c>
      <c r="B61" s="19" t="s">
        <v>251</v>
      </c>
      <c r="C61" s="20"/>
      <c r="D61" s="20"/>
      <c r="E61" s="20"/>
      <c r="F61" s="20"/>
      <c r="G61" s="20"/>
      <c r="H61" s="24"/>
      <c r="I61" s="34" t="s">
        <v>252</v>
      </c>
      <c r="J61" s="23"/>
      <c r="K61" s="23"/>
      <c r="L61" s="23"/>
      <c r="M61" s="23"/>
      <c r="N61" s="23"/>
      <c r="O61" s="23"/>
      <c r="P61" s="23"/>
      <c r="Q61" s="37"/>
      <c r="R61" s="19" t="s">
        <v>251</v>
      </c>
      <c r="S61" s="23"/>
      <c r="T61" s="23"/>
      <c r="U61" s="23"/>
      <c r="V61" s="23"/>
      <c r="W61" s="23"/>
      <c r="X61" s="24"/>
      <c r="Y61" s="440" t="s">
        <v>150</v>
      </c>
      <c r="Z61" s="441"/>
      <c r="AA61" s="442" t="s">
        <v>151</v>
      </c>
      <c r="AB61" s="443"/>
      <c r="AC61" s="444"/>
      <c r="AD61" s="27">
        <v>4</v>
      </c>
      <c r="AE61" s="29"/>
      <c r="AF61" s="29"/>
      <c r="AG61" s="29"/>
      <c r="AH61" s="28"/>
      <c r="AI61" s="28"/>
      <c r="AJ61" s="28"/>
      <c r="AK61" s="28"/>
      <c r="AL61" s="28"/>
      <c r="AM61" s="28"/>
      <c r="AN61" s="28"/>
      <c r="AO61" s="29"/>
      <c r="AP61" s="29"/>
      <c r="AQ61" s="29"/>
      <c r="AR61" s="29"/>
      <c r="AS61" s="131"/>
      <c r="AT61" s="67"/>
      <c r="AU61" s="67"/>
      <c r="AV61" s="67"/>
      <c r="AW61" s="67"/>
      <c r="AX61" s="67"/>
      <c r="AY61" s="67"/>
      <c r="AZ61" s="67"/>
      <c r="BA61" s="67"/>
      <c r="BB61" s="67"/>
      <c r="BC61" s="67"/>
      <c r="BD61" s="68"/>
    </row>
    <row r="62" spans="1:56" ht="14.4" customHeight="1">
      <c r="A62" s="70">
        <f>IF(B62="","",COUNTA($B$8:B62))</f>
        <v>54</v>
      </c>
      <c r="B62" s="19" t="s">
        <v>253</v>
      </c>
      <c r="C62" s="20"/>
      <c r="D62" s="20"/>
      <c r="E62" s="20"/>
      <c r="F62" s="20"/>
      <c r="G62" s="20"/>
      <c r="H62" s="24"/>
      <c r="I62" s="31" t="s">
        <v>254</v>
      </c>
      <c r="J62" s="23"/>
      <c r="K62" s="23"/>
      <c r="L62" s="23"/>
      <c r="M62" s="23"/>
      <c r="N62" s="23"/>
      <c r="O62" s="23"/>
      <c r="P62" s="23"/>
      <c r="Q62" s="37"/>
      <c r="R62" s="19" t="s">
        <v>253</v>
      </c>
      <c r="S62" s="23"/>
      <c r="T62" s="23"/>
      <c r="U62" s="23"/>
      <c r="V62" s="23"/>
      <c r="W62" s="23"/>
      <c r="X62" s="24"/>
      <c r="Y62" s="440" t="s">
        <v>150</v>
      </c>
      <c r="Z62" s="441"/>
      <c r="AA62" s="442" t="s">
        <v>151</v>
      </c>
      <c r="AB62" s="443"/>
      <c r="AC62" s="444"/>
      <c r="AD62" s="27">
        <v>10</v>
      </c>
      <c r="AE62" s="29"/>
      <c r="AF62" s="29"/>
      <c r="AG62" s="29"/>
      <c r="AH62" s="28"/>
      <c r="AI62" s="28"/>
      <c r="AJ62" s="28"/>
      <c r="AK62" s="28"/>
      <c r="AL62" s="28"/>
      <c r="AM62" s="28"/>
      <c r="AN62" s="28"/>
      <c r="AO62" s="29"/>
      <c r="AP62" s="29"/>
      <c r="AQ62" s="29"/>
      <c r="AR62" s="29"/>
      <c r="AS62" s="131"/>
      <c r="AT62" s="67"/>
      <c r="AU62" s="67"/>
      <c r="AV62" s="67"/>
      <c r="AW62" s="67"/>
      <c r="AX62" s="67"/>
      <c r="AY62" s="67"/>
      <c r="AZ62" s="67"/>
      <c r="BA62" s="67"/>
      <c r="BB62" s="67"/>
      <c r="BC62" s="67"/>
      <c r="BD62" s="68"/>
    </row>
    <row r="63" spans="1:56" ht="14.4" customHeight="1">
      <c r="A63" s="70">
        <f>IF(B63="","",COUNTA($B$8:B63))</f>
        <v>55</v>
      </c>
      <c r="B63" s="19" t="s">
        <v>255</v>
      </c>
      <c r="C63" s="20"/>
      <c r="D63" s="20"/>
      <c r="E63" s="20"/>
      <c r="F63" s="20"/>
      <c r="G63" s="20"/>
      <c r="H63" s="24"/>
      <c r="I63" s="31" t="s">
        <v>256</v>
      </c>
      <c r="J63" s="23"/>
      <c r="K63" s="23"/>
      <c r="L63" s="23"/>
      <c r="M63" s="23"/>
      <c r="N63" s="23"/>
      <c r="O63" s="23"/>
      <c r="P63" s="23"/>
      <c r="Q63" s="37"/>
      <c r="R63" s="19" t="s">
        <v>255</v>
      </c>
      <c r="S63" s="23"/>
      <c r="T63" s="23"/>
      <c r="U63" s="23"/>
      <c r="V63" s="23"/>
      <c r="W63" s="23"/>
      <c r="X63" s="24"/>
      <c r="Y63" s="440" t="s">
        <v>150</v>
      </c>
      <c r="Z63" s="441"/>
      <c r="AA63" s="442" t="s">
        <v>151</v>
      </c>
      <c r="AB63" s="443"/>
      <c r="AC63" s="444"/>
      <c r="AD63" s="27">
        <v>10</v>
      </c>
      <c r="AE63" s="29"/>
      <c r="AF63" s="29"/>
      <c r="AG63" s="29"/>
      <c r="AH63" s="28"/>
      <c r="AI63" s="28"/>
      <c r="AJ63" s="28"/>
      <c r="AK63" s="28"/>
      <c r="AL63" s="28"/>
      <c r="AM63" s="28"/>
      <c r="AN63" s="28"/>
      <c r="AO63" s="29"/>
      <c r="AP63" s="29"/>
      <c r="AQ63" s="29"/>
      <c r="AR63" s="29"/>
      <c r="AS63" s="131"/>
      <c r="AT63" s="67"/>
      <c r="AU63" s="67"/>
      <c r="AV63" s="67"/>
      <c r="AW63" s="67"/>
      <c r="AX63" s="67"/>
      <c r="AY63" s="67"/>
      <c r="AZ63" s="67"/>
      <c r="BA63" s="67"/>
      <c r="BB63" s="67"/>
      <c r="BC63" s="67"/>
      <c r="BD63" s="68"/>
    </row>
    <row r="64" spans="1:56" ht="14.4" customHeight="1">
      <c r="A64" s="70">
        <f>IF(B64="","",COUNTA($B$8:B64))</f>
        <v>56</v>
      </c>
      <c r="B64" s="19" t="s">
        <v>257</v>
      </c>
      <c r="C64" s="20"/>
      <c r="D64" s="20"/>
      <c r="E64" s="20"/>
      <c r="F64" s="20"/>
      <c r="G64" s="20"/>
      <c r="H64" s="24"/>
      <c r="I64" s="31" t="s">
        <v>258</v>
      </c>
      <c r="J64" s="23"/>
      <c r="K64" s="23"/>
      <c r="L64" s="23"/>
      <c r="M64" s="23"/>
      <c r="N64" s="23"/>
      <c r="O64" s="23"/>
      <c r="P64" s="23"/>
      <c r="Q64" s="37"/>
      <c r="R64" s="19" t="s">
        <v>257</v>
      </c>
      <c r="S64" s="23"/>
      <c r="T64" s="23"/>
      <c r="U64" s="23"/>
      <c r="V64" s="23"/>
      <c r="W64" s="23"/>
      <c r="X64" s="24"/>
      <c r="Y64" s="440" t="s">
        <v>169</v>
      </c>
      <c r="Z64" s="441"/>
      <c r="AA64" s="442" t="s">
        <v>243</v>
      </c>
      <c r="AB64" s="443"/>
      <c r="AC64" s="444"/>
      <c r="AD64" s="30"/>
      <c r="AE64" s="29"/>
      <c r="AF64" s="29"/>
      <c r="AG64" s="29"/>
      <c r="AH64" s="40"/>
      <c r="AI64" s="40"/>
      <c r="AJ64" s="28"/>
      <c r="AK64" s="28"/>
      <c r="AL64" s="28"/>
      <c r="AM64" s="28"/>
      <c r="AN64" s="28"/>
      <c r="AO64" s="29"/>
      <c r="AP64" s="29"/>
      <c r="AQ64" s="29"/>
      <c r="AR64" s="29"/>
      <c r="AS64" s="131"/>
      <c r="AT64" s="67"/>
      <c r="AU64" s="67"/>
      <c r="AV64" s="67"/>
      <c r="AW64" s="67"/>
      <c r="AX64" s="67"/>
      <c r="AY64" s="67"/>
      <c r="AZ64" s="67"/>
      <c r="BA64" s="67"/>
      <c r="BB64" s="67"/>
      <c r="BC64" s="67"/>
      <c r="BD64" s="68"/>
    </row>
    <row r="65" spans="1:56" ht="14.4" customHeight="1">
      <c r="A65" s="70">
        <f>IF(B65="","",COUNTA($B$8:B65))</f>
        <v>57</v>
      </c>
      <c r="B65" s="19" t="s">
        <v>259</v>
      </c>
      <c r="C65" s="20"/>
      <c r="D65" s="20"/>
      <c r="E65" s="20"/>
      <c r="F65" s="20"/>
      <c r="G65" s="20"/>
      <c r="H65" s="24"/>
      <c r="I65" s="31" t="s">
        <v>260</v>
      </c>
      <c r="J65" s="23"/>
      <c r="K65" s="23"/>
      <c r="L65" s="23"/>
      <c r="M65" s="23"/>
      <c r="N65" s="23"/>
      <c r="O65" s="23"/>
      <c r="P65" s="23"/>
      <c r="Q65" s="37"/>
      <c r="R65" s="19" t="s">
        <v>259</v>
      </c>
      <c r="S65" s="23"/>
      <c r="T65" s="23"/>
      <c r="U65" s="23"/>
      <c r="V65" s="23"/>
      <c r="W65" s="23"/>
      <c r="X65" s="24"/>
      <c r="Y65" s="440" t="s">
        <v>150</v>
      </c>
      <c r="Z65" s="441"/>
      <c r="AA65" s="442" t="s">
        <v>151</v>
      </c>
      <c r="AB65" s="443"/>
      <c r="AC65" s="444"/>
      <c r="AD65" s="27">
        <v>10</v>
      </c>
      <c r="AE65" s="29"/>
      <c r="AF65" s="29"/>
      <c r="AG65" s="29"/>
      <c r="AH65" s="40"/>
      <c r="AI65" s="40"/>
      <c r="AJ65" s="28"/>
      <c r="AK65" s="28"/>
      <c r="AL65" s="28"/>
      <c r="AM65" s="28"/>
      <c r="AN65" s="28"/>
      <c r="AO65" s="29"/>
      <c r="AP65" s="29"/>
      <c r="AQ65" s="29"/>
      <c r="AR65" s="29"/>
      <c r="AS65" s="131"/>
      <c r="AT65" s="67"/>
      <c r="AU65" s="67"/>
      <c r="AV65" s="67"/>
      <c r="AW65" s="67"/>
      <c r="AX65" s="67"/>
      <c r="AY65" s="67"/>
      <c r="AZ65" s="67"/>
      <c r="BA65" s="67"/>
      <c r="BB65" s="67"/>
      <c r="BC65" s="67"/>
      <c r="BD65" s="68"/>
    </row>
    <row r="66" spans="1:56" ht="14.4" customHeight="1">
      <c r="A66" s="70">
        <f>IF(B66="","",COUNTA($B$8:B66))</f>
        <v>58</v>
      </c>
      <c r="B66" s="19" t="s">
        <v>261</v>
      </c>
      <c r="C66" s="20"/>
      <c r="D66" s="20"/>
      <c r="E66" s="20"/>
      <c r="F66" s="20"/>
      <c r="G66" s="20"/>
      <c r="H66" s="24"/>
      <c r="I66" s="31" t="s">
        <v>262</v>
      </c>
      <c r="J66" s="23"/>
      <c r="K66" s="23"/>
      <c r="L66" s="23"/>
      <c r="M66" s="23"/>
      <c r="N66" s="23"/>
      <c r="O66" s="23"/>
      <c r="P66" s="23"/>
      <c r="Q66" s="37"/>
      <c r="R66" s="19" t="s">
        <v>261</v>
      </c>
      <c r="S66" s="23"/>
      <c r="T66" s="23"/>
      <c r="U66" s="23"/>
      <c r="V66" s="23"/>
      <c r="W66" s="23"/>
      <c r="X66" s="24"/>
      <c r="Y66" s="440" t="s">
        <v>150</v>
      </c>
      <c r="Z66" s="441"/>
      <c r="AA66" s="442" t="s">
        <v>151</v>
      </c>
      <c r="AB66" s="443"/>
      <c r="AC66" s="444"/>
      <c r="AD66" s="30">
        <v>10</v>
      </c>
      <c r="AE66" s="29"/>
      <c r="AF66" s="29"/>
      <c r="AG66" s="29"/>
      <c r="AH66" s="28"/>
      <c r="AI66" s="28"/>
      <c r="AJ66" s="28"/>
      <c r="AK66" s="28"/>
      <c r="AL66" s="40"/>
      <c r="AM66" s="40"/>
      <c r="AN66" s="40"/>
      <c r="AO66" s="41"/>
      <c r="AP66" s="41"/>
      <c r="AQ66" s="41"/>
      <c r="AR66" s="41"/>
      <c r="AS66" s="136"/>
      <c r="AT66" s="43"/>
      <c r="AU66" s="67"/>
      <c r="AV66" s="67"/>
      <c r="AW66" s="67"/>
      <c r="AX66" s="67"/>
      <c r="AY66" s="67"/>
      <c r="AZ66" s="67"/>
      <c r="BA66" s="67"/>
      <c r="BB66" s="67"/>
      <c r="BC66" s="67"/>
      <c r="BD66" s="68"/>
    </row>
    <row r="67" spans="1:56" ht="14.4" customHeight="1">
      <c r="A67" s="70">
        <f>IF(B67="","",COUNTA($B$8:B67))</f>
        <v>59</v>
      </c>
      <c r="B67" s="19" t="s">
        <v>263</v>
      </c>
      <c r="C67" s="20"/>
      <c r="D67" s="20"/>
      <c r="E67" s="20"/>
      <c r="F67" s="20"/>
      <c r="G67" s="20"/>
      <c r="H67" s="24"/>
      <c r="I67" s="31" t="s">
        <v>264</v>
      </c>
      <c r="J67" s="23"/>
      <c r="K67" s="23"/>
      <c r="L67" s="23"/>
      <c r="M67" s="23"/>
      <c r="N67" s="23"/>
      <c r="O67" s="23"/>
      <c r="P67" s="23"/>
      <c r="Q67" s="37"/>
      <c r="R67" s="22" t="s">
        <v>263</v>
      </c>
      <c r="S67" s="23"/>
      <c r="T67" s="23"/>
      <c r="U67" s="23"/>
      <c r="V67" s="23"/>
      <c r="W67" s="23"/>
      <c r="X67" s="24"/>
      <c r="Y67" s="440" t="s">
        <v>169</v>
      </c>
      <c r="Z67" s="441"/>
      <c r="AA67" s="442" t="s">
        <v>243</v>
      </c>
      <c r="AB67" s="443"/>
      <c r="AC67" s="444"/>
      <c r="AD67" s="30"/>
      <c r="AE67" s="29"/>
      <c r="AF67" s="29"/>
      <c r="AG67" s="29"/>
      <c r="AH67" s="40"/>
      <c r="AI67" s="40"/>
      <c r="AJ67" s="40"/>
      <c r="AK67" s="40"/>
      <c r="AL67" s="40"/>
      <c r="AM67" s="40"/>
      <c r="AN67" s="40"/>
      <c r="AO67" s="41"/>
      <c r="AP67" s="41"/>
      <c r="AQ67" s="41"/>
      <c r="AR67" s="41"/>
      <c r="AS67" s="136"/>
      <c r="AT67" s="43"/>
      <c r="AU67" s="67"/>
      <c r="AV67" s="67"/>
      <c r="AW67" s="67"/>
      <c r="AX67" s="67"/>
      <c r="AY67" s="67"/>
      <c r="AZ67" s="67"/>
      <c r="BA67" s="67"/>
      <c r="BB67" s="67"/>
      <c r="BC67" s="67"/>
      <c r="BD67" s="68"/>
    </row>
    <row r="68" spans="1:56" ht="14.4" customHeight="1">
      <c r="A68" s="70" t="str">
        <f>IF(B68="","",COUNTA($B$8:B68))</f>
        <v/>
      </c>
      <c r="B68" s="19"/>
      <c r="C68" s="20"/>
      <c r="D68" s="20"/>
      <c r="E68" s="20"/>
      <c r="F68" s="20"/>
      <c r="G68" s="20"/>
      <c r="H68" s="24"/>
      <c r="I68" s="34"/>
      <c r="J68" s="23"/>
      <c r="K68" s="23"/>
      <c r="L68" s="23"/>
      <c r="M68" s="23"/>
      <c r="N68" s="23"/>
      <c r="O68" s="23"/>
      <c r="P68" s="23"/>
      <c r="Q68" s="37"/>
      <c r="R68" s="19"/>
      <c r="S68" s="23"/>
      <c r="T68" s="23"/>
      <c r="U68" s="23"/>
      <c r="V68" s="23"/>
      <c r="W68" s="23"/>
      <c r="X68" s="24"/>
      <c r="Y68" s="440"/>
      <c r="Z68" s="441"/>
      <c r="AA68" s="442"/>
      <c r="AB68" s="443"/>
      <c r="AC68" s="444"/>
      <c r="AD68" s="30"/>
      <c r="AE68" s="29" t="s">
        <v>244</v>
      </c>
      <c r="AF68" s="29"/>
      <c r="AG68" s="29"/>
      <c r="AH68" s="40"/>
      <c r="AI68" s="40"/>
      <c r="AJ68" s="40"/>
      <c r="AK68" s="40"/>
      <c r="AL68" s="40"/>
      <c r="AM68" s="40"/>
      <c r="AN68" s="40"/>
      <c r="AO68" s="41"/>
      <c r="AP68" s="41"/>
      <c r="AQ68" s="41"/>
      <c r="AR68" s="41"/>
      <c r="AS68" s="136"/>
      <c r="AT68" s="43"/>
      <c r="AU68" s="67"/>
      <c r="AV68" s="67"/>
      <c r="AW68" s="67"/>
      <c r="AX68" s="67"/>
      <c r="AY68" s="67"/>
      <c r="AZ68" s="67"/>
      <c r="BA68" s="67"/>
      <c r="BB68" s="67"/>
      <c r="BC68" s="67"/>
      <c r="BD68" s="68"/>
    </row>
    <row r="69" spans="1:56" ht="14.4" customHeight="1">
      <c r="A69" s="70" t="str">
        <f>IF(B69="","",COUNTA($B$8:B69))</f>
        <v/>
      </c>
      <c r="B69" s="19"/>
      <c r="C69" s="20"/>
      <c r="D69" s="20"/>
      <c r="E69" s="20"/>
      <c r="F69" s="20"/>
      <c r="G69" s="20"/>
      <c r="H69" s="24"/>
      <c r="I69" s="34"/>
      <c r="J69" s="23"/>
      <c r="K69" s="23"/>
      <c r="L69" s="23"/>
      <c r="M69" s="23"/>
      <c r="N69" s="23"/>
      <c r="O69" s="23"/>
      <c r="P69" s="23"/>
      <c r="Q69" s="37"/>
      <c r="R69" s="19"/>
      <c r="S69" s="23"/>
      <c r="T69" s="23"/>
      <c r="U69" s="23"/>
      <c r="V69" s="23"/>
      <c r="W69" s="23"/>
      <c r="X69" s="24"/>
      <c r="Y69" s="440"/>
      <c r="Z69" s="441"/>
      <c r="AA69" s="442"/>
      <c r="AB69" s="443"/>
      <c r="AC69" s="444"/>
      <c r="AD69" s="30"/>
      <c r="AE69" s="29" t="s">
        <v>244</v>
      </c>
      <c r="AF69" s="29"/>
      <c r="AG69" s="29"/>
      <c r="AH69" s="40"/>
      <c r="AI69" s="40"/>
      <c r="AJ69" s="40"/>
      <c r="AK69" s="40"/>
      <c r="AL69" s="40"/>
      <c r="AM69" s="40"/>
      <c r="AN69" s="40"/>
      <c r="AO69" s="41"/>
      <c r="AP69" s="41"/>
      <c r="AQ69" s="41"/>
      <c r="AR69" s="41"/>
      <c r="AS69" s="136"/>
      <c r="AT69" s="43"/>
      <c r="AU69" s="67"/>
      <c r="AV69" s="67"/>
      <c r="AW69" s="67"/>
      <c r="AX69" s="67"/>
      <c r="AY69" s="67"/>
      <c r="AZ69" s="67"/>
      <c r="BA69" s="67"/>
      <c r="BB69" s="67"/>
      <c r="BC69" s="67"/>
      <c r="BD69" s="68"/>
    </row>
    <row r="70" spans="1:56" ht="14.4" customHeight="1">
      <c r="A70" s="70" t="str">
        <f>IF(B70="","",COUNTA($B$8:B70))</f>
        <v/>
      </c>
      <c r="B70" s="19"/>
      <c r="C70" s="20"/>
      <c r="D70" s="20"/>
      <c r="E70" s="20"/>
      <c r="F70" s="20"/>
      <c r="G70" s="20"/>
      <c r="H70" s="24"/>
      <c r="I70" s="34"/>
      <c r="J70" s="23"/>
      <c r="K70" s="23"/>
      <c r="L70" s="23"/>
      <c r="M70" s="23"/>
      <c r="N70" s="23"/>
      <c r="O70" s="23"/>
      <c r="P70" s="23"/>
      <c r="Q70" s="37"/>
      <c r="R70" s="19"/>
      <c r="S70" s="23"/>
      <c r="T70" s="23"/>
      <c r="U70" s="23"/>
      <c r="V70" s="23"/>
      <c r="W70" s="23"/>
      <c r="X70" s="24"/>
      <c r="Y70" s="440"/>
      <c r="Z70" s="441"/>
      <c r="AA70" s="442"/>
      <c r="AB70" s="443"/>
      <c r="AC70" s="444"/>
      <c r="AD70" s="30"/>
      <c r="AE70" s="29" t="s">
        <v>244</v>
      </c>
      <c r="AF70" s="29"/>
      <c r="AG70" s="29"/>
      <c r="AH70" s="40"/>
      <c r="AI70" s="40"/>
      <c r="AJ70" s="40"/>
      <c r="AK70" s="40"/>
      <c r="AL70" s="40"/>
      <c r="AM70" s="40"/>
      <c r="AN70" s="40"/>
      <c r="AO70" s="41"/>
      <c r="AP70" s="41"/>
      <c r="AQ70" s="41"/>
      <c r="AR70" s="41"/>
      <c r="AS70" s="136"/>
      <c r="AT70" s="43"/>
      <c r="AU70" s="67"/>
      <c r="AV70" s="67"/>
      <c r="AW70" s="67"/>
      <c r="AX70" s="67"/>
      <c r="AY70" s="67"/>
      <c r="AZ70" s="67"/>
      <c r="BA70" s="67"/>
      <c r="BB70" s="67"/>
      <c r="BC70" s="67"/>
      <c r="BD70" s="68"/>
    </row>
    <row r="71" spans="1:56" ht="14.4" customHeight="1">
      <c r="A71" s="70" t="str">
        <f>IF(B71="","",COUNTA($B$8:B71))</f>
        <v/>
      </c>
      <c r="B71" s="19"/>
      <c r="C71" s="20"/>
      <c r="D71" s="20"/>
      <c r="E71" s="20"/>
      <c r="F71" s="20"/>
      <c r="G71" s="20"/>
      <c r="H71" s="24"/>
      <c r="I71" s="34"/>
      <c r="J71" s="23"/>
      <c r="K71" s="23"/>
      <c r="L71" s="23"/>
      <c r="M71" s="23"/>
      <c r="N71" s="23"/>
      <c r="O71" s="23"/>
      <c r="P71" s="23"/>
      <c r="Q71" s="37"/>
      <c r="R71" s="19"/>
      <c r="S71" s="23"/>
      <c r="T71" s="23"/>
      <c r="U71" s="23"/>
      <c r="V71" s="23"/>
      <c r="W71" s="23"/>
      <c r="X71" s="24"/>
      <c r="Y71" s="440"/>
      <c r="Z71" s="441"/>
      <c r="AA71" s="442"/>
      <c r="AB71" s="443"/>
      <c r="AC71" s="444"/>
      <c r="AD71" s="30"/>
      <c r="AE71" s="29" t="s">
        <v>244</v>
      </c>
      <c r="AF71" s="29"/>
      <c r="AG71" s="29"/>
      <c r="AH71" s="40"/>
      <c r="AI71" s="40"/>
      <c r="AJ71" s="40"/>
      <c r="AK71" s="40"/>
      <c r="AL71" s="40"/>
      <c r="AM71" s="40"/>
      <c r="AN71" s="40"/>
      <c r="AO71" s="41"/>
      <c r="AP71" s="41"/>
      <c r="AQ71" s="41"/>
      <c r="AR71" s="41"/>
      <c r="AS71" s="136"/>
      <c r="AT71" s="43"/>
      <c r="AU71" s="67"/>
      <c r="AV71" s="67"/>
      <c r="AW71" s="67"/>
      <c r="AX71" s="67"/>
      <c r="AY71" s="67"/>
      <c r="AZ71" s="67"/>
      <c r="BA71" s="67"/>
      <c r="BB71" s="67"/>
      <c r="BC71" s="67"/>
      <c r="BD71" s="68"/>
    </row>
    <row r="72" spans="1:56" ht="14.4" customHeight="1">
      <c r="A72" s="70" t="str">
        <f>IF(B72="","",COUNTA($B$8:B72))</f>
        <v/>
      </c>
      <c r="B72" s="19"/>
      <c r="C72" s="20"/>
      <c r="D72" s="20"/>
      <c r="E72" s="20"/>
      <c r="F72" s="20"/>
      <c r="G72" s="20"/>
      <c r="H72" s="24"/>
      <c r="I72" s="34"/>
      <c r="J72" s="23"/>
      <c r="K72" s="23"/>
      <c r="L72" s="23"/>
      <c r="M72" s="23"/>
      <c r="N72" s="23"/>
      <c r="O72" s="23"/>
      <c r="P72" s="23"/>
      <c r="Q72" s="37"/>
      <c r="R72" s="19"/>
      <c r="S72" s="23"/>
      <c r="T72" s="23"/>
      <c r="U72" s="23"/>
      <c r="V72" s="23"/>
      <c r="W72" s="23"/>
      <c r="X72" s="24"/>
      <c r="Y72" s="440"/>
      <c r="Z72" s="441"/>
      <c r="AA72" s="442"/>
      <c r="AB72" s="443"/>
      <c r="AC72" s="444"/>
      <c r="AD72" s="30"/>
      <c r="AE72" s="29" t="s">
        <v>244</v>
      </c>
      <c r="AF72" s="29"/>
      <c r="AG72" s="29"/>
      <c r="AH72" s="40"/>
      <c r="AI72" s="40"/>
      <c r="AJ72" s="40"/>
      <c r="AK72" s="40"/>
      <c r="AL72" s="40"/>
      <c r="AM72" s="40"/>
      <c r="AN72" s="40"/>
      <c r="AO72" s="41"/>
      <c r="AP72" s="41"/>
      <c r="AQ72" s="41"/>
      <c r="AR72" s="41"/>
      <c r="AS72" s="136"/>
      <c r="AT72" s="43"/>
      <c r="AU72" s="67"/>
      <c r="AV72" s="67"/>
      <c r="AW72" s="67"/>
      <c r="AX72" s="67"/>
      <c r="AY72" s="67"/>
      <c r="AZ72" s="67"/>
      <c r="BA72" s="67"/>
      <c r="BB72" s="67"/>
      <c r="BC72" s="67"/>
      <c r="BD72" s="68"/>
    </row>
    <row r="73" spans="1:56" ht="14.4" customHeight="1">
      <c r="A73" s="70" t="str">
        <f>IF(B73="","",COUNTA($B$8:B73))</f>
        <v/>
      </c>
      <c r="B73" s="19"/>
      <c r="C73" s="20"/>
      <c r="D73" s="20"/>
      <c r="E73" s="20"/>
      <c r="F73" s="20"/>
      <c r="G73" s="20"/>
      <c r="H73" s="24"/>
      <c r="I73" s="34"/>
      <c r="J73" s="23"/>
      <c r="K73" s="23"/>
      <c r="L73" s="23"/>
      <c r="M73" s="23"/>
      <c r="N73" s="23"/>
      <c r="O73" s="23"/>
      <c r="P73" s="23"/>
      <c r="Q73" s="37"/>
      <c r="R73" s="19"/>
      <c r="S73" s="23"/>
      <c r="T73" s="23"/>
      <c r="U73" s="23"/>
      <c r="V73" s="23"/>
      <c r="W73" s="23"/>
      <c r="X73" s="24"/>
      <c r="Y73" s="440"/>
      <c r="Z73" s="441"/>
      <c r="AA73" s="442"/>
      <c r="AB73" s="443"/>
      <c r="AC73" s="444"/>
      <c r="AD73" s="30"/>
      <c r="AE73" s="29" t="s">
        <v>244</v>
      </c>
      <c r="AF73" s="29"/>
      <c r="AG73" s="29"/>
      <c r="AH73" s="40"/>
      <c r="AI73" s="40"/>
      <c r="AJ73" s="40"/>
      <c r="AK73" s="40"/>
      <c r="AL73" s="40"/>
      <c r="AM73" s="40"/>
      <c r="AN73" s="40"/>
      <c r="AO73" s="41"/>
      <c r="AP73" s="41"/>
      <c r="AQ73" s="41"/>
      <c r="AR73" s="41"/>
      <c r="AS73" s="136"/>
      <c r="AT73" s="43"/>
      <c r="AU73" s="67"/>
      <c r="AV73" s="67"/>
      <c r="AW73" s="67"/>
      <c r="AX73" s="67"/>
      <c r="AY73" s="67"/>
      <c r="AZ73" s="67"/>
      <c r="BA73" s="67"/>
      <c r="BB73" s="67"/>
      <c r="BC73" s="67"/>
      <c r="BD73" s="68"/>
    </row>
    <row r="74" spans="1:56" ht="14.4" customHeight="1">
      <c r="A74" s="70" t="str">
        <f>IF(B74="","",COUNTA($B$8:B74))</f>
        <v/>
      </c>
      <c r="B74" s="19"/>
      <c r="C74" s="20"/>
      <c r="D74" s="20"/>
      <c r="E74" s="20"/>
      <c r="F74" s="20"/>
      <c r="G74" s="20"/>
      <c r="H74" s="24"/>
      <c r="I74" s="34"/>
      <c r="J74" s="23"/>
      <c r="K74" s="23"/>
      <c r="L74" s="23"/>
      <c r="M74" s="23"/>
      <c r="N74" s="23"/>
      <c r="O74" s="23"/>
      <c r="P74" s="23"/>
      <c r="Q74" s="37"/>
      <c r="R74" s="19"/>
      <c r="S74" s="23"/>
      <c r="T74" s="23"/>
      <c r="U74" s="23"/>
      <c r="V74" s="23"/>
      <c r="W74" s="23"/>
      <c r="X74" s="24"/>
      <c r="Y74" s="440"/>
      <c r="Z74" s="441"/>
      <c r="AA74" s="442"/>
      <c r="AB74" s="443"/>
      <c r="AC74" s="444"/>
      <c r="AD74" s="30"/>
      <c r="AE74" s="29" t="s">
        <v>244</v>
      </c>
      <c r="AF74" s="29"/>
      <c r="AG74" s="29"/>
      <c r="AH74" s="40"/>
      <c r="AI74" s="40"/>
      <c r="AJ74" s="40"/>
      <c r="AK74" s="40"/>
      <c r="AL74" s="40"/>
      <c r="AM74" s="40"/>
      <c r="AN74" s="40"/>
      <c r="AO74" s="41"/>
      <c r="AP74" s="41"/>
      <c r="AQ74" s="41"/>
      <c r="AR74" s="41"/>
      <c r="AS74" s="136"/>
      <c r="AT74" s="43"/>
      <c r="AU74" s="67"/>
      <c r="AV74" s="67"/>
      <c r="AW74" s="67"/>
      <c r="AX74" s="67"/>
      <c r="AY74" s="67"/>
      <c r="AZ74" s="67"/>
      <c r="BA74" s="67"/>
      <c r="BB74" s="67"/>
      <c r="BC74" s="67"/>
      <c r="BD74" s="68"/>
    </row>
    <row r="75" spans="1:56" ht="14.4" customHeight="1">
      <c r="A75" s="70" t="str">
        <f>IF(B75="","",COUNTA($B$8:B75))</f>
        <v/>
      </c>
      <c r="B75" s="19"/>
      <c r="C75" s="20"/>
      <c r="D75" s="20"/>
      <c r="E75" s="20"/>
      <c r="F75" s="20"/>
      <c r="G75" s="20"/>
      <c r="H75" s="24"/>
      <c r="I75" s="34"/>
      <c r="J75" s="23"/>
      <c r="K75" s="23"/>
      <c r="L75" s="23"/>
      <c r="M75" s="23"/>
      <c r="N75" s="23"/>
      <c r="O75" s="23"/>
      <c r="P75" s="23"/>
      <c r="Q75" s="37"/>
      <c r="R75" s="19"/>
      <c r="S75" s="23"/>
      <c r="T75" s="23"/>
      <c r="U75" s="23"/>
      <c r="V75" s="23"/>
      <c r="W75" s="23"/>
      <c r="X75" s="24"/>
      <c r="Y75" s="440"/>
      <c r="Z75" s="441"/>
      <c r="AA75" s="442"/>
      <c r="AB75" s="443"/>
      <c r="AC75" s="444"/>
      <c r="AD75" s="30"/>
      <c r="AE75" s="29" t="s">
        <v>244</v>
      </c>
      <c r="AF75" s="29"/>
      <c r="AG75" s="29"/>
      <c r="AH75" s="40"/>
      <c r="AI75" s="40"/>
      <c r="AJ75" s="40"/>
      <c r="AK75" s="40"/>
      <c r="AL75" s="40"/>
      <c r="AM75" s="40"/>
      <c r="AN75" s="40"/>
      <c r="AO75" s="41"/>
      <c r="AP75" s="41"/>
      <c r="AQ75" s="41"/>
      <c r="AR75" s="41"/>
      <c r="AS75" s="136"/>
      <c r="AT75" s="43"/>
      <c r="AU75" s="67"/>
      <c r="AV75" s="67"/>
      <c r="AW75" s="67"/>
      <c r="AX75" s="67"/>
      <c r="AY75" s="67"/>
      <c r="AZ75" s="67"/>
      <c r="BA75" s="67"/>
      <c r="BB75" s="67"/>
      <c r="BC75" s="67"/>
      <c r="BD75" s="68"/>
    </row>
    <row r="76" spans="1:56" ht="14.4" customHeight="1">
      <c r="A76" s="70" t="str">
        <f>IF(B76="","",COUNTA($B$8:B76))</f>
        <v/>
      </c>
      <c r="B76" s="19"/>
      <c r="C76" s="20"/>
      <c r="D76" s="20"/>
      <c r="E76" s="20"/>
      <c r="F76" s="20"/>
      <c r="G76" s="20"/>
      <c r="H76" s="24"/>
      <c r="I76" s="34"/>
      <c r="J76" s="23"/>
      <c r="K76" s="23"/>
      <c r="L76" s="23"/>
      <c r="M76" s="23"/>
      <c r="N76" s="23"/>
      <c r="O76" s="23"/>
      <c r="P76" s="23"/>
      <c r="Q76" s="37"/>
      <c r="R76" s="19"/>
      <c r="S76" s="23"/>
      <c r="T76" s="23"/>
      <c r="U76" s="23"/>
      <c r="V76" s="23"/>
      <c r="W76" s="23"/>
      <c r="X76" s="24"/>
      <c r="Y76" s="440"/>
      <c r="Z76" s="441"/>
      <c r="AA76" s="442"/>
      <c r="AB76" s="443"/>
      <c r="AC76" s="444"/>
      <c r="AD76" s="30"/>
      <c r="AE76" s="29" t="s">
        <v>244</v>
      </c>
      <c r="AF76" s="29"/>
      <c r="AG76" s="29"/>
      <c r="AH76" s="40"/>
      <c r="AI76" s="40"/>
      <c r="AJ76" s="40"/>
      <c r="AK76" s="40"/>
      <c r="AL76" s="40"/>
      <c r="AM76" s="40"/>
      <c r="AN76" s="40"/>
      <c r="AO76" s="41"/>
      <c r="AP76" s="41"/>
      <c r="AQ76" s="41"/>
      <c r="AR76" s="41"/>
      <c r="AS76" s="136"/>
      <c r="AT76" s="43"/>
      <c r="AU76" s="67"/>
      <c r="AV76" s="67"/>
      <c r="AW76" s="67"/>
      <c r="AX76" s="67"/>
      <c r="AY76" s="67"/>
      <c r="AZ76" s="67"/>
      <c r="BA76" s="67"/>
      <c r="BB76" s="67"/>
      <c r="BC76" s="67"/>
      <c r="BD76" s="68"/>
    </row>
    <row r="77" spans="1:56" ht="14.4" customHeight="1">
      <c r="A77" s="70" t="str">
        <f>IF(B77="","",COUNTA($B$8:B77))</f>
        <v/>
      </c>
      <c r="B77" s="19"/>
      <c r="C77" s="20"/>
      <c r="D77" s="20"/>
      <c r="E77" s="20"/>
      <c r="F77" s="20"/>
      <c r="G77" s="20"/>
      <c r="H77" s="24"/>
      <c r="I77" s="34"/>
      <c r="J77" s="23"/>
      <c r="K77" s="23"/>
      <c r="L77" s="23"/>
      <c r="M77" s="23"/>
      <c r="N77" s="23"/>
      <c r="O77" s="23"/>
      <c r="P77" s="23"/>
      <c r="Q77" s="37"/>
      <c r="R77" s="19"/>
      <c r="S77" s="23"/>
      <c r="T77" s="23"/>
      <c r="U77" s="23"/>
      <c r="V77" s="23"/>
      <c r="W77" s="23"/>
      <c r="X77" s="24"/>
      <c r="Y77" s="440"/>
      <c r="Z77" s="441"/>
      <c r="AA77" s="442"/>
      <c r="AB77" s="443"/>
      <c r="AC77" s="444"/>
      <c r="AD77" s="30"/>
      <c r="AE77" s="29" t="s">
        <v>244</v>
      </c>
      <c r="AF77" s="29"/>
      <c r="AG77" s="29"/>
      <c r="AH77" s="40"/>
      <c r="AI77" s="40"/>
      <c r="AJ77" s="40"/>
      <c r="AK77" s="40"/>
      <c r="AL77" s="40"/>
      <c r="AM77" s="40"/>
      <c r="AN77" s="40"/>
      <c r="AO77" s="41"/>
      <c r="AP77" s="41"/>
      <c r="AQ77" s="41"/>
      <c r="AR77" s="41"/>
      <c r="AS77" s="136"/>
      <c r="AT77" s="43"/>
      <c r="AU77" s="67"/>
      <c r="AV77" s="67"/>
      <c r="AW77" s="67"/>
      <c r="AX77" s="67"/>
      <c r="AY77" s="67"/>
      <c r="AZ77" s="67"/>
      <c r="BA77" s="67"/>
      <c r="BB77" s="67"/>
      <c r="BC77" s="67"/>
      <c r="BD77" s="68"/>
    </row>
    <row r="78" spans="1:56" ht="14.4" customHeight="1">
      <c r="A78" s="70" t="str">
        <f>IF(B78="","",COUNTA($B$8:B78))</f>
        <v/>
      </c>
      <c r="B78" s="19"/>
      <c r="C78" s="20"/>
      <c r="D78" s="20"/>
      <c r="E78" s="20"/>
      <c r="F78" s="20"/>
      <c r="G78" s="20"/>
      <c r="H78" s="24"/>
      <c r="I78" s="34"/>
      <c r="J78" s="23"/>
      <c r="K78" s="23"/>
      <c r="L78" s="23"/>
      <c r="M78" s="23"/>
      <c r="N78" s="23"/>
      <c r="O78" s="23"/>
      <c r="P78" s="23"/>
      <c r="Q78" s="37"/>
      <c r="R78" s="19"/>
      <c r="S78" s="23"/>
      <c r="T78" s="23"/>
      <c r="U78" s="23"/>
      <c r="V78" s="23"/>
      <c r="W78" s="23"/>
      <c r="X78" s="24"/>
      <c r="Y78" s="440"/>
      <c r="Z78" s="441"/>
      <c r="AA78" s="442"/>
      <c r="AB78" s="443"/>
      <c r="AC78" s="444"/>
      <c r="AD78" s="30"/>
      <c r="AE78" s="29" t="s">
        <v>244</v>
      </c>
      <c r="AF78" s="29"/>
      <c r="AG78" s="29"/>
      <c r="AH78" s="40"/>
      <c r="AI78" s="40"/>
      <c r="AJ78" s="40"/>
      <c r="AK78" s="40"/>
      <c r="AL78" s="40"/>
      <c r="AM78" s="40"/>
      <c r="AN78" s="40"/>
      <c r="AO78" s="41"/>
      <c r="AP78" s="41"/>
      <c r="AQ78" s="41"/>
      <c r="AR78" s="41"/>
      <c r="AS78" s="136"/>
      <c r="AT78" s="43"/>
      <c r="AU78" s="67"/>
      <c r="AV78" s="67"/>
      <c r="AW78" s="67"/>
      <c r="AX78" s="67"/>
      <c r="AY78" s="67"/>
      <c r="AZ78" s="67"/>
      <c r="BA78" s="67"/>
      <c r="BB78" s="67"/>
      <c r="BC78" s="67"/>
      <c r="BD78" s="68"/>
    </row>
    <row r="79" spans="1:56" ht="14.4" customHeight="1">
      <c r="A79" s="70" t="str">
        <f>IF(B79="","",COUNTA($B$8:B79))</f>
        <v/>
      </c>
      <c r="B79" s="19"/>
      <c r="C79" s="20"/>
      <c r="D79" s="20"/>
      <c r="E79" s="20"/>
      <c r="F79" s="20"/>
      <c r="G79" s="20"/>
      <c r="H79" s="24"/>
      <c r="I79" s="34"/>
      <c r="J79" s="23"/>
      <c r="K79" s="23"/>
      <c r="L79" s="23"/>
      <c r="M79" s="23"/>
      <c r="N79" s="23"/>
      <c r="O79" s="23"/>
      <c r="P79" s="23"/>
      <c r="Q79" s="37"/>
      <c r="R79" s="19"/>
      <c r="S79" s="23"/>
      <c r="T79" s="23"/>
      <c r="U79" s="23"/>
      <c r="V79" s="23"/>
      <c r="W79" s="23"/>
      <c r="X79" s="24"/>
      <c r="Y79" s="440"/>
      <c r="Z79" s="441"/>
      <c r="AA79" s="442"/>
      <c r="AB79" s="443"/>
      <c r="AC79" s="444"/>
      <c r="AD79" s="30"/>
      <c r="AE79" s="29" t="s">
        <v>244</v>
      </c>
      <c r="AF79" s="29"/>
      <c r="AG79" s="29"/>
      <c r="AH79" s="40"/>
      <c r="AI79" s="40"/>
      <c r="AJ79" s="40"/>
      <c r="AK79" s="40"/>
      <c r="AL79" s="40"/>
      <c r="AM79" s="40"/>
      <c r="AN79" s="40"/>
      <c r="AO79" s="41"/>
      <c r="AP79" s="41"/>
      <c r="AQ79" s="41"/>
      <c r="AR79" s="41"/>
      <c r="AS79" s="136"/>
      <c r="AT79" s="43"/>
      <c r="AU79" s="67"/>
      <c r="AV79" s="67"/>
      <c r="AW79" s="67"/>
      <c r="AX79" s="67"/>
      <c r="AY79" s="67"/>
      <c r="AZ79" s="67"/>
      <c r="BA79" s="67"/>
      <c r="BB79" s="67"/>
      <c r="BC79" s="67"/>
      <c r="BD79" s="68"/>
    </row>
    <row r="80" spans="1:56" ht="14.4" customHeight="1">
      <c r="A80" s="70" t="str">
        <f>IF(B80="","",COUNTA($B$8:B80))</f>
        <v/>
      </c>
      <c r="B80" s="19"/>
      <c r="C80" s="20"/>
      <c r="D80" s="20"/>
      <c r="E80" s="20"/>
      <c r="F80" s="20"/>
      <c r="G80" s="20"/>
      <c r="H80" s="24"/>
      <c r="I80" s="34"/>
      <c r="J80" s="23"/>
      <c r="K80" s="23"/>
      <c r="L80" s="23"/>
      <c r="M80" s="23"/>
      <c r="N80" s="23"/>
      <c r="O80" s="23"/>
      <c r="P80" s="23"/>
      <c r="Q80" s="37"/>
      <c r="R80" s="19"/>
      <c r="S80" s="23"/>
      <c r="T80" s="23"/>
      <c r="U80" s="23"/>
      <c r="V80" s="23"/>
      <c r="W80" s="23"/>
      <c r="X80" s="24"/>
      <c r="Y80" s="440"/>
      <c r="Z80" s="441"/>
      <c r="AA80" s="442"/>
      <c r="AB80" s="443"/>
      <c r="AC80" s="444"/>
      <c r="AD80" s="30"/>
      <c r="AE80" s="29" t="s">
        <v>244</v>
      </c>
      <c r="AF80" s="29"/>
      <c r="AG80" s="29"/>
      <c r="AH80" s="40"/>
      <c r="AI80" s="40"/>
      <c r="AJ80" s="40"/>
      <c r="AK80" s="40"/>
      <c r="AL80" s="40"/>
      <c r="AM80" s="40"/>
      <c r="AN80" s="40"/>
      <c r="AO80" s="41"/>
      <c r="AP80" s="41"/>
      <c r="AQ80" s="41"/>
      <c r="AR80" s="41"/>
      <c r="AS80" s="136"/>
      <c r="AT80" s="43"/>
      <c r="AU80" s="67"/>
      <c r="AV80" s="67"/>
      <c r="AW80" s="67"/>
      <c r="AX80" s="67"/>
      <c r="AY80" s="67"/>
      <c r="AZ80" s="67"/>
      <c r="BA80" s="67"/>
      <c r="BB80" s="67"/>
      <c r="BC80" s="67"/>
      <c r="BD80" s="68"/>
    </row>
    <row r="81" spans="1:56" ht="14.4" customHeight="1">
      <c r="A81" s="70" t="str">
        <f>IF(B81="","",COUNTA($B$8:B81))</f>
        <v/>
      </c>
      <c r="B81" s="19"/>
      <c r="C81" s="20"/>
      <c r="D81" s="20"/>
      <c r="E81" s="20"/>
      <c r="F81" s="20"/>
      <c r="G81" s="20"/>
      <c r="H81" s="24"/>
      <c r="I81" s="34"/>
      <c r="J81" s="23"/>
      <c r="K81" s="23"/>
      <c r="L81" s="23"/>
      <c r="M81" s="23"/>
      <c r="N81" s="23"/>
      <c r="O81" s="23"/>
      <c r="P81" s="23"/>
      <c r="Q81" s="37"/>
      <c r="R81" s="19"/>
      <c r="S81" s="23"/>
      <c r="T81" s="23"/>
      <c r="U81" s="23"/>
      <c r="V81" s="23"/>
      <c r="W81" s="23"/>
      <c r="X81" s="24"/>
      <c r="Y81" s="440"/>
      <c r="Z81" s="441"/>
      <c r="AA81" s="442"/>
      <c r="AB81" s="443"/>
      <c r="AC81" s="444"/>
      <c r="AD81" s="30"/>
      <c r="AE81" s="29" t="s">
        <v>244</v>
      </c>
      <c r="AF81" s="29"/>
      <c r="AG81" s="29"/>
      <c r="AH81" s="40"/>
      <c r="AI81" s="40"/>
      <c r="AJ81" s="40"/>
      <c r="AK81" s="40"/>
      <c r="AL81" s="40"/>
      <c r="AM81" s="40"/>
      <c r="AN81" s="40"/>
      <c r="AO81" s="41"/>
      <c r="AP81" s="41"/>
      <c r="AQ81" s="41"/>
      <c r="AR81" s="41"/>
      <c r="AS81" s="136"/>
      <c r="AT81" s="43"/>
      <c r="AU81" s="67"/>
      <c r="AV81" s="67"/>
      <c r="AW81" s="67"/>
      <c r="AX81" s="67"/>
      <c r="AY81" s="67"/>
      <c r="AZ81" s="67"/>
      <c r="BA81" s="67"/>
      <c r="BB81" s="67"/>
      <c r="BC81" s="67"/>
      <c r="BD81" s="68"/>
    </row>
    <row r="82" spans="1:56" ht="14.4" customHeight="1">
      <c r="A82" s="70" t="str">
        <f>IF(B82="","",COUNTA($B$8:B82))</f>
        <v/>
      </c>
      <c r="B82" s="19"/>
      <c r="C82" s="20"/>
      <c r="D82" s="20"/>
      <c r="E82" s="20"/>
      <c r="F82" s="20"/>
      <c r="G82" s="20"/>
      <c r="H82" s="24"/>
      <c r="I82" s="34"/>
      <c r="J82" s="23"/>
      <c r="K82" s="23"/>
      <c r="L82" s="23"/>
      <c r="M82" s="23"/>
      <c r="N82" s="23"/>
      <c r="O82" s="23"/>
      <c r="P82" s="23"/>
      <c r="Q82" s="37"/>
      <c r="R82" s="19"/>
      <c r="S82" s="23"/>
      <c r="T82" s="23"/>
      <c r="U82" s="23"/>
      <c r="V82" s="23"/>
      <c r="W82" s="23"/>
      <c r="X82" s="24"/>
      <c r="Y82" s="440"/>
      <c r="Z82" s="441"/>
      <c r="AA82" s="442"/>
      <c r="AB82" s="443"/>
      <c r="AC82" s="444"/>
      <c r="AD82" s="30"/>
      <c r="AE82" s="29" t="s">
        <v>244</v>
      </c>
      <c r="AF82" s="29"/>
      <c r="AG82" s="29"/>
      <c r="AH82" s="40"/>
      <c r="AI82" s="40"/>
      <c r="AJ82" s="40"/>
      <c r="AK82" s="40"/>
      <c r="AL82" s="40"/>
      <c r="AM82" s="40"/>
      <c r="AN82" s="40"/>
      <c r="AO82" s="41"/>
      <c r="AP82" s="41"/>
      <c r="AQ82" s="41"/>
      <c r="AR82" s="41"/>
      <c r="AS82" s="136"/>
      <c r="AT82" s="43"/>
      <c r="AU82" s="67"/>
      <c r="AV82" s="67"/>
      <c r="AW82" s="67"/>
      <c r="AX82" s="67"/>
      <c r="AY82" s="67"/>
      <c r="AZ82" s="67"/>
      <c r="BA82" s="67"/>
      <c r="BB82" s="67"/>
      <c r="BC82" s="67"/>
      <c r="BD82" s="68"/>
    </row>
    <row r="83" spans="1:56" ht="14.4" customHeight="1">
      <c r="A83" s="70" t="str">
        <f>IF(B83="","",COUNTA($B$8:B83))</f>
        <v/>
      </c>
      <c r="B83" s="19"/>
      <c r="C83" s="20"/>
      <c r="D83" s="20"/>
      <c r="E83" s="20"/>
      <c r="F83" s="20"/>
      <c r="G83" s="20"/>
      <c r="H83" s="24"/>
      <c r="I83" s="34"/>
      <c r="J83" s="23"/>
      <c r="K83" s="23"/>
      <c r="L83" s="23"/>
      <c r="M83" s="23"/>
      <c r="N83" s="23"/>
      <c r="O83" s="23"/>
      <c r="P83" s="23"/>
      <c r="Q83" s="37"/>
      <c r="R83" s="19"/>
      <c r="S83" s="23"/>
      <c r="T83" s="23"/>
      <c r="U83" s="23"/>
      <c r="V83" s="23"/>
      <c r="W83" s="23"/>
      <c r="X83" s="24"/>
      <c r="Y83" s="440"/>
      <c r="Z83" s="441"/>
      <c r="AA83" s="442"/>
      <c r="AB83" s="443"/>
      <c r="AC83" s="444"/>
      <c r="AD83" s="30"/>
      <c r="AE83" s="29" t="s">
        <v>244</v>
      </c>
      <c r="AF83" s="29"/>
      <c r="AG83" s="29"/>
      <c r="AH83" s="40"/>
      <c r="AI83" s="40"/>
      <c r="AJ83" s="40"/>
      <c r="AK83" s="40"/>
      <c r="AL83" s="40"/>
      <c r="AM83" s="40"/>
      <c r="AN83" s="40"/>
      <c r="AO83" s="41"/>
      <c r="AP83" s="41"/>
      <c r="AQ83" s="41"/>
      <c r="AR83" s="41"/>
      <c r="AS83" s="136"/>
      <c r="AT83" s="43"/>
      <c r="AU83" s="67"/>
      <c r="AV83" s="67"/>
      <c r="AW83" s="67"/>
      <c r="AX83" s="67"/>
      <c r="AY83" s="67"/>
      <c r="AZ83" s="67"/>
      <c r="BA83" s="67"/>
      <c r="BB83" s="67"/>
      <c r="BC83" s="67"/>
      <c r="BD83" s="68"/>
    </row>
    <row r="84" spans="1:56" ht="14.4" customHeight="1">
      <c r="A84" s="70" t="str">
        <f>IF(B84="","",COUNTA($B$8:B84))</f>
        <v/>
      </c>
      <c r="B84" s="19"/>
      <c r="C84" s="20"/>
      <c r="D84" s="20"/>
      <c r="E84" s="20"/>
      <c r="F84" s="20"/>
      <c r="G84" s="20"/>
      <c r="H84" s="24"/>
      <c r="I84" s="34"/>
      <c r="J84" s="23"/>
      <c r="K84" s="23"/>
      <c r="L84" s="23"/>
      <c r="M84" s="23"/>
      <c r="N84" s="23"/>
      <c r="O84" s="23"/>
      <c r="P84" s="23"/>
      <c r="Q84" s="37"/>
      <c r="R84" s="19"/>
      <c r="S84" s="23"/>
      <c r="T84" s="23"/>
      <c r="U84" s="23"/>
      <c r="V84" s="23"/>
      <c r="W84" s="23"/>
      <c r="X84" s="24"/>
      <c r="Y84" s="440"/>
      <c r="Z84" s="441"/>
      <c r="AA84" s="442"/>
      <c r="AB84" s="443"/>
      <c r="AC84" s="444"/>
      <c r="AD84" s="30"/>
      <c r="AE84" s="29" t="s">
        <v>244</v>
      </c>
      <c r="AF84" s="29"/>
      <c r="AG84" s="29"/>
      <c r="AH84" s="40"/>
      <c r="AI84" s="40"/>
      <c r="AJ84" s="40"/>
      <c r="AK84" s="40"/>
      <c r="AL84" s="40"/>
      <c r="AM84" s="40"/>
      <c r="AN84" s="40"/>
      <c r="AO84" s="41"/>
      <c r="AP84" s="41"/>
      <c r="AQ84" s="41"/>
      <c r="AR84" s="41"/>
      <c r="AS84" s="136"/>
      <c r="AT84" s="43"/>
      <c r="AU84" s="67"/>
      <c r="AV84" s="67"/>
      <c r="AW84" s="67"/>
      <c r="AX84" s="67"/>
      <c r="AY84" s="67"/>
      <c r="AZ84" s="67"/>
      <c r="BA84" s="67"/>
      <c r="BB84" s="67"/>
      <c r="BC84" s="67"/>
      <c r="BD84" s="68"/>
    </row>
    <row r="85" spans="1:56" ht="14.4" customHeight="1">
      <c r="A85" s="70" t="str">
        <f>IF(B85="","",COUNTA($B$8:B85))</f>
        <v/>
      </c>
      <c r="B85" s="19"/>
      <c r="C85" s="20"/>
      <c r="D85" s="20"/>
      <c r="E85" s="20"/>
      <c r="F85" s="20"/>
      <c r="G85" s="20"/>
      <c r="H85" s="24"/>
      <c r="I85" s="34"/>
      <c r="J85" s="23"/>
      <c r="K85" s="23"/>
      <c r="L85" s="23"/>
      <c r="M85" s="23"/>
      <c r="N85" s="23"/>
      <c r="O85" s="23"/>
      <c r="P85" s="23"/>
      <c r="Q85" s="37"/>
      <c r="R85" s="19"/>
      <c r="S85" s="23"/>
      <c r="T85" s="23"/>
      <c r="U85" s="23"/>
      <c r="V85" s="23"/>
      <c r="W85" s="23"/>
      <c r="X85" s="24"/>
      <c r="Y85" s="440"/>
      <c r="Z85" s="441"/>
      <c r="AA85" s="442"/>
      <c r="AB85" s="443"/>
      <c r="AC85" s="444"/>
      <c r="AD85" s="30"/>
      <c r="AE85" s="29" t="s">
        <v>244</v>
      </c>
      <c r="AF85" s="29"/>
      <c r="AG85" s="29"/>
      <c r="AH85" s="40"/>
      <c r="AI85" s="40"/>
      <c r="AJ85" s="40"/>
      <c r="AK85" s="40"/>
      <c r="AL85" s="40"/>
      <c r="AM85" s="40"/>
      <c r="AN85" s="40"/>
      <c r="AO85" s="41"/>
      <c r="AP85" s="41"/>
      <c r="AQ85" s="41"/>
      <c r="AR85" s="41"/>
      <c r="AS85" s="136"/>
      <c r="AT85" s="43"/>
      <c r="AU85" s="67"/>
      <c r="AV85" s="67"/>
      <c r="AW85" s="67"/>
      <c r="AX85" s="67"/>
      <c r="AY85" s="67"/>
      <c r="AZ85" s="67"/>
      <c r="BA85" s="67"/>
      <c r="BB85" s="67"/>
      <c r="BC85" s="67"/>
      <c r="BD85" s="68"/>
    </row>
  </sheetData>
  <dataConsolidate/>
  <mergeCells count="172">
    <mergeCell ref="Y84:Z84"/>
    <mergeCell ref="AA84:AC84"/>
    <mergeCell ref="Y85:Z85"/>
    <mergeCell ref="AA85:AC85"/>
    <mergeCell ref="Y79:Z79"/>
    <mergeCell ref="AA79:AC79"/>
    <mergeCell ref="Y80:Z80"/>
    <mergeCell ref="AA80:AC80"/>
    <mergeCell ref="Y81:Z81"/>
    <mergeCell ref="AA81:AC81"/>
    <mergeCell ref="Y82:Z82"/>
    <mergeCell ref="AA82:AC82"/>
    <mergeCell ref="Y83:Z83"/>
    <mergeCell ref="AA83:AC83"/>
    <mergeCell ref="Y78:Z78"/>
    <mergeCell ref="AA78:AC78"/>
    <mergeCell ref="Y41:Z41"/>
    <mergeCell ref="Y65:Z65"/>
    <mergeCell ref="AA65:AC65"/>
    <mergeCell ref="Y66:Z66"/>
    <mergeCell ref="AA66:AC66"/>
    <mergeCell ref="Y67:Z67"/>
    <mergeCell ref="AA67:AC67"/>
    <mergeCell ref="Y68:Z68"/>
    <mergeCell ref="AA68:AC68"/>
    <mergeCell ref="Y63:Z63"/>
    <mergeCell ref="AA63:AC63"/>
    <mergeCell ref="Y64:Z64"/>
    <mergeCell ref="Y75:Z75"/>
    <mergeCell ref="AA75:AC75"/>
    <mergeCell ref="Y72:Z72"/>
    <mergeCell ref="AA72:AC72"/>
    <mergeCell ref="Y73:Z73"/>
    <mergeCell ref="AA73:AC73"/>
    <mergeCell ref="Y60:Z60"/>
    <mergeCell ref="AA60:AC60"/>
    <mergeCell ref="Y57:Z57"/>
    <mergeCell ref="AA57:AC57"/>
    <mergeCell ref="AA31:AC31"/>
    <mergeCell ref="AA33:AC33"/>
    <mergeCell ref="Y35:Z35"/>
    <mergeCell ref="AA35:AC35"/>
    <mergeCell ref="Y34:Z34"/>
    <mergeCell ref="Y76:Z76"/>
    <mergeCell ref="AA76:AC76"/>
    <mergeCell ref="Y77:Z77"/>
    <mergeCell ref="AA77:AC77"/>
    <mergeCell ref="Y74:Z74"/>
    <mergeCell ref="AA74:AC74"/>
    <mergeCell ref="Y69:Z69"/>
    <mergeCell ref="AA69:AC69"/>
    <mergeCell ref="Y70:Z70"/>
    <mergeCell ref="AA70:AC70"/>
    <mergeCell ref="Y71:Z71"/>
    <mergeCell ref="AA71:AC71"/>
    <mergeCell ref="AA64:AC64"/>
    <mergeCell ref="Y61:Z61"/>
    <mergeCell ref="AA61:AC61"/>
    <mergeCell ref="Y62:Z62"/>
    <mergeCell ref="AA62:AC62"/>
    <mergeCell ref="AA58:AC58"/>
    <mergeCell ref="AA59:AC59"/>
    <mergeCell ref="Y24:Z24"/>
    <mergeCell ref="AA24:AC24"/>
    <mergeCell ref="Y50:Z50"/>
    <mergeCell ref="AA34:AC34"/>
    <mergeCell ref="AA28:AC28"/>
    <mergeCell ref="Y29:Z29"/>
    <mergeCell ref="AA29:AC29"/>
    <mergeCell ref="Y30:Z30"/>
    <mergeCell ref="AA30:AC30"/>
    <mergeCell ref="AA32:AC32"/>
    <mergeCell ref="Y33:Z33"/>
    <mergeCell ref="Y36:Z36"/>
    <mergeCell ref="Y25:Z25"/>
    <mergeCell ref="AA25:AC25"/>
    <mergeCell ref="AA36:AC36"/>
    <mergeCell ref="Y32:Z32"/>
    <mergeCell ref="Y46:Z46"/>
    <mergeCell ref="AA46:AC46"/>
    <mergeCell ref="Y47:Z47"/>
    <mergeCell ref="AA47:AC47"/>
    <mergeCell ref="Y48:Z48"/>
    <mergeCell ref="AA48:AC48"/>
    <mergeCell ref="AA49:AC49"/>
    <mergeCell ref="AA50:AC50"/>
    <mergeCell ref="Y53:Z53"/>
    <mergeCell ref="AA53:AC53"/>
    <mergeCell ref="Y54:Z54"/>
    <mergeCell ref="AA54:AC54"/>
    <mergeCell ref="Y52:Z52"/>
    <mergeCell ref="AA52:AC52"/>
    <mergeCell ref="Y55:Z55"/>
    <mergeCell ref="Y56:Z56"/>
    <mergeCell ref="AA55:AC55"/>
    <mergeCell ref="AA56:AC56"/>
    <mergeCell ref="Y51:Z51"/>
    <mergeCell ref="AA51:AC51"/>
    <mergeCell ref="Y11:Z11"/>
    <mergeCell ref="AA11:AC11"/>
    <mergeCell ref="Y12:Z12"/>
    <mergeCell ref="AA12:AC12"/>
    <mergeCell ref="Y13:Z13"/>
    <mergeCell ref="AA13:AC13"/>
    <mergeCell ref="Y22:Z22"/>
    <mergeCell ref="AA22:AC22"/>
    <mergeCell ref="Y23:Z23"/>
    <mergeCell ref="AA23:AC23"/>
    <mergeCell ref="Y21:Z21"/>
    <mergeCell ref="AA21:AC21"/>
    <mergeCell ref="AA26:AC26"/>
    <mergeCell ref="Y27:Z27"/>
    <mergeCell ref="Y26:Z26"/>
    <mergeCell ref="Y37:Z37"/>
    <mergeCell ref="AA37:AC37"/>
    <mergeCell ref="Y38:Z38"/>
    <mergeCell ref="AA38:AC38"/>
    <mergeCell ref="Y49:Z49"/>
    <mergeCell ref="AA27:AC27"/>
    <mergeCell ref="Y28:Z28"/>
    <mergeCell ref="Y44:Z44"/>
    <mergeCell ref="AA44:AC44"/>
    <mergeCell ref="Y45:Z45"/>
    <mergeCell ref="AA45:AC45"/>
    <mergeCell ref="Y31:Z31"/>
    <mergeCell ref="A6:A7"/>
    <mergeCell ref="B6:H7"/>
    <mergeCell ref="I6:Q7"/>
    <mergeCell ref="R6:X7"/>
    <mergeCell ref="Y10:Z10"/>
    <mergeCell ref="AA10:AC10"/>
    <mergeCell ref="Y9:Z9"/>
    <mergeCell ref="AA9:AC9"/>
    <mergeCell ref="Y8:Z8"/>
    <mergeCell ref="AA8:AC8"/>
    <mergeCell ref="Y39:Z39"/>
    <mergeCell ref="AA39:AC39"/>
    <mergeCell ref="Y40:Z40"/>
    <mergeCell ref="AA40:AC40"/>
    <mergeCell ref="AA41:AC41"/>
    <mergeCell ref="Y42:Z42"/>
    <mergeCell ref="AA42:AC42"/>
    <mergeCell ref="Y43:Z43"/>
    <mergeCell ref="AA43:AC43"/>
    <mergeCell ref="A1:H4"/>
    <mergeCell ref="AZ1:BD1"/>
    <mergeCell ref="I2:Q4"/>
    <mergeCell ref="R2:X4"/>
    <mergeCell ref="Y2:AO3"/>
    <mergeCell ref="AP2:AT2"/>
    <mergeCell ref="AZ2:BD2"/>
    <mergeCell ref="AP3:AT3"/>
    <mergeCell ref="I1:Q1"/>
    <mergeCell ref="R1:X1"/>
    <mergeCell ref="Y1:AO1"/>
    <mergeCell ref="AP1:AT1"/>
    <mergeCell ref="AU1:AY1"/>
    <mergeCell ref="AP4:AT4"/>
    <mergeCell ref="AU4:AY4"/>
    <mergeCell ref="AU3:AY3"/>
    <mergeCell ref="AZ3:BD3"/>
    <mergeCell ref="AG6:AG7"/>
    <mergeCell ref="AH6:AH7"/>
    <mergeCell ref="AI6:AR6"/>
    <mergeCell ref="AS6:BD7"/>
    <mergeCell ref="AZ4:BD4"/>
    <mergeCell ref="Y6:Z7"/>
    <mergeCell ref="AA6:AC7"/>
    <mergeCell ref="AD6:AD7"/>
    <mergeCell ref="AE6:AE7"/>
    <mergeCell ref="AF6:AF7"/>
    <mergeCell ref="Y4:AO4"/>
  </mergeCells>
  <phoneticPr fontId="5"/>
  <dataValidations count="3">
    <dataValidation imeMode="hiragana" allowBlank="1" showInputMessage="1" showErrorMessage="1" sqref="JO65529:JZ65531 TK65529:TV65531 ADG65529:ADR65531 ANC65529:ANN65531 AWY65529:AXJ65531 BGU65529:BHF65531 BQQ65529:BRB65531 CAM65529:CAX65531 CKI65529:CKT65531 CUE65529:CUP65531 DEA65529:DEL65531 DNW65529:DOH65531 DXS65529:DYD65531 EHO65529:EHZ65531 ERK65529:ERV65531 FBG65529:FBR65531 FLC65529:FLN65531 FUY65529:FVJ65531 GEU65529:GFF65531 GOQ65529:GPB65531 GYM65529:GYX65531 HII65529:HIT65531 HSE65529:HSP65531 ICA65529:ICL65531 ILW65529:IMH65531 IVS65529:IWD65531 JFO65529:JFZ65531 JPK65529:JPV65531 JZG65529:JZR65531 KJC65529:KJN65531 KSY65529:KTJ65531 LCU65529:LDF65531 LMQ65529:LNB65531 LWM65529:LWX65531 MGI65529:MGT65531 MQE65529:MQP65531 NAA65529:NAL65531 NJW65529:NKH65531 NTS65529:NUD65531 ODO65529:ODZ65531 ONK65529:ONV65531 OXG65529:OXR65531 PHC65529:PHN65531 PQY65529:PRJ65531 QAU65529:QBF65531 QKQ65529:QLB65531 QUM65529:QUX65531 REI65529:RET65531 ROE65529:ROP65531 RYA65529:RYL65531 SHW65529:SIH65531 SRS65529:SSD65531 TBO65529:TBZ65531 TLK65529:TLV65531 TVG65529:TVR65531 UFC65529:UFN65531 UOY65529:UPJ65531 UYU65529:UZF65531 VIQ65529:VJB65531 VSM65529:VSX65531 WCI65529:WCT65531 WME65529:WMP65531 WWA65529:WWL65531 JO131065:JZ131067 TK131065:TV131067 ADG131065:ADR131067 ANC131065:ANN131067 AWY131065:AXJ131067 BGU131065:BHF131067 BQQ131065:BRB131067 CAM131065:CAX131067 CKI131065:CKT131067 CUE131065:CUP131067 DEA131065:DEL131067 DNW131065:DOH131067 DXS131065:DYD131067 EHO131065:EHZ131067 ERK131065:ERV131067 FBG131065:FBR131067 FLC131065:FLN131067 FUY131065:FVJ131067 GEU131065:GFF131067 GOQ131065:GPB131067 GYM131065:GYX131067 HII131065:HIT131067 HSE131065:HSP131067 ICA131065:ICL131067 ILW131065:IMH131067 IVS131065:IWD131067 JFO131065:JFZ131067 JPK131065:JPV131067 JZG131065:JZR131067 KJC131065:KJN131067 KSY131065:KTJ131067 LCU131065:LDF131067 LMQ131065:LNB131067 LWM131065:LWX131067 MGI131065:MGT131067 MQE131065:MQP131067 NAA131065:NAL131067 NJW131065:NKH131067 NTS131065:NUD131067 ODO131065:ODZ131067 ONK131065:ONV131067 OXG131065:OXR131067 PHC131065:PHN131067 PQY131065:PRJ131067 QAU131065:QBF131067 QKQ131065:QLB131067 QUM131065:QUX131067 REI131065:RET131067 ROE131065:ROP131067 RYA131065:RYL131067 SHW131065:SIH131067 SRS131065:SSD131067 TBO131065:TBZ131067 TLK131065:TLV131067 TVG131065:TVR131067 UFC131065:UFN131067 UOY131065:UPJ131067 UYU131065:UZF131067 VIQ131065:VJB131067 VSM131065:VSX131067 WCI131065:WCT131067 WME131065:WMP131067 WWA131065:WWL131067 JO196601:JZ196603 TK196601:TV196603 ADG196601:ADR196603 ANC196601:ANN196603 AWY196601:AXJ196603 BGU196601:BHF196603 BQQ196601:BRB196603 CAM196601:CAX196603 CKI196601:CKT196603 CUE196601:CUP196603 DEA196601:DEL196603 DNW196601:DOH196603 DXS196601:DYD196603 EHO196601:EHZ196603 ERK196601:ERV196603 FBG196601:FBR196603 FLC196601:FLN196603 FUY196601:FVJ196603 GEU196601:GFF196603 GOQ196601:GPB196603 GYM196601:GYX196603 HII196601:HIT196603 HSE196601:HSP196603 ICA196601:ICL196603 ILW196601:IMH196603 IVS196601:IWD196603 JFO196601:JFZ196603 JPK196601:JPV196603 JZG196601:JZR196603 KJC196601:KJN196603 KSY196601:KTJ196603 LCU196601:LDF196603 LMQ196601:LNB196603 LWM196601:LWX196603 MGI196601:MGT196603 MQE196601:MQP196603 NAA196601:NAL196603 NJW196601:NKH196603 NTS196601:NUD196603 ODO196601:ODZ196603 ONK196601:ONV196603 OXG196601:OXR196603 PHC196601:PHN196603 PQY196601:PRJ196603 QAU196601:QBF196603 QKQ196601:QLB196603 QUM196601:QUX196603 REI196601:RET196603 ROE196601:ROP196603 RYA196601:RYL196603 SHW196601:SIH196603 SRS196601:SSD196603 TBO196601:TBZ196603 TLK196601:TLV196603 TVG196601:TVR196603 UFC196601:UFN196603 UOY196601:UPJ196603 UYU196601:UZF196603 VIQ196601:VJB196603 VSM196601:VSX196603 WCI196601:WCT196603 WME196601:WMP196603 WWA196601:WWL196603 JO262137:JZ262139 TK262137:TV262139 ADG262137:ADR262139 ANC262137:ANN262139 AWY262137:AXJ262139 BGU262137:BHF262139 BQQ262137:BRB262139 CAM262137:CAX262139 CKI262137:CKT262139 CUE262137:CUP262139 DEA262137:DEL262139 DNW262137:DOH262139 DXS262137:DYD262139 EHO262137:EHZ262139 ERK262137:ERV262139 FBG262137:FBR262139 FLC262137:FLN262139 FUY262137:FVJ262139 GEU262137:GFF262139 GOQ262137:GPB262139 GYM262137:GYX262139 HII262137:HIT262139 HSE262137:HSP262139 ICA262137:ICL262139 ILW262137:IMH262139 IVS262137:IWD262139 JFO262137:JFZ262139 JPK262137:JPV262139 JZG262137:JZR262139 KJC262137:KJN262139 KSY262137:KTJ262139 LCU262137:LDF262139 LMQ262137:LNB262139 LWM262137:LWX262139 MGI262137:MGT262139 MQE262137:MQP262139 NAA262137:NAL262139 NJW262137:NKH262139 NTS262137:NUD262139 ODO262137:ODZ262139 ONK262137:ONV262139 OXG262137:OXR262139 PHC262137:PHN262139 PQY262137:PRJ262139 QAU262137:QBF262139 QKQ262137:QLB262139 QUM262137:QUX262139 REI262137:RET262139 ROE262137:ROP262139 RYA262137:RYL262139 SHW262137:SIH262139 SRS262137:SSD262139 TBO262137:TBZ262139 TLK262137:TLV262139 TVG262137:TVR262139 UFC262137:UFN262139 UOY262137:UPJ262139 UYU262137:UZF262139 VIQ262137:VJB262139 VSM262137:VSX262139 WCI262137:WCT262139 WME262137:WMP262139 WWA262137:WWL262139 JO327673:JZ327675 TK327673:TV327675 ADG327673:ADR327675 ANC327673:ANN327675 AWY327673:AXJ327675 BGU327673:BHF327675 BQQ327673:BRB327675 CAM327673:CAX327675 CKI327673:CKT327675 CUE327673:CUP327675 DEA327673:DEL327675 DNW327673:DOH327675 DXS327673:DYD327675 EHO327673:EHZ327675 ERK327673:ERV327675 FBG327673:FBR327675 FLC327673:FLN327675 FUY327673:FVJ327675 GEU327673:GFF327675 GOQ327673:GPB327675 GYM327673:GYX327675 HII327673:HIT327675 HSE327673:HSP327675 ICA327673:ICL327675 ILW327673:IMH327675 IVS327673:IWD327675 JFO327673:JFZ327675 JPK327673:JPV327675 JZG327673:JZR327675 KJC327673:KJN327675 KSY327673:KTJ327675 LCU327673:LDF327675 LMQ327673:LNB327675 LWM327673:LWX327675 MGI327673:MGT327675 MQE327673:MQP327675 NAA327673:NAL327675 NJW327673:NKH327675 NTS327673:NUD327675 ODO327673:ODZ327675 ONK327673:ONV327675 OXG327673:OXR327675 PHC327673:PHN327675 PQY327673:PRJ327675 QAU327673:QBF327675 QKQ327673:QLB327675 QUM327673:QUX327675 REI327673:RET327675 ROE327673:ROP327675 RYA327673:RYL327675 SHW327673:SIH327675 SRS327673:SSD327675 TBO327673:TBZ327675 TLK327673:TLV327675 TVG327673:TVR327675 UFC327673:UFN327675 UOY327673:UPJ327675 UYU327673:UZF327675 VIQ327673:VJB327675 VSM327673:VSX327675 WCI327673:WCT327675 WME327673:WMP327675 WWA327673:WWL327675 JO393209:JZ393211 TK393209:TV393211 ADG393209:ADR393211 ANC393209:ANN393211 AWY393209:AXJ393211 BGU393209:BHF393211 BQQ393209:BRB393211 CAM393209:CAX393211 CKI393209:CKT393211 CUE393209:CUP393211 DEA393209:DEL393211 DNW393209:DOH393211 DXS393209:DYD393211 EHO393209:EHZ393211 ERK393209:ERV393211 FBG393209:FBR393211 FLC393209:FLN393211 FUY393209:FVJ393211 GEU393209:GFF393211 GOQ393209:GPB393211 GYM393209:GYX393211 HII393209:HIT393211 HSE393209:HSP393211 ICA393209:ICL393211 ILW393209:IMH393211 IVS393209:IWD393211 JFO393209:JFZ393211 JPK393209:JPV393211 JZG393209:JZR393211 KJC393209:KJN393211 KSY393209:KTJ393211 LCU393209:LDF393211 LMQ393209:LNB393211 LWM393209:LWX393211 MGI393209:MGT393211 MQE393209:MQP393211 NAA393209:NAL393211 NJW393209:NKH393211 NTS393209:NUD393211 ODO393209:ODZ393211 ONK393209:ONV393211 OXG393209:OXR393211 PHC393209:PHN393211 PQY393209:PRJ393211 QAU393209:QBF393211 QKQ393209:QLB393211 QUM393209:QUX393211 REI393209:RET393211 ROE393209:ROP393211 RYA393209:RYL393211 SHW393209:SIH393211 SRS393209:SSD393211 TBO393209:TBZ393211 TLK393209:TLV393211 TVG393209:TVR393211 UFC393209:UFN393211 UOY393209:UPJ393211 UYU393209:UZF393211 VIQ393209:VJB393211 VSM393209:VSX393211 WCI393209:WCT393211 WME393209:WMP393211 WWA393209:WWL393211 JO458745:JZ458747 TK458745:TV458747 ADG458745:ADR458747 ANC458745:ANN458747 AWY458745:AXJ458747 BGU458745:BHF458747 BQQ458745:BRB458747 CAM458745:CAX458747 CKI458745:CKT458747 CUE458745:CUP458747 DEA458745:DEL458747 DNW458745:DOH458747 DXS458745:DYD458747 EHO458745:EHZ458747 ERK458745:ERV458747 FBG458745:FBR458747 FLC458745:FLN458747 FUY458745:FVJ458747 GEU458745:GFF458747 GOQ458745:GPB458747 GYM458745:GYX458747 HII458745:HIT458747 HSE458745:HSP458747 ICA458745:ICL458747 ILW458745:IMH458747 IVS458745:IWD458747 JFO458745:JFZ458747 JPK458745:JPV458747 JZG458745:JZR458747 KJC458745:KJN458747 KSY458745:KTJ458747 LCU458745:LDF458747 LMQ458745:LNB458747 LWM458745:LWX458747 MGI458745:MGT458747 MQE458745:MQP458747 NAA458745:NAL458747 NJW458745:NKH458747 NTS458745:NUD458747 ODO458745:ODZ458747 ONK458745:ONV458747 OXG458745:OXR458747 PHC458745:PHN458747 PQY458745:PRJ458747 QAU458745:QBF458747 QKQ458745:QLB458747 QUM458745:QUX458747 REI458745:RET458747 ROE458745:ROP458747 RYA458745:RYL458747 SHW458745:SIH458747 SRS458745:SSD458747 TBO458745:TBZ458747 TLK458745:TLV458747 TVG458745:TVR458747 UFC458745:UFN458747 UOY458745:UPJ458747 UYU458745:UZF458747 VIQ458745:VJB458747 VSM458745:VSX458747 WCI458745:WCT458747 WME458745:WMP458747 WWA458745:WWL458747 JO524281:JZ524283 TK524281:TV524283 ADG524281:ADR524283 ANC524281:ANN524283 AWY524281:AXJ524283 BGU524281:BHF524283 BQQ524281:BRB524283 CAM524281:CAX524283 CKI524281:CKT524283 CUE524281:CUP524283 DEA524281:DEL524283 DNW524281:DOH524283 DXS524281:DYD524283 EHO524281:EHZ524283 ERK524281:ERV524283 FBG524281:FBR524283 FLC524281:FLN524283 FUY524281:FVJ524283 GEU524281:GFF524283 GOQ524281:GPB524283 GYM524281:GYX524283 HII524281:HIT524283 HSE524281:HSP524283 ICA524281:ICL524283 ILW524281:IMH524283 IVS524281:IWD524283 JFO524281:JFZ524283 JPK524281:JPV524283 JZG524281:JZR524283 KJC524281:KJN524283 KSY524281:KTJ524283 LCU524281:LDF524283 LMQ524281:LNB524283 LWM524281:LWX524283 MGI524281:MGT524283 MQE524281:MQP524283 NAA524281:NAL524283 NJW524281:NKH524283 NTS524281:NUD524283 ODO524281:ODZ524283 ONK524281:ONV524283 OXG524281:OXR524283 PHC524281:PHN524283 PQY524281:PRJ524283 QAU524281:QBF524283 QKQ524281:QLB524283 QUM524281:QUX524283 REI524281:RET524283 ROE524281:ROP524283 RYA524281:RYL524283 SHW524281:SIH524283 SRS524281:SSD524283 TBO524281:TBZ524283 TLK524281:TLV524283 TVG524281:TVR524283 UFC524281:UFN524283 UOY524281:UPJ524283 UYU524281:UZF524283 VIQ524281:VJB524283 VSM524281:VSX524283 WCI524281:WCT524283 WME524281:WMP524283 WWA524281:WWL524283 JO589817:JZ589819 TK589817:TV589819 ADG589817:ADR589819 ANC589817:ANN589819 AWY589817:AXJ589819 BGU589817:BHF589819 BQQ589817:BRB589819 CAM589817:CAX589819 CKI589817:CKT589819 CUE589817:CUP589819 DEA589817:DEL589819 DNW589817:DOH589819 DXS589817:DYD589819 EHO589817:EHZ589819 ERK589817:ERV589819 FBG589817:FBR589819 FLC589817:FLN589819 FUY589817:FVJ589819 GEU589817:GFF589819 GOQ589817:GPB589819 GYM589817:GYX589819 HII589817:HIT589819 HSE589817:HSP589819 ICA589817:ICL589819 ILW589817:IMH589819 IVS589817:IWD589819 JFO589817:JFZ589819 JPK589817:JPV589819 JZG589817:JZR589819 KJC589817:KJN589819 KSY589817:KTJ589819 LCU589817:LDF589819 LMQ589817:LNB589819 LWM589817:LWX589819 MGI589817:MGT589819 MQE589817:MQP589819 NAA589817:NAL589819 NJW589817:NKH589819 NTS589817:NUD589819 ODO589817:ODZ589819 ONK589817:ONV589819 OXG589817:OXR589819 PHC589817:PHN589819 PQY589817:PRJ589819 QAU589817:QBF589819 QKQ589817:QLB589819 QUM589817:QUX589819 REI589817:RET589819 ROE589817:ROP589819 RYA589817:RYL589819 SHW589817:SIH589819 SRS589817:SSD589819 TBO589817:TBZ589819 TLK589817:TLV589819 TVG589817:TVR589819 UFC589817:UFN589819 UOY589817:UPJ589819 UYU589817:UZF589819 VIQ589817:VJB589819 VSM589817:VSX589819 WCI589817:WCT589819 WME589817:WMP589819 WWA589817:WWL589819 JO655353:JZ655355 TK655353:TV655355 ADG655353:ADR655355 ANC655353:ANN655355 AWY655353:AXJ655355 BGU655353:BHF655355 BQQ655353:BRB655355 CAM655353:CAX655355 CKI655353:CKT655355 CUE655353:CUP655355 DEA655353:DEL655355 DNW655353:DOH655355 DXS655353:DYD655355 EHO655353:EHZ655355 ERK655353:ERV655355 FBG655353:FBR655355 FLC655353:FLN655355 FUY655353:FVJ655355 GEU655353:GFF655355 GOQ655353:GPB655355 GYM655353:GYX655355 HII655353:HIT655355 HSE655353:HSP655355 ICA655353:ICL655355 ILW655353:IMH655355 IVS655353:IWD655355 JFO655353:JFZ655355 JPK655353:JPV655355 JZG655353:JZR655355 KJC655353:KJN655355 KSY655353:KTJ655355 LCU655353:LDF655355 LMQ655353:LNB655355 LWM655353:LWX655355 MGI655353:MGT655355 MQE655353:MQP655355 NAA655353:NAL655355 NJW655353:NKH655355 NTS655353:NUD655355 ODO655353:ODZ655355 ONK655353:ONV655355 OXG655353:OXR655355 PHC655353:PHN655355 PQY655353:PRJ655355 QAU655353:QBF655355 QKQ655353:QLB655355 QUM655353:QUX655355 REI655353:RET655355 ROE655353:ROP655355 RYA655353:RYL655355 SHW655353:SIH655355 SRS655353:SSD655355 TBO655353:TBZ655355 TLK655353:TLV655355 TVG655353:TVR655355 UFC655353:UFN655355 UOY655353:UPJ655355 UYU655353:UZF655355 VIQ655353:VJB655355 VSM655353:VSX655355 WCI655353:WCT655355 WME655353:WMP655355 WWA655353:WWL655355 JO720889:JZ720891 TK720889:TV720891 ADG720889:ADR720891 ANC720889:ANN720891 AWY720889:AXJ720891 BGU720889:BHF720891 BQQ720889:BRB720891 CAM720889:CAX720891 CKI720889:CKT720891 CUE720889:CUP720891 DEA720889:DEL720891 DNW720889:DOH720891 DXS720889:DYD720891 EHO720889:EHZ720891 ERK720889:ERV720891 FBG720889:FBR720891 FLC720889:FLN720891 FUY720889:FVJ720891 GEU720889:GFF720891 GOQ720889:GPB720891 GYM720889:GYX720891 HII720889:HIT720891 HSE720889:HSP720891 ICA720889:ICL720891 ILW720889:IMH720891 IVS720889:IWD720891 JFO720889:JFZ720891 JPK720889:JPV720891 JZG720889:JZR720891 KJC720889:KJN720891 KSY720889:KTJ720891 LCU720889:LDF720891 LMQ720889:LNB720891 LWM720889:LWX720891 MGI720889:MGT720891 MQE720889:MQP720891 NAA720889:NAL720891 NJW720889:NKH720891 NTS720889:NUD720891 ODO720889:ODZ720891 ONK720889:ONV720891 OXG720889:OXR720891 PHC720889:PHN720891 PQY720889:PRJ720891 QAU720889:QBF720891 QKQ720889:QLB720891 QUM720889:QUX720891 REI720889:RET720891 ROE720889:ROP720891 RYA720889:RYL720891 SHW720889:SIH720891 SRS720889:SSD720891 TBO720889:TBZ720891 TLK720889:TLV720891 TVG720889:TVR720891 UFC720889:UFN720891 UOY720889:UPJ720891 UYU720889:UZF720891 VIQ720889:VJB720891 VSM720889:VSX720891 WCI720889:WCT720891 WME720889:WMP720891 WWA720889:WWL720891 JO786425:JZ786427 TK786425:TV786427 ADG786425:ADR786427 ANC786425:ANN786427 AWY786425:AXJ786427 BGU786425:BHF786427 BQQ786425:BRB786427 CAM786425:CAX786427 CKI786425:CKT786427 CUE786425:CUP786427 DEA786425:DEL786427 DNW786425:DOH786427 DXS786425:DYD786427 EHO786425:EHZ786427 ERK786425:ERV786427 FBG786425:FBR786427 FLC786425:FLN786427 FUY786425:FVJ786427 GEU786425:GFF786427 GOQ786425:GPB786427 GYM786425:GYX786427 HII786425:HIT786427 HSE786425:HSP786427 ICA786425:ICL786427 ILW786425:IMH786427 IVS786425:IWD786427 JFO786425:JFZ786427 JPK786425:JPV786427 JZG786425:JZR786427 KJC786425:KJN786427 KSY786425:KTJ786427 LCU786425:LDF786427 LMQ786425:LNB786427 LWM786425:LWX786427 MGI786425:MGT786427 MQE786425:MQP786427 NAA786425:NAL786427 NJW786425:NKH786427 NTS786425:NUD786427 ODO786425:ODZ786427 ONK786425:ONV786427 OXG786425:OXR786427 PHC786425:PHN786427 PQY786425:PRJ786427 QAU786425:QBF786427 QKQ786425:QLB786427 QUM786425:QUX786427 REI786425:RET786427 ROE786425:ROP786427 RYA786425:RYL786427 SHW786425:SIH786427 SRS786425:SSD786427 TBO786425:TBZ786427 TLK786425:TLV786427 TVG786425:TVR786427 UFC786425:UFN786427 UOY786425:UPJ786427 UYU786425:UZF786427 VIQ786425:VJB786427 VSM786425:VSX786427 WCI786425:WCT786427 WME786425:WMP786427 WWA786425:WWL786427 JO851961:JZ851963 TK851961:TV851963 ADG851961:ADR851963 ANC851961:ANN851963 AWY851961:AXJ851963 BGU851961:BHF851963 BQQ851961:BRB851963 CAM851961:CAX851963 CKI851961:CKT851963 CUE851961:CUP851963 DEA851961:DEL851963 DNW851961:DOH851963 DXS851961:DYD851963 EHO851961:EHZ851963 ERK851961:ERV851963 FBG851961:FBR851963 FLC851961:FLN851963 FUY851961:FVJ851963 GEU851961:GFF851963 GOQ851961:GPB851963 GYM851961:GYX851963 HII851961:HIT851963 HSE851961:HSP851963 ICA851961:ICL851963 ILW851961:IMH851963 IVS851961:IWD851963 JFO851961:JFZ851963 JPK851961:JPV851963 JZG851961:JZR851963 KJC851961:KJN851963 KSY851961:KTJ851963 LCU851961:LDF851963 LMQ851961:LNB851963 LWM851961:LWX851963 MGI851961:MGT851963 MQE851961:MQP851963 NAA851961:NAL851963 NJW851961:NKH851963 NTS851961:NUD851963 ODO851961:ODZ851963 ONK851961:ONV851963 OXG851961:OXR851963 PHC851961:PHN851963 PQY851961:PRJ851963 QAU851961:QBF851963 QKQ851961:QLB851963 QUM851961:QUX851963 REI851961:RET851963 ROE851961:ROP851963 RYA851961:RYL851963 SHW851961:SIH851963 SRS851961:SSD851963 TBO851961:TBZ851963 TLK851961:TLV851963 TVG851961:TVR851963 UFC851961:UFN851963 UOY851961:UPJ851963 UYU851961:UZF851963 VIQ851961:VJB851963 VSM851961:VSX851963 WCI851961:WCT851963 WME851961:WMP851963 WWA851961:WWL851963 JO917497:JZ917499 TK917497:TV917499 ADG917497:ADR917499 ANC917497:ANN917499 AWY917497:AXJ917499 BGU917497:BHF917499 BQQ917497:BRB917499 CAM917497:CAX917499 CKI917497:CKT917499 CUE917497:CUP917499 DEA917497:DEL917499 DNW917497:DOH917499 DXS917497:DYD917499 EHO917497:EHZ917499 ERK917497:ERV917499 FBG917497:FBR917499 FLC917497:FLN917499 FUY917497:FVJ917499 GEU917497:GFF917499 GOQ917497:GPB917499 GYM917497:GYX917499 HII917497:HIT917499 HSE917497:HSP917499 ICA917497:ICL917499 ILW917497:IMH917499 IVS917497:IWD917499 JFO917497:JFZ917499 JPK917497:JPV917499 JZG917497:JZR917499 KJC917497:KJN917499 KSY917497:KTJ917499 LCU917497:LDF917499 LMQ917497:LNB917499 LWM917497:LWX917499 MGI917497:MGT917499 MQE917497:MQP917499 NAA917497:NAL917499 NJW917497:NKH917499 NTS917497:NUD917499 ODO917497:ODZ917499 ONK917497:ONV917499 OXG917497:OXR917499 PHC917497:PHN917499 PQY917497:PRJ917499 QAU917497:QBF917499 QKQ917497:QLB917499 QUM917497:QUX917499 REI917497:RET917499 ROE917497:ROP917499 RYA917497:RYL917499 SHW917497:SIH917499 SRS917497:SSD917499 TBO917497:TBZ917499 TLK917497:TLV917499 TVG917497:TVR917499 UFC917497:UFN917499 UOY917497:UPJ917499 UYU917497:UZF917499 VIQ917497:VJB917499 VSM917497:VSX917499 WCI917497:WCT917499 WME917497:WMP917499 WWA917497:WWL917499 JO983033:JZ983035 TK983033:TV983035 ADG983033:ADR983035 ANC983033:ANN983035 AWY983033:AXJ983035 BGU983033:BHF983035 BQQ983033:BRB983035 CAM983033:CAX983035 CKI983033:CKT983035 CUE983033:CUP983035 DEA983033:DEL983035 DNW983033:DOH983035 DXS983033:DYD983035 EHO983033:EHZ983035 ERK983033:ERV983035 FBG983033:FBR983035 FLC983033:FLN983035 FUY983033:FVJ983035 GEU983033:GFF983035 GOQ983033:GPB983035 GYM983033:GYX983035 HII983033:HIT983035 HSE983033:HSP983035 ICA983033:ICL983035 ILW983033:IMH983035 IVS983033:IWD983035 JFO983033:JFZ983035 JPK983033:JPV983035 JZG983033:JZR983035 KJC983033:KJN983035 KSY983033:KTJ983035 LCU983033:LDF983035 LMQ983033:LNB983035 LWM983033:LWX983035 MGI983033:MGT983035 MQE983033:MQP983035 NAA983033:NAL983035 NJW983033:NKH983035 NTS983033:NUD983035 ODO983033:ODZ983035 ONK983033:ONV983035 OXG983033:OXR983035 PHC983033:PHN983035 PQY983033:PRJ983035 QAU983033:QBF983035 QKQ983033:QLB983035 QUM983033:QUX983035 REI983033:RET983035 ROE983033:ROP983035 RYA983033:RYL983035 SHW983033:SIH983035 SRS983033:SSD983035 TBO983033:TBZ983035 TLK983033:TLV983035 TVG983033:TVR983035 UFC983033:UFN983035 UOY983033:UPJ983035 UYU983033:UZF983035 VIQ983033:VJB983035 VSM983033:VSX983035 WCI983033:WCT983035 WME983033:WMP983035 WWA983033:WWL983035 JP2:KA4 TL2:TW4 ADH2:ADS4 AND2:ANO4 AWZ2:AXK4 BGV2:BHG4 BQR2:BRC4 CAN2:CAY4 CKJ2:CKU4 CUF2:CUQ4 DEB2:DEM4 DNX2:DOI4 DXT2:DYE4 EHP2:EIA4 ERL2:ERW4 FBH2:FBS4 FLD2:FLO4 FUZ2:FVK4 GEV2:GFG4 GOR2:GPC4 GYN2:GYY4 HIJ2:HIU4 HSF2:HSQ4 ICB2:ICM4 ILX2:IMI4 IVT2:IWE4 JFP2:JGA4 JPL2:JPW4 JZH2:JZS4 KJD2:KJO4 KSZ2:KTK4 LCV2:LDG4 LMR2:LNC4 LWN2:LWY4 MGJ2:MGU4 MQF2:MQQ4 NAB2:NAM4 NJX2:NKI4 NTT2:NUE4 ODP2:OEA4 ONL2:ONW4 OXH2:OXS4 PHD2:PHO4 PQZ2:PRK4 QAV2:QBG4 QKR2:QLC4 QUN2:QUY4 REJ2:REU4 ROF2:ROQ4 RYB2:RYM4 SHX2:SII4 SRT2:SSE4 TBP2:TCA4 TLL2:TLW4 TVH2:TVS4 UFD2:UFO4 UOZ2:UPK4 UYV2:UZG4 VIR2:VJC4 VSN2:VSY4 WCJ2:WCU4 WMF2:WMQ4 WWB2:WWM4 AC65529:AM65531 AC983033:AM983035 AC917497:AM917499 AC851961:AM851963 AC786425:AM786427 AC720889:AM720891 AC655353:AM655355 AC589817:AM589819 AC524281:AM524283 AC458745:AM458747 AC393209:AM393211 AC327673:AM327675 AC262137:AM262139 AC196601:AM196603 AC131065:AM131067 R2"/>
    <dataValidation type="list" allowBlank="1" showInputMessage="1" showErrorMessage="1" sqref="Y8:Z85">
      <formula1>"文字,数値,日付,時間"</formula1>
    </dataValidation>
    <dataValidation type="list" allowBlank="1" showInputMessage="1" showErrorMessage="1" sqref="AA8:AC85">
      <formula1>"int,numeric,varchar,date,datetime2(0),datetime2,varbinary(max)"</formula1>
    </dataValidation>
  </dataValidations>
  <pageMargins left="0.39370078740157483" right="0.39370078740157483" top="0.59055118110236227" bottom="0.39370078740157483" header="0.39370078740157483" footer="0.19685039370078741"/>
  <pageSetup paperSize="9" scale="80" fitToHeight="0" orientation="landscape" useFirstPageNumber="1" verticalDpi="300" r:id="rId1"/>
  <headerFooter alignWithMargins="0">
    <oddFooter>&amp;R&amp;A - &amp;P</oddFooter>
  </headerFooter>
  <legacyDrawing r:id="rId2"/>
</worksheet>
</file>

<file path=xl/worksheets/sheet1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56"/>
  <dimension ref="A1:BE85"/>
  <sheetViews>
    <sheetView showGridLines="0" zoomScaleNormal="100" zoomScaleSheetLayoutView="100" workbookViewId="0">
      <pane ySplit="7" topLeftCell="A8" activePane="bottomLeft" state="frozen"/>
      <selection sqref="A1:K4"/>
      <selection pane="bottomLeft" sqref="A1:H4"/>
    </sheetView>
  </sheetViews>
  <sheetFormatPr defaultColWidth="2.6328125" defaultRowHeight="14.4" customHeight="1"/>
  <cols>
    <col min="1" max="1" width="4.6328125" style="18" customWidth="1"/>
    <col min="2" max="29" width="2.6328125" style="18"/>
    <col min="30" max="30" width="4.6328125" style="18" customWidth="1"/>
    <col min="31" max="33" width="2.6328125" style="18"/>
    <col min="34" max="34" width="6.6328125" style="18" customWidth="1"/>
    <col min="35" max="44" width="2.6328125" style="18"/>
    <col min="45" max="56" width="2.6328125" style="46"/>
    <col min="57" max="16384" width="2.6328125" style="18"/>
  </cols>
  <sheetData>
    <row r="1" spans="1:57" s="17" customFormat="1" ht="14.4" customHeight="1">
      <c r="A1" s="417" t="s">
        <v>78</v>
      </c>
      <c r="B1" s="418"/>
      <c r="C1" s="418"/>
      <c r="D1" s="418"/>
      <c r="E1" s="418"/>
      <c r="F1" s="418"/>
      <c r="G1" s="418"/>
      <c r="H1" s="419"/>
      <c r="I1" s="354" t="s">
        <v>79</v>
      </c>
      <c r="J1" s="355"/>
      <c r="K1" s="355"/>
      <c r="L1" s="355"/>
      <c r="M1" s="355"/>
      <c r="N1" s="355"/>
      <c r="O1" s="355"/>
      <c r="P1" s="355"/>
      <c r="Q1" s="356"/>
      <c r="R1" s="354" t="s">
        <v>80</v>
      </c>
      <c r="S1" s="355"/>
      <c r="T1" s="355"/>
      <c r="U1" s="355"/>
      <c r="V1" s="355"/>
      <c r="W1" s="355"/>
      <c r="X1" s="356"/>
      <c r="Y1" s="354" t="s">
        <v>135</v>
      </c>
      <c r="Z1" s="355"/>
      <c r="AA1" s="355"/>
      <c r="AB1" s="355"/>
      <c r="AC1" s="355"/>
      <c r="AD1" s="355"/>
      <c r="AE1" s="355"/>
      <c r="AF1" s="355"/>
      <c r="AG1" s="355"/>
      <c r="AH1" s="355"/>
      <c r="AI1" s="355"/>
      <c r="AJ1" s="355"/>
      <c r="AK1" s="355"/>
      <c r="AL1" s="355"/>
      <c r="AM1" s="355"/>
      <c r="AN1" s="355"/>
      <c r="AO1" s="356"/>
      <c r="AP1" s="428" t="s">
        <v>82</v>
      </c>
      <c r="AQ1" s="429"/>
      <c r="AR1" s="429"/>
      <c r="AS1" s="429"/>
      <c r="AT1" s="430"/>
      <c r="AU1" s="428" t="s">
        <v>83</v>
      </c>
      <c r="AV1" s="429"/>
      <c r="AW1" s="429"/>
      <c r="AX1" s="429"/>
      <c r="AY1" s="430"/>
      <c r="AZ1" s="428" t="s">
        <v>84</v>
      </c>
      <c r="BA1" s="429"/>
      <c r="BB1" s="429"/>
      <c r="BC1" s="429"/>
      <c r="BD1" s="430"/>
    </row>
    <row r="2" spans="1:57" s="17" customFormat="1" ht="14.4" customHeight="1">
      <c r="A2" s="420"/>
      <c r="B2" s="421"/>
      <c r="C2" s="421"/>
      <c r="D2" s="421"/>
      <c r="E2" s="421"/>
      <c r="F2" s="421"/>
      <c r="G2" s="421"/>
      <c r="H2" s="422"/>
      <c r="I2" s="384" t="s">
        <v>85</v>
      </c>
      <c r="J2" s="385"/>
      <c r="K2" s="385"/>
      <c r="L2" s="385"/>
      <c r="M2" s="385"/>
      <c r="N2" s="385"/>
      <c r="O2" s="385"/>
      <c r="P2" s="385"/>
      <c r="Q2" s="386"/>
      <c r="R2" s="384" t="str">
        <f ca="1">VLOOKUP(RIGHT(CELL("filename",A2),LEN(CELL("filename",A2))-FIND("]",CELL("filename",A2))),テーブル一覧!B:AD,22,FALSE)</f>
        <v>B.生産計画</v>
      </c>
      <c r="S2" s="385"/>
      <c r="T2" s="385"/>
      <c r="U2" s="385"/>
      <c r="V2" s="385"/>
      <c r="W2" s="385"/>
      <c r="X2" s="386"/>
      <c r="Y2" s="384" t="str">
        <f ca="1">VLOOKUP(RIGHT(CELL("filename",A2),LEN(CELL("filename",A2))-FIND("]",CELL("filename",A2))),テーブル一覧!B:AD,1,FALSE)</f>
        <v>生産計画情報（外注加工）</v>
      </c>
      <c r="Z2" s="385"/>
      <c r="AA2" s="385"/>
      <c r="AB2" s="385"/>
      <c r="AC2" s="385"/>
      <c r="AD2" s="385"/>
      <c r="AE2" s="385"/>
      <c r="AF2" s="385"/>
      <c r="AG2" s="385"/>
      <c r="AH2" s="385"/>
      <c r="AI2" s="385"/>
      <c r="AJ2" s="385"/>
      <c r="AK2" s="385"/>
      <c r="AL2" s="385"/>
      <c r="AM2" s="385"/>
      <c r="AN2" s="385"/>
      <c r="AO2" s="386"/>
      <c r="AP2" s="357"/>
      <c r="AQ2" s="358"/>
      <c r="AR2" s="358"/>
      <c r="AS2" s="358"/>
      <c r="AT2" s="359"/>
      <c r="AU2" s="58" t="s">
        <v>88</v>
      </c>
      <c r="AV2" s="59"/>
      <c r="AW2" s="59"/>
      <c r="AX2" s="59"/>
      <c r="AY2" s="60"/>
      <c r="AZ2" s="434" t="s">
        <v>89</v>
      </c>
      <c r="BA2" s="435"/>
      <c r="BB2" s="435"/>
      <c r="BC2" s="435"/>
      <c r="BD2" s="436"/>
    </row>
    <row r="3" spans="1:57" s="17" customFormat="1" ht="14.4" customHeight="1">
      <c r="A3" s="420"/>
      <c r="B3" s="421"/>
      <c r="C3" s="421"/>
      <c r="D3" s="421"/>
      <c r="E3" s="421"/>
      <c r="F3" s="421"/>
      <c r="G3" s="421"/>
      <c r="H3" s="422"/>
      <c r="I3" s="387"/>
      <c r="J3" s="388"/>
      <c r="K3" s="388"/>
      <c r="L3" s="388"/>
      <c r="M3" s="388"/>
      <c r="N3" s="388"/>
      <c r="O3" s="388"/>
      <c r="P3" s="388"/>
      <c r="Q3" s="389"/>
      <c r="R3" s="387"/>
      <c r="S3" s="388"/>
      <c r="T3" s="388"/>
      <c r="U3" s="388"/>
      <c r="V3" s="388"/>
      <c r="W3" s="388"/>
      <c r="X3" s="389"/>
      <c r="Y3" s="390"/>
      <c r="Z3" s="391"/>
      <c r="AA3" s="391"/>
      <c r="AB3" s="391"/>
      <c r="AC3" s="391"/>
      <c r="AD3" s="391"/>
      <c r="AE3" s="391"/>
      <c r="AF3" s="391"/>
      <c r="AG3" s="391"/>
      <c r="AH3" s="391"/>
      <c r="AI3" s="391"/>
      <c r="AJ3" s="391"/>
      <c r="AK3" s="391"/>
      <c r="AL3" s="391"/>
      <c r="AM3" s="391"/>
      <c r="AN3" s="391"/>
      <c r="AO3" s="392"/>
      <c r="AP3" s="360"/>
      <c r="AQ3" s="361"/>
      <c r="AR3" s="361"/>
      <c r="AS3" s="361"/>
      <c r="AT3" s="362"/>
      <c r="AU3" s="431"/>
      <c r="AV3" s="432"/>
      <c r="AW3" s="432"/>
      <c r="AX3" s="432"/>
      <c r="AY3" s="433"/>
      <c r="AZ3" s="434"/>
      <c r="BA3" s="435"/>
      <c r="BB3" s="435"/>
      <c r="BC3" s="435"/>
      <c r="BD3" s="436"/>
    </row>
    <row r="4" spans="1:57" s="17" customFormat="1" ht="14.4" customHeight="1">
      <c r="A4" s="423"/>
      <c r="B4" s="424"/>
      <c r="C4" s="424"/>
      <c r="D4" s="424"/>
      <c r="E4" s="424"/>
      <c r="F4" s="424"/>
      <c r="G4" s="424"/>
      <c r="H4" s="425"/>
      <c r="I4" s="390"/>
      <c r="J4" s="391"/>
      <c r="K4" s="391"/>
      <c r="L4" s="391"/>
      <c r="M4" s="391"/>
      <c r="N4" s="391"/>
      <c r="O4" s="391"/>
      <c r="P4" s="391"/>
      <c r="Q4" s="392"/>
      <c r="R4" s="390"/>
      <c r="S4" s="391"/>
      <c r="T4" s="391"/>
      <c r="U4" s="391"/>
      <c r="V4" s="391"/>
      <c r="W4" s="391"/>
      <c r="X4" s="392"/>
      <c r="Y4" s="437" t="str">
        <f ca="1">IF(VLOOKUP(RIGHT(CELL("filename",A2),LEN(CELL("filename",A2))-FIND("]",CELL("filename",A2))),テーブル一覧!B:AD,11,FALSE)=0,"",VLOOKUP(RIGHT(CELL("filename",A2),LEN(CELL("filename",A2))-FIND("]",CELL("filename",A2))),テーブル一覧!B:AD,11,FALSE))</f>
        <v>t_seisan_keikaku_gk</v>
      </c>
      <c r="Z4" s="438"/>
      <c r="AA4" s="438"/>
      <c r="AB4" s="438"/>
      <c r="AC4" s="438"/>
      <c r="AD4" s="438"/>
      <c r="AE4" s="438"/>
      <c r="AF4" s="438"/>
      <c r="AG4" s="438"/>
      <c r="AH4" s="438"/>
      <c r="AI4" s="438"/>
      <c r="AJ4" s="438"/>
      <c r="AK4" s="438"/>
      <c r="AL4" s="438"/>
      <c r="AM4" s="438"/>
      <c r="AN4" s="438"/>
      <c r="AO4" s="439"/>
      <c r="AP4" s="360"/>
      <c r="AQ4" s="361"/>
      <c r="AR4" s="361"/>
      <c r="AS4" s="361"/>
      <c r="AT4" s="362"/>
      <c r="AU4" s="431"/>
      <c r="AV4" s="432"/>
      <c r="AW4" s="432"/>
      <c r="AX4" s="432"/>
      <c r="AY4" s="433"/>
      <c r="AZ4" s="434"/>
      <c r="BA4" s="435"/>
      <c r="BB4" s="435"/>
      <c r="BC4" s="435"/>
      <c r="BD4" s="436"/>
    </row>
    <row r="6" spans="1:57" ht="14.4" customHeight="1">
      <c r="A6" s="426" t="s">
        <v>90</v>
      </c>
      <c r="B6" s="407" t="s">
        <v>136</v>
      </c>
      <c r="C6" s="415"/>
      <c r="D6" s="415"/>
      <c r="E6" s="415"/>
      <c r="F6" s="415"/>
      <c r="G6" s="415"/>
      <c r="H6" s="408"/>
      <c r="I6" s="407" t="s">
        <v>137</v>
      </c>
      <c r="J6" s="415"/>
      <c r="K6" s="415"/>
      <c r="L6" s="415"/>
      <c r="M6" s="415"/>
      <c r="N6" s="415"/>
      <c r="O6" s="415"/>
      <c r="P6" s="415"/>
      <c r="Q6" s="408"/>
      <c r="R6" s="407" t="s">
        <v>138</v>
      </c>
      <c r="S6" s="415"/>
      <c r="T6" s="415"/>
      <c r="U6" s="415"/>
      <c r="V6" s="415"/>
      <c r="W6" s="415"/>
      <c r="X6" s="408"/>
      <c r="Y6" s="407" t="s">
        <v>139</v>
      </c>
      <c r="Z6" s="408"/>
      <c r="AA6" s="407" t="s">
        <v>140</v>
      </c>
      <c r="AB6" s="415"/>
      <c r="AC6" s="408"/>
      <c r="AD6" s="411" t="s">
        <v>141</v>
      </c>
      <c r="AE6" s="413" t="s">
        <v>142</v>
      </c>
      <c r="AF6" s="411" t="s">
        <v>143</v>
      </c>
      <c r="AG6" s="411" t="s">
        <v>144</v>
      </c>
      <c r="AH6" s="411" t="s">
        <v>145</v>
      </c>
      <c r="AI6" s="404" t="s">
        <v>146</v>
      </c>
      <c r="AJ6" s="405"/>
      <c r="AK6" s="405"/>
      <c r="AL6" s="405"/>
      <c r="AM6" s="405"/>
      <c r="AN6" s="405"/>
      <c r="AO6" s="405"/>
      <c r="AP6" s="405"/>
      <c r="AQ6" s="405"/>
      <c r="AR6" s="406"/>
      <c r="AS6" s="407" t="s">
        <v>147</v>
      </c>
      <c r="AT6" s="415"/>
      <c r="AU6" s="415"/>
      <c r="AV6" s="415"/>
      <c r="AW6" s="415"/>
      <c r="AX6" s="415"/>
      <c r="AY6" s="415"/>
      <c r="AZ6" s="415"/>
      <c r="BA6" s="415"/>
      <c r="BB6" s="415"/>
      <c r="BC6" s="415"/>
      <c r="BD6" s="408"/>
    </row>
    <row r="7" spans="1:57" ht="14.4" customHeight="1">
      <c r="A7" s="427"/>
      <c r="B7" s="409"/>
      <c r="C7" s="416"/>
      <c r="D7" s="416"/>
      <c r="E7" s="416"/>
      <c r="F7" s="416"/>
      <c r="G7" s="416"/>
      <c r="H7" s="410"/>
      <c r="I7" s="409"/>
      <c r="J7" s="416"/>
      <c r="K7" s="416"/>
      <c r="L7" s="416"/>
      <c r="M7" s="416"/>
      <c r="N7" s="416"/>
      <c r="O7" s="416"/>
      <c r="P7" s="416"/>
      <c r="Q7" s="410"/>
      <c r="R7" s="409"/>
      <c r="S7" s="416"/>
      <c r="T7" s="416"/>
      <c r="U7" s="416"/>
      <c r="V7" s="416"/>
      <c r="W7" s="416"/>
      <c r="X7" s="410"/>
      <c r="Y7" s="409"/>
      <c r="Z7" s="410"/>
      <c r="AA7" s="409"/>
      <c r="AB7" s="416"/>
      <c r="AC7" s="410"/>
      <c r="AD7" s="412"/>
      <c r="AE7" s="414"/>
      <c r="AF7" s="412"/>
      <c r="AG7" s="412"/>
      <c r="AH7" s="412"/>
      <c r="AI7" s="52">
        <v>1</v>
      </c>
      <c r="AJ7" s="52">
        <v>2</v>
      </c>
      <c r="AK7" s="52">
        <v>3</v>
      </c>
      <c r="AL7" s="52">
        <v>4</v>
      </c>
      <c r="AM7" s="52">
        <v>5</v>
      </c>
      <c r="AN7" s="52">
        <v>6</v>
      </c>
      <c r="AO7" s="52">
        <v>7</v>
      </c>
      <c r="AP7" s="52">
        <v>8</v>
      </c>
      <c r="AQ7" s="52">
        <v>9</v>
      </c>
      <c r="AR7" s="52">
        <v>10</v>
      </c>
      <c r="AS7" s="409"/>
      <c r="AT7" s="416"/>
      <c r="AU7" s="416"/>
      <c r="AV7" s="416"/>
      <c r="AW7" s="416"/>
      <c r="AX7" s="416"/>
      <c r="AY7" s="416"/>
      <c r="AZ7" s="416"/>
      <c r="BA7" s="416"/>
      <c r="BB7" s="416"/>
      <c r="BC7" s="416"/>
      <c r="BD7" s="410"/>
    </row>
    <row r="8" spans="1:57" s="251" customFormat="1" ht="14.4" customHeight="1">
      <c r="A8" s="265">
        <f>IF(B8="","",COUNTA($B$8:B8))</f>
        <v>1</v>
      </c>
      <c r="B8" s="239" t="s">
        <v>148</v>
      </c>
      <c r="C8" s="234"/>
      <c r="D8" s="234"/>
      <c r="E8" s="234"/>
      <c r="F8" s="234"/>
      <c r="G8" s="234"/>
      <c r="H8" s="235"/>
      <c r="I8" s="248" t="s">
        <v>149</v>
      </c>
      <c r="J8" s="234"/>
      <c r="K8" s="234"/>
      <c r="L8" s="234"/>
      <c r="M8" s="234"/>
      <c r="N8" s="234"/>
      <c r="O8" s="234"/>
      <c r="P8" s="234"/>
      <c r="Q8" s="235"/>
      <c r="R8" s="239" t="s">
        <v>148</v>
      </c>
      <c r="S8" s="234"/>
      <c r="T8" s="234"/>
      <c r="U8" s="234"/>
      <c r="V8" s="234"/>
      <c r="W8" s="234"/>
      <c r="X8" s="232"/>
      <c r="Y8" s="399" t="s">
        <v>150</v>
      </c>
      <c r="Z8" s="400"/>
      <c r="AA8" s="401" t="s">
        <v>151</v>
      </c>
      <c r="AB8" s="402"/>
      <c r="AC8" s="403"/>
      <c r="AD8" s="249">
        <v>15</v>
      </c>
      <c r="AE8" s="237"/>
      <c r="AF8" s="237">
        <v>1</v>
      </c>
      <c r="AG8" s="238" t="s">
        <v>152</v>
      </c>
      <c r="AH8" s="238"/>
      <c r="AI8" s="238"/>
      <c r="AJ8" s="238"/>
      <c r="AK8" s="238"/>
      <c r="AL8" s="238"/>
      <c r="AM8" s="238"/>
      <c r="AN8" s="238"/>
      <c r="AO8" s="237"/>
      <c r="AP8" s="237"/>
      <c r="AQ8" s="237"/>
      <c r="AR8" s="237"/>
      <c r="AS8" s="240"/>
      <c r="AT8" s="218"/>
      <c r="AU8" s="218"/>
      <c r="AV8" s="218"/>
      <c r="AW8" s="218"/>
      <c r="AX8" s="218"/>
      <c r="AY8" s="218"/>
      <c r="AZ8" s="218"/>
      <c r="BA8" s="218"/>
      <c r="BB8" s="218"/>
      <c r="BC8" s="218"/>
      <c r="BD8" s="219"/>
    </row>
    <row r="9" spans="1:57" s="251" customFormat="1" ht="14.4" customHeight="1">
      <c r="A9" s="265">
        <f>IF(B9="","",COUNTA($B$8:B9))</f>
        <v>2</v>
      </c>
      <c r="B9" s="230" t="s">
        <v>347</v>
      </c>
      <c r="C9" s="231"/>
      <c r="D9" s="231"/>
      <c r="E9" s="231"/>
      <c r="F9" s="231"/>
      <c r="G9" s="231"/>
      <c r="H9" s="232"/>
      <c r="I9" s="277" t="s">
        <v>348</v>
      </c>
      <c r="J9" s="278"/>
      <c r="K9" s="278"/>
      <c r="L9" s="278"/>
      <c r="M9" s="278"/>
      <c r="N9" s="278"/>
      <c r="O9" s="278"/>
      <c r="P9" s="278"/>
      <c r="Q9" s="279"/>
      <c r="R9" s="280" t="s">
        <v>347</v>
      </c>
      <c r="S9" s="278"/>
      <c r="T9" s="278"/>
      <c r="U9" s="278"/>
      <c r="V9" s="278"/>
      <c r="W9" s="278"/>
      <c r="X9" s="281"/>
      <c r="Y9" s="471" t="s">
        <v>155</v>
      </c>
      <c r="Z9" s="472"/>
      <c r="AA9" s="401" t="s">
        <v>156</v>
      </c>
      <c r="AB9" s="402"/>
      <c r="AC9" s="403"/>
      <c r="AD9" s="249">
        <v>3</v>
      </c>
      <c r="AE9" s="237"/>
      <c r="AF9" s="237">
        <v>2</v>
      </c>
      <c r="AG9" s="238" t="s">
        <v>152</v>
      </c>
      <c r="AH9" s="238"/>
      <c r="AI9" s="238" t="s">
        <v>310</v>
      </c>
      <c r="AJ9" s="238" t="s">
        <v>349</v>
      </c>
      <c r="AK9" s="238"/>
      <c r="AL9" s="238"/>
      <c r="AM9" s="238"/>
      <c r="AN9" s="238"/>
      <c r="AO9" s="237"/>
      <c r="AP9" s="237"/>
      <c r="AQ9" s="237"/>
      <c r="AR9" s="237"/>
      <c r="AS9" s="233" t="s">
        <v>350</v>
      </c>
      <c r="AT9" s="220"/>
      <c r="AU9" s="220"/>
      <c r="AV9" s="220"/>
      <c r="AW9" s="220"/>
      <c r="AX9" s="220"/>
      <c r="AY9" s="220"/>
      <c r="AZ9" s="220"/>
      <c r="BA9" s="220"/>
      <c r="BB9" s="220"/>
      <c r="BC9" s="220"/>
      <c r="BD9" s="221"/>
    </row>
    <row r="10" spans="1:57" s="251" customFormat="1" ht="14.4" customHeight="1">
      <c r="A10" s="265">
        <f>IF(B10="","",COUNTA($B$8:B10))</f>
        <v>3</v>
      </c>
      <c r="B10" s="230" t="s">
        <v>157</v>
      </c>
      <c r="C10" s="231"/>
      <c r="D10" s="231"/>
      <c r="E10" s="231"/>
      <c r="F10" s="231"/>
      <c r="G10" s="231"/>
      <c r="H10" s="232"/>
      <c r="I10" s="248" t="s">
        <v>158</v>
      </c>
      <c r="J10" s="234"/>
      <c r="K10" s="234"/>
      <c r="L10" s="234"/>
      <c r="M10" s="234"/>
      <c r="N10" s="234"/>
      <c r="O10" s="234"/>
      <c r="P10" s="234"/>
      <c r="Q10" s="235"/>
      <c r="R10" s="230" t="s">
        <v>157</v>
      </c>
      <c r="S10" s="234"/>
      <c r="T10" s="234"/>
      <c r="U10" s="234"/>
      <c r="V10" s="234"/>
      <c r="W10" s="234"/>
      <c r="X10" s="232"/>
      <c r="Y10" s="399" t="s">
        <v>150</v>
      </c>
      <c r="Z10" s="400"/>
      <c r="AA10" s="401" t="s">
        <v>151</v>
      </c>
      <c r="AB10" s="402"/>
      <c r="AC10" s="403"/>
      <c r="AD10" s="249">
        <v>10</v>
      </c>
      <c r="AE10" s="237"/>
      <c r="AF10" s="237"/>
      <c r="AG10" s="237"/>
      <c r="AH10" s="238"/>
      <c r="AI10" s="238"/>
      <c r="AJ10" s="238"/>
      <c r="AK10" s="238"/>
      <c r="AL10" s="238"/>
      <c r="AM10" s="238"/>
      <c r="AN10" s="238"/>
      <c r="AO10" s="237"/>
      <c r="AP10" s="237"/>
      <c r="AQ10" s="237"/>
      <c r="AR10" s="237"/>
      <c r="AS10" s="233"/>
      <c r="AT10" s="220"/>
      <c r="AU10" s="220"/>
      <c r="AV10" s="220"/>
      <c r="AW10" s="220"/>
      <c r="AX10" s="220"/>
      <c r="AY10" s="220"/>
      <c r="AZ10" s="220"/>
      <c r="BA10" s="220"/>
      <c r="BB10" s="220"/>
      <c r="BC10" s="220"/>
      <c r="BD10" s="221"/>
      <c r="BE10" s="251" t="s">
        <v>1483</v>
      </c>
    </row>
    <row r="11" spans="1:57" s="251" customFormat="1" ht="14.4" customHeight="1">
      <c r="A11" s="265">
        <f>IF(B11="","",COUNTA($B$8:B11))</f>
        <v>4</v>
      </c>
      <c r="B11" s="230" t="s">
        <v>159</v>
      </c>
      <c r="C11" s="231"/>
      <c r="D11" s="231"/>
      <c r="E11" s="231"/>
      <c r="F11" s="231"/>
      <c r="G11" s="231"/>
      <c r="H11" s="232"/>
      <c r="I11" s="248" t="s">
        <v>160</v>
      </c>
      <c r="J11" s="234"/>
      <c r="K11" s="234"/>
      <c r="L11" s="234"/>
      <c r="M11" s="234"/>
      <c r="N11" s="234"/>
      <c r="O11" s="234"/>
      <c r="P11" s="234"/>
      <c r="Q11" s="235"/>
      <c r="R11" s="230" t="s">
        <v>159</v>
      </c>
      <c r="S11" s="234"/>
      <c r="T11" s="234"/>
      <c r="U11" s="234"/>
      <c r="V11" s="234"/>
      <c r="W11" s="234"/>
      <c r="X11" s="232"/>
      <c r="Y11" s="399" t="s">
        <v>150</v>
      </c>
      <c r="Z11" s="400"/>
      <c r="AA11" s="401" t="s">
        <v>151</v>
      </c>
      <c r="AB11" s="402"/>
      <c r="AC11" s="403"/>
      <c r="AD11" s="249">
        <v>4</v>
      </c>
      <c r="AE11" s="237"/>
      <c r="AF11" s="237"/>
      <c r="AG11" s="237"/>
      <c r="AH11" s="238"/>
      <c r="AI11" s="238"/>
      <c r="AJ11" s="238"/>
      <c r="AK11" s="238"/>
      <c r="AL11" s="238"/>
      <c r="AM11" s="238"/>
      <c r="AN11" s="238"/>
      <c r="AO11" s="237"/>
      <c r="AP11" s="237"/>
      <c r="AQ11" s="237"/>
      <c r="AR11" s="237"/>
      <c r="AS11" s="233"/>
      <c r="AT11" s="220"/>
      <c r="AU11" s="220"/>
      <c r="AV11" s="220"/>
      <c r="AW11" s="220"/>
      <c r="AX11" s="220"/>
      <c r="AY11" s="220"/>
      <c r="AZ11" s="220"/>
      <c r="BA11" s="220"/>
      <c r="BB11" s="220"/>
      <c r="BC11" s="220"/>
      <c r="BD11" s="221"/>
    </row>
    <row r="12" spans="1:57" s="251" customFormat="1" ht="14.4" customHeight="1">
      <c r="A12" s="265">
        <f>IF(B12="","",COUNTA($B$8:B12))</f>
        <v>5</v>
      </c>
      <c r="B12" s="256" t="s">
        <v>351</v>
      </c>
      <c r="C12" s="231"/>
      <c r="D12" s="231"/>
      <c r="E12" s="231"/>
      <c r="F12" s="231"/>
      <c r="G12" s="231"/>
      <c r="H12" s="231"/>
      <c r="I12" s="248" t="s">
        <v>352</v>
      </c>
      <c r="J12" s="234"/>
      <c r="K12" s="234"/>
      <c r="L12" s="234"/>
      <c r="M12" s="234"/>
      <c r="N12" s="234"/>
      <c r="O12" s="234"/>
      <c r="P12" s="234"/>
      <c r="Q12" s="235"/>
      <c r="R12" s="256" t="s">
        <v>351</v>
      </c>
      <c r="S12" s="231"/>
      <c r="T12" s="257"/>
      <c r="U12" s="257"/>
      <c r="V12" s="257"/>
      <c r="W12" s="257"/>
      <c r="X12" s="257"/>
      <c r="Y12" s="230" t="s">
        <v>150</v>
      </c>
      <c r="Z12" s="244"/>
      <c r="AA12" s="401" t="s">
        <v>151</v>
      </c>
      <c r="AB12" s="402"/>
      <c r="AC12" s="403"/>
      <c r="AD12" s="258">
        <v>5</v>
      </c>
      <c r="AE12" s="237"/>
      <c r="AF12" s="237"/>
      <c r="AG12" s="237"/>
      <c r="AH12" s="238"/>
      <c r="AI12" s="238"/>
      <c r="AJ12" s="238"/>
      <c r="AK12" s="238"/>
      <c r="AL12" s="238"/>
      <c r="AM12" s="238"/>
      <c r="AN12" s="238"/>
      <c r="AO12" s="237"/>
      <c r="AP12" s="237"/>
      <c r="AQ12" s="237"/>
      <c r="AR12" s="237"/>
      <c r="AS12" s="233"/>
      <c r="AT12" s="220"/>
      <c r="AU12" s="220"/>
      <c r="AV12" s="220"/>
      <c r="AW12" s="220"/>
      <c r="AX12" s="220"/>
      <c r="AY12" s="220"/>
      <c r="AZ12" s="220"/>
      <c r="BA12" s="220"/>
      <c r="BB12" s="220"/>
      <c r="BC12" s="220"/>
      <c r="BD12" s="221"/>
    </row>
    <row r="13" spans="1:57" s="251" customFormat="1" ht="14.4" customHeight="1">
      <c r="A13" s="265">
        <f>IF(B13="","",COUNTA($B$8:B13))</f>
        <v>6</v>
      </c>
      <c r="B13" s="230" t="s">
        <v>308</v>
      </c>
      <c r="C13" s="231"/>
      <c r="D13" s="231"/>
      <c r="E13" s="231"/>
      <c r="F13" s="231"/>
      <c r="G13" s="231"/>
      <c r="H13" s="232"/>
      <c r="I13" s="248" t="s">
        <v>309</v>
      </c>
      <c r="J13" s="234"/>
      <c r="K13" s="234"/>
      <c r="L13" s="234"/>
      <c r="M13" s="234"/>
      <c r="N13" s="234"/>
      <c r="O13" s="234"/>
      <c r="P13" s="234"/>
      <c r="Q13" s="235"/>
      <c r="R13" s="230" t="s">
        <v>308</v>
      </c>
      <c r="S13" s="234"/>
      <c r="T13" s="234"/>
      <c r="U13" s="234"/>
      <c r="V13" s="234"/>
      <c r="W13" s="234"/>
      <c r="X13" s="232"/>
      <c r="Y13" s="230" t="s">
        <v>169</v>
      </c>
      <c r="Z13" s="244"/>
      <c r="AA13" s="245" t="s">
        <v>170</v>
      </c>
      <c r="AB13" s="246"/>
      <c r="AC13" s="247"/>
      <c r="AD13" s="249"/>
      <c r="AE13" s="237"/>
      <c r="AF13" s="237"/>
      <c r="AG13" s="237"/>
      <c r="AH13" s="238"/>
      <c r="AI13" s="238" t="s">
        <v>161</v>
      </c>
      <c r="AJ13" s="238" t="s">
        <v>353</v>
      </c>
      <c r="AK13" s="238"/>
      <c r="AL13" s="238"/>
      <c r="AM13" s="238"/>
      <c r="AN13" s="238"/>
      <c r="AO13" s="237"/>
      <c r="AP13" s="237"/>
      <c r="AQ13" s="237"/>
      <c r="AR13" s="237"/>
      <c r="AS13" s="233"/>
      <c r="AT13" s="220"/>
      <c r="AU13" s="220"/>
      <c r="AV13" s="220"/>
      <c r="AW13" s="220"/>
      <c r="AX13" s="220"/>
      <c r="AY13" s="220"/>
      <c r="AZ13" s="220"/>
      <c r="BA13" s="220"/>
      <c r="BB13" s="220"/>
      <c r="BC13" s="220"/>
      <c r="BD13" s="221"/>
    </row>
    <row r="14" spans="1:57" s="251" customFormat="1" ht="14.4" customHeight="1">
      <c r="A14" s="265">
        <f>IF(B14="","",COUNTA($B$8:B14))</f>
        <v>7</v>
      </c>
      <c r="B14" s="230" t="s">
        <v>354</v>
      </c>
      <c r="C14" s="231"/>
      <c r="D14" s="231"/>
      <c r="E14" s="231"/>
      <c r="F14" s="231"/>
      <c r="G14" s="231"/>
      <c r="H14" s="232"/>
      <c r="I14" s="248" t="s">
        <v>355</v>
      </c>
      <c r="J14" s="234"/>
      <c r="K14" s="234"/>
      <c r="L14" s="234"/>
      <c r="M14" s="234"/>
      <c r="N14" s="234"/>
      <c r="O14" s="234"/>
      <c r="P14" s="234"/>
      <c r="Q14" s="235"/>
      <c r="R14" s="230" t="s">
        <v>354</v>
      </c>
      <c r="S14" s="234"/>
      <c r="T14" s="234"/>
      <c r="U14" s="234"/>
      <c r="V14" s="234"/>
      <c r="W14" s="234"/>
      <c r="X14" s="232"/>
      <c r="Y14" s="230" t="s">
        <v>169</v>
      </c>
      <c r="Z14" s="244"/>
      <c r="AA14" s="245" t="s">
        <v>170</v>
      </c>
      <c r="AB14" s="246"/>
      <c r="AC14" s="247"/>
      <c r="AD14" s="249"/>
      <c r="AE14" s="237"/>
      <c r="AF14" s="237"/>
      <c r="AG14" s="237"/>
      <c r="AH14" s="238"/>
      <c r="AI14" s="238" t="s">
        <v>353</v>
      </c>
      <c r="AJ14" s="238" t="s">
        <v>161</v>
      </c>
      <c r="AK14" s="238"/>
      <c r="AL14" s="238"/>
      <c r="AM14" s="238"/>
      <c r="AN14" s="238"/>
      <c r="AO14" s="237"/>
      <c r="AP14" s="237"/>
      <c r="AQ14" s="237"/>
      <c r="AR14" s="237"/>
      <c r="AS14" s="233"/>
      <c r="AT14" s="220"/>
      <c r="AU14" s="220"/>
      <c r="AV14" s="220"/>
      <c r="AW14" s="220"/>
      <c r="AX14" s="220"/>
      <c r="AY14" s="220"/>
      <c r="AZ14" s="220"/>
      <c r="BA14" s="220"/>
      <c r="BB14" s="220"/>
      <c r="BC14" s="220"/>
      <c r="BD14" s="221"/>
    </row>
    <row r="15" spans="1:57" s="251" customFormat="1" ht="14.4" customHeight="1">
      <c r="A15" s="265">
        <f>IF(B15="","",COUNTA($B$8:B15))</f>
        <v>8</v>
      </c>
      <c r="B15" s="230" t="s">
        <v>316</v>
      </c>
      <c r="C15" s="231"/>
      <c r="D15" s="231"/>
      <c r="E15" s="231"/>
      <c r="F15" s="231"/>
      <c r="G15" s="231"/>
      <c r="H15" s="232"/>
      <c r="I15" s="248" t="s">
        <v>317</v>
      </c>
      <c r="J15" s="234"/>
      <c r="K15" s="234"/>
      <c r="L15" s="234"/>
      <c r="M15" s="234"/>
      <c r="N15" s="234"/>
      <c r="O15" s="234"/>
      <c r="P15" s="234"/>
      <c r="Q15" s="235"/>
      <c r="R15" s="230" t="s">
        <v>316</v>
      </c>
      <c r="S15" s="234"/>
      <c r="T15" s="234"/>
      <c r="U15" s="234"/>
      <c r="V15" s="234"/>
      <c r="W15" s="234"/>
      <c r="X15" s="232"/>
      <c r="Y15" s="230" t="s">
        <v>169</v>
      </c>
      <c r="Z15" s="244"/>
      <c r="AA15" s="245" t="s">
        <v>170</v>
      </c>
      <c r="AB15" s="246"/>
      <c r="AC15" s="247"/>
      <c r="AD15" s="236"/>
      <c r="AE15" s="237"/>
      <c r="AF15" s="237"/>
      <c r="AG15" s="237"/>
      <c r="AH15" s="238"/>
      <c r="AI15" s="238" t="s">
        <v>349</v>
      </c>
      <c r="AJ15" s="238"/>
      <c r="AK15" s="238"/>
      <c r="AL15" s="238"/>
      <c r="AM15" s="238"/>
      <c r="AN15" s="238"/>
      <c r="AO15" s="237"/>
      <c r="AP15" s="237"/>
      <c r="AQ15" s="237"/>
      <c r="AR15" s="237"/>
      <c r="AS15" s="233"/>
      <c r="AT15" s="220"/>
      <c r="AU15" s="220"/>
      <c r="AV15" s="220"/>
      <c r="AW15" s="220"/>
      <c r="AX15" s="220"/>
      <c r="AY15" s="220"/>
      <c r="AZ15" s="220"/>
      <c r="BA15" s="220"/>
      <c r="BB15" s="220"/>
      <c r="BC15" s="220"/>
      <c r="BD15" s="221"/>
    </row>
    <row r="16" spans="1:57" s="251" customFormat="1" ht="14.4" customHeight="1">
      <c r="A16" s="265">
        <f>IF(B16="","",COUNTA($B$8:B16))</f>
        <v>9</v>
      </c>
      <c r="B16" s="230" t="s">
        <v>314</v>
      </c>
      <c r="C16" s="231"/>
      <c r="D16" s="231"/>
      <c r="E16" s="231"/>
      <c r="F16" s="231"/>
      <c r="G16" s="231"/>
      <c r="H16" s="231"/>
      <c r="I16" s="248" t="s">
        <v>315</v>
      </c>
      <c r="J16" s="234"/>
      <c r="K16" s="234"/>
      <c r="L16" s="234"/>
      <c r="M16" s="234"/>
      <c r="N16" s="234"/>
      <c r="O16" s="234"/>
      <c r="P16" s="234"/>
      <c r="Q16" s="234"/>
      <c r="R16" s="230" t="s">
        <v>314</v>
      </c>
      <c r="S16" s="231"/>
      <c r="T16" s="257"/>
      <c r="U16" s="257"/>
      <c r="V16" s="257"/>
      <c r="W16" s="257"/>
      <c r="X16" s="257"/>
      <c r="Y16" s="230" t="s">
        <v>150</v>
      </c>
      <c r="Z16" s="244"/>
      <c r="AA16" s="245" t="s">
        <v>151</v>
      </c>
      <c r="AB16" s="246"/>
      <c r="AC16" s="247"/>
      <c r="AD16" s="258">
        <v>10</v>
      </c>
      <c r="AE16" s="238" t="s">
        <v>244</v>
      </c>
      <c r="AF16" s="253"/>
      <c r="AG16" s="253"/>
      <c r="AH16" s="253"/>
      <c r="AI16" s="253"/>
      <c r="AJ16" s="253"/>
      <c r="AK16" s="253"/>
      <c r="AL16" s="253"/>
      <c r="AM16" s="253"/>
      <c r="AN16" s="253"/>
      <c r="AO16" s="252"/>
      <c r="AP16" s="252"/>
      <c r="AQ16" s="252"/>
      <c r="AR16" s="252"/>
      <c r="AS16" s="254"/>
      <c r="AT16" s="220"/>
      <c r="AU16" s="220"/>
      <c r="AV16" s="220"/>
      <c r="AW16" s="220"/>
      <c r="AX16" s="220"/>
      <c r="AY16" s="220"/>
      <c r="AZ16" s="220"/>
      <c r="BA16" s="220"/>
      <c r="BB16" s="220"/>
      <c r="BC16" s="220"/>
      <c r="BD16" s="221"/>
    </row>
    <row r="17" spans="1:57" s="251" customFormat="1" ht="14.4" customHeight="1">
      <c r="A17" s="265">
        <f>IF(B17="","",COUNTA($B$8:B17))</f>
        <v>10</v>
      </c>
      <c r="B17" s="230" t="s">
        <v>178</v>
      </c>
      <c r="C17" s="231"/>
      <c r="D17" s="231"/>
      <c r="E17" s="231"/>
      <c r="F17" s="231"/>
      <c r="G17" s="231"/>
      <c r="H17" s="232"/>
      <c r="I17" s="248" t="s">
        <v>179</v>
      </c>
      <c r="J17" s="234"/>
      <c r="K17" s="234"/>
      <c r="L17" s="234"/>
      <c r="M17" s="234"/>
      <c r="N17" s="234"/>
      <c r="O17" s="234"/>
      <c r="P17" s="234"/>
      <c r="Q17" s="235"/>
      <c r="R17" s="230" t="s">
        <v>178</v>
      </c>
      <c r="S17" s="234"/>
      <c r="T17" s="234"/>
      <c r="U17" s="234"/>
      <c r="V17" s="234"/>
      <c r="W17" s="234"/>
      <c r="X17" s="232"/>
      <c r="Y17" s="399" t="s">
        <v>150</v>
      </c>
      <c r="Z17" s="400"/>
      <c r="AA17" s="401" t="s">
        <v>151</v>
      </c>
      <c r="AB17" s="402"/>
      <c r="AC17" s="403"/>
      <c r="AD17" s="249">
        <v>20</v>
      </c>
      <c r="AE17" s="237"/>
      <c r="AF17" s="237"/>
      <c r="AG17" s="237"/>
      <c r="AH17" s="238"/>
      <c r="AI17" s="238"/>
      <c r="AJ17" s="238"/>
      <c r="AK17" s="238"/>
      <c r="AL17" s="238"/>
      <c r="AM17" s="238"/>
      <c r="AN17" s="238"/>
      <c r="AO17" s="237"/>
      <c r="AP17" s="237"/>
      <c r="AQ17" s="237"/>
      <c r="AR17" s="237"/>
      <c r="AS17" s="233" t="s">
        <v>180</v>
      </c>
      <c r="AT17" s="220"/>
      <c r="AU17" s="220"/>
      <c r="AV17" s="220"/>
      <c r="AW17" s="220"/>
      <c r="AX17" s="220"/>
      <c r="AY17" s="220"/>
      <c r="AZ17" s="220"/>
      <c r="BA17" s="220"/>
      <c r="BB17" s="220"/>
      <c r="BC17" s="220"/>
      <c r="BD17" s="221"/>
    </row>
    <row r="18" spans="1:57" s="251" customFormat="1" ht="14.4" customHeight="1">
      <c r="A18" s="265">
        <f>IF(B18="","",COUNTA($B$8:B18))</f>
        <v>11</v>
      </c>
      <c r="B18" s="230" t="s">
        <v>356</v>
      </c>
      <c r="C18" s="231"/>
      <c r="D18" s="231"/>
      <c r="E18" s="231"/>
      <c r="F18" s="231"/>
      <c r="G18" s="231"/>
      <c r="H18" s="232"/>
      <c r="I18" s="248" t="s">
        <v>357</v>
      </c>
      <c r="J18" s="234"/>
      <c r="K18" s="234"/>
      <c r="L18" s="234"/>
      <c r="M18" s="234"/>
      <c r="N18" s="234"/>
      <c r="O18" s="234"/>
      <c r="P18" s="234"/>
      <c r="Q18" s="235"/>
      <c r="R18" s="230" t="s">
        <v>356</v>
      </c>
      <c r="S18" s="234"/>
      <c r="T18" s="234"/>
      <c r="U18" s="234"/>
      <c r="V18" s="234"/>
      <c r="W18" s="234"/>
      <c r="X18" s="232"/>
      <c r="Y18" s="399" t="s">
        <v>150</v>
      </c>
      <c r="Z18" s="400"/>
      <c r="AA18" s="401" t="s">
        <v>151</v>
      </c>
      <c r="AB18" s="402"/>
      <c r="AC18" s="403"/>
      <c r="AD18" s="249">
        <v>30</v>
      </c>
      <c r="AE18" s="237"/>
      <c r="AF18" s="237"/>
      <c r="AG18" s="237"/>
      <c r="AH18" s="238">
        <v>0</v>
      </c>
      <c r="AI18" s="238"/>
      <c r="AJ18" s="238"/>
      <c r="AK18" s="238"/>
      <c r="AL18" s="238"/>
      <c r="AM18" s="238"/>
      <c r="AN18" s="238"/>
      <c r="AO18" s="237"/>
      <c r="AP18" s="237"/>
      <c r="AQ18" s="237"/>
      <c r="AR18" s="237"/>
      <c r="AS18" s="233" t="s">
        <v>358</v>
      </c>
      <c r="AT18" s="220"/>
      <c r="AU18" s="220"/>
      <c r="AV18" s="220"/>
      <c r="AW18" s="220"/>
      <c r="AX18" s="220"/>
      <c r="AY18" s="220"/>
      <c r="AZ18" s="220"/>
      <c r="BA18" s="220"/>
      <c r="BB18" s="220"/>
      <c r="BC18" s="220"/>
      <c r="BD18" s="221"/>
    </row>
    <row r="19" spans="1:57" s="251" customFormat="1" ht="14.4" customHeight="1">
      <c r="A19" s="265">
        <f>IF(B19="","",COUNTA($B$8:B19))</f>
        <v>12</v>
      </c>
      <c r="B19" s="230" t="s">
        <v>359</v>
      </c>
      <c r="C19" s="231"/>
      <c r="D19" s="231"/>
      <c r="E19" s="231"/>
      <c r="F19" s="231"/>
      <c r="G19" s="231"/>
      <c r="H19" s="232"/>
      <c r="I19" s="248" t="s">
        <v>360</v>
      </c>
      <c r="J19" s="234"/>
      <c r="K19" s="234"/>
      <c r="L19" s="234"/>
      <c r="M19" s="234"/>
      <c r="N19" s="234"/>
      <c r="O19" s="234"/>
      <c r="P19" s="234"/>
      <c r="Q19" s="235"/>
      <c r="R19" s="230" t="s">
        <v>359</v>
      </c>
      <c r="S19" s="234"/>
      <c r="T19" s="234"/>
      <c r="U19" s="234"/>
      <c r="V19" s="234"/>
      <c r="W19" s="234"/>
      <c r="X19" s="232"/>
      <c r="Y19" s="399" t="s">
        <v>155</v>
      </c>
      <c r="Z19" s="400"/>
      <c r="AA19" s="401" t="s">
        <v>156</v>
      </c>
      <c r="AB19" s="402"/>
      <c r="AC19" s="403"/>
      <c r="AD19" s="249">
        <v>3</v>
      </c>
      <c r="AE19" s="252"/>
      <c r="AF19" s="252"/>
      <c r="AG19" s="253"/>
      <c r="AH19" s="253">
        <v>0</v>
      </c>
      <c r="AI19" s="253"/>
      <c r="AJ19" s="253"/>
      <c r="AK19" s="253"/>
      <c r="AL19" s="253"/>
      <c r="AM19" s="253"/>
      <c r="AN19" s="253"/>
      <c r="AO19" s="252"/>
      <c r="AP19" s="252"/>
      <c r="AQ19" s="252"/>
      <c r="AR19" s="252"/>
      <c r="AS19" s="254" t="s">
        <v>361</v>
      </c>
      <c r="AT19" s="259"/>
      <c r="AU19" s="220"/>
      <c r="AV19" s="220"/>
      <c r="AW19" s="220"/>
      <c r="AX19" s="220"/>
      <c r="AY19" s="220"/>
      <c r="AZ19" s="220"/>
      <c r="BA19" s="220"/>
      <c r="BB19" s="220"/>
      <c r="BC19" s="220"/>
      <c r="BD19" s="221"/>
    </row>
    <row r="20" spans="1:57" s="251" customFormat="1" ht="14.4" customHeight="1">
      <c r="A20" s="265" t="str">
        <f>IF(B20="","",COUNTA($B$8:B20))</f>
        <v/>
      </c>
      <c r="B20" s="230"/>
      <c r="C20" s="231"/>
      <c r="D20" s="231"/>
      <c r="E20" s="231"/>
      <c r="F20" s="231"/>
      <c r="G20" s="231"/>
      <c r="H20" s="232"/>
      <c r="I20" s="248"/>
      <c r="J20" s="234"/>
      <c r="K20" s="234"/>
      <c r="L20" s="234"/>
      <c r="M20" s="234"/>
      <c r="N20" s="234"/>
      <c r="O20" s="234"/>
      <c r="P20" s="234"/>
      <c r="Q20" s="235"/>
      <c r="R20" s="230"/>
      <c r="S20" s="234"/>
      <c r="T20" s="234"/>
      <c r="U20" s="234"/>
      <c r="V20" s="234"/>
      <c r="W20" s="234"/>
      <c r="X20" s="232"/>
      <c r="Y20" s="399"/>
      <c r="Z20" s="400"/>
      <c r="AA20" s="401"/>
      <c r="AB20" s="402"/>
      <c r="AC20" s="403"/>
      <c r="AD20" s="249"/>
      <c r="AE20" s="252"/>
      <c r="AF20" s="252"/>
      <c r="AG20" s="253"/>
      <c r="AH20" s="253"/>
      <c r="AI20" s="253"/>
      <c r="AJ20" s="253"/>
      <c r="AK20" s="253"/>
      <c r="AL20" s="253"/>
      <c r="AM20" s="253"/>
      <c r="AN20" s="253"/>
      <c r="AO20" s="252"/>
      <c r="AP20" s="252"/>
      <c r="AQ20" s="252"/>
      <c r="AR20" s="252"/>
      <c r="AS20" s="254" t="s">
        <v>192</v>
      </c>
      <c r="AT20" s="259"/>
      <c r="AU20" s="220"/>
      <c r="AV20" s="220"/>
      <c r="AW20" s="220"/>
      <c r="AX20" s="220"/>
      <c r="AY20" s="220"/>
      <c r="AZ20" s="220"/>
      <c r="BA20" s="220"/>
      <c r="BB20" s="220"/>
      <c r="BC20" s="220"/>
      <c r="BD20" s="221"/>
    </row>
    <row r="21" spans="1:57" s="251" customFormat="1" ht="14.4" customHeight="1">
      <c r="A21" s="265">
        <f>IF(B21="","",COUNTA($B$8:B21))</f>
        <v>13</v>
      </c>
      <c r="B21" s="239" t="s">
        <v>362</v>
      </c>
      <c r="C21" s="246"/>
      <c r="D21" s="246"/>
      <c r="E21" s="246"/>
      <c r="F21" s="246"/>
      <c r="G21" s="246"/>
      <c r="H21" s="247"/>
      <c r="I21" s="248" t="s">
        <v>363</v>
      </c>
      <c r="J21" s="234"/>
      <c r="K21" s="234"/>
      <c r="L21" s="234"/>
      <c r="M21" s="234"/>
      <c r="N21" s="234"/>
      <c r="O21" s="234"/>
      <c r="P21" s="234"/>
      <c r="Q21" s="235"/>
      <c r="R21" s="239" t="s">
        <v>362</v>
      </c>
      <c r="S21" s="234"/>
      <c r="T21" s="234"/>
      <c r="U21" s="234"/>
      <c r="V21" s="234"/>
      <c r="W21" s="234"/>
      <c r="X21" s="232"/>
      <c r="Y21" s="399" t="s">
        <v>155</v>
      </c>
      <c r="Z21" s="400"/>
      <c r="AA21" s="401" t="s">
        <v>156</v>
      </c>
      <c r="AB21" s="402"/>
      <c r="AC21" s="403"/>
      <c r="AD21" s="249">
        <v>3</v>
      </c>
      <c r="AE21" s="237"/>
      <c r="AF21" s="237"/>
      <c r="AG21" s="237"/>
      <c r="AH21" s="238"/>
      <c r="AI21" s="238"/>
      <c r="AJ21" s="238"/>
      <c r="AK21" s="238"/>
      <c r="AL21" s="238"/>
      <c r="AM21" s="238"/>
      <c r="AN21" s="238"/>
      <c r="AO21" s="237"/>
      <c r="AP21" s="237"/>
      <c r="AQ21" s="237"/>
      <c r="AR21" s="237"/>
      <c r="AS21" s="233"/>
      <c r="AT21" s="220"/>
      <c r="AU21" s="220"/>
      <c r="AV21" s="220"/>
      <c r="AW21" s="220"/>
      <c r="AX21" s="220"/>
      <c r="AY21" s="220"/>
      <c r="AZ21" s="220"/>
      <c r="BA21" s="220"/>
      <c r="BB21" s="220"/>
      <c r="BC21" s="220"/>
      <c r="BD21" s="221"/>
    </row>
    <row r="22" spans="1:57" s="251" customFormat="1" ht="14.4" customHeight="1">
      <c r="A22" s="265">
        <f>IF(B22="","",COUNTA($B$8:B22))</f>
        <v>14</v>
      </c>
      <c r="B22" s="230" t="s">
        <v>153</v>
      </c>
      <c r="C22" s="231"/>
      <c r="D22" s="231"/>
      <c r="E22" s="231"/>
      <c r="F22" s="231"/>
      <c r="G22" s="231"/>
      <c r="H22" s="232"/>
      <c r="I22" s="248" t="s">
        <v>154</v>
      </c>
      <c r="J22" s="234"/>
      <c r="K22" s="234"/>
      <c r="L22" s="234"/>
      <c r="M22" s="234"/>
      <c r="N22" s="234"/>
      <c r="O22" s="234"/>
      <c r="P22" s="234"/>
      <c r="Q22" s="235"/>
      <c r="R22" s="230" t="s">
        <v>153</v>
      </c>
      <c r="S22" s="234"/>
      <c r="T22" s="234"/>
      <c r="U22" s="234"/>
      <c r="V22" s="234"/>
      <c r="W22" s="234"/>
      <c r="X22" s="232"/>
      <c r="Y22" s="399" t="s">
        <v>155</v>
      </c>
      <c r="Z22" s="400"/>
      <c r="AA22" s="401" t="s">
        <v>156</v>
      </c>
      <c r="AB22" s="402"/>
      <c r="AC22" s="403"/>
      <c r="AD22" s="249">
        <v>3</v>
      </c>
      <c r="AE22" s="237"/>
      <c r="AF22" s="237"/>
      <c r="AG22" s="238"/>
      <c r="AH22" s="238"/>
      <c r="AI22" s="238"/>
      <c r="AJ22" s="238"/>
      <c r="AK22" s="238"/>
      <c r="AL22" s="238"/>
      <c r="AM22" s="238"/>
      <c r="AN22" s="238"/>
      <c r="AO22" s="237"/>
      <c r="AP22" s="237"/>
      <c r="AQ22" s="237"/>
      <c r="AR22" s="237"/>
      <c r="AS22" s="233" t="s">
        <v>364</v>
      </c>
      <c r="AT22" s="220"/>
      <c r="AU22" s="220"/>
      <c r="AV22" s="220"/>
      <c r="AW22" s="220"/>
      <c r="AX22" s="220"/>
      <c r="AY22" s="220"/>
      <c r="AZ22" s="220"/>
      <c r="BA22" s="220"/>
      <c r="BB22" s="220"/>
      <c r="BC22" s="220"/>
      <c r="BD22" s="221"/>
    </row>
    <row r="23" spans="1:57" s="251" customFormat="1" ht="14.4" customHeight="1">
      <c r="A23" s="265">
        <f>IF(B23="","",COUNTA($B$8:B23))</f>
        <v>15</v>
      </c>
      <c r="B23" s="230" t="s">
        <v>187</v>
      </c>
      <c r="C23" s="231"/>
      <c r="D23" s="231"/>
      <c r="E23" s="231"/>
      <c r="F23" s="231"/>
      <c r="G23" s="231"/>
      <c r="H23" s="232"/>
      <c r="I23" s="248" t="s">
        <v>188</v>
      </c>
      <c r="J23" s="234"/>
      <c r="K23" s="234"/>
      <c r="L23" s="234"/>
      <c r="M23" s="234"/>
      <c r="N23" s="234"/>
      <c r="O23" s="234"/>
      <c r="P23" s="234"/>
      <c r="Q23" s="235"/>
      <c r="R23" s="230" t="s">
        <v>187</v>
      </c>
      <c r="S23" s="234"/>
      <c r="T23" s="234"/>
      <c r="U23" s="234"/>
      <c r="V23" s="234"/>
      <c r="W23" s="234"/>
      <c r="X23" s="232"/>
      <c r="Y23" s="399" t="s">
        <v>155</v>
      </c>
      <c r="Z23" s="400"/>
      <c r="AA23" s="401" t="s">
        <v>156</v>
      </c>
      <c r="AB23" s="402"/>
      <c r="AC23" s="403"/>
      <c r="AD23" s="249">
        <v>3</v>
      </c>
      <c r="AE23" s="237"/>
      <c r="AF23" s="237"/>
      <c r="AG23" s="237"/>
      <c r="AH23" s="253"/>
      <c r="AI23" s="253"/>
      <c r="AJ23" s="253"/>
      <c r="AK23" s="253"/>
      <c r="AL23" s="253"/>
      <c r="AM23" s="253"/>
      <c r="AN23" s="253"/>
      <c r="AO23" s="252"/>
      <c r="AP23" s="252"/>
      <c r="AQ23" s="252"/>
      <c r="AR23" s="252"/>
      <c r="AS23" s="254"/>
      <c r="AT23" s="259"/>
      <c r="AU23" s="220"/>
      <c r="AV23" s="220"/>
      <c r="AW23" s="220"/>
      <c r="AX23" s="260"/>
      <c r="AY23" s="260"/>
      <c r="AZ23" s="260"/>
      <c r="BA23" s="260"/>
      <c r="BB23" s="260"/>
      <c r="BC23" s="260"/>
      <c r="BD23" s="276"/>
    </row>
    <row r="24" spans="1:57" s="251" customFormat="1" ht="14.4" customHeight="1">
      <c r="A24" s="265">
        <f>IF(B24="","",COUNTA($B$8:B24))</f>
        <v>16</v>
      </c>
      <c r="B24" s="245" t="s">
        <v>193</v>
      </c>
      <c r="C24" s="246"/>
      <c r="D24" s="246"/>
      <c r="E24" s="246"/>
      <c r="F24" s="246"/>
      <c r="G24" s="246"/>
      <c r="H24" s="247"/>
      <c r="I24" s="248" t="s">
        <v>194</v>
      </c>
      <c r="J24" s="234"/>
      <c r="K24" s="234"/>
      <c r="L24" s="234"/>
      <c r="M24" s="234"/>
      <c r="N24" s="234"/>
      <c r="O24" s="234"/>
      <c r="P24" s="234"/>
      <c r="Q24" s="235"/>
      <c r="R24" s="245" t="s">
        <v>193</v>
      </c>
      <c r="S24" s="234"/>
      <c r="T24" s="234"/>
      <c r="U24" s="234"/>
      <c r="V24" s="234"/>
      <c r="W24" s="234"/>
      <c r="X24" s="232"/>
      <c r="Y24" s="399" t="s">
        <v>150</v>
      </c>
      <c r="Z24" s="400"/>
      <c r="AA24" s="401" t="s">
        <v>151</v>
      </c>
      <c r="AB24" s="402"/>
      <c r="AC24" s="403"/>
      <c r="AD24" s="139">
        <v>25</v>
      </c>
      <c r="AE24" s="237"/>
      <c r="AF24" s="237"/>
      <c r="AG24" s="237"/>
      <c r="AH24" s="238"/>
      <c r="AI24" s="238"/>
      <c r="AJ24" s="238"/>
      <c r="AK24" s="238"/>
      <c r="AL24" s="238"/>
      <c r="AM24" s="238"/>
      <c r="AN24" s="238"/>
      <c r="AO24" s="237"/>
      <c r="AP24" s="237"/>
      <c r="AQ24" s="237"/>
      <c r="AR24" s="237"/>
      <c r="AS24" s="131" t="s">
        <v>1469</v>
      </c>
      <c r="AT24" s="260"/>
      <c r="AU24" s="260"/>
      <c r="AV24" s="260"/>
      <c r="AW24" s="260"/>
      <c r="AX24" s="260"/>
      <c r="AY24" s="260"/>
      <c r="AZ24" s="260"/>
      <c r="BA24" s="260"/>
      <c r="BB24" s="260"/>
      <c r="BC24" s="260"/>
      <c r="BD24" s="276"/>
    </row>
    <row r="25" spans="1:57" s="251" customFormat="1" ht="14.4" customHeight="1">
      <c r="A25" s="265">
        <f>IF(B25="","",COUNTA($B$8:B25))</f>
        <v>17</v>
      </c>
      <c r="B25" s="230" t="s">
        <v>195</v>
      </c>
      <c r="C25" s="231"/>
      <c r="D25" s="231"/>
      <c r="E25" s="231"/>
      <c r="F25" s="231"/>
      <c r="G25" s="231"/>
      <c r="H25" s="232"/>
      <c r="I25" s="248" t="s">
        <v>196</v>
      </c>
      <c r="J25" s="234"/>
      <c r="K25" s="234"/>
      <c r="L25" s="234"/>
      <c r="M25" s="234"/>
      <c r="N25" s="234"/>
      <c r="O25" s="234"/>
      <c r="P25" s="234"/>
      <c r="Q25" s="235"/>
      <c r="R25" s="230" t="s">
        <v>195</v>
      </c>
      <c r="S25" s="234"/>
      <c r="T25" s="234"/>
      <c r="U25" s="234"/>
      <c r="V25" s="234"/>
      <c r="W25" s="234"/>
      <c r="X25" s="232"/>
      <c r="Y25" s="399" t="s">
        <v>150</v>
      </c>
      <c r="Z25" s="400"/>
      <c r="AA25" s="401" t="s">
        <v>151</v>
      </c>
      <c r="AB25" s="402"/>
      <c r="AC25" s="403"/>
      <c r="AD25" s="249">
        <v>30</v>
      </c>
      <c r="AE25" s="237"/>
      <c r="AF25" s="237"/>
      <c r="AG25" s="237"/>
      <c r="AH25" s="238"/>
      <c r="AI25" s="238"/>
      <c r="AJ25" s="238"/>
      <c r="AK25" s="238"/>
      <c r="AL25" s="238"/>
      <c r="AM25" s="238"/>
      <c r="AN25" s="238"/>
      <c r="AO25" s="237"/>
      <c r="AP25" s="237"/>
      <c r="AQ25" s="237"/>
      <c r="AR25" s="237"/>
      <c r="AS25" s="233"/>
      <c r="AT25" s="220"/>
      <c r="AU25" s="220"/>
      <c r="AV25" s="220"/>
      <c r="AW25" s="220"/>
      <c r="AX25" s="220"/>
      <c r="AY25" s="220"/>
      <c r="AZ25" s="220"/>
      <c r="BA25" s="220"/>
      <c r="BB25" s="220"/>
      <c r="BC25" s="220"/>
      <c r="BD25" s="221"/>
    </row>
    <row r="26" spans="1:57" s="251" customFormat="1" ht="14.4" customHeight="1">
      <c r="A26" s="265">
        <f>IF(B26="","",COUNTA($B$8:B26))</f>
        <v>18</v>
      </c>
      <c r="B26" s="230" t="s">
        <v>197</v>
      </c>
      <c r="C26" s="231"/>
      <c r="D26" s="231"/>
      <c r="E26" s="231"/>
      <c r="F26" s="231"/>
      <c r="G26" s="231"/>
      <c r="H26" s="232"/>
      <c r="I26" s="248" t="s">
        <v>198</v>
      </c>
      <c r="J26" s="234"/>
      <c r="K26" s="234"/>
      <c r="L26" s="234"/>
      <c r="M26" s="234"/>
      <c r="N26" s="234"/>
      <c r="O26" s="234"/>
      <c r="P26" s="234"/>
      <c r="Q26" s="235"/>
      <c r="R26" s="230" t="s">
        <v>197</v>
      </c>
      <c r="S26" s="234"/>
      <c r="T26" s="234"/>
      <c r="U26" s="234"/>
      <c r="V26" s="234"/>
      <c r="W26" s="234"/>
      <c r="X26" s="232"/>
      <c r="Y26" s="399" t="s">
        <v>150</v>
      </c>
      <c r="Z26" s="400"/>
      <c r="AA26" s="401" t="s">
        <v>151</v>
      </c>
      <c r="AB26" s="402"/>
      <c r="AC26" s="403"/>
      <c r="AD26" s="249">
        <v>5</v>
      </c>
      <c r="AE26" s="237"/>
      <c r="AF26" s="237"/>
      <c r="AG26" s="237"/>
      <c r="AH26" s="238"/>
      <c r="AI26" s="238"/>
      <c r="AJ26" s="238"/>
      <c r="AK26" s="238"/>
      <c r="AL26" s="238"/>
      <c r="AM26" s="238"/>
      <c r="AN26" s="238"/>
      <c r="AO26" s="237"/>
      <c r="AP26" s="237"/>
      <c r="AQ26" s="237"/>
      <c r="AR26" s="237"/>
      <c r="AS26" s="233"/>
      <c r="AT26" s="220"/>
      <c r="AU26" s="220"/>
      <c r="AV26" s="220"/>
      <c r="AW26" s="220"/>
      <c r="AX26" s="220"/>
      <c r="AY26" s="220"/>
      <c r="AZ26" s="220"/>
      <c r="BA26" s="220"/>
      <c r="BB26" s="220"/>
      <c r="BC26" s="220"/>
      <c r="BD26" s="221"/>
    </row>
    <row r="27" spans="1:57" s="251" customFormat="1" ht="14.4" customHeight="1">
      <c r="A27" s="265">
        <f>IF(B27="","",COUNTA($B$8:B27))</f>
        <v>19</v>
      </c>
      <c r="B27" s="230" t="s">
        <v>199</v>
      </c>
      <c r="C27" s="231"/>
      <c r="D27" s="231"/>
      <c r="E27" s="231"/>
      <c r="F27" s="231"/>
      <c r="G27" s="231"/>
      <c r="H27" s="232"/>
      <c r="I27" s="248" t="s">
        <v>200</v>
      </c>
      <c r="J27" s="234"/>
      <c r="K27" s="234"/>
      <c r="L27" s="234"/>
      <c r="M27" s="234"/>
      <c r="N27" s="234"/>
      <c r="O27" s="234"/>
      <c r="P27" s="234"/>
      <c r="Q27" s="235"/>
      <c r="R27" s="230" t="s">
        <v>199</v>
      </c>
      <c r="S27" s="234"/>
      <c r="T27" s="234"/>
      <c r="U27" s="234"/>
      <c r="V27" s="234"/>
      <c r="W27" s="234"/>
      <c r="X27" s="232"/>
      <c r="Y27" s="399" t="s">
        <v>150</v>
      </c>
      <c r="Z27" s="400"/>
      <c r="AA27" s="401" t="s">
        <v>151</v>
      </c>
      <c r="AB27" s="402"/>
      <c r="AC27" s="403"/>
      <c r="AD27" s="249">
        <v>20</v>
      </c>
      <c r="AE27" s="237"/>
      <c r="AF27" s="237"/>
      <c r="AG27" s="237"/>
      <c r="AH27" s="238"/>
      <c r="AI27" s="238"/>
      <c r="AJ27" s="238"/>
      <c r="AK27" s="238"/>
      <c r="AL27" s="238"/>
      <c r="AM27" s="238"/>
      <c r="AN27" s="238"/>
      <c r="AO27" s="237"/>
      <c r="AP27" s="237"/>
      <c r="AQ27" s="237"/>
      <c r="AR27" s="237"/>
      <c r="AS27" s="233"/>
      <c r="AT27" s="220"/>
      <c r="AU27" s="220"/>
      <c r="AV27" s="220"/>
      <c r="AW27" s="220"/>
      <c r="AX27" s="220"/>
      <c r="AY27" s="220"/>
      <c r="AZ27" s="220"/>
      <c r="BA27" s="220"/>
      <c r="BB27" s="220"/>
      <c r="BC27" s="220"/>
      <c r="BD27" s="221"/>
    </row>
    <row r="28" spans="1:57" s="251" customFormat="1" ht="14.4" customHeight="1">
      <c r="A28" s="265">
        <f>IF(B28="","",COUNTA($B$8:B28))</f>
        <v>20</v>
      </c>
      <c r="B28" s="230" t="s">
        <v>201</v>
      </c>
      <c r="C28" s="231"/>
      <c r="D28" s="231"/>
      <c r="E28" s="231"/>
      <c r="F28" s="231"/>
      <c r="G28" s="231"/>
      <c r="H28" s="232"/>
      <c r="I28" s="248" t="s">
        <v>202</v>
      </c>
      <c r="J28" s="234"/>
      <c r="K28" s="234"/>
      <c r="L28" s="234"/>
      <c r="M28" s="234"/>
      <c r="N28" s="234"/>
      <c r="O28" s="234"/>
      <c r="P28" s="234"/>
      <c r="Q28" s="235"/>
      <c r="R28" s="230" t="s">
        <v>201</v>
      </c>
      <c r="S28" s="234"/>
      <c r="T28" s="234"/>
      <c r="U28" s="234"/>
      <c r="V28" s="234"/>
      <c r="W28" s="234"/>
      <c r="X28" s="232"/>
      <c r="Y28" s="399" t="s">
        <v>150</v>
      </c>
      <c r="Z28" s="400"/>
      <c r="AA28" s="401" t="s">
        <v>151</v>
      </c>
      <c r="AB28" s="402"/>
      <c r="AC28" s="403"/>
      <c r="AD28" s="249">
        <v>30</v>
      </c>
      <c r="AE28" s="237"/>
      <c r="AF28" s="237"/>
      <c r="AG28" s="237"/>
      <c r="AH28" s="238"/>
      <c r="AI28" s="238"/>
      <c r="AJ28" s="238"/>
      <c r="AK28" s="238"/>
      <c r="AL28" s="238"/>
      <c r="AM28" s="238"/>
      <c r="AN28" s="238"/>
      <c r="AO28" s="237"/>
      <c r="AP28" s="237"/>
      <c r="AQ28" s="237"/>
      <c r="AR28" s="237"/>
      <c r="AS28" s="233"/>
      <c r="AT28" s="220"/>
      <c r="AU28" s="220"/>
      <c r="AV28" s="220"/>
      <c r="AW28" s="220"/>
      <c r="AX28" s="220"/>
      <c r="AY28" s="220"/>
      <c r="AZ28" s="220"/>
      <c r="BA28" s="220"/>
      <c r="BB28" s="220"/>
      <c r="BC28" s="220"/>
      <c r="BD28" s="221"/>
    </row>
    <row r="29" spans="1:57" s="251" customFormat="1" ht="14.4" customHeight="1">
      <c r="A29" s="265">
        <f>IF(B29="","",COUNTA($B$8:B29))</f>
        <v>21</v>
      </c>
      <c r="B29" s="239" t="s">
        <v>203</v>
      </c>
      <c r="C29" s="231"/>
      <c r="D29" s="231"/>
      <c r="E29" s="231"/>
      <c r="F29" s="231"/>
      <c r="G29" s="231"/>
      <c r="H29" s="232"/>
      <c r="I29" s="248" t="s">
        <v>204</v>
      </c>
      <c r="J29" s="234"/>
      <c r="K29" s="234"/>
      <c r="L29" s="234"/>
      <c r="M29" s="234"/>
      <c r="N29" s="234"/>
      <c r="O29" s="234"/>
      <c r="P29" s="234"/>
      <c r="Q29" s="235"/>
      <c r="R29" s="239" t="s">
        <v>203</v>
      </c>
      <c r="S29" s="234"/>
      <c r="T29" s="234"/>
      <c r="U29" s="234"/>
      <c r="V29" s="234"/>
      <c r="W29" s="234"/>
      <c r="X29" s="232"/>
      <c r="Y29" s="399" t="s">
        <v>155</v>
      </c>
      <c r="Z29" s="400"/>
      <c r="AA29" s="401" t="s">
        <v>156</v>
      </c>
      <c r="AB29" s="402"/>
      <c r="AC29" s="403"/>
      <c r="AD29" s="249">
        <v>5</v>
      </c>
      <c r="AE29" s="237">
        <v>2</v>
      </c>
      <c r="AF29" s="237"/>
      <c r="AG29" s="237"/>
      <c r="AH29" s="238"/>
      <c r="AI29" s="238"/>
      <c r="AJ29" s="238"/>
      <c r="AK29" s="238"/>
      <c r="AL29" s="238"/>
      <c r="AM29" s="238"/>
      <c r="AN29" s="238"/>
      <c r="AO29" s="237"/>
      <c r="AP29" s="237"/>
      <c r="AQ29" s="237"/>
      <c r="AR29" s="237"/>
      <c r="AS29" s="233"/>
      <c r="AT29" s="220"/>
      <c r="AU29" s="220"/>
      <c r="AV29" s="220"/>
      <c r="AW29" s="220"/>
      <c r="AX29" s="220"/>
      <c r="AY29" s="220"/>
      <c r="AZ29" s="220"/>
      <c r="BA29" s="220"/>
      <c r="BB29" s="220"/>
      <c r="BC29" s="220"/>
      <c r="BD29" s="221"/>
    </row>
    <row r="30" spans="1:57" s="251" customFormat="1" ht="14.4" customHeight="1">
      <c r="A30" s="265">
        <f>IF(B30="","",COUNTA($B$8:B30))</f>
        <v>22</v>
      </c>
      <c r="B30" s="239" t="s">
        <v>205</v>
      </c>
      <c r="C30" s="246"/>
      <c r="D30" s="246"/>
      <c r="E30" s="246"/>
      <c r="F30" s="246"/>
      <c r="G30" s="246"/>
      <c r="H30" s="247"/>
      <c r="I30" s="248" t="s">
        <v>206</v>
      </c>
      <c r="J30" s="234"/>
      <c r="K30" s="234"/>
      <c r="L30" s="234"/>
      <c r="M30" s="234"/>
      <c r="N30" s="234"/>
      <c r="O30" s="234"/>
      <c r="P30" s="234"/>
      <c r="Q30" s="235"/>
      <c r="R30" s="239" t="s">
        <v>207</v>
      </c>
      <c r="S30" s="234"/>
      <c r="T30" s="234"/>
      <c r="U30" s="234"/>
      <c r="V30" s="234"/>
      <c r="W30" s="234"/>
      <c r="X30" s="232"/>
      <c r="Y30" s="399" t="s">
        <v>155</v>
      </c>
      <c r="Z30" s="400"/>
      <c r="AA30" s="401" t="s">
        <v>156</v>
      </c>
      <c r="AB30" s="402"/>
      <c r="AC30" s="403"/>
      <c r="AD30" s="249">
        <v>4</v>
      </c>
      <c r="AE30" s="237"/>
      <c r="AF30" s="237"/>
      <c r="AG30" s="237"/>
      <c r="AH30" s="238"/>
      <c r="AI30" s="238"/>
      <c r="AJ30" s="238"/>
      <c r="AK30" s="238"/>
      <c r="AL30" s="238"/>
      <c r="AM30" s="238"/>
      <c r="AN30" s="238"/>
      <c r="AO30" s="237"/>
      <c r="AP30" s="237"/>
      <c r="AQ30" s="237"/>
      <c r="AR30" s="237"/>
      <c r="AS30" s="233"/>
      <c r="AT30" s="220"/>
      <c r="AU30" s="220"/>
      <c r="AV30" s="220"/>
      <c r="AW30" s="220"/>
      <c r="AX30" s="220"/>
      <c r="AY30" s="220"/>
      <c r="AZ30" s="220"/>
      <c r="BA30" s="220"/>
      <c r="BB30" s="220"/>
      <c r="BC30" s="220"/>
      <c r="BD30" s="221"/>
    </row>
    <row r="31" spans="1:57" s="251" customFormat="1" ht="14.4" customHeight="1">
      <c r="A31" s="265">
        <f>IF(B31="","",COUNTA($B$8:B31))</f>
        <v>23</v>
      </c>
      <c r="B31" s="239" t="s">
        <v>208</v>
      </c>
      <c r="C31" s="246"/>
      <c r="D31" s="246"/>
      <c r="E31" s="246"/>
      <c r="F31" s="246"/>
      <c r="G31" s="246"/>
      <c r="H31" s="247"/>
      <c r="I31" s="248" t="s">
        <v>209</v>
      </c>
      <c r="J31" s="234"/>
      <c r="K31" s="234"/>
      <c r="L31" s="234"/>
      <c r="M31" s="234"/>
      <c r="N31" s="234"/>
      <c r="O31" s="234"/>
      <c r="P31" s="234"/>
      <c r="Q31" s="235"/>
      <c r="R31" s="239" t="s">
        <v>210</v>
      </c>
      <c r="S31" s="234"/>
      <c r="T31" s="234"/>
      <c r="U31" s="234"/>
      <c r="V31" s="234"/>
      <c r="W31" s="234"/>
      <c r="X31" s="232"/>
      <c r="Y31" s="399" t="s">
        <v>155</v>
      </c>
      <c r="Z31" s="400"/>
      <c r="AA31" s="401" t="s">
        <v>156</v>
      </c>
      <c r="AB31" s="402"/>
      <c r="AC31" s="403"/>
      <c r="AD31" s="249">
        <v>5</v>
      </c>
      <c r="AE31" s="237"/>
      <c r="AF31" s="237"/>
      <c r="AG31" s="237"/>
      <c r="AH31" s="238"/>
      <c r="AI31" s="238"/>
      <c r="AJ31" s="238"/>
      <c r="AK31" s="238"/>
      <c r="AL31" s="238"/>
      <c r="AM31" s="238"/>
      <c r="AN31" s="238"/>
      <c r="AO31" s="237"/>
      <c r="AP31" s="237"/>
      <c r="AQ31" s="237"/>
      <c r="AR31" s="237"/>
      <c r="AS31" s="233"/>
      <c r="AT31" s="220"/>
      <c r="AU31" s="220"/>
      <c r="AV31" s="220"/>
      <c r="AW31" s="220"/>
      <c r="AX31" s="220"/>
      <c r="AY31" s="220"/>
      <c r="AZ31" s="220"/>
      <c r="BA31" s="220"/>
      <c r="BB31" s="220"/>
      <c r="BC31" s="220"/>
      <c r="BD31" s="221"/>
    </row>
    <row r="32" spans="1:57" s="251" customFormat="1" ht="14.4" customHeight="1">
      <c r="A32" s="265">
        <f>IF(B32="","",COUNTA($B$8:B32))</f>
        <v>24</v>
      </c>
      <c r="B32" s="230" t="s">
        <v>1456</v>
      </c>
      <c r="C32" s="231"/>
      <c r="D32" s="231"/>
      <c r="E32" s="231"/>
      <c r="F32" s="231"/>
      <c r="G32" s="231"/>
      <c r="H32" s="232"/>
      <c r="I32" s="248" t="s">
        <v>1458</v>
      </c>
      <c r="J32" s="234"/>
      <c r="K32" s="234"/>
      <c r="L32" s="234"/>
      <c r="M32" s="234"/>
      <c r="N32" s="234"/>
      <c r="O32" s="234"/>
      <c r="P32" s="234"/>
      <c r="Q32" s="235"/>
      <c r="R32" s="230" t="s">
        <v>1456</v>
      </c>
      <c r="S32" s="234"/>
      <c r="T32" s="234"/>
      <c r="U32" s="234"/>
      <c r="V32" s="234"/>
      <c r="W32" s="234"/>
      <c r="X32" s="235"/>
      <c r="Y32" s="399" t="s">
        <v>150</v>
      </c>
      <c r="Z32" s="400"/>
      <c r="AA32" s="401" t="s">
        <v>151</v>
      </c>
      <c r="AB32" s="402"/>
      <c r="AC32" s="403"/>
      <c r="AD32" s="249">
        <v>4</v>
      </c>
      <c r="AE32" s="237"/>
      <c r="AF32" s="237"/>
      <c r="AG32" s="237"/>
      <c r="AH32" s="238"/>
      <c r="AI32" s="238"/>
      <c r="AJ32" s="238"/>
      <c r="AK32" s="238"/>
      <c r="AL32" s="238"/>
      <c r="AM32" s="238"/>
      <c r="AN32" s="238"/>
      <c r="AO32" s="237"/>
      <c r="AP32" s="237"/>
      <c r="AQ32" s="237"/>
      <c r="AR32" s="237"/>
      <c r="AS32" s="233" t="s">
        <v>1457</v>
      </c>
      <c r="AT32" s="220"/>
      <c r="AU32" s="220"/>
      <c r="AV32" s="220"/>
      <c r="AW32" s="220"/>
      <c r="AX32" s="220"/>
      <c r="AY32" s="220"/>
      <c r="AZ32" s="220"/>
      <c r="BA32" s="220"/>
      <c r="BB32" s="220"/>
      <c r="BC32" s="220"/>
      <c r="BD32" s="221"/>
      <c r="BE32" s="251" t="s">
        <v>1463</v>
      </c>
    </row>
    <row r="33" spans="1:57" s="251" customFormat="1" ht="14.4" customHeight="1">
      <c r="A33" s="265">
        <f>IF(B33="","",COUNTA($B$8:B33))</f>
        <v>25</v>
      </c>
      <c r="B33" s="230" t="s">
        <v>716</v>
      </c>
      <c r="C33" s="231"/>
      <c r="D33" s="231"/>
      <c r="E33" s="231"/>
      <c r="F33" s="231"/>
      <c r="G33" s="231"/>
      <c r="H33" s="232"/>
      <c r="I33" s="248" t="s">
        <v>1461</v>
      </c>
      <c r="J33" s="234"/>
      <c r="K33" s="234"/>
      <c r="L33" s="234"/>
      <c r="M33" s="234"/>
      <c r="N33" s="234"/>
      <c r="O33" s="234"/>
      <c r="P33" s="234"/>
      <c r="Q33" s="235"/>
      <c r="R33" s="230" t="s">
        <v>716</v>
      </c>
      <c r="S33" s="234"/>
      <c r="T33" s="234"/>
      <c r="U33" s="234"/>
      <c r="V33" s="234"/>
      <c r="W33" s="234"/>
      <c r="X33" s="235"/>
      <c r="Y33" s="399" t="s">
        <v>150</v>
      </c>
      <c r="Z33" s="400"/>
      <c r="AA33" s="401" t="s">
        <v>151</v>
      </c>
      <c r="AB33" s="402"/>
      <c r="AC33" s="403"/>
      <c r="AD33" s="249">
        <v>4</v>
      </c>
      <c r="AE33" s="237"/>
      <c r="AF33" s="237"/>
      <c r="AG33" s="237"/>
      <c r="AH33" s="238"/>
      <c r="AI33" s="238"/>
      <c r="AJ33" s="238"/>
      <c r="AK33" s="238"/>
      <c r="AL33" s="238"/>
      <c r="AM33" s="238"/>
      <c r="AN33" s="238"/>
      <c r="AO33" s="237"/>
      <c r="AP33" s="237"/>
      <c r="AQ33" s="237"/>
      <c r="AR33" s="237"/>
      <c r="AS33" s="233" t="s">
        <v>1459</v>
      </c>
      <c r="AT33" s="220"/>
      <c r="AU33" s="220"/>
      <c r="AV33" s="220"/>
      <c r="AW33" s="220"/>
      <c r="AX33" s="220"/>
      <c r="AY33" s="220"/>
      <c r="AZ33" s="220"/>
      <c r="BA33" s="220"/>
      <c r="BB33" s="220"/>
      <c r="BC33" s="220"/>
      <c r="BD33" s="221"/>
      <c r="BE33" s="251" t="s">
        <v>1464</v>
      </c>
    </row>
    <row r="34" spans="1:57" s="251" customFormat="1" ht="14.4" customHeight="1">
      <c r="A34" s="265">
        <f>IF(B34="","",COUNTA($B$8:B34))</f>
        <v>26</v>
      </c>
      <c r="B34" s="239" t="s">
        <v>318</v>
      </c>
      <c r="C34" s="231"/>
      <c r="D34" s="231"/>
      <c r="E34" s="231"/>
      <c r="F34" s="231"/>
      <c r="G34" s="231"/>
      <c r="H34" s="232"/>
      <c r="I34" s="248" t="s">
        <v>319</v>
      </c>
      <c r="J34" s="234"/>
      <c r="K34" s="234"/>
      <c r="L34" s="234"/>
      <c r="M34" s="234"/>
      <c r="N34" s="234"/>
      <c r="O34" s="234"/>
      <c r="P34" s="234"/>
      <c r="Q34" s="235"/>
      <c r="R34" s="239" t="s">
        <v>318</v>
      </c>
      <c r="S34" s="234"/>
      <c r="T34" s="234"/>
      <c r="U34" s="234"/>
      <c r="V34" s="234"/>
      <c r="W34" s="234"/>
      <c r="X34" s="232"/>
      <c r="Y34" s="399" t="s">
        <v>155</v>
      </c>
      <c r="Z34" s="400"/>
      <c r="AA34" s="401" t="s">
        <v>156</v>
      </c>
      <c r="AB34" s="402"/>
      <c r="AC34" s="403"/>
      <c r="AD34" s="249">
        <v>5</v>
      </c>
      <c r="AE34" s="237"/>
      <c r="AF34" s="237"/>
      <c r="AG34" s="237"/>
      <c r="AH34" s="238"/>
      <c r="AI34" s="238"/>
      <c r="AJ34" s="238"/>
      <c r="AK34" s="238"/>
      <c r="AL34" s="238"/>
      <c r="AM34" s="238"/>
      <c r="AN34" s="238"/>
      <c r="AO34" s="237"/>
      <c r="AP34" s="237"/>
      <c r="AQ34" s="237"/>
      <c r="AR34" s="237"/>
      <c r="AS34" s="233"/>
      <c r="AT34" s="220"/>
      <c r="AU34" s="220"/>
      <c r="AV34" s="220"/>
      <c r="AW34" s="220"/>
      <c r="AX34" s="220"/>
      <c r="AY34" s="220"/>
      <c r="AZ34" s="220"/>
      <c r="BA34" s="220"/>
      <c r="BB34" s="220"/>
      <c r="BC34" s="220"/>
      <c r="BD34" s="221"/>
    </row>
    <row r="35" spans="1:57" s="251" customFormat="1" ht="14.4" customHeight="1">
      <c r="A35" s="265">
        <f>IF(B35="","",COUNTA($B$8:B35))</f>
        <v>27</v>
      </c>
      <c r="B35" s="239" t="s">
        <v>211</v>
      </c>
      <c r="C35" s="231"/>
      <c r="D35" s="231"/>
      <c r="E35" s="231"/>
      <c r="F35" s="231"/>
      <c r="G35" s="231"/>
      <c r="H35" s="232"/>
      <c r="I35" s="248" t="s">
        <v>212</v>
      </c>
      <c r="J35" s="234"/>
      <c r="K35" s="234"/>
      <c r="L35" s="234"/>
      <c r="M35" s="234"/>
      <c r="N35" s="234"/>
      <c r="O35" s="234"/>
      <c r="P35" s="234"/>
      <c r="Q35" s="235"/>
      <c r="R35" s="239" t="s">
        <v>213</v>
      </c>
      <c r="S35" s="234"/>
      <c r="T35" s="234"/>
      <c r="U35" s="234"/>
      <c r="V35" s="234"/>
      <c r="W35" s="234"/>
      <c r="X35" s="232"/>
      <c r="Y35" s="399" t="s">
        <v>155</v>
      </c>
      <c r="Z35" s="400"/>
      <c r="AA35" s="401" t="s">
        <v>156</v>
      </c>
      <c r="AB35" s="402"/>
      <c r="AC35" s="403"/>
      <c r="AD35" s="249">
        <v>5</v>
      </c>
      <c r="AE35" s="237"/>
      <c r="AF35" s="237"/>
      <c r="AG35" s="237"/>
      <c r="AH35" s="238"/>
      <c r="AI35" s="238"/>
      <c r="AJ35" s="238"/>
      <c r="AK35" s="238"/>
      <c r="AL35" s="238"/>
      <c r="AM35" s="238"/>
      <c r="AN35" s="238"/>
      <c r="AO35" s="237"/>
      <c r="AP35" s="237"/>
      <c r="AQ35" s="237"/>
      <c r="AR35" s="237"/>
      <c r="AS35" s="233"/>
      <c r="AT35" s="220"/>
      <c r="AU35" s="220"/>
      <c r="AV35" s="220"/>
      <c r="AW35" s="220"/>
      <c r="AX35" s="220"/>
      <c r="AY35" s="220"/>
      <c r="AZ35" s="220"/>
      <c r="BA35" s="220"/>
      <c r="BB35" s="220"/>
      <c r="BC35" s="220"/>
      <c r="BD35" s="221"/>
    </row>
    <row r="36" spans="1:57" s="251" customFormat="1" ht="14.4" customHeight="1">
      <c r="A36" s="265">
        <f>IF(B36="","",COUNTA($B$8:B36))</f>
        <v>28</v>
      </c>
      <c r="B36" s="230" t="s">
        <v>365</v>
      </c>
      <c r="C36" s="231"/>
      <c r="D36" s="231"/>
      <c r="E36" s="231"/>
      <c r="F36" s="231"/>
      <c r="G36" s="231"/>
      <c r="H36" s="232"/>
      <c r="I36" s="248" t="s">
        <v>366</v>
      </c>
      <c r="J36" s="234"/>
      <c r="K36" s="234"/>
      <c r="L36" s="234"/>
      <c r="M36" s="234"/>
      <c r="N36" s="234"/>
      <c r="O36" s="234"/>
      <c r="P36" s="234"/>
      <c r="Q36" s="235"/>
      <c r="R36" s="230" t="s">
        <v>365</v>
      </c>
      <c r="S36" s="234"/>
      <c r="T36" s="234"/>
      <c r="U36" s="234"/>
      <c r="V36" s="234"/>
      <c r="W36" s="234"/>
      <c r="X36" s="232"/>
      <c r="Y36" s="399" t="s">
        <v>150</v>
      </c>
      <c r="Z36" s="400"/>
      <c r="AA36" s="401" t="s">
        <v>151</v>
      </c>
      <c r="AB36" s="402"/>
      <c r="AC36" s="403"/>
      <c r="AD36" s="249">
        <v>30</v>
      </c>
      <c r="AE36" s="237"/>
      <c r="AF36" s="237"/>
      <c r="AG36" s="237"/>
      <c r="AH36" s="238"/>
      <c r="AI36" s="238"/>
      <c r="AJ36" s="238"/>
      <c r="AK36" s="238"/>
      <c r="AL36" s="238"/>
      <c r="AM36" s="238"/>
      <c r="AN36" s="238"/>
      <c r="AO36" s="237"/>
      <c r="AP36" s="237"/>
      <c r="AQ36" s="237"/>
      <c r="AR36" s="237"/>
      <c r="AS36" s="233"/>
      <c r="AT36" s="220"/>
      <c r="AU36" s="220"/>
      <c r="AV36" s="220"/>
      <c r="AW36" s="220"/>
      <c r="AX36" s="220"/>
      <c r="AY36" s="220"/>
      <c r="AZ36" s="220"/>
      <c r="BA36" s="220"/>
      <c r="BB36" s="220"/>
      <c r="BC36" s="220"/>
      <c r="BD36" s="221"/>
    </row>
    <row r="37" spans="1:57" s="251" customFormat="1" ht="14.4" customHeight="1">
      <c r="A37" s="265">
        <f>IF(B37="","",COUNTA($B$8:B37))</f>
        <v>29</v>
      </c>
      <c r="B37" s="239" t="s">
        <v>320</v>
      </c>
      <c r="C37" s="231"/>
      <c r="D37" s="231"/>
      <c r="E37" s="231"/>
      <c r="F37" s="231"/>
      <c r="G37" s="231"/>
      <c r="H37" s="232"/>
      <c r="I37" s="248" t="s">
        <v>321</v>
      </c>
      <c r="J37" s="234"/>
      <c r="K37" s="234"/>
      <c r="L37" s="234"/>
      <c r="M37" s="234"/>
      <c r="N37" s="234"/>
      <c r="O37" s="234"/>
      <c r="P37" s="234"/>
      <c r="Q37" s="235"/>
      <c r="R37" s="239" t="s">
        <v>322</v>
      </c>
      <c r="S37" s="234"/>
      <c r="T37" s="234"/>
      <c r="U37" s="234"/>
      <c r="V37" s="234"/>
      <c r="W37" s="234"/>
      <c r="X37" s="232"/>
      <c r="Y37" s="399" t="s">
        <v>155</v>
      </c>
      <c r="Z37" s="400"/>
      <c r="AA37" s="401" t="s">
        <v>156</v>
      </c>
      <c r="AB37" s="402"/>
      <c r="AC37" s="403"/>
      <c r="AD37" s="249">
        <v>5</v>
      </c>
      <c r="AE37" s="237"/>
      <c r="AF37" s="237"/>
      <c r="AG37" s="237"/>
      <c r="AH37" s="238"/>
      <c r="AI37" s="238"/>
      <c r="AJ37" s="238"/>
      <c r="AK37" s="238"/>
      <c r="AL37" s="238"/>
      <c r="AM37" s="238"/>
      <c r="AN37" s="238"/>
      <c r="AO37" s="237"/>
      <c r="AP37" s="237"/>
      <c r="AQ37" s="237"/>
      <c r="AR37" s="237"/>
      <c r="AS37" s="233"/>
      <c r="AT37" s="220"/>
      <c r="AU37" s="220"/>
      <c r="AV37" s="220"/>
      <c r="AW37" s="220"/>
      <c r="AX37" s="220"/>
      <c r="AY37" s="220"/>
      <c r="AZ37" s="220"/>
      <c r="BA37" s="220"/>
      <c r="BB37" s="220"/>
      <c r="BC37" s="220"/>
      <c r="BD37" s="221"/>
    </row>
    <row r="38" spans="1:57" s="251" customFormat="1" ht="14.4" customHeight="1">
      <c r="A38" s="265">
        <f>IF(B38="","",COUNTA($B$8:B38))</f>
        <v>30</v>
      </c>
      <c r="B38" s="230" t="s">
        <v>367</v>
      </c>
      <c r="C38" s="231"/>
      <c r="D38" s="231"/>
      <c r="E38" s="231"/>
      <c r="F38" s="231"/>
      <c r="G38" s="231"/>
      <c r="H38" s="232"/>
      <c r="I38" s="248" t="s">
        <v>368</v>
      </c>
      <c r="J38" s="234"/>
      <c r="K38" s="234"/>
      <c r="L38" s="234"/>
      <c r="M38" s="234"/>
      <c r="N38" s="234"/>
      <c r="O38" s="234"/>
      <c r="P38" s="234"/>
      <c r="Q38" s="235"/>
      <c r="R38" s="230" t="s">
        <v>367</v>
      </c>
      <c r="S38" s="234"/>
      <c r="T38" s="234"/>
      <c r="U38" s="234"/>
      <c r="V38" s="234"/>
      <c r="W38" s="234"/>
      <c r="X38" s="232"/>
      <c r="Y38" s="399" t="s">
        <v>150</v>
      </c>
      <c r="Z38" s="400"/>
      <c r="AA38" s="401" t="s">
        <v>151</v>
      </c>
      <c r="AB38" s="402"/>
      <c r="AC38" s="403"/>
      <c r="AD38" s="249">
        <v>30</v>
      </c>
      <c r="AE38" s="237"/>
      <c r="AF38" s="237"/>
      <c r="AG38" s="237"/>
      <c r="AH38" s="238"/>
      <c r="AI38" s="238"/>
      <c r="AJ38" s="238"/>
      <c r="AK38" s="238"/>
      <c r="AL38" s="238"/>
      <c r="AM38" s="238"/>
      <c r="AN38" s="238"/>
      <c r="AO38" s="237"/>
      <c r="AP38" s="237"/>
      <c r="AQ38" s="237"/>
      <c r="AR38" s="237"/>
      <c r="AS38" s="233"/>
      <c r="AT38" s="220"/>
      <c r="AU38" s="220"/>
      <c r="AV38" s="220"/>
      <c r="AW38" s="220"/>
      <c r="AX38" s="220"/>
      <c r="AY38" s="220"/>
      <c r="AZ38" s="220"/>
      <c r="BA38" s="220"/>
      <c r="BB38" s="220"/>
      <c r="BC38" s="220"/>
      <c r="BD38" s="221"/>
    </row>
    <row r="39" spans="1:57" s="251" customFormat="1" ht="14.4" customHeight="1">
      <c r="A39" s="265">
        <f>IF(B39="","",COUNTA($B$8:B39))</f>
        <v>31</v>
      </c>
      <c r="B39" s="239" t="s">
        <v>369</v>
      </c>
      <c r="C39" s="231"/>
      <c r="D39" s="231"/>
      <c r="E39" s="231"/>
      <c r="F39" s="231"/>
      <c r="G39" s="231"/>
      <c r="H39" s="232"/>
      <c r="I39" s="248" t="s">
        <v>370</v>
      </c>
      <c r="J39" s="234"/>
      <c r="K39" s="234"/>
      <c r="L39" s="234"/>
      <c r="M39" s="234"/>
      <c r="N39" s="234"/>
      <c r="O39" s="234"/>
      <c r="P39" s="234"/>
      <c r="Q39" s="235"/>
      <c r="R39" s="239" t="s">
        <v>369</v>
      </c>
      <c r="S39" s="234"/>
      <c r="T39" s="234"/>
      <c r="U39" s="234"/>
      <c r="V39" s="234"/>
      <c r="W39" s="234"/>
      <c r="X39" s="232"/>
      <c r="Y39" s="399" t="s">
        <v>155</v>
      </c>
      <c r="Z39" s="400"/>
      <c r="AA39" s="401" t="s">
        <v>156</v>
      </c>
      <c r="AB39" s="402"/>
      <c r="AC39" s="403"/>
      <c r="AD39" s="249">
        <v>5</v>
      </c>
      <c r="AE39" s="237"/>
      <c r="AF39" s="237"/>
      <c r="AG39" s="237"/>
      <c r="AH39" s="238"/>
      <c r="AI39" s="238"/>
      <c r="AJ39" s="238"/>
      <c r="AK39" s="238"/>
      <c r="AL39" s="238"/>
      <c r="AM39" s="238"/>
      <c r="AN39" s="238"/>
      <c r="AO39" s="237"/>
      <c r="AP39" s="237"/>
      <c r="AQ39" s="237"/>
      <c r="AR39" s="237"/>
      <c r="AS39" s="233"/>
      <c r="AT39" s="220"/>
      <c r="AU39" s="220"/>
      <c r="AV39" s="220"/>
      <c r="AW39" s="220"/>
      <c r="AX39" s="220"/>
      <c r="AY39" s="220"/>
      <c r="AZ39" s="220"/>
      <c r="BA39" s="220"/>
      <c r="BB39" s="220"/>
      <c r="BC39" s="220"/>
      <c r="BD39" s="221"/>
    </row>
    <row r="40" spans="1:57" s="251" customFormat="1" ht="14.4" customHeight="1">
      <c r="A40" s="265">
        <f>IF(B40="","",COUNTA($B$8:B40))</f>
        <v>32</v>
      </c>
      <c r="B40" s="230" t="s">
        <v>371</v>
      </c>
      <c r="C40" s="231"/>
      <c r="D40" s="231"/>
      <c r="E40" s="231"/>
      <c r="F40" s="231"/>
      <c r="G40" s="231"/>
      <c r="H40" s="232"/>
      <c r="I40" s="248" t="s">
        <v>372</v>
      </c>
      <c r="J40" s="234"/>
      <c r="K40" s="234"/>
      <c r="L40" s="234"/>
      <c r="M40" s="234"/>
      <c r="N40" s="234"/>
      <c r="O40" s="234"/>
      <c r="P40" s="234"/>
      <c r="Q40" s="235"/>
      <c r="R40" s="230" t="s">
        <v>371</v>
      </c>
      <c r="S40" s="234"/>
      <c r="T40" s="234"/>
      <c r="U40" s="234"/>
      <c r="V40" s="234"/>
      <c r="W40" s="234"/>
      <c r="X40" s="232"/>
      <c r="Y40" s="399" t="s">
        <v>150</v>
      </c>
      <c r="Z40" s="400"/>
      <c r="AA40" s="401" t="s">
        <v>151</v>
      </c>
      <c r="AB40" s="402"/>
      <c r="AC40" s="403"/>
      <c r="AD40" s="249">
        <v>30</v>
      </c>
      <c r="AE40" s="237"/>
      <c r="AF40" s="237"/>
      <c r="AG40" s="237"/>
      <c r="AH40" s="238"/>
      <c r="AI40" s="238"/>
      <c r="AJ40" s="238"/>
      <c r="AK40" s="238"/>
      <c r="AL40" s="238"/>
      <c r="AM40" s="238"/>
      <c r="AN40" s="238"/>
      <c r="AO40" s="237"/>
      <c r="AP40" s="237"/>
      <c r="AQ40" s="237"/>
      <c r="AR40" s="237"/>
      <c r="AS40" s="233"/>
      <c r="AT40" s="220"/>
      <c r="AU40" s="220"/>
      <c r="AV40" s="220"/>
      <c r="AW40" s="220"/>
      <c r="AX40" s="220"/>
      <c r="AY40" s="220"/>
      <c r="AZ40" s="220"/>
      <c r="BA40" s="220"/>
      <c r="BB40" s="220"/>
      <c r="BC40" s="220"/>
      <c r="BD40" s="221"/>
    </row>
    <row r="41" spans="1:57" s="251" customFormat="1" ht="14.4" customHeight="1">
      <c r="A41" s="265">
        <f>IF(B41="","",COUNTA($B$8:B41))</f>
        <v>33</v>
      </c>
      <c r="B41" s="230" t="s">
        <v>228</v>
      </c>
      <c r="C41" s="231"/>
      <c r="D41" s="231"/>
      <c r="E41" s="231"/>
      <c r="F41" s="231"/>
      <c r="G41" s="231"/>
      <c r="H41" s="232"/>
      <c r="I41" s="248" t="s">
        <v>229</v>
      </c>
      <c r="J41" s="234"/>
      <c r="K41" s="234"/>
      <c r="L41" s="234"/>
      <c r="M41" s="234"/>
      <c r="N41" s="234"/>
      <c r="O41" s="234"/>
      <c r="P41" s="234"/>
      <c r="Q41" s="235"/>
      <c r="R41" s="230" t="s">
        <v>228</v>
      </c>
      <c r="S41" s="234"/>
      <c r="T41" s="234"/>
      <c r="U41" s="234"/>
      <c r="V41" s="234"/>
      <c r="W41" s="234"/>
      <c r="X41" s="232"/>
      <c r="Y41" s="399" t="s">
        <v>150</v>
      </c>
      <c r="Z41" s="400"/>
      <c r="AA41" s="401" t="s">
        <v>151</v>
      </c>
      <c r="AB41" s="402"/>
      <c r="AC41" s="403"/>
      <c r="AD41" s="249">
        <v>1000</v>
      </c>
      <c r="AE41" s="237"/>
      <c r="AF41" s="237"/>
      <c r="AG41" s="237"/>
      <c r="AH41" s="238"/>
      <c r="AI41" s="238"/>
      <c r="AJ41" s="238"/>
      <c r="AK41" s="238"/>
      <c r="AL41" s="238"/>
      <c r="AM41" s="238"/>
      <c r="AN41" s="238"/>
      <c r="AO41" s="237"/>
      <c r="AP41" s="237"/>
      <c r="AQ41" s="237"/>
      <c r="AR41" s="237"/>
      <c r="AS41" s="233"/>
      <c r="AT41" s="220"/>
      <c r="AU41" s="220"/>
      <c r="AV41" s="220"/>
      <c r="AW41" s="220"/>
      <c r="AX41" s="220"/>
      <c r="AY41" s="220"/>
      <c r="AZ41" s="220"/>
      <c r="BA41" s="220"/>
      <c r="BB41" s="220"/>
      <c r="BC41" s="220"/>
      <c r="BD41" s="221"/>
    </row>
    <row r="42" spans="1:57" s="251" customFormat="1" ht="14.4" customHeight="1">
      <c r="A42" s="265">
        <f>IF(B42="","",COUNTA($B$8:B42))</f>
        <v>34</v>
      </c>
      <c r="B42" s="239" t="s">
        <v>373</v>
      </c>
      <c r="C42" s="246"/>
      <c r="D42" s="246"/>
      <c r="E42" s="246"/>
      <c r="F42" s="246"/>
      <c r="G42" s="246"/>
      <c r="H42" s="247"/>
      <c r="I42" s="248" t="s">
        <v>374</v>
      </c>
      <c r="J42" s="234"/>
      <c r="K42" s="234"/>
      <c r="L42" s="234"/>
      <c r="M42" s="234"/>
      <c r="N42" s="234"/>
      <c r="O42" s="234"/>
      <c r="P42" s="234"/>
      <c r="Q42" s="235"/>
      <c r="R42" s="239" t="s">
        <v>373</v>
      </c>
      <c r="S42" s="234"/>
      <c r="T42" s="234"/>
      <c r="U42" s="234"/>
      <c r="V42" s="234"/>
      <c r="W42" s="234"/>
      <c r="X42" s="232"/>
      <c r="Y42" s="399" t="s">
        <v>155</v>
      </c>
      <c r="Z42" s="400"/>
      <c r="AA42" s="401" t="s">
        <v>156</v>
      </c>
      <c r="AB42" s="402"/>
      <c r="AC42" s="403"/>
      <c r="AD42" s="249">
        <v>3</v>
      </c>
      <c r="AE42" s="237"/>
      <c r="AF42" s="237"/>
      <c r="AG42" s="237"/>
      <c r="AH42" s="238"/>
      <c r="AI42" s="238"/>
      <c r="AJ42" s="238"/>
      <c r="AK42" s="238"/>
      <c r="AL42" s="238"/>
      <c r="AM42" s="238"/>
      <c r="AN42" s="238"/>
      <c r="AO42" s="237"/>
      <c r="AP42" s="237"/>
      <c r="AQ42" s="237"/>
      <c r="AR42" s="237"/>
      <c r="AS42" s="233"/>
      <c r="AT42" s="220"/>
      <c r="AU42" s="220"/>
      <c r="AV42" s="220"/>
      <c r="AW42" s="220"/>
      <c r="AX42" s="220"/>
      <c r="AY42" s="220"/>
      <c r="AZ42" s="220"/>
      <c r="BA42" s="220"/>
      <c r="BB42" s="220"/>
      <c r="BC42" s="220"/>
      <c r="BD42" s="221"/>
    </row>
    <row r="43" spans="1:57" s="251" customFormat="1" ht="14.4" customHeight="1">
      <c r="A43" s="265">
        <f>IF(B43="","",COUNTA($B$8:B43))</f>
        <v>35</v>
      </c>
      <c r="B43" s="230" t="s">
        <v>323</v>
      </c>
      <c r="C43" s="231"/>
      <c r="D43" s="231"/>
      <c r="E43" s="231"/>
      <c r="F43" s="231"/>
      <c r="G43" s="231"/>
      <c r="H43" s="232"/>
      <c r="I43" s="248" t="s">
        <v>324</v>
      </c>
      <c r="J43" s="234"/>
      <c r="K43" s="234"/>
      <c r="L43" s="234"/>
      <c r="M43" s="234"/>
      <c r="N43" s="234"/>
      <c r="O43" s="234"/>
      <c r="P43" s="234"/>
      <c r="Q43" s="235"/>
      <c r="R43" s="230" t="s">
        <v>323</v>
      </c>
      <c r="S43" s="234"/>
      <c r="T43" s="234"/>
      <c r="U43" s="234"/>
      <c r="V43" s="234"/>
      <c r="W43" s="234"/>
      <c r="X43" s="232"/>
      <c r="Y43" s="399" t="s">
        <v>150</v>
      </c>
      <c r="Z43" s="400"/>
      <c r="AA43" s="401" t="s">
        <v>151</v>
      </c>
      <c r="AB43" s="402"/>
      <c r="AC43" s="403"/>
      <c r="AD43" s="249">
        <v>5</v>
      </c>
      <c r="AE43" s="237"/>
      <c r="AF43" s="237"/>
      <c r="AG43" s="237"/>
      <c r="AH43" s="238"/>
      <c r="AI43" s="238"/>
      <c r="AJ43" s="238"/>
      <c r="AK43" s="238"/>
      <c r="AL43" s="238"/>
      <c r="AM43" s="238"/>
      <c r="AN43" s="238"/>
      <c r="AO43" s="237"/>
      <c r="AP43" s="237"/>
      <c r="AQ43" s="237"/>
      <c r="AR43" s="237"/>
      <c r="AS43" s="233"/>
      <c r="AT43" s="220"/>
      <c r="AU43" s="220"/>
      <c r="AV43" s="220"/>
      <c r="AW43" s="220"/>
      <c r="AX43" s="220"/>
      <c r="AY43" s="220"/>
      <c r="AZ43" s="220"/>
      <c r="BA43" s="220"/>
      <c r="BB43" s="220"/>
      <c r="BC43" s="220"/>
      <c r="BD43" s="221"/>
    </row>
    <row r="44" spans="1:57" s="251" customFormat="1" ht="14.4" customHeight="1">
      <c r="A44" s="265">
        <f>IF(B44="","",COUNTA($B$8:B44))</f>
        <v>36</v>
      </c>
      <c r="B44" s="230" t="s">
        <v>325</v>
      </c>
      <c r="C44" s="231"/>
      <c r="D44" s="231"/>
      <c r="E44" s="231"/>
      <c r="F44" s="231"/>
      <c r="G44" s="231"/>
      <c r="H44" s="232"/>
      <c r="I44" s="248" t="s">
        <v>326</v>
      </c>
      <c r="J44" s="234"/>
      <c r="K44" s="234"/>
      <c r="L44" s="234"/>
      <c r="M44" s="234"/>
      <c r="N44" s="234"/>
      <c r="O44" s="234"/>
      <c r="P44" s="234"/>
      <c r="Q44" s="235"/>
      <c r="R44" s="230" t="s">
        <v>325</v>
      </c>
      <c r="S44" s="234"/>
      <c r="T44" s="234"/>
      <c r="U44" s="234"/>
      <c r="V44" s="234"/>
      <c r="W44" s="234"/>
      <c r="X44" s="232"/>
      <c r="Y44" s="399" t="s">
        <v>150</v>
      </c>
      <c r="Z44" s="400"/>
      <c r="AA44" s="401" t="s">
        <v>151</v>
      </c>
      <c r="AB44" s="402"/>
      <c r="AC44" s="403"/>
      <c r="AD44" s="249">
        <v>20</v>
      </c>
      <c r="AE44" s="237"/>
      <c r="AF44" s="237"/>
      <c r="AG44" s="237"/>
      <c r="AH44" s="238"/>
      <c r="AI44" s="238"/>
      <c r="AJ44" s="238"/>
      <c r="AK44" s="238"/>
      <c r="AL44" s="238"/>
      <c r="AM44" s="238"/>
      <c r="AN44" s="238"/>
      <c r="AO44" s="237"/>
      <c r="AP44" s="237"/>
      <c r="AQ44" s="237"/>
      <c r="AR44" s="237"/>
      <c r="AS44" s="233"/>
      <c r="AT44" s="220"/>
      <c r="AU44" s="220"/>
      <c r="AV44" s="220"/>
      <c r="AW44" s="220"/>
      <c r="AX44" s="220"/>
      <c r="AY44" s="220"/>
      <c r="AZ44" s="220"/>
      <c r="BA44" s="220"/>
      <c r="BB44" s="220"/>
      <c r="BC44" s="220"/>
      <c r="BD44" s="221"/>
    </row>
    <row r="45" spans="1:57" s="251" customFormat="1" ht="14.4" customHeight="1">
      <c r="A45" s="265">
        <f>IF(B45="","",COUNTA($B$8:B45))</f>
        <v>37</v>
      </c>
      <c r="B45" s="230" t="s">
        <v>327</v>
      </c>
      <c r="C45" s="231"/>
      <c r="D45" s="231"/>
      <c r="E45" s="231"/>
      <c r="F45" s="231"/>
      <c r="G45" s="231"/>
      <c r="H45" s="232"/>
      <c r="I45" s="248" t="s">
        <v>328</v>
      </c>
      <c r="J45" s="234"/>
      <c r="K45" s="234"/>
      <c r="L45" s="234"/>
      <c r="M45" s="234"/>
      <c r="N45" s="234"/>
      <c r="O45" s="234"/>
      <c r="P45" s="234"/>
      <c r="Q45" s="235"/>
      <c r="R45" s="230" t="s">
        <v>327</v>
      </c>
      <c r="S45" s="234"/>
      <c r="T45" s="234"/>
      <c r="U45" s="234"/>
      <c r="V45" s="234"/>
      <c r="W45" s="234"/>
      <c r="X45" s="232"/>
      <c r="Y45" s="399" t="s">
        <v>150</v>
      </c>
      <c r="Z45" s="400"/>
      <c r="AA45" s="401" t="s">
        <v>151</v>
      </c>
      <c r="AB45" s="402"/>
      <c r="AC45" s="403"/>
      <c r="AD45" s="249">
        <v>30</v>
      </c>
      <c r="AE45" s="237"/>
      <c r="AF45" s="237"/>
      <c r="AG45" s="237"/>
      <c r="AH45" s="238"/>
      <c r="AI45" s="238"/>
      <c r="AJ45" s="238"/>
      <c r="AK45" s="238"/>
      <c r="AL45" s="238"/>
      <c r="AM45" s="238"/>
      <c r="AN45" s="238"/>
      <c r="AO45" s="237"/>
      <c r="AP45" s="237"/>
      <c r="AQ45" s="237"/>
      <c r="AR45" s="237"/>
      <c r="AS45" s="233"/>
      <c r="AT45" s="220"/>
      <c r="AU45" s="220"/>
      <c r="AV45" s="220"/>
      <c r="AW45" s="220"/>
      <c r="AX45" s="220"/>
      <c r="AY45" s="220"/>
      <c r="AZ45" s="220"/>
      <c r="BA45" s="220"/>
      <c r="BB45" s="220"/>
      <c r="BC45" s="220"/>
      <c r="BD45" s="221"/>
    </row>
    <row r="46" spans="1:57" s="251" customFormat="1" ht="14.4" customHeight="1">
      <c r="A46" s="265">
        <f>IF(B46="","",COUNTA($B$8:B46))</f>
        <v>38</v>
      </c>
      <c r="B46" s="239" t="s">
        <v>329</v>
      </c>
      <c r="C46" s="231"/>
      <c r="D46" s="231"/>
      <c r="E46" s="231"/>
      <c r="F46" s="231"/>
      <c r="G46" s="231"/>
      <c r="H46" s="232"/>
      <c r="I46" s="248" t="s">
        <v>330</v>
      </c>
      <c r="J46" s="234"/>
      <c r="K46" s="234"/>
      <c r="L46" s="234"/>
      <c r="M46" s="234"/>
      <c r="N46" s="234"/>
      <c r="O46" s="234"/>
      <c r="P46" s="234"/>
      <c r="Q46" s="235"/>
      <c r="R46" s="239" t="s">
        <v>329</v>
      </c>
      <c r="S46" s="234"/>
      <c r="T46" s="234"/>
      <c r="U46" s="234"/>
      <c r="V46" s="234"/>
      <c r="W46" s="234"/>
      <c r="X46" s="232"/>
      <c r="Y46" s="399" t="s">
        <v>155</v>
      </c>
      <c r="Z46" s="400"/>
      <c r="AA46" s="401" t="s">
        <v>156</v>
      </c>
      <c r="AB46" s="402"/>
      <c r="AC46" s="403"/>
      <c r="AD46" s="249">
        <v>5</v>
      </c>
      <c r="AE46" s="237">
        <v>2</v>
      </c>
      <c r="AF46" s="237"/>
      <c r="AG46" s="237"/>
      <c r="AH46" s="238"/>
      <c r="AI46" s="238"/>
      <c r="AJ46" s="238"/>
      <c r="AK46" s="238"/>
      <c r="AL46" s="238"/>
      <c r="AM46" s="238"/>
      <c r="AN46" s="238"/>
      <c r="AO46" s="237"/>
      <c r="AP46" s="237"/>
      <c r="AQ46" s="237"/>
      <c r="AR46" s="237"/>
      <c r="AS46" s="233"/>
      <c r="AT46" s="220"/>
      <c r="AU46" s="220"/>
      <c r="AV46" s="220"/>
      <c r="AW46" s="220"/>
      <c r="AX46" s="220"/>
      <c r="AY46" s="220"/>
      <c r="AZ46" s="220"/>
      <c r="BA46" s="220"/>
      <c r="BB46" s="220"/>
      <c r="BC46" s="220"/>
      <c r="BD46" s="221"/>
    </row>
    <row r="47" spans="1:57" s="251" customFormat="1" ht="14.4" customHeight="1">
      <c r="A47" s="265">
        <f>IF(B47="","",COUNTA($B$8:B47))</f>
        <v>39</v>
      </c>
      <c r="B47" s="239" t="s">
        <v>331</v>
      </c>
      <c r="C47" s="246"/>
      <c r="D47" s="246"/>
      <c r="E47" s="246"/>
      <c r="F47" s="246"/>
      <c r="G47" s="246"/>
      <c r="H47" s="247"/>
      <c r="I47" s="248" t="s">
        <v>332</v>
      </c>
      <c r="J47" s="234"/>
      <c r="K47" s="234"/>
      <c r="L47" s="234"/>
      <c r="M47" s="234"/>
      <c r="N47" s="234"/>
      <c r="O47" s="234"/>
      <c r="P47" s="234"/>
      <c r="Q47" s="235"/>
      <c r="R47" s="239" t="s">
        <v>331</v>
      </c>
      <c r="S47" s="234"/>
      <c r="T47" s="234"/>
      <c r="U47" s="234"/>
      <c r="V47" s="234"/>
      <c r="W47" s="234"/>
      <c r="X47" s="232"/>
      <c r="Y47" s="399" t="s">
        <v>155</v>
      </c>
      <c r="Z47" s="400"/>
      <c r="AA47" s="401" t="s">
        <v>156</v>
      </c>
      <c r="AB47" s="402"/>
      <c r="AC47" s="403"/>
      <c r="AD47" s="249">
        <v>4</v>
      </c>
      <c r="AE47" s="237"/>
      <c r="AF47" s="237"/>
      <c r="AG47" s="237"/>
      <c r="AH47" s="238"/>
      <c r="AI47" s="238"/>
      <c r="AJ47" s="238"/>
      <c r="AK47" s="238"/>
      <c r="AL47" s="238"/>
      <c r="AM47" s="238"/>
      <c r="AN47" s="238"/>
      <c r="AO47" s="237"/>
      <c r="AP47" s="237"/>
      <c r="AQ47" s="237"/>
      <c r="AR47" s="237"/>
      <c r="AS47" s="233"/>
      <c r="AT47" s="220"/>
      <c r="AU47" s="220"/>
      <c r="AV47" s="220"/>
      <c r="AW47" s="220"/>
      <c r="AX47" s="220"/>
      <c r="AY47" s="220"/>
      <c r="AZ47" s="220"/>
      <c r="BA47" s="220"/>
      <c r="BB47" s="220"/>
      <c r="BC47" s="220"/>
      <c r="BD47" s="221"/>
    </row>
    <row r="48" spans="1:57" s="251" customFormat="1" ht="14.4" customHeight="1">
      <c r="A48" s="265">
        <f>IF(B48="","",COUNTA($B$8:B48))</f>
        <v>40</v>
      </c>
      <c r="B48" s="239" t="s">
        <v>333</v>
      </c>
      <c r="C48" s="246"/>
      <c r="D48" s="246"/>
      <c r="E48" s="246"/>
      <c r="F48" s="246"/>
      <c r="G48" s="246"/>
      <c r="H48" s="247"/>
      <c r="I48" s="248" t="s">
        <v>334</v>
      </c>
      <c r="J48" s="234"/>
      <c r="K48" s="234"/>
      <c r="L48" s="234"/>
      <c r="M48" s="234"/>
      <c r="N48" s="234"/>
      <c r="O48" s="234"/>
      <c r="P48" s="234"/>
      <c r="Q48" s="235"/>
      <c r="R48" s="239" t="s">
        <v>333</v>
      </c>
      <c r="S48" s="234"/>
      <c r="T48" s="234"/>
      <c r="U48" s="234"/>
      <c r="V48" s="234"/>
      <c r="W48" s="234"/>
      <c r="X48" s="232"/>
      <c r="Y48" s="399" t="s">
        <v>155</v>
      </c>
      <c r="Z48" s="400"/>
      <c r="AA48" s="401" t="s">
        <v>156</v>
      </c>
      <c r="AB48" s="402"/>
      <c r="AC48" s="403"/>
      <c r="AD48" s="249">
        <v>5</v>
      </c>
      <c r="AE48" s="237"/>
      <c r="AF48" s="237"/>
      <c r="AG48" s="237"/>
      <c r="AH48" s="238"/>
      <c r="AI48" s="238"/>
      <c r="AJ48" s="238"/>
      <c r="AK48" s="238"/>
      <c r="AL48" s="238"/>
      <c r="AM48" s="238"/>
      <c r="AN48" s="238"/>
      <c r="AO48" s="237"/>
      <c r="AP48" s="237"/>
      <c r="AQ48" s="237"/>
      <c r="AR48" s="237"/>
      <c r="AS48" s="233"/>
      <c r="AT48" s="220"/>
      <c r="AU48" s="220"/>
      <c r="AV48" s="220"/>
      <c r="AW48" s="220"/>
      <c r="AX48" s="220"/>
      <c r="AY48" s="220"/>
      <c r="AZ48" s="220"/>
      <c r="BA48" s="220"/>
      <c r="BB48" s="220"/>
      <c r="BC48" s="220"/>
      <c r="BD48" s="221"/>
    </row>
    <row r="49" spans="1:56" s="251" customFormat="1" ht="14.4" customHeight="1">
      <c r="A49" s="265">
        <f>IF(B49="","",COUNTA($B$8:B49))</f>
        <v>41</v>
      </c>
      <c r="B49" s="239" t="s">
        <v>335</v>
      </c>
      <c r="C49" s="231"/>
      <c r="D49" s="231"/>
      <c r="E49" s="231"/>
      <c r="F49" s="231"/>
      <c r="G49" s="231"/>
      <c r="H49" s="232"/>
      <c r="I49" s="248" t="s">
        <v>336</v>
      </c>
      <c r="J49" s="234"/>
      <c r="K49" s="234"/>
      <c r="L49" s="234"/>
      <c r="M49" s="234"/>
      <c r="N49" s="234"/>
      <c r="O49" s="234"/>
      <c r="P49" s="234"/>
      <c r="Q49" s="235"/>
      <c r="R49" s="239" t="s">
        <v>335</v>
      </c>
      <c r="S49" s="234"/>
      <c r="T49" s="234"/>
      <c r="U49" s="234"/>
      <c r="V49" s="234"/>
      <c r="W49" s="234"/>
      <c r="X49" s="232"/>
      <c r="Y49" s="399" t="s">
        <v>155</v>
      </c>
      <c r="Z49" s="400"/>
      <c r="AA49" s="401" t="s">
        <v>156</v>
      </c>
      <c r="AB49" s="402"/>
      <c r="AC49" s="403"/>
      <c r="AD49" s="249">
        <v>5</v>
      </c>
      <c r="AE49" s="237"/>
      <c r="AF49" s="237"/>
      <c r="AG49" s="237"/>
      <c r="AH49" s="238"/>
      <c r="AI49" s="238"/>
      <c r="AJ49" s="238"/>
      <c r="AK49" s="238"/>
      <c r="AL49" s="238"/>
      <c r="AM49" s="238"/>
      <c r="AN49" s="238"/>
      <c r="AO49" s="237"/>
      <c r="AP49" s="237"/>
      <c r="AQ49" s="237"/>
      <c r="AR49" s="237"/>
      <c r="AS49" s="233"/>
      <c r="AT49" s="220"/>
      <c r="AU49" s="220"/>
      <c r="AV49" s="220"/>
      <c r="AW49" s="220"/>
      <c r="AX49" s="220"/>
      <c r="AY49" s="220"/>
      <c r="AZ49" s="220"/>
      <c r="BA49" s="220"/>
      <c r="BB49" s="220"/>
      <c r="BC49" s="220"/>
      <c r="BD49" s="221"/>
    </row>
    <row r="50" spans="1:56" s="251" customFormat="1" ht="14.4" customHeight="1">
      <c r="A50" s="265">
        <f>IF(B50="","",COUNTA($B$8:B50))</f>
        <v>42</v>
      </c>
      <c r="B50" s="230" t="s">
        <v>337</v>
      </c>
      <c r="C50" s="231"/>
      <c r="D50" s="231"/>
      <c r="E50" s="231"/>
      <c r="F50" s="231"/>
      <c r="G50" s="231"/>
      <c r="H50" s="232"/>
      <c r="I50" s="248" t="s">
        <v>338</v>
      </c>
      <c r="J50" s="234"/>
      <c r="K50" s="234"/>
      <c r="L50" s="234"/>
      <c r="M50" s="234"/>
      <c r="N50" s="234"/>
      <c r="O50" s="234"/>
      <c r="P50" s="234"/>
      <c r="Q50" s="235"/>
      <c r="R50" s="230" t="s">
        <v>337</v>
      </c>
      <c r="S50" s="234"/>
      <c r="T50" s="234"/>
      <c r="U50" s="234"/>
      <c r="V50" s="234"/>
      <c r="W50" s="234"/>
      <c r="X50" s="232"/>
      <c r="Y50" s="399" t="s">
        <v>150</v>
      </c>
      <c r="Z50" s="400"/>
      <c r="AA50" s="401" t="s">
        <v>151</v>
      </c>
      <c r="AB50" s="402"/>
      <c r="AC50" s="403"/>
      <c r="AD50" s="249">
        <v>1000</v>
      </c>
      <c r="AE50" s="237"/>
      <c r="AF50" s="237"/>
      <c r="AG50" s="237"/>
      <c r="AH50" s="238"/>
      <c r="AI50" s="238"/>
      <c r="AJ50" s="238"/>
      <c r="AK50" s="238"/>
      <c r="AL50" s="238"/>
      <c r="AM50" s="238"/>
      <c r="AN50" s="238"/>
      <c r="AO50" s="237"/>
      <c r="AP50" s="237"/>
      <c r="AQ50" s="237"/>
      <c r="AR50" s="237"/>
      <c r="AS50" s="233"/>
      <c r="AT50" s="220"/>
      <c r="AU50" s="220"/>
      <c r="AV50" s="220"/>
      <c r="AW50" s="220"/>
      <c r="AX50" s="220"/>
      <c r="AY50" s="220"/>
      <c r="AZ50" s="220"/>
      <c r="BA50" s="220"/>
      <c r="BB50" s="220"/>
      <c r="BC50" s="220"/>
      <c r="BD50" s="221"/>
    </row>
    <row r="51" spans="1:56" s="251" customFormat="1" ht="14.4" customHeight="1">
      <c r="A51" s="265">
        <f>IF(B51="","",COUNTA($B$8:B51))</f>
        <v>43</v>
      </c>
      <c r="B51" s="239" t="s">
        <v>296</v>
      </c>
      <c r="C51" s="231"/>
      <c r="D51" s="231"/>
      <c r="E51" s="231"/>
      <c r="F51" s="231"/>
      <c r="G51" s="231"/>
      <c r="H51" s="232"/>
      <c r="I51" s="248" t="s">
        <v>297</v>
      </c>
      <c r="J51" s="234"/>
      <c r="K51" s="234"/>
      <c r="L51" s="234"/>
      <c r="M51" s="234"/>
      <c r="N51" s="234"/>
      <c r="O51" s="234"/>
      <c r="P51" s="234"/>
      <c r="Q51" s="235"/>
      <c r="R51" s="239" t="s">
        <v>296</v>
      </c>
      <c r="S51" s="234"/>
      <c r="T51" s="234"/>
      <c r="U51" s="234"/>
      <c r="V51" s="234"/>
      <c r="W51" s="234"/>
      <c r="X51" s="232"/>
      <c r="Y51" s="399" t="s">
        <v>155</v>
      </c>
      <c r="Z51" s="400"/>
      <c r="AA51" s="401" t="s">
        <v>156</v>
      </c>
      <c r="AB51" s="402"/>
      <c r="AC51" s="403"/>
      <c r="AD51" s="249">
        <v>5</v>
      </c>
      <c r="AE51" s="237"/>
      <c r="AF51" s="237"/>
      <c r="AG51" s="237"/>
      <c r="AH51" s="238"/>
      <c r="AI51" s="238"/>
      <c r="AJ51" s="238"/>
      <c r="AK51" s="238"/>
      <c r="AL51" s="238"/>
      <c r="AM51" s="238"/>
      <c r="AN51" s="238"/>
      <c r="AO51" s="237"/>
      <c r="AP51" s="237"/>
      <c r="AQ51" s="237"/>
      <c r="AR51" s="237"/>
      <c r="AS51" s="233"/>
      <c r="AT51" s="220"/>
      <c r="AU51" s="220"/>
      <c r="AV51" s="220"/>
      <c r="AW51" s="220"/>
      <c r="AX51" s="220"/>
      <c r="AY51" s="220"/>
      <c r="AZ51" s="220"/>
      <c r="BA51" s="220"/>
      <c r="BB51" s="220"/>
      <c r="BC51" s="220"/>
      <c r="BD51" s="221"/>
    </row>
    <row r="52" spans="1:56" s="251" customFormat="1" ht="14.4" customHeight="1">
      <c r="A52" s="265">
        <f>IF(B52="","",COUNTA($B$8:B52))</f>
        <v>44</v>
      </c>
      <c r="B52" s="230" t="s">
        <v>341</v>
      </c>
      <c r="C52" s="231"/>
      <c r="D52" s="231"/>
      <c r="E52" s="231"/>
      <c r="F52" s="231"/>
      <c r="G52" s="231"/>
      <c r="H52" s="232"/>
      <c r="I52" s="248" t="s">
        <v>342</v>
      </c>
      <c r="J52" s="234"/>
      <c r="K52" s="234"/>
      <c r="L52" s="234"/>
      <c r="M52" s="234"/>
      <c r="N52" s="234"/>
      <c r="O52" s="234"/>
      <c r="P52" s="234"/>
      <c r="Q52" s="235"/>
      <c r="R52" s="230" t="s">
        <v>341</v>
      </c>
      <c r="S52" s="234"/>
      <c r="T52" s="234"/>
      <c r="U52" s="234"/>
      <c r="V52" s="234"/>
      <c r="W52" s="234"/>
      <c r="X52" s="232"/>
      <c r="Y52" s="399" t="s">
        <v>155</v>
      </c>
      <c r="Z52" s="400"/>
      <c r="AA52" s="401" t="s">
        <v>156</v>
      </c>
      <c r="AB52" s="402"/>
      <c r="AC52" s="403"/>
      <c r="AD52" s="249">
        <v>1</v>
      </c>
      <c r="AE52" s="237"/>
      <c r="AF52" s="237"/>
      <c r="AG52" s="237"/>
      <c r="AH52" s="238">
        <v>0</v>
      </c>
      <c r="AI52" s="238"/>
      <c r="AJ52" s="238"/>
      <c r="AK52" s="238"/>
      <c r="AL52" s="238"/>
      <c r="AM52" s="238"/>
      <c r="AN52" s="238"/>
      <c r="AO52" s="237"/>
      <c r="AP52" s="237"/>
      <c r="AQ52" s="237"/>
      <c r="AR52" s="237"/>
      <c r="AS52" s="233" t="s">
        <v>343</v>
      </c>
      <c r="AT52" s="220"/>
      <c r="AU52" s="220"/>
      <c r="AV52" s="220"/>
      <c r="AW52" s="220"/>
      <c r="AX52" s="220"/>
      <c r="AY52" s="220"/>
      <c r="AZ52" s="220"/>
      <c r="BA52" s="220"/>
      <c r="BB52" s="220"/>
      <c r="BC52" s="220"/>
      <c r="BD52" s="221"/>
    </row>
    <row r="53" spans="1:56" s="251" customFormat="1" ht="14.4" customHeight="1">
      <c r="A53" s="265">
        <f>IF(B53="","",COUNTA($B$8:B53))</f>
        <v>45</v>
      </c>
      <c r="B53" s="230" t="s">
        <v>344</v>
      </c>
      <c r="C53" s="231"/>
      <c r="D53" s="231"/>
      <c r="E53" s="231"/>
      <c r="F53" s="231"/>
      <c r="G53" s="231"/>
      <c r="H53" s="232"/>
      <c r="I53" s="248" t="s">
        <v>345</v>
      </c>
      <c r="J53" s="234"/>
      <c r="K53" s="234"/>
      <c r="L53" s="234"/>
      <c r="M53" s="234"/>
      <c r="N53" s="234"/>
      <c r="O53" s="234"/>
      <c r="P53" s="234"/>
      <c r="Q53" s="235"/>
      <c r="R53" s="230" t="s">
        <v>344</v>
      </c>
      <c r="S53" s="234"/>
      <c r="T53" s="234"/>
      <c r="U53" s="234"/>
      <c r="V53" s="234"/>
      <c r="W53" s="234"/>
      <c r="X53" s="232"/>
      <c r="Y53" s="399" t="s">
        <v>155</v>
      </c>
      <c r="Z53" s="400"/>
      <c r="AA53" s="401" t="s">
        <v>156</v>
      </c>
      <c r="AB53" s="402"/>
      <c r="AC53" s="403"/>
      <c r="AD53" s="249">
        <v>1</v>
      </c>
      <c r="AE53" s="237"/>
      <c r="AF53" s="237"/>
      <c r="AG53" s="237"/>
      <c r="AH53" s="238">
        <v>0</v>
      </c>
      <c r="AI53" s="238"/>
      <c r="AJ53" s="238"/>
      <c r="AK53" s="238"/>
      <c r="AL53" s="238"/>
      <c r="AM53" s="238"/>
      <c r="AN53" s="238"/>
      <c r="AO53" s="237"/>
      <c r="AP53" s="237"/>
      <c r="AQ53" s="237"/>
      <c r="AR53" s="237"/>
      <c r="AS53" s="233" t="s">
        <v>343</v>
      </c>
      <c r="AT53" s="220"/>
      <c r="AU53" s="220"/>
      <c r="AV53" s="220"/>
      <c r="AW53" s="220"/>
      <c r="AX53" s="220"/>
      <c r="AY53" s="220"/>
      <c r="AZ53" s="220"/>
      <c r="BA53" s="220"/>
      <c r="BB53" s="220"/>
      <c r="BC53" s="220"/>
      <c r="BD53" s="221"/>
    </row>
    <row r="54" spans="1:56" s="251" customFormat="1" ht="14.4" customHeight="1">
      <c r="A54" s="265">
        <f>IF(B54="","",COUNTA($B$8:B54))</f>
        <v>46</v>
      </c>
      <c r="B54" s="230" t="s">
        <v>375</v>
      </c>
      <c r="C54" s="231"/>
      <c r="D54" s="231"/>
      <c r="E54" s="231"/>
      <c r="F54" s="231"/>
      <c r="G54" s="231"/>
      <c r="H54" s="232"/>
      <c r="I54" s="248" t="s">
        <v>376</v>
      </c>
      <c r="J54" s="234"/>
      <c r="K54" s="234"/>
      <c r="L54" s="234"/>
      <c r="M54" s="234"/>
      <c r="N54" s="234"/>
      <c r="O54" s="234"/>
      <c r="P54" s="234"/>
      <c r="Q54" s="235"/>
      <c r="R54" s="230" t="s">
        <v>375</v>
      </c>
      <c r="S54" s="234"/>
      <c r="T54" s="234"/>
      <c r="U54" s="234"/>
      <c r="V54" s="234"/>
      <c r="W54" s="234"/>
      <c r="X54" s="232"/>
      <c r="Y54" s="399" t="s">
        <v>169</v>
      </c>
      <c r="Z54" s="400"/>
      <c r="AA54" s="401" t="s">
        <v>170</v>
      </c>
      <c r="AB54" s="402"/>
      <c r="AC54" s="403"/>
      <c r="AD54" s="249"/>
      <c r="AE54" s="237"/>
      <c r="AF54" s="237"/>
      <c r="AG54" s="238"/>
      <c r="AH54" s="238"/>
      <c r="AI54" s="238"/>
      <c r="AJ54" s="238"/>
      <c r="AK54" s="238"/>
      <c r="AL54" s="238"/>
      <c r="AM54" s="238"/>
      <c r="AN54" s="238"/>
      <c r="AO54" s="237"/>
      <c r="AP54" s="237"/>
      <c r="AQ54" s="237"/>
      <c r="AR54" s="237"/>
      <c r="AS54" s="233"/>
      <c r="AT54" s="220"/>
      <c r="AU54" s="220"/>
      <c r="AV54" s="220"/>
      <c r="AW54" s="220"/>
      <c r="AX54" s="220"/>
      <c r="AY54" s="220"/>
      <c r="AZ54" s="220"/>
      <c r="BA54" s="220"/>
      <c r="BB54" s="220"/>
      <c r="BC54" s="220"/>
      <c r="BD54" s="221"/>
    </row>
    <row r="55" spans="1:56" s="251" customFormat="1" ht="14.4" customHeight="1">
      <c r="A55" s="265">
        <f>IF(B55="","",COUNTA($B$8:B55))</f>
        <v>47</v>
      </c>
      <c r="B55" s="230" t="s">
        <v>377</v>
      </c>
      <c r="C55" s="231"/>
      <c r="D55" s="231"/>
      <c r="E55" s="231"/>
      <c r="F55" s="231"/>
      <c r="G55" s="231"/>
      <c r="H55" s="232"/>
      <c r="I55" s="248" t="s">
        <v>378</v>
      </c>
      <c r="J55" s="234"/>
      <c r="K55" s="234"/>
      <c r="L55" s="234"/>
      <c r="M55" s="234"/>
      <c r="N55" s="234"/>
      <c r="O55" s="234"/>
      <c r="P55" s="234"/>
      <c r="Q55" s="235"/>
      <c r="R55" s="230" t="s">
        <v>377</v>
      </c>
      <c r="S55" s="234"/>
      <c r="T55" s="234"/>
      <c r="U55" s="234"/>
      <c r="V55" s="234"/>
      <c r="W55" s="234"/>
      <c r="X55" s="232"/>
      <c r="Y55" s="399" t="s">
        <v>155</v>
      </c>
      <c r="Z55" s="400"/>
      <c r="AA55" s="401" t="s">
        <v>156</v>
      </c>
      <c r="AB55" s="402"/>
      <c r="AC55" s="403"/>
      <c r="AD55" s="249">
        <v>1</v>
      </c>
      <c r="AE55" s="237"/>
      <c r="AF55" s="237"/>
      <c r="AG55" s="238"/>
      <c r="AH55" s="238">
        <v>0</v>
      </c>
      <c r="AI55" s="238"/>
      <c r="AJ55" s="238"/>
      <c r="AK55" s="238"/>
      <c r="AL55" s="238"/>
      <c r="AM55" s="238"/>
      <c r="AN55" s="238"/>
      <c r="AO55" s="237"/>
      <c r="AP55" s="237"/>
      <c r="AQ55" s="237"/>
      <c r="AR55" s="237"/>
      <c r="AS55" s="233" t="s">
        <v>235</v>
      </c>
      <c r="AT55" s="220"/>
      <c r="AU55" s="220"/>
      <c r="AV55" s="220"/>
      <c r="AW55" s="220"/>
      <c r="AX55" s="220"/>
      <c r="AY55" s="220"/>
      <c r="AZ55" s="220"/>
      <c r="BA55" s="220"/>
      <c r="BB55" s="220"/>
      <c r="BC55" s="220"/>
      <c r="BD55" s="221"/>
    </row>
    <row r="56" spans="1:56" s="251" customFormat="1" ht="14.4" customHeight="1">
      <c r="A56" s="265">
        <f>IF(B56="","",COUNTA($B$8:B56))</f>
        <v>48</v>
      </c>
      <c r="B56" s="230" t="s">
        <v>379</v>
      </c>
      <c r="C56" s="231"/>
      <c r="D56" s="231"/>
      <c r="E56" s="231"/>
      <c r="F56" s="231"/>
      <c r="G56" s="231"/>
      <c r="H56" s="232"/>
      <c r="I56" s="248" t="s">
        <v>380</v>
      </c>
      <c r="J56" s="234"/>
      <c r="K56" s="234"/>
      <c r="L56" s="234"/>
      <c r="M56" s="234"/>
      <c r="N56" s="234"/>
      <c r="O56" s="234"/>
      <c r="P56" s="234"/>
      <c r="Q56" s="235"/>
      <c r="R56" s="230" t="s">
        <v>379</v>
      </c>
      <c r="S56" s="234"/>
      <c r="T56" s="234"/>
      <c r="U56" s="234"/>
      <c r="V56" s="234"/>
      <c r="W56" s="234"/>
      <c r="X56" s="232"/>
      <c r="Y56" s="399" t="s">
        <v>169</v>
      </c>
      <c r="Z56" s="400"/>
      <c r="AA56" s="401" t="s">
        <v>170</v>
      </c>
      <c r="AB56" s="402"/>
      <c r="AC56" s="403"/>
      <c r="AD56" s="249"/>
      <c r="AE56" s="237"/>
      <c r="AF56" s="237"/>
      <c r="AG56" s="238"/>
      <c r="AH56" s="238"/>
      <c r="AI56" s="238"/>
      <c r="AJ56" s="238"/>
      <c r="AK56" s="238"/>
      <c r="AL56" s="238"/>
      <c r="AM56" s="238"/>
      <c r="AN56" s="238"/>
      <c r="AO56" s="237"/>
      <c r="AP56" s="237"/>
      <c r="AQ56" s="237"/>
      <c r="AR56" s="237"/>
      <c r="AS56" s="233"/>
      <c r="AT56" s="220"/>
      <c r="AU56" s="220"/>
      <c r="AV56" s="220"/>
      <c r="AW56" s="220"/>
      <c r="AX56" s="220"/>
      <c r="AY56" s="220"/>
      <c r="AZ56" s="220"/>
      <c r="BA56" s="220"/>
      <c r="BB56" s="220"/>
      <c r="BC56" s="220"/>
      <c r="BD56" s="221"/>
    </row>
    <row r="57" spans="1:56" s="251" customFormat="1" ht="14.4" customHeight="1">
      <c r="A57" s="265">
        <f>IF(B57="","",COUNTA($B$8:B57))</f>
        <v>49</v>
      </c>
      <c r="B57" s="230" t="s">
        <v>381</v>
      </c>
      <c r="C57" s="231"/>
      <c r="D57" s="231"/>
      <c r="E57" s="231"/>
      <c r="F57" s="231"/>
      <c r="G57" s="231"/>
      <c r="H57" s="232"/>
      <c r="I57" s="248" t="s">
        <v>382</v>
      </c>
      <c r="J57" s="234"/>
      <c r="K57" s="234"/>
      <c r="L57" s="234"/>
      <c r="M57" s="234"/>
      <c r="N57" s="234"/>
      <c r="O57" s="234"/>
      <c r="P57" s="234"/>
      <c r="Q57" s="235"/>
      <c r="R57" s="230" t="s">
        <v>381</v>
      </c>
      <c r="S57" s="234"/>
      <c r="T57" s="234"/>
      <c r="U57" s="234"/>
      <c r="V57" s="234"/>
      <c r="W57" s="234"/>
      <c r="X57" s="232"/>
      <c r="Y57" s="399" t="s">
        <v>169</v>
      </c>
      <c r="Z57" s="400"/>
      <c r="AA57" s="401" t="s">
        <v>170</v>
      </c>
      <c r="AB57" s="402"/>
      <c r="AC57" s="403"/>
      <c r="AD57" s="249"/>
      <c r="AE57" s="237"/>
      <c r="AF57" s="237"/>
      <c r="AG57" s="238"/>
      <c r="AH57" s="238"/>
      <c r="AI57" s="238"/>
      <c r="AJ57" s="238"/>
      <c r="AK57" s="238"/>
      <c r="AL57" s="238"/>
      <c r="AM57" s="238"/>
      <c r="AN57" s="238"/>
      <c r="AO57" s="237"/>
      <c r="AP57" s="237"/>
      <c r="AQ57" s="237"/>
      <c r="AR57" s="237"/>
      <c r="AS57" s="233"/>
      <c r="AT57" s="220"/>
      <c r="AU57" s="220"/>
      <c r="AV57" s="220"/>
      <c r="AW57" s="220"/>
      <c r="AX57" s="220"/>
      <c r="AY57" s="220"/>
      <c r="AZ57" s="220"/>
      <c r="BA57" s="220"/>
      <c r="BB57" s="220"/>
      <c r="BC57" s="220"/>
      <c r="BD57" s="221"/>
    </row>
    <row r="58" spans="1:56" s="251" customFormat="1" ht="14.4" customHeight="1">
      <c r="A58" s="265">
        <f>IF(B58="","",COUNTA($B$8:B58))</f>
        <v>50</v>
      </c>
      <c r="B58" s="230" t="s">
        <v>383</v>
      </c>
      <c r="C58" s="231"/>
      <c r="D58" s="231"/>
      <c r="E58" s="231"/>
      <c r="F58" s="231"/>
      <c r="G58" s="231"/>
      <c r="H58" s="232"/>
      <c r="I58" s="248" t="s">
        <v>384</v>
      </c>
      <c r="J58" s="234"/>
      <c r="K58" s="234"/>
      <c r="L58" s="234"/>
      <c r="M58" s="234"/>
      <c r="N58" s="234"/>
      <c r="O58" s="234"/>
      <c r="P58" s="234"/>
      <c r="Q58" s="235"/>
      <c r="R58" s="230" t="s">
        <v>383</v>
      </c>
      <c r="S58" s="234"/>
      <c r="T58" s="234"/>
      <c r="U58" s="234"/>
      <c r="V58" s="234"/>
      <c r="W58" s="234"/>
      <c r="X58" s="232"/>
      <c r="Y58" s="399" t="s">
        <v>169</v>
      </c>
      <c r="Z58" s="400"/>
      <c r="AA58" s="401" t="s">
        <v>170</v>
      </c>
      <c r="AB58" s="402"/>
      <c r="AC58" s="403"/>
      <c r="AD58" s="249"/>
      <c r="AE58" s="237"/>
      <c r="AF58" s="237"/>
      <c r="AG58" s="238"/>
      <c r="AH58" s="238"/>
      <c r="AI58" s="238"/>
      <c r="AJ58" s="238"/>
      <c r="AK58" s="238"/>
      <c r="AL58" s="238"/>
      <c r="AM58" s="238"/>
      <c r="AN58" s="238"/>
      <c r="AO58" s="237"/>
      <c r="AP58" s="237"/>
      <c r="AQ58" s="237"/>
      <c r="AR58" s="237"/>
      <c r="AS58" s="233"/>
      <c r="AT58" s="220"/>
      <c r="AU58" s="220"/>
      <c r="AV58" s="220"/>
      <c r="AW58" s="220"/>
      <c r="AX58" s="220"/>
      <c r="AY58" s="220"/>
      <c r="AZ58" s="220"/>
      <c r="BA58" s="220"/>
      <c r="BB58" s="220"/>
      <c r="BC58" s="220"/>
      <c r="BD58" s="221"/>
    </row>
    <row r="59" spans="1:56" s="251" customFormat="1" ht="14.4" customHeight="1">
      <c r="A59" s="265">
        <f>IF(B59="","",COUNTA($B$8:B59))</f>
        <v>51</v>
      </c>
      <c r="B59" s="230" t="s">
        <v>385</v>
      </c>
      <c r="C59" s="231"/>
      <c r="D59" s="231"/>
      <c r="E59" s="231"/>
      <c r="F59" s="231"/>
      <c r="G59" s="231"/>
      <c r="H59" s="232"/>
      <c r="I59" s="248" t="s">
        <v>386</v>
      </c>
      <c r="J59" s="234"/>
      <c r="K59" s="234"/>
      <c r="L59" s="234"/>
      <c r="M59" s="234"/>
      <c r="N59" s="234"/>
      <c r="O59" s="234"/>
      <c r="P59" s="234"/>
      <c r="Q59" s="235"/>
      <c r="R59" s="230" t="s">
        <v>385</v>
      </c>
      <c r="S59" s="234"/>
      <c r="T59" s="234"/>
      <c r="U59" s="234"/>
      <c r="V59" s="234"/>
      <c r="W59" s="234"/>
      <c r="X59" s="232"/>
      <c r="Y59" s="399" t="s">
        <v>169</v>
      </c>
      <c r="Z59" s="400"/>
      <c r="AA59" s="401" t="s">
        <v>170</v>
      </c>
      <c r="AB59" s="402"/>
      <c r="AC59" s="403"/>
      <c r="AD59" s="249"/>
      <c r="AE59" s="237"/>
      <c r="AF59" s="237"/>
      <c r="AG59" s="238"/>
      <c r="AH59" s="238"/>
      <c r="AI59" s="238"/>
      <c r="AJ59" s="238"/>
      <c r="AK59" s="238"/>
      <c r="AL59" s="238"/>
      <c r="AM59" s="238"/>
      <c r="AN59" s="238"/>
      <c r="AO59" s="237"/>
      <c r="AP59" s="237"/>
      <c r="AQ59" s="237"/>
      <c r="AR59" s="237"/>
      <c r="AS59" s="233"/>
      <c r="AT59" s="220"/>
      <c r="AU59" s="220"/>
      <c r="AV59" s="220"/>
      <c r="AW59" s="220"/>
      <c r="AX59" s="220"/>
      <c r="AY59" s="220"/>
      <c r="AZ59" s="220"/>
      <c r="BA59" s="220"/>
      <c r="BB59" s="220"/>
      <c r="BC59" s="220"/>
      <c r="BD59" s="221"/>
    </row>
    <row r="60" spans="1:56" s="251" customFormat="1" ht="14.4" customHeight="1">
      <c r="A60" s="265">
        <f>IF(B60="","",COUNTA($B$8:B60))</f>
        <v>52</v>
      </c>
      <c r="B60" s="230" t="s">
        <v>387</v>
      </c>
      <c r="C60" s="231"/>
      <c r="D60" s="231"/>
      <c r="E60" s="231"/>
      <c r="F60" s="231"/>
      <c r="G60" s="231"/>
      <c r="H60" s="232"/>
      <c r="I60" s="248" t="s">
        <v>388</v>
      </c>
      <c r="J60" s="234"/>
      <c r="K60" s="234"/>
      <c r="L60" s="234"/>
      <c r="M60" s="234"/>
      <c r="N60" s="234"/>
      <c r="O60" s="234"/>
      <c r="P60" s="234"/>
      <c r="Q60" s="235"/>
      <c r="R60" s="230" t="s">
        <v>387</v>
      </c>
      <c r="S60" s="234"/>
      <c r="T60" s="234"/>
      <c r="U60" s="234"/>
      <c r="V60" s="234"/>
      <c r="W60" s="234"/>
      <c r="X60" s="232"/>
      <c r="Y60" s="399" t="s">
        <v>169</v>
      </c>
      <c r="Z60" s="400"/>
      <c r="AA60" s="401" t="s">
        <v>170</v>
      </c>
      <c r="AB60" s="402"/>
      <c r="AC60" s="403"/>
      <c r="AD60" s="249"/>
      <c r="AE60" s="237"/>
      <c r="AF60" s="237"/>
      <c r="AG60" s="238"/>
      <c r="AH60" s="238"/>
      <c r="AI60" s="238"/>
      <c r="AJ60" s="238"/>
      <c r="AK60" s="238"/>
      <c r="AL60" s="238"/>
      <c r="AM60" s="238"/>
      <c r="AN60" s="238"/>
      <c r="AO60" s="237"/>
      <c r="AP60" s="237"/>
      <c r="AQ60" s="237"/>
      <c r="AR60" s="237"/>
      <c r="AS60" s="233"/>
      <c r="AT60" s="220"/>
      <c r="AU60" s="220"/>
      <c r="AV60" s="220"/>
      <c r="AW60" s="220"/>
      <c r="AX60" s="220"/>
      <c r="AY60" s="220"/>
      <c r="AZ60" s="220"/>
      <c r="BA60" s="220"/>
      <c r="BB60" s="220"/>
      <c r="BC60" s="220"/>
      <c r="BD60" s="221"/>
    </row>
    <row r="61" spans="1:56" s="251" customFormat="1" ht="14.4" customHeight="1">
      <c r="A61" s="265">
        <f>IF(B61="","",COUNTA($B$8:B61))</f>
        <v>53</v>
      </c>
      <c r="B61" s="230" t="s">
        <v>389</v>
      </c>
      <c r="C61" s="231"/>
      <c r="D61" s="231"/>
      <c r="E61" s="231"/>
      <c r="F61" s="231"/>
      <c r="G61" s="231"/>
      <c r="H61" s="232"/>
      <c r="I61" s="248" t="s">
        <v>390</v>
      </c>
      <c r="J61" s="234"/>
      <c r="K61" s="234"/>
      <c r="L61" s="234"/>
      <c r="M61" s="234"/>
      <c r="N61" s="234"/>
      <c r="O61" s="234"/>
      <c r="P61" s="234"/>
      <c r="Q61" s="235"/>
      <c r="R61" s="230" t="s">
        <v>389</v>
      </c>
      <c r="S61" s="234"/>
      <c r="T61" s="234"/>
      <c r="U61" s="234"/>
      <c r="V61" s="234"/>
      <c r="W61" s="234"/>
      <c r="X61" s="232"/>
      <c r="Y61" s="399" t="s">
        <v>169</v>
      </c>
      <c r="Z61" s="400"/>
      <c r="AA61" s="401" t="s">
        <v>170</v>
      </c>
      <c r="AB61" s="402"/>
      <c r="AC61" s="403"/>
      <c r="AD61" s="249"/>
      <c r="AE61" s="237"/>
      <c r="AF61" s="237"/>
      <c r="AG61" s="238"/>
      <c r="AH61" s="238"/>
      <c r="AI61" s="238"/>
      <c r="AJ61" s="238"/>
      <c r="AK61" s="238"/>
      <c r="AL61" s="238"/>
      <c r="AM61" s="238"/>
      <c r="AN61" s="238"/>
      <c r="AO61" s="237"/>
      <c r="AP61" s="237"/>
      <c r="AQ61" s="237"/>
      <c r="AR61" s="237"/>
      <c r="AS61" s="233"/>
      <c r="AT61" s="220"/>
      <c r="AU61" s="220"/>
      <c r="AV61" s="220"/>
      <c r="AW61" s="220"/>
      <c r="AX61" s="220"/>
      <c r="AY61" s="220"/>
      <c r="AZ61" s="220"/>
      <c r="BA61" s="220"/>
      <c r="BB61" s="220"/>
      <c r="BC61" s="220"/>
      <c r="BD61" s="221"/>
    </row>
    <row r="62" spans="1:56" s="251" customFormat="1" ht="14.4" customHeight="1">
      <c r="A62" s="265">
        <f>IF(B62="","",COUNTA($B$8:B62))</f>
        <v>54</v>
      </c>
      <c r="B62" s="230" t="s">
        <v>239</v>
      </c>
      <c r="C62" s="231"/>
      <c r="D62" s="231"/>
      <c r="E62" s="231"/>
      <c r="F62" s="231"/>
      <c r="G62" s="231"/>
      <c r="H62" s="232"/>
      <c r="I62" s="248" t="s">
        <v>240</v>
      </c>
      <c r="J62" s="234"/>
      <c r="K62" s="234"/>
      <c r="L62" s="234"/>
      <c r="M62" s="234"/>
      <c r="N62" s="234"/>
      <c r="O62" s="234"/>
      <c r="P62" s="234"/>
      <c r="Q62" s="235"/>
      <c r="R62" s="230" t="s">
        <v>239</v>
      </c>
      <c r="S62" s="234"/>
      <c r="T62" s="234"/>
      <c r="U62" s="234"/>
      <c r="V62" s="234"/>
      <c r="W62" s="234"/>
      <c r="X62" s="232"/>
      <c r="Y62" s="399" t="s">
        <v>169</v>
      </c>
      <c r="Z62" s="400"/>
      <c r="AA62" s="401" t="s">
        <v>170</v>
      </c>
      <c r="AB62" s="402"/>
      <c r="AC62" s="403"/>
      <c r="AD62" s="249"/>
      <c r="AE62" s="237"/>
      <c r="AF62" s="237"/>
      <c r="AG62" s="237"/>
      <c r="AH62" s="238"/>
      <c r="AI62" s="238"/>
      <c r="AJ62" s="238"/>
      <c r="AK62" s="238"/>
      <c r="AL62" s="238"/>
      <c r="AM62" s="238"/>
      <c r="AN62" s="238"/>
      <c r="AO62" s="237"/>
      <c r="AP62" s="237"/>
      <c r="AQ62" s="237"/>
      <c r="AR62" s="237"/>
      <c r="AS62" s="233"/>
      <c r="AT62" s="220"/>
      <c r="AU62" s="220"/>
      <c r="AV62" s="220"/>
      <c r="AW62" s="220"/>
      <c r="AX62" s="220"/>
      <c r="AY62" s="220"/>
      <c r="AZ62" s="220"/>
      <c r="BA62" s="220"/>
      <c r="BB62" s="220"/>
      <c r="BC62" s="220"/>
      <c r="BD62" s="221"/>
    </row>
    <row r="63" spans="1:56" s="251" customFormat="1" ht="14.4" customHeight="1">
      <c r="A63" s="265">
        <f>IF(B63="","",COUNTA($B$8:B63))</f>
        <v>55</v>
      </c>
      <c r="B63" s="230" t="s">
        <v>253</v>
      </c>
      <c r="C63" s="231"/>
      <c r="D63" s="231"/>
      <c r="E63" s="231"/>
      <c r="F63" s="231"/>
      <c r="G63" s="231"/>
      <c r="H63" s="232"/>
      <c r="I63" s="233" t="s">
        <v>254</v>
      </c>
      <c r="J63" s="234"/>
      <c r="K63" s="234"/>
      <c r="L63" s="234"/>
      <c r="M63" s="234"/>
      <c r="N63" s="234"/>
      <c r="O63" s="234"/>
      <c r="P63" s="234"/>
      <c r="Q63" s="235"/>
      <c r="R63" s="230" t="s">
        <v>253</v>
      </c>
      <c r="S63" s="234"/>
      <c r="T63" s="234"/>
      <c r="U63" s="234"/>
      <c r="V63" s="234"/>
      <c r="W63" s="234"/>
      <c r="X63" s="232"/>
      <c r="Y63" s="399" t="s">
        <v>150</v>
      </c>
      <c r="Z63" s="400"/>
      <c r="AA63" s="401" t="s">
        <v>151</v>
      </c>
      <c r="AB63" s="402"/>
      <c r="AC63" s="403"/>
      <c r="AD63" s="249">
        <v>10</v>
      </c>
      <c r="AE63" s="237"/>
      <c r="AF63" s="237"/>
      <c r="AG63" s="237"/>
      <c r="AH63" s="238"/>
      <c r="AI63" s="238"/>
      <c r="AJ63" s="238"/>
      <c r="AK63" s="238"/>
      <c r="AL63" s="238"/>
      <c r="AM63" s="238"/>
      <c r="AN63" s="238"/>
      <c r="AO63" s="237"/>
      <c r="AP63" s="237"/>
      <c r="AQ63" s="237"/>
      <c r="AR63" s="237"/>
      <c r="AS63" s="233"/>
      <c r="AT63" s="220"/>
      <c r="AU63" s="220"/>
      <c r="AV63" s="220"/>
      <c r="AW63" s="220"/>
      <c r="AX63" s="220"/>
      <c r="AY63" s="220"/>
      <c r="AZ63" s="220"/>
      <c r="BA63" s="220"/>
      <c r="BB63" s="220"/>
      <c r="BC63" s="220"/>
      <c r="BD63" s="221"/>
    </row>
    <row r="64" spans="1:56" s="251" customFormat="1" ht="14.4" customHeight="1">
      <c r="A64" s="265">
        <f>IF(B64="","",COUNTA($B$8:B64))</f>
        <v>56</v>
      </c>
      <c r="B64" s="230" t="s">
        <v>255</v>
      </c>
      <c r="C64" s="231"/>
      <c r="D64" s="231"/>
      <c r="E64" s="231"/>
      <c r="F64" s="231"/>
      <c r="G64" s="231"/>
      <c r="H64" s="232"/>
      <c r="I64" s="233" t="s">
        <v>256</v>
      </c>
      <c r="J64" s="234"/>
      <c r="K64" s="234"/>
      <c r="L64" s="234"/>
      <c r="M64" s="234"/>
      <c r="N64" s="234"/>
      <c r="O64" s="234"/>
      <c r="P64" s="234"/>
      <c r="Q64" s="235"/>
      <c r="R64" s="230" t="s">
        <v>255</v>
      </c>
      <c r="S64" s="234"/>
      <c r="T64" s="234"/>
      <c r="U64" s="234"/>
      <c r="V64" s="234"/>
      <c r="W64" s="234"/>
      <c r="X64" s="232"/>
      <c r="Y64" s="399" t="s">
        <v>150</v>
      </c>
      <c r="Z64" s="400"/>
      <c r="AA64" s="401" t="s">
        <v>151</v>
      </c>
      <c r="AB64" s="402"/>
      <c r="AC64" s="403"/>
      <c r="AD64" s="249">
        <v>10</v>
      </c>
      <c r="AE64" s="237"/>
      <c r="AF64" s="237"/>
      <c r="AG64" s="237"/>
      <c r="AH64" s="238"/>
      <c r="AI64" s="238"/>
      <c r="AJ64" s="238"/>
      <c r="AK64" s="238"/>
      <c r="AL64" s="238"/>
      <c r="AM64" s="238"/>
      <c r="AN64" s="238"/>
      <c r="AO64" s="237"/>
      <c r="AP64" s="237"/>
      <c r="AQ64" s="237"/>
      <c r="AR64" s="237"/>
      <c r="AS64" s="233"/>
      <c r="AT64" s="220"/>
      <c r="AU64" s="220"/>
      <c r="AV64" s="220"/>
      <c r="AW64" s="220"/>
      <c r="AX64" s="220"/>
      <c r="AY64" s="220"/>
      <c r="AZ64" s="220"/>
      <c r="BA64" s="220"/>
      <c r="BB64" s="220"/>
      <c r="BC64" s="220"/>
      <c r="BD64" s="221"/>
    </row>
    <row r="65" spans="1:56" s="251" customFormat="1" ht="14.4" customHeight="1">
      <c r="A65" s="265">
        <f>IF(B65="","",COUNTA($B$8:B65))</f>
        <v>57</v>
      </c>
      <c r="B65" s="230" t="s">
        <v>257</v>
      </c>
      <c r="C65" s="231"/>
      <c r="D65" s="231"/>
      <c r="E65" s="231"/>
      <c r="F65" s="231"/>
      <c r="G65" s="231"/>
      <c r="H65" s="232"/>
      <c r="I65" s="233" t="s">
        <v>258</v>
      </c>
      <c r="J65" s="234"/>
      <c r="K65" s="234"/>
      <c r="L65" s="234"/>
      <c r="M65" s="234"/>
      <c r="N65" s="234"/>
      <c r="O65" s="234"/>
      <c r="P65" s="234"/>
      <c r="Q65" s="235"/>
      <c r="R65" s="230" t="s">
        <v>257</v>
      </c>
      <c r="S65" s="234"/>
      <c r="T65" s="234"/>
      <c r="U65" s="234"/>
      <c r="V65" s="234"/>
      <c r="W65" s="234"/>
      <c r="X65" s="232"/>
      <c r="Y65" s="399" t="s">
        <v>169</v>
      </c>
      <c r="Z65" s="400"/>
      <c r="AA65" s="401" t="s">
        <v>243</v>
      </c>
      <c r="AB65" s="402"/>
      <c r="AC65" s="403"/>
      <c r="AD65" s="236"/>
      <c r="AE65" s="237"/>
      <c r="AF65" s="237"/>
      <c r="AG65" s="237"/>
      <c r="AH65" s="253"/>
      <c r="AI65" s="253"/>
      <c r="AJ65" s="238"/>
      <c r="AK65" s="238"/>
      <c r="AL65" s="238"/>
      <c r="AM65" s="238"/>
      <c r="AN65" s="238"/>
      <c r="AO65" s="237"/>
      <c r="AP65" s="237"/>
      <c r="AQ65" s="237"/>
      <c r="AR65" s="237"/>
      <c r="AS65" s="233"/>
      <c r="AT65" s="220"/>
      <c r="AU65" s="220"/>
      <c r="AV65" s="220"/>
      <c r="AW65" s="220"/>
      <c r="AX65" s="220"/>
      <c r="AY65" s="220"/>
      <c r="AZ65" s="220"/>
      <c r="BA65" s="220"/>
      <c r="BB65" s="220"/>
      <c r="BC65" s="220"/>
      <c r="BD65" s="221"/>
    </row>
    <row r="66" spans="1:56" s="251" customFormat="1" ht="14.4" customHeight="1">
      <c r="A66" s="265">
        <f>IF(B66="","",COUNTA($B$8:B66))</f>
        <v>58</v>
      </c>
      <c r="B66" s="230" t="s">
        <v>259</v>
      </c>
      <c r="C66" s="231"/>
      <c r="D66" s="231"/>
      <c r="E66" s="231"/>
      <c r="F66" s="231"/>
      <c r="G66" s="231"/>
      <c r="H66" s="232"/>
      <c r="I66" s="233" t="s">
        <v>260</v>
      </c>
      <c r="J66" s="234"/>
      <c r="K66" s="234"/>
      <c r="L66" s="234"/>
      <c r="M66" s="234"/>
      <c r="N66" s="234"/>
      <c r="O66" s="234"/>
      <c r="P66" s="234"/>
      <c r="Q66" s="235"/>
      <c r="R66" s="230" t="s">
        <v>259</v>
      </c>
      <c r="S66" s="234"/>
      <c r="T66" s="234"/>
      <c r="U66" s="234"/>
      <c r="V66" s="234"/>
      <c r="W66" s="234"/>
      <c r="X66" s="232"/>
      <c r="Y66" s="399" t="s">
        <v>150</v>
      </c>
      <c r="Z66" s="400"/>
      <c r="AA66" s="401" t="s">
        <v>151</v>
      </c>
      <c r="AB66" s="402"/>
      <c r="AC66" s="403"/>
      <c r="AD66" s="249">
        <v>10</v>
      </c>
      <c r="AE66" s="237"/>
      <c r="AF66" s="237"/>
      <c r="AG66" s="237"/>
      <c r="AH66" s="253"/>
      <c r="AI66" s="253"/>
      <c r="AJ66" s="238"/>
      <c r="AK66" s="238"/>
      <c r="AL66" s="238"/>
      <c r="AM66" s="238"/>
      <c r="AN66" s="238"/>
      <c r="AO66" s="237"/>
      <c r="AP66" s="237"/>
      <c r="AQ66" s="237"/>
      <c r="AR66" s="237"/>
      <c r="AS66" s="233"/>
      <c r="AT66" s="220"/>
      <c r="AU66" s="220"/>
      <c r="AV66" s="220"/>
      <c r="AW66" s="220"/>
      <c r="AX66" s="220"/>
      <c r="AY66" s="220"/>
      <c r="AZ66" s="220"/>
      <c r="BA66" s="220"/>
      <c r="BB66" s="220"/>
      <c r="BC66" s="220"/>
      <c r="BD66" s="221"/>
    </row>
    <row r="67" spans="1:56" s="251" customFormat="1" ht="14.4" customHeight="1">
      <c r="A67" s="265">
        <f>IF(B67="","",COUNTA($B$8:B67))</f>
        <v>59</v>
      </c>
      <c r="B67" s="230" t="s">
        <v>261</v>
      </c>
      <c r="C67" s="231"/>
      <c r="D67" s="231"/>
      <c r="E67" s="231"/>
      <c r="F67" s="231"/>
      <c r="G67" s="231"/>
      <c r="H67" s="232"/>
      <c r="I67" s="233" t="s">
        <v>262</v>
      </c>
      <c r="J67" s="234"/>
      <c r="K67" s="234"/>
      <c r="L67" s="234"/>
      <c r="M67" s="234"/>
      <c r="N67" s="234"/>
      <c r="O67" s="234"/>
      <c r="P67" s="234"/>
      <c r="Q67" s="235"/>
      <c r="R67" s="230" t="s">
        <v>261</v>
      </c>
      <c r="S67" s="234"/>
      <c r="T67" s="234"/>
      <c r="U67" s="234"/>
      <c r="V67" s="234"/>
      <c r="W67" s="234"/>
      <c r="X67" s="232"/>
      <c r="Y67" s="399" t="s">
        <v>150</v>
      </c>
      <c r="Z67" s="400"/>
      <c r="AA67" s="401" t="s">
        <v>151</v>
      </c>
      <c r="AB67" s="402"/>
      <c r="AC67" s="403"/>
      <c r="AD67" s="236">
        <v>10</v>
      </c>
      <c r="AE67" s="237"/>
      <c r="AF67" s="237"/>
      <c r="AG67" s="237"/>
      <c r="AH67" s="238"/>
      <c r="AI67" s="238"/>
      <c r="AJ67" s="238"/>
      <c r="AK67" s="238"/>
      <c r="AL67" s="253"/>
      <c r="AM67" s="253"/>
      <c r="AN67" s="253"/>
      <c r="AO67" s="252"/>
      <c r="AP67" s="252"/>
      <c r="AQ67" s="252"/>
      <c r="AR67" s="252"/>
      <c r="AS67" s="254"/>
      <c r="AT67" s="259"/>
      <c r="AU67" s="220"/>
      <c r="AV67" s="220"/>
      <c r="AW67" s="220"/>
      <c r="AX67" s="220"/>
      <c r="AY67" s="220"/>
      <c r="AZ67" s="220"/>
      <c r="BA67" s="220"/>
      <c r="BB67" s="220"/>
      <c r="BC67" s="220"/>
      <c r="BD67" s="221"/>
    </row>
    <row r="68" spans="1:56" s="251" customFormat="1" ht="14.4" customHeight="1">
      <c r="A68" s="265">
        <f>IF(B68="","",COUNTA($B$8:B68))</f>
        <v>60</v>
      </c>
      <c r="B68" s="230" t="s">
        <v>263</v>
      </c>
      <c r="C68" s="231"/>
      <c r="D68" s="231"/>
      <c r="E68" s="231"/>
      <c r="F68" s="231"/>
      <c r="G68" s="231"/>
      <c r="H68" s="232"/>
      <c r="I68" s="233" t="s">
        <v>264</v>
      </c>
      <c r="J68" s="234"/>
      <c r="K68" s="234"/>
      <c r="L68" s="234"/>
      <c r="M68" s="234"/>
      <c r="N68" s="234"/>
      <c r="O68" s="234"/>
      <c r="P68" s="234"/>
      <c r="Q68" s="235"/>
      <c r="R68" s="239" t="s">
        <v>263</v>
      </c>
      <c r="S68" s="234"/>
      <c r="T68" s="234"/>
      <c r="U68" s="234"/>
      <c r="V68" s="234"/>
      <c r="W68" s="234"/>
      <c r="X68" s="232"/>
      <c r="Y68" s="399" t="s">
        <v>169</v>
      </c>
      <c r="Z68" s="400"/>
      <c r="AA68" s="401" t="s">
        <v>243</v>
      </c>
      <c r="AB68" s="402"/>
      <c r="AC68" s="403"/>
      <c r="AD68" s="236"/>
      <c r="AE68" s="237"/>
      <c r="AF68" s="237"/>
      <c r="AG68" s="237"/>
      <c r="AH68" s="253"/>
      <c r="AI68" s="253"/>
      <c r="AJ68" s="253"/>
      <c r="AK68" s="253"/>
      <c r="AL68" s="253"/>
      <c r="AM68" s="253"/>
      <c r="AN68" s="253"/>
      <c r="AO68" s="252"/>
      <c r="AP68" s="252"/>
      <c r="AQ68" s="252"/>
      <c r="AR68" s="252"/>
      <c r="AS68" s="254"/>
      <c r="AT68" s="259"/>
      <c r="AU68" s="220"/>
      <c r="AV68" s="220"/>
      <c r="AW68" s="220"/>
      <c r="AX68" s="220"/>
      <c r="AY68" s="220"/>
      <c r="AZ68" s="220"/>
      <c r="BA68" s="220"/>
      <c r="BB68" s="220"/>
      <c r="BC68" s="220"/>
      <c r="BD68" s="221"/>
    </row>
    <row r="69" spans="1:56" s="251" customFormat="1" ht="14.4" customHeight="1">
      <c r="A69" s="265" t="str">
        <f>IF(B69="","",COUNTA($B$8:B69))</f>
        <v/>
      </c>
      <c r="B69" s="230"/>
      <c r="C69" s="231"/>
      <c r="D69" s="231"/>
      <c r="E69" s="231"/>
      <c r="F69" s="231"/>
      <c r="G69" s="231"/>
      <c r="H69" s="232"/>
      <c r="I69" s="248"/>
      <c r="J69" s="234"/>
      <c r="K69" s="234"/>
      <c r="L69" s="234"/>
      <c r="M69" s="234"/>
      <c r="N69" s="234"/>
      <c r="O69" s="234"/>
      <c r="P69" s="234"/>
      <c r="Q69" s="235"/>
      <c r="R69" s="230"/>
      <c r="S69" s="234"/>
      <c r="T69" s="234"/>
      <c r="U69" s="234"/>
      <c r="V69" s="234"/>
      <c r="W69" s="234"/>
      <c r="X69" s="232"/>
      <c r="Y69" s="399"/>
      <c r="Z69" s="400"/>
      <c r="AA69" s="401"/>
      <c r="AB69" s="402"/>
      <c r="AC69" s="403"/>
      <c r="AD69" s="236"/>
      <c r="AE69" s="237" t="s">
        <v>244</v>
      </c>
      <c r="AF69" s="237"/>
      <c r="AG69" s="237"/>
      <c r="AH69" s="253"/>
      <c r="AI69" s="253"/>
      <c r="AJ69" s="253"/>
      <c r="AK69" s="253"/>
      <c r="AL69" s="253"/>
      <c r="AM69" s="253"/>
      <c r="AN69" s="253"/>
      <c r="AO69" s="252"/>
      <c r="AP69" s="252"/>
      <c r="AQ69" s="252"/>
      <c r="AR69" s="252"/>
      <c r="AS69" s="254"/>
      <c r="AT69" s="259"/>
      <c r="AU69" s="220"/>
      <c r="AV69" s="220"/>
      <c r="AW69" s="220"/>
      <c r="AX69" s="220"/>
      <c r="AY69" s="220"/>
      <c r="AZ69" s="220"/>
      <c r="BA69" s="220"/>
      <c r="BB69" s="220"/>
      <c r="BC69" s="220"/>
      <c r="BD69" s="221"/>
    </row>
    <row r="70" spans="1:56" s="251" customFormat="1" ht="14.4" customHeight="1">
      <c r="A70" s="265" t="str">
        <f>IF(B70="","",COUNTA($B$8:B70))</f>
        <v/>
      </c>
      <c r="B70" s="230"/>
      <c r="C70" s="231"/>
      <c r="D70" s="231"/>
      <c r="E70" s="231"/>
      <c r="F70" s="231"/>
      <c r="G70" s="231"/>
      <c r="H70" s="232"/>
      <c r="I70" s="248"/>
      <c r="J70" s="234"/>
      <c r="K70" s="234"/>
      <c r="L70" s="234"/>
      <c r="M70" s="234"/>
      <c r="N70" s="234"/>
      <c r="O70" s="234"/>
      <c r="P70" s="234"/>
      <c r="Q70" s="235"/>
      <c r="R70" s="230"/>
      <c r="S70" s="234"/>
      <c r="T70" s="234"/>
      <c r="U70" s="234"/>
      <c r="V70" s="234"/>
      <c r="W70" s="234"/>
      <c r="X70" s="232"/>
      <c r="Y70" s="399"/>
      <c r="Z70" s="400"/>
      <c r="AA70" s="401"/>
      <c r="AB70" s="402"/>
      <c r="AC70" s="403"/>
      <c r="AD70" s="236"/>
      <c r="AE70" s="237" t="s">
        <v>244</v>
      </c>
      <c r="AF70" s="237"/>
      <c r="AG70" s="237"/>
      <c r="AH70" s="253"/>
      <c r="AI70" s="253"/>
      <c r="AJ70" s="253"/>
      <c r="AK70" s="253"/>
      <c r="AL70" s="253"/>
      <c r="AM70" s="253"/>
      <c r="AN70" s="253"/>
      <c r="AO70" s="252"/>
      <c r="AP70" s="252"/>
      <c r="AQ70" s="252"/>
      <c r="AR70" s="252"/>
      <c r="AS70" s="254"/>
      <c r="AT70" s="259"/>
      <c r="AU70" s="220"/>
      <c r="AV70" s="220"/>
      <c r="AW70" s="220"/>
      <c r="AX70" s="220"/>
      <c r="AY70" s="220"/>
      <c r="AZ70" s="220"/>
      <c r="BA70" s="220"/>
      <c r="BB70" s="220"/>
      <c r="BC70" s="220"/>
      <c r="BD70" s="221"/>
    </row>
    <row r="71" spans="1:56" s="251" customFormat="1" ht="14.4" customHeight="1">
      <c r="A71" s="265" t="str">
        <f>IF(B71="","",COUNTA($B$8:B71))</f>
        <v/>
      </c>
      <c r="B71" s="230"/>
      <c r="C71" s="231"/>
      <c r="D71" s="231"/>
      <c r="E71" s="231"/>
      <c r="F71" s="231"/>
      <c r="G71" s="231"/>
      <c r="H71" s="232"/>
      <c r="I71" s="248"/>
      <c r="J71" s="234"/>
      <c r="K71" s="234"/>
      <c r="L71" s="234"/>
      <c r="M71" s="234"/>
      <c r="N71" s="234"/>
      <c r="O71" s="234"/>
      <c r="P71" s="234"/>
      <c r="Q71" s="235"/>
      <c r="R71" s="230"/>
      <c r="S71" s="234"/>
      <c r="T71" s="234"/>
      <c r="U71" s="234"/>
      <c r="V71" s="234"/>
      <c r="W71" s="234"/>
      <c r="X71" s="232"/>
      <c r="Y71" s="399"/>
      <c r="Z71" s="400"/>
      <c r="AA71" s="401"/>
      <c r="AB71" s="402"/>
      <c r="AC71" s="403"/>
      <c r="AD71" s="236"/>
      <c r="AE71" s="237" t="s">
        <v>244</v>
      </c>
      <c r="AF71" s="237"/>
      <c r="AG71" s="237"/>
      <c r="AH71" s="253"/>
      <c r="AI71" s="253"/>
      <c r="AJ71" s="253"/>
      <c r="AK71" s="253"/>
      <c r="AL71" s="253"/>
      <c r="AM71" s="253"/>
      <c r="AN71" s="253"/>
      <c r="AO71" s="252"/>
      <c r="AP71" s="252"/>
      <c r="AQ71" s="252"/>
      <c r="AR71" s="252"/>
      <c r="AS71" s="254"/>
      <c r="AT71" s="259"/>
      <c r="AU71" s="220"/>
      <c r="AV71" s="220"/>
      <c r="AW71" s="220"/>
      <c r="AX71" s="220"/>
      <c r="AY71" s="220"/>
      <c r="AZ71" s="220"/>
      <c r="BA71" s="220"/>
      <c r="BB71" s="220"/>
      <c r="BC71" s="220"/>
      <c r="BD71" s="221"/>
    </row>
    <row r="72" spans="1:56" s="251" customFormat="1" ht="14.4" customHeight="1">
      <c r="A72" s="265" t="str">
        <f>IF(B72="","",COUNTA($B$8:B72))</f>
        <v/>
      </c>
      <c r="B72" s="230"/>
      <c r="C72" s="231"/>
      <c r="D72" s="231"/>
      <c r="E72" s="231"/>
      <c r="F72" s="231"/>
      <c r="G72" s="231"/>
      <c r="H72" s="232"/>
      <c r="I72" s="248"/>
      <c r="J72" s="234"/>
      <c r="K72" s="234"/>
      <c r="L72" s="234"/>
      <c r="M72" s="234"/>
      <c r="N72" s="234"/>
      <c r="O72" s="234"/>
      <c r="P72" s="234"/>
      <c r="Q72" s="235"/>
      <c r="R72" s="230"/>
      <c r="S72" s="234"/>
      <c r="T72" s="234"/>
      <c r="U72" s="234"/>
      <c r="V72" s="234"/>
      <c r="W72" s="234"/>
      <c r="X72" s="232"/>
      <c r="Y72" s="399"/>
      <c r="Z72" s="400"/>
      <c r="AA72" s="401"/>
      <c r="AB72" s="402"/>
      <c r="AC72" s="403"/>
      <c r="AD72" s="236"/>
      <c r="AE72" s="237" t="s">
        <v>244</v>
      </c>
      <c r="AF72" s="237"/>
      <c r="AG72" s="237"/>
      <c r="AH72" s="253"/>
      <c r="AI72" s="253"/>
      <c r="AJ72" s="253"/>
      <c r="AK72" s="253"/>
      <c r="AL72" s="253"/>
      <c r="AM72" s="253"/>
      <c r="AN72" s="253"/>
      <c r="AO72" s="252"/>
      <c r="AP72" s="252"/>
      <c r="AQ72" s="252"/>
      <c r="AR72" s="252"/>
      <c r="AS72" s="254"/>
      <c r="AT72" s="259"/>
      <c r="AU72" s="220"/>
      <c r="AV72" s="220"/>
      <c r="AW72" s="220"/>
      <c r="AX72" s="220"/>
      <c r="AY72" s="220"/>
      <c r="AZ72" s="220"/>
      <c r="BA72" s="220"/>
      <c r="BB72" s="220"/>
      <c r="BC72" s="220"/>
      <c r="BD72" s="221"/>
    </row>
    <row r="73" spans="1:56" s="251" customFormat="1" ht="14.4" customHeight="1">
      <c r="A73" s="265" t="str">
        <f>IF(B73="","",COUNTA($B$8:B73))</f>
        <v/>
      </c>
      <c r="B73" s="230"/>
      <c r="C73" s="231"/>
      <c r="D73" s="231"/>
      <c r="E73" s="231"/>
      <c r="F73" s="231"/>
      <c r="G73" s="231"/>
      <c r="H73" s="232"/>
      <c r="I73" s="248"/>
      <c r="J73" s="234"/>
      <c r="K73" s="234"/>
      <c r="L73" s="234"/>
      <c r="M73" s="234"/>
      <c r="N73" s="234"/>
      <c r="O73" s="234"/>
      <c r="P73" s="234"/>
      <c r="Q73" s="235"/>
      <c r="R73" s="230"/>
      <c r="S73" s="234"/>
      <c r="T73" s="234"/>
      <c r="U73" s="234"/>
      <c r="V73" s="234"/>
      <c r="W73" s="234"/>
      <c r="X73" s="232"/>
      <c r="Y73" s="399"/>
      <c r="Z73" s="400"/>
      <c r="AA73" s="401"/>
      <c r="AB73" s="402"/>
      <c r="AC73" s="403"/>
      <c r="AD73" s="236"/>
      <c r="AE73" s="237" t="s">
        <v>244</v>
      </c>
      <c r="AF73" s="237"/>
      <c r="AG73" s="237"/>
      <c r="AH73" s="253"/>
      <c r="AI73" s="253"/>
      <c r="AJ73" s="253"/>
      <c r="AK73" s="253"/>
      <c r="AL73" s="253"/>
      <c r="AM73" s="253"/>
      <c r="AN73" s="253"/>
      <c r="AO73" s="252"/>
      <c r="AP73" s="252"/>
      <c r="AQ73" s="252"/>
      <c r="AR73" s="252"/>
      <c r="AS73" s="254"/>
      <c r="AT73" s="259"/>
      <c r="AU73" s="220"/>
      <c r="AV73" s="220"/>
      <c r="AW73" s="220"/>
      <c r="AX73" s="220"/>
      <c r="AY73" s="220"/>
      <c r="AZ73" s="220"/>
      <c r="BA73" s="220"/>
      <c r="BB73" s="220"/>
      <c r="BC73" s="220"/>
      <c r="BD73" s="221"/>
    </row>
    <row r="74" spans="1:56" s="251" customFormat="1" ht="14.4" customHeight="1">
      <c r="A74" s="265" t="str">
        <f>IF(B74="","",COUNTA($B$8:B74))</f>
        <v/>
      </c>
      <c r="B74" s="230"/>
      <c r="C74" s="231"/>
      <c r="D74" s="231"/>
      <c r="E74" s="231"/>
      <c r="F74" s="231"/>
      <c r="G74" s="231"/>
      <c r="H74" s="232"/>
      <c r="I74" s="248"/>
      <c r="J74" s="234"/>
      <c r="K74" s="234"/>
      <c r="L74" s="234"/>
      <c r="M74" s="234"/>
      <c r="N74" s="234"/>
      <c r="O74" s="234"/>
      <c r="P74" s="234"/>
      <c r="Q74" s="235"/>
      <c r="R74" s="230"/>
      <c r="S74" s="234"/>
      <c r="T74" s="234"/>
      <c r="U74" s="234"/>
      <c r="V74" s="234"/>
      <c r="W74" s="234"/>
      <c r="X74" s="232"/>
      <c r="Y74" s="399"/>
      <c r="Z74" s="400"/>
      <c r="AA74" s="401"/>
      <c r="AB74" s="402"/>
      <c r="AC74" s="403"/>
      <c r="AD74" s="236"/>
      <c r="AE74" s="237" t="s">
        <v>244</v>
      </c>
      <c r="AF74" s="237"/>
      <c r="AG74" s="237"/>
      <c r="AH74" s="253"/>
      <c r="AI74" s="253"/>
      <c r="AJ74" s="253"/>
      <c r="AK74" s="253"/>
      <c r="AL74" s="253"/>
      <c r="AM74" s="253"/>
      <c r="AN74" s="253"/>
      <c r="AO74" s="252"/>
      <c r="AP74" s="252"/>
      <c r="AQ74" s="252"/>
      <c r="AR74" s="252"/>
      <c r="AS74" s="254"/>
      <c r="AT74" s="259"/>
      <c r="AU74" s="220"/>
      <c r="AV74" s="220"/>
      <c r="AW74" s="220"/>
      <c r="AX74" s="220"/>
      <c r="AY74" s="220"/>
      <c r="AZ74" s="220"/>
      <c r="BA74" s="220"/>
      <c r="BB74" s="220"/>
      <c r="BC74" s="220"/>
      <c r="BD74" s="221"/>
    </row>
    <row r="75" spans="1:56" s="251" customFormat="1" ht="14.4" customHeight="1">
      <c r="A75" s="265" t="str">
        <f>IF(B75="","",COUNTA($B$8:B75))</f>
        <v/>
      </c>
      <c r="B75" s="230"/>
      <c r="C75" s="231"/>
      <c r="D75" s="231"/>
      <c r="E75" s="231"/>
      <c r="F75" s="231"/>
      <c r="G75" s="231"/>
      <c r="H75" s="232"/>
      <c r="I75" s="248"/>
      <c r="J75" s="234"/>
      <c r="K75" s="234"/>
      <c r="L75" s="234"/>
      <c r="M75" s="234"/>
      <c r="N75" s="234"/>
      <c r="O75" s="234"/>
      <c r="P75" s="234"/>
      <c r="Q75" s="235"/>
      <c r="R75" s="230"/>
      <c r="S75" s="234"/>
      <c r="T75" s="234"/>
      <c r="U75" s="234"/>
      <c r="V75" s="234"/>
      <c r="W75" s="234"/>
      <c r="X75" s="232"/>
      <c r="Y75" s="399"/>
      <c r="Z75" s="400"/>
      <c r="AA75" s="401"/>
      <c r="AB75" s="402"/>
      <c r="AC75" s="403"/>
      <c r="AD75" s="236"/>
      <c r="AE75" s="237" t="s">
        <v>244</v>
      </c>
      <c r="AF75" s="237"/>
      <c r="AG75" s="237"/>
      <c r="AH75" s="253"/>
      <c r="AI75" s="253"/>
      <c r="AJ75" s="253"/>
      <c r="AK75" s="253"/>
      <c r="AL75" s="253"/>
      <c r="AM75" s="253"/>
      <c r="AN75" s="253"/>
      <c r="AO75" s="252"/>
      <c r="AP75" s="252"/>
      <c r="AQ75" s="252"/>
      <c r="AR75" s="252"/>
      <c r="AS75" s="254"/>
      <c r="AT75" s="259"/>
      <c r="AU75" s="220"/>
      <c r="AV75" s="220"/>
      <c r="AW75" s="220"/>
      <c r="AX75" s="220"/>
      <c r="AY75" s="220"/>
      <c r="AZ75" s="220"/>
      <c r="BA75" s="220"/>
      <c r="BB75" s="220"/>
      <c r="BC75" s="220"/>
      <c r="BD75" s="221"/>
    </row>
    <row r="76" spans="1:56" ht="14.4" customHeight="1">
      <c r="A76" s="145" t="str">
        <f>IF(B76="","",COUNTA($B$8:B76))</f>
        <v/>
      </c>
      <c r="B76" s="8"/>
      <c r="C76" s="127"/>
      <c r="D76" s="127"/>
      <c r="E76" s="127"/>
      <c r="F76" s="127"/>
      <c r="G76" s="127"/>
      <c r="H76" s="148"/>
      <c r="I76" s="128"/>
      <c r="J76" s="129"/>
      <c r="K76" s="129"/>
      <c r="L76" s="129"/>
      <c r="M76" s="129"/>
      <c r="N76" s="129"/>
      <c r="O76" s="129"/>
      <c r="P76" s="129"/>
      <c r="Q76" s="147"/>
      <c r="R76" s="8"/>
      <c r="S76" s="129"/>
      <c r="T76" s="129"/>
      <c r="U76" s="129"/>
      <c r="V76" s="129"/>
      <c r="W76" s="129"/>
      <c r="X76" s="148"/>
      <c r="Y76" s="451"/>
      <c r="Z76" s="452"/>
      <c r="AA76" s="448"/>
      <c r="AB76" s="449"/>
      <c r="AC76" s="450"/>
      <c r="AD76" s="188"/>
      <c r="AE76" s="124" t="s">
        <v>244</v>
      </c>
      <c r="AF76" s="124"/>
      <c r="AG76" s="124"/>
      <c r="AH76" s="134"/>
      <c r="AI76" s="134"/>
      <c r="AJ76" s="134"/>
      <c r="AK76" s="134"/>
      <c r="AL76" s="134"/>
      <c r="AM76" s="134"/>
      <c r="AN76" s="134"/>
      <c r="AO76" s="135"/>
      <c r="AP76" s="135"/>
      <c r="AQ76" s="135"/>
      <c r="AR76" s="135"/>
      <c r="AS76" s="136"/>
      <c r="AT76" s="190"/>
      <c r="AU76" s="137"/>
      <c r="AV76" s="137"/>
      <c r="AW76" s="137"/>
      <c r="AX76" s="137"/>
      <c r="AY76" s="137"/>
      <c r="AZ76" s="137"/>
      <c r="BA76" s="137"/>
      <c r="BB76" s="137"/>
      <c r="BC76" s="137"/>
      <c r="BD76" s="138"/>
    </row>
    <row r="77" spans="1:56" ht="14.4" customHeight="1">
      <c r="A77" s="145" t="str">
        <f>IF(B77="","",COUNTA($B$8:B77))</f>
        <v/>
      </c>
      <c r="B77" s="8"/>
      <c r="C77" s="127"/>
      <c r="D77" s="127"/>
      <c r="E77" s="127"/>
      <c r="F77" s="127"/>
      <c r="G77" s="127"/>
      <c r="H77" s="148"/>
      <c r="I77" s="128"/>
      <c r="J77" s="129"/>
      <c r="K77" s="129"/>
      <c r="L77" s="129"/>
      <c r="M77" s="129"/>
      <c r="N77" s="129"/>
      <c r="O77" s="129"/>
      <c r="P77" s="129"/>
      <c r="Q77" s="147"/>
      <c r="R77" s="8"/>
      <c r="S77" s="129"/>
      <c r="T77" s="129"/>
      <c r="U77" s="129"/>
      <c r="V77" s="129"/>
      <c r="W77" s="129"/>
      <c r="X77" s="148"/>
      <c r="Y77" s="451"/>
      <c r="Z77" s="452"/>
      <c r="AA77" s="448"/>
      <c r="AB77" s="449"/>
      <c r="AC77" s="450"/>
      <c r="AD77" s="188"/>
      <c r="AE77" s="124" t="s">
        <v>244</v>
      </c>
      <c r="AF77" s="124"/>
      <c r="AG77" s="124"/>
      <c r="AH77" s="134"/>
      <c r="AI77" s="134"/>
      <c r="AJ77" s="134"/>
      <c r="AK77" s="134"/>
      <c r="AL77" s="134"/>
      <c r="AM77" s="134"/>
      <c r="AN77" s="134"/>
      <c r="AO77" s="135"/>
      <c r="AP77" s="135"/>
      <c r="AQ77" s="135"/>
      <c r="AR77" s="135"/>
      <c r="AS77" s="136"/>
      <c r="AT77" s="190"/>
      <c r="AU77" s="137"/>
      <c r="AV77" s="137"/>
      <c r="AW77" s="137"/>
      <c r="AX77" s="137"/>
      <c r="AY77" s="137"/>
      <c r="AZ77" s="137"/>
      <c r="BA77" s="137"/>
      <c r="BB77" s="137"/>
      <c r="BC77" s="137"/>
      <c r="BD77" s="138"/>
    </row>
    <row r="78" spans="1:56" ht="14.4" customHeight="1">
      <c r="A78" s="145" t="str">
        <f>IF(B78="","",COUNTA($B$8:B78))</f>
        <v/>
      </c>
      <c r="B78" s="8"/>
      <c r="C78" s="127"/>
      <c r="D78" s="127"/>
      <c r="E78" s="127"/>
      <c r="F78" s="127"/>
      <c r="G78" s="127"/>
      <c r="H78" s="148"/>
      <c r="I78" s="128"/>
      <c r="J78" s="129"/>
      <c r="K78" s="129"/>
      <c r="L78" s="129"/>
      <c r="M78" s="129"/>
      <c r="N78" s="129"/>
      <c r="O78" s="129"/>
      <c r="P78" s="129"/>
      <c r="Q78" s="147"/>
      <c r="R78" s="8"/>
      <c r="S78" s="129"/>
      <c r="T78" s="129"/>
      <c r="U78" s="129"/>
      <c r="V78" s="129"/>
      <c r="W78" s="129"/>
      <c r="X78" s="148"/>
      <c r="Y78" s="451"/>
      <c r="Z78" s="452"/>
      <c r="AA78" s="448"/>
      <c r="AB78" s="449"/>
      <c r="AC78" s="450"/>
      <c r="AD78" s="188"/>
      <c r="AE78" s="124" t="s">
        <v>244</v>
      </c>
      <c r="AF78" s="124"/>
      <c r="AG78" s="124"/>
      <c r="AH78" s="134"/>
      <c r="AI78" s="134"/>
      <c r="AJ78" s="134"/>
      <c r="AK78" s="134"/>
      <c r="AL78" s="134"/>
      <c r="AM78" s="134"/>
      <c r="AN78" s="134"/>
      <c r="AO78" s="135"/>
      <c r="AP78" s="135"/>
      <c r="AQ78" s="135"/>
      <c r="AR78" s="135"/>
      <c r="AS78" s="136"/>
      <c r="AT78" s="190"/>
      <c r="AU78" s="137"/>
      <c r="AV78" s="137"/>
      <c r="AW78" s="137"/>
      <c r="AX78" s="137"/>
      <c r="AY78" s="137"/>
      <c r="AZ78" s="137"/>
      <c r="BA78" s="137"/>
      <c r="BB78" s="137"/>
      <c r="BC78" s="137"/>
      <c r="BD78" s="138"/>
    </row>
    <row r="79" spans="1:56" ht="14.4" customHeight="1">
      <c r="A79" s="145" t="str">
        <f>IF(B79="","",COUNTA($B$8:B79))</f>
        <v/>
      </c>
      <c r="B79" s="8"/>
      <c r="C79" s="127"/>
      <c r="D79" s="127"/>
      <c r="E79" s="127"/>
      <c r="F79" s="127"/>
      <c r="G79" s="127"/>
      <c r="H79" s="148"/>
      <c r="I79" s="128"/>
      <c r="J79" s="129"/>
      <c r="K79" s="129"/>
      <c r="L79" s="129"/>
      <c r="M79" s="129"/>
      <c r="N79" s="129"/>
      <c r="O79" s="129"/>
      <c r="P79" s="129"/>
      <c r="Q79" s="147"/>
      <c r="R79" s="8"/>
      <c r="S79" s="129"/>
      <c r="T79" s="129"/>
      <c r="U79" s="129"/>
      <c r="V79" s="129"/>
      <c r="W79" s="129"/>
      <c r="X79" s="148"/>
      <c r="Y79" s="451"/>
      <c r="Z79" s="452"/>
      <c r="AA79" s="448"/>
      <c r="AB79" s="449"/>
      <c r="AC79" s="450"/>
      <c r="AD79" s="188"/>
      <c r="AE79" s="124" t="s">
        <v>244</v>
      </c>
      <c r="AF79" s="124"/>
      <c r="AG79" s="124"/>
      <c r="AH79" s="134"/>
      <c r="AI79" s="134"/>
      <c r="AJ79" s="134"/>
      <c r="AK79" s="134"/>
      <c r="AL79" s="134"/>
      <c r="AM79" s="134"/>
      <c r="AN79" s="134"/>
      <c r="AO79" s="135"/>
      <c r="AP79" s="135"/>
      <c r="AQ79" s="135"/>
      <c r="AR79" s="135"/>
      <c r="AS79" s="136"/>
      <c r="AT79" s="190"/>
      <c r="AU79" s="137"/>
      <c r="AV79" s="137"/>
      <c r="AW79" s="137"/>
      <c r="AX79" s="137"/>
      <c r="AY79" s="137"/>
      <c r="AZ79" s="137"/>
      <c r="BA79" s="137"/>
      <c r="BB79" s="137"/>
      <c r="BC79" s="137"/>
      <c r="BD79" s="138"/>
    </row>
    <row r="80" spans="1:56" ht="14.4" customHeight="1">
      <c r="A80" s="145" t="str">
        <f>IF(B80="","",COUNTA($B$8:B80))</f>
        <v/>
      </c>
      <c r="B80" s="8"/>
      <c r="C80" s="127"/>
      <c r="D80" s="127"/>
      <c r="E80" s="127"/>
      <c r="F80" s="127"/>
      <c r="G80" s="127"/>
      <c r="H80" s="148"/>
      <c r="I80" s="128"/>
      <c r="J80" s="129"/>
      <c r="K80" s="129"/>
      <c r="L80" s="129"/>
      <c r="M80" s="129"/>
      <c r="N80" s="129"/>
      <c r="O80" s="129"/>
      <c r="P80" s="129"/>
      <c r="Q80" s="147"/>
      <c r="R80" s="8"/>
      <c r="S80" s="129"/>
      <c r="T80" s="129"/>
      <c r="U80" s="129"/>
      <c r="V80" s="129"/>
      <c r="W80" s="129"/>
      <c r="X80" s="148"/>
      <c r="Y80" s="451"/>
      <c r="Z80" s="452"/>
      <c r="AA80" s="448"/>
      <c r="AB80" s="449"/>
      <c r="AC80" s="450"/>
      <c r="AD80" s="188"/>
      <c r="AE80" s="124" t="s">
        <v>244</v>
      </c>
      <c r="AF80" s="124"/>
      <c r="AG80" s="124"/>
      <c r="AH80" s="134"/>
      <c r="AI80" s="134"/>
      <c r="AJ80" s="134"/>
      <c r="AK80" s="134"/>
      <c r="AL80" s="134"/>
      <c r="AM80" s="134"/>
      <c r="AN80" s="134"/>
      <c r="AO80" s="135"/>
      <c r="AP80" s="135"/>
      <c r="AQ80" s="135"/>
      <c r="AR80" s="135"/>
      <c r="AS80" s="136"/>
      <c r="AT80" s="190"/>
      <c r="AU80" s="137"/>
      <c r="AV80" s="137"/>
      <c r="AW80" s="137"/>
      <c r="AX80" s="137"/>
      <c r="AY80" s="137"/>
      <c r="AZ80" s="137"/>
      <c r="BA80" s="137"/>
      <c r="BB80" s="137"/>
      <c r="BC80" s="137"/>
      <c r="BD80" s="138"/>
    </row>
    <row r="81" spans="1:56" ht="14.4" customHeight="1">
      <c r="A81" s="145" t="str">
        <f>IF(B81="","",COUNTA($B$8:B81))</f>
        <v/>
      </c>
      <c r="B81" s="19"/>
      <c r="C81" s="20"/>
      <c r="D81" s="20"/>
      <c r="E81" s="20"/>
      <c r="F81" s="20"/>
      <c r="G81" s="20"/>
      <c r="H81" s="24"/>
      <c r="I81" s="34"/>
      <c r="J81" s="23"/>
      <c r="K81" s="23"/>
      <c r="L81" s="23"/>
      <c r="M81" s="23"/>
      <c r="N81" s="23"/>
      <c r="O81" s="23"/>
      <c r="P81" s="23"/>
      <c r="Q81" s="37"/>
      <c r="R81" s="19"/>
      <c r="S81" s="23"/>
      <c r="T81" s="23"/>
      <c r="U81" s="23"/>
      <c r="V81" s="23"/>
      <c r="W81" s="23"/>
      <c r="X81" s="24"/>
      <c r="Y81" s="440"/>
      <c r="Z81" s="441"/>
      <c r="AA81" s="442"/>
      <c r="AB81" s="443"/>
      <c r="AC81" s="444"/>
      <c r="AD81" s="30"/>
      <c r="AE81" s="29" t="s">
        <v>244</v>
      </c>
      <c r="AF81" s="29"/>
      <c r="AG81" s="29"/>
      <c r="AH81" s="40"/>
      <c r="AI81" s="40"/>
      <c r="AJ81" s="40"/>
      <c r="AK81" s="40"/>
      <c r="AL81" s="40"/>
      <c r="AM81" s="40"/>
      <c r="AN81" s="40"/>
      <c r="AO81" s="41"/>
      <c r="AP81" s="41"/>
      <c r="AQ81" s="41"/>
      <c r="AR81" s="41"/>
      <c r="AS81" s="42"/>
      <c r="AT81" s="43"/>
      <c r="AU81" s="67"/>
      <c r="AV81" s="67"/>
      <c r="AW81" s="67"/>
      <c r="AX81" s="67"/>
      <c r="AY81" s="67"/>
      <c r="AZ81" s="67"/>
      <c r="BA81" s="67"/>
      <c r="BB81" s="67"/>
      <c r="BC81" s="67"/>
      <c r="BD81" s="68"/>
    </row>
    <row r="82" spans="1:56" ht="14.4" customHeight="1">
      <c r="A82" s="145" t="str">
        <f>IF(B82="","",COUNTA($B$8:B82))</f>
        <v/>
      </c>
      <c r="B82" s="19"/>
      <c r="C82" s="20"/>
      <c r="D82" s="20"/>
      <c r="E82" s="20"/>
      <c r="F82" s="20"/>
      <c r="G82" s="20"/>
      <c r="H82" s="24"/>
      <c r="I82" s="34"/>
      <c r="J82" s="23"/>
      <c r="K82" s="23"/>
      <c r="L82" s="23"/>
      <c r="M82" s="23"/>
      <c r="N82" s="23"/>
      <c r="O82" s="23"/>
      <c r="P82" s="23"/>
      <c r="Q82" s="37"/>
      <c r="R82" s="19"/>
      <c r="S82" s="23"/>
      <c r="T82" s="23"/>
      <c r="U82" s="23"/>
      <c r="V82" s="23"/>
      <c r="W82" s="23"/>
      <c r="X82" s="24"/>
      <c r="Y82" s="440"/>
      <c r="Z82" s="441"/>
      <c r="AA82" s="442"/>
      <c r="AB82" s="443"/>
      <c r="AC82" s="444"/>
      <c r="AD82" s="30"/>
      <c r="AE82" s="29" t="s">
        <v>244</v>
      </c>
      <c r="AF82" s="29"/>
      <c r="AG82" s="29"/>
      <c r="AH82" s="40"/>
      <c r="AI82" s="40"/>
      <c r="AJ82" s="40"/>
      <c r="AK82" s="40"/>
      <c r="AL82" s="40"/>
      <c r="AM82" s="40"/>
      <c r="AN82" s="40"/>
      <c r="AO82" s="41"/>
      <c r="AP82" s="41"/>
      <c r="AQ82" s="41"/>
      <c r="AR82" s="41"/>
      <c r="AS82" s="42"/>
      <c r="AT82" s="43"/>
      <c r="AU82" s="67"/>
      <c r="AV82" s="67"/>
      <c r="AW82" s="67"/>
      <c r="AX82" s="67"/>
      <c r="AY82" s="67"/>
      <c r="AZ82" s="67"/>
      <c r="BA82" s="67"/>
      <c r="BB82" s="67"/>
      <c r="BC82" s="67"/>
      <c r="BD82" s="68"/>
    </row>
    <row r="83" spans="1:56" ht="14.4" customHeight="1">
      <c r="A83" s="145" t="str">
        <f>IF(B83="","",COUNTA($B$8:B83))</f>
        <v/>
      </c>
      <c r="B83" s="19"/>
      <c r="C83" s="20"/>
      <c r="D83" s="20"/>
      <c r="E83" s="20"/>
      <c r="F83" s="20"/>
      <c r="G83" s="20"/>
      <c r="H83" s="24"/>
      <c r="I83" s="34"/>
      <c r="J83" s="23"/>
      <c r="K83" s="23"/>
      <c r="L83" s="23"/>
      <c r="M83" s="23"/>
      <c r="N83" s="23"/>
      <c r="O83" s="23"/>
      <c r="P83" s="23"/>
      <c r="Q83" s="37"/>
      <c r="R83" s="19"/>
      <c r="S83" s="23"/>
      <c r="T83" s="23"/>
      <c r="U83" s="23"/>
      <c r="V83" s="23"/>
      <c r="W83" s="23"/>
      <c r="X83" s="24"/>
      <c r="Y83" s="440"/>
      <c r="Z83" s="441"/>
      <c r="AA83" s="442"/>
      <c r="AB83" s="443"/>
      <c r="AC83" s="444"/>
      <c r="AD83" s="30"/>
      <c r="AE83" s="29" t="s">
        <v>244</v>
      </c>
      <c r="AF83" s="29"/>
      <c r="AG83" s="29"/>
      <c r="AH83" s="40"/>
      <c r="AI83" s="40"/>
      <c r="AJ83" s="40"/>
      <c r="AK83" s="40"/>
      <c r="AL83" s="40"/>
      <c r="AM83" s="40"/>
      <c r="AN83" s="40"/>
      <c r="AO83" s="41"/>
      <c r="AP83" s="41"/>
      <c r="AQ83" s="41"/>
      <c r="AR83" s="41"/>
      <c r="AS83" s="42"/>
      <c r="AT83" s="43"/>
      <c r="AU83" s="67"/>
      <c r="AV83" s="67"/>
      <c r="AW83" s="67"/>
      <c r="AX83" s="67"/>
      <c r="AY83" s="67"/>
      <c r="AZ83" s="67"/>
      <c r="BA83" s="67"/>
      <c r="BB83" s="67"/>
      <c r="BC83" s="67"/>
      <c r="BD83" s="68"/>
    </row>
    <row r="84" spans="1:56" ht="14.4" customHeight="1">
      <c r="A84" s="145" t="str">
        <f>IF(B84="","",COUNTA($B$8:B84))</f>
        <v/>
      </c>
      <c r="B84" s="19"/>
      <c r="C84" s="20"/>
      <c r="D84" s="20"/>
      <c r="E84" s="20"/>
      <c r="F84" s="20"/>
      <c r="G84" s="20"/>
      <c r="H84" s="24"/>
      <c r="I84" s="34"/>
      <c r="J84" s="23"/>
      <c r="K84" s="23"/>
      <c r="L84" s="23"/>
      <c r="M84" s="23"/>
      <c r="N84" s="23"/>
      <c r="O84" s="23"/>
      <c r="P84" s="23"/>
      <c r="Q84" s="37"/>
      <c r="R84" s="19"/>
      <c r="S84" s="23"/>
      <c r="T84" s="23"/>
      <c r="U84" s="23"/>
      <c r="V84" s="23"/>
      <c r="W84" s="23"/>
      <c r="X84" s="24"/>
      <c r="Y84" s="440"/>
      <c r="Z84" s="441"/>
      <c r="AA84" s="442"/>
      <c r="AB84" s="443"/>
      <c r="AC84" s="444"/>
      <c r="AD84" s="30"/>
      <c r="AE84" s="29" t="s">
        <v>244</v>
      </c>
      <c r="AF84" s="29"/>
      <c r="AG84" s="29"/>
      <c r="AH84" s="40"/>
      <c r="AI84" s="40"/>
      <c r="AJ84" s="40"/>
      <c r="AK84" s="40"/>
      <c r="AL84" s="40"/>
      <c r="AM84" s="40"/>
      <c r="AN84" s="40"/>
      <c r="AO84" s="41"/>
      <c r="AP84" s="41"/>
      <c r="AQ84" s="41"/>
      <c r="AR84" s="41"/>
      <c r="AS84" s="42"/>
      <c r="AT84" s="43"/>
      <c r="AU84" s="67"/>
      <c r="AV84" s="67"/>
      <c r="AW84" s="67"/>
      <c r="AX84" s="67"/>
      <c r="AY84" s="67"/>
      <c r="AZ84" s="67"/>
      <c r="BA84" s="67"/>
      <c r="BB84" s="67"/>
      <c r="BC84" s="67"/>
      <c r="BD84" s="68"/>
    </row>
    <row r="85" spans="1:56" ht="14.4" customHeight="1">
      <c r="A85" s="145" t="str">
        <f>IF(B85="","",COUNTA($B$8:B85))</f>
        <v/>
      </c>
      <c r="B85" s="19"/>
      <c r="C85" s="20"/>
      <c r="D85" s="20"/>
      <c r="E85" s="20"/>
      <c r="F85" s="20"/>
      <c r="G85" s="20"/>
      <c r="H85" s="24"/>
      <c r="I85" s="34"/>
      <c r="J85" s="23"/>
      <c r="K85" s="23"/>
      <c r="L85" s="23"/>
      <c r="M85" s="23"/>
      <c r="N85" s="23"/>
      <c r="O85" s="23"/>
      <c r="P85" s="23"/>
      <c r="Q85" s="37"/>
      <c r="R85" s="19"/>
      <c r="S85" s="23"/>
      <c r="T85" s="23"/>
      <c r="U85" s="23"/>
      <c r="V85" s="23"/>
      <c r="W85" s="23"/>
      <c r="X85" s="24"/>
      <c r="Y85" s="440"/>
      <c r="Z85" s="441"/>
      <c r="AA85" s="442"/>
      <c r="AB85" s="443"/>
      <c r="AC85" s="444"/>
      <c r="AD85" s="30"/>
      <c r="AE85" s="29" t="s">
        <v>244</v>
      </c>
      <c r="AF85" s="29"/>
      <c r="AG85" s="29"/>
      <c r="AH85" s="40"/>
      <c r="AI85" s="40"/>
      <c r="AJ85" s="40"/>
      <c r="AK85" s="40"/>
      <c r="AL85" s="40"/>
      <c r="AM85" s="40"/>
      <c r="AN85" s="40"/>
      <c r="AO85" s="41"/>
      <c r="AP85" s="41"/>
      <c r="AQ85" s="41"/>
      <c r="AR85" s="41"/>
      <c r="AS85" s="42"/>
      <c r="AT85" s="43"/>
      <c r="AU85" s="67"/>
      <c r="AV85" s="67"/>
      <c r="AW85" s="67"/>
      <c r="AX85" s="67"/>
      <c r="AY85" s="67"/>
      <c r="AZ85" s="67"/>
      <c r="BA85" s="67"/>
      <c r="BB85" s="67"/>
      <c r="BC85" s="67"/>
      <c r="BD85" s="68"/>
    </row>
  </sheetData>
  <mergeCells count="179">
    <mergeCell ref="Y83:Z83"/>
    <mergeCell ref="AA83:AC83"/>
    <mergeCell ref="Y84:Z84"/>
    <mergeCell ref="AA84:AC84"/>
    <mergeCell ref="Y85:Z85"/>
    <mergeCell ref="AA85:AC85"/>
    <mergeCell ref="Y80:Z80"/>
    <mergeCell ref="AA80:AC80"/>
    <mergeCell ref="Y81:Z81"/>
    <mergeCell ref="AA81:AC81"/>
    <mergeCell ref="Y82:Z82"/>
    <mergeCell ref="AA82:AC82"/>
    <mergeCell ref="Y77:Z77"/>
    <mergeCell ref="AA77:AC77"/>
    <mergeCell ref="Y78:Z78"/>
    <mergeCell ref="AA78:AC78"/>
    <mergeCell ref="Y79:Z79"/>
    <mergeCell ref="AA79:AC79"/>
    <mergeCell ref="Y74:Z74"/>
    <mergeCell ref="AA74:AC74"/>
    <mergeCell ref="Y75:Z75"/>
    <mergeCell ref="AA75:AC75"/>
    <mergeCell ref="Y76:Z76"/>
    <mergeCell ref="AA76:AC76"/>
    <mergeCell ref="Y71:Z71"/>
    <mergeCell ref="AA71:AC71"/>
    <mergeCell ref="Y72:Z72"/>
    <mergeCell ref="AA72:AC72"/>
    <mergeCell ref="Y73:Z73"/>
    <mergeCell ref="AA73:AC73"/>
    <mergeCell ref="Y69:Z69"/>
    <mergeCell ref="AA69:AC69"/>
    <mergeCell ref="Y70:Z70"/>
    <mergeCell ref="AA70:AC70"/>
    <mergeCell ref="Y68:Z68"/>
    <mergeCell ref="AA68:AC68"/>
    <mergeCell ref="Y58:Z58"/>
    <mergeCell ref="AA58:AC58"/>
    <mergeCell ref="Y59:Z59"/>
    <mergeCell ref="AA59:AC59"/>
    <mergeCell ref="Y60:Z60"/>
    <mergeCell ref="AA60:AC60"/>
    <mergeCell ref="Y61:Z61"/>
    <mergeCell ref="AA61:AC61"/>
    <mergeCell ref="Y65:Z65"/>
    <mergeCell ref="AA65:AC65"/>
    <mergeCell ref="Y66:Z66"/>
    <mergeCell ref="AA66:AC66"/>
    <mergeCell ref="Y67:Z67"/>
    <mergeCell ref="AA67:AC67"/>
    <mergeCell ref="Y62:Z62"/>
    <mergeCell ref="AA62:AC62"/>
    <mergeCell ref="Y63:Z63"/>
    <mergeCell ref="AA63:AC63"/>
    <mergeCell ref="Y64:Z64"/>
    <mergeCell ref="AA64:AC64"/>
    <mergeCell ref="Y55:Z55"/>
    <mergeCell ref="AA55:AC55"/>
    <mergeCell ref="Y52:Z52"/>
    <mergeCell ref="AA52:AC52"/>
    <mergeCell ref="Y53:Z53"/>
    <mergeCell ref="AA53:AC53"/>
    <mergeCell ref="Y56:Z56"/>
    <mergeCell ref="AA56:AC56"/>
    <mergeCell ref="Y57:Z57"/>
    <mergeCell ref="AA57:AC57"/>
    <mergeCell ref="Y51:Z51"/>
    <mergeCell ref="AA51:AC51"/>
    <mergeCell ref="Y47:Z47"/>
    <mergeCell ref="AA47:AC47"/>
    <mergeCell ref="Y48:Z48"/>
    <mergeCell ref="AA48:AC48"/>
    <mergeCell ref="Y49:Z49"/>
    <mergeCell ref="AA49:AC49"/>
    <mergeCell ref="Y54:Z54"/>
    <mergeCell ref="AA54:AC54"/>
    <mergeCell ref="Y36:Z36"/>
    <mergeCell ref="AA36:AC36"/>
    <mergeCell ref="Y38:Z38"/>
    <mergeCell ref="AA38:AC38"/>
    <mergeCell ref="Y39:Z39"/>
    <mergeCell ref="AA39:AC39"/>
    <mergeCell ref="Y40:Z40"/>
    <mergeCell ref="AA40:AC40"/>
    <mergeCell ref="Y50:Z50"/>
    <mergeCell ref="AA50:AC50"/>
    <mergeCell ref="Y44:Z44"/>
    <mergeCell ref="AA44:AC44"/>
    <mergeCell ref="Y45:Z45"/>
    <mergeCell ref="AA45:AC45"/>
    <mergeCell ref="Y46:Z46"/>
    <mergeCell ref="AA46:AC46"/>
    <mergeCell ref="Y37:Z37"/>
    <mergeCell ref="AA37:AC37"/>
    <mergeCell ref="Y41:Z41"/>
    <mergeCell ref="AA41:AC41"/>
    <mergeCell ref="Y43:Z43"/>
    <mergeCell ref="AA43:AC43"/>
    <mergeCell ref="Y42:Z42"/>
    <mergeCell ref="AA42:AC42"/>
    <mergeCell ref="AS6:BD7"/>
    <mergeCell ref="AZ4:BD4"/>
    <mergeCell ref="AG6:AG7"/>
    <mergeCell ref="Y21:Z21"/>
    <mergeCell ref="AA21:AC21"/>
    <mergeCell ref="Y20:Z20"/>
    <mergeCell ref="AA20:AC20"/>
    <mergeCell ref="Y22:Z22"/>
    <mergeCell ref="Y28:Z28"/>
    <mergeCell ref="AA28:AC28"/>
    <mergeCell ref="Y19:Z19"/>
    <mergeCell ref="AA19:AC19"/>
    <mergeCell ref="Y24:Z24"/>
    <mergeCell ref="AA24:AC24"/>
    <mergeCell ref="Y25:Z25"/>
    <mergeCell ref="AA25:AC25"/>
    <mergeCell ref="AA22:AC22"/>
    <mergeCell ref="Y23:Z23"/>
    <mergeCell ref="AA23:AC23"/>
    <mergeCell ref="Y26:Z26"/>
    <mergeCell ref="AA26:AC26"/>
    <mergeCell ref="Y27:Z27"/>
    <mergeCell ref="AA27:AC27"/>
    <mergeCell ref="AH6:AH7"/>
    <mergeCell ref="A1:H4"/>
    <mergeCell ref="AZ1:BD1"/>
    <mergeCell ref="I2:Q4"/>
    <mergeCell ref="R2:X4"/>
    <mergeCell ref="Y2:AO3"/>
    <mergeCell ref="AP2:AT2"/>
    <mergeCell ref="AZ2:BD2"/>
    <mergeCell ref="AP3:AT3"/>
    <mergeCell ref="AU3:AY3"/>
    <mergeCell ref="AZ3:BD3"/>
    <mergeCell ref="Y4:AO4"/>
    <mergeCell ref="I1:Q1"/>
    <mergeCell ref="R1:X1"/>
    <mergeCell ref="Y1:AO1"/>
    <mergeCell ref="AP1:AT1"/>
    <mergeCell ref="AU1:AY1"/>
    <mergeCell ref="AP4:AT4"/>
    <mergeCell ref="AU4:AY4"/>
    <mergeCell ref="A6:A7"/>
    <mergeCell ref="B6:H7"/>
    <mergeCell ref="I6:Q7"/>
    <mergeCell ref="R6:X7"/>
    <mergeCell ref="Y6:Z7"/>
    <mergeCell ref="AA6:AC7"/>
    <mergeCell ref="Y8:Z8"/>
    <mergeCell ref="AA8:AC8"/>
    <mergeCell ref="AD6:AD7"/>
    <mergeCell ref="Y34:Z34"/>
    <mergeCell ref="AA34:AC34"/>
    <mergeCell ref="Y35:Z35"/>
    <mergeCell ref="AA35:AC35"/>
    <mergeCell ref="Y29:Z29"/>
    <mergeCell ref="AA29:AC29"/>
    <mergeCell ref="Y30:Z30"/>
    <mergeCell ref="AA30:AC30"/>
    <mergeCell ref="Y31:Z31"/>
    <mergeCell ref="AA31:AC31"/>
    <mergeCell ref="Y32:Z32"/>
    <mergeCell ref="AA32:AC32"/>
    <mergeCell ref="AI6:AR6"/>
    <mergeCell ref="Y18:Z18"/>
    <mergeCell ref="AA18:AC18"/>
    <mergeCell ref="Y9:Z9"/>
    <mergeCell ref="AA9:AC9"/>
    <mergeCell ref="AA12:AC12"/>
    <mergeCell ref="Y33:Z33"/>
    <mergeCell ref="AA33:AC33"/>
    <mergeCell ref="Y17:Z17"/>
    <mergeCell ref="AA17:AC17"/>
    <mergeCell ref="Y10:Z10"/>
    <mergeCell ref="AA10:AC10"/>
    <mergeCell ref="Y11:Z11"/>
    <mergeCell ref="AA11:AC11"/>
    <mergeCell ref="AE6:AE7"/>
    <mergeCell ref="AF6:AF7"/>
  </mergeCells>
  <phoneticPr fontId="5"/>
  <dataValidations count="3">
    <dataValidation imeMode="hiragana" allowBlank="1" showInputMessage="1" showErrorMessage="1" sqref="JO65536:JZ65538 TK65536:TV65538 ADG65536:ADR65538 ANC65536:ANN65538 AWY65536:AXJ65538 BGU65536:BHF65538 BQQ65536:BRB65538 CAM65536:CAX65538 CKI65536:CKT65538 CUE65536:CUP65538 DEA65536:DEL65538 DNW65536:DOH65538 DXS65536:DYD65538 EHO65536:EHZ65538 ERK65536:ERV65538 FBG65536:FBR65538 FLC65536:FLN65538 FUY65536:FVJ65538 GEU65536:GFF65538 GOQ65536:GPB65538 GYM65536:GYX65538 HII65536:HIT65538 HSE65536:HSP65538 ICA65536:ICL65538 ILW65536:IMH65538 IVS65536:IWD65538 JFO65536:JFZ65538 JPK65536:JPV65538 JZG65536:JZR65538 KJC65536:KJN65538 KSY65536:KTJ65538 LCU65536:LDF65538 LMQ65536:LNB65538 LWM65536:LWX65538 MGI65536:MGT65538 MQE65536:MQP65538 NAA65536:NAL65538 NJW65536:NKH65538 NTS65536:NUD65538 ODO65536:ODZ65538 ONK65536:ONV65538 OXG65536:OXR65538 PHC65536:PHN65538 PQY65536:PRJ65538 QAU65536:QBF65538 QKQ65536:QLB65538 QUM65536:QUX65538 REI65536:RET65538 ROE65536:ROP65538 RYA65536:RYL65538 SHW65536:SIH65538 SRS65536:SSD65538 TBO65536:TBZ65538 TLK65536:TLV65538 TVG65536:TVR65538 UFC65536:UFN65538 UOY65536:UPJ65538 UYU65536:UZF65538 VIQ65536:VJB65538 VSM65536:VSX65538 WCI65536:WCT65538 WME65536:WMP65538 WWA65536:WWL65538 JO131072:JZ131074 TK131072:TV131074 ADG131072:ADR131074 ANC131072:ANN131074 AWY131072:AXJ131074 BGU131072:BHF131074 BQQ131072:BRB131074 CAM131072:CAX131074 CKI131072:CKT131074 CUE131072:CUP131074 DEA131072:DEL131074 DNW131072:DOH131074 DXS131072:DYD131074 EHO131072:EHZ131074 ERK131072:ERV131074 FBG131072:FBR131074 FLC131072:FLN131074 FUY131072:FVJ131074 GEU131072:GFF131074 GOQ131072:GPB131074 GYM131072:GYX131074 HII131072:HIT131074 HSE131072:HSP131074 ICA131072:ICL131074 ILW131072:IMH131074 IVS131072:IWD131074 JFO131072:JFZ131074 JPK131072:JPV131074 JZG131072:JZR131074 KJC131072:KJN131074 KSY131072:KTJ131074 LCU131072:LDF131074 LMQ131072:LNB131074 LWM131072:LWX131074 MGI131072:MGT131074 MQE131072:MQP131074 NAA131072:NAL131074 NJW131072:NKH131074 NTS131072:NUD131074 ODO131072:ODZ131074 ONK131072:ONV131074 OXG131072:OXR131074 PHC131072:PHN131074 PQY131072:PRJ131074 QAU131072:QBF131074 QKQ131072:QLB131074 QUM131072:QUX131074 REI131072:RET131074 ROE131072:ROP131074 RYA131072:RYL131074 SHW131072:SIH131074 SRS131072:SSD131074 TBO131072:TBZ131074 TLK131072:TLV131074 TVG131072:TVR131074 UFC131072:UFN131074 UOY131072:UPJ131074 UYU131072:UZF131074 VIQ131072:VJB131074 VSM131072:VSX131074 WCI131072:WCT131074 WME131072:WMP131074 WWA131072:WWL131074 JO196608:JZ196610 TK196608:TV196610 ADG196608:ADR196610 ANC196608:ANN196610 AWY196608:AXJ196610 BGU196608:BHF196610 BQQ196608:BRB196610 CAM196608:CAX196610 CKI196608:CKT196610 CUE196608:CUP196610 DEA196608:DEL196610 DNW196608:DOH196610 DXS196608:DYD196610 EHO196608:EHZ196610 ERK196608:ERV196610 FBG196608:FBR196610 FLC196608:FLN196610 FUY196608:FVJ196610 GEU196608:GFF196610 GOQ196608:GPB196610 GYM196608:GYX196610 HII196608:HIT196610 HSE196608:HSP196610 ICA196608:ICL196610 ILW196608:IMH196610 IVS196608:IWD196610 JFO196608:JFZ196610 JPK196608:JPV196610 JZG196608:JZR196610 KJC196608:KJN196610 KSY196608:KTJ196610 LCU196608:LDF196610 LMQ196608:LNB196610 LWM196608:LWX196610 MGI196608:MGT196610 MQE196608:MQP196610 NAA196608:NAL196610 NJW196608:NKH196610 NTS196608:NUD196610 ODO196608:ODZ196610 ONK196608:ONV196610 OXG196608:OXR196610 PHC196608:PHN196610 PQY196608:PRJ196610 QAU196608:QBF196610 QKQ196608:QLB196610 QUM196608:QUX196610 REI196608:RET196610 ROE196608:ROP196610 RYA196608:RYL196610 SHW196608:SIH196610 SRS196608:SSD196610 TBO196608:TBZ196610 TLK196608:TLV196610 TVG196608:TVR196610 UFC196608:UFN196610 UOY196608:UPJ196610 UYU196608:UZF196610 VIQ196608:VJB196610 VSM196608:VSX196610 WCI196608:WCT196610 WME196608:WMP196610 WWA196608:WWL196610 JO262144:JZ262146 TK262144:TV262146 ADG262144:ADR262146 ANC262144:ANN262146 AWY262144:AXJ262146 BGU262144:BHF262146 BQQ262144:BRB262146 CAM262144:CAX262146 CKI262144:CKT262146 CUE262144:CUP262146 DEA262144:DEL262146 DNW262144:DOH262146 DXS262144:DYD262146 EHO262144:EHZ262146 ERK262144:ERV262146 FBG262144:FBR262146 FLC262144:FLN262146 FUY262144:FVJ262146 GEU262144:GFF262146 GOQ262144:GPB262146 GYM262144:GYX262146 HII262144:HIT262146 HSE262144:HSP262146 ICA262144:ICL262146 ILW262144:IMH262146 IVS262144:IWD262146 JFO262144:JFZ262146 JPK262144:JPV262146 JZG262144:JZR262146 KJC262144:KJN262146 KSY262144:KTJ262146 LCU262144:LDF262146 LMQ262144:LNB262146 LWM262144:LWX262146 MGI262144:MGT262146 MQE262144:MQP262146 NAA262144:NAL262146 NJW262144:NKH262146 NTS262144:NUD262146 ODO262144:ODZ262146 ONK262144:ONV262146 OXG262144:OXR262146 PHC262144:PHN262146 PQY262144:PRJ262146 QAU262144:QBF262146 QKQ262144:QLB262146 QUM262144:QUX262146 REI262144:RET262146 ROE262144:ROP262146 RYA262144:RYL262146 SHW262144:SIH262146 SRS262144:SSD262146 TBO262144:TBZ262146 TLK262144:TLV262146 TVG262144:TVR262146 UFC262144:UFN262146 UOY262144:UPJ262146 UYU262144:UZF262146 VIQ262144:VJB262146 VSM262144:VSX262146 WCI262144:WCT262146 WME262144:WMP262146 WWA262144:WWL262146 JO327680:JZ327682 TK327680:TV327682 ADG327680:ADR327682 ANC327680:ANN327682 AWY327680:AXJ327682 BGU327680:BHF327682 BQQ327680:BRB327682 CAM327680:CAX327682 CKI327680:CKT327682 CUE327680:CUP327682 DEA327680:DEL327682 DNW327680:DOH327682 DXS327680:DYD327682 EHO327680:EHZ327682 ERK327680:ERV327682 FBG327680:FBR327682 FLC327680:FLN327682 FUY327680:FVJ327682 GEU327680:GFF327682 GOQ327680:GPB327682 GYM327680:GYX327682 HII327680:HIT327682 HSE327680:HSP327682 ICA327680:ICL327682 ILW327680:IMH327682 IVS327680:IWD327682 JFO327680:JFZ327682 JPK327680:JPV327682 JZG327680:JZR327682 KJC327680:KJN327682 KSY327680:KTJ327682 LCU327680:LDF327682 LMQ327680:LNB327682 LWM327680:LWX327682 MGI327680:MGT327682 MQE327680:MQP327682 NAA327680:NAL327682 NJW327680:NKH327682 NTS327680:NUD327682 ODO327680:ODZ327682 ONK327680:ONV327682 OXG327680:OXR327682 PHC327680:PHN327682 PQY327680:PRJ327682 QAU327680:QBF327682 QKQ327680:QLB327682 QUM327680:QUX327682 REI327680:RET327682 ROE327680:ROP327682 RYA327680:RYL327682 SHW327680:SIH327682 SRS327680:SSD327682 TBO327680:TBZ327682 TLK327680:TLV327682 TVG327680:TVR327682 UFC327680:UFN327682 UOY327680:UPJ327682 UYU327680:UZF327682 VIQ327680:VJB327682 VSM327680:VSX327682 WCI327680:WCT327682 WME327680:WMP327682 WWA327680:WWL327682 JO393216:JZ393218 TK393216:TV393218 ADG393216:ADR393218 ANC393216:ANN393218 AWY393216:AXJ393218 BGU393216:BHF393218 BQQ393216:BRB393218 CAM393216:CAX393218 CKI393216:CKT393218 CUE393216:CUP393218 DEA393216:DEL393218 DNW393216:DOH393218 DXS393216:DYD393218 EHO393216:EHZ393218 ERK393216:ERV393218 FBG393216:FBR393218 FLC393216:FLN393218 FUY393216:FVJ393218 GEU393216:GFF393218 GOQ393216:GPB393218 GYM393216:GYX393218 HII393216:HIT393218 HSE393216:HSP393218 ICA393216:ICL393218 ILW393216:IMH393218 IVS393216:IWD393218 JFO393216:JFZ393218 JPK393216:JPV393218 JZG393216:JZR393218 KJC393216:KJN393218 KSY393216:KTJ393218 LCU393216:LDF393218 LMQ393216:LNB393218 LWM393216:LWX393218 MGI393216:MGT393218 MQE393216:MQP393218 NAA393216:NAL393218 NJW393216:NKH393218 NTS393216:NUD393218 ODO393216:ODZ393218 ONK393216:ONV393218 OXG393216:OXR393218 PHC393216:PHN393218 PQY393216:PRJ393218 QAU393216:QBF393218 QKQ393216:QLB393218 QUM393216:QUX393218 REI393216:RET393218 ROE393216:ROP393218 RYA393216:RYL393218 SHW393216:SIH393218 SRS393216:SSD393218 TBO393216:TBZ393218 TLK393216:TLV393218 TVG393216:TVR393218 UFC393216:UFN393218 UOY393216:UPJ393218 UYU393216:UZF393218 VIQ393216:VJB393218 VSM393216:VSX393218 WCI393216:WCT393218 WME393216:WMP393218 WWA393216:WWL393218 JO458752:JZ458754 TK458752:TV458754 ADG458752:ADR458754 ANC458752:ANN458754 AWY458752:AXJ458754 BGU458752:BHF458754 BQQ458752:BRB458754 CAM458752:CAX458754 CKI458752:CKT458754 CUE458752:CUP458754 DEA458752:DEL458754 DNW458752:DOH458754 DXS458752:DYD458754 EHO458752:EHZ458754 ERK458752:ERV458754 FBG458752:FBR458754 FLC458752:FLN458754 FUY458752:FVJ458754 GEU458752:GFF458754 GOQ458752:GPB458754 GYM458752:GYX458754 HII458752:HIT458754 HSE458752:HSP458754 ICA458752:ICL458754 ILW458752:IMH458754 IVS458752:IWD458754 JFO458752:JFZ458754 JPK458752:JPV458754 JZG458752:JZR458754 KJC458752:KJN458754 KSY458752:KTJ458754 LCU458752:LDF458754 LMQ458752:LNB458754 LWM458752:LWX458754 MGI458752:MGT458754 MQE458752:MQP458754 NAA458752:NAL458754 NJW458752:NKH458754 NTS458752:NUD458754 ODO458752:ODZ458754 ONK458752:ONV458754 OXG458752:OXR458754 PHC458752:PHN458754 PQY458752:PRJ458754 QAU458752:QBF458754 QKQ458752:QLB458754 QUM458752:QUX458754 REI458752:RET458754 ROE458752:ROP458754 RYA458752:RYL458754 SHW458752:SIH458754 SRS458752:SSD458754 TBO458752:TBZ458754 TLK458752:TLV458754 TVG458752:TVR458754 UFC458752:UFN458754 UOY458752:UPJ458754 UYU458752:UZF458754 VIQ458752:VJB458754 VSM458752:VSX458754 WCI458752:WCT458754 WME458752:WMP458754 WWA458752:WWL458754 JO524288:JZ524290 TK524288:TV524290 ADG524288:ADR524290 ANC524288:ANN524290 AWY524288:AXJ524290 BGU524288:BHF524290 BQQ524288:BRB524290 CAM524288:CAX524290 CKI524288:CKT524290 CUE524288:CUP524290 DEA524288:DEL524290 DNW524288:DOH524290 DXS524288:DYD524290 EHO524288:EHZ524290 ERK524288:ERV524290 FBG524288:FBR524290 FLC524288:FLN524290 FUY524288:FVJ524290 GEU524288:GFF524290 GOQ524288:GPB524290 GYM524288:GYX524290 HII524288:HIT524290 HSE524288:HSP524290 ICA524288:ICL524290 ILW524288:IMH524290 IVS524288:IWD524290 JFO524288:JFZ524290 JPK524288:JPV524290 JZG524288:JZR524290 KJC524288:KJN524290 KSY524288:KTJ524290 LCU524288:LDF524290 LMQ524288:LNB524290 LWM524288:LWX524290 MGI524288:MGT524290 MQE524288:MQP524290 NAA524288:NAL524290 NJW524288:NKH524290 NTS524288:NUD524290 ODO524288:ODZ524290 ONK524288:ONV524290 OXG524288:OXR524290 PHC524288:PHN524290 PQY524288:PRJ524290 QAU524288:QBF524290 QKQ524288:QLB524290 QUM524288:QUX524290 REI524288:RET524290 ROE524288:ROP524290 RYA524288:RYL524290 SHW524288:SIH524290 SRS524288:SSD524290 TBO524288:TBZ524290 TLK524288:TLV524290 TVG524288:TVR524290 UFC524288:UFN524290 UOY524288:UPJ524290 UYU524288:UZF524290 VIQ524288:VJB524290 VSM524288:VSX524290 WCI524288:WCT524290 WME524288:WMP524290 WWA524288:WWL524290 JO589824:JZ589826 TK589824:TV589826 ADG589824:ADR589826 ANC589824:ANN589826 AWY589824:AXJ589826 BGU589824:BHF589826 BQQ589824:BRB589826 CAM589824:CAX589826 CKI589824:CKT589826 CUE589824:CUP589826 DEA589824:DEL589826 DNW589824:DOH589826 DXS589824:DYD589826 EHO589824:EHZ589826 ERK589824:ERV589826 FBG589824:FBR589826 FLC589824:FLN589826 FUY589824:FVJ589826 GEU589824:GFF589826 GOQ589824:GPB589826 GYM589824:GYX589826 HII589824:HIT589826 HSE589824:HSP589826 ICA589824:ICL589826 ILW589824:IMH589826 IVS589824:IWD589826 JFO589824:JFZ589826 JPK589824:JPV589826 JZG589824:JZR589826 KJC589824:KJN589826 KSY589824:KTJ589826 LCU589824:LDF589826 LMQ589824:LNB589826 LWM589824:LWX589826 MGI589824:MGT589826 MQE589824:MQP589826 NAA589824:NAL589826 NJW589824:NKH589826 NTS589824:NUD589826 ODO589824:ODZ589826 ONK589824:ONV589826 OXG589824:OXR589826 PHC589824:PHN589826 PQY589824:PRJ589826 QAU589824:QBF589826 QKQ589824:QLB589826 QUM589824:QUX589826 REI589824:RET589826 ROE589824:ROP589826 RYA589824:RYL589826 SHW589824:SIH589826 SRS589824:SSD589826 TBO589824:TBZ589826 TLK589824:TLV589826 TVG589824:TVR589826 UFC589824:UFN589826 UOY589824:UPJ589826 UYU589824:UZF589826 VIQ589824:VJB589826 VSM589824:VSX589826 WCI589824:WCT589826 WME589824:WMP589826 WWA589824:WWL589826 JO655360:JZ655362 TK655360:TV655362 ADG655360:ADR655362 ANC655360:ANN655362 AWY655360:AXJ655362 BGU655360:BHF655362 BQQ655360:BRB655362 CAM655360:CAX655362 CKI655360:CKT655362 CUE655360:CUP655362 DEA655360:DEL655362 DNW655360:DOH655362 DXS655360:DYD655362 EHO655360:EHZ655362 ERK655360:ERV655362 FBG655360:FBR655362 FLC655360:FLN655362 FUY655360:FVJ655362 GEU655360:GFF655362 GOQ655360:GPB655362 GYM655360:GYX655362 HII655360:HIT655362 HSE655360:HSP655362 ICA655360:ICL655362 ILW655360:IMH655362 IVS655360:IWD655362 JFO655360:JFZ655362 JPK655360:JPV655362 JZG655360:JZR655362 KJC655360:KJN655362 KSY655360:KTJ655362 LCU655360:LDF655362 LMQ655360:LNB655362 LWM655360:LWX655362 MGI655360:MGT655362 MQE655360:MQP655362 NAA655360:NAL655362 NJW655360:NKH655362 NTS655360:NUD655362 ODO655360:ODZ655362 ONK655360:ONV655362 OXG655360:OXR655362 PHC655360:PHN655362 PQY655360:PRJ655362 QAU655360:QBF655362 QKQ655360:QLB655362 QUM655360:QUX655362 REI655360:RET655362 ROE655360:ROP655362 RYA655360:RYL655362 SHW655360:SIH655362 SRS655360:SSD655362 TBO655360:TBZ655362 TLK655360:TLV655362 TVG655360:TVR655362 UFC655360:UFN655362 UOY655360:UPJ655362 UYU655360:UZF655362 VIQ655360:VJB655362 VSM655360:VSX655362 WCI655360:WCT655362 WME655360:WMP655362 WWA655360:WWL655362 JO720896:JZ720898 TK720896:TV720898 ADG720896:ADR720898 ANC720896:ANN720898 AWY720896:AXJ720898 BGU720896:BHF720898 BQQ720896:BRB720898 CAM720896:CAX720898 CKI720896:CKT720898 CUE720896:CUP720898 DEA720896:DEL720898 DNW720896:DOH720898 DXS720896:DYD720898 EHO720896:EHZ720898 ERK720896:ERV720898 FBG720896:FBR720898 FLC720896:FLN720898 FUY720896:FVJ720898 GEU720896:GFF720898 GOQ720896:GPB720898 GYM720896:GYX720898 HII720896:HIT720898 HSE720896:HSP720898 ICA720896:ICL720898 ILW720896:IMH720898 IVS720896:IWD720898 JFO720896:JFZ720898 JPK720896:JPV720898 JZG720896:JZR720898 KJC720896:KJN720898 KSY720896:KTJ720898 LCU720896:LDF720898 LMQ720896:LNB720898 LWM720896:LWX720898 MGI720896:MGT720898 MQE720896:MQP720898 NAA720896:NAL720898 NJW720896:NKH720898 NTS720896:NUD720898 ODO720896:ODZ720898 ONK720896:ONV720898 OXG720896:OXR720898 PHC720896:PHN720898 PQY720896:PRJ720898 QAU720896:QBF720898 QKQ720896:QLB720898 QUM720896:QUX720898 REI720896:RET720898 ROE720896:ROP720898 RYA720896:RYL720898 SHW720896:SIH720898 SRS720896:SSD720898 TBO720896:TBZ720898 TLK720896:TLV720898 TVG720896:TVR720898 UFC720896:UFN720898 UOY720896:UPJ720898 UYU720896:UZF720898 VIQ720896:VJB720898 VSM720896:VSX720898 WCI720896:WCT720898 WME720896:WMP720898 WWA720896:WWL720898 JO786432:JZ786434 TK786432:TV786434 ADG786432:ADR786434 ANC786432:ANN786434 AWY786432:AXJ786434 BGU786432:BHF786434 BQQ786432:BRB786434 CAM786432:CAX786434 CKI786432:CKT786434 CUE786432:CUP786434 DEA786432:DEL786434 DNW786432:DOH786434 DXS786432:DYD786434 EHO786432:EHZ786434 ERK786432:ERV786434 FBG786432:FBR786434 FLC786432:FLN786434 FUY786432:FVJ786434 GEU786432:GFF786434 GOQ786432:GPB786434 GYM786432:GYX786434 HII786432:HIT786434 HSE786432:HSP786434 ICA786432:ICL786434 ILW786432:IMH786434 IVS786432:IWD786434 JFO786432:JFZ786434 JPK786432:JPV786434 JZG786432:JZR786434 KJC786432:KJN786434 KSY786432:KTJ786434 LCU786432:LDF786434 LMQ786432:LNB786434 LWM786432:LWX786434 MGI786432:MGT786434 MQE786432:MQP786434 NAA786432:NAL786434 NJW786432:NKH786434 NTS786432:NUD786434 ODO786432:ODZ786434 ONK786432:ONV786434 OXG786432:OXR786434 PHC786432:PHN786434 PQY786432:PRJ786434 QAU786432:QBF786434 QKQ786432:QLB786434 QUM786432:QUX786434 REI786432:RET786434 ROE786432:ROP786434 RYA786432:RYL786434 SHW786432:SIH786434 SRS786432:SSD786434 TBO786432:TBZ786434 TLK786432:TLV786434 TVG786432:TVR786434 UFC786432:UFN786434 UOY786432:UPJ786434 UYU786432:UZF786434 VIQ786432:VJB786434 VSM786432:VSX786434 WCI786432:WCT786434 WME786432:WMP786434 WWA786432:WWL786434 JO851968:JZ851970 TK851968:TV851970 ADG851968:ADR851970 ANC851968:ANN851970 AWY851968:AXJ851970 BGU851968:BHF851970 BQQ851968:BRB851970 CAM851968:CAX851970 CKI851968:CKT851970 CUE851968:CUP851970 DEA851968:DEL851970 DNW851968:DOH851970 DXS851968:DYD851970 EHO851968:EHZ851970 ERK851968:ERV851970 FBG851968:FBR851970 FLC851968:FLN851970 FUY851968:FVJ851970 GEU851968:GFF851970 GOQ851968:GPB851970 GYM851968:GYX851970 HII851968:HIT851970 HSE851968:HSP851970 ICA851968:ICL851970 ILW851968:IMH851970 IVS851968:IWD851970 JFO851968:JFZ851970 JPK851968:JPV851970 JZG851968:JZR851970 KJC851968:KJN851970 KSY851968:KTJ851970 LCU851968:LDF851970 LMQ851968:LNB851970 LWM851968:LWX851970 MGI851968:MGT851970 MQE851968:MQP851970 NAA851968:NAL851970 NJW851968:NKH851970 NTS851968:NUD851970 ODO851968:ODZ851970 ONK851968:ONV851970 OXG851968:OXR851970 PHC851968:PHN851970 PQY851968:PRJ851970 QAU851968:QBF851970 QKQ851968:QLB851970 QUM851968:QUX851970 REI851968:RET851970 ROE851968:ROP851970 RYA851968:RYL851970 SHW851968:SIH851970 SRS851968:SSD851970 TBO851968:TBZ851970 TLK851968:TLV851970 TVG851968:TVR851970 UFC851968:UFN851970 UOY851968:UPJ851970 UYU851968:UZF851970 VIQ851968:VJB851970 VSM851968:VSX851970 WCI851968:WCT851970 WME851968:WMP851970 WWA851968:WWL851970 JO917504:JZ917506 TK917504:TV917506 ADG917504:ADR917506 ANC917504:ANN917506 AWY917504:AXJ917506 BGU917504:BHF917506 BQQ917504:BRB917506 CAM917504:CAX917506 CKI917504:CKT917506 CUE917504:CUP917506 DEA917504:DEL917506 DNW917504:DOH917506 DXS917504:DYD917506 EHO917504:EHZ917506 ERK917504:ERV917506 FBG917504:FBR917506 FLC917504:FLN917506 FUY917504:FVJ917506 GEU917504:GFF917506 GOQ917504:GPB917506 GYM917504:GYX917506 HII917504:HIT917506 HSE917504:HSP917506 ICA917504:ICL917506 ILW917504:IMH917506 IVS917504:IWD917506 JFO917504:JFZ917506 JPK917504:JPV917506 JZG917504:JZR917506 KJC917504:KJN917506 KSY917504:KTJ917506 LCU917504:LDF917506 LMQ917504:LNB917506 LWM917504:LWX917506 MGI917504:MGT917506 MQE917504:MQP917506 NAA917504:NAL917506 NJW917504:NKH917506 NTS917504:NUD917506 ODO917504:ODZ917506 ONK917504:ONV917506 OXG917504:OXR917506 PHC917504:PHN917506 PQY917504:PRJ917506 QAU917504:QBF917506 QKQ917504:QLB917506 QUM917504:QUX917506 REI917504:RET917506 ROE917504:ROP917506 RYA917504:RYL917506 SHW917504:SIH917506 SRS917504:SSD917506 TBO917504:TBZ917506 TLK917504:TLV917506 TVG917504:TVR917506 UFC917504:UFN917506 UOY917504:UPJ917506 UYU917504:UZF917506 VIQ917504:VJB917506 VSM917504:VSX917506 WCI917504:WCT917506 WME917504:WMP917506 WWA917504:WWL917506 JO983040:JZ983042 TK983040:TV983042 ADG983040:ADR983042 ANC983040:ANN983042 AWY983040:AXJ983042 BGU983040:BHF983042 BQQ983040:BRB983042 CAM983040:CAX983042 CKI983040:CKT983042 CUE983040:CUP983042 DEA983040:DEL983042 DNW983040:DOH983042 DXS983040:DYD983042 EHO983040:EHZ983042 ERK983040:ERV983042 FBG983040:FBR983042 FLC983040:FLN983042 FUY983040:FVJ983042 GEU983040:GFF983042 GOQ983040:GPB983042 GYM983040:GYX983042 HII983040:HIT983042 HSE983040:HSP983042 ICA983040:ICL983042 ILW983040:IMH983042 IVS983040:IWD983042 JFO983040:JFZ983042 JPK983040:JPV983042 JZG983040:JZR983042 KJC983040:KJN983042 KSY983040:KTJ983042 LCU983040:LDF983042 LMQ983040:LNB983042 LWM983040:LWX983042 MGI983040:MGT983042 MQE983040:MQP983042 NAA983040:NAL983042 NJW983040:NKH983042 NTS983040:NUD983042 ODO983040:ODZ983042 ONK983040:ONV983042 OXG983040:OXR983042 PHC983040:PHN983042 PQY983040:PRJ983042 QAU983040:QBF983042 QKQ983040:QLB983042 QUM983040:QUX983042 REI983040:RET983042 ROE983040:ROP983042 RYA983040:RYL983042 SHW983040:SIH983042 SRS983040:SSD983042 TBO983040:TBZ983042 TLK983040:TLV983042 TVG983040:TVR983042 UFC983040:UFN983042 UOY983040:UPJ983042 UYU983040:UZF983042 VIQ983040:VJB983042 VSM983040:VSX983042 WCI983040:WCT983042 WME983040:WMP983042 WWA983040:WWL983042 JP2:KA4 TL2:TW4 ADH2:ADS4 AND2:ANO4 AWZ2:AXK4 BGV2:BHG4 BQR2:BRC4 CAN2:CAY4 CKJ2:CKU4 CUF2:CUQ4 DEB2:DEM4 DNX2:DOI4 DXT2:DYE4 EHP2:EIA4 ERL2:ERW4 FBH2:FBS4 FLD2:FLO4 FUZ2:FVK4 GEV2:GFG4 GOR2:GPC4 GYN2:GYY4 HIJ2:HIU4 HSF2:HSQ4 ICB2:ICM4 ILX2:IMI4 IVT2:IWE4 JFP2:JGA4 JPL2:JPW4 JZH2:JZS4 KJD2:KJO4 KSZ2:KTK4 LCV2:LDG4 LMR2:LNC4 LWN2:LWY4 MGJ2:MGU4 MQF2:MQQ4 NAB2:NAM4 NJX2:NKI4 NTT2:NUE4 ODP2:OEA4 ONL2:ONW4 OXH2:OXS4 PHD2:PHO4 PQZ2:PRK4 QAV2:QBG4 QKR2:QLC4 QUN2:QUY4 REJ2:REU4 ROF2:ROQ4 RYB2:RYM4 SHX2:SII4 SRT2:SSE4 TBP2:TCA4 TLL2:TLW4 TVH2:TVS4 UFD2:UFO4 UOZ2:UPK4 UYV2:UZG4 VIR2:VJC4 VSN2:VSY4 WCJ2:WCU4 WMF2:WMQ4 WWB2:WWM4 AC65536:AM65538 AC983040:AM983042 AC917504:AM917506 AC851968:AM851970 AC786432:AM786434 AC720896:AM720898 AC655360:AM655362 AC589824:AM589826 AC524288:AM524290 AC458752:AM458754 AC393216:AM393218 AC327680:AM327682 AC262144:AM262146 AC196608:AM196610 AC131072:AM131074 R2"/>
    <dataValidation type="list" allowBlank="1" showInputMessage="1" showErrorMessage="1" sqref="Y8:Z85">
      <formula1>"文字,数値,日付,時間"</formula1>
    </dataValidation>
    <dataValidation type="list" allowBlank="1" showInputMessage="1" showErrorMessage="1" sqref="AA8:AC85">
      <formula1>"int,numeric,varchar,date,datetime2(0),datetime2,varbinary(max)"</formula1>
    </dataValidation>
  </dataValidations>
  <pageMargins left="0.39370078740157483" right="0.39370078740157483" top="0.59055118110236227" bottom="0.39370078740157483" header="0.39370078740157483" footer="0.19685039370078741"/>
  <pageSetup paperSize="9" scale="80" fitToHeight="0" orientation="landscape" useFirstPageNumber="1" verticalDpi="300" r:id="rId1"/>
  <headerFooter alignWithMargins="0">
    <oddFooter>&amp;R&amp;A - &amp;P</oddFooter>
  </headerFooter>
  <legacyDrawing r:id="rId2"/>
</worksheet>
</file>

<file path=xl/worksheets/sheet1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7">
    <tabColor rgb="FFFFC000"/>
  </sheetPr>
  <dimension ref="A1:BE51"/>
  <sheetViews>
    <sheetView showGridLines="0" zoomScaleNormal="100" zoomScaleSheetLayoutView="100" workbookViewId="0">
      <pane ySplit="7" topLeftCell="A8" activePane="bottomLeft" state="frozen"/>
      <selection sqref="A1:K4"/>
      <selection pane="bottomLeft" sqref="A1:H4"/>
    </sheetView>
  </sheetViews>
  <sheetFormatPr defaultColWidth="2.6328125" defaultRowHeight="14.4" customHeight="1"/>
  <cols>
    <col min="1" max="1" width="4.6328125" style="18" customWidth="1"/>
    <col min="2" max="26" width="2.6328125" style="18"/>
    <col min="27" max="27" width="2.6328125" style="18" customWidth="1"/>
    <col min="28" max="29" width="2.6328125" style="18"/>
    <col min="30" max="30" width="4.6328125" style="18" customWidth="1"/>
    <col min="31" max="31" width="2.6328125" style="18" customWidth="1"/>
    <col min="32" max="33" width="2.6328125" style="18"/>
    <col min="34" max="34" width="6.6328125" style="18" customWidth="1"/>
    <col min="35" max="41" width="2.6328125" style="18"/>
    <col min="42" max="56" width="2.6328125" style="46"/>
    <col min="57" max="16384" width="2.6328125" style="18"/>
  </cols>
  <sheetData>
    <row r="1" spans="1:56" s="17" customFormat="1" ht="14.4" customHeight="1">
      <c r="A1" s="417" t="s">
        <v>78</v>
      </c>
      <c r="B1" s="418"/>
      <c r="C1" s="418"/>
      <c r="D1" s="418"/>
      <c r="E1" s="418"/>
      <c r="F1" s="418"/>
      <c r="G1" s="418"/>
      <c r="H1" s="419"/>
      <c r="I1" s="354" t="s">
        <v>79</v>
      </c>
      <c r="J1" s="355"/>
      <c r="K1" s="355"/>
      <c r="L1" s="355"/>
      <c r="M1" s="355"/>
      <c r="N1" s="355"/>
      <c r="O1" s="355"/>
      <c r="P1" s="355"/>
      <c r="Q1" s="356"/>
      <c r="R1" s="354" t="s">
        <v>80</v>
      </c>
      <c r="S1" s="355"/>
      <c r="T1" s="355"/>
      <c r="U1" s="355"/>
      <c r="V1" s="355"/>
      <c r="W1" s="355"/>
      <c r="X1" s="356"/>
      <c r="Y1" s="354" t="s">
        <v>135</v>
      </c>
      <c r="Z1" s="355"/>
      <c r="AA1" s="355"/>
      <c r="AB1" s="355"/>
      <c r="AC1" s="355"/>
      <c r="AD1" s="355"/>
      <c r="AE1" s="355"/>
      <c r="AF1" s="355"/>
      <c r="AG1" s="355"/>
      <c r="AH1" s="355"/>
      <c r="AI1" s="355"/>
      <c r="AJ1" s="355"/>
      <c r="AK1" s="355"/>
      <c r="AL1" s="355"/>
      <c r="AM1" s="355"/>
      <c r="AN1" s="355"/>
      <c r="AO1" s="356"/>
      <c r="AP1" s="428" t="s">
        <v>82</v>
      </c>
      <c r="AQ1" s="429"/>
      <c r="AR1" s="429"/>
      <c r="AS1" s="429"/>
      <c r="AT1" s="430"/>
      <c r="AU1" s="428" t="s">
        <v>83</v>
      </c>
      <c r="AV1" s="429"/>
      <c r="AW1" s="429"/>
      <c r="AX1" s="429"/>
      <c r="AY1" s="430"/>
      <c r="AZ1" s="428" t="s">
        <v>84</v>
      </c>
      <c r="BA1" s="429"/>
      <c r="BB1" s="429"/>
      <c r="BC1" s="429"/>
      <c r="BD1" s="430"/>
    </row>
    <row r="2" spans="1:56" s="17" customFormat="1" ht="14.4" customHeight="1">
      <c r="A2" s="420"/>
      <c r="B2" s="421"/>
      <c r="C2" s="421"/>
      <c r="D2" s="421"/>
      <c r="E2" s="421"/>
      <c r="F2" s="421"/>
      <c r="G2" s="421"/>
      <c r="H2" s="422"/>
      <c r="I2" s="384" t="s">
        <v>85</v>
      </c>
      <c r="J2" s="385"/>
      <c r="K2" s="385"/>
      <c r="L2" s="385"/>
      <c r="M2" s="385"/>
      <c r="N2" s="385"/>
      <c r="O2" s="385"/>
      <c r="P2" s="385"/>
      <c r="Q2" s="386"/>
      <c r="R2" s="384" t="str">
        <f ca="1">VLOOKUP(RIGHT(CELL("filename",A2),LEN(CELL("filename",A2))-FIND("]",CELL("filename",A2))),テーブル一覧!B:AD,22,FALSE)</f>
        <v>B.生産計画</v>
      </c>
      <c r="S2" s="385"/>
      <c r="T2" s="385"/>
      <c r="U2" s="385"/>
      <c r="V2" s="385"/>
      <c r="W2" s="385"/>
      <c r="X2" s="386"/>
      <c r="Y2" s="384" t="str">
        <f ca="1">VLOOKUP(RIGHT(CELL("filename",A2),LEN(CELL("filename",A2))-FIND("]",CELL("filename",A2))),テーブル一覧!B:AD,1,FALSE)</f>
        <v>生産指示情報（原材料）</v>
      </c>
      <c r="Z2" s="385"/>
      <c r="AA2" s="385"/>
      <c r="AB2" s="385"/>
      <c r="AC2" s="385"/>
      <c r="AD2" s="385"/>
      <c r="AE2" s="385"/>
      <c r="AF2" s="385"/>
      <c r="AG2" s="385"/>
      <c r="AH2" s="385"/>
      <c r="AI2" s="385"/>
      <c r="AJ2" s="385"/>
      <c r="AK2" s="385"/>
      <c r="AL2" s="385"/>
      <c r="AM2" s="385"/>
      <c r="AN2" s="385"/>
      <c r="AO2" s="386"/>
      <c r="AP2" s="357"/>
      <c r="AQ2" s="358"/>
      <c r="AR2" s="358"/>
      <c r="AS2" s="358"/>
      <c r="AT2" s="359"/>
      <c r="AU2" s="58" t="s">
        <v>88</v>
      </c>
      <c r="AV2" s="59"/>
      <c r="AW2" s="59"/>
      <c r="AX2" s="59"/>
      <c r="AY2" s="60"/>
      <c r="AZ2" s="434" t="s">
        <v>89</v>
      </c>
      <c r="BA2" s="435"/>
      <c r="BB2" s="435"/>
      <c r="BC2" s="435"/>
      <c r="BD2" s="436"/>
    </row>
    <row r="3" spans="1:56" s="17" customFormat="1" ht="14.4" customHeight="1">
      <c r="A3" s="420"/>
      <c r="B3" s="421"/>
      <c r="C3" s="421"/>
      <c r="D3" s="421"/>
      <c r="E3" s="421"/>
      <c r="F3" s="421"/>
      <c r="G3" s="421"/>
      <c r="H3" s="422"/>
      <c r="I3" s="387"/>
      <c r="J3" s="388"/>
      <c r="K3" s="388"/>
      <c r="L3" s="388"/>
      <c r="M3" s="388"/>
      <c r="N3" s="388"/>
      <c r="O3" s="388"/>
      <c r="P3" s="388"/>
      <c r="Q3" s="389"/>
      <c r="R3" s="387"/>
      <c r="S3" s="388"/>
      <c r="T3" s="388"/>
      <c r="U3" s="388"/>
      <c r="V3" s="388"/>
      <c r="W3" s="388"/>
      <c r="X3" s="389"/>
      <c r="Y3" s="390"/>
      <c r="Z3" s="391"/>
      <c r="AA3" s="391"/>
      <c r="AB3" s="391"/>
      <c r="AC3" s="391"/>
      <c r="AD3" s="391"/>
      <c r="AE3" s="391"/>
      <c r="AF3" s="391"/>
      <c r="AG3" s="391"/>
      <c r="AH3" s="391"/>
      <c r="AI3" s="391"/>
      <c r="AJ3" s="391"/>
      <c r="AK3" s="391"/>
      <c r="AL3" s="391"/>
      <c r="AM3" s="391"/>
      <c r="AN3" s="391"/>
      <c r="AO3" s="392"/>
      <c r="AP3" s="360"/>
      <c r="AQ3" s="361"/>
      <c r="AR3" s="361"/>
      <c r="AS3" s="361"/>
      <c r="AT3" s="362"/>
      <c r="AU3" s="431"/>
      <c r="AV3" s="432"/>
      <c r="AW3" s="432"/>
      <c r="AX3" s="432"/>
      <c r="AY3" s="433"/>
      <c r="AZ3" s="434"/>
      <c r="BA3" s="435"/>
      <c r="BB3" s="435"/>
      <c r="BC3" s="435"/>
      <c r="BD3" s="436"/>
    </row>
    <row r="4" spans="1:56" s="17" customFormat="1" ht="14.4" customHeight="1">
      <c r="A4" s="423"/>
      <c r="B4" s="424"/>
      <c r="C4" s="424"/>
      <c r="D4" s="424"/>
      <c r="E4" s="424"/>
      <c r="F4" s="424"/>
      <c r="G4" s="424"/>
      <c r="H4" s="425"/>
      <c r="I4" s="390"/>
      <c r="J4" s="391"/>
      <c r="K4" s="391"/>
      <c r="L4" s="391"/>
      <c r="M4" s="391"/>
      <c r="N4" s="391"/>
      <c r="O4" s="391"/>
      <c r="P4" s="391"/>
      <c r="Q4" s="392"/>
      <c r="R4" s="390"/>
      <c r="S4" s="391"/>
      <c r="T4" s="391"/>
      <c r="U4" s="391"/>
      <c r="V4" s="391"/>
      <c r="W4" s="391"/>
      <c r="X4" s="392"/>
      <c r="Y4" s="437" t="str">
        <f ca="1">IF(VLOOKUP(RIGHT(CELL("filename",A2),LEN(CELL("filename",A2))-FIND("]",CELL("filename",A2))),テーブル一覧!B:AD,11,FALSE)=0,"",VLOOKUP(RIGHT(CELL("filename",A2),LEN(CELL("filename",A2))-FIND("]",CELL("filename",A2))),テーブル一覧!B:AD,11,FALSE))</f>
        <v>t_seisan_shiji_genzairyo</v>
      </c>
      <c r="Z4" s="438"/>
      <c r="AA4" s="438"/>
      <c r="AB4" s="438"/>
      <c r="AC4" s="438"/>
      <c r="AD4" s="438"/>
      <c r="AE4" s="438"/>
      <c r="AF4" s="438"/>
      <c r="AG4" s="438"/>
      <c r="AH4" s="438"/>
      <c r="AI4" s="438"/>
      <c r="AJ4" s="438"/>
      <c r="AK4" s="438"/>
      <c r="AL4" s="438"/>
      <c r="AM4" s="438"/>
      <c r="AN4" s="438"/>
      <c r="AO4" s="439"/>
      <c r="AP4" s="360"/>
      <c r="AQ4" s="361"/>
      <c r="AR4" s="361"/>
      <c r="AS4" s="361"/>
      <c r="AT4" s="362"/>
      <c r="AU4" s="431"/>
      <c r="AV4" s="432"/>
      <c r="AW4" s="432"/>
      <c r="AX4" s="432"/>
      <c r="AY4" s="433"/>
      <c r="AZ4" s="434"/>
      <c r="BA4" s="435"/>
      <c r="BB4" s="435"/>
      <c r="BC4" s="435"/>
      <c r="BD4" s="436"/>
    </row>
    <row r="6" spans="1:56" ht="14.4" customHeight="1">
      <c r="A6" s="426" t="s">
        <v>90</v>
      </c>
      <c r="B6" s="407" t="s">
        <v>136</v>
      </c>
      <c r="C6" s="415"/>
      <c r="D6" s="415"/>
      <c r="E6" s="415"/>
      <c r="F6" s="415"/>
      <c r="G6" s="415"/>
      <c r="H6" s="408"/>
      <c r="I6" s="407" t="s">
        <v>137</v>
      </c>
      <c r="J6" s="415"/>
      <c r="K6" s="415"/>
      <c r="L6" s="415"/>
      <c r="M6" s="415"/>
      <c r="N6" s="415"/>
      <c r="O6" s="415"/>
      <c r="P6" s="415"/>
      <c r="Q6" s="408"/>
      <c r="R6" s="407" t="s">
        <v>138</v>
      </c>
      <c r="S6" s="415"/>
      <c r="T6" s="415"/>
      <c r="U6" s="415"/>
      <c r="V6" s="415"/>
      <c r="W6" s="415"/>
      <c r="X6" s="408"/>
      <c r="Y6" s="407" t="s">
        <v>139</v>
      </c>
      <c r="Z6" s="408"/>
      <c r="AA6" s="407" t="s">
        <v>140</v>
      </c>
      <c r="AB6" s="415"/>
      <c r="AC6" s="408"/>
      <c r="AD6" s="411" t="s">
        <v>141</v>
      </c>
      <c r="AE6" s="413" t="s">
        <v>142</v>
      </c>
      <c r="AF6" s="411" t="s">
        <v>143</v>
      </c>
      <c r="AG6" s="411" t="s">
        <v>144</v>
      </c>
      <c r="AH6" s="411" t="s">
        <v>145</v>
      </c>
      <c r="AI6" s="404" t="s">
        <v>146</v>
      </c>
      <c r="AJ6" s="405"/>
      <c r="AK6" s="405"/>
      <c r="AL6" s="405"/>
      <c r="AM6" s="405"/>
      <c r="AN6" s="405"/>
      <c r="AO6" s="405"/>
      <c r="AP6" s="405"/>
      <c r="AQ6" s="405"/>
      <c r="AR6" s="406"/>
      <c r="AS6" s="407" t="s">
        <v>147</v>
      </c>
      <c r="AT6" s="415"/>
      <c r="AU6" s="415"/>
      <c r="AV6" s="415"/>
      <c r="AW6" s="415"/>
      <c r="AX6" s="415"/>
      <c r="AY6" s="415"/>
      <c r="AZ6" s="415"/>
      <c r="BA6" s="415"/>
      <c r="BB6" s="415"/>
      <c r="BC6" s="415"/>
      <c r="BD6" s="408"/>
    </row>
    <row r="7" spans="1:56" ht="14.4" customHeight="1">
      <c r="A7" s="427"/>
      <c r="B7" s="409"/>
      <c r="C7" s="416"/>
      <c r="D7" s="416"/>
      <c r="E7" s="416"/>
      <c r="F7" s="416"/>
      <c r="G7" s="416"/>
      <c r="H7" s="410"/>
      <c r="I7" s="409"/>
      <c r="J7" s="416"/>
      <c r="K7" s="416"/>
      <c r="L7" s="416"/>
      <c r="M7" s="416"/>
      <c r="N7" s="416"/>
      <c r="O7" s="416"/>
      <c r="P7" s="416"/>
      <c r="Q7" s="410"/>
      <c r="R7" s="409"/>
      <c r="S7" s="416"/>
      <c r="T7" s="416"/>
      <c r="U7" s="416"/>
      <c r="V7" s="416"/>
      <c r="W7" s="416"/>
      <c r="X7" s="410"/>
      <c r="Y7" s="409"/>
      <c r="Z7" s="410"/>
      <c r="AA7" s="409"/>
      <c r="AB7" s="416"/>
      <c r="AC7" s="410"/>
      <c r="AD7" s="412"/>
      <c r="AE7" s="414"/>
      <c r="AF7" s="412"/>
      <c r="AG7" s="412"/>
      <c r="AH7" s="412"/>
      <c r="AI7" s="52">
        <v>1</v>
      </c>
      <c r="AJ7" s="52">
        <v>2</v>
      </c>
      <c r="AK7" s="52">
        <v>3</v>
      </c>
      <c r="AL7" s="52">
        <v>4</v>
      </c>
      <c r="AM7" s="52">
        <v>5</v>
      </c>
      <c r="AN7" s="52">
        <v>6</v>
      </c>
      <c r="AO7" s="52">
        <v>7</v>
      </c>
      <c r="AP7" s="52">
        <v>8</v>
      </c>
      <c r="AQ7" s="52">
        <v>9</v>
      </c>
      <c r="AR7" s="52">
        <v>10</v>
      </c>
      <c r="AS7" s="409"/>
      <c r="AT7" s="416"/>
      <c r="AU7" s="416"/>
      <c r="AV7" s="416"/>
      <c r="AW7" s="416"/>
      <c r="AX7" s="416"/>
      <c r="AY7" s="416"/>
      <c r="AZ7" s="416"/>
      <c r="BA7" s="416"/>
      <c r="BB7" s="416"/>
      <c r="BC7" s="416"/>
      <c r="BD7" s="410"/>
    </row>
    <row r="8" spans="1:56" ht="14.4" customHeight="1">
      <c r="A8" s="70">
        <f>IF(B8="","",COUNTA($B$8:B8))</f>
        <v>1</v>
      </c>
      <c r="B8" s="19" t="s">
        <v>148</v>
      </c>
      <c r="C8" s="20"/>
      <c r="D8" s="20"/>
      <c r="E8" s="20"/>
      <c r="F8" s="20"/>
      <c r="G8" s="20"/>
      <c r="H8" s="24"/>
      <c r="I8" s="31" t="s">
        <v>149</v>
      </c>
      <c r="J8" s="23"/>
      <c r="K8" s="23"/>
      <c r="L8" s="23"/>
      <c r="M8" s="23"/>
      <c r="N8" s="23"/>
      <c r="O8" s="38"/>
      <c r="P8" s="23"/>
      <c r="Q8" s="24"/>
      <c r="R8" s="19" t="s">
        <v>148</v>
      </c>
      <c r="S8" s="23"/>
      <c r="T8" s="23"/>
      <c r="U8" s="23"/>
      <c r="V8" s="23"/>
      <c r="W8" s="23"/>
      <c r="X8" s="24"/>
      <c r="Y8" s="440" t="s">
        <v>150</v>
      </c>
      <c r="Z8" s="441"/>
      <c r="AA8" s="442" t="s">
        <v>151</v>
      </c>
      <c r="AB8" s="443"/>
      <c r="AC8" s="444"/>
      <c r="AD8" s="27">
        <v>15</v>
      </c>
      <c r="AE8" s="29"/>
      <c r="AF8" s="29">
        <v>1</v>
      </c>
      <c r="AG8" s="28" t="s">
        <v>152</v>
      </c>
      <c r="AH8" s="28"/>
      <c r="AI8" s="28"/>
      <c r="AJ8" s="28"/>
      <c r="AK8" s="28"/>
      <c r="AL8" s="28"/>
      <c r="AM8" s="28"/>
      <c r="AN8" s="28"/>
      <c r="AO8" s="29"/>
      <c r="AP8" s="29"/>
      <c r="AQ8" s="29"/>
      <c r="AR8" s="29"/>
      <c r="AS8" s="47"/>
      <c r="AT8" s="48"/>
      <c r="AU8" s="48"/>
      <c r="AV8" s="48"/>
      <c r="AW8" s="48"/>
      <c r="AX8" s="48"/>
      <c r="AY8" s="48"/>
      <c r="AZ8" s="48"/>
      <c r="BA8" s="48"/>
      <c r="BB8" s="48"/>
      <c r="BC8" s="48"/>
      <c r="BD8" s="66"/>
    </row>
    <row r="9" spans="1:56" ht="14.4" customHeight="1">
      <c r="A9" s="70">
        <f>IF(B9="","",COUNTA($B$8:B9))</f>
        <v>2</v>
      </c>
      <c r="B9" s="19" t="s">
        <v>159</v>
      </c>
      <c r="C9" s="20"/>
      <c r="D9" s="20"/>
      <c r="E9" s="20"/>
      <c r="F9" s="20"/>
      <c r="G9" s="20"/>
      <c r="H9" s="24"/>
      <c r="I9" s="31" t="s">
        <v>160</v>
      </c>
      <c r="J9" s="23"/>
      <c r="K9" s="23"/>
      <c r="L9" s="23"/>
      <c r="M9" s="23"/>
      <c r="N9" s="23"/>
      <c r="O9" s="38"/>
      <c r="P9" s="23"/>
      <c r="Q9" s="24"/>
      <c r="R9" s="19" t="s">
        <v>159</v>
      </c>
      <c r="S9" s="23"/>
      <c r="T9" s="23"/>
      <c r="U9" s="23"/>
      <c r="V9" s="23"/>
      <c r="W9" s="23"/>
      <c r="X9" s="24"/>
      <c r="Y9" s="440" t="s">
        <v>150</v>
      </c>
      <c r="Z9" s="441"/>
      <c r="AA9" s="442" t="s">
        <v>151</v>
      </c>
      <c r="AB9" s="443"/>
      <c r="AC9" s="444"/>
      <c r="AD9" s="27">
        <v>4</v>
      </c>
      <c r="AE9" s="29"/>
      <c r="AF9" s="29"/>
      <c r="AG9" s="29"/>
      <c r="AH9" s="28"/>
      <c r="AI9" s="28"/>
      <c r="AJ9" s="28"/>
      <c r="AK9" s="28"/>
      <c r="AL9" s="28"/>
      <c r="AM9" s="28"/>
      <c r="AN9" s="28"/>
      <c r="AO9" s="29"/>
      <c r="AP9" s="29"/>
      <c r="AQ9" s="29"/>
      <c r="AR9" s="29"/>
      <c r="AS9" s="31"/>
      <c r="AT9" s="67"/>
      <c r="AU9" s="67"/>
      <c r="AV9" s="67"/>
      <c r="AW9" s="67"/>
      <c r="AX9" s="67"/>
      <c r="AY9" s="67"/>
      <c r="AZ9" s="67"/>
      <c r="BA9" s="67"/>
      <c r="BB9" s="67"/>
      <c r="BC9" s="67"/>
      <c r="BD9" s="68"/>
    </row>
    <row r="10" spans="1:56" ht="14.4" customHeight="1">
      <c r="A10" s="70">
        <f>IF(B10="","",COUNTA($B$8:B10))</f>
        <v>3</v>
      </c>
      <c r="B10" s="19" t="s">
        <v>162</v>
      </c>
      <c r="C10" s="20"/>
      <c r="D10" s="20"/>
      <c r="E10" s="20"/>
      <c r="F10" s="20"/>
      <c r="G10" s="20"/>
      <c r="H10" s="39" t="s">
        <v>391</v>
      </c>
      <c r="I10" s="31" t="s">
        <v>163</v>
      </c>
      <c r="J10" s="23"/>
      <c r="K10" s="23"/>
      <c r="L10" s="23"/>
      <c r="M10" s="23"/>
      <c r="N10" s="23"/>
      <c r="O10" s="38"/>
      <c r="P10" s="23"/>
      <c r="Q10" s="24"/>
      <c r="R10" s="19" t="s">
        <v>164</v>
      </c>
      <c r="S10" s="23"/>
      <c r="T10" s="23"/>
      <c r="U10" s="23"/>
      <c r="V10" s="23"/>
      <c r="W10" s="23"/>
      <c r="X10" s="24"/>
      <c r="Y10" s="440" t="s">
        <v>150</v>
      </c>
      <c r="Z10" s="441"/>
      <c r="AA10" s="442" t="s">
        <v>151</v>
      </c>
      <c r="AB10" s="443"/>
      <c r="AC10" s="444"/>
      <c r="AD10" s="27">
        <v>4</v>
      </c>
      <c r="AE10" s="29"/>
      <c r="AF10" s="29"/>
      <c r="AG10" s="29"/>
      <c r="AH10" s="28"/>
      <c r="AI10" s="28"/>
      <c r="AJ10" s="28"/>
      <c r="AK10" s="28"/>
      <c r="AL10" s="28"/>
      <c r="AM10" s="28"/>
      <c r="AN10" s="28"/>
      <c r="AO10" s="29"/>
      <c r="AP10" s="29"/>
      <c r="AQ10" s="29"/>
      <c r="AR10" s="29"/>
      <c r="AS10" s="31"/>
      <c r="AT10" s="67"/>
      <c r="AU10" s="67"/>
      <c r="AV10" s="67"/>
      <c r="AW10" s="67"/>
      <c r="AX10" s="67"/>
      <c r="AY10" s="67"/>
      <c r="AZ10" s="67"/>
      <c r="BA10" s="67"/>
      <c r="BB10" s="67"/>
      <c r="BC10" s="67"/>
      <c r="BD10" s="68"/>
    </row>
    <row r="11" spans="1:56" ht="14.4" customHeight="1">
      <c r="A11" s="70">
        <f>IF(B11="","",COUNTA($B$8:B11))</f>
        <v>4</v>
      </c>
      <c r="B11" s="25" t="s">
        <v>193</v>
      </c>
      <c r="C11" s="26"/>
      <c r="D11" s="26"/>
      <c r="E11" s="26"/>
      <c r="F11" s="26"/>
      <c r="G11" s="26"/>
      <c r="H11" s="39" t="s">
        <v>391</v>
      </c>
      <c r="I11" s="31" t="s">
        <v>194</v>
      </c>
      <c r="J11" s="23"/>
      <c r="K11" s="23"/>
      <c r="L11" s="23"/>
      <c r="M11" s="23"/>
      <c r="N11" s="23"/>
      <c r="O11" s="26"/>
      <c r="P11" s="23"/>
      <c r="Q11" s="24"/>
      <c r="R11" s="25" t="s">
        <v>193</v>
      </c>
      <c r="S11" s="23"/>
      <c r="T11" s="23"/>
      <c r="U11" s="23"/>
      <c r="V11" s="23"/>
      <c r="W11" s="23"/>
      <c r="X11" s="24"/>
      <c r="Y11" s="440" t="s">
        <v>150</v>
      </c>
      <c r="Z11" s="441"/>
      <c r="AA11" s="442" t="s">
        <v>151</v>
      </c>
      <c r="AB11" s="443"/>
      <c r="AC11" s="444"/>
      <c r="AD11" s="27">
        <v>5</v>
      </c>
      <c r="AE11" s="29"/>
      <c r="AF11" s="29"/>
      <c r="AG11" s="29"/>
      <c r="AH11" s="28"/>
      <c r="AI11" s="28"/>
      <c r="AJ11" s="28"/>
      <c r="AK11" s="28"/>
      <c r="AL11" s="28"/>
      <c r="AM11" s="28"/>
      <c r="AN11" s="28"/>
      <c r="AO11" s="29"/>
      <c r="AP11" s="29"/>
      <c r="AQ11" s="29"/>
      <c r="AR11" s="29"/>
      <c r="AS11" s="31"/>
      <c r="AT11" s="67"/>
      <c r="AU11" s="67"/>
      <c r="AV11" s="67"/>
      <c r="AW11" s="67"/>
      <c r="AX11" s="67"/>
      <c r="AY11" s="67"/>
      <c r="AZ11" s="67"/>
      <c r="BA11" s="67"/>
      <c r="BB11" s="67"/>
      <c r="BC11" s="67"/>
      <c r="BD11" s="68"/>
    </row>
    <row r="12" spans="1:56" ht="14.4" customHeight="1">
      <c r="A12" s="70">
        <f>IF(B12="","",COUNTA($B$8:B12))</f>
        <v>5</v>
      </c>
      <c r="B12" s="19" t="s">
        <v>195</v>
      </c>
      <c r="C12" s="26"/>
      <c r="D12" s="26"/>
      <c r="E12" s="26"/>
      <c r="F12" s="26"/>
      <c r="G12" s="26"/>
      <c r="H12" s="39" t="s">
        <v>391</v>
      </c>
      <c r="I12" s="31" t="s">
        <v>196</v>
      </c>
      <c r="J12" s="23"/>
      <c r="K12" s="23"/>
      <c r="L12" s="23"/>
      <c r="M12" s="23"/>
      <c r="N12" s="23"/>
      <c r="O12" s="23"/>
      <c r="P12" s="23"/>
      <c r="Q12" s="24"/>
      <c r="R12" s="25" t="s">
        <v>195</v>
      </c>
      <c r="S12" s="23"/>
      <c r="T12" s="23"/>
      <c r="U12" s="23"/>
      <c r="V12" s="23"/>
      <c r="W12" s="23"/>
      <c r="X12" s="24"/>
      <c r="Y12" s="440" t="s">
        <v>150</v>
      </c>
      <c r="Z12" s="441"/>
      <c r="AA12" s="442" t="s">
        <v>151</v>
      </c>
      <c r="AB12" s="443"/>
      <c r="AC12" s="444"/>
      <c r="AD12" s="27">
        <v>30</v>
      </c>
      <c r="AE12" s="29"/>
      <c r="AF12" s="29"/>
      <c r="AG12" s="29"/>
      <c r="AH12" s="28"/>
      <c r="AI12" s="28"/>
      <c r="AJ12" s="28"/>
      <c r="AK12" s="28"/>
      <c r="AL12" s="28"/>
      <c r="AM12" s="28"/>
      <c r="AN12" s="28"/>
      <c r="AO12" s="29"/>
      <c r="AP12" s="29"/>
      <c r="AQ12" s="29"/>
      <c r="AR12" s="29"/>
      <c r="AS12" s="31"/>
      <c r="AT12" s="67"/>
      <c r="AU12" s="67"/>
      <c r="AV12" s="67"/>
      <c r="AW12" s="67"/>
      <c r="AX12" s="67"/>
      <c r="AY12" s="67"/>
      <c r="AZ12" s="67"/>
      <c r="BA12" s="67"/>
      <c r="BB12" s="67"/>
      <c r="BC12" s="67"/>
      <c r="BD12" s="68"/>
    </row>
    <row r="13" spans="1:56" ht="14.4" customHeight="1">
      <c r="A13" s="70">
        <f>IF(B13="","",COUNTA($B$8:B13))</f>
        <v>6</v>
      </c>
      <c r="B13" s="19" t="s">
        <v>197</v>
      </c>
      <c r="C13" s="20"/>
      <c r="D13" s="20"/>
      <c r="E13" s="20"/>
      <c r="F13" s="20"/>
      <c r="G13" s="20"/>
      <c r="H13" s="39" t="s">
        <v>391</v>
      </c>
      <c r="I13" s="31" t="s">
        <v>198</v>
      </c>
      <c r="J13" s="23"/>
      <c r="K13" s="23"/>
      <c r="L13" s="23"/>
      <c r="M13" s="23"/>
      <c r="N13" s="23"/>
      <c r="O13" s="23"/>
      <c r="P13" s="23"/>
      <c r="Q13" s="24"/>
      <c r="R13" s="19" t="s">
        <v>197</v>
      </c>
      <c r="S13" s="23"/>
      <c r="T13" s="23"/>
      <c r="U13" s="23"/>
      <c r="V13" s="23"/>
      <c r="W13" s="23"/>
      <c r="X13" s="24"/>
      <c r="Y13" s="440" t="s">
        <v>150</v>
      </c>
      <c r="Z13" s="441"/>
      <c r="AA13" s="442" t="s">
        <v>151</v>
      </c>
      <c r="AB13" s="443"/>
      <c r="AC13" s="444"/>
      <c r="AD13" s="27">
        <v>5</v>
      </c>
      <c r="AE13" s="29"/>
      <c r="AF13" s="29"/>
      <c r="AG13" s="29"/>
      <c r="AH13" s="28"/>
      <c r="AI13" s="28"/>
      <c r="AJ13" s="28"/>
      <c r="AK13" s="28"/>
      <c r="AL13" s="28"/>
      <c r="AM13" s="28"/>
      <c r="AN13" s="28"/>
      <c r="AO13" s="29"/>
      <c r="AP13" s="29"/>
      <c r="AQ13" s="29"/>
      <c r="AR13" s="29"/>
      <c r="AS13" s="31"/>
      <c r="AT13" s="67"/>
      <c r="AU13" s="67"/>
      <c r="AV13" s="67"/>
      <c r="AW13" s="67"/>
      <c r="AX13" s="67"/>
      <c r="AY13" s="67"/>
      <c r="AZ13" s="67"/>
      <c r="BA13" s="67"/>
      <c r="BB13" s="67"/>
      <c r="BC13" s="67"/>
      <c r="BD13" s="68"/>
    </row>
    <row r="14" spans="1:56" ht="14.4" customHeight="1">
      <c r="A14" s="70">
        <f>IF(B14="","",COUNTA($B$8:B14))</f>
        <v>7</v>
      </c>
      <c r="B14" s="22" t="s">
        <v>199</v>
      </c>
      <c r="C14" s="20"/>
      <c r="D14" s="20"/>
      <c r="E14" s="20"/>
      <c r="F14" s="20"/>
      <c r="G14" s="20"/>
      <c r="H14" s="39" t="s">
        <v>391</v>
      </c>
      <c r="I14" s="31" t="s">
        <v>200</v>
      </c>
      <c r="J14" s="23"/>
      <c r="K14" s="23"/>
      <c r="L14" s="23"/>
      <c r="M14" s="23"/>
      <c r="N14" s="23"/>
      <c r="O14" s="23"/>
      <c r="P14" s="23"/>
      <c r="Q14" s="24"/>
      <c r="R14" s="19" t="s">
        <v>199</v>
      </c>
      <c r="S14" s="23"/>
      <c r="T14" s="23"/>
      <c r="U14" s="23"/>
      <c r="V14" s="23"/>
      <c r="W14" s="23"/>
      <c r="X14" s="24"/>
      <c r="Y14" s="440" t="s">
        <v>150</v>
      </c>
      <c r="Z14" s="441"/>
      <c r="AA14" s="442" t="s">
        <v>151</v>
      </c>
      <c r="AB14" s="443"/>
      <c r="AC14" s="444"/>
      <c r="AD14" s="27">
        <v>20</v>
      </c>
      <c r="AE14" s="29"/>
      <c r="AF14" s="29"/>
      <c r="AG14" s="29"/>
      <c r="AH14" s="28"/>
      <c r="AI14" s="28"/>
      <c r="AJ14" s="28"/>
      <c r="AK14" s="28"/>
      <c r="AL14" s="28"/>
      <c r="AM14" s="28"/>
      <c r="AN14" s="28"/>
      <c r="AO14" s="29"/>
      <c r="AP14" s="29"/>
      <c r="AQ14" s="29"/>
      <c r="AR14" s="29"/>
      <c r="AS14" s="31"/>
      <c r="AT14" s="67"/>
      <c r="AU14" s="67"/>
      <c r="AV14" s="67"/>
      <c r="AW14" s="67"/>
      <c r="AX14" s="67"/>
      <c r="AY14" s="67"/>
      <c r="AZ14" s="67"/>
      <c r="BA14" s="67"/>
      <c r="BB14" s="67"/>
      <c r="BC14" s="67"/>
      <c r="BD14" s="68"/>
    </row>
    <row r="15" spans="1:56" ht="14.4" customHeight="1">
      <c r="A15" s="70">
        <f>IF(B15="","",COUNTA($B$8:B15))</f>
        <v>8</v>
      </c>
      <c r="B15" s="19" t="s">
        <v>201</v>
      </c>
      <c r="C15" s="20"/>
      <c r="D15" s="20"/>
      <c r="E15" s="20"/>
      <c r="F15" s="20"/>
      <c r="G15" s="20"/>
      <c r="H15" s="39" t="s">
        <v>391</v>
      </c>
      <c r="I15" s="31" t="s">
        <v>202</v>
      </c>
      <c r="J15" s="23"/>
      <c r="K15" s="23"/>
      <c r="L15" s="23"/>
      <c r="M15" s="23"/>
      <c r="N15" s="23"/>
      <c r="O15" s="23"/>
      <c r="P15" s="23"/>
      <c r="Q15" s="24"/>
      <c r="R15" s="19" t="s">
        <v>201</v>
      </c>
      <c r="S15" s="23"/>
      <c r="T15" s="23"/>
      <c r="U15" s="23"/>
      <c r="V15" s="23"/>
      <c r="W15" s="23"/>
      <c r="X15" s="24"/>
      <c r="Y15" s="440" t="s">
        <v>150</v>
      </c>
      <c r="Z15" s="441"/>
      <c r="AA15" s="442" t="s">
        <v>151</v>
      </c>
      <c r="AB15" s="443"/>
      <c r="AC15" s="444"/>
      <c r="AD15" s="27">
        <v>30</v>
      </c>
      <c r="AE15" s="29"/>
      <c r="AF15" s="29"/>
      <c r="AG15" s="29"/>
      <c r="AH15" s="28"/>
      <c r="AI15" s="28"/>
      <c r="AJ15" s="28"/>
      <c r="AK15" s="28"/>
      <c r="AL15" s="28"/>
      <c r="AM15" s="28"/>
      <c r="AN15" s="28"/>
      <c r="AO15" s="29"/>
      <c r="AP15" s="29"/>
      <c r="AQ15" s="29"/>
      <c r="AR15" s="29"/>
      <c r="AS15" s="31"/>
      <c r="AT15" s="67"/>
      <c r="AU15" s="67"/>
      <c r="AV15" s="67"/>
      <c r="AW15" s="67"/>
      <c r="AX15" s="67"/>
      <c r="AY15" s="67"/>
      <c r="AZ15" s="67"/>
      <c r="BA15" s="67"/>
      <c r="BB15" s="67"/>
      <c r="BC15" s="67"/>
      <c r="BD15" s="68"/>
    </row>
    <row r="16" spans="1:56" ht="14.4" customHeight="1">
      <c r="A16" s="70">
        <f>IF(B16="","",COUNTA($B$8:B16))</f>
        <v>9</v>
      </c>
      <c r="B16" s="19" t="s">
        <v>203</v>
      </c>
      <c r="C16" s="20"/>
      <c r="D16" s="20"/>
      <c r="E16" s="20"/>
      <c r="F16" s="20"/>
      <c r="G16" s="20"/>
      <c r="H16" s="39" t="s">
        <v>391</v>
      </c>
      <c r="I16" s="31" t="s">
        <v>204</v>
      </c>
      <c r="J16" s="23"/>
      <c r="K16" s="23"/>
      <c r="L16" s="23"/>
      <c r="M16" s="23"/>
      <c r="N16" s="23"/>
      <c r="O16" s="38"/>
      <c r="P16" s="23"/>
      <c r="Q16" s="24"/>
      <c r="R16" s="19" t="s">
        <v>203</v>
      </c>
      <c r="S16" s="23"/>
      <c r="T16" s="23"/>
      <c r="U16" s="23"/>
      <c r="V16" s="23"/>
      <c r="W16" s="23"/>
      <c r="X16" s="24"/>
      <c r="Y16" s="440" t="s">
        <v>155</v>
      </c>
      <c r="Z16" s="441"/>
      <c r="AA16" s="442" t="s">
        <v>156</v>
      </c>
      <c r="AB16" s="443"/>
      <c r="AC16" s="444"/>
      <c r="AD16" s="27">
        <v>5</v>
      </c>
      <c r="AE16" s="29">
        <v>2</v>
      </c>
      <c r="AF16" s="29"/>
      <c r="AG16" s="29"/>
      <c r="AH16" s="28"/>
      <c r="AI16" s="28"/>
      <c r="AJ16" s="28"/>
      <c r="AK16" s="28"/>
      <c r="AL16" s="28"/>
      <c r="AM16" s="28"/>
      <c r="AN16" s="28"/>
      <c r="AO16" s="29"/>
      <c r="AP16" s="29"/>
      <c r="AQ16" s="29"/>
      <c r="AR16" s="29"/>
      <c r="AS16" s="31"/>
      <c r="AT16" s="67"/>
      <c r="AU16" s="67"/>
      <c r="AV16" s="67"/>
      <c r="AW16" s="67"/>
      <c r="AX16" s="67"/>
      <c r="AY16" s="67"/>
      <c r="AZ16" s="67"/>
      <c r="BA16" s="67"/>
      <c r="BB16" s="67"/>
      <c r="BC16" s="67"/>
      <c r="BD16" s="68"/>
    </row>
    <row r="17" spans="1:57" ht="14.4" customHeight="1">
      <c r="A17" s="70">
        <f>IF(B17="","",COUNTA($B$8:B17))</f>
        <v>10</v>
      </c>
      <c r="B17" s="25" t="s">
        <v>205</v>
      </c>
      <c r="C17" s="26"/>
      <c r="D17" s="26"/>
      <c r="E17" s="26"/>
      <c r="F17" s="26"/>
      <c r="G17" s="26"/>
      <c r="H17" s="39" t="s">
        <v>391</v>
      </c>
      <c r="I17" s="31" t="s">
        <v>206</v>
      </c>
      <c r="J17" s="23"/>
      <c r="K17" s="23"/>
      <c r="L17" s="23"/>
      <c r="M17" s="23"/>
      <c r="N17" s="23"/>
      <c r="O17" s="26"/>
      <c r="P17" s="23"/>
      <c r="Q17" s="24"/>
      <c r="R17" s="25" t="s">
        <v>205</v>
      </c>
      <c r="S17" s="23"/>
      <c r="T17" s="23"/>
      <c r="U17" s="23"/>
      <c r="V17" s="23"/>
      <c r="W17" s="23"/>
      <c r="X17" s="24"/>
      <c r="Y17" s="440" t="s">
        <v>155</v>
      </c>
      <c r="Z17" s="441"/>
      <c r="AA17" s="442" t="s">
        <v>156</v>
      </c>
      <c r="AB17" s="443"/>
      <c r="AC17" s="444"/>
      <c r="AD17" s="27">
        <v>4</v>
      </c>
      <c r="AE17" s="29"/>
      <c r="AF17" s="29"/>
      <c r="AG17" s="29"/>
      <c r="AH17" s="28"/>
      <c r="AI17" s="28"/>
      <c r="AJ17" s="28"/>
      <c r="AK17" s="28"/>
      <c r="AL17" s="28"/>
      <c r="AM17" s="28"/>
      <c r="AN17" s="28"/>
      <c r="AO17" s="29"/>
      <c r="AP17" s="29"/>
      <c r="AQ17" s="29"/>
      <c r="AR17" s="29"/>
      <c r="AS17" s="31"/>
      <c r="AT17" s="67"/>
      <c r="AU17" s="67"/>
      <c r="AV17" s="67"/>
      <c r="AW17" s="67"/>
      <c r="AX17" s="67"/>
      <c r="AY17" s="67"/>
      <c r="AZ17" s="67"/>
      <c r="BA17" s="67"/>
      <c r="BB17" s="67"/>
      <c r="BC17" s="67"/>
      <c r="BD17" s="68"/>
    </row>
    <row r="18" spans="1:57" ht="14.4" customHeight="1">
      <c r="A18" s="70">
        <f>IF(B18="","",COUNTA($B$8:B18))</f>
        <v>11</v>
      </c>
      <c r="B18" s="25" t="s">
        <v>208</v>
      </c>
      <c r="C18" s="26"/>
      <c r="D18" s="26"/>
      <c r="E18" s="26"/>
      <c r="F18" s="26"/>
      <c r="G18" s="26"/>
      <c r="H18" s="39" t="s">
        <v>391</v>
      </c>
      <c r="I18" s="31" t="s">
        <v>209</v>
      </c>
      <c r="J18" s="23"/>
      <c r="K18" s="23"/>
      <c r="L18" s="23"/>
      <c r="M18" s="23"/>
      <c r="N18" s="23"/>
      <c r="O18" s="26"/>
      <c r="P18" s="23"/>
      <c r="Q18" s="24"/>
      <c r="R18" s="25" t="s">
        <v>208</v>
      </c>
      <c r="S18" s="23"/>
      <c r="T18" s="23"/>
      <c r="U18" s="23"/>
      <c r="V18" s="23"/>
      <c r="W18" s="23"/>
      <c r="X18" s="24"/>
      <c r="Y18" s="440" t="s">
        <v>155</v>
      </c>
      <c r="Z18" s="441"/>
      <c r="AA18" s="442" t="s">
        <v>156</v>
      </c>
      <c r="AB18" s="443"/>
      <c r="AC18" s="444"/>
      <c r="AD18" s="27">
        <v>5</v>
      </c>
      <c r="AE18" s="29"/>
      <c r="AF18" s="29"/>
      <c r="AG18" s="29"/>
      <c r="AH18" s="28"/>
      <c r="AI18" s="28"/>
      <c r="AJ18" s="28"/>
      <c r="AK18" s="28"/>
      <c r="AL18" s="28"/>
      <c r="AM18" s="28"/>
      <c r="AN18" s="28"/>
      <c r="AO18" s="29"/>
      <c r="AP18" s="29"/>
      <c r="AQ18" s="29"/>
      <c r="AR18" s="29"/>
      <c r="AS18" s="31"/>
      <c r="AT18" s="67"/>
      <c r="AU18" s="67"/>
      <c r="AV18" s="67"/>
      <c r="AW18" s="67"/>
      <c r="AX18" s="67"/>
      <c r="AY18" s="67"/>
      <c r="AZ18" s="67"/>
      <c r="BA18" s="67"/>
      <c r="BB18" s="67"/>
      <c r="BC18" s="67"/>
      <c r="BD18" s="68"/>
    </row>
    <row r="19" spans="1:57" ht="14.4" customHeight="1">
      <c r="A19" s="70">
        <f>IF(B19="","",COUNTA($B$8:B19))</f>
        <v>12</v>
      </c>
      <c r="B19" s="19" t="s">
        <v>228</v>
      </c>
      <c r="C19" s="20"/>
      <c r="D19" s="20"/>
      <c r="E19" s="20"/>
      <c r="F19" s="20"/>
      <c r="G19" s="20"/>
      <c r="H19" s="24"/>
      <c r="I19" s="31" t="s">
        <v>229</v>
      </c>
      <c r="J19" s="23"/>
      <c r="K19" s="23"/>
      <c r="L19" s="23"/>
      <c r="M19" s="23"/>
      <c r="N19" s="23"/>
      <c r="O19" s="38"/>
      <c r="P19" s="23"/>
      <c r="Q19" s="24"/>
      <c r="R19" s="19" t="s">
        <v>228</v>
      </c>
      <c r="S19" s="23"/>
      <c r="T19" s="23"/>
      <c r="U19" s="23"/>
      <c r="V19" s="23"/>
      <c r="W19" s="23"/>
      <c r="X19" s="24"/>
      <c r="Y19" s="19" t="s">
        <v>150</v>
      </c>
      <c r="Z19" s="183"/>
      <c r="AA19" s="25" t="s">
        <v>151</v>
      </c>
      <c r="AB19" s="26"/>
      <c r="AC19" s="39"/>
      <c r="AD19" s="27">
        <v>1000</v>
      </c>
      <c r="AE19" s="29"/>
      <c r="AF19" s="29"/>
      <c r="AG19" s="29"/>
      <c r="AH19" s="28"/>
      <c r="AI19" s="28"/>
      <c r="AJ19" s="28"/>
      <c r="AK19" s="28"/>
      <c r="AL19" s="28"/>
      <c r="AM19" s="28"/>
      <c r="AN19" s="28"/>
      <c r="AO19" s="29"/>
      <c r="AP19" s="29"/>
      <c r="AQ19" s="29"/>
      <c r="AR19" s="29"/>
      <c r="AS19" s="31"/>
      <c r="AT19" s="67"/>
      <c r="AU19" s="67"/>
      <c r="AV19" s="67"/>
      <c r="AW19" s="67"/>
      <c r="AX19" s="67"/>
      <c r="AY19" s="67"/>
      <c r="AZ19" s="67"/>
      <c r="BA19" s="67"/>
      <c r="BB19" s="67"/>
      <c r="BC19" s="67"/>
      <c r="BD19" s="68"/>
    </row>
    <row r="20" spans="1:57" ht="14.4" customHeight="1">
      <c r="A20" s="70">
        <f>IF(B20="","",COUNTA($B$8:B20))</f>
        <v>13</v>
      </c>
      <c r="B20" s="19" t="s">
        <v>1421</v>
      </c>
      <c r="C20" s="20"/>
      <c r="D20" s="20"/>
      <c r="E20" s="20"/>
      <c r="F20" s="20"/>
      <c r="G20" s="20"/>
      <c r="H20" s="24"/>
      <c r="I20" s="31" t="s">
        <v>1422</v>
      </c>
      <c r="J20" s="23"/>
      <c r="K20" s="23"/>
      <c r="L20" s="23"/>
      <c r="M20" s="23"/>
      <c r="N20" s="23"/>
      <c r="O20" s="38"/>
      <c r="P20" s="23"/>
      <c r="Q20" s="24"/>
      <c r="R20" s="19" t="s">
        <v>1421</v>
      </c>
      <c r="S20" s="23"/>
      <c r="T20" s="23"/>
      <c r="U20" s="23"/>
      <c r="V20" s="23"/>
      <c r="W20" s="23"/>
      <c r="X20" s="24"/>
      <c r="Y20" s="440" t="s">
        <v>150</v>
      </c>
      <c r="Z20" s="441"/>
      <c r="AA20" s="442" t="s">
        <v>151</v>
      </c>
      <c r="AB20" s="443"/>
      <c r="AC20" s="444"/>
      <c r="AD20" s="27">
        <v>15</v>
      </c>
      <c r="AE20" s="29"/>
      <c r="AF20" s="29"/>
      <c r="AG20" s="29"/>
      <c r="AH20" s="28"/>
      <c r="AI20" s="28"/>
      <c r="AJ20" s="28"/>
      <c r="AK20" s="28"/>
      <c r="AL20" s="28"/>
      <c r="AM20" s="28"/>
      <c r="AN20" s="28"/>
      <c r="AO20" s="29"/>
      <c r="AP20" s="29"/>
      <c r="AQ20" s="29"/>
      <c r="AR20" s="29"/>
      <c r="AS20" s="31"/>
      <c r="AT20" s="67"/>
      <c r="AU20" s="67"/>
      <c r="AV20" s="67"/>
      <c r="AW20" s="67"/>
      <c r="AX20" s="67"/>
      <c r="AY20" s="67"/>
      <c r="AZ20" s="67"/>
      <c r="BA20" s="67"/>
      <c r="BB20" s="67"/>
      <c r="BC20" s="67"/>
      <c r="BD20" s="68"/>
    </row>
    <row r="21" spans="1:57" ht="14.4" customHeight="1">
      <c r="A21" s="50">
        <f>IF(B21="","",COUNTA($B$8:B21))</f>
        <v>14</v>
      </c>
      <c r="B21" s="25" t="s">
        <v>1436</v>
      </c>
      <c r="C21" s="26"/>
      <c r="D21" s="26"/>
      <c r="E21" s="26"/>
      <c r="F21" s="26"/>
      <c r="G21" s="26"/>
      <c r="H21" s="24"/>
      <c r="I21" s="31" t="s">
        <v>1441</v>
      </c>
      <c r="J21" s="23"/>
      <c r="K21" s="23"/>
      <c r="L21" s="23"/>
      <c r="M21" s="23"/>
      <c r="N21" s="23"/>
      <c r="O21" s="23"/>
      <c r="P21" s="23"/>
      <c r="Q21" s="37"/>
      <c r="R21" s="25" t="s">
        <v>1436</v>
      </c>
      <c r="S21" s="23"/>
      <c r="T21" s="23"/>
      <c r="U21" s="23"/>
      <c r="V21" s="23"/>
      <c r="W21" s="23"/>
      <c r="X21" s="24"/>
      <c r="Y21" s="440" t="s">
        <v>155</v>
      </c>
      <c r="Z21" s="441"/>
      <c r="AA21" s="442" t="s">
        <v>156</v>
      </c>
      <c r="AB21" s="443"/>
      <c r="AC21" s="444"/>
      <c r="AD21" s="27">
        <v>3</v>
      </c>
      <c r="AE21" s="28" t="s">
        <v>244</v>
      </c>
      <c r="AF21" s="28"/>
      <c r="AG21" s="28"/>
      <c r="AH21" s="28"/>
      <c r="AI21" s="28"/>
      <c r="AJ21" s="28"/>
      <c r="AK21" s="28"/>
      <c r="AL21" s="28"/>
      <c r="AM21" s="28"/>
      <c r="AN21" s="28"/>
      <c r="AO21" s="29"/>
      <c r="AP21" s="29"/>
      <c r="AQ21" s="29"/>
      <c r="AR21" s="29"/>
      <c r="AS21" s="31" t="s">
        <v>413</v>
      </c>
      <c r="AT21" s="32"/>
      <c r="AU21" s="32"/>
      <c r="AV21" s="32"/>
      <c r="AW21" s="32"/>
      <c r="AX21" s="32"/>
      <c r="AY21" s="32"/>
      <c r="AZ21" s="32"/>
      <c r="BA21" s="32"/>
      <c r="BB21" s="32"/>
      <c r="BC21" s="32"/>
      <c r="BD21" s="33"/>
      <c r="BE21" s="18" t="s">
        <v>1446</v>
      </c>
    </row>
    <row r="22" spans="1:57" ht="14.4" customHeight="1">
      <c r="A22" s="50">
        <f>IF(B22="","",COUNTA($B$8:B22))</f>
        <v>15</v>
      </c>
      <c r="B22" s="19" t="s">
        <v>1437</v>
      </c>
      <c r="C22" s="20"/>
      <c r="D22" s="20"/>
      <c r="E22" s="20"/>
      <c r="F22" s="20"/>
      <c r="G22" s="20"/>
      <c r="H22" s="24"/>
      <c r="I22" s="198" t="s">
        <v>1442</v>
      </c>
      <c r="J22" s="23"/>
      <c r="K22" s="23"/>
      <c r="L22" s="23"/>
      <c r="M22" s="23"/>
      <c r="N22" s="23"/>
      <c r="O22" s="23"/>
      <c r="P22" s="23"/>
      <c r="Q22" s="37"/>
      <c r="R22" s="19" t="s">
        <v>1437</v>
      </c>
      <c r="S22" s="23"/>
      <c r="T22" s="23"/>
      <c r="U22" s="23"/>
      <c r="V22" s="23"/>
      <c r="W22" s="23"/>
      <c r="X22" s="24"/>
      <c r="Y22" s="440" t="s">
        <v>155</v>
      </c>
      <c r="Z22" s="441"/>
      <c r="AA22" s="442" t="s">
        <v>156</v>
      </c>
      <c r="AB22" s="443"/>
      <c r="AC22" s="444"/>
      <c r="AD22" s="27">
        <v>5</v>
      </c>
      <c r="AE22" s="28" t="s">
        <v>244</v>
      </c>
      <c r="AF22" s="28"/>
      <c r="AG22" s="28"/>
      <c r="AH22" s="28"/>
      <c r="AI22" s="28"/>
      <c r="AJ22" s="28"/>
      <c r="AK22" s="28"/>
      <c r="AL22" s="28"/>
      <c r="AM22" s="28"/>
      <c r="AN22" s="28"/>
      <c r="AO22" s="29"/>
      <c r="AP22" s="29"/>
      <c r="AQ22" s="29"/>
      <c r="AR22" s="29"/>
      <c r="AS22" s="31"/>
      <c r="AT22" s="67"/>
      <c r="AU22" s="67"/>
      <c r="AV22" s="67"/>
      <c r="AW22" s="67"/>
      <c r="AX22" s="67"/>
      <c r="AY22" s="67"/>
      <c r="AZ22" s="67"/>
      <c r="BA22" s="67"/>
      <c r="BB22" s="67"/>
      <c r="BC22" s="67"/>
      <c r="BD22" s="68"/>
      <c r="BE22" s="18" t="s">
        <v>1446</v>
      </c>
    </row>
    <row r="23" spans="1:57" ht="14.4" customHeight="1">
      <c r="A23" s="50">
        <f>IF(B23="","",COUNTA($B$8:B23))</f>
        <v>16</v>
      </c>
      <c r="B23" s="19" t="s">
        <v>1438</v>
      </c>
      <c r="C23" s="20"/>
      <c r="D23" s="20"/>
      <c r="E23" s="20"/>
      <c r="F23" s="20"/>
      <c r="G23" s="20"/>
      <c r="H23" s="24"/>
      <c r="I23" s="198" t="s">
        <v>1443</v>
      </c>
      <c r="J23" s="23"/>
      <c r="K23" s="23"/>
      <c r="L23" s="23"/>
      <c r="M23" s="23"/>
      <c r="N23" s="23"/>
      <c r="O23" s="23"/>
      <c r="P23" s="23"/>
      <c r="Q23" s="37"/>
      <c r="R23" s="19" t="s">
        <v>1438</v>
      </c>
      <c r="S23" s="23"/>
      <c r="T23" s="23"/>
      <c r="U23" s="23"/>
      <c r="V23" s="23"/>
      <c r="W23" s="23"/>
      <c r="X23" s="24"/>
      <c r="Y23" s="440" t="s">
        <v>155</v>
      </c>
      <c r="Z23" s="441"/>
      <c r="AA23" s="442" t="s">
        <v>156</v>
      </c>
      <c r="AB23" s="443"/>
      <c r="AC23" s="444"/>
      <c r="AD23" s="27">
        <v>5</v>
      </c>
      <c r="AE23" s="28" t="s">
        <v>244</v>
      </c>
      <c r="AF23" s="28"/>
      <c r="AG23" s="28"/>
      <c r="AH23" s="28"/>
      <c r="AI23" s="28"/>
      <c r="AJ23" s="28"/>
      <c r="AK23" s="28"/>
      <c r="AL23" s="28"/>
      <c r="AM23" s="28"/>
      <c r="AN23" s="28"/>
      <c r="AO23" s="29"/>
      <c r="AP23" s="29"/>
      <c r="AQ23" s="29"/>
      <c r="AR23" s="29"/>
      <c r="AS23" s="31"/>
      <c r="AT23" s="67"/>
      <c r="AU23" s="67"/>
      <c r="AV23" s="67"/>
      <c r="AW23" s="67"/>
      <c r="AX23" s="67"/>
      <c r="AY23" s="67"/>
      <c r="AZ23" s="67"/>
      <c r="BA23" s="67"/>
      <c r="BB23" s="67"/>
      <c r="BC23" s="67"/>
      <c r="BD23" s="68"/>
      <c r="BE23" s="18" t="s">
        <v>1446</v>
      </c>
    </row>
    <row r="24" spans="1:57" ht="14.4" customHeight="1">
      <c r="A24" s="50">
        <f>IF(B24="","",COUNTA($B$8:B24))</f>
        <v>17</v>
      </c>
      <c r="B24" s="19" t="s">
        <v>1439</v>
      </c>
      <c r="C24" s="20"/>
      <c r="D24" s="20"/>
      <c r="E24" s="20"/>
      <c r="F24" s="20"/>
      <c r="G24" s="20"/>
      <c r="H24" s="24"/>
      <c r="I24" s="198" t="s">
        <v>1444</v>
      </c>
      <c r="J24" s="23"/>
      <c r="K24" s="23"/>
      <c r="L24" s="23"/>
      <c r="M24" s="23"/>
      <c r="N24" s="23"/>
      <c r="O24" s="23"/>
      <c r="P24" s="23"/>
      <c r="Q24" s="37"/>
      <c r="R24" s="19" t="s">
        <v>1439</v>
      </c>
      <c r="S24" s="23"/>
      <c r="T24" s="23"/>
      <c r="U24" s="23"/>
      <c r="V24" s="23"/>
      <c r="W24" s="23"/>
      <c r="X24" s="24"/>
      <c r="Y24" s="440" t="s">
        <v>155</v>
      </c>
      <c r="Z24" s="441"/>
      <c r="AA24" s="442" t="s">
        <v>156</v>
      </c>
      <c r="AB24" s="443"/>
      <c r="AC24" s="444"/>
      <c r="AD24" s="27">
        <v>5</v>
      </c>
      <c r="AE24" s="28" t="s">
        <v>244</v>
      </c>
      <c r="AF24" s="28"/>
      <c r="AG24" s="28"/>
      <c r="AH24" s="28"/>
      <c r="AI24" s="28"/>
      <c r="AJ24" s="28"/>
      <c r="AK24" s="28"/>
      <c r="AL24" s="28"/>
      <c r="AM24" s="28"/>
      <c r="AN24" s="28"/>
      <c r="AO24" s="29"/>
      <c r="AP24" s="29"/>
      <c r="AQ24" s="29"/>
      <c r="AR24" s="29"/>
      <c r="AS24" s="31"/>
      <c r="AT24" s="67"/>
      <c r="AU24" s="67"/>
      <c r="AV24" s="67"/>
      <c r="AW24" s="67"/>
      <c r="AX24" s="67"/>
      <c r="AY24" s="67"/>
      <c r="AZ24" s="67"/>
      <c r="BA24" s="67"/>
      <c r="BB24" s="67"/>
      <c r="BC24" s="67"/>
      <c r="BD24" s="68"/>
      <c r="BE24" s="18" t="s">
        <v>1446</v>
      </c>
    </row>
    <row r="25" spans="1:57" ht="14.4" customHeight="1">
      <c r="A25" s="50">
        <f>IF(B25="","",COUNTA($B$8:B25))</f>
        <v>18</v>
      </c>
      <c r="B25" s="25" t="s">
        <v>1440</v>
      </c>
      <c r="C25" s="26"/>
      <c r="D25" s="26"/>
      <c r="E25" s="26"/>
      <c r="F25" s="26"/>
      <c r="G25" s="26"/>
      <c r="H25" s="24"/>
      <c r="I25" s="198" t="s">
        <v>1445</v>
      </c>
      <c r="J25" s="23"/>
      <c r="K25" s="23"/>
      <c r="L25" s="23"/>
      <c r="M25" s="23"/>
      <c r="N25" s="23"/>
      <c r="O25" s="23"/>
      <c r="P25" s="23"/>
      <c r="Q25" s="37"/>
      <c r="R25" s="25" t="s">
        <v>1440</v>
      </c>
      <c r="S25" s="23"/>
      <c r="T25" s="23"/>
      <c r="U25" s="23"/>
      <c r="V25" s="23"/>
      <c r="W25" s="23"/>
      <c r="X25" s="24"/>
      <c r="Y25" s="440" t="s">
        <v>155</v>
      </c>
      <c r="Z25" s="441"/>
      <c r="AA25" s="442" t="s">
        <v>156</v>
      </c>
      <c r="AB25" s="443"/>
      <c r="AC25" s="444"/>
      <c r="AD25" s="27">
        <v>3</v>
      </c>
      <c r="AE25" s="28" t="s">
        <v>244</v>
      </c>
      <c r="AF25" s="28"/>
      <c r="AG25" s="28"/>
      <c r="AH25" s="28"/>
      <c r="AI25" s="28"/>
      <c r="AJ25" s="28"/>
      <c r="AK25" s="28"/>
      <c r="AL25" s="28"/>
      <c r="AM25" s="28"/>
      <c r="AN25" s="28"/>
      <c r="AO25" s="29"/>
      <c r="AP25" s="29"/>
      <c r="AQ25" s="29"/>
      <c r="AR25" s="29"/>
      <c r="AS25" s="31" t="s">
        <v>413</v>
      </c>
      <c r="AT25" s="32"/>
      <c r="AU25" s="32"/>
      <c r="AV25" s="32"/>
      <c r="AW25" s="32"/>
      <c r="AX25" s="32"/>
      <c r="AY25" s="32"/>
      <c r="AZ25" s="32"/>
      <c r="BA25" s="32"/>
      <c r="BB25" s="32"/>
      <c r="BC25" s="32"/>
      <c r="BD25" s="33"/>
      <c r="BE25" s="18" t="s">
        <v>1446</v>
      </c>
    </row>
    <row r="26" spans="1:57" ht="14.4" customHeight="1">
      <c r="A26" s="70">
        <f>IF(B26="","",COUNTA($B$8:B26))</f>
        <v>19</v>
      </c>
      <c r="B26" s="19" t="s">
        <v>392</v>
      </c>
      <c r="C26" s="20"/>
      <c r="D26" s="20"/>
      <c r="E26" s="20"/>
      <c r="F26" s="20"/>
      <c r="G26" s="20"/>
      <c r="H26" s="24"/>
      <c r="I26" s="31" t="s">
        <v>393</v>
      </c>
      <c r="J26" s="23"/>
      <c r="K26" s="23"/>
      <c r="L26" s="23"/>
      <c r="M26" s="23"/>
      <c r="N26" s="23"/>
      <c r="O26" s="38"/>
      <c r="P26" s="23"/>
      <c r="Q26" s="24"/>
      <c r="R26" s="22" t="s">
        <v>392</v>
      </c>
      <c r="S26" s="23"/>
      <c r="T26" s="23"/>
      <c r="U26" s="23"/>
      <c r="V26" s="23"/>
      <c r="W26" s="23"/>
      <c r="X26" s="24"/>
      <c r="Y26" s="440" t="s">
        <v>169</v>
      </c>
      <c r="Z26" s="441"/>
      <c r="AA26" s="442" t="s">
        <v>170</v>
      </c>
      <c r="AB26" s="443"/>
      <c r="AC26" s="444"/>
      <c r="AD26" s="51"/>
      <c r="AE26" s="29"/>
      <c r="AF26" s="29"/>
      <c r="AG26" s="29"/>
      <c r="AH26" s="28"/>
      <c r="AI26" s="28"/>
      <c r="AJ26" s="28"/>
      <c r="AK26" s="28"/>
      <c r="AL26" s="28"/>
      <c r="AM26" s="28"/>
      <c r="AN26" s="28"/>
      <c r="AO26" s="29"/>
      <c r="AP26" s="29"/>
      <c r="AQ26" s="29"/>
      <c r="AR26" s="29"/>
      <c r="AS26" s="31" t="s">
        <v>394</v>
      </c>
      <c r="AT26" s="67"/>
      <c r="AU26" s="67"/>
      <c r="AV26" s="67"/>
      <c r="AW26" s="67"/>
      <c r="AX26" s="67"/>
      <c r="AY26" s="67"/>
      <c r="AZ26" s="67"/>
      <c r="BA26" s="67"/>
      <c r="BB26" s="67"/>
      <c r="BC26" s="67"/>
      <c r="BD26" s="68"/>
    </row>
    <row r="27" spans="1:57" ht="14.4" customHeight="1">
      <c r="A27" s="70">
        <f>IF(B27="","",COUNTA($B$8:B27))</f>
        <v>20</v>
      </c>
      <c r="B27" s="19" t="s">
        <v>249</v>
      </c>
      <c r="C27" s="20"/>
      <c r="D27" s="20"/>
      <c r="E27" s="20"/>
      <c r="F27" s="20"/>
      <c r="G27" s="20"/>
      <c r="H27" s="24"/>
      <c r="I27" s="31" t="s">
        <v>250</v>
      </c>
      <c r="J27" s="23"/>
      <c r="K27" s="23"/>
      <c r="L27" s="23"/>
      <c r="M27" s="23"/>
      <c r="N27" s="23"/>
      <c r="O27" s="23"/>
      <c r="P27" s="23"/>
      <c r="Q27" s="37"/>
      <c r="R27" s="19" t="s">
        <v>249</v>
      </c>
      <c r="S27" s="23"/>
      <c r="T27" s="23"/>
      <c r="U27" s="23"/>
      <c r="V27" s="23"/>
      <c r="W27" s="23"/>
      <c r="X27" s="24"/>
      <c r="Y27" s="440" t="s">
        <v>150</v>
      </c>
      <c r="Z27" s="441"/>
      <c r="AA27" s="442" t="s">
        <v>151</v>
      </c>
      <c r="AB27" s="443"/>
      <c r="AC27" s="444"/>
      <c r="AD27" s="27">
        <v>4</v>
      </c>
      <c r="AE27" s="29"/>
      <c r="AF27" s="29"/>
      <c r="AG27" s="29"/>
      <c r="AH27" s="28"/>
      <c r="AI27" s="28"/>
      <c r="AJ27" s="28"/>
      <c r="AK27" s="28"/>
      <c r="AL27" s="28"/>
      <c r="AM27" s="28"/>
      <c r="AN27" s="28"/>
      <c r="AO27" s="29"/>
      <c r="AP27" s="29"/>
      <c r="AQ27" s="29"/>
      <c r="AR27" s="29"/>
      <c r="AS27" s="31"/>
      <c r="AT27" s="67"/>
      <c r="AU27" s="67"/>
      <c r="AV27" s="67"/>
      <c r="AW27" s="67"/>
      <c r="AX27" s="67"/>
      <c r="AY27" s="67"/>
      <c r="AZ27" s="67"/>
      <c r="BA27" s="67"/>
      <c r="BB27" s="67"/>
      <c r="BC27" s="67"/>
      <c r="BD27" s="68"/>
    </row>
    <row r="28" spans="1:57" ht="14.4" customHeight="1">
      <c r="A28" s="70">
        <f>IF(B28="","",COUNTA($B$8:B28))</f>
        <v>21</v>
      </c>
      <c r="B28" s="19" t="s">
        <v>251</v>
      </c>
      <c r="C28" s="20"/>
      <c r="D28" s="20"/>
      <c r="E28" s="20"/>
      <c r="F28" s="20"/>
      <c r="G28" s="20"/>
      <c r="H28" s="24"/>
      <c r="I28" s="31" t="s">
        <v>252</v>
      </c>
      <c r="J28" s="23"/>
      <c r="K28" s="23"/>
      <c r="L28" s="23"/>
      <c r="M28" s="23"/>
      <c r="N28" s="23"/>
      <c r="O28" s="23"/>
      <c r="P28" s="23"/>
      <c r="Q28" s="37"/>
      <c r="R28" s="19" t="s">
        <v>251</v>
      </c>
      <c r="S28" s="23"/>
      <c r="T28" s="23"/>
      <c r="U28" s="23"/>
      <c r="V28" s="23"/>
      <c r="W28" s="23"/>
      <c r="X28" s="24"/>
      <c r="Y28" s="440" t="s">
        <v>150</v>
      </c>
      <c r="Z28" s="441"/>
      <c r="AA28" s="442" t="s">
        <v>151</v>
      </c>
      <c r="AB28" s="443"/>
      <c r="AC28" s="444"/>
      <c r="AD28" s="27">
        <v>4</v>
      </c>
      <c r="AE28" s="29"/>
      <c r="AF28" s="29"/>
      <c r="AG28" s="29"/>
      <c r="AH28" s="28"/>
      <c r="AI28" s="28"/>
      <c r="AJ28" s="28"/>
      <c r="AK28" s="28"/>
      <c r="AL28" s="28"/>
      <c r="AM28" s="28"/>
      <c r="AN28" s="28"/>
      <c r="AO28" s="29"/>
      <c r="AP28" s="29"/>
      <c r="AQ28" s="29"/>
      <c r="AR28" s="29"/>
      <c r="AS28" s="31"/>
      <c r="AT28" s="67"/>
      <c r="AU28" s="67"/>
      <c r="AV28" s="67"/>
      <c r="AW28" s="67"/>
      <c r="AX28" s="67"/>
      <c r="AY28" s="67"/>
      <c r="AZ28" s="67"/>
      <c r="BA28" s="67"/>
      <c r="BB28" s="67"/>
      <c r="BC28" s="67"/>
      <c r="BD28" s="68"/>
    </row>
    <row r="29" spans="1:57" ht="14.4" customHeight="1">
      <c r="A29" s="70">
        <f>IF(B29="","",COUNTA($B$8:B29))</f>
        <v>22</v>
      </c>
      <c r="B29" s="19" t="s">
        <v>253</v>
      </c>
      <c r="C29" s="20"/>
      <c r="D29" s="20"/>
      <c r="E29" s="20"/>
      <c r="F29" s="20"/>
      <c r="G29" s="20"/>
      <c r="H29" s="24"/>
      <c r="I29" s="31" t="s">
        <v>254</v>
      </c>
      <c r="J29" s="23"/>
      <c r="K29" s="23"/>
      <c r="L29" s="23"/>
      <c r="M29" s="23"/>
      <c r="N29" s="23"/>
      <c r="O29" s="23"/>
      <c r="P29" s="23"/>
      <c r="Q29" s="37"/>
      <c r="R29" s="19" t="s">
        <v>253</v>
      </c>
      <c r="S29" s="23"/>
      <c r="T29" s="23"/>
      <c r="U29" s="23"/>
      <c r="V29" s="23"/>
      <c r="W29" s="23"/>
      <c r="X29" s="24"/>
      <c r="Y29" s="440" t="s">
        <v>150</v>
      </c>
      <c r="Z29" s="441"/>
      <c r="AA29" s="442" t="s">
        <v>151</v>
      </c>
      <c r="AB29" s="443"/>
      <c r="AC29" s="444"/>
      <c r="AD29" s="27">
        <v>10</v>
      </c>
      <c r="AE29" s="29"/>
      <c r="AF29" s="29"/>
      <c r="AG29" s="29"/>
      <c r="AH29" s="28"/>
      <c r="AI29" s="28"/>
      <c r="AJ29" s="28"/>
      <c r="AK29" s="28"/>
      <c r="AL29" s="28"/>
      <c r="AM29" s="28"/>
      <c r="AN29" s="28"/>
      <c r="AO29" s="29"/>
      <c r="AP29" s="29"/>
      <c r="AQ29" s="29"/>
      <c r="AR29" s="29"/>
      <c r="AS29" s="31"/>
      <c r="AT29" s="67"/>
      <c r="AU29" s="67"/>
      <c r="AV29" s="67"/>
      <c r="AW29" s="67"/>
      <c r="AX29" s="67"/>
      <c r="AY29" s="67"/>
      <c r="AZ29" s="67"/>
      <c r="BA29" s="67"/>
      <c r="BB29" s="67"/>
      <c r="BC29" s="67"/>
      <c r="BD29" s="68"/>
    </row>
    <row r="30" spans="1:57" ht="14.4" customHeight="1">
      <c r="A30" s="70">
        <f>IF(B30="","",COUNTA($B$8:B30))</f>
        <v>23</v>
      </c>
      <c r="B30" s="19" t="s">
        <v>255</v>
      </c>
      <c r="C30" s="20"/>
      <c r="D30" s="20"/>
      <c r="E30" s="20"/>
      <c r="F30" s="20"/>
      <c r="G30" s="20"/>
      <c r="H30" s="24"/>
      <c r="I30" s="31" t="s">
        <v>256</v>
      </c>
      <c r="J30" s="23"/>
      <c r="K30" s="23"/>
      <c r="L30" s="23"/>
      <c r="M30" s="23"/>
      <c r="N30" s="23"/>
      <c r="O30" s="23"/>
      <c r="P30" s="23"/>
      <c r="Q30" s="37"/>
      <c r="R30" s="19" t="s">
        <v>255</v>
      </c>
      <c r="S30" s="23"/>
      <c r="T30" s="23"/>
      <c r="U30" s="23"/>
      <c r="V30" s="23"/>
      <c r="W30" s="23"/>
      <c r="X30" s="24"/>
      <c r="Y30" s="440" t="s">
        <v>150</v>
      </c>
      <c r="Z30" s="441"/>
      <c r="AA30" s="442" t="s">
        <v>151</v>
      </c>
      <c r="AB30" s="443"/>
      <c r="AC30" s="444"/>
      <c r="AD30" s="27">
        <v>10</v>
      </c>
      <c r="AE30" s="29"/>
      <c r="AF30" s="29"/>
      <c r="AG30" s="29"/>
      <c r="AH30" s="40"/>
      <c r="AI30" s="40"/>
      <c r="AJ30" s="28"/>
      <c r="AK30" s="28"/>
      <c r="AL30" s="28"/>
      <c r="AM30" s="28"/>
      <c r="AN30" s="28"/>
      <c r="AO30" s="29"/>
      <c r="AP30" s="29"/>
      <c r="AQ30" s="29"/>
      <c r="AR30" s="29"/>
      <c r="AS30" s="31"/>
      <c r="AT30" s="67"/>
      <c r="AU30" s="32"/>
      <c r="AV30" s="32"/>
      <c r="AW30" s="32"/>
      <c r="AX30" s="32"/>
      <c r="AY30" s="67"/>
      <c r="AZ30" s="67"/>
      <c r="BA30" s="67"/>
      <c r="BB30" s="67"/>
      <c r="BC30" s="67"/>
      <c r="BD30" s="68"/>
    </row>
    <row r="31" spans="1:57" ht="14.4" customHeight="1">
      <c r="A31" s="70">
        <f>IF(B31="","",COUNTA($B$8:B31))</f>
        <v>24</v>
      </c>
      <c r="B31" s="19" t="s">
        <v>257</v>
      </c>
      <c r="C31" s="20"/>
      <c r="D31" s="20"/>
      <c r="E31" s="20"/>
      <c r="F31" s="20"/>
      <c r="G31" s="20"/>
      <c r="H31" s="24"/>
      <c r="I31" s="31" t="s">
        <v>258</v>
      </c>
      <c r="J31" s="23"/>
      <c r="K31" s="23"/>
      <c r="L31" s="23"/>
      <c r="M31" s="23"/>
      <c r="N31" s="23"/>
      <c r="O31" s="23"/>
      <c r="P31" s="23"/>
      <c r="Q31" s="37"/>
      <c r="R31" s="19" t="s">
        <v>257</v>
      </c>
      <c r="S31" s="23"/>
      <c r="T31" s="23"/>
      <c r="U31" s="23"/>
      <c r="V31" s="23"/>
      <c r="W31" s="23"/>
      <c r="X31" s="24"/>
      <c r="Y31" s="440" t="s">
        <v>169</v>
      </c>
      <c r="Z31" s="441"/>
      <c r="AA31" s="442" t="s">
        <v>243</v>
      </c>
      <c r="AB31" s="443"/>
      <c r="AC31" s="444"/>
      <c r="AD31" s="51"/>
      <c r="AE31" s="29"/>
      <c r="AF31" s="29"/>
      <c r="AG31" s="29"/>
      <c r="AH31" s="28"/>
      <c r="AI31" s="28"/>
      <c r="AJ31" s="28"/>
      <c r="AK31" s="28"/>
      <c r="AL31" s="40"/>
      <c r="AM31" s="40"/>
      <c r="AN31" s="40"/>
      <c r="AO31" s="41"/>
      <c r="AP31" s="41"/>
      <c r="AQ31" s="41"/>
      <c r="AR31" s="41"/>
      <c r="AS31" s="42"/>
      <c r="AT31" s="43"/>
      <c r="AU31" s="32"/>
      <c r="AV31" s="32"/>
      <c r="AW31" s="32"/>
      <c r="AX31" s="32"/>
      <c r="AY31" s="32"/>
      <c r="AZ31" s="32"/>
      <c r="BA31" s="32"/>
      <c r="BB31" s="32"/>
      <c r="BC31" s="32"/>
      <c r="BD31" s="33"/>
    </row>
    <row r="32" spans="1:57" ht="14.4" customHeight="1">
      <c r="A32" s="70">
        <f>IF(B32="","",COUNTA($B$8:B32))</f>
        <v>25</v>
      </c>
      <c r="B32" s="19" t="s">
        <v>259</v>
      </c>
      <c r="C32" s="20"/>
      <c r="D32" s="20"/>
      <c r="E32" s="20"/>
      <c r="F32" s="20"/>
      <c r="G32" s="20"/>
      <c r="H32" s="24"/>
      <c r="I32" s="31" t="s">
        <v>260</v>
      </c>
      <c r="J32" s="23"/>
      <c r="K32" s="23"/>
      <c r="L32" s="23"/>
      <c r="M32" s="23"/>
      <c r="N32" s="23"/>
      <c r="O32" s="23"/>
      <c r="P32" s="23"/>
      <c r="Q32" s="37"/>
      <c r="R32" s="19" t="s">
        <v>259</v>
      </c>
      <c r="S32" s="23"/>
      <c r="T32" s="23"/>
      <c r="U32" s="23"/>
      <c r="V32" s="23"/>
      <c r="W32" s="23"/>
      <c r="X32" s="24"/>
      <c r="Y32" s="440" t="s">
        <v>150</v>
      </c>
      <c r="Z32" s="441"/>
      <c r="AA32" s="442" t="s">
        <v>151</v>
      </c>
      <c r="AB32" s="443"/>
      <c r="AC32" s="444"/>
      <c r="AD32" s="27">
        <v>10</v>
      </c>
      <c r="AE32" s="29"/>
      <c r="AF32" s="29"/>
      <c r="AG32" s="29"/>
      <c r="AH32" s="40"/>
      <c r="AI32" s="40"/>
      <c r="AJ32" s="40"/>
      <c r="AK32" s="40"/>
      <c r="AL32" s="40"/>
      <c r="AM32" s="40"/>
      <c r="AN32" s="40"/>
      <c r="AO32" s="41"/>
      <c r="AP32" s="41"/>
      <c r="AQ32" s="41"/>
      <c r="AR32" s="41"/>
      <c r="AS32" s="42"/>
      <c r="AT32" s="43"/>
      <c r="AU32" s="67"/>
      <c r="AV32" s="67"/>
      <c r="AW32" s="67"/>
      <c r="AX32" s="67"/>
      <c r="AY32" s="32"/>
      <c r="AZ32" s="32"/>
      <c r="BA32" s="32"/>
      <c r="BB32" s="32"/>
      <c r="BC32" s="32"/>
      <c r="BD32" s="33"/>
    </row>
    <row r="33" spans="1:56" ht="14.4" customHeight="1">
      <c r="A33" s="70">
        <f>IF(B33="","",COUNTA($B$8:B33))</f>
        <v>26</v>
      </c>
      <c r="B33" s="19" t="s">
        <v>261</v>
      </c>
      <c r="C33" s="20"/>
      <c r="D33" s="20"/>
      <c r="E33" s="20"/>
      <c r="F33" s="20"/>
      <c r="G33" s="20"/>
      <c r="H33" s="24"/>
      <c r="I33" s="31" t="s">
        <v>262</v>
      </c>
      <c r="J33" s="23"/>
      <c r="K33" s="23"/>
      <c r="L33" s="23"/>
      <c r="M33" s="23"/>
      <c r="N33" s="23"/>
      <c r="O33" s="23"/>
      <c r="P33" s="23"/>
      <c r="Q33" s="37"/>
      <c r="R33" s="19" t="s">
        <v>261</v>
      </c>
      <c r="S33" s="23"/>
      <c r="T33" s="23"/>
      <c r="U33" s="23"/>
      <c r="V33" s="23"/>
      <c r="W33" s="23"/>
      <c r="X33" s="24"/>
      <c r="Y33" s="440" t="s">
        <v>150</v>
      </c>
      <c r="Z33" s="441"/>
      <c r="AA33" s="442" t="s">
        <v>151</v>
      </c>
      <c r="AB33" s="443"/>
      <c r="AC33" s="444"/>
      <c r="AD33" s="51">
        <v>10</v>
      </c>
      <c r="AE33" s="29"/>
      <c r="AF33" s="29"/>
      <c r="AG33" s="29"/>
      <c r="AH33" s="40"/>
      <c r="AI33" s="40"/>
      <c r="AJ33" s="40"/>
      <c r="AK33" s="40"/>
      <c r="AL33" s="40"/>
      <c r="AM33" s="40"/>
      <c r="AN33" s="40"/>
      <c r="AO33" s="41"/>
      <c r="AP33" s="41"/>
      <c r="AQ33" s="41"/>
      <c r="AR33" s="41"/>
      <c r="AS33" s="42"/>
      <c r="AT33" s="43"/>
      <c r="AU33" s="67"/>
      <c r="AV33" s="67"/>
      <c r="AW33" s="67"/>
      <c r="AX33" s="67"/>
      <c r="AY33" s="67"/>
      <c r="AZ33" s="67"/>
      <c r="BA33" s="67"/>
      <c r="BB33" s="67"/>
      <c r="BC33" s="67"/>
      <c r="BD33" s="68"/>
    </row>
    <row r="34" spans="1:56" ht="14.4" customHeight="1">
      <c r="A34" s="70">
        <f>IF(B34="","",COUNTA($B$8:B34))</f>
        <v>27</v>
      </c>
      <c r="B34" s="19" t="s">
        <v>263</v>
      </c>
      <c r="C34" s="20"/>
      <c r="D34" s="20"/>
      <c r="E34" s="20"/>
      <c r="F34" s="20"/>
      <c r="G34" s="20"/>
      <c r="H34" s="24"/>
      <c r="I34" s="31" t="s">
        <v>264</v>
      </c>
      <c r="J34" s="23"/>
      <c r="K34" s="23"/>
      <c r="L34" s="23"/>
      <c r="M34" s="23"/>
      <c r="N34" s="23"/>
      <c r="O34" s="23"/>
      <c r="P34" s="23"/>
      <c r="Q34" s="37"/>
      <c r="R34" s="22" t="s">
        <v>263</v>
      </c>
      <c r="S34" s="23"/>
      <c r="T34" s="23"/>
      <c r="U34" s="23"/>
      <c r="V34" s="23"/>
      <c r="W34" s="23"/>
      <c r="X34" s="24"/>
      <c r="Y34" s="440" t="s">
        <v>169</v>
      </c>
      <c r="Z34" s="441"/>
      <c r="AA34" s="442" t="s">
        <v>243</v>
      </c>
      <c r="AB34" s="443"/>
      <c r="AC34" s="444"/>
      <c r="AD34" s="51"/>
      <c r="AE34" s="29"/>
      <c r="AF34" s="29"/>
      <c r="AG34" s="29"/>
      <c r="AH34" s="28"/>
      <c r="AI34" s="28"/>
      <c r="AJ34" s="28"/>
      <c r="AK34" s="28"/>
      <c r="AL34" s="28"/>
      <c r="AM34" s="28"/>
      <c r="AN34" s="28"/>
      <c r="AO34" s="29"/>
      <c r="AP34" s="29"/>
      <c r="AQ34" s="29"/>
      <c r="AR34" s="29"/>
      <c r="AS34" s="31"/>
      <c r="AT34" s="67"/>
      <c r="AU34" s="67"/>
      <c r="AV34" s="67"/>
      <c r="AW34" s="67"/>
      <c r="AX34" s="67"/>
      <c r="AY34" s="67"/>
      <c r="AZ34" s="67"/>
      <c r="BA34" s="67"/>
      <c r="BB34" s="67"/>
      <c r="BC34" s="67"/>
      <c r="BD34" s="68"/>
    </row>
    <row r="35" spans="1:56" ht="14.4" customHeight="1">
      <c r="A35" s="70" t="str">
        <f>IF(B35="","",COUNTA($B$8:B35))</f>
        <v/>
      </c>
      <c r="B35" s="25"/>
      <c r="C35" s="26"/>
      <c r="D35" s="26"/>
      <c r="E35" s="26"/>
      <c r="F35" s="26"/>
      <c r="G35" s="26"/>
      <c r="H35" s="39"/>
      <c r="I35" s="31"/>
      <c r="J35" s="23"/>
      <c r="K35" s="23"/>
      <c r="L35" s="23"/>
      <c r="M35" s="23"/>
      <c r="N35" s="23"/>
      <c r="O35" s="23"/>
      <c r="P35" s="23"/>
      <c r="Q35" s="24"/>
      <c r="R35" s="22"/>
      <c r="S35" s="23"/>
      <c r="T35" s="23"/>
      <c r="U35" s="23"/>
      <c r="V35" s="23"/>
      <c r="W35" s="23"/>
      <c r="X35" s="24"/>
      <c r="Y35" s="440"/>
      <c r="Z35" s="441"/>
      <c r="AA35" s="442"/>
      <c r="AB35" s="443"/>
      <c r="AC35" s="444"/>
      <c r="AD35" s="27"/>
      <c r="AE35" s="29" t="s">
        <v>244</v>
      </c>
      <c r="AF35" s="29"/>
      <c r="AG35" s="29"/>
      <c r="AH35" s="28"/>
      <c r="AI35" s="28"/>
      <c r="AJ35" s="28"/>
      <c r="AK35" s="28"/>
      <c r="AL35" s="28"/>
      <c r="AM35" s="28"/>
      <c r="AN35" s="28"/>
      <c r="AO35" s="29"/>
      <c r="AP35" s="29"/>
      <c r="AQ35" s="29"/>
      <c r="AR35" s="29"/>
      <c r="AS35" s="31"/>
      <c r="AT35" s="67"/>
      <c r="AU35" s="67"/>
      <c r="AV35" s="67"/>
      <c r="AW35" s="67"/>
      <c r="AX35" s="67"/>
      <c r="AY35" s="67"/>
      <c r="AZ35" s="67"/>
      <c r="BA35" s="67"/>
      <c r="BB35" s="67"/>
      <c r="BC35" s="67"/>
      <c r="BD35" s="68"/>
    </row>
    <row r="36" spans="1:56" ht="14.4" customHeight="1">
      <c r="A36" s="70" t="str">
        <f>IF(B36="","",COUNTA($B$8:B36))</f>
        <v/>
      </c>
      <c r="B36" s="25"/>
      <c r="C36" s="26"/>
      <c r="D36" s="26"/>
      <c r="E36" s="26"/>
      <c r="F36" s="26"/>
      <c r="G36" s="26"/>
      <c r="H36" s="39"/>
      <c r="I36" s="31"/>
      <c r="J36" s="23"/>
      <c r="K36" s="23"/>
      <c r="L36" s="23"/>
      <c r="M36" s="23"/>
      <c r="N36" s="23"/>
      <c r="O36" s="23"/>
      <c r="P36" s="23"/>
      <c r="Q36" s="24"/>
      <c r="R36" s="22"/>
      <c r="S36" s="23"/>
      <c r="T36" s="23"/>
      <c r="U36" s="23"/>
      <c r="V36" s="23"/>
      <c r="W36" s="23"/>
      <c r="X36" s="24"/>
      <c r="Y36" s="440"/>
      <c r="Z36" s="441"/>
      <c r="AA36" s="442"/>
      <c r="AB36" s="443"/>
      <c r="AC36" s="444"/>
      <c r="AD36" s="27"/>
      <c r="AE36" s="29" t="s">
        <v>244</v>
      </c>
      <c r="AF36" s="29"/>
      <c r="AG36" s="29"/>
      <c r="AH36" s="28"/>
      <c r="AI36" s="28"/>
      <c r="AJ36" s="28"/>
      <c r="AK36" s="28"/>
      <c r="AL36" s="28"/>
      <c r="AM36" s="28"/>
      <c r="AN36" s="28"/>
      <c r="AO36" s="29"/>
      <c r="AP36" s="29"/>
      <c r="AQ36" s="29"/>
      <c r="AR36" s="29"/>
      <c r="AS36" s="31"/>
      <c r="AT36" s="67"/>
      <c r="AU36" s="67"/>
      <c r="AV36" s="67"/>
      <c r="AW36" s="67"/>
      <c r="AX36" s="67"/>
      <c r="AY36" s="67"/>
      <c r="AZ36" s="67"/>
      <c r="BA36" s="67"/>
      <c r="BB36" s="67"/>
      <c r="BC36" s="67"/>
      <c r="BD36" s="68"/>
    </row>
    <row r="37" spans="1:56" ht="14.4" customHeight="1">
      <c r="A37" s="70" t="str">
        <f>IF(B37="","",COUNTA($B$8:B37))</f>
        <v/>
      </c>
      <c r="B37" s="19"/>
      <c r="C37" s="20" t="s">
        <v>395</v>
      </c>
      <c r="D37" s="20"/>
      <c r="E37" s="20" t="s">
        <v>396</v>
      </c>
      <c r="F37" s="20"/>
      <c r="G37" s="20"/>
      <c r="H37" s="24"/>
      <c r="I37" s="31"/>
      <c r="J37" s="23"/>
      <c r="K37" s="23"/>
      <c r="L37" s="23"/>
      <c r="M37" s="23"/>
      <c r="N37" s="23"/>
      <c r="O37" s="23"/>
      <c r="P37" s="23"/>
      <c r="Q37" s="24"/>
      <c r="R37" s="22"/>
      <c r="S37" s="23"/>
      <c r="T37" s="23"/>
      <c r="U37" s="23"/>
      <c r="V37" s="23"/>
      <c r="W37" s="23"/>
      <c r="X37" s="24"/>
      <c r="Y37" s="440"/>
      <c r="Z37" s="441"/>
      <c r="AA37" s="442"/>
      <c r="AB37" s="443"/>
      <c r="AC37" s="444"/>
      <c r="AD37" s="27"/>
      <c r="AE37" s="29" t="s">
        <v>244</v>
      </c>
      <c r="AF37" s="29"/>
      <c r="AG37" s="29"/>
      <c r="AH37" s="28"/>
      <c r="AI37" s="28"/>
      <c r="AJ37" s="28"/>
      <c r="AK37" s="28"/>
      <c r="AL37" s="28"/>
      <c r="AM37" s="28"/>
      <c r="AN37" s="28"/>
      <c r="AO37" s="29"/>
      <c r="AP37" s="29"/>
      <c r="AQ37" s="29"/>
      <c r="AR37" s="29"/>
      <c r="AS37" s="31"/>
      <c r="AT37" s="67"/>
      <c r="AU37" s="67"/>
      <c r="AV37" s="67"/>
      <c r="AW37" s="67"/>
      <c r="AX37" s="67"/>
      <c r="AY37" s="67"/>
      <c r="AZ37" s="67"/>
      <c r="BA37" s="67"/>
      <c r="BB37" s="67"/>
      <c r="BC37" s="67"/>
      <c r="BD37" s="68"/>
    </row>
    <row r="38" spans="1:56" ht="14.4" customHeight="1">
      <c r="A38" s="70" t="str">
        <f>IF(B38="","",COUNTA($B$8:B38))</f>
        <v/>
      </c>
      <c r="B38" s="19"/>
      <c r="C38" s="20"/>
      <c r="D38" s="20"/>
      <c r="E38" s="20"/>
      <c r="F38" s="20"/>
      <c r="G38" s="20"/>
      <c r="H38" s="24"/>
      <c r="I38" s="31"/>
      <c r="J38" s="23"/>
      <c r="K38" s="23"/>
      <c r="L38" s="23"/>
      <c r="M38" s="23"/>
      <c r="N38" s="23"/>
      <c r="O38" s="23"/>
      <c r="P38" s="23"/>
      <c r="Q38" s="24"/>
      <c r="R38" s="22"/>
      <c r="S38" s="23"/>
      <c r="T38" s="23"/>
      <c r="U38" s="23"/>
      <c r="V38" s="23"/>
      <c r="W38" s="23"/>
      <c r="X38" s="24"/>
      <c r="Y38" s="440"/>
      <c r="Z38" s="441"/>
      <c r="AA38" s="442"/>
      <c r="AB38" s="443"/>
      <c r="AC38" s="444"/>
      <c r="AD38" s="69"/>
      <c r="AE38" s="29" t="s">
        <v>244</v>
      </c>
      <c r="AF38" s="29"/>
      <c r="AG38" s="29"/>
      <c r="AH38" s="28"/>
      <c r="AI38" s="28"/>
      <c r="AJ38" s="28"/>
      <c r="AK38" s="28"/>
      <c r="AL38" s="28"/>
      <c r="AM38" s="28"/>
      <c r="AN38" s="28"/>
      <c r="AO38" s="29"/>
      <c r="AP38" s="29"/>
      <c r="AQ38" s="29"/>
      <c r="AR38" s="29"/>
      <c r="AS38" s="31"/>
      <c r="AT38" s="67"/>
      <c r="AU38" s="67"/>
      <c r="AV38" s="67"/>
      <c r="AW38" s="67"/>
      <c r="AX38" s="67"/>
      <c r="AY38" s="67"/>
      <c r="AZ38" s="67"/>
      <c r="BA38" s="67"/>
      <c r="BB38" s="67"/>
      <c r="BC38" s="67"/>
      <c r="BD38" s="68"/>
    </row>
    <row r="39" spans="1:56" ht="14.4" customHeight="1">
      <c r="A39" s="70" t="str">
        <f>IF(B39="","",COUNTA($B$8:B39))</f>
        <v/>
      </c>
      <c r="B39" s="19"/>
      <c r="C39" s="20"/>
      <c r="D39" s="20"/>
      <c r="E39" s="20"/>
      <c r="F39" s="20"/>
      <c r="G39" s="20"/>
      <c r="H39" s="24"/>
      <c r="I39" s="31"/>
      <c r="J39" s="23"/>
      <c r="K39" s="23"/>
      <c r="L39" s="23"/>
      <c r="M39" s="23"/>
      <c r="N39" s="23"/>
      <c r="O39" s="23"/>
      <c r="P39" s="23"/>
      <c r="Q39" s="37"/>
      <c r="R39" s="22"/>
      <c r="S39" s="23"/>
      <c r="T39" s="23"/>
      <c r="U39" s="23"/>
      <c r="V39" s="23"/>
      <c r="W39" s="23"/>
      <c r="X39" s="37"/>
      <c r="Y39" s="440"/>
      <c r="Z39" s="441"/>
      <c r="AA39" s="442"/>
      <c r="AB39" s="443"/>
      <c r="AC39" s="444"/>
      <c r="AD39" s="51"/>
      <c r="AE39" s="29" t="s">
        <v>244</v>
      </c>
      <c r="AF39" s="29"/>
      <c r="AG39" s="29"/>
      <c r="AH39" s="28"/>
      <c r="AI39" s="28"/>
      <c r="AJ39" s="28"/>
      <c r="AK39" s="28"/>
      <c r="AL39" s="28"/>
      <c r="AM39" s="28"/>
      <c r="AN39" s="28"/>
      <c r="AO39" s="29"/>
      <c r="AP39" s="29"/>
      <c r="AQ39" s="29"/>
      <c r="AR39" s="29"/>
      <c r="AS39" s="31"/>
      <c r="AT39" s="67"/>
      <c r="AU39" s="67"/>
      <c r="AV39" s="67"/>
      <c r="AW39" s="67"/>
      <c r="AX39" s="67"/>
      <c r="AY39" s="67"/>
      <c r="AZ39" s="67"/>
      <c r="BA39" s="67"/>
      <c r="BB39" s="67"/>
      <c r="BC39" s="67"/>
      <c r="BD39" s="68"/>
    </row>
    <row r="40" spans="1:56" ht="14.4" customHeight="1">
      <c r="A40" s="70" t="str">
        <f>IF(B40="","",COUNTA($B$8:B40))</f>
        <v/>
      </c>
      <c r="B40" s="19"/>
      <c r="C40" s="20"/>
      <c r="D40" s="20"/>
      <c r="E40" s="20"/>
      <c r="F40" s="20"/>
      <c r="G40" s="20"/>
      <c r="H40" s="24"/>
      <c r="I40" s="31"/>
      <c r="J40" s="23"/>
      <c r="K40" s="23"/>
      <c r="L40" s="23"/>
      <c r="M40" s="23"/>
      <c r="N40" s="23"/>
      <c r="O40" s="23"/>
      <c r="P40" s="23"/>
      <c r="Q40" s="24"/>
      <c r="R40" s="22"/>
      <c r="S40" s="23"/>
      <c r="T40" s="23"/>
      <c r="U40" s="23"/>
      <c r="V40" s="23"/>
      <c r="W40" s="23"/>
      <c r="X40" s="24"/>
      <c r="Y40" s="440"/>
      <c r="Z40" s="441"/>
      <c r="AA40" s="442"/>
      <c r="AB40" s="443"/>
      <c r="AC40" s="444"/>
      <c r="AD40" s="27"/>
      <c r="AE40" s="29" t="s">
        <v>244</v>
      </c>
      <c r="AF40" s="29"/>
      <c r="AG40" s="29"/>
      <c r="AH40" s="28"/>
      <c r="AI40" s="28"/>
      <c r="AJ40" s="28"/>
      <c r="AK40" s="28"/>
      <c r="AL40" s="28"/>
      <c r="AM40" s="28"/>
      <c r="AN40" s="28"/>
      <c r="AO40" s="29"/>
      <c r="AP40" s="29"/>
      <c r="AQ40" s="29"/>
      <c r="AR40" s="29"/>
      <c r="AS40" s="31"/>
      <c r="AT40" s="67"/>
      <c r="AU40" s="67"/>
      <c r="AV40" s="67"/>
      <c r="AW40" s="67"/>
      <c r="AX40" s="67"/>
      <c r="AY40" s="67"/>
      <c r="AZ40" s="67"/>
      <c r="BA40" s="67"/>
      <c r="BB40" s="67"/>
      <c r="BC40" s="67"/>
      <c r="BD40" s="68"/>
    </row>
    <row r="41" spans="1:56" ht="14.4" customHeight="1">
      <c r="A41" s="70" t="str">
        <f>IF(B41="","",COUNTA($B$8:B41))</f>
        <v/>
      </c>
      <c r="B41" s="19"/>
      <c r="C41" s="20"/>
      <c r="D41" s="20"/>
      <c r="E41" s="20"/>
      <c r="F41" s="20"/>
      <c r="G41" s="20"/>
      <c r="H41" s="24"/>
      <c r="I41" s="31"/>
      <c r="J41" s="23"/>
      <c r="K41" s="23"/>
      <c r="L41" s="23"/>
      <c r="M41" s="23"/>
      <c r="N41" s="23"/>
      <c r="O41" s="23"/>
      <c r="P41" s="23"/>
      <c r="Q41" s="24"/>
      <c r="R41" s="22"/>
      <c r="S41" s="23"/>
      <c r="T41" s="23"/>
      <c r="U41" s="23"/>
      <c r="V41" s="23"/>
      <c r="W41" s="23"/>
      <c r="X41" s="24"/>
      <c r="Y41" s="440"/>
      <c r="Z41" s="441"/>
      <c r="AA41" s="442"/>
      <c r="AB41" s="443"/>
      <c r="AC41" s="444"/>
      <c r="AD41" s="27"/>
      <c r="AE41" s="29" t="s">
        <v>244</v>
      </c>
      <c r="AF41" s="29"/>
      <c r="AG41" s="29"/>
      <c r="AH41" s="28"/>
      <c r="AI41" s="28"/>
      <c r="AJ41" s="28"/>
      <c r="AK41" s="28"/>
      <c r="AL41" s="28"/>
      <c r="AM41" s="28"/>
      <c r="AN41" s="28"/>
      <c r="AO41" s="29"/>
      <c r="AP41" s="29"/>
      <c r="AQ41" s="29"/>
      <c r="AR41" s="29"/>
      <c r="AS41" s="31"/>
      <c r="AT41" s="67"/>
      <c r="AU41" s="67"/>
      <c r="AV41" s="67"/>
      <c r="AW41" s="67"/>
      <c r="AX41" s="67"/>
      <c r="AY41" s="67"/>
      <c r="AZ41" s="67"/>
      <c r="BA41" s="67"/>
      <c r="BB41" s="67"/>
      <c r="BC41" s="67"/>
      <c r="BD41" s="68"/>
    </row>
    <row r="42" spans="1:56" ht="14.4" customHeight="1">
      <c r="A42" s="70" t="str">
        <f>IF(B42="","",COUNTA($B$8:B42))</f>
        <v/>
      </c>
      <c r="B42" s="19"/>
      <c r="C42" s="20"/>
      <c r="D42" s="20"/>
      <c r="E42" s="20"/>
      <c r="F42" s="20"/>
      <c r="G42" s="20"/>
      <c r="H42" s="24"/>
      <c r="I42" s="31"/>
      <c r="J42" s="23"/>
      <c r="K42" s="23"/>
      <c r="L42" s="23"/>
      <c r="M42" s="23"/>
      <c r="N42" s="23"/>
      <c r="O42" s="23"/>
      <c r="P42" s="23"/>
      <c r="Q42" s="24"/>
      <c r="R42" s="22"/>
      <c r="S42" s="23"/>
      <c r="T42" s="23"/>
      <c r="U42" s="23"/>
      <c r="V42" s="23"/>
      <c r="W42" s="23"/>
      <c r="X42" s="24"/>
      <c r="Y42" s="440"/>
      <c r="Z42" s="441"/>
      <c r="AA42" s="442"/>
      <c r="AB42" s="443"/>
      <c r="AC42" s="444"/>
      <c r="AD42" s="27"/>
      <c r="AE42" s="29" t="s">
        <v>244</v>
      </c>
      <c r="AF42" s="29"/>
      <c r="AG42" s="29"/>
      <c r="AH42" s="28"/>
      <c r="AI42" s="28"/>
      <c r="AJ42" s="28"/>
      <c r="AK42" s="28"/>
      <c r="AL42" s="28"/>
      <c r="AM42" s="28"/>
      <c r="AN42" s="28"/>
      <c r="AO42" s="29"/>
      <c r="AP42" s="29"/>
      <c r="AQ42" s="29"/>
      <c r="AR42" s="29"/>
      <c r="AS42" s="31"/>
      <c r="AT42" s="67"/>
      <c r="AU42" s="67"/>
      <c r="AV42" s="67"/>
      <c r="AW42" s="67"/>
      <c r="AX42" s="67"/>
      <c r="AY42" s="67"/>
      <c r="AZ42" s="67"/>
      <c r="BA42" s="67"/>
      <c r="BB42" s="67"/>
      <c r="BC42" s="67"/>
      <c r="BD42" s="68"/>
    </row>
    <row r="43" spans="1:56" ht="14.4" customHeight="1">
      <c r="A43" s="70" t="str">
        <f>IF(B43="","",COUNTA($B$8:B43))</f>
        <v/>
      </c>
      <c r="B43" s="19"/>
      <c r="C43" s="20"/>
      <c r="D43" s="20"/>
      <c r="E43" s="20"/>
      <c r="F43" s="20"/>
      <c r="G43" s="20"/>
      <c r="H43" s="24"/>
      <c r="I43" s="31"/>
      <c r="J43" s="23"/>
      <c r="K43" s="23"/>
      <c r="L43" s="23"/>
      <c r="M43" s="23"/>
      <c r="N43" s="23"/>
      <c r="O43" s="23"/>
      <c r="P43" s="23"/>
      <c r="Q43" s="24"/>
      <c r="R43" s="22"/>
      <c r="S43" s="23"/>
      <c r="T43" s="23"/>
      <c r="U43" s="23"/>
      <c r="V43" s="23"/>
      <c r="W43" s="23"/>
      <c r="X43" s="24"/>
      <c r="Y43" s="440"/>
      <c r="Z43" s="441"/>
      <c r="AA43" s="442"/>
      <c r="AB43" s="443"/>
      <c r="AC43" s="444"/>
      <c r="AD43" s="27"/>
      <c r="AE43" s="29" t="s">
        <v>244</v>
      </c>
      <c r="AF43" s="29"/>
      <c r="AG43" s="29"/>
      <c r="AH43" s="28"/>
      <c r="AI43" s="28"/>
      <c r="AJ43" s="28"/>
      <c r="AK43" s="28"/>
      <c r="AL43" s="28"/>
      <c r="AM43" s="28"/>
      <c r="AN43" s="28"/>
      <c r="AO43" s="29"/>
      <c r="AP43" s="29"/>
      <c r="AQ43" s="29"/>
      <c r="AR43" s="29"/>
      <c r="AS43" s="31"/>
      <c r="AT43" s="67"/>
      <c r="AU43" s="67"/>
      <c r="AV43" s="67"/>
      <c r="AW43" s="67"/>
      <c r="AX43" s="67"/>
      <c r="AY43" s="67"/>
      <c r="AZ43" s="67"/>
      <c r="BA43" s="67"/>
      <c r="BB43" s="67"/>
      <c r="BC43" s="67"/>
      <c r="BD43" s="68"/>
    </row>
    <row r="44" spans="1:56" ht="14.4" customHeight="1">
      <c r="A44" s="70" t="str">
        <f>IF(B44="","",COUNTA($B$8:B44))</f>
        <v/>
      </c>
      <c r="B44" s="19"/>
      <c r="C44" s="20"/>
      <c r="D44" s="20"/>
      <c r="E44" s="20"/>
      <c r="F44" s="20"/>
      <c r="G44" s="20"/>
      <c r="H44" s="24"/>
      <c r="I44" s="31"/>
      <c r="J44" s="23"/>
      <c r="K44" s="23"/>
      <c r="L44" s="23"/>
      <c r="M44" s="23"/>
      <c r="N44" s="23"/>
      <c r="O44" s="23"/>
      <c r="P44" s="23"/>
      <c r="Q44" s="24"/>
      <c r="R44" s="22"/>
      <c r="S44" s="23"/>
      <c r="T44" s="23"/>
      <c r="U44" s="23"/>
      <c r="V44" s="23"/>
      <c r="W44" s="23"/>
      <c r="X44" s="24"/>
      <c r="Y44" s="440"/>
      <c r="Z44" s="441"/>
      <c r="AA44" s="442"/>
      <c r="AB44" s="443"/>
      <c r="AC44" s="444"/>
      <c r="AD44" s="27"/>
      <c r="AE44" s="29" t="s">
        <v>244</v>
      </c>
      <c r="AF44" s="29"/>
      <c r="AG44" s="29"/>
      <c r="AH44" s="28"/>
      <c r="AI44" s="28"/>
      <c r="AJ44" s="28"/>
      <c r="AK44" s="28"/>
      <c r="AL44" s="28"/>
      <c r="AM44" s="28"/>
      <c r="AN44" s="28"/>
      <c r="AO44" s="29"/>
      <c r="AP44" s="29"/>
      <c r="AQ44" s="29"/>
      <c r="AR44" s="29"/>
      <c r="AS44" s="47"/>
      <c r="AT44" s="48"/>
      <c r="AU44" s="48"/>
      <c r="AV44" s="48"/>
      <c r="AW44" s="48"/>
      <c r="AX44" s="48"/>
      <c r="AY44" s="48"/>
      <c r="AZ44" s="48"/>
      <c r="BA44" s="48"/>
      <c r="BB44" s="48"/>
      <c r="BC44" s="48"/>
      <c r="BD44" s="66"/>
    </row>
    <row r="45" spans="1:56" ht="14.4" customHeight="1">
      <c r="A45" s="70" t="str">
        <f>IF(B45="","",COUNTA($B$8:B45))</f>
        <v/>
      </c>
      <c r="B45" s="19"/>
      <c r="C45" s="20"/>
      <c r="D45" s="20"/>
      <c r="E45" s="20"/>
      <c r="F45" s="20"/>
      <c r="G45" s="20"/>
      <c r="H45" s="24"/>
      <c r="I45" s="31"/>
      <c r="J45" s="23"/>
      <c r="K45" s="23"/>
      <c r="L45" s="23"/>
      <c r="M45" s="23"/>
      <c r="N45" s="23"/>
      <c r="O45" s="23"/>
      <c r="P45" s="23"/>
      <c r="Q45" s="37"/>
      <c r="R45" s="22"/>
      <c r="S45" s="23"/>
      <c r="T45" s="23"/>
      <c r="U45" s="23"/>
      <c r="V45" s="23"/>
      <c r="W45" s="23"/>
      <c r="X45" s="37"/>
      <c r="Y45" s="440"/>
      <c r="Z45" s="441"/>
      <c r="AA45" s="442"/>
      <c r="AB45" s="443"/>
      <c r="AC45" s="444"/>
      <c r="AD45" s="51"/>
      <c r="AE45" s="29" t="s">
        <v>244</v>
      </c>
      <c r="AF45" s="29"/>
      <c r="AG45" s="29"/>
      <c r="AH45" s="40"/>
      <c r="AI45" s="40"/>
      <c r="AJ45" s="40"/>
      <c r="AK45" s="40"/>
      <c r="AL45" s="40"/>
      <c r="AM45" s="40"/>
      <c r="AN45" s="40"/>
      <c r="AO45" s="41"/>
      <c r="AP45" s="41"/>
      <c r="AQ45" s="41"/>
      <c r="AR45" s="41"/>
      <c r="AS45" s="42"/>
      <c r="AT45" s="43"/>
      <c r="AU45" s="67"/>
      <c r="AV45" s="67"/>
      <c r="AW45" s="67"/>
      <c r="AX45" s="67"/>
      <c r="AY45" s="67"/>
      <c r="AZ45" s="67"/>
      <c r="BA45" s="67"/>
      <c r="BB45" s="67"/>
      <c r="BC45" s="67"/>
      <c r="BD45" s="68"/>
    </row>
    <row r="46" spans="1:56" ht="14.4" customHeight="1">
      <c r="A46" s="70" t="str">
        <f>IF(B46="","",COUNTA($B$8:B46))</f>
        <v/>
      </c>
      <c r="B46" s="31"/>
      <c r="C46" s="44"/>
      <c r="D46" s="44"/>
      <c r="E46" s="44"/>
      <c r="F46" s="44"/>
      <c r="G46" s="44"/>
      <c r="H46" s="45"/>
      <c r="I46" s="31"/>
      <c r="J46" s="35"/>
      <c r="K46" s="35"/>
      <c r="L46" s="35"/>
      <c r="M46" s="35"/>
      <c r="N46" s="35"/>
      <c r="O46" s="35"/>
      <c r="P46" s="35"/>
      <c r="Q46" s="36"/>
      <c r="R46" s="34"/>
      <c r="S46" s="35"/>
      <c r="T46" s="35"/>
      <c r="U46" s="35"/>
      <c r="V46" s="35"/>
      <c r="W46" s="35"/>
      <c r="X46" s="36"/>
      <c r="Y46" s="440"/>
      <c r="Z46" s="441"/>
      <c r="AA46" s="442"/>
      <c r="AB46" s="443"/>
      <c r="AC46" s="444"/>
      <c r="AD46" s="51"/>
      <c r="AE46" s="29" t="s">
        <v>244</v>
      </c>
      <c r="AF46" s="29"/>
      <c r="AG46" s="29"/>
      <c r="AH46" s="28"/>
      <c r="AI46" s="28"/>
      <c r="AJ46" s="28"/>
      <c r="AK46" s="28"/>
      <c r="AL46" s="28"/>
      <c r="AM46" s="28"/>
      <c r="AN46" s="28"/>
      <c r="AO46" s="29"/>
      <c r="AP46" s="29"/>
      <c r="AQ46" s="29"/>
      <c r="AR46" s="29"/>
      <c r="AS46" s="42"/>
      <c r="AT46" s="49"/>
      <c r="AU46" s="48"/>
      <c r="AV46" s="48"/>
      <c r="AW46" s="48"/>
      <c r="AX46" s="48"/>
      <c r="AY46" s="48"/>
      <c r="AZ46" s="48"/>
      <c r="BA46" s="48"/>
      <c r="BB46" s="48"/>
      <c r="BC46" s="48"/>
      <c r="BD46" s="66"/>
    </row>
    <row r="47" spans="1:56" ht="14.4" customHeight="1">
      <c r="A47" s="70" t="str">
        <f>IF(B47="","",COUNTA($B$8:B47))</f>
        <v/>
      </c>
      <c r="B47" s="31"/>
      <c r="C47" s="44"/>
      <c r="D47" s="44"/>
      <c r="E47" s="44"/>
      <c r="F47" s="44"/>
      <c r="G47" s="44"/>
      <c r="H47" s="45"/>
      <c r="I47" s="31"/>
      <c r="J47" s="35"/>
      <c r="K47" s="35"/>
      <c r="L47" s="35"/>
      <c r="M47" s="35"/>
      <c r="N47" s="35"/>
      <c r="O47" s="35"/>
      <c r="P47" s="35"/>
      <c r="Q47" s="36"/>
      <c r="R47" s="34"/>
      <c r="S47" s="35"/>
      <c r="T47" s="35"/>
      <c r="U47" s="35"/>
      <c r="V47" s="35"/>
      <c r="W47" s="35"/>
      <c r="X47" s="36"/>
      <c r="Y47" s="440"/>
      <c r="Z47" s="441"/>
      <c r="AA47" s="442"/>
      <c r="AB47" s="443"/>
      <c r="AC47" s="444"/>
      <c r="AD47" s="51"/>
      <c r="AE47" s="29" t="s">
        <v>244</v>
      </c>
      <c r="AF47" s="29"/>
      <c r="AG47" s="29"/>
      <c r="AH47" s="28"/>
      <c r="AI47" s="28"/>
      <c r="AJ47" s="28"/>
      <c r="AK47" s="28"/>
      <c r="AL47" s="28"/>
      <c r="AM47" s="28"/>
      <c r="AN47" s="28"/>
      <c r="AO47" s="29"/>
      <c r="AP47" s="29"/>
      <c r="AQ47" s="29"/>
      <c r="AR47" s="29"/>
      <c r="AS47" s="42"/>
      <c r="AT47" s="49"/>
      <c r="AU47" s="48"/>
      <c r="AV47" s="48"/>
      <c r="AW47" s="48"/>
      <c r="AX47" s="48"/>
      <c r="AY47" s="48"/>
      <c r="AZ47" s="48"/>
      <c r="BA47" s="48"/>
      <c r="BB47" s="48"/>
      <c r="BC47" s="48"/>
      <c r="BD47" s="66"/>
    </row>
    <row r="48" spans="1:56" ht="14.4" customHeight="1">
      <c r="A48" s="70" t="str">
        <f>IF(B48="","",COUNTA($B$8:B48))</f>
        <v/>
      </c>
      <c r="B48" s="31"/>
      <c r="C48" s="44"/>
      <c r="D48" s="44"/>
      <c r="E48" s="44"/>
      <c r="F48" s="44"/>
      <c r="G48" s="44"/>
      <c r="H48" s="45"/>
      <c r="I48" s="31"/>
      <c r="J48" s="35"/>
      <c r="K48" s="35"/>
      <c r="L48" s="35"/>
      <c r="M48" s="35"/>
      <c r="N48" s="35"/>
      <c r="O48" s="35"/>
      <c r="P48" s="35"/>
      <c r="Q48" s="36"/>
      <c r="R48" s="34"/>
      <c r="S48" s="35"/>
      <c r="T48" s="35"/>
      <c r="U48" s="35"/>
      <c r="V48" s="35"/>
      <c r="W48" s="35"/>
      <c r="X48" s="36"/>
      <c r="Y48" s="440"/>
      <c r="Z48" s="441"/>
      <c r="AA48" s="442"/>
      <c r="AB48" s="443"/>
      <c r="AC48" s="444"/>
      <c r="AD48" s="51"/>
      <c r="AE48" s="29" t="s">
        <v>244</v>
      </c>
      <c r="AF48" s="29"/>
      <c r="AG48" s="29"/>
      <c r="AH48" s="28"/>
      <c r="AI48" s="28"/>
      <c r="AJ48" s="28"/>
      <c r="AK48" s="28"/>
      <c r="AL48" s="28"/>
      <c r="AM48" s="28"/>
      <c r="AN48" s="28"/>
      <c r="AO48" s="29"/>
      <c r="AP48" s="29"/>
      <c r="AQ48" s="29"/>
      <c r="AR48" s="29"/>
      <c r="AS48" s="42"/>
      <c r="AT48" s="49"/>
      <c r="AU48" s="48"/>
      <c r="AV48" s="48"/>
      <c r="AW48" s="48"/>
      <c r="AX48" s="48"/>
      <c r="AY48" s="48"/>
      <c r="AZ48" s="48"/>
      <c r="BA48" s="48"/>
      <c r="BB48" s="48"/>
      <c r="BC48" s="48"/>
      <c r="BD48" s="66"/>
    </row>
    <row r="49" spans="1:56" ht="14.4" customHeight="1">
      <c r="A49" s="70" t="str">
        <f>IF(B49="","",COUNTA($B$8:B49))</f>
        <v/>
      </c>
      <c r="B49" s="31"/>
      <c r="C49" s="44"/>
      <c r="D49" s="44"/>
      <c r="E49" s="44"/>
      <c r="F49" s="44"/>
      <c r="G49" s="44"/>
      <c r="H49" s="45"/>
      <c r="I49" s="31"/>
      <c r="J49" s="35"/>
      <c r="K49" s="35"/>
      <c r="L49" s="35"/>
      <c r="M49" s="35"/>
      <c r="N49" s="35"/>
      <c r="O49" s="35"/>
      <c r="P49" s="35"/>
      <c r="Q49" s="36"/>
      <c r="R49" s="34"/>
      <c r="S49" s="35"/>
      <c r="T49" s="35"/>
      <c r="U49" s="35"/>
      <c r="V49" s="35"/>
      <c r="W49" s="35"/>
      <c r="X49" s="36"/>
      <c r="Y49" s="440"/>
      <c r="Z49" s="441"/>
      <c r="AA49" s="442"/>
      <c r="AB49" s="443"/>
      <c r="AC49" s="444"/>
      <c r="AD49" s="51"/>
      <c r="AE49" s="29" t="s">
        <v>244</v>
      </c>
      <c r="AF49" s="29"/>
      <c r="AG49" s="29"/>
      <c r="AH49" s="28"/>
      <c r="AI49" s="28"/>
      <c r="AJ49" s="28"/>
      <c r="AK49" s="28"/>
      <c r="AL49" s="28"/>
      <c r="AM49" s="28"/>
      <c r="AN49" s="28"/>
      <c r="AO49" s="29"/>
      <c r="AP49" s="29"/>
      <c r="AQ49" s="29"/>
      <c r="AR49" s="29"/>
      <c r="AS49" s="42"/>
      <c r="AT49" s="49"/>
      <c r="AU49" s="48"/>
      <c r="AV49" s="48"/>
      <c r="AW49" s="48"/>
      <c r="AX49" s="48"/>
      <c r="AY49" s="48"/>
      <c r="AZ49" s="48"/>
      <c r="BA49" s="48"/>
      <c r="BB49" s="48"/>
      <c r="BC49" s="48"/>
      <c r="BD49" s="66"/>
    </row>
    <row r="50" spans="1:56" ht="14.4" customHeight="1">
      <c r="A50" s="70" t="str">
        <f>IF(B50="","",COUNTA($B$8:B50))</f>
        <v/>
      </c>
      <c r="B50" s="31"/>
      <c r="C50" s="44"/>
      <c r="D50" s="44"/>
      <c r="E50" s="44"/>
      <c r="F50" s="44"/>
      <c r="G50" s="44"/>
      <c r="H50" s="45"/>
      <c r="I50" s="31"/>
      <c r="J50" s="35"/>
      <c r="K50" s="35"/>
      <c r="L50" s="35"/>
      <c r="M50" s="35"/>
      <c r="N50" s="35"/>
      <c r="O50" s="35"/>
      <c r="P50" s="35"/>
      <c r="Q50" s="36"/>
      <c r="R50" s="34"/>
      <c r="S50" s="35"/>
      <c r="T50" s="35"/>
      <c r="U50" s="35"/>
      <c r="V50" s="35"/>
      <c r="W50" s="35"/>
      <c r="X50" s="36"/>
      <c r="Y50" s="440"/>
      <c r="Z50" s="441"/>
      <c r="AA50" s="442"/>
      <c r="AB50" s="443"/>
      <c r="AC50" s="444"/>
      <c r="AD50" s="51"/>
      <c r="AE50" s="29" t="s">
        <v>244</v>
      </c>
      <c r="AF50" s="29"/>
      <c r="AG50" s="29"/>
      <c r="AH50" s="28"/>
      <c r="AI50" s="28"/>
      <c r="AJ50" s="28"/>
      <c r="AK50" s="28"/>
      <c r="AL50" s="28"/>
      <c r="AM50" s="28"/>
      <c r="AN50" s="28"/>
      <c r="AO50" s="29"/>
      <c r="AP50" s="29"/>
      <c r="AQ50" s="29"/>
      <c r="AR50" s="29"/>
      <c r="AS50" s="42"/>
      <c r="AT50" s="49"/>
      <c r="AU50" s="48"/>
      <c r="AV50" s="48"/>
      <c r="AW50" s="48"/>
      <c r="AX50" s="48"/>
      <c r="AY50" s="48"/>
      <c r="AZ50" s="48"/>
      <c r="BA50" s="48"/>
      <c r="BB50" s="48"/>
      <c r="BC50" s="48"/>
      <c r="BD50" s="66"/>
    </row>
    <row r="51" spans="1:56" ht="14.4" customHeight="1">
      <c r="A51" s="70" t="str">
        <f>IF(B51="","",COUNTA($B$8:B51))</f>
        <v/>
      </c>
      <c r="B51" s="31"/>
      <c r="C51" s="44"/>
      <c r="D51" s="44"/>
      <c r="E51" s="44"/>
      <c r="F51" s="44"/>
      <c r="G51" s="44"/>
      <c r="H51" s="45"/>
      <c r="I51" s="31"/>
      <c r="J51" s="35"/>
      <c r="K51" s="35"/>
      <c r="L51" s="35"/>
      <c r="M51" s="35"/>
      <c r="N51" s="35"/>
      <c r="O51" s="35"/>
      <c r="P51" s="35"/>
      <c r="Q51" s="36"/>
      <c r="R51" s="34"/>
      <c r="S51" s="35"/>
      <c r="T51" s="35"/>
      <c r="U51" s="35"/>
      <c r="V51" s="35"/>
      <c r="W51" s="35"/>
      <c r="X51" s="36"/>
      <c r="Y51" s="440"/>
      <c r="Z51" s="441"/>
      <c r="AA51" s="442"/>
      <c r="AB51" s="443"/>
      <c r="AC51" s="444"/>
      <c r="AD51" s="51"/>
      <c r="AE51" s="29" t="s">
        <v>244</v>
      </c>
      <c r="AF51" s="29"/>
      <c r="AG51" s="29"/>
      <c r="AH51" s="28"/>
      <c r="AI51" s="28"/>
      <c r="AJ51" s="28"/>
      <c r="AK51" s="28"/>
      <c r="AL51" s="28"/>
      <c r="AM51" s="28"/>
      <c r="AN51" s="28"/>
      <c r="AO51" s="29"/>
      <c r="AP51" s="29"/>
      <c r="AQ51" s="29"/>
      <c r="AR51" s="29"/>
      <c r="AS51" s="42"/>
      <c r="AT51" s="49"/>
      <c r="AU51" s="48"/>
      <c r="AV51" s="48"/>
      <c r="AW51" s="48"/>
      <c r="AX51" s="48"/>
      <c r="AY51" s="48"/>
      <c r="AZ51" s="48"/>
      <c r="BA51" s="48"/>
      <c r="BB51" s="48"/>
      <c r="BC51" s="48"/>
      <c r="BD51" s="66"/>
    </row>
  </sheetData>
  <mergeCells count="118">
    <mergeCell ref="AA21:AC21"/>
    <mergeCell ref="Y50:Z50"/>
    <mergeCell ref="AA50:AC50"/>
    <mergeCell ref="Y51:Z51"/>
    <mergeCell ref="AA51:AC51"/>
    <mergeCell ref="AA32:AC32"/>
    <mergeCell ref="AA33:AC33"/>
    <mergeCell ref="AA34:AC34"/>
    <mergeCell ref="AA35:AC35"/>
    <mergeCell ref="AA39:AC39"/>
    <mergeCell ref="AA37:AC37"/>
    <mergeCell ref="AA38:AC38"/>
    <mergeCell ref="AA36:AC36"/>
    <mergeCell ref="Y32:Z32"/>
    <mergeCell ref="Y36:Z36"/>
    <mergeCell ref="Y37:Z37"/>
    <mergeCell ref="Y38:Z38"/>
    <mergeCell ref="AA45:AC45"/>
    <mergeCell ref="AA46:AC46"/>
    <mergeCell ref="AA47:AC47"/>
    <mergeCell ref="AA41:AC41"/>
    <mergeCell ref="AA42:AC42"/>
    <mergeCell ref="AA43:AC43"/>
    <mergeCell ref="AA44:AC44"/>
    <mergeCell ref="Y33:Z33"/>
    <mergeCell ref="Y34:Z34"/>
    <mergeCell ref="Y35:Z35"/>
    <mergeCell ref="AA40:AC40"/>
    <mergeCell ref="Y47:Z47"/>
    <mergeCell ref="Y46:Z46"/>
    <mergeCell ref="Y42:Z42"/>
    <mergeCell ref="Y43:Z43"/>
    <mergeCell ref="Y45:Z45"/>
    <mergeCell ref="Y44:Z44"/>
    <mergeCell ref="Y39:Z39"/>
    <mergeCell ref="Y40:Z40"/>
    <mergeCell ref="Y41:Z41"/>
    <mergeCell ref="Y28:Z28"/>
    <mergeCell ref="AA28:AC28"/>
    <mergeCell ref="AA29:AC29"/>
    <mergeCell ref="AA30:AC30"/>
    <mergeCell ref="AA31:AC31"/>
    <mergeCell ref="Y29:Z29"/>
    <mergeCell ref="Y27:Z27"/>
    <mergeCell ref="Y30:Z30"/>
    <mergeCell ref="Y31:Z31"/>
    <mergeCell ref="Y16:Z16"/>
    <mergeCell ref="Y10:Z10"/>
    <mergeCell ref="Y11:Z11"/>
    <mergeCell ref="Y15:Z15"/>
    <mergeCell ref="Y12:Z12"/>
    <mergeCell ref="AA27:AC27"/>
    <mergeCell ref="Y26:Z26"/>
    <mergeCell ref="AA26:AC26"/>
    <mergeCell ref="Y18:Z18"/>
    <mergeCell ref="AA15:AC15"/>
    <mergeCell ref="AA16:AC16"/>
    <mergeCell ref="AA17:AC17"/>
    <mergeCell ref="Y17:Z17"/>
    <mergeCell ref="Y20:Z20"/>
    <mergeCell ref="AA20:AC20"/>
    <mergeCell ref="Y22:Z22"/>
    <mergeCell ref="AA22:AC22"/>
    <mergeCell ref="Y23:Z23"/>
    <mergeCell ref="AA23:AC23"/>
    <mergeCell ref="Y24:Z24"/>
    <mergeCell ref="AA24:AC24"/>
    <mergeCell ref="Y25:Z25"/>
    <mergeCell ref="AA25:AC25"/>
    <mergeCell ref="Y21:Z21"/>
    <mergeCell ref="A6:A7"/>
    <mergeCell ref="A1:H4"/>
    <mergeCell ref="I1:Q1"/>
    <mergeCell ref="R1:X1"/>
    <mergeCell ref="Y1:AO1"/>
    <mergeCell ref="AH6:AH7"/>
    <mergeCell ref="AI6:AR6"/>
    <mergeCell ref="AE6:AE7"/>
    <mergeCell ref="AF6:AF7"/>
    <mergeCell ref="AG6:AG7"/>
    <mergeCell ref="B6:H7"/>
    <mergeCell ref="I6:Q7"/>
    <mergeCell ref="R6:X7"/>
    <mergeCell ref="Y6:Z7"/>
    <mergeCell ref="AA6:AC7"/>
    <mergeCell ref="AP1:AT1"/>
    <mergeCell ref="AS6:BD7"/>
    <mergeCell ref="AD6:AD7"/>
    <mergeCell ref="AU3:AY3"/>
    <mergeCell ref="AZ3:BD3"/>
    <mergeCell ref="Y4:AO4"/>
    <mergeCell ref="AU4:AY4"/>
    <mergeCell ref="AZ4:BD4"/>
    <mergeCell ref="AP2:AT2"/>
    <mergeCell ref="Y48:Z48"/>
    <mergeCell ref="AA48:AC48"/>
    <mergeCell ref="Y49:Z49"/>
    <mergeCell ref="AA49:AC49"/>
    <mergeCell ref="AU1:AY1"/>
    <mergeCell ref="AZ1:BD1"/>
    <mergeCell ref="I2:Q4"/>
    <mergeCell ref="R2:X4"/>
    <mergeCell ref="Y2:AO3"/>
    <mergeCell ref="AZ2:BD2"/>
    <mergeCell ref="Y13:Z13"/>
    <mergeCell ref="Y14:Z14"/>
    <mergeCell ref="AA11:AC11"/>
    <mergeCell ref="AA12:AC12"/>
    <mergeCell ref="AA13:AC13"/>
    <mergeCell ref="AA14:AC14"/>
    <mergeCell ref="AP3:AT3"/>
    <mergeCell ref="AP4:AT4"/>
    <mergeCell ref="AA8:AC8"/>
    <mergeCell ref="AA9:AC9"/>
    <mergeCell ref="AA10:AC10"/>
    <mergeCell ref="Y8:Z8"/>
    <mergeCell ref="Y9:Z9"/>
    <mergeCell ref="AA18:AC18"/>
  </mergeCells>
  <phoneticPr fontId="5"/>
  <dataValidations count="3">
    <dataValidation imeMode="hiragana" allowBlank="1" showInputMessage="1" showErrorMessage="1" sqref="Z262151:AJ262153 Z196615:AJ196617 Z131079:AJ131081 Z65543:AJ65545 Z983047:AJ983049 Z917511:AJ917513 Z851975:AJ851977 Z786439:AJ786441 Z720903:AJ720905 Z655367:AJ655369 Z589831:AJ589833 Z524295:AJ524297 Z458759:AJ458761 Z393223:AJ393225 Z327687:AJ327689 R2"/>
    <dataValidation type="list" allowBlank="1" showInputMessage="1" showErrorMessage="1" sqref="Y8:Z51">
      <formula1>"文字,数値,日付,時間"</formula1>
    </dataValidation>
    <dataValidation type="list" allowBlank="1" showInputMessage="1" showErrorMessage="1" sqref="AA8:AC51">
      <formula1>"int,numeric,varchar,date,datetime2(0),datetime2,varbinary(max)"</formula1>
    </dataValidation>
  </dataValidations>
  <pageMargins left="0.39370078740157483" right="0.39370078740157483" top="0.59055118110236227" bottom="0.39370078740157483" header="0.39370078740157483" footer="0.19685039370078741"/>
  <pageSetup paperSize="9" scale="80" fitToHeight="0" orientation="landscape" useFirstPageNumber="1" verticalDpi="300" r:id="rId1"/>
  <headerFooter alignWithMargins="0">
    <oddFooter>&amp;R&amp;A - &amp;P</oddFooter>
  </headerFooter>
  <legacyDrawing r:id="rId2"/>
</worksheet>
</file>

<file path=xl/worksheets/sheet1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31">
    <tabColor rgb="FFFFC000"/>
  </sheetPr>
  <dimension ref="A1:BE46"/>
  <sheetViews>
    <sheetView showGridLines="0" zoomScaleNormal="100" zoomScaleSheetLayoutView="100" workbookViewId="0">
      <pane ySplit="7" topLeftCell="A8" activePane="bottomLeft" state="frozen"/>
      <selection sqref="A1:K4"/>
      <selection pane="bottomLeft" sqref="A1:H4"/>
    </sheetView>
  </sheetViews>
  <sheetFormatPr defaultColWidth="2.6328125" defaultRowHeight="14.4" customHeight="1"/>
  <cols>
    <col min="1" max="1" width="4.6328125" style="18" customWidth="1"/>
    <col min="2" max="26" width="2.6328125" style="18"/>
    <col min="27" max="27" width="2.6328125" style="18" customWidth="1"/>
    <col min="28" max="29" width="2.6328125" style="18"/>
    <col min="30" max="30" width="4.6328125" style="18" customWidth="1"/>
    <col min="31" max="31" width="2.6328125" style="18" customWidth="1"/>
    <col min="32" max="33" width="2.6328125" style="18"/>
    <col min="34" max="34" width="6.6328125" style="18" customWidth="1"/>
    <col min="35" max="41" width="2.6328125" style="18"/>
    <col min="42" max="56" width="2.6328125" style="46"/>
    <col min="57" max="16384" width="2.6328125" style="18"/>
  </cols>
  <sheetData>
    <row r="1" spans="1:57" s="17" customFormat="1" ht="14.4" customHeight="1">
      <c r="A1" s="417" t="s">
        <v>78</v>
      </c>
      <c r="B1" s="418"/>
      <c r="C1" s="418"/>
      <c r="D1" s="418"/>
      <c r="E1" s="418"/>
      <c r="F1" s="418"/>
      <c r="G1" s="418"/>
      <c r="H1" s="419"/>
      <c r="I1" s="354" t="s">
        <v>79</v>
      </c>
      <c r="J1" s="355"/>
      <c r="K1" s="355"/>
      <c r="L1" s="355"/>
      <c r="M1" s="355"/>
      <c r="N1" s="355"/>
      <c r="O1" s="355"/>
      <c r="P1" s="355"/>
      <c r="Q1" s="356"/>
      <c r="R1" s="354" t="s">
        <v>80</v>
      </c>
      <c r="S1" s="355"/>
      <c r="T1" s="355"/>
      <c r="U1" s="355"/>
      <c r="V1" s="355"/>
      <c r="W1" s="355"/>
      <c r="X1" s="356"/>
      <c r="Y1" s="354" t="s">
        <v>135</v>
      </c>
      <c r="Z1" s="355"/>
      <c r="AA1" s="355"/>
      <c r="AB1" s="355"/>
      <c r="AC1" s="355"/>
      <c r="AD1" s="355"/>
      <c r="AE1" s="355"/>
      <c r="AF1" s="355"/>
      <c r="AG1" s="355"/>
      <c r="AH1" s="355"/>
      <c r="AI1" s="355"/>
      <c r="AJ1" s="355"/>
      <c r="AK1" s="355"/>
      <c r="AL1" s="355"/>
      <c r="AM1" s="355"/>
      <c r="AN1" s="355"/>
      <c r="AO1" s="356"/>
      <c r="AP1" s="428" t="s">
        <v>82</v>
      </c>
      <c r="AQ1" s="429"/>
      <c r="AR1" s="429"/>
      <c r="AS1" s="429"/>
      <c r="AT1" s="430"/>
      <c r="AU1" s="428" t="s">
        <v>83</v>
      </c>
      <c r="AV1" s="429"/>
      <c r="AW1" s="429"/>
      <c r="AX1" s="429"/>
      <c r="AY1" s="430"/>
      <c r="AZ1" s="428" t="s">
        <v>84</v>
      </c>
      <c r="BA1" s="429"/>
      <c r="BB1" s="429"/>
      <c r="BC1" s="429"/>
      <c r="BD1" s="430"/>
    </row>
    <row r="2" spans="1:57" s="17" customFormat="1" ht="14.4" customHeight="1">
      <c r="A2" s="420"/>
      <c r="B2" s="421"/>
      <c r="C2" s="421"/>
      <c r="D2" s="421"/>
      <c r="E2" s="421"/>
      <c r="F2" s="421"/>
      <c r="G2" s="421"/>
      <c r="H2" s="422"/>
      <c r="I2" s="384" t="s">
        <v>85</v>
      </c>
      <c r="J2" s="385"/>
      <c r="K2" s="385"/>
      <c r="L2" s="385"/>
      <c r="M2" s="385"/>
      <c r="N2" s="385"/>
      <c r="O2" s="385"/>
      <c r="P2" s="385"/>
      <c r="Q2" s="386"/>
      <c r="R2" s="384" t="str">
        <f ca="1">VLOOKUP(RIGHT(CELL("filename",A2),LEN(CELL("filename",A2))-FIND("]",CELL("filename",A2))),テーブル一覧!B:AD,22,FALSE)</f>
        <v>B.生産計画</v>
      </c>
      <c r="S2" s="385"/>
      <c r="T2" s="385"/>
      <c r="U2" s="385"/>
      <c r="V2" s="385"/>
      <c r="W2" s="385"/>
      <c r="X2" s="386"/>
      <c r="Y2" s="384" t="str">
        <f ca="1">VLOOKUP(RIGHT(CELL("filename",A2),LEN(CELL("filename",A2))-FIND("]",CELL("filename",A2))),テーブル一覧!B:AD,1,FALSE)</f>
        <v>生産指示明細情報（原材料）</v>
      </c>
      <c r="Z2" s="385"/>
      <c r="AA2" s="385"/>
      <c r="AB2" s="385"/>
      <c r="AC2" s="385"/>
      <c r="AD2" s="385"/>
      <c r="AE2" s="385"/>
      <c r="AF2" s="385"/>
      <c r="AG2" s="385"/>
      <c r="AH2" s="385"/>
      <c r="AI2" s="385"/>
      <c r="AJ2" s="385"/>
      <c r="AK2" s="385"/>
      <c r="AL2" s="385"/>
      <c r="AM2" s="385"/>
      <c r="AN2" s="385"/>
      <c r="AO2" s="386"/>
      <c r="AP2" s="357"/>
      <c r="AQ2" s="358"/>
      <c r="AR2" s="358"/>
      <c r="AS2" s="358"/>
      <c r="AT2" s="359"/>
      <c r="AU2" s="58" t="s">
        <v>88</v>
      </c>
      <c r="AV2" s="59"/>
      <c r="AW2" s="59"/>
      <c r="AX2" s="59"/>
      <c r="AY2" s="60"/>
      <c r="AZ2" s="434" t="s">
        <v>89</v>
      </c>
      <c r="BA2" s="435"/>
      <c r="BB2" s="435"/>
      <c r="BC2" s="435"/>
      <c r="BD2" s="436"/>
    </row>
    <row r="3" spans="1:57" s="17" customFormat="1" ht="14.4" customHeight="1">
      <c r="A3" s="420"/>
      <c r="B3" s="421"/>
      <c r="C3" s="421"/>
      <c r="D3" s="421"/>
      <c r="E3" s="421"/>
      <c r="F3" s="421"/>
      <c r="G3" s="421"/>
      <c r="H3" s="422"/>
      <c r="I3" s="387"/>
      <c r="J3" s="388"/>
      <c r="K3" s="388"/>
      <c r="L3" s="388"/>
      <c r="M3" s="388"/>
      <c r="N3" s="388"/>
      <c r="O3" s="388"/>
      <c r="P3" s="388"/>
      <c r="Q3" s="389"/>
      <c r="R3" s="387"/>
      <c r="S3" s="388"/>
      <c r="T3" s="388"/>
      <c r="U3" s="388"/>
      <c r="V3" s="388"/>
      <c r="W3" s="388"/>
      <c r="X3" s="389"/>
      <c r="Y3" s="390"/>
      <c r="Z3" s="391"/>
      <c r="AA3" s="391"/>
      <c r="AB3" s="391"/>
      <c r="AC3" s="391"/>
      <c r="AD3" s="391"/>
      <c r="AE3" s="391"/>
      <c r="AF3" s="391"/>
      <c r="AG3" s="391"/>
      <c r="AH3" s="391"/>
      <c r="AI3" s="391"/>
      <c r="AJ3" s="391"/>
      <c r="AK3" s="391"/>
      <c r="AL3" s="391"/>
      <c r="AM3" s="391"/>
      <c r="AN3" s="391"/>
      <c r="AO3" s="392"/>
      <c r="AP3" s="360"/>
      <c r="AQ3" s="361"/>
      <c r="AR3" s="361"/>
      <c r="AS3" s="361"/>
      <c r="AT3" s="362"/>
      <c r="AU3" s="431"/>
      <c r="AV3" s="432"/>
      <c r="AW3" s="432"/>
      <c r="AX3" s="432"/>
      <c r="AY3" s="433"/>
      <c r="AZ3" s="434"/>
      <c r="BA3" s="435"/>
      <c r="BB3" s="435"/>
      <c r="BC3" s="435"/>
      <c r="BD3" s="436"/>
    </row>
    <row r="4" spans="1:57" s="17" customFormat="1" ht="14.4" customHeight="1">
      <c r="A4" s="423"/>
      <c r="B4" s="424"/>
      <c r="C4" s="424"/>
      <c r="D4" s="424"/>
      <c r="E4" s="424"/>
      <c r="F4" s="424"/>
      <c r="G4" s="424"/>
      <c r="H4" s="425"/>
      <c r="I4" s="390"/>
      <c r="J4" s="391"/>
      <c r="K4" s="391"/>
      <c r="L4" s="391"/>
      <c r="M4" s="391"/>
      <c r="N4" s="391"/>
      <c r="O4" s="391"/>
      <c r="P4" s="391"/>
      <c r="Q4" s="392"/>
      <c r="R4" s="390"/>
      <c r="S4" s="391"/>
      <c r="T4" s="391"/>
      <c r="U4" s="391"/>
      <c r="V4" s="391"/>
      <c r="W4" s="391"/>
      <c r="X4" s="392"/>
      <c r="Y4" s="437" t="str">
        <f ca="1">IF(VLOOKUP(RIGHT(CELL("filename",A2),LEN(CELL("filename",A2))-FIND("]",CELL("filename",A2))),テーブル一覧!B:AD,11,FALSE)=0,"",VLOOKUP(RIGHT(CELL("filename",A2),LEN(CELL("filename",A2))-FIND("]",CELL("filename",A2))),テーブル一覧!B:AD,11,FALSE))</f>
        <v>t_seisan_shiji_genzairyo_m</v>
      </c>
      <c r="Z4" s="438"/>
      <c r="AA4" s="438"/>
      <c r="AB4" s="438"/>
      <c r="AC4" s="438"/>
      <c r="AD4" s="438"/>
      <c r="AE4" s="438"/>
      <c r="AF4" s="438"/>
      <c r="AG4" s="438"/>
      <c r="AH4" s="438"/>
      <c r="AI4" s="438"/>
      <c r="AJ4" s="438"/>
      <c r="AK4" s="438"/>
      <c r="AL4" s="438"/>
      <c r="AM4" s="438"/>
      <c r="AN4" s="438"/>
      <c r="AO4" s="439"/>
      <c r="AP4" s="360"/>
      <c r="AQ4" s="361"/>
      <c r="AR4" s="361"/>
      <c r="AS4" s="361"/>
      <c r="AT4" s="362"/>
      <c r="AU4" s="431"/>
      <c r="AV4" s="432"/>
      <c r="AW4" s="432"/>
      <c r="AX4" s="432"/>
      <c r="AY4" s="433"/>
      <c r="AZ4" s="434"/>
      <c r="BA4" s="435"/>
      <c r="BB4" s="435"/>
      <c r="BC4" s="435"/>
      <c r="BD4" s="436"/>
    </row>
    <row r="6" spans="1:57" ht="14.4" customHeight="1">
      <c r="A6" s="426" t="s">
        <v>90</v>
      </c>
      <c r="B6" s="407" t="s">
        <v>136</v>
      </c>
      <c r="C6" s="415"/>
      <c r="D6" s="415"/>
      <c r="E6" s="415"/>
      <c r="F6" s="415"/>
      <c r="G6" s="415"/>
      <c r="H6" s="408"/>
      <c r="I6" s="407" t="s">
        <v>137</v>
      </c>
      <c r="J6" s="415"/>
      <c r="K6" s="415"/>
      <c r="L6" s="415"/>
      <c r="M6" s="415"/>
      <c r="N6" s="415"/>
      <c r="O6" s="415"/>
      <c r="P6" s="415"/>
      <c r="Q6" s="408"/>
      <c r="R6" s="407" t="s">
        <v>138</v>
      </c>
      <c r="S6" s="415"/>
      <c r="T6" s="415"/>
      <c r="U6" s="415"/>
      <c r="V6" s="415"/>
      <c r="W6" s="415"/>
      <c r="X6" s="408"/>
      <c r="Y6" s="407" t="s">
        <v>139</v>
      </c>
      <c r="Z6" s="408"/>
      <c r="AA6" s="407" t="s">
        <v>140</v>
      </c>
      <c r="AB6" s="415"/>
      <c r="AC6" s="408"/>
      <c r="AD6" s="411" t="s">
        <v>141</v>
      </c>
      <c r="AE6" s="413" t="s">
        <v>142</v>
      </c>
      <c r="AF6" s="411" t="s">
        <v>143</v>
      </c>
      <c r="AG6" s="411" t="s">
        <v>144</v>
      </c>
      <c r="AH6" s="411" t="s">
        <v>145</v>
      </c>
      <c r="AI6" s="404" t="s">
        <v>146</v>
      </c>
      <c r="AJ6" s="405"/>
      <c r="AK6" s="405"/>
      <c r="AL6" s="405"/>
      <c r="AM6" s="405"/>
      <c r="AN6" s="405"/>
      <c r="AO6" s="405"/>
      <c r="AP6" s="405"/>
      <c r="AQ6" s="405"/>
      <c r="AR6" s="406"/>
      <c r="AS6" s="407" t="s">
        <v>147</v>
      </c>
      <c r="AT6" s="415"/>
      <c r="AU6" s="415"/>
      <c r="AV6" s="415"/>
      <c r="AW6" s="415"/>
      <c r="AX6" s="415"/>
      <c r="AY6" s="415"/>
      <c r="AZ6" s="415"/>
      <c r="BA6" s="415"/>
      <c r="BB6" s="415"/>
      <c r="BC6" s="415"/>
      <c r="BD6" s="408"/>
    </row>
    <row r="7" spans="1:57" ht="14.4" customHeight="1">
      <c r="A7" s="427"/>
      <c r="B7" s="409"/>
      <c r="C7" s="416"/>
      <c r="D7" s="416"/>
      <c r="E7" s="416"/>
      <c r="F7" s="416"/>
      <c r="G7" s="416"/>
      <c r="H7" s="410"/>
      <c r="I7" s="409"/>
      <c r="J7" s="416"/>
      <c r="K7" s="416"/>
      <c r="L7" s="416"/>
      <c r="M7" s="416"/>
      <c r="N7" s="416"/>
      <c r="O7" s="416"/>
      <c r="P7" s="416"/>
      <c r="Q7" s="410"/>
      <c r="R7" s="409"/>
      <c r="S7" s="416"/>
      <c r="T7" s="416"/>
      <c r="U7" s="416"/>
      <c r="V7" s="416"/>
      <c r="W7" s="416"/>
      <c r="X7" s="410"/>
      <c r="Y7" s="409"/>
      <c r="Z7" s="410"/>
      <c r="AA7" s="409"/>
      <c r="AB7" s="416"/>
      <c r="AC7" s="410"/>
      <c r="AD7" s="412"/>
      <c r="AE7" s="414"/>
      <c r="AF7" s="412"/>
      <c r="AG7" s="412"/>
      <c r="AH7" s="412"/>
      <c r="AI7" s="52">
        <v>1</v>
      </c>
      <c r="AJ7" s="52">
        <v>2</v>
      </c>
      <c r="AK7" s="52">
        <v>3</v>
      </c>
      <c r="AL7" s="52">
        <v>4</v>
      </c>
      <c r="AM7" s="52">
        <v>5</v>
      </c>
      <c r="AN7" s="52">
        <v>6</v>
      </c>
      <c r="AO7" s="52">
        <v>7</v>
      </c>
      <c r="AP7" s="52">
        <v>8</v>
      </c>
      <c r="AQ7" s="52">
        <v>9</v>
      </c>
      <c r="AR7" s="52">
        <v>10</v>
      </c>
      <c r="AS7" s="409"/>
      <c r="AT7" s="416"/>
      <c r="AU7" s="416"/>
      <c r="AV7" s="416"/>
      <c r="AW7" s="416"/>
      <c r="AX7" s="416"/>
      <c r="AY7" s="416"/>
      <c r="AZ7" s="416"/>
      <c r="BA7" s="416"/>
      <c r="BB7" s="416"/>
      <c r="BC7" s="416"/>
      <c r="BD7" s="410"/>
    </row>
    <row r="8" spans="1:57" ht="14.4" customHeight="1">
      <c r="A8" s="50">
        <f>IF(B8="","",COUNTA($B$8:B8))</f>
        <v>1</v>
      </c>
      <c r="B8" s="19" t="s">
        <v>148</v>
      </c>
      <c r="C8" s="20"/>
      <c r="D8" s="20"/>
      <c r="E8" s="20"/>
      <c r="F8" s="20"/>
      <c r="G8" s="20"/>
      <c r="H8" s="24"/>
      <c r="I8" s="31" t="s">
        <v>149</v>
      </c>
      <c r="J8" s="23"/>
      <c r="K8" s="23"/>
      <c r="L8" s="23"/>
      <c r="M8" s="23"/>
      <c r="N8" s="23"/>
      <c r="O8" s="23"/>
      <c r="P8" s="23"/>
      <c r="Q8" s="37"/>
      <c r="R8" s="19" t="s">
        <v>148</v>
      </c>
      <c r="S8" s="23"/>
      <c r="T8" s="23"/>
      <c r="U8" s="23"/>
      <c r="V8" s="23"/>
      <c r="W8" s="23"/>
      <c r="X8" s="24"/>
      <c r="Y8" s="440" t="s">
        <v>150</v>
      </c>
      <c r="Z8" s="441"/>
      <c r="AA8" s="442" t="s">
        <v>151</v>
      </c>
      <c r="AB8" s="443"/>
      <c r="AC8" s="444"/>
      <c r="AD8" s="27">
        <v>15</v>
      </c>
      <c r="AE8" s="29"/>
      <c r="AF8" s="29">
        <v>1</v>
      </c>
      <c r="AG8" s="28" t="s">
        <v>152</v>
      </c>
      <c r="AH8" s="28"/>
      <c r="AI8" s="28"/>
      <c r="AJ8" s="28"/>
      <c r="AK8" s="28"/>
      <c r="AL8" s="28"/>
      <c r="AM8" s="28"/>
      <c r="AN8" s="28"/>
      <c r="AO8" s="29"/>
      <c r="AP8" s="29"/>
      <c r="AQ8" s="29"/>
      <c r="AR8" s="29"/>
      <c r="AS8" s="47"/>
      <c r="AT8" s="48"/>
      <c r="AU8" s="48"/>
      <c r="AV8" s="48"/>
      <c r="AW8" s="48"/>
      <c r="AX8" s="48"/>
      <c r="AY8" s="48"/>
      <c r="AZ8" s="48"/>
      <c r="BA8" s="48"/>
      <c r="BB8" s="48"/>
      <c r="BC8" s="48"/>
      <c r="BD8" s="66"/>
    </row>
    <row r="9" spans="1:57" ht="14.4" customHeight="1">
      <c r="A9" s="79">
        <f>IF(B9="","",COUNTA($B$8:B9))</f>
        <v>2</v>
      </c>
      <c r="B9" s="153" t="s">
        <v>398</v>
      </c>
      <c r="C9" s="78"/>
      <c r="D9" s="78"/>
      <c r="E9" s="78"/>
      <c r="F9" s="78"/>
      <c r="G9" s="78"/>
      <c r="H9" s="21"/>
      <c r="I9" s="75" t="s">
        <v>399</v>
      </c>
      <c r="J9" s="71"/>
      <c r="K9" s="71"/>
      <c r="L9" s="71"/>
      <c r="M9" s="71"/>
      <c r="N9" s="71"/>
      <c r="O9" s="71"/>
      <c r="P9" s="71"/>
      <c r="Q9" s="81"/>
      <c r="R9" s="153" t="s">
        <v>398</v>
      </c>
      <c r="S9" s="71"/>
      <c r="T9" s="71"/>
      <c r="U9" s="71"/>
      <c r="V9" s="71"/>
      <c r="W9" s="71"/>
      <c r="X9" s="21"/>
      <c r="Y9" s="476" t="s">
        <v>150</v>
      </c>
      <c r="Z9" s="477"/>
      <c r="AA9" s="478" t="s">
        <v>151</v>
      </c>
      <c r="AB9" s="479"/>
      <c r="AC9" s="480"/>
      <c r="AD9" s="72">
        <v>30</v>
      </c>
      <c r="AE9" s="74"/>
      <c r="AF9" s="74">
        <v>2</v>
      </c>
      <c r="AG9" s="73" t="s">
        <v>152</v>
      </c>
      <c r="AH9" s="73"/>
      <c r="AI9" s="73"/>
      <c r="AJ9" s="73"/>
      <c r="AK9" s="73"/>
      <c r="AL9" s="73"/>
      <c r="AM9" s="73"/>
      <c r="AN9" s="73"/>
      <c r="AO9" s="74"/>
      <c r="AP9" s="74"/>
      <c r="AQ9" s="74"/>
      <c r="AR9" s="74"/>
      <c r="AS9" s="75" t="s">
        <v>400</v>
      </c>
      <c r="AT9" s="76"/>
      <c r="AU9" s="76"/>
      <c r="AV9" s="76"/>
      <c r="AW9" s="76"/>
      <c r="AX9" s="76"/>
      <c r="AY9" s="76"/>
      <c r="AZ9" s="76"/>
      <c r="BA9" s="76"/>
      <c r="BB9" s="76"/>
      <c r="BC9" s="76"/>
      <c r="BD9" s="77"/>
    </row>
    <row r="10" spans="1:57" ht="14.4" customHeight="1">
      <c r="A10" s="80" t="str">
        <f>IF(B10="","",COUNTA($B$8:B10))</f>
        <v/>
      </c>
      <c r="B10" s="154"/>
      <c r="C10" s="155"/>
      <c r="D10" s="155"/>
      <c r="E10" s="155"/>
      <c r="F10" s="155"/>
      <c r="G10" s="155"/>
      <c r="H10" s="156"/>
      <c r="I10" s="157"/>
      <c r="J10" s="158"/>
      <c r="K10" s="158"/>
      <c r="L10" s="158"/>
      <c r="M10" s="158"/>
      <c r="N10" s="158"/>
      <c r="O10" s="158"/>
      <c r="P10" s="158"/>
      <c r="Q10" s="159"/>
      <c r="R10" s="154"/>
      <c r="S10" s="158"/>
      <c r="T10" s="158"/>
      <c r="U10" s="158"/>
      <c r="V10" s="158"/>
      <c r="W10" s="158"/>
      <c r="X10" s="156"/>
      <c r="Y10" s="154"/>
      <c r="Z10" s="160"/>
      <c r="AA10" s="473"/>
      <c r="AB10" s="474"/>
      <c r="AC10" s="475"/>
      <c r="AD10" s="161"/>
      <c r="AE10" s="162" t="s">
        <v>244</v>
      </c>
      <c r="AF10" s="162"/>
      <c r="AG10" s="162"/>
      <c r="AH10" s="163"/>
      <c r="AI10" s="163"/>
      <c r="AJ10" s="163"/>
      <c r="AK10" s="163"/>
      <c r="AL10" s="163"/>
      <c r="AM10" s="163"/>
      <c r="AN10" s="163"/>
      <c r="AO10" s="162"/>
      <c r="AP10" s="162"/>
      <c r="AQ10" s="162"/>
      <c r="AR10" s="162"/>
      <c r="AS10" s="157" t="s">
        <v>401</v>
      </c>
      <c r="AT10" s="164"/>
      <c r="AU10" s="164"/>
      <c r="AV10" s="164"/>
      <c r="AW10" s="164"/>
      <c r="AX10" s="164"/>
      <c r="AY10" s="164"/>
      <c r="AZ10" s="164"/>
      <c r="BA10" s="164"/>
      <c r="BB10" s="164"/>
      <c r="BC10" s="164"/>
      <c r="BD10" s="165"/>
    </row>
    <row r="11" spans="1:57" ht="14.4" customHeight="1">
      <c r="A11" s="50">
        <f>IF(B11="","",COUNTA($B$8:B11))</f>
        <v>3</v>
      </c>
      <c r="B11" s="25" t="s">
        <v>347</v>
      </c>
      <c r="C11" s="26"/>
      <c r="D11" s="26"/>
      <c r="E11" s="26"/>
      <c r="F11" s="26"/>
      <c r="G11" s="26"/>
      <c r="H11" s="39"/>
      <c r="I11" s="31" t="s">
        <v>348</v>
      </c>
      <c r="J11" s="23"/>
      <c r="K11" s="23"/>
      <c r="L11" s="23"/>
      <c r="M11" s="23"/>
      <c r="N11" s="23"/>
      <c r="O11" s="23"/>
      <c r="P11" s="23"/>
      <c r="Q11" s="37"/>
      <c r="R11" s="25" t="s">
        <v>347</v>
      </c>
      <c r="S11" s="23"/>
      <c r="T11" s="23"/>
      <c r="U11" s="23"/>
      <c r="V11" s="23"/>
      <c r="W11" s="23"/>
      <c r="X11" s="24"/>
      <c r="Y11" s="440" t="s">
        <v>155</v>
      </c>
      <c r="Z11" s="441"/>
      <c r="AA11" s="442" t="s">
        <v>156</v>
      </c>
      <c r="AB11" s="443"/>
      <c r="AC11" s="444"/>
      <c r="AD11" s="27">
        <v>3</v>
      </c>
      <c r="AE11" s="29"/>
      <c r="AF11" s="29">
        <v>3</v>
      </c>
      <c r="AG11" s="28" t="s">
        <v>152</v>
      </c>
      <c r="AH11" s="28"/>
      <c r="AI11" s="28"/>
      <c r="AJ11" s="28"/>
      <c r="AK11" s="28"/>
      <c r="AL11" s="28"/>
      <c r="AM11" s="28"/>
      <c r="AN11" s="28"/>
      <c r="AO11" s="29"/>
      <c r="AP11" s="29"/>
      <c r="AQ11" s="29"/>
      <c r="AR11" s="29"/>
      <c r="AS11" s="31" t="s">
        <v>402</v>
      </c>
      <c r="AT11" s="67"/>
      <c r="AU11" s="67"/>
      <c r="AV11" s="67"/>
      <c r="AW11" s="67"/>
      <c r="AX11" s="67"/>
      <c r="AY11" s="67"/>
      <c r="AZ11" s="67"/>
      <c r="BA11" s="67"/>
      <c r="BB11" s="67"/>
      <c r="BC11" s="67"/>
      <c r="BD11" s="68"/>
    </row>
    <row r="12" spans="1:57" ht="14.4" customHeight="1">
      <c r="A12" s="145">
        <f>IF(B12="","",COUNTA($B$8:B12))</f>
        <v>4</v>
      </c>
      <c r="B12" s="8" t="s">
        <v>197</v>
      </c>
      <c r="C12" s="127"/>
      <c r="D12" s="127"/>
      <c r="E12" s="127"/>
      <c r="F12" s="127"/>
      <c r="G12" s="127"/>
      <c r="H12" s="148"/>
      <c r="I12" s="128" t="s">
        <v>198</v>
      </c>
      <c r="J12" s="129"/>
      <c r="K12" s="129"/>
      <c r="L12" s="129"/>
      <c r="M12" s="129"/>
      <c r="N12" s="129"/>
      <c r="O12" s="129"/>
      <c r="P12" s="129"/>
      <c r="Q12" s="147"/>
      <c r="R12" s="8" t="s">
        <v>197</v>
      </c>
      <c r="S12" s="129"/>
      <c r="T12" s="129"/>
      <c r="U12" s="129"/>
      <c r="V12" s="129"/>
      <c r="W12" s="129"/>
      <c r="X12" s="148"/>
      <c r="Y12" s="451" t="s">
        <v>150</v>
      </c>
      <c r="Z12" s="452"/>
      <c r="AA12" s="448" t="s">
        <v>151</v>
      </c>
      <c r="AB12" s="449"/>
      <c r="AC12" s="450"/>
      <c r="AD12" s="139">
        <v>5</v>
      </c>
      <c r="AE12" s="124"/>
      <c r="AF12" s="124"/>
      <c r="AG12" s="124"/>
      <c r="AH12" s="133"/>
      <c r="AI12" s="133"/>
      <c r="AJ12" s="133"/>
      <c r="AK12" s="133"/>
      <c r="AL12" s="133"/>
      <c r="AM12" s="133"/>
      <c r="AN12" s="133"/>
      <c r="AO12" s="124"/>
      <c r="AP12" s="124"/>
      <c r="AQ12" s="124"/>
      <c r="AR12" s="124"/>
      <c r="AS12" s="131"/>
      <c r="AT12" s="137"/>
      <c r="AU12" s="137"/>
      <c r="AV12" s="137"/>
      <c r="AW12" s="137"/>
      <c r="AX12" s="137"/>
      <c r="AY12" s="137"/>
      <c r="AZ12" s="137"/>
      <c r="BA12" s="137"/>
      <c r="BB12" s="137"/>
      <c r="BC12" s="137"/>
      <c r="BD12" s="138"/>
    </row>
    <row r="13" spans="1:57" ht="14.4" customHeight="1">
      <c r="A13" s="50">
        <f>IF(B13="","",COUNTA($B$8:B13))</f>
        <v>5</v>
      </c>
      <c r="B13" s="25" t="s">
        <v>199</v>
      </c>
      <c r="C13" s="26"/>
      <c r="D13" s="26"/>
      <c r="E13" s="26"/>
      <c r="F13" s="26"/>
      <c r="G13" s="26"/>
      <c r="H13" s="39"/>
      <c r="I13" s="31" t="s">
        <v>200</v>
      </c>
      <c r="J13" s="23"/>
      <c r="K13" s="23"/>
      <c r="L13" s="23"/>
      <c r="M13" s="23"/>
      <c r="N13" s="23"/>
      <c r="O13" s="23"/>
      <c r="P13" s="23"/>
      <c r="Q13" s="37"/>
      <c r="R13" s="25" t="s">
        <v>199</v>
      </c>
      <c r="S13" s="23"/>
      <c r="T13" s="23"/>
      <c r="U13" s="23"/>
      <c r="V13" s="23"/>
      <c r="W13" s="23"/>
      <c r="X13" s="24"/>
      <c r="Y13" s="440" t="s">
        <v>150</v>
      </c>
      <c r="Z13" s="441"/>
      <c r="AA13" s="442" t="s">
        <v>151</v>
      </c>
      <c r="AB13" s="443"/>
      <c r="AC13" s="444"/>
      <c r="AD13" s="96">
        <v>20</v>
      </c>
      <c r="AE13" s="29"/>
      <c r="AF13" s="29"/>
      <c r="AG13" s="29"/>
      <c r="AH13" s="28"/>
      <c r="AI13" s="28"/>
      <c r="AJ13" s="28"/>
      <c r="AK13" s="28"/>
      <c r="AL13" s="28"/>
      <c r="AM13" s="28"/>
      <c r="AN13" s="28"/>
      <c r="AO13" s="29"/>
      <c r="AP13" s="29"/>
      <c r="AQ13" s="29"/>
      <c r="AR13" s="29"/>
      <c r="AS13" s="31"/>
      <c r="AT13" s="67"/>
      <c r="AU13" s="67"/>
      <c r="AV13" s="67"/>
      <c r="AW13" s="67"/>
      <c r="AX13" s="67"/>
      <c r="AY13" s="67"/>
      <c r="AZ13" s="67"/>
      <c r="BA13" s="67"/>
      <c r="BB13" s="67"/>
      <c r="BC13" s="67"/>
      <c r="BD13" s="68"/>
      <c r="BE13" s="18" t="s">
        <v>1486</v>
      </c>
    </row>
    <row r="14" spans="1:57" ht="14.4" customHeight="1">
      <c r="A14" s="50">
        <f>IF(B14="","",COUNTA($B$8:B14))</f>
        <v>6</v>
      </c>
      <c r="B14" s="25" t="s">
        <v>201</v>
      </c>
      <c r="C14" s="26"/>
      <c r="D14" s="26"/>
      <c r="E14" s="26"/>
      <c r="F14" s="26"/>
      <c r="G14" s="26"/>
      <c r="H14" s="39"/>
      <c r="I14" s="31" t="s">
        <v>202</v>
      </c>
      <c r="J14" s="23"/>
      <c r="K14" s="23"/>
      <c r="L14" s="23"/>
      <c r="M14" s="23"/>
      <c r="N14" s="23"/>
      <c r="O14" s="23"/>
      <c r="P14" s="23"/>
      <c r="Q14" s="37"/>
      <c r="R14" s="25" t="s">
        <v>201</v>
      </c>
      <c r="S14" s="23"/>
      <c r="T14" s="23"/>
      <c r="U14" s="23"/>
      <c r="V14" s="23"/>
      <c r="W14" s="23"/>
      <c r="X14" s="24"/>
      <c r="Y14" s="440" t="s">
        <v>150</v>
      </c>
      <c r="Z14" s="441"/>
      <c r="AA14" s="442" t="s">
        <v>151</v>
      </c>
      <c r="AB14" s="443"/>
      <c r="AC14" s="444"/>
      <c r="AD14" s="27">
        <v>30</v>
      </c>
      <c r="AE14" s="29"/>
      <c r="AF14" s="29"/>
      <c r="AG14" s="29"/>
      <c r="AH14" s="28"/>
      <c r="AI14" s="28"/>
      <c r="AJ14" s="28"/>
      <c r="AK14" s="28"/>
      <c r="AL14" s="28"/>
      <c r="AM14" s="28"/>
      <c r="AN14" s="28"/>
      <c r="AO14" s="29"/>
      <c r="AP14" s="29"/>
      <c r="AQ14" s="29"/>
      <c r="AR14" s="29"/>
      <c r="AS14" s="31"/>
      <c r="AT14" s="67"/>
      <c r="AU14" s="67"/>
      <c r="AV14" s="67"/>
      <c r="AW14" s="67"/>
      <c r="AX14" s="67"/>
      <c r="AY14" s="67"/>
      <c r="AZ14" s="67"/>
      <c r="BA14" s="67"/>
      <c r="BB14" s="67"/>
      <c r="BC14" s="67"/>
      <c r="BD14" s="68"/>
    </row>
    <row r="15" spans="1:57" ht="14.4" customHeight="1">
      <c r="A15" s="50">
        <f>IF(B15="","",COUNTA($B$8:B15))</f>
        <v>7</v>
      </c>
      <c r="B15" s="25" t="s">
        <v>403</v>
      </c>
      <c r="C15" s="26"/>
      <c r="D15" s="26"/>
      <c r="E15" s="26"/>
      <c r="F15" s="26"/>
      <c r="G15" s="26"/>
      <c r="H15" s="39"/>
      <c r="I15" s="31" t="s">
        <v>404</v>
      </c>
      <c r="J15" s="23"/>
      <c r="K15" s="23"/>
      <c r="L15" s="23"/>
      <c r="M15" s="23"/>
      <c r="N15" s="23"/>
      <c r="O15" s="23"/>
      <c r="P15" s="23"/>
      <c r="Q15" s="37"/>
      <c r="R15" s="25" t="s">
        <v>403</v>
      </c>
      <c r="S15" s="23"/>
      <c r="T15" s="23"/>
      <c r="U15" s="23"/>
      <c r="V15" s="23"/>
      <c r="W15" s="23"/>
      <c r="X15" s="24"/>
      <c r="Y15" s="440" t="s">
        <v>155</v>
      </c>
      <c r="Z15" s="441"/>
      <c r="AA15" s="442" t="s">
        <v>156</v>
      </c>
      <c r="AB15" s="443"/>
      <c r="AC15" s="444"/>
      <c r="AD15" s="27">
        <v>5</v>
      </c>
      <c r="AE15" s="29">
        <v>1</v>
      </c>
      <c r="AF15" s="29"/>
      <c r="AG15" s="29"/>
      <c r="AH15" s="28"/>
      <c r="AI15" s="28"/>
      <c r="AJ15" s="28"/>
      <c r="AK15" s="28"/>
      <c r="AL15" s="28"/>
      <c r="AM15" s="28"/>
      <c r="AN15" s="28"/>
      <c r="AO15" s="29"/>
      <c r="AP15" s="29"/>
      <c r="AQ15" s="29"/>
      <c r="AR15" s="29"/>
      <c r="AS15" s="31"/>
      <c r="AT15" s="67"/>
      <c r="AU15" s="67"/>
      <c r="AV15" s="67"/>
      <c r="AW15" s="67"/>
      <c r="AX15" s="67"/>
      <c r="AY15" s="67"/>
      <c r="AZ15" s="67"/>
      <c r="BA15" s="67"/>
      <c r="BB15" s="67"/>
      <c r="BC15" s="67"/>
      <c r="BD15" s="68"/>
    </row>
    <row r="16" spans="1:57" ht="14.4" customHeight="1">
      <c r="A16" s="50">
        <f>IF(B16="","",COUNTA($B$8:B16))</f>
        <v>8</v>
      </c>
      <c r="B16" s="25" t="s">
        <v>405</v>
      </c>
      <c r="C16" s="26"/>
      <c r="D16" s="26"/>
      <c r="E16" s="26"/>
      <c r="F16" s="26"/>
      <c r="G16" s="26"/>
      <c r="H16" s="39"/>
      <c r="I16" s="31" t="s">
        <v>406</v>
      </c>
      <c r="J16" s="23"/>
      <c r="K16" s="23"/>
      <c r="L16" s="23"/>
      <c r="M16" s="23"/>
      <c r="N16" s="23"/>
      <c r="O16" s="23"/>
      <c r="P16" s="23"/>
      <c r="Q16" s="37"/>
      <c r="R16" s="25" t="s">
        <v>405</v>
      </c>
      <c r="S16" s="23"/>
      <c r="T16" s="23"/>
      <c r="U16" s="23"/>
      <c r="V16" s="23"/>
      <c r="W16" s="23"/>
      <c r="X16" s="24"/>
      <c r="Y16" s="440" t="s">
        <v>155</v>
      </c>
      <c r="Z16" s="441"/>
      <c r="AA16" s="442" t="s">
        <v>156</v>
      </c>
      <c r="AB16" s="443"/>
      <c r="AC16" s="444"/>
      <c r="AD16" s="27">
        <v>1</v>
      </c>
      <c r="AE16" s="28" t="s">
        <v>244</v>
      </c>
      <c r="AF16" s="28"/>
      <c r="AG16" s="28"/>
      <c r="AH16" s="28"/>
      <c r="AI16" s="28"/>
      <c r="AJ16" s="28"/>
      <c r="AK16" s="28"/>
      <c r="AL16" s="28"/>
      <c r="AM16" s="28"/>
      <c r="AN16" s="28"/>
      <c r="AO16" s="29"/>
      <c r="AP16" s="29"/>
      <c r="AQ16" s="29"/>
      <c r="AR16" s="29"/>
      <c r="AS16" s="31"/>
      <c r="AT16" s="67"/>
      <c r="AU16" s="67"/>
      <c r="AV16" s="67"/>
      <c r="AW16" s="67"/>
      <c r="AX16" s="67"/>
      <c r="AY16" s="67"/>
      <c r="AZ16" s="67"/>
      <c r="BA16" s="67"/>
      <c r="BB16" s="67"/>
      <c r="BC16" s="67"/>
      <c r="BD16" s="68"/>
    </row>
    <row r="17" spans="1:57" ht="14.4" customHeight="1">
      <c r="A17" s="50">
        <f>IF(B17="","",COUNTA($B$8:B17))</f>
        <v>9</v>
      </c>
      <c r="B17" s="25" t="s">
        <v>407</v>
      </c>
      <c r="C17" s="26"/>
      <c r="D17" s="26"/>
      <c r="E17" s="26"/>
      <c r="F17" s="26"/>
      <c r="G17" s="26"/>
      <c r="H17" s="39"/>
      <c r="I17" s="31" t="s">
        <v>408</v>
      </c>
      <c r="J17" s="23"/>
      <c r="K17" s="23"/>
      <c r="L17" s="23"/>
      <c r="M17" s="23"/>
      <c r="N17" s="23"/>
      <c r="O17" s="23"/>
      <c r="P17" s="23"/>
      <c r="Q17" s="37"/>
      <c r="R17" s="25" t="s">
        <v>407</v>
      </c>
      <c r="S17" s="23"/>
      <c r="T17" s="23"/>
      <c r="U17" s="23"/>
      <c r="V17" s="23"/>
      <c r="W17" s="23"/>
      <c r="X17" s="24"/>
      <c r="Y17" s="440" t="s">
        <v>155</v>
      </c>
      <c r="Z17" s="441"/>
      <c r="AA17" s="442" t="s">
        <v>156</v>
      </c>
      <c r="AB17" s="443"/>
      <c r="AC17" s="444"/>
      <c r="AD17" s="27">
        <v>1</v>
      </c>
      <c r="AE17" s="28" t="s">
        <v>244</v>
      </c>
      <c r="AF17" s="28"/>
      <c r="AG17" s="28"/>
      <c r="AH17" s="28"/>
      <c r="AI17" s="28"/>
      <c r="AJ17" s="28"/>
      <c r="AK17" s="28"/>
      <c r="AL17" s="28"/>
      <c r="AM17" s="28"/>
      <c r="AN17" s="28"/>
      <c r="AO17" s="29"/>
      <c r="AP17" s="29"/>
      <c r="AQ17" s="29"/>
      <c r="AR17" s="29"/>
      <c r="AS17" s="31"/>
      <c r="AT17" s="67"/>
      <c r="AU17" s="67"/>
      <c r="AV17" s="67"/>
      <c r="AW17" s="67"/>
      <c r="AX17" s="67"/>
      <c r="AY17" s="67"/>
      <c r="AZ17" s="67"/>
      <c r="BA17" s="67"/>
      <c r="BB17" s="67"/>
      <c r="BC17" s="67"/>
      <c r="BD17" s="68"/>
    </row>
    <row r="18" spans="1:57" ht="14.4" customHeight="1">
      <c r="A18" s="50">
        <f>IF(B18="","",COUNTA($B$8:B18))</f>
        <v>10</v>
      </c>
      <c r="B18" s="64" t="s">
        <v>716</v>
      </c>
      <c r="C18" s="2"/>
      <c r="D18" s="2"/>
      <c r="E18" s="2"/>
      <c r="F18" s="2"/>
      <c r="G18" s="2"/>
      <c r="H18" s="2"/>
      <c r="I18" s="128" t="s">
        <v>717</v>
      </c>
      <c r="J18" s="129"/>
      <c r="K18" s="129"/>
      <c r="L18" s="129"/>
      <c r="M18" s="129"/>
      <c r="N18" s="129"/>
      <c r="O18" s="129"/>
      <c r="P18" s="129"/>
      <c r="Q18" s="129"/>
      <c r="R18" s="64" t="s">
        <v>1423</v>
      </c>
      <c r="S18" s="127"/>
      <c r="T18" s="5"/>
      <c r="U18" s="5"/>
      <c r="V18" s="5"/>
      <c r="W18" s="5"/>
      <c r="X18" s="5"/>
      <c r="Y18" s="8" t="s">
        <v>1424</v>
      </c>
      <c r="Z18" s="132"/>
      <c r="AA18" s="64" t="s">
        <v>425</v>
      </c>
      <c r="AB18" s="2"/>
      <c r="AC18" s="3"/>
      <c r="AD18" s="191">
        <v>4</v>
      </c>
      <c r="AE18" s="28" t="s">
        <v>244</v>
      </c>
      <c r="AF18" s="28"/>
      <c r="AG18" s="28"/>
      <c r="AH18" s="28"/>
      <c r="AI18" s="28"/>
      <c r="AJ18" s="28"/>
      <c r="AK18" s="28"/>
      <c r="AL18" s="28"/>
      <c r="AM18" s="28"/>
      <c r="AN18" s="28"/>
      <c r="AO18" s="29"/>
      <c r="AP18" s="29"/>
      <c r="AQ18" s="29"/>
      <c r="AR18" s="29"/>
      <c r="AS18" s="31"/>
      <c r="AT18" s="67"/>
      <c r="AU18" s="67"/>
      <c r="AV18" s="67"/>
      <c r="AW18" s="67"/>
      <c r="AX18" s="67"/>
      <c r="AY18" s="67"/>
      <c r="AZ18" s="67"/>
      <c r="BA18" s="67"/>
      <c r="BB18" s="67"/>
      <c r="BC18" s="67"/>
      <c r="BD18" s="68"/>
      <c r="BE18" s="18" t="s">
        <v>1484</v>
      </c>
    </row>
    <row r="19" spans="1:57" ht="14.4" customHeight="1">
      <c r="A19" s="50">
        <f>IF(B19="","",COUNTA($B$8:B19))</f>
        <v>11</v>
      </c>
      <c r="B19" s="25" t="s">
        <v>409</v>
      </c>
      <c r="C19" s="26"/>
      <c r="D19" s="26"/>
      <c r="E19" s="26"/>
      <c r="F19" s="26"/>
      <c r="G19" s="26"/>
      <c r="H19" s="39"/>
      <c r="I19" s="31" t="s">
        <v>410</v>
      </c>
      <c r="J19" s="23"/>
      <c r="K19" s="23"/>
      <c r="L19" s="23"/>
      <c r="M19" s="23"/>
      <c r="N19" s="23"/>
      <c r="O19" s="23"/>
      <c r="P19" s="23"/>
      <c r="Q19" s="37"/>
      <c r="R19" s="25" t="s">
        <v>409</v>
      </c>
      <c r="S19" s="23"/>
      <c r="T19" s="23"/>
      <c r="U19" s="23"/>
      <c r="V19" s="23"/>
      <c r="W19" s="23"/>
      <c r="X19" s="24"/>
      <c r="Y19" s="440" t="s">
        <v>155</v>
      </c>
      <c r="Z19" s="441"/>
      <c r="AA19" s="442" t="s">
        <v>156</v>
      </c>
      <c r="AB19" s="443"/>
      <c r="AC19" s="444"/>
      <c r="AD19" s="27">
        <v>6</v>
      </c>
      <c r="AE19" s="28" t="s">
        <v>349</v>
      </c>
      <c r="AF19" s="28"/>
      <c r="AG19" s="28"/>
      <c r="AH19" s="28"/>
      <c r="AI19" s="28"/>
      <c r="AJ19" s="28"/>
      <c r="AK19" s="28"/>
      <c r="AL19" s="28"/>
      <c r="AM19" s="28"/>
      <c r="AN19" s="28"/>
      <c r="AO19" s="29"/>
      <c r="AP19" s="29"/>
      <c r="AQ19" s="29"/>
      <c r="AR19" s="29"/>
      <c r="AS19" s="31"/>
      <c r="AT19" s="67"/>
      <c r="AU19" s="67"/>
      <c r="AV19" s="67"/>
      <c r="AW19" s="67"/>
      <c r="AX19" s="67"/>
      <c r="AY19" s="67"/>
      <c r="AZ19" s="67"/>
      <c r="BA19" s="67"/>
      <c r="BB19" s="67"/>
      <c r="BC19" s="67"/>
      <c r="BD19" s="68"/>
    </row>
    <row r="20" spans="1:57" ht="14.4" customHeight="1">
      <c r="A20" s="50">
        <f>IF(B20="","",COUNTA($B$8:B20))</f>
        <v>12</v>
      </c>
      <c r="B20" s="19" t="s">
        <v>228</v>
      </c>
      <c r="C20" s="20"/>
      <c r="D20" s="20"/>
      <c r="E20" s="20"/>
      <c r="F20" s="20"/>
      <c r="G20" s="20"/>
      <c r="H20" s="39"/>
      <c r="I20" s="31" t="s">
        <v>229</v>
      </c>
      <c r="J20" s="23"/>
      <c r="K20" s="23"/>
      <c r="L20" s="23"/>
      <c r="M20" s="23"/>
      <c r="N20" s="23"/>
      <c r="O20" s="23"/>
      <c r="P20" s="23"/>
      <c r="Q20" s="37"/>
      <c r="R20" s="19" t="s">
        <v>228</v>
      </c>
      <c r="S20" s="23"/>
      <c r="T20" s="23"/>
      <c r="U20" s="23"/>
      <c r="V20" s="23"/>
      <c r="W20" s="23"/>
      <c r="X20" s="24"/>
      <c r="Y20" s="440" t="s">
        <v>150</v>
      </c>
      <c r="Z20" s="441"/>
      <c r="AA20" s="442" t="s">
        <v>151</v>
      </c>
      <c r="AB20" s="443"/>
      <c r="AC20" s="444"/>
      <c r="AD20" s="27">
        <v>1000</v>
      </c>
      <c r="AE20" s="28" t="s">
        <v>244</v>
      </c>
      <c r="AF20" s="28"/>
      <c r="AG20" s="28"/>
      <c r="AH20" s="28"/>
      <c r="AI20" s="28"/>
      <c r="AJ20" s="28"/>
      <c r="AK20" s="28"/>
      <c r="AL20" s="28"/>
      <c r="AM20" s="28"/>
      <c r="AN20" s="28"/>
      <c r="AO20" s="29"/>
      <c r="AP20" s="29"/>
      <c r="AQ20" s="29"/>
      <c r="AR20" s="29"/>
      <c r="AS20" s="31"/>
      <c r="AT20" s="67"/>
      <c r="AU20" s="67"/>
      <c r="AV20" s="67"/>
      <c r="AW20" s="67"/>
      <c r="AX20" s="67"/>
      <c r="AY20" s="67"/>
      <c r="AZ20" s="67"/>
      <c r="BA20" s="67"/>
      <c r="BB20" s="67"/>
      <c r="BC20" s="67"/>
      <c r="BD20" s="68"/>
    </row>
    <row r="21" spans="1:57" ht="14.4" customHeight="1">
      <c r="A21" s="50">
        <f>IF(B21="","",COUNTA($B$8:B21))</f>
        <v>13</v>
      </c>
      <c r="B21" s="19" t="s">
        <v>249</v>
      </c>
      <c r="C21" s="20"/>
      <c r="D21" s="20"/>
      <c r="E21" s="20"/>
      <c r="F21" s="20"/>
      <c r="G21" s="20"/>
      <c r="H21" s="24"/>
      <c r="I21" s="31" t="s">
        <v>250</v>
      </c>
      <c r="J21" s="23"/>
      <c r="K21" s="23"/>
      <c r="L21" s="23"/>
      <c r="M21" s="23"/>
      <c r="N21" s="23"/>
      <c r="O21" s="23"/>
      <c r="P21" s="23"/>
      <c r="Q21" s="37"/>
      <c r="R21" s="19" t="s">
        <v>249</v>
      </c>
      <c r="S21" s="23"/>
      <c r="T21" s="23"/>
      <c r="U21" s="23"/>
      <c r="V21" s="23"/>
      <c r="W21" s="23"/>
      <c r="X21" s="24"/>
      <c r="Y21" s="440" t="s">
        <v>150</v>
      </c>
      <c r="Z21" s="441"/>
      <c r="AA21" s="442" t="s">
        <v>151</v>
      </c>
      <c r="AB21" s="443"/>
      <c r="AC21" s="444"/>
      <c r="AD21" s="27">
        <v>4</v>
      </c>
      <c r="AE21" s="28" t="s">
        <v>244</v>
      </c>
      <c r="AF21" s="28"/>
      <c r="AG21" s="28"/>
      <c r="AH21" s="28"/>
      <c r="AI21" s="28"/>
      <c r="AJ21" s="28"/>
      <c r="AK21" s="28"/>
      <c r="AL21" s="28"/>
      <c r="AM21" s="28"/>
      <c r="AN21" s="28"/>
      <c r="AO21" s="29"/>
      <c r="AP21" s="29"/>
      <c r="AQ21" s="29"/>
      <c r="AR21" s="29"/>
      <c r="AS21" s="31"/>
      <c r="AT21" s="67"/>
      <c r="AU21" s="67"/>
      <c r="AV21" s="67"/>
      <c r="AW21" s="67"/>
      <c r="AX21" s="67"/>
      <c r="AY21" s="67"/>
      <c r="AZ21" s="67"/>
      <c r="BA21" s="67"/>
      <c r="BB21" s="67"/>
      <c r="BC21" s="67"/>
      <c r="BD21" s="68"/>
    </row>
    <row r="22" spans="1:57" ht="14.4" customHeight="1">
      <c r="A22" s="50">
        <f>IF(B22="","",COUNTA($B$8:B22))</f>
        <v>14</v>
      </c>
      <c r="B22" s="19" t="s">
        <v>251</v>
      </c>
      <c r="C22" s="20"/>
      <c r="D22" s="20"/>
      <c r="E22" s="20"/>
      <c r="F22" s="20"/>
      <c r="G22" s="20"/>
      <c r="H22" s="24"/>
      <c r="I22" s="31" t="s">
        <v>252</v>
      </c>
      <c r="J22" s="23"/>
      <c r="K22" s="23"/>
      <c r="L22" s="23"/>
      <c r="M22" s="23"/>
      <c r="N22" s="23"/>
      <c r="O22" s="23"/>
      <c r="P22" s="23"/>
      <c r="Q22" s="37"/>
      <c r="R22" s="19" t="s">
        <v>251</v>
      </c>
      <c r="S22" s="23"/>
      <c r="T22" s="23"/>
      <c r="U22" s="23"/>
      <c r="V22" s="23"/>
      <c r="W22" s="23"/>
      <c r="X22" s="24"/>
      <c r="Y22" s="440" t="s">
        <v>150</v>
      </c>
      <c r="Z22" s="441"/>
      <c r="AA22" s="442" t="s">
        <v>151</v>
      </c>
      <c r="AB22" s="443"/>
      <c r="AC22" s="444"/>
      <c r="AD22" s="27">
        <v>4</v>
      </c>
      <c r="AE22" s="28" t="s">
        <v>244</v>
      </c>
      <c r="AF22" s="28"/>
      <c r="AG22" s="28"/>
      <c r="AH22" s="28"/>
      <c r="AI22" s="28"/>
      <c r="AJ22" s="28"/>
      <c r="AK22" s="28"/>
      <c r="AL22" s="28"/>
      <c r="AM22" s="28"/>
      <c r="AN22" s="28"/>
      <c r="AO22" s="29"/>
      <c r="AP22" s="29"/>
      <c r="AQ22" s="29"/>
      <c r="AR22" s="29"/>
      <c r="AS22" s="31"/>
      <c r="AT22" s="67"/>
      <c r="AU22" s="67"/>
      <c r="AV22" s="67"/>
      <c r="AW22" s="67"/>
      <c r="AX22" s="67"/>
      <c r="AY22" s="67"/>
      <c r="AZ22" s="67"/>
      <c r="BA22" s="67"/>
      <c r="BB22" s="67"/>
      <c r="BC22" s="67"/>
      <c r="BD22" s="68"/>
    </row>
    <row r="23" spans="1:57" ht="14.4" customHeight="1">
      <c r="A23" s="50">
        <f>IF(B23="","",COUNTA($B$8:B23))</f>
        <v>15</v>
      </c>
      <c r="B23" s="19" t="s">
        <v>253</v>
      </c>
      <c r="C23" s="20"/>
      <c r="D23" s="20"/>
      <c r="E23" s="20"/>
      <c r="F23" s="20"/>
      <c r="G23" s="20"/>
      <c r="H23" s="24"/>
      <c r="I23" s="31" t="s">
        <v>254</v>
      </c>
      <c r="J23" s="23"/>
      <c r="K23" s="23"/>
      <c r="L23" s="23"/>
      <c r="M23" s="23"/>
      <c r="N23" s="23"/>
      <c r="O23" s="23"/>
      <c r="P23" s="23"/>
      <c r="Q23" s="37"/>
      <c r="R23" s="19" t="s">
        <v>253</v>
      </c>
      <c r="S23" s="23"/>
      <c r="T23" s="38"/>
      <c r="U23" s="23"/>
      <c r="V23" s="23"/>
      <c r="W23" s="23"/>
      <c r="X23" s="24"/>
      <c r="Y23" s="440" t="s">
        <v>150</v>
      </c>
      <c r="Z23" s="441"/>
      <c r="AA23" s="442" t="s">
        <v>151</v>
      </c>
      <c r="AB23" s="443"/>
      <c r="AC23" s="444"/>
      <c r="AD23" s="27">
        <v>10</v>
      </c>
      <c r="AE23" s="28" t="s">
        <v>244</v>
      </c>
      <c r="AF23" s="28"/>
      <c r="AG23" s="28"/>
      <c r="AH23" s="28"/>
      <c r="AI23" s="28"/>
      <c r="AJ23" s="28"/>
      <c r="AK23" s="28"/>
      <c r="AL23" s="28"/>
      <c r="AM23" s="28"/>
      <c r="AN23" s="28"/>
      <c r="AO23" s="29"/>
      <c r="AP23" s="29"/>
      <c r="AQ23" s="29"/>
      <c r="AR23" s="29"/>
      <c r="AS23" s="31"/>
      <c r="AT23" s="67"/>
      <c r="AU23" s="67"/>
      <c r="AV23" s="67"/>
      <c r="AW23" s="67"/>
      <c r="AX23" s="67"/>
      <c r="AY23" s="67"/>
      <c r="AZ23" s="67"/>
      <c r="BA23" s="67"/>
      <c r="BB23" s="67"/>
      <c r="BC23" s="67"/>
      <c r="BD23" s="68"/>
    </row>
    <row r="24" spans="1:57" ht="14.4" customHeight="1">
      <c r="A24" s="50">
        <f>IF(B24="","",COUNTA($B$8:B24))</f>
        <v>16</v>
      </c>
      <c r="B24" s="19" t="s">
        <v>255</v>
      </c>
      <c r="C24" s="20"/>
      <c r="D24" s="20"/>
      <c r="E24" s="20"/>
      <c r="F24" s="20"/>
      <c r="G24" s="20"/>
      <c r="H24" s="24"/>
      <c r="I24" s="31" t="s">
        <v>256</v>
      </c>
      <c r="J24" s="23"/>
      <c r="K24" s="23"/>
      <c r="L24" s="23"/>
      <c r="M24" s="23"/>
      <c r="N24" s="23"/>
      <c r="O24" s="23"/>
      <c r="P24" s="23"/>
      <c r="Q24" s="37"/>
      <c r="R24" s="19" t="s">
        <v>255</v>
      </c>
      <c r="S24" s="23"/>
      <c r="T24" s="38"/>
      <c r="U24" s="23"/>
      <c r="V24" s="23"/>
      <c r="W24" s="23"/>
      <c r="X24" s="24"/>
      <c r="Y24" s="440" t="s">
        <v>150</v>
      </c>
      <c r="Z24" s="441"/>
      <c r="AA24" s="442" t="s">
        <v>151</v>
      </c>
      <c r="AB24" s="443"/>
      <c r="AC24" s="444"/>
      <c r="AD24" s="27">
        <v>10</v>
      </c>
      <c r="AE24" s="28" t="s">
        <v>244</v>
      </c>
      <c r="AF24" s="28"/>
      <c r="AG24" s="28"/>
      <c r="AH24" s="40"/>
      <c r="AI24" s="40"/>
      <c r="AJ24" s="28"/>
      <c r="AK24" s="28"/>
      <c r="AL24" s="28"/>
      <c r="AM24" s="28"/>
      <c r="AN24" s="28"/>
      <c r="AO24" s="29"/>
      <c r="AP24" s="29"/>
      <c r="AQ24" s="29"/>
      <c r="AR24" s="29"/>
      <c r="AS24" s="31"/>
      <c r="AT24" s="67"/>
      <c r="AU24" s="67"/>
      <c r="AV24" s="67"/>
      <c r="AW24" s="67"/>
      <c r="AX24" s="67"/>
      <c r="AY24" s="67"/>
      <c r="AZ24" s="67"/>
      <c r="BA24" s="67"/>
      <c r="BB24" s="67"/>
      <c r="BC24" s="67"/>
      <c r="BD24" s="68"/>
    </row>
    <row r="25" spans="1:57" ht="14.4" customHeight="1">
      <c r="A25" s="50">
        <f>IF(B25="","",COUNTA($B$8:B25))</f>
        <v>17</v>
      </c>
      <c r="B25" s="19" t="s">
        <v>257</v>
      </c>
      <c r="C25" s="20"/>
      <c r="D25" s="20"/>
      <c r="E25" s="20"/>
      <c r="F25" s="20"/>
      <c r="G25" s="20"/>
      <c r="H25" s="24"/>
      <c r="I25" s="31" t="s">
        <v>258</v>
      </c>
      <c r="J25" s="23"/>
      <c r="K25" s="23"/>
      <c r="L25" s="23"/>
      <c r="M25" s="23"/>
      <c r="N25" s="23"/>
      <c r="O25" s="23"/>
      <c r="P25" s="23"/>
      <c r="Q25" s="37"/>
      <c r="R25" s="19" t="s">
        <v>257</v>
      </c>
      <c r="S25" s="23"/>
      <c r="T25" s="38"/>
      <c r="U25" s="23"/>
      <c r="V25" s="23"/>
      <c r="W25" s="23"/>
      <c r="X25" s="24"/>
      <c r="Y25" s="440" t="s">
        <v>169</v>
      </c>
      <c r="Z25" s="441"/>
      <c r="AA25" s="442" t="s">
        <v>243</v>
      </c>
      <c r="AB25" s="443"/>
      <c r="AC25" s="444"/>
      <c r="AD25" s="51"/>
      <c r="AE25" s="28" t="s">
        <v>244</v>
      </c>
      <c r="AF25" s="28"/>
      <c r="AG25" s="28"/>
      <c r="AH25" s="28"/>
      <c r="AI25" s="28"/>
      <c r="AJ25" s="28"/>
      <c r="AK25" s="28"/>
      <c r="AL25" s="40"/>
      <c r="AM25" s="40"/>
      <c r="AN25" s="40"/>
      <c r="AO25" s="41"/>
      <c r="AP25" s="41"/>
      <c r="AQ25" s="41"/>
      <c r="AR25" s="41"/>
      <c r="AS25" s="42"/>
      <c r="AT25" s="43"/>
      <c r="AU25" s="67"/>
      <c r="AV25" s="67"/>
      <c r="AW25" s="67"/>
      <c r="AX25" s="67"/>
      <c r="AY25" s="67"/>
      <c r="AZ25" s="67"/>
      <c r="BA25" s="67"/>
      <c r="BB25" s="67"/>
      <c r="BC25" s="67"/>
      <c r="BD25" s="68"/>
    </row>
    <row r="26" spans="1:57" ht="14.4" customHeight="1">
      <c r="A26" s="50">
        <f>IF(B26="","",COUNTA($B$8:B26))</f>
        <v>18</v>
      </c>
      <c r="B26" s="19" t="s">
        <v>259</v>
      </c>
      <c r="C26" s="20"/>
      <c r="D26" s="20"/>
      <c r="E26" s="20"/>
      <c r="F26" s="20"/>
      <c r="G26" s="20"/>
      <c r="H26" s="24"/>
      <c r="I26" s="31" t="s">
        <v>260</v>
      </c>
      <c r="J26" s="23"/>
      <c r="K26" s="23"/>
      <c r="L26" s="23"/>
      <c r="M26" s="23"/>
      <c r="N26" s="23"/>
      <c r="O26" s="23"/>
      <c r="P26" s="23"/>
      <c r="Q26" s="37"/>
      <c r="R26" s="19" t="s">
        <v>259</v>
      </c>
      <c r="S26" s="23"/>
      <c r="T26" s="38"/>
      <c r="U26" s="23"/>
      <c r="V26" s="23"/>
      <c r="W26" s="23"/>
      <c r="X26" s="24"/>
      <c r="Y26" s="440" t="s">
        <v>150</v>
      </c>
      <c r="Z26" s="441"/>
      <c r="AA26" s="442" t="s">
        <v>151</v>
      </c>
      <c r="AB26" s="443"/>
      <c r="AC26" s="444"/>
      <c r="AD26" s="27">
        <v>10</v>
      </c>
      <c r="AE26" s="28" t="s">
        <v>244</v>
      </c>
      <c r="AF26" s="28"/>
      <c r="AG26" s="28"/>
      <c r="AH26" s="40"/>
      <c r="AI26" s="40"/>
      <c r="AJ26" s="40"/>
      <c r="AK26" s="40"/>
      <c r="AL26" s="40"/>
      <c r="AM26" s="40"/>
      <c r="AN26" s="40"/>
      <c r="AO26" s="41"/>
      <c r="AP26" s="41"/>
      <c r="AQ26" s="41"/>
      <c r="AR26" s="41"/>
      <c r="AS26" s="42"/>
      <c r="AT26" s="43"/>
      <c r="AU26" s="48"/>
      <c r="AV26" s="67"/>
      <c r="AW26" s="67"/>
      <c r="AX26" s="67"/>
      <c r="AY26" s="67"/>
      <c r="AZ26" s="67"/>
      <c r="BA26" s="67"/>
      <c r="BB26" s="67"/>
      <c r="BC26" s="67"/>
      <c r="BD26" s="68"/>
    </row>
    <row r="27" spans="1:57" ht="14.4" customHeight="1">
      <c r="A27" s="50">
        <f>IF(B27="","",COUNTA($B$8:B27))</f>
        <v>19</v>
      </c>
      <c r="B27" s="19" t="s">
        <v>261</v>
      </c>
      <c r="C27" s="20"/>
      <c r="D27" s="20"/>
      <c r="E27" s="20"/>
      <c r="F27" s="20"/>
      <c r="G27" s="20"/>
      <c r="H27" s="24"/>
      <c r="I27" s="31" t="s">
        <v>262</v>
      </c>
      <c r="J27" s="23"/>
      <c r="K27" s="23"/>
      <c r="L27" s="23"/>
      <c r="M27" s="23"/>
      <c r="N27" s="23"/>
      <c r="O27" s="23"/>
      <c r="P27" s="23"/>
      <c r="Q27" s="37"/>
      <c r="R27" s="19" t="s">
        <v>261</v>
      </c>
      <c r="S27" s="23"/>
      <c r="T27" s="38"/>
      <c r="U27" s="23"/>
      <c r="V27" s="23"/>
      <c r="W27" s="23"/>
      <c r="X27" s="24"/>
      <c r="Y27" s="440" t="s">
        <v>150</v>
      </c>
      <c r="Z27" s="441"/>
      <c r="AA27" s="442" t="s">
        <v>151</v>
      </c>
      <c r="AB27" s="443"/>
      <c r="AC27" s="444"/>
      <c r="AD27" s="51">
        <v>10</v>
      </c>
      <c r="AE27" s="28" t="s">
        <v>244</v>
      </c>
      <c r="AF27" s="28"/>
      <c r="AG27" s="28"/>
      <c r="AH27" s="40"/>
      <c r="AI27" s="40"/>
      <c r="AJ27" s="40"/>
      <c r="AK27" s="40"/>
      <c r="AL27" s="40"/>
      <c r="AM27" s="40"/>
      <c r="AN27" s="40"/>
      <c r="AO27" s="41"/>
      <c r="AP27" s="41"/>
      <c r="AQ27" s="41"/>
      <c r="AR27" s="41"/>
      <c r="AS27" s="42"/>
      <c r="AT27" s="43"/>
      <c r="AU27" s="48"/>
      <c r="AV27" s="67"/>
      <c r="AW27" s="67"/>
      <c r="AX27" s="67"/>
      <c r="AY27" s="67"/>
      <c r="AZ27" s="67"/>
      <c r="BA27" s="67"/>
      <c r="BB27" s="67"/>
      <c r="BC27" s="67"/>
      <c r="BD27" s="68"/>
    </row>
    <row r="28" spans="1:57" ht="14.4" customHeight="1">
      <c r="A28" s="50">
        <f>IF(B28="","",COUNTA($B$8:B28))</f>
        <v>20</v>
      </c>
      <c r="B28" s="19" t="s">
        <v>263</v>
      </c>
      <c r="C28" s="20"/>
      <c r="D28" s="20"/>
      <c r="E28" s="20"/>
      <c r="F28" s="20"/>
      <c r="G28" s="20"/>
      <c r="H28" s="24"/>
      <c r="I28" s="31" t="s">
        <v>264</v>
      </c>
      <c r="J28" s="23"/>
      <c r="K28" s="23"/>
      <c r="L28" s="23"/>
      <c r="M28" s="23"/>
      <c r="N28" s="23"/>
      <c r="O28" s="23"/>
      <c r="P28" s="23"/>
      <c r="Q28" s="37"/>
      <c r="R28" s="22" t="s">
        <v>263</v>
      </c>
      <c r="S28" s="23"/>
      <c r="T28" s="38"/>
      <c r="U28" s="23"/>
      <c r="V28" s="23"/>
      <c r="W28" s="23"/>
      <c r="X28" s="24"/>
      <c r="Y28" s="440" t="s">
        <v>169</v>
      </c>
      <c r="Z28" s="441"/>
      <c r="AA28" s="442" t="s">
        <v>243</v>
      </c>
      <c r="AB28" s="443"/>
      <c r="AC28" s="444"/>
      <c r="AD28" s="51"/>
      <c r="AE28" s="28" t="s">
        <v>244</v>
      </c>
      <c r="AF28" s="28"/>
      <c r="AG28" s="28"/>
      <c r="AH28" s="28"/>
      <c r="AI28" s="28"/>
      <c r="AJ28" s="28"/>
      <c r="AK28" s="28"/>
      <c r="AL28" s="28"/>
      <c r="AM28" s="28"/>
      <c r="AN28" s="28"/>
      <c r="AO28" s="29"/>
      <c r="AP28" s="29"/>
      <c r="AQ28" s="29"/>
      <c r="AR28" s="29"/>
      <c r="AS28" s="31"/>
      <c r="AT28" s="67"/>
      <c r="AU28" s="67"/>
      <c r="AV28" s="67"/>
      <c r="AW28" s="67"/>
      <c r="AX28" s="67"/>
      <c r="AY28" s="67"/>
      <c r="AZ28" s="67"/>
      <c r="BA28" s="67"/>
      <c r="BB28" s="67"/>
      <c r="BC28" s="67"/>
      <c r="BD28" s="68"/>
    </row>
    <row r="29" spans="1:57" ht="14.4" customHeight="1">
      <c r="A29" s="50" t="str">
        <f>IF(B29="","",COUNTA($B$8:B29))</f>
        <v/>
      </c>
      <c r="B29" s="19"/>
      <c r="C29" s="20"/>
      <c r="D29" s="20"/>
      <c r="E29" s="20"/>
      <c r="F29" s="20"/>
      <c r="G29" s="20"/>
      <c r="H29" s="24"/>
      <c r="I29" s="31"/>
      <c r="J29" s="23"/>
      <c r="K29" s="23"/>
      <c r="L29" s="23"/>
      <c r="M29" s="23"/>
      <c r="N29" s="23"/>
      <c r="O29" s="23"/>
      <c r="P29" s="23"/>
      <c r="Q29" s="37"/>
      <c r="R29" s="22"/>
      <c r="S29" s="23"/>
      <c r="T29" s="23"/>
      <c r="U29" s="23"/>
      <c r="V29" s="23"/>
      <c r="W29" s="23"/>
      <c r="X29" s="24"/>
      <c r="Y29" s="440"/>
      <c r="Z29" s="441"/>
      <c r="AA29" s="442"/>
      <c r="AB29" s="443"/>
      <c r="AC29" s="444"/>
      <c r="AD29" s="27"/>
      <c r="AE29" s="28"/>
      <c r="AF29" s="28"/>
      <c r="AG29" s="28"/>
      <c r="AH29" s="28"/>
      <c r="AI29" s="28"/>
      <c r="AJ29" s="28"/>
      <c r="AK29" s="28"/>
      <c r="AL29" s="28"/>
      <c r="AM29" s="28"/>
      <c r="AN29" s="28"/>
      <c r="AO29" s="29"/>
      <c r="AP29" s="29"/>
      <c r="AQ29" s="29"/>
      <c r="AR29" s="29"/>
      <c r="AS29" s="31"/>
      <c r="AT29" s="48"/>
      <c r="AU29" s="67"/>
      <c r="AV29" s="67"/>
      <c r="AW29" s="67"/>
      <c r="AX29" s="67"/>
      <c r="AY29" s="67"/>
      <c r="AZ29" s="67"/>
      <c r="BA29" s="67"/>
      <c r="BB29" s="67"/>
      <c r="BC29" s="67"/>
      <c r="BD29" s="68"/>
    </row>
    <row r="30" spans="1:57" ht="14.4" customHeight="1">
      <c r="A30" s="50" t="str">
        <f>IF(B30="","",COUNTA($B$8:B30))</f>
        <v/>
      </c>
      <c r="B30" s="19"/>
      <c r="C30" s="20"/>
      <c r="D30" s="20"/>
      <c r="E30" s="20"/>
      <c r="F30" s="20"/>
      <c r="G30" s="20"/>
      <c r="H30" s="24"/>
      <c r="I30" s="31"/>
      <c r="J30" s="23"/>
      <c r="K30" s="23"/>
      <c r="L30" s="23"/>
      <c r="M30" s="23"/>
      <c r="N30" s="23"/>
      <c r="O30" s="23"/>
      <c r="P30" s="23"/>
      <c r="Q30" s="37"/>
      <c r="R30" s="22"/>
      <c r="S30" s="23"/>
      <c r="T30" s="23"/>
      <c r="U30" s="23"/>
      <c r="V30" s="23"/>
      <c r="W30" s="23"/>
      <c r="X30" s="24"/>
      <c r="Y30" s="440"/>
      <c r="Z30" s="441"/>
      <c r="AA30" s="442"/>
      <c r="AB30" s="443"/>
      <c r="AC30" s="444"/>
      <c r="AD30" s="27"/>
      <c r="AE30" s="28"/>
      <c r="AF30" s="28"/>
      <c r="AG30" s="28"/>
      <c r="AH30" s="28"/>
      <c r="AI30" s="28"/>
      <c r="AJ30" s="28"/>
      <c r="AK30" s="28"/>
      <c r="AL30" s="28"/>
      <c r="AM30" s="28"/>
      <c r="AN30" s="28"/>
      <c r="AO30" s="29"/>
      <c r="AP30" s="29"/>
      <c r="AQ30" s="29"/>
      <c r="AR30" s="29"/>
      <c r="AS30" s="31"/>
      <c r="AT30" s="67"/>
      <c r="AU30" s="67"/>
      <c r="AV30" s="67"/>
      <c r="AW30" s="67"/>
      <c r="AX30" s="67"/>
      <c r="AY30" s="67"/>
      <c r="AZ30" s="67"/>
      <c r="BA30" s="67"/>
      <c r="BB30" s="67"/>
      <c r="BC30" s="67"/>
      <c r="BD30" s="68"/>
    </row>
    <row r="31" spans="1:57" ht="14.4" customHeight="1">
      <c r="A31" s="50" t="str">
        <f>IF(B31="","",COUNTA($B$8:B31))</f>
        <v/>
      </c>
      <c r="B31" s="19"/>
      <c r="C31" s="20"/>
      <c r="D31" s="20"/>
      <c r="E31" s="20"/>
      <c r="F31" s="20"/>
      <c r="G31" s="20"/>
      <c r="H31" s="24"/>
      <c r="I31" s="31"/>
      <c r="J31" s="23"/>
      <c r="K31" s="23"/>
      <c r="L31" s="23"/>
      <c r="M31" s="23"/>
      <c r="N31" s="23"/>
      <c r="O31" s="23"/>
      <c r="P31" s="23"/>
      <c r="Q31" s="37"/>
      <c r="R31" s="22"/>
      <c r="S31" s="23"/>
      <c r="T31" s="23"/>
      <c r="U31" s="23"/>
      <c r="V31" s="23"/>
      <c r="W31" s="23"/>
      <c r="X31" s="24"/>
      <c r="Y31" s="440"/>
      <c r="Z31" s="441"/>
      <c r="AA31" s="442"/>
      <c r="AB31" s="443"/>
      <c r="AC31" s="444"/>
      <c r="AD31" s="51"/>
      <c r="AE31" s="28"/>
      <c r="AF31" s="28"/>
      <c r="AG31" s="28"/>
      <c r="AH31" s="40"/>
      <c r="AI31" s="40"/>
      <c r="AJ31" s="28"/>
      <c r="AK31" s="28"/>
      <c r="AL31" s="28"/>
      <c r="AM31" s="28"/>
      <c r="AN31" s="28"/>
      <c r="AO31" s="29"/>
      <c r="AP31" s="29"/>
      <c r="AQ31" s="29"/>
      <c r="AR31" s="29"/>
      <c r="AS31" s="31"/>
      <c r="AT31" s="67"/>
      <c r="AU31" s="67"/>
      <c r="AV31" s="67"/>
      <c r="AW31" s="67"/>
      <c r="AX31" s="67"/>
      <c r="AY31" s="67"/>
      <c r="AZ31" s="67"/>
      <c r="BA31" s="67"/>
      <c r="BB31" s="67"/>
      <c r="BC31" s="67"/>
      <c r="BD31" s="68"/>
    </row>
    <row r="32" spans="1:57" ht="14.4" customHeight="1">
      <c r="A32" s="50" t="str">
        <f>IF(B32="","",COUNTA($B$8:B32))</f>
        <v/>
      </c>
      <c r="B32" s="19"/>
      <c r="C32" s="20"/>
      <c r="D32" s="20"/>
      <c r="E32" s="20"/>
      <c r="F32" s="20"/>
      <c r="G32" s="20"/>
      <c r="H32" s="24"/>
      <c r="I32" s="31"/>
      <c r="J32" s="23"/>
      <c r="K32" s="23"/>
      <c r="L32" s="23"/>
      <c r="M32" s="23"/>
      <c r="N32" s="23"/>
      <c r="O32" s="23"/>
      <c r="P32" s="23"/>
      <c r="Q32" s="37"/>
      <c r="R32" s="22"/>
      <c r="S32" s="23"/>
      <c r="T32" s="23"/>
      <c r="U32" s="23"/>
      <c r="V32" s="23"/>
      <c r="W32" s="23"/>
      <c r="X32" s="24"/>
      <c r="Y32" s="440"/>
      <c r="Z32" s="441"/>
      <c r="AA32" s="442"/>
      <c r="AB32" s="443"/>
      <c r="AC32" s="444"/>
      <c r="AD32" s="51"/>
      <c r="AE32" s="28"/>
      <c r="AF32" s="28"/>
      <c r="AG32" s="28"/>
      <c r="AH32" s="28"/>
      <c r="AI32" s="28"/>
      <c r="AJ32" s="28"/>
      <c r="AK32" s="28"/>
      <c r="AL32" s="40"/>
      <c r="AM32" s="40"/>
      <c r="AN32" s="40"/>
      <c r="AO32" s="41"/>
      <c r="AP32" s="41"/>
      <c r="AQ32" s="41"/>
      <c r="AR32" s="41"/>
      <c r="AS32" s="42"/>
      <c r="AT32" s="43"/>
      <c r="AU32" s="67"/>
      <c r="AV32" s="67"/>
      <c r="AW32" s="67"/>
      <c r="AX32" s="67"/>
      <c r="AY32" s="67"/>
      <c r="AZ32" s="67"/>
      <c r="BA32" s="67"/>
      <c r="BB32" s="67"/>
      <c r="BC32" s="67"/>
      <c r="BD32" s="68"/>
    </row>
    <row r="33" spans="1:56" ht="14.4" customHeight="1">
      <c r="A33" s="50" t="str">
        <f>IF(B33="","",COUNTA($B$8:B33))</f>
        <v/>
      </c>
      <c r="B33" s="19"/>
      <c r="C33" s="20"/>
      <c r="D33" s="20"/>
      <c r="E33" s="44"/>
      <c r="F33" s="20"/>
      <c r="G33" s="20"/>
      <c r="H33" s="24"/>
      <c r="I33" s="31"/>
      <c r="J33" s="23"/>
      <c r="K33" s="23"/>
      <c r="L33" s="23"/>
      <c r="M33" s="23"/>
      <c r="N33" s="23"/>
      <c r="O33" s="23"/>
      <c r="P33" s="23"/>
      <c r="Q33" s="37"/>
      <c r="R33" s="22"/>
      <c r="S33" s="23"/>
      <c r="T33" s="23"/>
      <c r="U33" s="23"/>
      <c r="V33" s="23"/>
      <c r="W33" s="23"/>
      <c r="X33" s="24"/>
      <c r="Y33" s="440"/>
      <c r="Z33" s="441"/>
      <c r="AA33" s="442"/>
      <c r="AB33" s="443"/>
      <c r="AC33" s="444"/>
      <c r="AD33" s="51"/>
      <c r="AE33" s="28"/>
      <c r="AF33" s="28"/>
      <c r="AG33" s="28"/>
      <c r="AH33" s="40"/>
      <c r="AI33" s="40"/>
      <c r="AJ33" s="40"/>
      <c r="AK33" s="40"/>
      <c r="AL33" s="40"/>
      <c r="AM33" s="40"/>
      <c r="AN33" s="40"/>
      <c r="AO33" s="41"/>
      <c r="AP33" s="41"/>
      <c r="AQ33" s="41"/>
      <c r="AR33" s="41"/>
      <c r="AS33" s="42"/>
      <c r="AT33" s="43"/>
      <c r="AU33" s="48"/>
      <c r="AV33" s="48"/>
      <c r="AW33" s="48"/>
      <c r="AX33" s="48"/>
      <c r="AY33" s="48"/>
      <c r="AZ33" s="48"/>
      <c r="BA33" s="48"/>
      <c r="BB33" s="48"/>
      <c r="BC33" s="48"/>
      <c r="BD33" s="66"/>
    </row>
    <row r="34" spans="1:56" ht="14.4" customHeight="1">
      <c r="A34" s="50" t="str">
        <f>IF(B34="","",COUNTA($B$8:B34))</f>
        <v/>
      </c>
      <c r="B34" s="31"/>
      <c r="C34" s="44"/>
      <c r="D34" s="44"/>
      <c r="E34" s="44"/>
      <c r="F34" s="44"/>
      <c r="G34" s="44"/>
      <c r="H34" s="45"/>
      <c r="I34" s="31"/>
      <c r="J34" s="35"/>
      <c r="K34" s="35"/>
      <c r="L34" s="35"/>
      <c r="M34" s="35"/>
      <c r="N34" s="35"/>
      <c r="O34" s="35"/>
      <c r="P34" s="35"/>
      <c r="Q34" s="36"/>
      <c r="R34" s="34"/>
      <c r="S34" s="35"/>
      <c r="T34" s="35"/>
      <c r="U34" s="35"/>
      <c r="V34" s="35"/>
      <c r="W34" s="35"/>
      <c r="X34" s="36"/>
      <c r="Y34" s="440"/>
      <c r="Z34" s="441"/>
      <c r="AA34" s="442"/>
      <c r="AB34" s="443"/>
      <c r="AC34" s="444"/>
      <c r="AD34" s="51"/>
      <c r="AE34" s="28" t="s">
        <v>244</v>
      </c>
      <c r="AF34" s="28"/>
      <c r="AG34" s="28"/>
      <c r="AH34" s="28"/>
      <c r="AI34" s="28"/>
      <c r="AJ34" s="28"/>
      <c r="AK34" s="28"/>
      <c r="AL34" s="28"/>
      <c r="AM34" s="28"/>
      <c r="AN34" s="28"/>
      <c r="AO34" s="29"/>
      <c r="AP34" s="29"/>
      <c r="AQ34" s="29"/>
      <c r="AR34" s="29"/>
      <c r="AS34" s="42"/>
      <c r="AT34" s="49"/>
      <c r="AU34" s="48"/>
      <c r="AV34" s="48"/>
      <c r="AW34" s="48"/>
      <c r="AX34" s="48"/>
      <c r="AY34" s="48"/>
      <c r="AZ34" s="48"/>
      <c r="BA34" s="48"/>
      <c r="BB34" s="48"/>
      <c r="BC34" s="48"/>
      <c r="BD34" s="66"/>
    </row>
    <row r="35" spans="1:56" ht="14.4" customHeight="1">
      <c r="A35" s="50" t="str">
        <f>IF(B35="","",COUNTA($B$8:B35))</f>
        <v/>
      </c>
      <c r="B35" s="19"/>
      <c r="C35" s="20"/>
      <c r="D35" s="20"/>
      <c r="E35" s="20"/>
      <c r="F35" s="20"/>
      <c r="G35" s="20"/>
      <c r="H35" s="24"/>
      <c r="I35" s="31"/>
      <c r="J35" s="23"/>
      <c r="K35" s="23"/>
      <c r="L35" s="23"/>
      <c r="M35" s="23"/>
      <c r="N35" s="23"/>
      <c r="O35" s="23"/>
      <c r="P35" s="23"/>
      <c r="Q35" s="37"/>
      <c r="R35" s="22"/>
      <c r="S35" s="23"/>
      <c r="T35" s="23"/>
      <c r="U35" s="23"/>
      <c r="V35" s="23"/>
      <c r="W35" s="23"/>
      <c r="X35" s="37"/>
      <c r="Y35" s="440"/>
      <c r="Z35" s="441"/>
      <c r="AA35" s="442"/>
      <c r="AB35" s="443"/>
      <c r="AC35" s="444"/>
      <c r="AD35" s="51"/>
      <c r="AE35" s="40" t="s">
        <v>244</v>
      </c>
      <c r="AF35" s="40"/>
      <c r="AG35" s="40"/>
      <c r="AH35" s="40"/>
      <c r="AI35" s="40"/>
      <c r="AJ35" s="40"/>
      <c r="AK35" s="40"/>
      <c r="AL35" s="40"/>
      <c r="AM35" s="40"/>
      <c r="AN35" s="40"/>
      <c r="AO35" s="41"/>
      <c r="AP35" s="41"/>
      <c r="AQ35" s="41"/>
      <c r="AR35" s="41"/>
      <c r="AS35" s="42"/>
      <c r="AT35" s="43"/>
      <c r="AU35" s="67"/>
      <c r="AV35" s="67"/>
      <c r="AW35" s="67"/>
      <c r="AX35" s="67"/>
      <c r="AY35" s="67"/>
      <c r="AZ35" s="67"/>
      <c r="BA35" s="67"/>
      <c r="BB35" s="67"/>
      <c r="BC35" s="67"/>
      <c r="BD35" s="68"/>
    </row>
    <row r="36" spans="1:56" ht="14.4" customHeight="1">
      <c r="A36" s="50" t="str">
        <f>IF(B36="","",COUNTA($B$8:B36))</f>
        <v/>
      </c>
      <c r="B36" s="19"/>
      <c r="C36" s="20"/>
      <c r="D36" s="20"/>
      <c r="E36" s="20"/>
      <c r="F36" s="20"/>
      <c r="G36" s="20"/>
      <c r="H36" s="24"/>
      <c r="I36" s="31"/>
      <c r="J36" s="23"/>
      <c r="K36" s="23"/>
      <c r="L36" s="23"/>
      <c r="M36" s="23"/>
      <c r="N36" s="23"/>
      <c r="O36" s="23"/>
      <c r="P36" s="23"/>
      <c r="Q36" s="37"/>
      <c r="R36" s="22"/>
      <c r="S36" s="23"/>
      <c r="T36" s="23"/>
      <c r="U36" s="23"/>
      <c r="V36" s="23"/>
      <c r="W36" s="23"/>
      <c r="X36" s="37"/>
      <c r="Y36" s="440"/>
      <c r="Z36" s="441"/>
      <c r="AA36" s="442"/>
      <c r="AB36" s="443"/>
      <c r="AC36" s="444"/>
      <c r="AD36" s="51"/>
      <c r="AE36" s="40"/>
      <c r="AF36" s="40"/>
      <c r="AG36" s="40"/>
      <c r="AH36" s="40"/>
      <c r="AI36" s="40"/>
      <c r="AJ36" s="40"/>
      <c r="AK36" s="40"/>
      <c r="AL36" s="40"/>
      <c r="AM36" s="40"/>
      <c r="AN36" s="40"/>
      <c r="AO36" s="41"/>
      <c r="AP36" s="41"/>
      <c r="AQ36" s="41"/>
      <c r="AR36" s="41"/>
      <c r="AS36" s="42"/>
      <c r="AT36" s="43"/>
      <c r="AU36" s="67"/>
      <c r="AV36" s="67"/>
      <c r="AW36" s="67"/>
      <c r="AX36" s="67"/>
      <c r="AY36" s="67"/>
      <c r="AZ36" s="67"/>
      <c r="BA36" s="67"/>
      <c r="BB36" s="67"/>
      <c r="BC36" s="67"/>
      <c r="BD36" s="68"/>
    </row>
    <row r="37" spans="1:56" ht="14.4" customHeight="1">
      <c r="A37" s="50" t="str">
        <f>IF(B37="","",COUNTA($B$8:B37))</f>
        <v/>
      </c>
      <c r="B37" s="19"/>
      <c r="C37" s="20"/>
      <c r="D37" s="20"/>
      <c r="E37" s="20"/>
      <c r="F37" s="20"/>
      <c r="G37" s="20"/>
      <c r="H37" s="24"/>
      <c r="I37" s="31"/>
      <c r="J37" s="23"/>
      <c r="K37" s="23"/>
      <c r="L37" s="23"/>
      <c r="M37" s="23"/>
      <c r="N37" s="23"/>
      <c r="O37" s="23"/>
      <c r="P37" s="23"/>
      <c r="Q37" s="37"/>
      <c r="R37" s="22"/>
      <c r="S37" s="23"/>
      <c r="T37" s="23"/>
      <c r="U37" s="23"/>
      <c r="V37" s="23"/>
      <c r="W37" s="23"/>
      <c r="X37" s="37"/>
      <c r="Y37" s="440"/>
      <c r="Z37" s="441"/>
      <c r="AA37" s="442"/>
      <c r="AB37" s="443"/>
      <c r="AC37" s="444"/>
      <c r="AD37" s="51"/>
      <c r="AE37" s="40"/>
      <c r="AF37" s="40"/>
      <c r="AG37" s="40"/>
      <c r="AH37" s="40"/>
      <c r="AI37" s="40"/>
      <c r="AJ37" s="40"/>
      <c r="AK37" s="40"/>
      <c r="AL37" s="40"/>
      <c r="AM37" s="40"/>
      <c r="AN37" s="40"/>
      <c r="AO37" s="41"/>
      <c r="AP37" s="41"/>
      <c r="AQ37" s="41"/>
      <c r="AR37" s="41"/>
      <c r="AS37" s="42"/>
      <c r="AT37" s="43"/>
      <c r="AU37" s="67"/>
      <c r="AV37" s="67"/>
      <c r="AW37" s="67"/>
      <c r="AX37" s="67"/>
      <c r="AY37" s="67"/>
      <c r="AZ37" s="67"/>
      <c r="BA37" s="67"/>
      <c r="BB37" s="67"/>
      <c r="BC37" s="67"/>
      <c r="BD37" s="68"/>
    </row>
    <row r="38" spans="1:56" ht="14.4" customHeight="1">
      <c r="A38" s="50" t="str">
        <f>IF(B38="","",COUNTA($B$8:B38))</f>
        <v/>
      </c>
      <c r="B38" s="19"/>
      <c r="C38" s="20"/>
      <c r="D38" s="20"/>
      <c r="E38" s="20"/>
      <c r="F38" s="20"/>
      <c r="G38" s="20"/>
      <c r="H38" s="24"/>
      <c r="I38" s="31"/>
      <c r="J38" s="23"/>
      <c r="K38" s="23"/>
      <c r="L38" s="23"/>
      <c r="M38" s="23"/>
      <c r="N38" s="23"/>
      <c r="O38" s="23"/>
      <c r="P38" s="23"/>
      <c r="Q38" s="37"/>
      <c r="R38" s="22"/>
      <c r="S38" s="23"/>
      <c r="T38" s="23"/>
      <c r="U38" s="23"/>
      <c r="V38" s="23"/>
      <c r="W38" s="23"/>
      <c r="X38" s="37"/>
      <c r="Y38" s="440"/>
      <c r="Z38" s="441"/>
      <c r="AA38" s="442"/>
      <c r="AB38" s="443"/>
      <c r="AC38" s="444"/>
      <c r="AD38" s="51"/>
      <c r="AE38" s="40"/>
      <c r="AF38" s="40"/>
      <c r="AG38" s="40"/>
      <c r="AH38" s="40"/>
      <c r="AI38" s="40"/>
      <c r="AJ38" s="40"/>
      <c r="AK38" s="40"/>
      <c r="AL38" s="40"/>
      <c r="AM38" s="40"/>
      <c r="AN38" s="40"/>
      <c r="AO38" s="41"/>
      <c r="AP38" s="41"/>
      <c r="AQ38" s="41"/>
      <c r="AR38" s="41"/>
      <c r="AS38" s="42"/>
      <c r="AT38" s="43"/>
      <c r="AU38" s="67"/>
      <c r="AV38" s="67"/>
      <c r="AW38" s="67"/>
      <c r="AX38" s="67"/>
      <c r="AY38" s="67"/>
      <c r="AZ38" s="67"/>
      <c r="BA38" s="67"/>
      <c r="BB38" s="67"/>
      <c r="BC38" s="67"/>
      <c r="BD38" s="68"/>
    </row>
    <row r="39" spans="1:56" ht="14.4" customHeight="1">
      <c r="A39" s="50" t="str">
        <f>IF(B39="","",COUNTA($B$8:B39))</f>
        <v/>
      </c>
      <c r="B39" s="19"/>
      <c r="C39" s="20"/>
      <c r="D39" s="20"/>
      <c r="E39" s="20"/>
      <c r="F39" s="20"/>
      <c r="G39" s="20"/>
      <c r="H39" s="24"/>
      <c r="I39" s="31"/>
      <c r="J39" s="23"/>
      <c r="K39" s="23"/>
      <c r="L39" s="23"/>
      <c r="M39" s="23"/>
      <c r="N39" s="23"/>
      <c r="O39" s="23"/>
      <c r="P39" s="23"/>
      <c r="Q39" s="37"/>
      <c r="R39" s="22"/>
      <c r="S39" s="23"/>
      <c r="T39" s="23"/>
      <c r="U39" s="23"/>
      <c r="V39" s="23"/>
      <c r="W39" s="23"/>
      <c r="X39" s="37"/>
      <c r="Y39" s="440"/>
      <c r="Z39" s="441"/>
      <c r="AA39" s="442"/>
      <c r="AB39" s="443"/>
      <c r="AC39" s="444"/>
      <c r="AD39" s="51"/>
      <c r="AE39" s="40"/>
      <c r="AF39" s="40"/>
      <c r="AG39" s="40"/>
      <c r="AH39" s="40"/>
      <c r="AI39" s="40"/>
      <c r="AJ39" s="40"/>
      <c r="AK39" s="40"/>
      <c r="AL39" s="40"/>
      <c r="AM39" s="40"/>
      <c r="AN39" s="40"/>
      <c r="AO39" s="41"/>
      <c r="AP39" s="41"/>
      <c r="AQ39" s="41"/>
      <c r="AR39" s="41"/>
      <c r="AS39" s="42"/>
      <c r="AT39" s="43"/>
      <c r="AU39" s="67"/>
      <c r="AV39" s="67"/>
      <c r="AW39" s="67"/>
      <c r="AX39" s="67"/>
      <c r="AY39" s="67"/>
      <c r="AZ39" s="67"/>
      <c r="BA39" s="67"/>
      <c r="BB39" s="67"/>
      <c r="BC39" s="67"/>
      <c r="BD39" s="68"/>
    </row>
    <row r="40" spans="1:56" ht="14.4" customHeight="1">
      <c r="A40" s="50" t="str">
        <f>IF(B40="","",COUNTA($B$8:B40))</f>
        <v/>
      </c>
      <c r="B40" s="19"/>
      <c r="C40" s="20"/>
      <c r="D40" s="20"/>
      <c r="E40" s="20"/>
      <c r="F40" s="20"/>
      <c r="G40" s="20"/>
      <c r="H40" s="24"/>
      <c r="I40" s="31"/>
      <c r="J40" s="23"/>
      <c r="K40" s="23"/>
      <c r="L40" s="23"/>
      <c r="M40" s="23"/>
      <c r="N40" s="23"/>
      <c r="O40" s="23"/>
      <c r="P40" s="23"/>
      <c r="Q40" s="37"/>
      <c r="R40" s="22"/>
      <c r="S40" s="23"/>
      <c r="T40" s="23"/>
      <c r="U40" s="23"/>
      <c r="V40" s="23"/>
      <c r="W40" s="23"/>
      <c r="X40" s="37"/>
      <c r="Y40" s="440"/>
      <c r="Z40" s="441"/>
      <c r="AA40" s="442"/>
      <c r="AB40" s="443"/>
      <c r="AC40" s="444"/>
      <c r="AD40" s="51"/>
      <c r="AE40" s="40"/>
      <c r="AF40" s="40"/>
      <c r="AG40" s="40"/>
      <c r="AH40" s="40"/>
      <c r="AI40" s="40"/>
      <c r="AJ40" s="40"/>
      <c r="AK40" s="40"/>
      <c r="AL40" s="40"/>
      <c r="AM40" s="40"/>
      <c r="AN40" s="40"/>
      <c r="AO40" s="41"/>
      <c r="AP40" s="41"/>
      <c r="AQ40" s="41"/>
      <c r="AR40" s="41"/>
      <c r="AS40" s="42"/>
      <c r="AT40" s="43"/>
      <c r="AU40" s="67"/>
      <c r="AV40" s="67"/>
      <c r="AW40" s="67"/>
      <c r="AX40" s="67"/>
      <c r="AY40" s="67"/>
      <c r="AZ40" s="67"/>
      <c r="BA40" s="67"/>
      <c r="BB40" s="67"/>
      <c r="BC40" s="67"/>
      <c r="BD40" s="68"/>
    </row>
    <row r="41" spans="1:56" ht="14.4" customHeight="1">
      <c r="A41" s="50" t="str">
        <f>IF(B41="","",COUNTA($B$8:B41))</f>
        <v/>
      </c>
      <c r="B41" s="19"/>
      <c r="C41" s="20"/>
      <c r="D41" s="20"/>
      <c r="E41" s="20"/>
      <c r="F41" s="20"/>
      <c r="G41" s="20"/>
      <c r="H41" s="24"/>
      <c r="I41" s="31"/>
      <c r="J41" s="23"/>
      <c r="K41" s="23"/>
      <c r="L41" s="23"/>
      <c r="M41" s="23"/>
      <c r="N41" s="23"/>
      <c r="O41" s="23"/>
      <c r="P41" s="23"/>
      <c r="Q41" s="37"/>
      <c r="R41" s="22"/>
      <c r="S41" s="23"/>
      <c r="T41" s="23"/>
      <c r="U41" s="23"/>
      <c r="V41" s="23"/>
      <c r="W41" s="23"/>
      <c r="X41" s="37"/>
      <c r="Y41" s="440"/>
      <c r="Z41" s="441"/>
      <c r="AA41" s="442"/>
      <c r="AB41" s="443"/>
      <c r="AC41" s="444"/>
      <c r="AD41" s="51"/>
      <c r="AE41" s="40"/>
      <c r="AF41" s="40"/>
      <c r="AG41" s="40"/>
      <c r="AH41" s="40"/>
      <c r="AI41" s="40"/>
      <c r="AJ41" s="40"/>
      <c r="AK41" s="40"/>
      <c r="AL41" s="40"/>
      <c r="AM41" s="40"/>
      <c r="AN41" s="40"/>
      <c r="AO41" s="41"/>
      <c r="AP41" s="41"/>
      <c r="AQ41" s="41"/>
      <c r="AR41" s="41"/>
      <c r="AS41" s="42"/>
      <c r="AT41" s="43"/>
      <c r="AU41" s="67"/>
      <c r="AV41" s="67"/>
      <c r="AW41" s="67"/>
      <c r="AX41" s="67"/>
      <c r="AY41" s="67"/>
      <c r="AZ41" s="67"/>
      <c r="BA41" s="67"/>
      <c r="BB41" s="67"/>
      <c r="BC41" s="67"/>
      <c r="BD41" s="68"/>
    </row>
    <row r="42" spans="1:56" ht="14.4" customHeight="1">
      <c r="A42" s="50" t="str">
        <f>IF(B42="","",COUNTA($B$8:B42))</f>
        <v/>
      </c>
      <c r="B42" s="19"/>
      <c r="C42" s="20"/>
      <c r="D42" s="20"/>
      <c r="E42" s="20"/>
      <c r="F42" s="20"/>
      <c r="G42" s="20"/>
      <c r="H42" s="24"/>
      <c r="I42" s="31"/>
      <c r="J42" s="23"/>
      <c r="K42" s="23"/>
      <c r="L42" s="23"/>
      <c r="M42" s="23"/>
      <c r="N42" s="23"/>
      <c r="O42" s="23"/>
      <c r="P42" s="23"/>
      <c r="Q42" s="37"/>
      <c r="R42" s="22"/>
      <c r="S42" s="23"/>
      <c r="T42" s="23"/>
      <c r="U42" s="23"/>
      <c r="V42" s="23"/>
      <c r="W42" s="23"/>
      <c r="X42" s="37"/>
      <c r="Y42" s="440"/>
      <c r="Z42" s="441"/>
      <c r="AA42" s="442"/>
      <c r="AB42" s="443"/>
      <c r="AC42" s="444"/>
      <c r="AD42" s="51"/>
      <c r="AE42" s="40"/>
      <c r="AF42" s="40"/>
      <c r="AG42" s="40"/>
      <c r="AH42" s="40"/>
      <c r="AI42" s="40"/>
      <c r="AJ42" s="40"/>
      <c r="AK42" s="40"/>
      <c r="AL42" s="40"/>
      <c r="AM42" s="40"/>
      <c r="AN42" s="40"/>
      <c r="AO42" s="41"/>
      <c r="AP42" s="41"/>
      <c r="AQ42" s="41"/>
      <c r="AR42" s="41"/>
      <c r="AS42" s="42"/>
      <c r="AT42" s="43"/>
      <c r="AU42" s="67"/>
      <c r="AV42" s="67"/>
      <c r="AW42" s="67"/>
      <c r="AX42" s="67"/>
      <c r="AY42" s="67"/>
      <c r="AZ42" s="67"/>
      <c r="BA42" s="67"/>
      <c r="BB42" s="67"/>
      <c r="BC42" s="67"/>
      <c r="BD42" s="68"/>
    </row>
    <row r="43" spans="1:56" ht="14.4" customHeight="1">
      <c r="A43" s="50" t="str">
        <f>IF(B43="","",COUNTA($B$8:B43))</f>
        <v/>
      </c>
      <c r="B43" s="19"/>
      <c r="C43" s="20"/>
      <c r="D43" s="20"/>
      <c r="E43" s="20"/>
      <c r="F43" s="20"/>
      <c r="G43" s="20"/>
      <c r="H43" s="24"/>
      <c r="I43" s="31"/>
      <c r="J43" s="23"/>
      <c r="K43" s="23"/>
      <c r="L43" s="23"/>
      <c r="M43" s="23"/>
      <c r="N43" s="23"/>
      <c r="O43" s="23"/>
      <c r="P43" s="23"/>
      <c r="Q43" s="37"/>
      <c r="R43" s="22"/>
      <c r="S43" s="23"/>
      <c r="T43" s="23"/>
      <c r="U43" s="23"/>
      <c r="V43" s="23"/>
      <c r="W43" s="23"/>
      <c r="X43" s="37"/>
      <c r="Y43" s="440"/>
      <c r="Z43" s="441"/>
      <c r="AA43" s="442"/>
      <c r="AB43" s="443"/>
      <c r="AC43" s="444"/>
      <c r="AD43" s="51"/>
      <c r="AE43" s="40"/>
      <c r="AF43" s="40"/>
      <c r="AG43" s="40"/>
      <c r="AH43" s="40"/>
      <c r="AI43" s="40"/>
      <c r="AJ43" s="40"/>
      <c r="AK43" s="40"/>
      <c r="AL43" s="40"/>
      <c r="AM43" s="40"/>
      <c r="AN43" s="40"/>
      <c r="AO43" s="41"/>
      <c r="AP43" s="41"/>
      <c r="AQ43" s="41"/>
      <c r="AR43" s="41"/>
      <c r="AS43" s="42"/>
      <c r="AT43" s="43"/>
      <c r="AU43" s="67"/>
      <c r="AV43" s="67"/>
      <c r="AW43" s="67"/>
      <c r="AX43" s="67"/>
      <c r="AY43" s="67"/>
      <c r="AZ43" s="67"/>
      <c r="BA43" s="67"/>
      <c r="BB43" s="67"/>
      <c r="BC43" s="67"/>
      <c r="BD43" s="68"/>
    </row>
    <row r="44" spans="1:56" ht="14.4" customHeight="1">
      <c r="A44" s="50" t="str">
        <f>IF(B44="","",COUNTA($B$8:B44))</f>
        <v/>
      </c>
      <c r="B44" s="19"/>
      <c r="C44" s="20"/>
      <c r="D44" s="20"/>
      <c r="E44" s="20"/>
      <c r="F44" s="20"/>
      <c r="G44" s="20"/>
      <c r="H44" s="24"/>
      <c r="I44" s="31"/>
      <c r="J44" s="23"/>
      <c r="K44" s="23"/>
      <c r="L44" s="23"/>
      <c r="M44" s="23"/>
      <c r="N44" s="23"/>
      <c r="O44" s="23"/>
      <c r="P44" s="23"/>
      <c r="Q44" s="37"/>
      <c r="R44" s="22"/>
      <c r="S44" s="23"/>
      <c r="T44" s="23"/>
      <c r="U44" s="23"/>
      <c r="V44" s="23"/>
      <c r="W44" s="23"/>
      <c r="X44" s="37"/>
      <c r="Y44" s="440"/>
      <c r="Z44" s="441"/>
      <c r="AA44" s="442"/>
      <c r="AB44" s="443"/>
      <c r="AC44" s="444"/>
      <c r="AD44" s="51"/>
      <c r="AE44" s="40"/>
      <c r="AF44" s="40"/>
      <c r="AG44" s="40"/>
      <c r="AH44" s="40"/>
      <c r="AI44" s="40"/>
      <c r="AJ44" s="40"/>
      <c r="AK44" s="40"/>
      <c r="AL44" s="40"/>
      <c r="AM44" s="40"/>
      <c r="AN44" s="40"/>
      <c r="AO44" s="41"/>
      <c r="AP44" s="41"/>
      <c r="AQ44" s="41"/>
      <c r="AR44" s="41"/>
      <c r="AS44" s="42"/>
      <c r="AT44" s="43"/>
      <c r="AU44" s="67"/>
      <c r="AV44" s="67"/>
      <c r="AW44" s="67"/>
      <c r="AX44" s="67"/>
      <c r="AY44" s="67"/>
      <c r="AZ44" s="67"/>
      <c r="BA44" s="67"/>
      <c r="BB44" s="67"/>
      <c r="BC44" s="67"/>
      <c r="BD44" s="68"/>
    </row>
    <row r="45" spans="1:56" ht="14.4" customHeight="1">
      <c r="A45" s="50" t="str">
        <f>IF(B45="","",COUNTA($B$8:B45))</f>
        <v/>
      </c>
      <c r="B45" s="19"/>
      <c r="C45" s="20"/>
      <c r="D45" s="20"/>
      <c r="E45" s="20"/>
      <c r="F45" s="20"/>
      <c r="G45" s="20"/>
      <c r="H45" s="24"/>
      <c r="I45" s="31"/>
      <c r="J45" s="23"/>
      <c r="K45" s="23"/>
      <c r="L45" s="23"/>
      <c r="M45" s="23"/>
      <c r="N45" s="23"/>
      <c r="O45" s="23"/>
      <c r="P45" s="23"/>
      <c r="Q45" s="37"/>
      <c r="R45" s="22"/>
      <c r="S45" s="23"/>
      <c r="T45" s="23"/>
      <c r="U45" s="23"/>
      <c r="V45" s="23"/>
      <c r="W45" s="23"/>
      <c r="X45" s="37"/>
      <c r="Y45" s="440"/>
      <c r="Z45" s="441"/>
      <c r="AA45" s="442"/>
      <c r="AB45" s="443"/>
      <c r="AC45" s="444"/>
      <c r="AD45" s="51"/>
      <c r="AE45" s="40"/>
      <c r="AF45" s="40"/>
      <c r="AG45" s="40"/>
      <c r="AH45" s="40"/>
      <c r="AI45" s="40"/>
      <c r="AJ45" s="40"/>
      <c r="AK45" s="40"/>
      <c r="AL45" s="40"/>
      <c r="AM45" s="40"/>
      <c r="AN45" s="40"/>
      <c r="AO45" s="41"/>
      <c r="AP45" s="41"/>
      <c r="AQ45" s="41"/>
      <c r="AR45" s="41"/>
      <c r="AS45" s="42"/>
      <c r="AT45" s="43"/>
      <c r="AU45" s="67"/>
      <c r="AV45" s="67"/>
      <c r="AW45" s="67"/>
      <c r="AX45" s="67"/>
      <c r="AY45" s="67"/>
      <c r="AZ45" s="67"/>
      <c r="BA45" s="67"/>
      <c r="BB45" s="67"/>
      <c r="BC45" s="67"/>
      <c r="BD45" s="68"/>
    </row>
    <row r="46" spans="1:56" ht="14.4" customHeight="1">
      <c r="A46" s="50" t="str">
        <f>IF(B46="","",COUNTA($B$8:B46))</f>
        <v/>
      </c>
      <c r="B46" s="19"/>
      <c r="C46" s="20"/>
      <c r="D46" s="20"/>
      <c r="E46" s="20"/>
      <c r="F46" s="20"/>
      <c r="G46" s="20"/>
      <c r="H46" s="24"/>
      <c r="I46" s="31"/>
      <c r="J46" s="23"/>
      <c r="K46" s="23"/>
      <c r="L46" s="23"/>
      <c r="M46" s="23"/>
      <c r="N46" s="23"/>
      <c r="O46" s="23"/>
      <c r="P46" s="23"/>
      <c r="Q46" s="37"/>
      <c r="R46" s="22"/>
      <c r="S46" s="23"/>
      <c r="T46" s="23"/>
      <c r="U46" s="23"/>
      <c r="V46" s="23"/>
      <c r="W46" s="23"/>
      <c r="X46" s="37"/>
      <c r="Y46" s="440"/>
      <c r="Z46" s="441"/>
      <c r="AA46" s="442"/>
      <c r="AB46" s="443"/>
      <c r="AC46" s="444"/>
      <c r="AD46" s="51"/>
      <c r="AE46" s="40"/>
      <c r="AF46" s="40"/>
      <c r="AG46" s="40"/>
      <c r="AH46" s="40"/>
      <c r="AI46" s="40"/>
      <c r="AJ46" s="40"/>
      <c r="AK46" s="40"/>
      <c r="AL46" s="40"/>
      <c r="AM46" s="40"/>
      <c r="AN46" s="40"/>
      <c r="AO46" s="41"/>
      <c r="AP46" s="41"/>
      <c r="AQ46" s="41"/>
      <c r="AR46" s="41"/>
      <c r="AS46" s="42"/>
      <c r="AT46" s="43"/>
      <c r="AU46" s="67"/>
      <c r="AV46" s="67"/>
      <c r="AW46" s="67"/>
      <c r="AX46" s="67"/>
      <c r="AY46" s="67"/>
      <c r="AZ46" s="67"/>
      <c r="BA46" s="67"/>
      <c r="BB46" s="67"/>
      <c r="BC46" s="67"/>
      <c r="BD46" s="68"/>
    </row>
  </sheetData>
  <mergeCells count="107">
    <mergeCell ref="Y43:Z43"/>
    <mergeCell ref="AA43:AC43"/>
    <mergeCell ref="Y44:Z44"/>
    <mergeCell ref="AA44:AC44"/>
    <mergeCell ref="Y45:Z45"/>
    <mergeCell ref="AA45:AC45"/>
    <mergeCell ref="Y46:Z46"/>
    <mergeCell ref="AA46:AC46"/>
    <mergeCell ref="Y38:Z38"/>
    <mergeCell ref="AA38:AC38"/>
    <mergeCell ref="Y39:Z39"/>
    <mergeCell ref="AA39:AC39"/>
    <mergeCell ref="Y40:Z40"/>
    <mergeCell ref="AA40:AC40"/>
    <mergeCell ref="Y41:Z41"/>
    <mergeCell ref="AA41:AC41"/>
    <mergeCell ref="Y42:Z42"/>
    <mergeCell ref="AA42:AC42"/>
    <mergeCell ref="AZ1:BD1"/>
    <mergeCell ref="I2:Q4"/>
    <mergeCell ref="R2:X4"/>
    <mergeCell ref="Y2:AO3"/>
    <mergeCell ref="AP2:AT2"/>
    <mergeCell ref="AZ2:BD2"/>
    <mergeCell ref="AP3:AT3"/>
    <mergeCell ref="AU3:AY3"/>
    <mergeCell ref="AZ3:BD3"/>
    <mergeCell ref="Y4:AO4"/>
    <mergeCell ref="I1:Q1"/>
    <mergeCell ref="R1:X1"/>
    <mergeCell ref="Y1:AO1"/>
    <mergeCell ref="AP1:AT1"/>
    <mergeCell ref="AU1:AY1"/>
    <mergeCell ref="AP4:AT4"/>
    <mergeCell ref="AU4:AY4"/>
    <mergeCell ref="AZ4:BD4"/>
    <mergeCell ref="A1:H4"/>
    <mergeCell ref="Y9:Z9"/>
    <mergeCell ref="AA9:AC9"/>
    <mergeCell ref="AG6:AG7"/>
    <mergeCell ref="AH6:AH7"/>
    <mergeCell ref="AI6:AR6"/>
    <mergeCell ref="A6:A7"/>
    <mergeCell ref="B6:H7"/>
    <mergeCell ref="I6:Q7"/>
    <mergeCell ref="R6:X7"/>
    <mergeCell ref="Y6:Z7"/>
    <mergeCell ref="AA6:AC7"/>
    <mergeCell ref="AD6:AD7"/>
    <mergeCell ref="AE6:AE7"/>
    <mergeCell ref="AF6:AF7"/>
    <mergeCell ref="AS6:BD7"/>
    <mergeCell ref="Y8:Z8"/>
    <mergeCell ref="AA8:AC8"/>
    <mergeCell ref="Y13:Z13"/>
    <mergeCell ref="AA13:AC13"/>
    <mergeCell ref="Y14:Z14"/>
    <mergeCell ref="AA14:AC14"/>
    <mergeCell ref="Y15:Z15"/>
    <mergeCell ref="AA15:AC15"/>
    <mergeCell ref="AA10:AC10"/>
    <mergeCell ref="Y11:Z11"/>
    <mergeCell ref="AA11:AC11"/>
    <mergeCell ref="Y12:Z12"/>
    <mergeCell ref="AA12:AC12"/>
    <mergeCell ref="Y16:Z16"/>
    <mergeCell ref="AA16:AC16"/>
    <mergeCell ref="Y19:Z19"/>
    <mergeCell ref="AA19:AC19"/>
    <mergeCell ref="Y20:Z20"/>
    <mergeCell ref="AA20:AC20"/>
    <mergeCell ref="Y21:Z21"/>
    <mergeCell ref="AA21:AC21"/>
    <mergeCell ref="Y26:Z26"/>
    <mergeCell ref="AA26:AC26"/>
    <mergeCell ref="Y17:Z17"/>
    <mergeCell ref="AA17:AC17"/>
    <mergeCell ref="Y37:Z37"/>
    <mergeCell ref="AA37:AC37"/>
    <mergeCell ref="Y34:Z34"/>
    <mergeCell ref="AA34:AC34"/>
    <mergeCell ref="Y35:Z35"/>
    <mergeCell ref="AA35:AC35"/>
    <mergeCell ref="Y36:Z36"/>
    <mergeCell ref="AA36:AC36"/>
    <mergeCell ref="Y31:Z31"/>
    <mergeCell ref="AA31:AC31"/>
    <mergeCell ref="Y32:Z32"/>
    <mergeCell ref="AA32:AC32"/>
    <mergeCell ref="Y33:Z33"/>
    <mergeCell ref="AA33:AC33"/>
    <mergeCell ref="Y29:Z29"/>
    <mergeCell ref="AA29:AC29"/>
    <mergeCell ref="Y30:Z30"/>
    <mergeCell ref="AA30:AC30"/>
    <mergeCell ref="Y25:Z25"/>
    <mergeCell ref="AA25:AC25"/>
    <mergeCell ref="Y27:Z27"/>
    <mergeCell ref="AA27:AC27"/>
    <mergeCell ref="Y22:Z22"/>
    <mergeCell ref="AA22:AC22"/>
    <mergeCell ref="Y23:Z23"/>
    <mergeCell ref="AA23:AC23"/>
    <mergeCell ref="Y24:Z24"/>
    <mergeCell ref="AA24:AC24"/>
    <mergeCell ref="Y28:Z28"/>
    <mergeCell ref="AA28:AC28"/>
  </mergeCells>
  <phoneticPr fontId="5"/>
  <dataValidations count="3">
    <dataValidation imeMode="hiragana" allowBlank="1" showInputMessage="1" showErrorMessage="1" sqref="Z262138:AJ262140 Z196602:AJ196604 Z131066:AJ131068 Z65530:AJ65532 Z983034:AJ983036 Z917498:AJ917500 Z851962:AJ851964 Z786426:AJ786428 Z720890:AJ720892 Z655354:AJ655356 Z589818:AJ589820 Z524282:AJ524284 Z458746:AJ458748 Z393210:AJ393212 Z327674:AJ327676 R2"/>
    <dataValidation type="list" allowBlank="1" showInputMessage="1" showErrorMessage="1" sqref="AA8:AC46">
      <formula1>"int,numeric,varchar,date,datetime2(0),datetime2,varbinary(max)"</formula1>
    </dataValidation>
    <dataValidation type="list" allowBlank="1" showInputMessage="1" showErrorMessage="1" sqref="Y8:Z46">
      <formula1>"文字,数値,日付,時間"</formula1>
    </dataValidation>
  </dataValidations>
  <pageMargins left="0.39370078740157483" right="0.39370078740157483" top="0.59055118110236227" bottom="0.39370078740157483" header="0.39370078740157483" footer="0.19685039370078741"/>
  <pageSetup paperSize="9" scale="80" fitToHeight="0" orientation="landscape" useFirstPageNumber="1" verticalDpi="300" r:id="rId1"/>
  <headerFooter alignWithMargins="0">
    <oddFooter>&amp;R&amp;A - &amp;P</oddFooter>
  </headerFooter>
  <legacyDrawing r:id="rId2"/>
</worksheet>
</file>

<file path=xl/worksheets/sheet1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9">
    <tabColor rgb="FFFFC000"/>
  </sheetPr>
  <dimension ref="A1:BE47"/>
  <sheetViews>
    <sheetView showGridLines="0" zoomScaleNormal="100" zoomScaleSheetLayoutView="100" workbookViewId="0">
      <pane ySplit="7" topLeftCell="A23" activePane="bottomLeft" state="frozen"/>
      <selection sqref="A1:K4"/>
      <selection pane="bottomLeft" sqref="A1:H4"/>
    </sheetView>
  </sheetViews>
  <sheetFormatPr defaultColWidth="2.6328125" defaultRowHeight="14.4" customHeight="1"/>
  <cols>
    <col min="1" max="1" width="4.6328125" style="18" customWidth="1"/>
    <col min="2" max="26" width="2.6328125" style="18"/>
    <col min="27" max="27" width="2.6328125" style="18" customWidth="1"/>
    <col min="28" max="29" width="2.6328125" style="18"/>
    <col min="30" max="30" width="4.6328125" style="18" customWidth="1"/>
    <col min="31" max="31" width="2.6328125" style="18" customWidth="1"/>
    <col min="32" max="33" width="2.6328125" style="18"/>
    <col min="34" max="34" width="6.6328125" style="18" customWidth="1"/>
    <col min="35" max="41" width="2.6328125" style="18"/>
    <col min="42" max="56" width="2.6328125" style="46"/>
    <col min="57" max="16384" width="2.6328125" style="18"/>
  </cols>
  <sheetData>
    <row r="1" spans="1:56" s="17" customFormat="1" ht="14.4" customHeight="1">
      <c r="A1" s="417" t="s">
        <v>78</v>
      </c>
      <c r="B1" s="418"/>
      <c r="C1" s="418"/>
      <c r="D1" s="418"/>
      <c r="E1" s="418"/>
      <c r="F1" s="418"/>
      <c r="G1" s="418"/>
      <c r="H1" s="419"/>
      <c r="I1" s="354" t="s">
        <v>79</v>
      </c>
      <c r="J1" s="355"/>
      <c r="K1" s="355"/>
      <c r="L1" s="355"/>
      <c r="M1" s="355"/>
      <c r="N1" s="355"/>
      <c r="O1" s="355"/>
      <c r="P1" s="355"/>
      <c r="Q1" s="356"/>
      <c r="R1" s="354" t="s">
        <v>80</v>
      </c>
      <c r="S1" s="355"/>
      <c r="T1" s="355"/>
      <c r="U1" s="355"/>
      <c r="V1" s="355"/>
      <c r="W1" s="355"/>
      <c r="X1" s="356"/>
      <c r="Y1" s="354" t="s">
        <v>135</v>
      </c>
      <c r="Z1" s="355"/>
      <c r="AA1" s="355"/>
      <c r="AB1" s="355"/>
      <c r="AC1" s="355"/>
      <c r="AD1" s="355"/>
      <c r="AE1" s="355"/>
      <c r="AF1" s="355"/>
      <c r="AG1" s="355"/>
      <c r="AH1" s="355"/>
      <c r="AI1" s="355"/>
      <c r="AJ1" s="355"/>
      <c r="AK1" s="355"/>
      <c r="AL1" s="355"/>
      <c r="AM1" s="355"/>
      <c r="AN1" s="355"/>
      <c r="AO1" s="356"/>
      <c r="AP1" s="428" t="s">
        <v>82</v>
      </c>
      <c r="AQ1" s="429"/>
      <c r="AR1" s="429"/>
      <c r="AS1" s="429"/>
      <c r="AT1" s="430"/>
      <c r="AU1" s="428" t="s">
        <v>83</v>
      </c>
      <c r="AV1" s="429"/>
      <c r="AW1" s="429"/>
      <c r="AX1" s="429"/>
      <c r="AY1" s="430"/>
      <c r="AZ1" s="428" t="s">
        <v>84</v>
      </c>
      <c r="BA1" s="429"/>
      <c r="BB1" s="429"/>
      <c r="BC1" s="429"/>
      <c r="BD1" s="430"/>
    </row>
    <row r="2" spans="1:56" s="17" customFormat="1" ht="14.4" customHeight="1">
      <c r="A2" s="420"/>
      <c r="B2" s="421"/>
      <c r="C2" s="421"/>
      <c r="D2" s="421"/>
      <c r="E2" s="421"/>
      <c r="F2" s="421"/>
      <c r="G2" s="421"/>
      <c r="H2" s="422"/>
      <c r="I2" s="384" t="s">
        <v>85</v>
      </c>
      <c r="J2" s="385"/>
      <c r="K2" s="385"/>
      <c r="L2" s="385"/>
      <c r="M2" s="385"/>
      <c r="N2" s="385"/>
      <c r="O2" s="385"/>
      <c r="P2" s="385"/>
      <c r="Q2" s="386"/>
      <c r="R2" s="384" t="str">
        <f ca="1">VLOOKUP(RIGHT(CELL("filename",A2),LEN(CELL("filename",A2))-FIND("]",CELL("filename",A2))),テーブル一覧!B:AD,22,FALSE)</f>
        <v>B.生産計画</v>
      </c>
      <c r="S2" s="385"/>
      <c r="T2" s="385"/>
      <c r="U2" s="385"/>
      <c r="V2" s="385"/>
      <c r="W2" s="385"/>
      <c r="X2" s="386"/>
      <c r="Y2" s="384" t="str">
        <f ca="1">VLOOKUP(RIGHT(CELL("filename",A2),LEN(CELL("filename",A2))-FIND("]",CELL("filename",A2))),テーブル一覧!B:AD,1,FALSE)</f>
        <v>生産指示情報（薬品）</v>
      </c>
      <c r="Z2" s="385"/>
      <c r="AA2" s="385"/>
      <c r="AB2" s="385"/>
      <c r="AC2" s="385"/>
      <c r="AD2" s="385"/>
      <c r="AE2" s="385"/>
      <c r="AF2" s="385"/>
      <c r="AG2" s="385"/>
      <c r="AH2" s="385"/>
      <c r="AI2" s="385"/>
      <c r="AJ2" s="385"/>
      <c r="AK2" s="385"/>
      <c r="AL2" s="385"/>
      <c r="AM2" s="385"/>
      <c r="AN2" s="385"/>
      <c r="AO2" s="386"/>
      <c r="AP2" s="357"/>
      <c r="AQ2" s="358"/>
      <c r="AR2" s="358"/>
      <c r="AS2" s="358"/>
      <c r="AT2" s="359"/>
      <c r="AU2" s="58" t="s">
        <v>88</v>
      </c>
      <c r="AV2" s="59"/>
      <c r="AW2" s="59"/>
      <c r="AX2" s="59"/>
      <c r="AY2" s="60"/>
      <c r="AZ2" s="434" t="s">
        <v>89</v>
      </c>
      <c r="BA2" s="435"/>
      <c r="BB2" s="435"/>
      <c r="BC2" s="435"/>
      <c r="BD2" s="436"/>
    </row>
    <row r="3" spans="1:56" s="17" customFormat="1" ht="14.4" customHeight="1">
      <c r="A3" s="420"/>
      <c r="B3" s="421"/>
      <c r="C3" s="421"/>
      <c r="D3" s="421"/>
      <c r="E3" s="421"/>
      <c r="F3" s="421"/>
      <c r="G3" s="421"/>
      <c r="H3" s="422"/>
      <c r="I3" s="387"/>
      <c r="J3" s="388"/>
      <c r="K3" s="388"/>
      <c r="L3" s="388"/>
      <c r="M3" s="388"/>
      <c r="N3" s="388"/>
      <c r="O3" s="388"/>
      <c r="P3" s="388"/>
      <c r="Q3" s="389"/>
      <c r="R3" s="387"/>
      <c r="S3" s="388"/>
      <c r="T3" s="388"/>
      <c r="U3" s="388"/>
      <c r="V3" s="388"/>
      <c r="W3" s="388"/>
      <c r="X3" s="389"/>
      <c r="Y3" s="390"/>
      <c r="Z3" s="391"/>
      <c r="AA3" s="391"/>
      <c r="AB3" s="391"/>
      <c r="AC3" s="391"/>
      <c r="AD3" s="391"/>
      <c r="AE3" s="391"/>
      <c r="AF3" s="391"/>
      <c r="AG3" s="391"/>
      <c r="AH3" s="391"/>
      <c r="AI3" s="391"/>
      <c r="AJ3" s="391"/>
      <c r="AK3" s="391"/>
      <c r="AL3" s="391"/>
      <c r="AM3" s="391"/>
      <c r="AN3" s="391"/>
      <c r="AO3" s="392"/>
      <c r="AP3" s="360"/>
      <c r="AQ3" s="361"/>
      <c r="AR3" s="361"/>
      <c r="AS3" s="361"/>
      <c r="AT3" s="362"/>
      <c r="AU3" s="431"/>
      <c r="AV3" s="432"/>
      <c r="AW3" s="432"/>
      <c r="AX3" s="432"/>
      <c r="AY3" s="433"/>
      <c r="AZ3" s="434"/>
      <c r="BA3" s="435"/>
      <c r="BB3" s="435"/>
      <c r="BC3" s="435"/>
      <c r="BD3" s="436"/>
    </row>
    <row r="4" spans="1:56" s="17" customFormat="1" ht="14.4" customHeight="1">
      <c r="A4" s="423"/>
      <c r="B4" s="424"/>
      <c r="C4" s="424"/>
      <c r="D4" s="424"/>
      <c r="E4" s="424"/>
      <c r="F4" s="424"/>
      <c r="G4" s="424"/>
      <c r="H4" s="425"/>
      <c r="I4" s="390"/>
      <c r="J4" s="391"/>
      <c r="K4" s="391"/>
      <c r="L4" s="391"/>
      <c r="M4" s="391"/>
      <c r="N4" s="391"/>
      <c r="O4" s="391"/>
      <c r="P4" s="391"/>
      <c r="Q4" s="392"/>
      <c r="R4" s="390"/>
      <c r="S4" s="391"/>
      <c r="T4" s="391"/>
      <c r="U4" s="391"/>
      <c r="V4" s="391"/>
      <c r="W4" s="391"/>
      <c r="X4" s="392"/>
      <c r="Y4" s="437" t="str">
        <f ca="1">IF(VLOOKUP(RIGHT(CELL("filename",A2),LEN(CELL("filename",A2))-FIND("]",CELL("filename",A2))),テーブル一覧!B:AD,11,FALSE)=0,"",VLOOKUP(RIGHT(CELL("filename",A2),LEN(CELL("filename",A2))-FIND("]",CELL("filename",A2))),テーブル一覧!B:AD,11,FALSE))</f>
        <v>t_seisan_shiji_yakuhin</v>
      </c>
      <c r="Z4" s="438"/>
      <c r="AA4" s="438"/>
      <c r="AB4" s="438"/>
      <c r="AC4" s="438"/>
      <c r="AD4" s="438"/>
      <c r="AE4" s="438"/>
      <c r="AF4" s="438"/>
      <c r="AG4" s="438"/>
      <c r="AH4" s="438"/>
      <c r="AI4" s="438"/>
      <c r="AJ4" s="438"/>
      <c r="AK4" s="438"/>
      <c r="AL4" s="438"/>
      <c r="AM4" s="438"/>
      <c r="AN4" s="438"/>
      <c r="AO4" s="439"/>
      <c r="AP4" s="360"/>
      <c r="AQ4" s="361"/>
      <c r="AR4" s="361"/>
      <c r="AS4" s="361"/>
      <c r="AT4" s="362"/>
      <c r="AU4" s="431"/>
      <c r="AV4" s="432"/>
      <c r="AW4" s="432"/>
      <c r="AX4" s="432"/>
      <c r="AY4" s="433"/>
      <c r="AZ4" s="434"/>
      <c r="BA4" s="435"/>
      <c r="BB4" s="435"/>
      <c r="BC4" s="435"/>
      <c r="BD4" s="436"/>
    </row>
    <row r="6" spans="1:56" ht="14.4" customHeight="1">
      <c r="A6" s="426" t="s">
        <v>90</v>
      </c>
      <c r="B6" s="407" t="s">
        <v>136</v>
      </c>
      <c r="C6" s="415"/>
      <c r="D6" s="415"/>
      <c r="E6" s="415"/>
      <c r="F6" s="415"/>
      <c r="G6" s="415"/>
      <c r="H6" s="408"/>
      <c r="I6" s="407" t="s">
        <v>137</v>
      </c>
      <c r="J6" s="415"/>
      <c r="K6" s="415"/>
      <c r="L6" s="415"/>
      <c r="M6" s="415"/>
      <c r="N6" s="415"/>
      <c r="O6" s="415"/>
      <c r="P6" s="415"/>
      <c r="Q6" s="408"/>
      <c r="R6" s="407" t="s">
        <v>138</v>
      </c>
      <c r="S6" s="415"/>
      <c r="T6" s="415"/>
      <c r="U6" s="415"/>
      <c r="V6" s="415"/>
      <c r="W6" s="415"/>
      <c r="X6" s="408"/>
      <c r="Y6" s="407" t="s">
        <v>139</v>
      </c>
      <c r="Z6" s="408"/>
      <c r="AA6" s="407" t="s">
        <v>140</v>
      </c>
      <c r="AB6" s="415"/>
      <c r="AC6" s="408"/>
      <c r="AD6" s="411" t="s">
        <v>141</v>
      </c>
      <c r="AE6" s="413" t="s">
        <v>142</v>
      </c>
      <c r="AF6" s="411" t="s">
        <v>143</v>
      </c>
      <c r="AG6" s="411" t="s">
        <v>144</v>
      </c>
      <c r="AH6" s="411" t="s">
        <v>145</v>
      </c>
      <c r="AI6" s="404" t="s">
        <v>146</v>
      </c>
      <c r="AJ6" s="405"/>
      <c r="AK6" s="405"/>
      <c r="AL6" s="405"/>
      <c r="AM6" s="405"/>
      <c r="AN6" s="405"/>
      <c r="AO6" s="405"/>
      <c r="AP6" s="405"/>
      <c r="AQ6" s="405"/>
      <c r="AR6" s="406"/>
      <c r="AS6" s="407" t="s">
        <v>147</v>
      </c>
      <c r="AT6" s="415"/>
      <c r="AU6" s="415"/>
      <c r="AV6" s="415"/>
      <c r="AW6" s="415"/>
      <c r="AX6" s="415"/>
      <c r="AY6" s="415"/>
      <c r="AZ6" s="415"/>
      <c r="BA6" s="415"/>
      <c r="BB6" s="415"/>
      <c r="BC6" s="415"/>
      <c r="BD6" s="408"/>
    </row>
    <row r="7" spans="1:56" ht="14.4" customHeight="1">
      <c r="A7" s="427"/>
      <c r="B7" s="409"/>
      <c r="C7" s="416"/>
      <c r="D7" s="416"/>
      <c r="E7" s="416"/>
      <c r="F7" s="416"/>
      <c r="G7" s="416"/>
      <c r="H7" s="410"/>
      <c r="I7" s="409"/>
      <c r="J7" s="416"/>
      <c r="K7" s="416"/>
      <c r="L7" s="416"/>
      <c r="M7" s="416"/>
      <c r="N7" s="416"/>
      <c r="O7" s="416"/>
      <c r="P7" s="416"/>
      <c r="Q7" s="410"/>
      <c r="R7" s="409"/>
      <c r="S7" s="416"/>
      <c r="T7" s="416"/>
      <c r="U7" s="416"/>
      <c r="V7" s="416"/>
      <c r="W7" s="416"/>
      <c r="X7" s="410"/>
      <c r="Y7" s="409"/>
      <c r="Z7" s="410"/>
      <c r="AA7" s="409"/>
      <c r="AB7" s="416"/>
      <c r="AC7" s="410"/>
      <c r="AD7" s="412"/>
      <c r="AE7" s="414"/>
      <c r="AF7" s="412"/>
      <c r="AG7" s="412"/>
      <c r="AH7" s="412"/>
      <c r="AI7" s="52">
        <v>1</v>
      </c>
      <c r="AJ7" s="52">
        <v>2</v>
      </c>
      <c r="AK7" s="52">
        <v>3</v>
      </c>
      <c r="AL7" s="52">
        <v>4</v>
      </c>
      <c r="AM7" s="52">
        <v>5</v>
      </c>
      <c r="AN7" s="52">
        <v>6</v>
      </c>
      <c r="AO7" s="52">
        <v>7</v>
      </c>
      <c r="AP7" s="52">
        <v>8</v>
      </c>
      <c r="AQ7" s="52">
        <v>9</v>
      </c>
      <c r="AR7" s="52">
        <v>10</v>
      </c>
      <c r="AS7" s="409"/>
      <c r="AT7" s="416"/>
      <c r="AU7" s="416"/>
      <c r="AV7" s="416"/>
      <c r="AW7" s="416"/>
      <c r="AX7" s="416"/>
      <c r="AY7" s="416"/>
      <c r="AZ7" s="416"/>
      <c r="BA7" s="416"/>
      <c r="BB7" s="416"/>
      <c r="BC7" s="416"/>
      <c r="BD7" s="410"/>
    </row>
    <row r="8" spans="1:56" ht="14.4" customHeight="1">
      <c r="A8" s="70">
        <f>IF(B8="","",COUNTA($B$8:B8))</f>
        <v>1</v>
      </c>
      <c r="B8" s="19" t="s">
        <v>148</v>
      </c>
      <c r="C8" s="20"/>
      <c r="D8" s="20"/>
      <c r="E8" s="20"/>
      <c r="F8" s="20"/>
      <c r="G8" s="20"/>
      <c r="H8" s="24"/>
      <c r="I8" s="31" t="s">
        <v>149</v>
      </c>
      <c r="J8" s="23"/>
      <c r="K8" s="23"/>
      <c r="L8" s="23"/>
      <c r="M8" s="23"/>
      <c r="N8" s="23"/>
      <c r="O8" s="38"/>
      <c r="P8" s="23"/>
      <c r="Q8" s="24"/>
      <c r="R8" s="19" t="s">
        <v>148</v>
      </c>
      <c r="S8" s="23"/>
      <c r="T8" s="23"/>
      <c r="U8" s="23"/>
      <c r="V8" s="23"/>
      <c r="W8" s="23"/>
      <c r="X8" s="24"/>
      <c r="Y8" s="440" t="s">
        <v>150</v>
      </c>
      <c r="Z8" s="441"/>
      <c r="AA8" s="442" t="s">
        <v>151</v>
      </c>
      <c r="AB8" s="443"/>
      <c r="AC8" s="444"/>
      <c r="AD8" s="27">
        <v>15</v>
      </c>
      <c r="AE8" s="29"/>
      <c r="AF8" s="29">
        <v>1</v>
      </c>
      <c r="AG8" s="28" t="s">
        <v>152</v>
      </c>
      <c r="AH8" s="28"/>
      <c r="AI8" s="28"/>
      <c r="AJ8" s="28"/>
      <c r="AK8" s="28"/>
      <c r="AL8" s="28"/>
      <c r="AM8" s="28"/>
      <c r="AN8" s="28"/>
      <c r="AO8" s="29"/>
      <c r="AP8" s="29"/>
      <c r="AQ8" s="29"/>
      <c r="AR8" s="29"/>
      <c r="AS8" s="47"/>
      <c r="AT8" s="48"/>
      <c r="AU8" s="48"/>
      <c r="AV8" s="48"/>
      <c r="AW8" s="48"/>
      <c r="AX8" s="48"/>
      <c r="AY8" s="48"/>
      <c r="AZ8" s="48"/>
      <c r="BA8" s="48"/>
      <c r="BB8" s="48"/>
      <c r="BC8" s="48"/>
      <c r="BD8" s="66"/>
    </row>
    <row r="9" spans="1:56" ht="14.4" customHeight="1">
      <c r="A9" s="70">
        <f>IF(B9="","",COUNTA($B$8:B9))</f>
        <v>2</v>
      </c>
      <c r="B9" s="19" t="s">
        <v>159</v>
      </c>
      <c r="C9" s="20"/>
      <c r="D9" s="20"/>
      <c r="E9" s="20"/>
      <c r="F9" s="20"/>
      <c r="G9" s="20"/>
      <c r="H9" s="24"/>
      <c r="I9" s="31" t="s">
        <v>160</v>
      </c>
      <c r="J9" s="23"/>
      <c r="K9" s="23"/>
      <c r="L9" s="23"/>
      <c r="M9" s="23"/>
      <c r="N9" s="23"/>
      <c r="O9" s="38"/>
      <c r="P9" s="23"/>
      <c r="Q9" s="24"/>
      <c r="R9" s="19" t="s">
        <v>159</v>
      </c>
      <c r="S9" s="23"/>
      <c r="T9" s="23"/>
      <c r="U9" s="23"/>
      <c r="V9" s="23"/>
      <c r="W9" s="23"/>
      <c r="X9" s="24"/>
      <c r="Y9" s="440" t="s">
        <v>150</v>
      </c>
      <c r="Z9" s="441"/>
      <c r="AA9" s="442" t="s">
        <v>151</v>
      </c>
      <c r="AB9" s="443"/>
      <c r="AC9" s="444"/>
      <c r="AD9" s="27">
        <v>4</v>
      </c>
      <c r="AE9" s="29"/>
      <c r="AF9" s="29"/>
      <c r="AG9" s="29"/>
      <c r="AH9" s="28"/>
      <c r="AI9" s="28"/>
      <c r="AJ9" s="28"/>
      <c r="AK9" s="28"/>
      <c r="AL9" s="28"/>
      <c r="AM9" s="28"/>
      <c r="AN9" s="28"/>
      <c r="AO9" s="29"/>
      <c r="AP9" s="29"/>
      <c r="AQ9" s="29"/>
      <c r="AR9" s="29"/>
      <c r="AS9" s="31"/>
      <c r="AT9" s="67"/>
      <c r="AU9" s="67"/>
      <c r="AV9" s="67"/>
      <c r="AW9" s="67"/>
      <c r="AX9" s="67"/>
      <c r="AY9" s="67"/>
      <c r="AZ9" s="67"/>
      <c r="BA9" s="67"/>
      <c r="BB9" s="67"/>
      <c r="BC9" s="67"/>
      <c r="BD9" s="68"/>
    </row>
    <row r="10" spans="1:56" ht="14.4" customHeight="1">
      <c r="A10" s="70">
        <f>IF(B10="","",COUNTA($B$8:B10))</f>
        <v>3</v>
      </c>
      <c r="B10" s="19" t="s">
        <v>162</v>
      </c>
      <c r="C10" s="20"/>
      <c r="D10" s="20"/>
      <c r="E10" s="20"/>
      <c r="F10" s="20"/>
      <c r="G10" s="20"/>
      <c r="H10" s="39" t="s">
        <v>391</v>
      </c>
      <c r="I10" s="31" t="s">
        <v>163</v>
      </c>
      <c r="J10" s="23"/>
      <c r="K10" s="23"/>
      <c r="L10" s="23"/>
      <c r="M10" s="23"/>
      <c r="N10" s="23"/>
      <c r="O10" s="38"/>
      <c r="P10" s="23"/>
      <c r="Q10" s="24"/>
      <c r="R10" s="19" t="s">
        <v>164</v>
      </c>
      <c r="S10" s="23"/>
      <c r="T10" s="23"/>
      <c r="U10" s="23"/>
      <c r="V10" s="23"/>
      <c r="W10" s="23"/>
      <c r="X10" s="24"/>
      <c r="Y10" s="440" t="s">
        <v>150</v>
      </c>
      <c r="Z10" s="441"/>
      <c r="AA10" s="442" t="s">
        <v>151</v>
      </c>
      <c r="AB10" s="443"/>
      <c r="AC10" s="444"/>
      <c r="AD10" s="27">
        <v>4</v>
      </c>
      <c r="AE10" s="29"/>
      <c r="AF10" s="29"/>
      <c r="AG10" s="29"/>
      <c r="AH10" s="28"/>
      <c r="AI10" s="28"/>
      <c r="AJ10" s="28"/>
      <c r="AK10" s="28"/>
      <c r="AL10" s="28"/>
      <c r="AM10" s="28"/>
      <c r="AN10" s="28"/>
      <c r="AO10" s="29"/>
      <c r="AP10" s="29"/>
      <c r="AQ10" s="29"/>
      <c r="AR10" s="29"/>
      <c r="AS10" s="31"/>
      <c r="AT10" s="67"/>
      <c r="AU10" s="67"/>
      <c r="AV10" s="67"/>
      <c r="AW10" s="67"/>
      <c r="AX10" s="67"/>
      <c r="AY10" s="67"/>
      <c r="AZ10" s="67"/>
      <c r="BA10" s="67"/>
      <c r="BB10" s="67"/>
      <c r="BC10" s="67"/>
      <c r="BD10" s="68"/>
    </row>
    <row r="11" spans="1:56" ht="14.4" customHeight="1">
      <c r="A11" s="70">
        <f>IF(B11="","",COUNTA($B$8:B11))</f>
        <v>4</v>
      </c>
      <c r="B11" s="25" t="s">
        <v>193</v>
      </c>
      <c r="C11" s="26"/>
      <c r="D11" s="26"/>
      <c r="E11" s="26"/>
      <c r="F11" s="26"/>
      <c r="G11" s="26"/>
      <c r="H11" s="39" t="s">
        <v>391</v>
      </c>
      <c r="I11" s="31" t="s">
        <v>194</v>
      </c>
      <c r="J11" s="23"/>
      <c r="K11" s="23"/>
      <c r="L11" s="23"/>
      <c r="M11" s="23"/>
      <c r="N11" s="23"/>
      <c r="O11" s="26"/>
      <c r="P11" s="23"/>
      <c r="Q11" s="24"/>
      <c r="R11" s="25" t="s">
        <v>193</v>
      </c>
      <c r="S11" s="23"/>
      <c r="T11" s="23"/>
      <c r="U11" s="23"/>
      <c r="V11" s="23"/>
      <c r="W11" s="23"/>
      <c r="X11" s="24"/>
      <c r="Y11" s="440" t="s">
        <v>150</v>
      </c>
      <c r="Z11" s="441"/>
      <c r="AA11" s="442" t="s">
        <v>151</v>
      </c>
      <c r="AB11" s="443"/>
      <c r="AC11" s="444"/>
      <c r="AD11" s="27">
        <v>5</v>
      </c>
      <c r="AE11" s="29"/>
      <c r="AF11" s="29"/>
      <c r="AG11" s="29"/>
      <c r="AH11" s="28"/>
      <c r="AI11" s="28"/>
      <c r="AJ11" s="28"/>
      <c r="AK11" s="28"/>
      <c r="AL11" s="28"/>
      <c r="AM11" s="28"/>
      <c r="AN11" s="28"/>
      <c r="AO11" s="29"/>
      <c r="AP11" s="29"/>
      <c r="AQ11" s="29"/>
      <c r="AR11" s="29"/>
      <c r="AS11" s="31"/>
      <c r="AT11" s="67"/>
      <c r="AU11" s="67"/>
      <c r="AV11" s="67"/>
      <c r="AW11" s="67"/>
      <c r="AX11" s="67"/>
      <c r="AY11" s="67"/>
      <c r="AZ11" s="67"/>
      <c r="BA11" s="67"/>
      <c r="BB11" s="67"/>
      <c r="BC11" s="67"/>
      <c r="BD11" s="68"/>
    </row>
    <row r="12" spans="1:56" ht="14.4" customHeight="1">
      <c r="A12" s="70">
        <f>IF(B12="","",COUNTA($B$8:B12))</f>
        <v>5</v>
      </c>
      <c r="B12" s="19" t="s">
        <v>195</v>
      </c>
      <c r="C12" s="26"/>
      <c r="D12" s="26"/>
      <c r="E12" s="26"/>
      <c r="F12" s="26"/>
      <c r="G12" s="26"/>
      <c r="H12" s="39" t="s">
        <v>391</v>
      </c>
      <c r="I12" s="31" t="s">
        <v>196</v>
      </c>
      <c r="J12" s="23"/>
      <c r="K12" s="23"/>
      <c r="L12" s="23"/>
      <c r="M12" s="23"/>
      <c r="N12" s="23"/>
      <c r="O12" s="23"/>
      <c r="P12" s="23"/>
      <c r="Q12" s="24"/>
      <c r="R12" s="25" t="s">
        <v>195</v>
      </c>
      <c r="S12" s="23"/>
      <c r="T12" s="23"/>
      <c r="U12" s="23"/>
      <c r="V12" s="23"/>
      <c r="W12" s="23"/>
      <c r="X12" s="24"/>
      <c r="Y12" s="440" t="s">
        <v>150</v>
      </c>
      <c r="Z12" s="441"/>
      <c r="AA12" s="442" t="s">
        <v>151</v>
      </c>
      <c r="AB12" s="443"/>
      <c r="AC12" s="444"/>
      <c r="AD12" s="27">
        <v>30</v>
      </c>
      <c r="AE12" s="29"/>
      <c r="AF12" s="29"/>
      <c r="AG12" s="29"/>
      <c r="AH12" s="28"/>
      <c r="AI12" s="28"/>
      <c r="AJ12" s="28"/>
      <c r="AK12" s="28"/>
      <c r="AL12" s="28"/>
      <c r="AM12" s="28"/>
      <c r="AN12" s="28"/>
      <c r="AO12" s="29"/>
      <c r="AP12" s="29"/>
      <c r="AQ12" s="29"/>
      <c r="AR12" s="29"/>
      <c r="AS12" s="31"/>
      <c r="AT12" s="67"/>
      <c r="AU12" s="67"/>
      <c r="AV12" s="67"/>
      <c r="AW12" s="67"/>
      <c r="AX12" s="67"/>
      <c r="AY12" s="67"/>
      <c r="AZ12" s="67"/>
      <c r="BA12" s="67"/>
      <c r="BB12" s="67"/>
      <c r="BC12" s="67"/>
      <c r="BD12" s="68"/>
    </row>
    <row r="13" spans="1:56" ht="14.4" customHeight="1">
      <c r="A13" s="70">
        <f>IF(B13="","",COUNTA($B$8:B13))</f>
        <v>6</v>
      </c>
      <c r="B13" s="19" t="s">
        <v>197</v>
      </c>
      <c r="C13" s="20"/>
      <c r="D13" s="20"/>
      <c r="E13" s="20"/>
      <c r="F13" s="20"/>
      <c r="G13" s="20"/>
      <c r="H13" s="39" t="s">
        <v>391</v>
      </c>
      <c r="I13" s="31" t="s">
        <v>198</v>
      </c>
      <c r="J13" s="23"/>
      <c r="K13" s="23"/>
      <c r="L13" s="23"/>
      <c r="M13" s="23"/>
      <c r="N13" s="23"/>
      <c r="O13" s="23"/>
      <c r="P13" s="23"/>
      <c r="Q13" s="24"/>
      <c r="R13" s="19" t="s">
        <v>197</v>
      </c>
      <c r="S13" s="23"/>
      <c r="T13" s="23"/>
      <c r="U13" s="23"/>
      <c r="V13" s="23"/>
      <c r="W13" s="23"/>
      <c r="X13" s="24"/>
      <c r="Y13" s="440" t="s">
        <v>150</v>
      </c>
      <c r="Z13" s="441"/>
      <c r="AA13" s="442" t="s">
        <v>151</v>
      </c>
      <c r="AB13" s="443"/>
      <c r="AC13" s="444"/>
      <c r="AD13" s="27">
        <v>5</v>
      </c>
      <c r="AE13" s="29"/>
      <c r="AF13" s="29"/>
      <c r="AG13" s="29"/>
      <c r="AH13" s="28"/>
      <c r="AI13" s="28"/>
      <c r="AJ13" s="28"/>
      <c r="AK13" s="28"/>
      <c r="AL13" s="28"/>
      <c r="AM13" s="28"/>
      <c r="AN13" s="28"/>
      <c r="AO13" s="29"/>
      <c r="AP13" s="29"/>
      <c r="AQ13" s="29"/>
      <c r="AR13" s="29"/>
      <c r="AS13" s="31"/>
      <c r="AT13" s="67"/>
      <c r="AU13" s="67"/>
      <c r="AV13" s="67"/>
      <c r="AW13" s="67"/>
      <c r="AX13" s="67"/>
      <c r="AY13" s="67"/>
      <c r="AZ13" s="67"/>
      <c r="BA13" s="67"/>
      <c r="BB13" s="67"/>
      <c r="BC13" s="67"/>
      <c r="BD13" s="68"/>
    </row>
    <row r="14" spans="1:56" ht="14.4" customHeight="1">
      <c r="A14" s="70">
        <f>IF(B14="","",COUNTA($B$8:B14))</f>
        <v>7</v>
      </c>
      <c r="B14" s="22" t="s">
        <v>199</v>
      </c>
      <c r="C14" s="20"/>
      <c r="D14" s="20"/>
      <c r="E14" s="20"/>
      <c r="F14" s="20"/>
      <c r="G14" s="20"/>
      <c r="H14" s="39" t="s">
        <v>391</v>
      </c>
      <c r="I14" s="31" t="s">
        <v>200</v>
      </c>
      <c r="J14" s="23"/>
      <c r="K14" s="23"/>
      <c r="L14" s="23"/>
      <c r="M14" s="23"/>
      <c r="N14" s="23"/>
      <c r="O14" s="23"/>
      <c r="P14" s="23"/>
      <c r="Q14" s="24"/>
      <c r="R14" s="19" t="s">
        <v>199</v>
      </c>
      <c r="S14" s="23"/>
      <c r="T14" s="23"/>
      <c r="U14" s="23"/>
      <c r="V14" s="23"/>
      <c r="W14" s="23"/>
      <c r="X14" s="24"/>
      <c r="Y14" s="440" t="s">
        <v>150</v>
      </c>
      <c r="Z14" s="441"/>
      <c r="AA14" s="442" t="s">
        <v>151</v>
      </c>
      <c r="AB14" s="443"/>
      <c r="AC14" s="444"/>
      <c r="AD14" s="27">
        <v>20</v>
      </c>
      <c r="AE14" s="29"/>
      <c r="AF14" s="29"/>
      <c r="AG14" s="29"/>
      <c r="AH14" s="28"/>
      <c r="AI14" s="28"/>
      <c r="AJ14" s="28"/>
      <c r="AK14" s="28"/>
      <c r="AL14" s="28"/>
      <c r="AM14" s="28"/>
      <c r="AN14" s="28"/>
      <c r="AO14" s="29"/>
      <c r="AP14" s="29"/>
      <c r="AQ14" s="29"/>
      <c r="AR14" s="29"/>
      <c r="AS14" s="31"/>
      <c r="AT14" s="67"/>
      <c r="AU14" s="67"/>
      <c r="AV14" s="67"/>
      <c r="AW14" s="67"/>
      <c r="AX14" s="67"/>
      <c r="AY14" s="67"/>
      <c r="AZ14" s="67"/>
      <c r="BA14" s="67"/>
      <c r="BB14" s="67"/>
      <c r="BC14" s="67"/>
      <c r="BD14" s="68"/>
    </row>
    <row r="15" spans="1:56" ht="14.4" customHeight="1">
      <c r="A15" s="70">
        <f>IF(B15="","",COUNTA($B$8:B15))</f>
        <v>8</v>
      </c>
      <c r="B15" s="19" t="s">
        <v>201</v>
      </c>
      <c r="C15" s="20"/>
      <c r="D15" s="20"/>
      <c r="E15" s="20"/>
      <c r="F15" s="20"/>
      <c r="G15" s="20"/>
      <c r="H15" s="39" t="s">
        <v>391</v>
      </c>
      <c r="I15" s="31" t="s">
        <v>202</v>
      </c>
      <c r="J15" s="23"/>
      <c r="K15" s="23"/>
      <c r="L15" s="23"/>
      <c r="M15" s="23"/>
      <c r="N15" s="23"/>
      <c r="O15" s="23"/>
      <c r="P15" s="23"/>
      <c r="Q15" s="24"/>
      <c r="R15" s="19" t="s">
        <v>201</v>
      </c>
      <c r="S15" s="23"/>
      <c r="T15" s="23"/>
      <c r="U15" s="23"/>
      <c r="V15" s="23"/>
      <c r="W15" s="23"/>
      <c r="X15" s="24"/>
      <c r="Y15" s="440" t="s">
        <v>150</v>
      </c>
      <c r="Z15" s="441"/>
      <c r="AA15" s="442" t="s">
        <v>151</v>
      </c>
      <c r="AB15" s="443"/>
      <c r="AC15" s="444"/>
      <c r="AD15" s="27">
        <v>30</v>
      </c>
      <c r="AE15" s="29"/>
      <c r="AF15" s="29"/>
      <c r="AG15" s="29"/>
      <c r="AH15" s="28"/>
      <c r="AI15" s="28"/>
      <c r="AJ15" s="28"/>
      <c r="AK15" s="28"/>
      <c r="AL15" s="28"/>
      <c r="AM15" s="28"/>
      <c r="AN15" s="28"/>
      <c r="AO15" s="29"/>
      <c r="AP15" s="29"/>
      <c r="AQ15" s="29"/>
      <c r="AR15" s="29"/>
      <c r="AS15" s="31"/>
      <c r="AT15" s="67"/>
      <c r="AU15" s="67"/>
      <c r="AV15" s="67"/>
      <c r="AW15" s="67"/>
      <c r="AX15" s="67"/>
      <c r="AY15" s="67"/>
      <c r="AZ15" s="67"/>
      <c r="BA15" s="67"/>
      <c r="BB15" s="67"/>
      <c r="BC15" s="67"/>
      <c r="BD15" s="68"/>
    </row>
    <row r="16" spans="1:56" ht="14.4" customHeight="1">
      <c r="A16" s="70">
        <f>IF(B16="","",COUNTA($B$8:B16))</f>
        <v>9</v>
      </c>
      <c r="B16" s="19" t="s">
        <v>203</v>
      </c>
      <c r="C16" s="20"/>
      <c r="D16" s="20"/>
      <c r="E16" s="20"/>
      <c r="F16" s="20"/>
      <c r="G16" s="20"/>
      <c r="H16" s="39" t="s">
        <v>391</v>
      </c>
      <c r="I16" s="31" t="s">
        <v>204</v>
      </c>
      <c r="J16" s="23"/>
      <c r="K16" s="23"/>
      <c r="L16" s="23"/>
      <c r="M16" s="23"/>
      <c r="N16" s="23"/>
      <c r="O16" s="38"/>
      <c r="P16" s="23"/>
      <c r="Q16" s="24"/>
      <c r="R16" s="19" t="s">
        <v>203</v>
      </c>
      <c r="S16" s="23"/>
      <c r="T16" s="23"/>
      <c r="U16" s="23"/>
      <c r="V16" s="23"/>
      <c r="W16" s="23"/>
      <c r="X16" s="24"/>
      <c r="Y16" s="440" t="s">
        <v>155</v>
      </c>
      <c r="Z16" s="441"/>
      <c r="AA16" s="442" t="s">
        <v>156</v>
      </c>
      <c r="AB16" s="443"/>
      <c r="AC16" s="444"/>
      <c r="AD16" s="27">
        <v>5</v>
      </c>
      <c r="AE16" s="29">
        <v>2</v>
      </c>
      <c r="AF16" s="29"/>
      <c r="AG16" s="29"/>
      <c r="AH16" s="28"/>
      <c r="AI16" s="28"/>
      <c r="AJ16" s="28"/>
      <c r="AK16" s="28"/>
      <c r="AL16" s="28"/>
      <c r="AM16" s="28"/>
      <c r="AN16" s="28"/>
      <c r="AO16" s="29"/>
      <c r="AP16" s="29"/>
      <c r="AQ16" s="29"/>
      <c r="AR16" s="29"/>
      <c r="AS16" s="31"/>
      <c r="AT16" s="67"/>
      <c r="AU16" s="67"/>
      <c r="AV16" s="67"/>
      <c r="AW16" s="67"/>
      <c r="AX16" s="67"/>
      <c r="AY16" s="67"/>
      <c r="AZ16" s="67"/>
      <c r="BA16" s="67"/>
      <c r="BB16" s="67"/>
      <c r="BC16" s="67"/>
      <c r="BD16" s="68"/>
    </row>
    <row r="17" spans="1:57" ht="14.4" customHeight="1">
      <c r="A17" s="70">
        <f>IF(B17="","",COUNTA($B$8:B17))</f>
        <v>10</v>
      </c>
      <c r="B17" s="25" t="s">
        <v>205</v>
      </c>
      <c r="C17" s="26"/>
      <c r="D17" s="26"/>
      <c r="E17" s="26"/>
      <c r="F17" s="26"/>
      <c r="G17" s="26"/>
      <c r="H17" s="39" t="s">
        <v>391</v>
      </c>
      <c r="I17" s="31" t="s">
        <v>206</v>
      </c>
      <c r="J17" s="23"/>
      <c r="K17" s="23"/>
      <c r="L17" s="23"/>
      <c r="M17" s="23"/>
      <c r="N17" s="23"/>
      <c r="O17" s="26"/>
      <c r="P17" s="23"/>
      <c r="Q17" s="24"/>
      <c r="R17" s="25" t="s">
        <v>205</v>
      </c>
      <c r="S17" s="23"/>
      <c r="T17" s="23"/>
      <c r="U17" s="23"/>
      <c r="V17" s="23"/>
      <c r="W17" s="23"/>
      <c r="X17" s="24"/>
      <c r="Y17" s="440" t="s">
        <v>155</v>
      </c>
      <c r="Z17" s="441"/>
      <c r="AA17" s="442" t="s">
        <v>156</v>
      </c>
      <c r="AB17" s="443"/>
      <c r="AC17" s="444"/>
      <c r="AD17" s="27">
        <v>4</v>
      </c>
      <c r="AE17" s="29"/>
      <c r="AF17" s="29"/>
      <c r="AG17" s="29"/>
      <c r="AH17" s="28"/>
      <c r="AI17" s="28"/>
      <c r="AJ17" s="28"/>
      <c r="AK17" s="28"/>
      <c r="AL17" s="28"/>
      <c r="AM17" s="28"/>
      <c r="AN17" s="28"/>
      <c r="AO17" s="29"/>
      <c r="AP17" s="29"/>
      <c r="AQ17" s="29"/>
      <c r="AR17" s="29"/>
      <c r="AS17" s="31"/>
      <c r="AT17" s="67"/>
      <c r="AU17" s="67"/>
      <c r="AV17" s="67"/>
      <c r="AW17" s="67"/>
      <c r="AX17" s="67"/>
      <c r="AY17" s="67"/>
      <c r="AZ17" s="67"/>
      <c r="BA17" s="67"/>
      <c r="BB17" s="67"/>
      <c r="BC17" s="67"/>
      <c r="BD17" s="68"/>
    </row>
    <row r="18" spans="1:57" ht="14.4" customHeight="1">
      <c r="A18" s="70">
        <f>IF(B18="","",COUNTA($B$8:B18))</f>
        <v>11</v>
      </c>
      <c r="B18" s="25" t="s">
        <v>208</v>
      </c>
      <c r="C18" s="26"/>
      <c r="D18" s="26"/>
      <c r="E18" s="26"/>
      <c r="F18" s="26"/>
      <c r="G18" s="26"/>
      <c r="H18" s="39" t="s">
        <v>391</v>
      </c>
      <c r="I18" s="31" t="s">
        <v>209</v>
      </c>
      <c r="J18" s="23"/>
      <c r="K18" s="23"/>
      <c r="L18" s="23"/>
      <c r="M18" s="23"/>
      <c r="N18" s="23"/>
      <c r="O18" s="26"/>
      <c r="P18" s="23"/>
      <c r="Q18" s="24"/>
      <c r="R18" s="25" t="s">
        <v>208</v>
      </c>
      <c r="S18" s="23"/>
      <c r="T18" s="23"/>
      <c r="U18" s="23"/>
      <c r="V18" s="23"/>
      <c r="W18" s="23"/>
      <c r="X18" s="24"/>
      <c r="Y18" s="440" t="s">
        <v>155</v>
      </c>
      <c r="Z18" s="441"/>
      <c r="AA18" s="442" t="s">
        <v>156</v>
      </c>
      <c r="AB18" s="443"/>
      <c r="AC18" s="444"/>
      <c r="AD18" s="27">
        <v>5</v>
      </c>
      <c r="AE18" s="29"/>
      <c r="AF18" s="29"/>
      <c r="AG18" s="29"/>
      <c r="AH18" s="28"/>
      <c r="AI18" s="28"/>
      <c r="AJ18" s="28"/>
      <c r="AK18" s="28"/>
      <c r="AL18" s="28"/>
      <c r="AM18" s="28"/>
      <c r="AN18" s="28"/>
      <c r="AO18" s="29"/>
      <c r="AP18" s="29"/>
      <c r="AQ18" s="29"/>
      <c r="AR18" s="29"/>
      <c r="AS18" s="31"/>
      <c r="AT18" s="67"/>
      <c r="AU18" s="67"/>
      <c r="AV18" s="67"/>
      <c r="AW18" s="67"/>
      <c r="AX18" s="67"/>
      <c r="AY18" s="67"/>
      <c r="AZ18" s="67"/>
      <c r="BA18" s="67"/>
      <c r="BB18" s="67"/>
      <c r="BC18" s="67"/>
      <c r="BD18" s="68"/>
    </row>
    <row r="19" spans="1:57" ht="14.4" customHeight="1">
      <c r="A19" s="70">
        <f>IF(B19="","",COUNTA($B$8:B19))</f>
        <v>12</v>
      </c>
      <c r="B19" s="19" t="s">
        <v>228</v>
      </c>
      <c r="C19" s="20"/>
      <c r="D19" s="20"/>
      <c r="E19" s="20"/>
      <c r="F19" s="20"/>
      <c r="G19" s="20"/>
      <c r="H19" s="24"/>
      <c r="I19" s="31" t="s">
        <v>229</v>
      </c>
      <c r="J19" s="23"/>
      <c r="K19" s="23"/>
      <c r="L19" s="23"/>
      <c r="M19" s="23"/>
      <c r="N19" s="23"/>
      <c r="O19" s="38"/>
      <c r="P19" s="23"/>
      <c r="Q19" s="24"/>
      <c r="R19" s="19" t="s">
        <v>228</v>
      </c>
      <c r="S19" s="23"/>
      <c r="T19" s="23"/>
      <c r="U19" s="23"/>
      <c r="V19" s="23"/>
      <c r="W19" s="23"/>
      <c r="X19" s="24"/>
      <c r="Y19" s="19" t="s">
        <v>150</v>
      </c>
      <c r="Z19" s="183"/>
      <c r="AA19" s="25" t="s">
        <v>151</v>
      </c>
      <c r="AB19" s="26"/>
      <c r="AC19" s="39"/>
      <c r="AD19" s="27">
        <v>1000</v>
      </c>
      <c r="AE19" s="29"/>
      <c r="AF19" s="29"/>
      <c r="AG19" s="29"/>
      <c r="AH19" s="28"/>
      <c r="AI19" s="28"/>
      <c r="AJ19" s="28"/>
      <c r="AK19" s="28"/>
      <c r="AL19" s="28"/>
      <c r="AM19" s="28"/>
      <c r="AN19" s="28"/>
      <c r="AO19" s="29"/>
      <c r="AP19" s="29"/>
      <c r="AQ19" s="29"/>
      <c r="AR19" s="29"/>
      <c r="AS19" s="31"/>
      <c r="AT19" s="67"/>
      <c r="AU19" s="67"/>
      <c r="AV19" s="67"/>
      <c r="AW19" s="67"/>
      <c r="AX19" s="67"/>
      <c r="AY19" s="67"/>
      <c r="AZ19" s="67"/>
      <c r="BA19" s="67"/>
      <c r="BB19" s="67"/>
      <c r="BC19" s="67"/>
      <c r="BD19" s="68"/>
    </row>
    <row r="20" spans="1:57" ht="14.4" customHeight="1">
      <c r="A20" s="70">
        <f>IF(B20="","",COUNTA($B$8:B20))</f>
        <v>13</v>
      </c>
      <c r="B20" s="19" t="s">
        <v>1421</v>
      </c>
      <c r="C20" s="20"/>
      <c r="D20" s="20"/>
      <c r="E20" s="20"/>
      <c r="F20" s="20"/>
      <c r="G20" s="20"/>
      <c r="H20" s="24"/>
      <c r="I20" s="31" t="s">
        <v>1422</v>
      </c>
      <c r="J20" s="23"/>
      <c r="K20" s="23"/>
      <c r="L20" s="23"/>
      <c r="M20" s="23"/>
      <c r="N20" s="23"/>
      <c r="O20" s="38"/>
      <c r="P20" s="23"/>
      <c r="Q20" s="24"/>
      <c r="R20" s="19" t="s">
        <v>1421</v>
      </c>
      <c r="S20" s="23"/>
      <c r="T20" s="23"/>
      <c r="U20" s="23"/>
      <c r="V20" s="23"/>
      <c r="W20" s="23"/>
      <c r="X20" s="24"/>
      <c r="Y20" s="440" t="s">
        <v>150</v>
      </c>
      <c r="Z20" s="441"/>
      <c r="AA20" s="442" t="s">
        <v>151</v>
      </c>
      <c r="AB20" s="443"/>
      <c r="AC20" s="444"/>
      <c r="AD20" s="27">
        <v>15</v>
      </c>
      <c r="AE20" s="29"/>
      <c r="AF20" s="29"/>
      <c r="AG20" s="29"/>
      <c r="AH20" s="28"/>
      <c r="AI20" s="28"/>
      <c r="AJ20" s="28"/>
      <c r="AK20" s="28"/>
      <c r="AL20" s="28"/>
      <c r="AM20" s="28"/>
      <c r="AN20" s="28"/>
      <c r="AO20" s="29"/>
      <c r="AP20" s="29"/>
      <c r="AQ20" s="29"/>
      <c r="AR20" s="29"/>
      <c r="AS20" s="31"/>
      <c r="AT20" s="67"/>
      <c r="AU20" s="67"/>
      <c r="AV20" s="67"/>
      <c r="AW20" s="67"/>
      <c r="AX20" s="67"/>
      <c r="AY20" s="67"/>
      <c r="AZ20" s="67"/>
      <c r="BA20" s="67"/>
      <c r="BB20" s="67"/>
      <c r="BC20" s="67"/>
      <c r="BD20" s="68"/>
    </row>
    <row r="21" spans="1:57" ht="14.4" customHeight="1">
      <c r="A21" s="50">
        <f>IF(B21="","",COUNTA($B$8:B21))</f>
        <v>14</v>
      </c>
      <c r="B21" s="25" t="s">
        <v>414</v>
      </c>
      <c r="C21" s="26"/>
      <c r="D21" s="26"/>
      <c r="E21" s="26"/>
      <c r="F21" s="26"/>
      <c r="G21" s="26"/>
      <c r="H21" s="39"/>
      <c r="I21" s="31" t="s">
        <v>415</v>
      </c>
      <c r="J21" s="23"/>
      <c r="K21" s="23"/>
      <c r="L21" s="23"/>
      <c r="M21" s="23"/>
      <c r="N21" s="23"/>
      <c r="O21" s="23"/>
      <c r="P21" s="23"/>
      <c r="Q21" s="37"/>
      <c r="R21" s="25" t="s">
        <v>414</v>
      </c>
      <c r="S21" s="23"/>
      <c r="T21" s="23"/>
      <c r="U21" s="23"/>
      <c r="V21" s="23"/>
      <c r="W21" s="23"/>
      <c r="X21" s="24"/>
      <c r="Y21" s="440" t="s">
        <v>150</v>
      </c>
      <c r="Z21" s="441"/>
      <c r="AA21" s="442" t="s">
        <v>151</v>
      </c>
      <c r="AB21" s="443"/>
      <c r="AC21" s="444"/>
      <c r="AD21" s="27">
        <v>100</v>
      </c>
      <c r="AE21" s="29"/>
      <c r="AF21" s="29"/>
      <c r="AG21" s="29"/>
      <c r="AH21" s="28"/>
      <c r="AI21" s="28"/>
      <c r="AJ21" s="28"/>
      <c r="AK21" s="28"/>
      <c r="AL21" s="28"/>
      <c r="AM21" s="28"/>
      <c r="AN21" s="28"/>
      <c r="AO21" s="29"/>
      <c r="AP21" s="29"/>
      <c r="AQ21" s="29"/>
      <c r="AR21" s="29"/>
      <c r="AS21" s="31"/>
      <c r="AT21" s="32"/>
      <c r="AU21" s="32"/>
      <c r="AV21" s="32"/>
      <c r="AW21" s="32"/>
      <c r="AX21" s="32"/>
      <c r="AY21" s="32"/>
      <c r="AZ21" s="32"/>
      <c r="BA21" s="32"/>
      <c r="BB21" s="32"/>
      <c r="BC21" s="32"/>
      <c r="BD21" s="33"/>
      <c r="BE21" s="18" t="s">
        <v>1447</v>
      </c>
    </row>
    <row r="22" spans="1:57" ht="14.4" customHeight="1">
      <c r="A22" s="70">
        <f>IF(B22="","",COUNTA($B$8:B22))</f>
        <v>15</v>
      </c>
      <c r="B22" s="19" t="s">
        <v>392</v>
      </c>
      <c r="C22" s="20"/>
      <c r="D22" s="20"/>
      <c r="E22" s="20"/>
      <c r="F22" s="20"/>
      <c r="G22" s="20"/>
      <c r="H22" s="24"/>
      <c r="I22" s="31" t="s">
        <v>393</v>
      </c>
      <c r="J22" s="23"/>
      <c r="K22" s="23"/>
      <c r="L22" s="23"/>
      <c r="M22" s="23"/>
      <c r="N22" s="23"/>
      <c r="O22" s="38"/>
      <c r="P22" s="23"/>
      <c r="Q22" s="24"/>
      <c r="R22" s="22" t="s">
        <v>392</v>
      </c>
      <c r="S22" s="23"/>
      <c r="T22" s="23"/>
      <c r="U22" s="23"/>
      <c r="V22" s="23"/>
      <c r="W22" s="23"/>
      <c r="X22" s="24"/>
      <c r="Y22" s="440" t="s">
        <v>169</v>
      </c>
      <c r="Z22" s="441"/>
      <c r="AA22" s="442" t="s">
        <v>170</v>
      </c>
      <c r="AB22" s="443"/>
      <c r="AC22" s="444"/>
      <c r="AD22" s="51"/>
      <c r="AE22" s="29"/>
      <c r="AF22" s="29"/>
      <c r="AG22" s="29"/>
      <c r="AH22" s="28"/>
      <c r="AI22" s="28"/>
      <c r="AJ22" s="28"/>
      <c r="AK22" s="28"/>
      <c r="AL22" s="28"/>
      <c r="AM22" s="28"/>
      <c r="AN22" s="28"/>
      <c r="AO22" s="29"/>
      <c r="AP22" s="29"/>
      <c r="AQ22" s="29"/>
      <c r="AR22" s="29"/>
      <c r="AS22" s="31"/>
      <c r="AT22" s="67"/>
      <c r="AU22" s="67"/>
      <c r="AV22" s="67"/>
      <c r="AW22" s="67"/>
      <c r="AX22" s="67"/>
      <c r="AY22" s="67"/>
      <c r="AZ22" s="67"/>
      <c r="BA22" s="67"/>
      <c r="BB22" s="67"/>
      <c r="BC22" s="67"/>
      <c r="BD22" s="68"/>
    </row>
    <row r="23" spans="1:57" ht="14.4" customHeight="1">
      <c r="A23" s="70">
        <f>IF(B23="","",COUNTA($B$8:B23))</f>
        <v>16</v>
      </c>
      <c r="B23" s="19" t="s">
        <v>249</v>
      </c>
      <c r="C23" s="20"/>
      <c r="D23" s="20"/>
      <c r="E23" s="20"/>
      <c r="F23" s="20"/>
      <c r="G23" s="20"/>
      <c r="H23" s="24"/>
      <c r="I23" s="31" t="s">
        <v>250</v>
      </c>
      <c r="J23" s="23"/>
      <c r="K23" s="23"/>
      <c r="L23" s="23"/>
      <c r="M23" s="23"/>
      <c r="N23" s="23"/>
      <c r="O23" s="23"/>
      <c r="P23" s="23"/>
      <c r="Q23" s="37"/>
      <c r="R23" s="19" t="s">
        <v>249</v>
      </c>
      <c r="S23" s="23"/>
      <c r="T23" s="23"/>
      <c r="U23" s="23"/>
      <c r="V23" s="23"/>
      <c r="W23" s="23"/>
      <c r="X23" s="24"/>
      <c r="Y23" s="440" t="s">
        <v>150</v>
      </c>
      <c r="Z23" s="441"/>
      <c r="AA23" s="442" t="s">
        <v>151</v>
      </c>
      <c r="AB23" s="443"/>
      <c r="AC23" s="444"/>
      <c r="AD23" s="27">
        <v>4</v>
      </c>
      <c r="AE23" s="29"/>
      <c r="AF23" s="29"/>
      <c r="AG23" s="29"/>
      <c r="AH23" s="28"/>
      <c r="AI23" s="28"/>
      <c r="AJ23" s="28"/>
      <c r="AK23" s="28"/>
      <c r="AL23" s="28"/>
      <c r="AM23" s="28"/>
      <c r="AN23" s="28"/>
      <c r="AO23" s="29"/>
      <c r="AP23" s="29"/>
      <c r="AQ23" s="29"/>
      <c r="AR23" s="29"/>
      <c r="AS23" s="31"/>
      <c r="AT23" s="67"/>
      <c r="AU23" s="67"/>
      <c r="AV23" s="67"/>
      <c r="AW23" s="67"/>
      <c r="AX23" s="67"/>
      <c r="AY23" s="67"/>
      <c r="AZ23" s="67"/>
      <c r="BA23" s="67"/>
      <c r="BB23" s="67"/>
      <c r="BC23" s="67"/>
      <c r="BD23" s="68"/>
    </row>
    <row r="24" spans="1:57" ht="14.4" customHeight="1">
      <c r="A24" s="70">
        <f>IF(B24="","",COUNTA($B$8:B24))</f>
        <v>17</v>
      </c>
      <c r="B24" s="19" t="s">
        <v>251</v>
      </c>
      <c r="C24" s="20"/>
      <c r="D24" s="20"/>
      <c r="E24" s="20"/>
      <c r="F24" s="20"/>
      <c r="G24" s="20"/>
      <c r="H24" s="24"/>
      <c r="I24" s="31" t="s">
        <v>252</v>
      </c>
      <c r="J24" s="23"/>
      <c r="K24" s="23"/>
      <c r="L24" s="23"/>
      <c r="M24" s="23"/>
      <c r="N24" s="23"/>
      <c r="O24" s="23"/>
      <c r="P24" s="23"/>
      <c r="Q24" s="37"/>
      <c r="R24" s="19" t="s">
        <v>251</v>
      </c>
      <c r="S24" s="23"/>
      <c r="T24" s="23"/>
      <c r="U24" s="23"/>
      <c r="V24" s="23"/>
      <c r="W24" s="23"/>
      <c r="X24" s="24"/>
      <c r="Y24" s="440" t="s">
        <v>150</v>
      </c>
      <c r="Z24" s="441"/>
      <c r="AA24" s="442" t="s">
        <v>151</v>
      </c>
      <c r="AB24" s="443"/>
      <c r="AC24" s="444"/>
      <c r="AD24" s="27">
        <v>4</v>
      </c>
      <c r="AE24" s="29"/>
      <c r="AF24" s="29"/>
      <c r="AG24" s="29"/>
      <c r="AH24" s="28"/>
      <c r="AI24" s="28"/>
      <c r="AJ24" s="28"/>
      <c r="AK24" s="28"/>
      <c r="AL24" s="28"/>
      <c r="AM24" s="28"/>
      <c r="AN24" s="28"/>
      <c r="AO24" s="29"/>
      <c r="AP24" s="29"/>
      <c r="AQ24" s="29"/>
      <c r="AR24" s="29"/>
      <c r="AS24" s="31"/>
      <c r="AT24" s="67"/>
      <c r="AU24" s="67"/>
      <c r="AV24" s="67"/>
      <c r="AW24" s="67"/>
      <c r="AX24" s="67"/>
      <c r="AY24" s="67"/>
      <c r="AZ24" s="67"/>
      <c r="BA24" s="67"/>
      <c r="BB24" s="67"/>
      <c r="BC24" s="67"/>
      <c r="BD24" s="68"/>
    </row>
    <row r="25" spans="1:57" ht="14.4" customHeight="1">
      <c r="A25" s="70">
        <f>IF(B25="","",COUNTA($B$8:B25))</f>
        <v>18</v>
      </c>
      <c r="B25" s="19" t="s">
        <v>253</v>
      </c>
      <c r="C25" s="20"/>
      <c r="D25" s="20"/>
      <c r="E25" s="20"/>
      <c r="F25" s="20"/>
      <c r="G25" s="20"/>
      <c r="H25" s="24"/>
      <c r="I25" s="31" t="s">
        <v>254</v>
      </c>
      <c r="J25" s="23"/>
      <c r="K25" s="23"/>
      <c r="L25" s="23"/>
      <c r="M25" s="23"/>
      <c r="N25" s="23"/>
      <c r="O25" s="23"/>
      <c r="P25" s="23"/>
      <c r="Q25" s="37"/>
      <c r="R25" s="19" t="s">
        <v>253</v>
      </c>
      <c r="S25" s="23"/>
      <c r="T25" s="23"/>
      <c r="U25" s="23"/>
      <c r="V25" s="23"/>
      <c r="W25" s="23"/>
      <c r="X25" s="24"/>
      <c r="Y25" s="440" t="s">
        <v>150</v>
      </c>
      <c r="Z25" s="441"/>
      <c r="AA25" s="442" t="s">
        <v>151</v>
      </c>
      <c r="AB25" s="443"/>
      <c r="AC25" s="444"/>
      <c r="AD25" s="27">
        <v>10</v>
      </c>
      <c r="AE25" s="29"/>
      <c r="AF25" s="29"/>
      <c r="AG25" s="29"/>
      <c r="AH25" s="28"/>
      <c r="AI25" s="28"/>
      <c r="AJ25" s="28"/>
      <c r="AK25" s="28"/>
      <c r="AL25" s="28"/>
      <c r="AM25" s="28"/>
      <c r="AN25" s="28"/>
      <c r="AO25" s="29"/>
      <c r="AP25" s="29"/>
      <c r="AQ25" s="29"/>
      <c r="AR25" s="29"/>
      <c r="AS25" s="31"/>
      <c r="AT25" s="67"/>
      <c r="AU25" s="67"/>
      <c r="AV25" s="67"/>
      <c r="AW25" s="67"/>
      <c r="AX25" s="67"/>
      <c r="AY25" s="67"/>
      <c r="AZ25" s="67"/>
      <c r="BA25" s="67"/>
      <c r="BB25" s="67"/>
      <c r="BC25" s="67"/>
      <c r="BD25" s="68"/>
    </row>
    <row r="26" spans="1:57" ht="14.4" customHeight="1">
      <c r="A26" s="70">
        <f>IF(B26="","",COUNTA($B$8:B26))</f>
        <v>19</v>
      </c>
      <c r="B26" s="19" t="s">
        <v>255</v>
      </c>
      <c r="C26" s="20"/>
      <c r="D26" s="20"/>
      <c r="E26" s="20"/>
      <c r="F26" s="20"/>
      <c r="G26" s="20"/>
      <c r="H26" s="24"/>
      <c r="I26" s="31" t="s">
        <v>256</v>
      </c>
      <c r="J26" s="23"/>
      <c r="K26" s="23"/>
      <c r="L26" s="23"/>
      <c r="M26" s="23"/>
      <c r="N26" s="23"/>
      <c r="O26" s="23"/>
      <c r="P26" s="23"/>
      <c r="Q26" s="37"/>
      <c r="R26" s="19" t="s">
        <v>255</v>
      </c>
      <c r="S26" s="23"/>
      <c r="T26" s="23"/>
      <c r="U26" s="23"/>
      <c r="V26" s="23"/>
      <c r="W26" s="23"/>
      <c r="X26" s="24"/>
      <c r="Y26" s="440" t="s">
        <v>150</v>
      </c>
      <c r="Z26" s="441"/>
      <c r="AA26" s="442" t="s">
        <v>151</v>
      </c>
      <c r="AB26" s="443"/>
      <c r="AC26" s="444"/>
      <c r="AD26" s="27">
        <v>10</v>
      </c>
      <c r="AE26" s="29"/>
      <c r="AF26" s="29"/>
      <c r="AG26" s="29"/>
      <c r="AH26" s="40"/>
      <c r="AI26" s="40"/>
      <c r="AJ26" s="28"/>
      <c r="AK26" s="28"/>
      <c r="AL26" s="28"/>
      <c r="AM26" s="28"/>
      <c r="AN26" s="28"/>
      <c r="AO26" s="29"/>
      <c r="AP26" s="29"/>
      <c r="AQ26" s="29"/>
      <c r="AR26" s="29"/>
      <c r="AS26" s="31"/>
      <c r="AT26" s="67"/>
      <c r="AU26" s="32"/>
      <c r="AV26" s="32"/>
      <c r="AW26" s="32"/>
      <c r="AX26" s="32"/>
      <c r="AY26" s="67"/>
      <c r="AZ26" s="67"/>
      <c r="BA26" s="67"/>
      <c r="BB26" s="67"/>
      <c r="BC26" s="67"/>
      <c r="BD26" s="68"/>
    </row>
    <row r="27" spans="1:57" ht="14.4" customHeight="1">
      <c r="A27" s="70">
        <f>IF(B27="","",COUNTA($B$8:B27))</f>
        <v>20</v>
      </c>
      <c r="B27" s="19" t="s">
        <v>257</v>
      </c>
      <c r="C27" s="20"/>
      <c r="D27" s="20"/>
      <c r="E27" s="20"/>
      <c r="F27" s="20"/>
      <c r="G27" s="20"/>
      <c r="H27" s="24"/>
      <c r="I27" s="31" t="s">
        <v>258</v>
      </c>
      <c r="J27" s="23"/>
      <c r="K27" s="23"/>
      <c r="L27" s="23"/>
      <c r="M27" s="23"/>
      <c r="N27" s="23"/>
      <c r="O27" s="23"/>
      <c r="P27" s="23"/>
      <c r="Q27" s="37"/>
      <c r="R27" s="19" t="s">
        <v>257</v>
      </c>
      <c r="S27" s="23"/>
      <c r="T27" s="23"/>
      <c r="U27" s="23"/>
      <c r="V27" s="23"/>
      <c r="W27" s="23"/>
      <c r="X27" s="24"/>
      <c r="Y27" s="440" t="s">
        <v>169</v>
      </c>
      <c r="Z27" s="441"/>
      <c r="AA27" s="442" t="s">
        <v>243</v>
      </c>
      <c r="AB27" s="443"/>
      <c r="AC27" s="444"/>
      <c r="AD27" s="51"/>
      <c r="AE27" s="29"/>
      <c r="AF27" s="29"/>
      <c r="AG27" s="29"/>
      <c r="AH27" s="28"/>
      <c r="AI27" s="28"/>
      <c r="AJ27" s="28"/>
      <c r="AK27" s="28"/>
      <c r="AL27" s="40"/>
      <c r="AM27" s="40"/>
      <c r="AN27" s="40"/>
      <c r="AO27" s="41"/>
      <c r="AP27" s="41"/>
      <c r="AQ27" s="41"/>
      <c r="AR27" s="41"/>
      <c r="AS27" s="42"/>
      <c r="AT27" s="43"/>
      <c r="AU27" s="32"/>
      <c r="AV27" s="32"/>
      <c r="AW27" s="32"/>
      <c r="AX27" s="32"/>
      <c r="AY27" s="32"/>
      <c r="AZ27" s="32"/>
      <c r="BA27" s="32"/>
      <c r="BB27" s="32"/>
      <c r="BC27" s="32"/>
      <c r="BD27" s="33"/>
    </row>
    <row r="28" spans="1:57" ht="14.4" customHeight="1">
      <c r="A28" s="70">
        <f>IF(B28="","",COUNTA($B$8:B28))</f>
        <v>21</v>
      </c>
      <c r="B28" s="19" t="s">
        <v>259</v>
      </c>
      <c r="C28" s="20"/>
      <c r="D28" s="20"/>
      <c r="E28" s="20"/>
      <c r="F28" s="20"/>
      <c r="G28" s="20"/>
      <c r="H28" s="24"/>
      <c r="I28" s="31" t="s">
        <v>260</v>
      </c>
      <c r="J28" s="23"/>
      <c r="K28" s="23"/>
      <c r="L28" s="23"/>
      <c r="M28" s="23"/>
      <c r="N28" s="23"/>
      <c r="O28" s="23"/>
      <c r="P28" s="23"/>
      <c r="Q28" s="37"/>
      <c r="R28" s="19" t="s">
        <v>259</v>
      </c>
      <c r="S28" s="23"/>
      <c r="T28" s="23"/>
      <c r="U28" s="23"/>
      <c r="V28" s="23"/>
      <c r="W28" s="23"/>
      <c r="X28" s="24"/>
      <c r="Y28" s="440" t="s">
        <v>150</v>
      </c>
      <c r="Z28" s="441"/>
      <c r="AA28" s="442" t="s">
        <v>151</v>
      </c>
      <c r="AB28" s="443"/>
      <c r="AC28" s="444"/>
      <c r="AD28" s="27">
        <v>10</v>
      </c>
      <c r="AE28" s="29"/>
      <c r="AF28" s="29"/>
      <c r="AG28" s="29"/>
      <c r="AH28" s="40"/>
      <c r="AI28" s="40"/>
      <c r="AJ28" s="40"/>
      <c r="AK28" s="40"/>
      <c r="AL28" s="40"/>
      <c r="AM28" s="40"/>
      <c r="AN28" s="40"/>
      <c r="AO28" s="41"/>
      <c r="AP28" s="41"/>
      <c r="AQ28" s="41"/>
      <c r="AR28" s="41"/>
      <c r="AS28" s="42"/>
      <c r="AT28" s="43"/>
      <c r="AU28" s="67"/>
      <c r="AV28" s="67"/>
      <c r="AW28" s="67"/>
      <c r="AX28" s="67"/>
      <c r="AY28" s="32"/>
      <c r="AZ28" s="32"/>
      <c r="BA28" s="32"/>
      <c r="BB28" s="32"/>
      <c r="BC28" s="32"/>
      <c r="BD28" s="33"/>
    </row>
    <row r="29" spans="1:57" ht="14.4" customHeight="1">
      <c r="A29" s="70">
        <f>IF(B29="","",COUNTA($B$8:B29))</f>
        <v>22</v>
      </c>
      <c r="B29" s="19" t="s">
        <v>261</v>
      </c>
      <c r="C29" s="20"/>
      <c r="D29" s="20"/>
      <c r="E29" s="20"/>
      <c r="F29" s="20"/>
      <c r="G29" s="20"/>
      <c r="H29" s="24"/>
      <c r="I29" s="31" t="s">
        <v>262</v>
      </c>
      <c r="J29" s="23"/>
      <c r="K29" s="23"/>
      <c r="L29" s="23"/>
      <c r="M29" s="23"/>
      <c r="N29" s="23"/>
      <c r="O29" s="23"/>
      <c r="P29" s="23"/>
      <c r="Q29" s="37"/>
      <c r="R29" s="19" t="s">
        <v>261</v>
      </c>
      <c r="S29" s="23"/>
      <c r="T29" s="23"/>
      <c r="U29" s="23"/>
      <c r="V29" s="23"/>
      <c r="W29" s="23"/>
      <c r="X29" s="24"/>
      <c r="Y29" s="440" t="s">
        <v>150</v>
      </c>
      <c r="Z29" s="441"/>
      <c r="AA29" s="442" t="s">
        <v>151</v>
      </c>
      <c r="AB29" s="443"/>
      <c r="AC29" s="444"/>
      <c r="AD29" s="51">
        <v>10</v>
      </c>
      <c r="AE29" s="29"/>
      <c r="AF29" s="29"/>
      <c r="AG29" s="29"/>
      <c r="AH29" s="40"/>
      <c r="AI29" s="40"/>
      <c r="AJ29" s="40"/>
      <c r="AK29" s="40"/>
      <c r="AL29" s="40"/>
      <c r="AM29" s="40"/>
      <c r="AN29" s="40"/>
      <c r="AO29" s="41"/>
      <c r="AP29" s="41"/>
      <c r="AQ29" s="41"/>
      <c r="AR29" s="41"/>
      <c r="AS29" s="42"/>
      <c r="AT29" s="43"/>
      <c r="AU29" s="67"/>
      <c r="AV29" s="67"/>
      <c r="AW29" s="67"/>
      <c r="AX29" s="67"/>
      <c r="AY29" s="67"/>
      <c r="AZ29" s="67"/>
      <c r="BA29" s="67"/>
      <c r="BB29" s="67"/>
      <c r="BC29" s="67"/>
      <c r="BD29" s="68"/>
    </row>
    <row r="30" spans="1:57" ht="14.4" customHeight="1">
      <c r="A30" s="70">
        <f>IF(B30="","",COUNTA($B$8:B30))</f>
        <v>23</v>
      </c>
      <c r="B30" s="19" t="s">
        <v>263</v>
      </c>
      <c r="C30" s="20"/>
      <c r="D30" s="20"/>
      <c r="E30" s="20"/>
      <c r="F30" s="20"/>
      <c r="G30" s="20"/>
      <c r="H30" s="24"/>
      <c r="I30" s="31" t="s">
        <v>264</v>
      </c>
      <c r="J30" s="23"/>
      <c r="K30" s="23"/>
      <c r="L30" s="23"/>
      <c r="M30" s="23"/>
      <c r="N30" s="23"/>
      <c r="O30" s="23"/>
      <c r="P30" s="23"/>
      <c r="Q30" s="37"/>
      <c r="R30" s="22" t="s">
        <v>263</v>
      </c>
      <c r="S30" s="23"/>
      <c r="T30" s="23"/>
      <c r="U30" s="23"/>
      <c r="V30" s="23"/>
      <c r="W30" s="23"/>
      <c r="X30" s="24"/>
      <c r="Y30" s="440" t="s">
        <v>169</v>
      </c>
      <c r="Z30" s="441"/>
      <c r="AA30" s="442" t="s">
        <v>243</v>
      </c>
      <c r="AB30" s="443"/>
      <c r="AC30" s="444"/>
      <c r="AD30" s="51"/>
      <c r="AE30" s="29"/>
      <c r="AF30" s="29"/>
      <c r="AG30" s="29"/>
      <c r="AH30" s="28"/>
      <c r="AI30" s="28"/>
      <c r="AJ30" s="28"/>
      <c r="AK30" s="28"/>
      <c r="AL30" s="28"/>
      <c r="AM30" s="28"/>
      <c r="AN30" s="28"/>
      <c r="AO30" s="29"/>
      <c r="AP30" s="29"/>
      <c r="AQ30" s="29"/>
      <c r="AR30" s="29"/>
      <c r="AS30" s="31"/>
      <c r="AT30" s="67"/>
      <c r="AU30" s="67"/>
      <c r="AV30" s="67"/>
      <c r="AW30" s="67"/>
      <c r="AX30" s="67"/>
      <c r="AY30" s="67"/>
      <c r="AZ30" s="67"/>
      <c r="BA30" s="67"/>
      <c r="BB30" s="67"/>
      <c r="BC30" s="67"/>
      <c r="BD30" s="68"/>
    </row>
    <row r="31" spans="1:57" ht="14.4" customHeight="1">
      <c r="A31" s="70" t="str">
        <f>IF(B31="","",COUNTA($B$8:B31))</f>
        <v/>
      </c>
      <c r="B31" s="25"/>
      <c r="C31" s="26"/>
      <c r="D31" s="26"/>
      <c r="E31" s="26"/>
      <c r="F31" s="26"/>
      <c r="G31" s="26"/>
      <c r="H31" s="39"/>
      <c r="I31" s="31"/>
      <c r="J31" s="23"/>
      <c r="K31" s="23"/>
      <c r="L31" s="23"/>
      <c r="M31" s="23"/>
      <c r="N31" s="23"/>
      <c r="O31" s="23"/>
      <c r="P31" s="23"/>
      <c r="Q31" s="24"/>
      <c r="R31" s="22"/>
      <c r="S31" s="23"/>
      <c r="T31" s="23"/>
      <c r="U31" s="23"/>
      <c r="V31" s="23"/>
      <c r="W31" s="23"/>
      <c r="X31" s="24"/>
      <c r="Y31" s="440"/>
      <c r="Z31" s="441"/>
      <c r="AA31" s="442"/>
      <c r="AB31" s="443"/>
      <c r="AC31" s="444"/>
      <c r="AD31" s="27"/>
      <c r="AE31" s="29" t="s">
        <v>244</v>
      </c>
      <c r="AF31" s="29"/>
      <c r="AG31" s="29"/>
      <c r="AH31" s="28"/>
      <c r="AI31" s="28"/>
      <c r="AJ31" s="28"/>
      <c r="AK31" s="28"/>
      <c r="AL31" s="28"/>
      <c r="AM31" s="28"/>
      <c r="AN31" s="28"/>
      <c r="AO31" s="29"/>
      <c r="AP31" s="29"/>
      <c r="AQ31" s="29"/>
      <c r="AR31" s="29"/>
      <c r="AS31" s="31"/>
      <c r="AT31" s="67"/>
      <c r="AU31" s="67"/>
      <c r="AV31" s="67"/>
      <c r="AW31" s="67"/>
      <c r="AX31" s="67"/>
      <c r="AY31" s="67"/>
      <c r="AZ31" s="67"/>
      <c r="BA31" s="67"/>
      <c r="BB31" s="67"/>
      <c r="BC31" s="67"/>
      <c r="BD31" s="68"/>
    </row>
    <row r="32" spans="1:57" ht="14.4" customHeight="1">
      <c r="A32" s="70" t="str">
        <f>IF(B32="","",COUNTA($B$8:B32))</f>
        <v/>
      </c>
      <c r="B32" s="19"/>
      <c r="C32" s="20" t="s">
        <v>395</v>
      </c>
      <c r="D32" s="20"/>
      <c r="E32" s="20" t="s">
        <v>396</v>
      </c>
      <c r="F32" s="20"/>
      <c r="G32" s="20"/>
      <c r="H32" s="24"/>
      <c r="I32" s="31"/>
      <c r="J32" s="23"/>
      <c r="K32" s="23"/>
      <c r="L32" s="23"/>
      <c r="M32" s="23"/>
      <c r="N32" s="23"/>
      <c r="O32" s="23"/>
      <c r="P32" s="23"/>
      <c r="Q32" s="24"/>
      <c r="R32" s="22"/>
      <c r="S32" s="23"/>
      <c r="T32" s="23"/>
      <c r="U32" s="23"/>
      <c r="V32" s="23"/>
      <c r="W32" s="23"/>
      <c r="X32" s="24"/>
      <c r="Y32" s="440"/>
      <c r="Z32" s="441"/>
      <c r="AA32" s="442"/>
      <c r="AB32" s="443"/>
      <c r="AC32" s="444"/>
      <c r="AD32" s="27"/>
      <c r="AE32" s="29" t="s">
        <v>244</v>
      </c>
      <c r="AF32" s="29"/>
      <c r="AG32" s="29"/>
      <c r="AH32" s="28"/>
      <c r="AI32" s="28"/>
      <c r="AJ32" s="28"/>
      <c r="AK32" s="28"/>
      <c r="AL32" s="28"/>
      <c r="AM32" s="28"/>
      <c r="AN32" s="28"/>
      <c r="AO32" s="29"/>
      <c r="AP32" s="29"/>
      <c r="AQ32" s="29"/>
      <c r="AR32" s="29"/>
      <c r="AS32" s="31"/>
      <c r="AT32" s="67"/>
      <c r="AU32" s="67"/>
      <c r="AV32" s="67"/>
      <c r="AW32" s="67"/>
      <c r="AX32" s="67"/>
      <c r="AY32" s="67"/>
      <c r="AZ32" s="67"/>
      <c r="BA32" s="67"/>
      <c r="BB32" s="67"/>
      <c r="BC32" s="67"/>
      <c r="BD32" s="68"/>
    </row>
    <row r="33" spans="1:56" ht="14.4" customHeight="1">
      <c r="A33" s="70" t="str">
        <f>IF(B33="","",COUNTA($B$8:B33))</f>
        <v/>
      </c>
      <c r="B33" s="19"/>
      <c r="C33" s="20"/>
      <c r="D33" s="20"/>
      <c r="E33" s="20"/>
      <c r="F33" s="20"/>
      <c r="G33" s="20"/>
      <c r="H33" s="24"/>
      <c r="I33" s="31"/>
      <c r="J33" s="23"/>
      <c r="K33" s="23"/>
      <c r="L33" s="23"/>
      <c r="M33" s="23"/>
      <c r="N33" s="23"/>
      <c r="O33" s="23"/>
      <c r="P33" s="23"/>
      <c r="Q33" s="24"/>
      <c r="R33" s="22"/>
      <c r="S33" s="23"/>
      <c r="T33" s="23"/>
      <c r="U33" s="23"/>
      <c r="V33" s="23"/>
      <c r="W33" s="23"/>
      <c r="X33" s="24"/>
      <c r="Y33" s="440"/>
      <c r="Z33" s="441"/>
      <c r="AA33" s="442"/>
      <c r="AB33" s="443"/>
      <c r="AC33" s="444"/>
      <c r="AD33" s="69"/>
      <c r="AE33" s="29" t="s">
        <v>244</v>
      </c>
      <c r="AF33" s="29"/>
      <c r="AG33" s="29"/>
      <c r="AH33" s="28"/>
      <c r="AI33" s="28"/>
      <c r="AJ33" s="28"/>
      <c r="AK33" s="28"/>
      <c r="AL33" s="28"/>
      <c r="AM33" s="28"/>
      <c r="AN33" s="28"/>
      <c r="AO33" s="29"/>
      <c r="AP33" s="29"/>
      <c r="AQ33" s="29"/>
      <c r="AR33" s="29"/>
      <c r="AS33" s="31"/>
      <c r="AT33" s="67"/>
      <c r="AU33" s="67"/>
      <c r="AV33" s="67"/>
      <c r="AW33" s="67"/>
      <c r="AX33" s="67"/>
      <c r="AY33" s="67"/>
      <c r="AZ33" s="67"/>
      <c r="BA33" s="67"/>
      <c r="BB33" s="67"/>
      <c r="BC33" s="67"/>
      <c r="BD33" s="68"/>
    </row>
    <row r="34" spans="1:56" ht="14.4" customHeight="1">
      <c r="A34" s="70" t="str">
        <f>IF(B34="","",COUNTA($B$8:B34))</f>
        <v/>
      </c>
      <c r="B34" s="19"/>
      <c r="C34" s="20"/>
      <c r="D34" s="20"/>
      <c r="E34" s="20"/>
      <c r="F34" s="20"/>
      <c r="G34" s="20"/>
      <c r="H34" s="24"/>
      <c r="I34" s="31"/>
      <c r="J34" s="23"/>
      <c r="K34" s="23"/>
      <c r="L34" s="23"/>
      <c r="M34" s="23"/>
      <c r="N34" s="23"/>
      <c r="O34" s="23"/>
      <c r="P34" s="23"/>
      <c r="Q34" s="24"/>
      <c r="R34" s="22"/>
      <c r="S34" s="23"/>
      <c r="T34" s="23"/>
      <c r="U34" s="23"/>
      <c r="V34" s="23"/>
      <c r="W34" s="23"/>
      <c r="X34" s="24"/>
      <c r="Y34" s="440"/>
      <c r="Z34" s="441"/>
      <c r="AA34" s="442"/>
      <c r="AB34" s="443"/>
      <c r="AC34" s="444"/>
      <c r="AD34" s="69"/>
      <c r="AE34" s="29" t="s">
        <v>244</v>
      </c>
      <c r="AF34" s="29"/>
      <c r="AG34" s="29"/>
      <c r="AH34" s="28"/>
      <c r="AI34" s="28"/>
      <c r="AJ34" s="28"/>
      <c r="AK34" s="28"/>
      <c r="AL34" s="28"/>
      <c r="AM34" s="28"/>
      <c r="AN34" s="28"/>
      <c r="AO34" s="29"/>
      <c r="AP34" s="29"/>
      <c r="AQ34" s="29"/>
      <c r="AR34" s="29"/>
      <c r="AS34" s="31"/>
      <c r="AT34" s="67"/>
      <c r="AU34" s="67"/>
      <c r="AV34" s="67"/>
      <c r="AW34" s="67"/>
      <c r="AX34" s="67"/>
      <c r="AY34" s="67"/>
      <c r="AZ34" s="67"/>
      <c r="BA34" s="67"/>
      <c r="BB34" s="67"/>
      <c r="BC34" s="67"/>
      <c r="BD34" s="68"/>
    </row>
    <row r="35" spans="1:56" ht="14.4" customHeight="1">
      <c r="A35" s="70" t="str">
        <f>IF(B35="","",COUNTA($B$8:B35))</f>
        <v/>
      </c>
      <c r="B35" s="19"/>
      <c r="C35" s="20"/>
      <c r="D35" s="20"/>
      <c r="E35" s="20"/>
      <c r="F35" s="20"/>
      <c r="G35" s="20"/>
      <c r="H35" s="24"/>
      <c r="I35" s="31"/>
      <c r="J35" s="23"/>
      <c r="K35" s="23"/>
      <c r="L35" s="23"/>
      <c r="M35" s="23"/>
      <c r="N35" s="23"/>
      <c r="O35" s="23"/>
      <c r="P35" s="23"/>
      <c r="Q35" s="37"/>
      <c r="R35" s="22"/>
      <c r="S35" s="23"/>
      <c r="T35" s="23"/>
      <c r="U35" s="23"/>
      <c r="V35" s="23"/>
      <c r="W35" s="23"/>
      <c r="X35" s="37"/>
      <c r="Y35" s="440"/>
      <c r="Z35" s="441"/>
      <c r="AA35" s="442"/>
      <c r="AB35" s="443"/>
      <c r="AC35" s="444"/>
      <c r="AD35" s="51"/>
      <c r="AE35" s="29" t="s">
        <v>244</v>
      </c>
      <c r="AF35" s="29"/>
      <c r="AG35" s="29"/>
      <c r="AH35" s="28"/>
      <c r="AI35" s="28"/>
      <c r="AJ35" s="28"/>
      <c r="AK35" s="28"/>
      <c r="AL35" s="28"/>
      <c r="AM35" s="28"/>
      <c r="AN35" s="28"/>
      <c r="AO35" s="29"/>
      <c r="AP35" s="29"/>
      <c r="AQ35" s="29"/>
      <c r="AR35" s="29"/>
      <c r="AS35" s="31"/>
      <c r="AT35" s="67"/>
      <c r="AU35" s="67"/>
      <c r="AV35" s="67"/>
      <c r="AW35" s="67"/>
      <c r="AX35" s="67"/>
      <c r="AY35" s="67"/>
      <c r="AZ35" s="67"/>
      <c r="BA35" s="67"/>
      <c r="BB35" s="67"/>
      <c r="BC35" s="67"/>
      <c r="BD35" s="68"/>
    </row>
    <row r="36" spans="1:56" ht="14.4" customHeight="1">
      <c r="A36" s="70" t="str">
        <f>IF(B36="","",COUNTA($B$8:B36))</f>
        <v/>
      </c>
      <c r="B36" s="19"/>
      <c r="C36" s="20"/>
      <c r="D36" s="20"/>
      <c r="E36" s="20"/>
      <c r="F36" s="20"/>
      <c r="G36" s="20"/>
      <c r="H36" s="24"/>
      <c r="I36" s="31"/>
      <c r="J36" s="23"/>
      <c r="K36" s="23"/>
      <c r="L36" s="23"/>
      <c r="M36" s="23"/>
      <c r="N36" s="23"/>
      <c r="O36" s="23"/>
      <c r="P36" s="23"/>
      <c r="Q36" s="24"/>
      <c r="R36" s="22"/>
      <c r="S36" s="23"/>
      <c r="T36" s="23"/>
      <c r="U36" s="23"/>
      <c r="V36" s="23"/>
      <c r="W36" s="23"/>
      <c r="X36" s="24"/>
      <c r="Y36" s="440"/>
      <c r="Z36" s="441"/>
      <c r="AA36" s="442"/>
      <c r="AB36" s="443"/>
      <c r="AC36" s="444"/>
      <c r="AD36" s="27"/>
      <c r="AE36" s="29" t="s">
        <v>244</v>
      </c>
      <c r="AF36" s="29"/>
      <c r="AG36" s="29"/>
      <c r="AH36" s="28"/>
      <c r="AI36" s="28"/>
      <c r="AJ36" s="28"/>
      <c r="AK36" s="28"/>
      <c r="AL36" s="28"/>
      <c r="AM36" s="28"/>
      <c r="AN36" s="28"/>
      <c r="AO36" s="29"/>
      <c r="AP36" s="29"/>
      <c r="AQ36" s="29"/>
      <c r="AR36" s="29"/>
      <c r="AS36" s="31"/>
      <c r="AT36" s="67"/>
      <c r="AU36" s="67"/>
      <c r="AV36" s="67"/>
      <c r="AW36" s="67"/>
      <c r="AX36" s="67"/>
      <c r="AY36" s="67"/>
      <c r="AZ36" s="67"/>
      <c r="BA36" s="67"/>
      <c r="BB36" s="67"/>
      <c r="BC36" s="67"/>
      <c r="BD36" s="68"/>
    </row>
    <row r="37" spans="1:56" ht="14.4" customHeight="1">
      <c r="A37" s="70" t="str">
        <f>IF(B37="","",COUNTA($B$8:B37))</f>
        <v/>
      </c>
      <c r="B37" s="19"/>
      <c r="C37" s="20"/>
      <c r="D37" s="20"/>
      <c r="E37" s="20"/>
      <c r="F37" s="20"/>
      <c r="G37" s="20"/>
      <c r="H37" s="24"/>
      <c r="I37" s="31"/>
      <c r="J37" s="23"/>
      <c r="K37" s="23"/>
      <c r="L37" s="23"/>
      <c r="M37" s="23"/>
      <c r="N37" s="23"/>
      <c r="O37" s="23"/>
      <c r="P37" s="23"/>
      <c r="Q37" s="24"/>
      <c r="R37" s="22"/>
      <c r="S37" s="23"/>
      <c r="T37" s="23"/>
      <c r="U37" s="23"/>
      <c r="V37" s="23"/>
      <c r="W37" s="23"/>
      <c r="X37" s="24"/>
      <c r="Y37" s="440"/>
      <c r="Z37" s="441"/>
      <c r="AA37" s="442"/>
      <c r="AB37" s="443"/>
      <c r="AC37" s="444"/>
      <c r="AD37" s="27"/>
      <c r="AE37" s="29" t="s">
        <v>244</v>
      </c>
      <c r="AF37" s="29"/>
      <c r="AG37" s="29"/>
      <c r="AH37" s="28"/>
      <c r="AI37" s="28"/>
      <c r="AJ37" s="28"/>
      <c r="AK37" s="28"/>
      <c r="AL37" s="28"/>
      <c r="AM37" s="28"/>
      <c r="AN37" s="28"/>
      <c r="AO37" s="29"/>
      <c r="AP37" s="29"/>
      <c r="AQ37" s="29"/>
      <c r="AR37" s="29"/>
      <c r="AS37" s="31"/>
      <c r="AT37" s="67"/>
      <c r="AU37" s="67"/>
      <c r="AV37" s="67"/>
      <c r="AW37" s="67"/>
      <c r="AX37" s="67"/>
      <c r="AY37" s="67"/>
      <c r="AZ37" s="67"/>
      <c r="BA37" s="67"/>
      <c r="BB37" s="67"/>
      <c r="BC37" s="67"/>
      <c r="BD37" s="68"/>
    </row>
    <row r="38" spans="1:56" ht="14.4" customHeight="1">
      <c r="A38" s="70" t="str">
        <f>IF(B38="","",COUNTA($B$8:B38))</f>
        <v/>
      </c>
      <c r="B38" s="19"/>
      <c r="C38" s="20"/>
      <c r="D38" s="20"/>
      <c r="E38" s="20"/>
      <c r="F38" s="20"/>
      <c r="G38" s="20"/>
      <c r="H38" s="24"/>
      <c r="I38" s="31"/>
      <c r="J38" s="23"/>
      <c r="K38" s="23"/>
      <c r="L38" s="23"/>
      <c r="M38" s="23"/>
      <c r="N38" s="23"/>
      <c r="O38" s="23"/>
      <c r="P38" s="23"/>
      <c r="Q38" s="24"/>
      <c r="R38" s="22"/>
      <c r="S38" s="23"/>
      <c r="T38" s="23"/>
      <c r="U38" s="23"/>
      <c r="V38" s="23"/>
      <c r="W38" s="23"/>
      <c r="X38" s="24"/>
      <c r="Y38" s="440"/>
      <c r="Z38" s="441"/>
      <c r="AA38" s="442"/>
      <c r="AB38" s="443"/>
      <c r="AC38" s="444"/>
      <c r="AD38" s="27"/>
      <c r="AE38" s="29" t="s">
        <v>244</v>
      </c>
      <c r="AF38" s="29"/>
      <c r="AG38" s="29"/>
      <c r="AH38" s="28"/>
      <c r="AI38" s="28"/>
      <c r="AJ38" s="28"/>
      <c r="AK38" s="28"/>
      <c r="AL38" s="28"/>
      <c r="AM38" s="28"/>
      <c r="AN38" s="28"/>
      <c r="AO38" s="29"/>
      <c r="AP38" s="29"/>
      <c r="AQ38" s="29"/>
      <c r="AR38" s="29"/>
      <c r="AS38" s="31"/>
      <c r="AT38" s="67"/>
      <c r="AU38" s="67"/>
      <c r="AV38" s="67"/>
      <c r="AW38" s="67"/>
      <c r="AX38" s="67"/>
      <c r="AY38" s="67"/>
      <c r="AZ38" s="67"/>
      <c r="BA38" s="67"/>
      <c r="BB38" s="67"/>
      <c r="BC38" s="67"/>
      <c r="BD38" s="68"/>
    </row>
    <row r="39" spans="1:56" ht="14.4" customHeight="1">
      <c r="A39" s="70" t="str">
        <f>IF(B39="","",COUNTA($B$8:B39))</f>
        <v/>
      </c>
      <c r="B39" s="19"/>
      <c r="C39" s="20"/>
      <c r="D39" s="20"/>
      <c r="E39" s="20"/>
      <c r="F39" s="20"/>
      <c r="G39" s="20"/>
      <c r="H39" s="24"/>
      <c r="I39" s="31"/>
      <c r="J39" s="23"/>
      <c r="K39" s="23"/>
      <c r="L39" s="23"/>
      <c r="M39" s="23"/>
      <c r="N39" s="23"/>
      <c r="O39" s="23"/>
      <c r="P39" s="23"/>
      <c r="Q39" s="24"/>
      <c r="R39" s="22"/>
      <c r="S39" s="23"/>
      <c r="T39" s="23"/>
      <c r="U39" s="23"/>
      <c r="V39" s="23"/>
      <c r="W39" s="23"/>
      <c r="X39" s="24"/>
      <c r="Y39" s="440"/>
      <c r="Z39" s="441"/>
      <c r="AA39" s="442"/>
      <c r="AB39" s="443"/>
      <c r="AC39" s="444"/>
      <c r="AD39" s="27"/>
      <c r="AE39" s="29" t="s">
        <v>244</v>
      </c>
      <c r="AF39" s="29"/>
      <c r="AG39" s="29"/>
      <c r="AH39" s="28"/>
      <c r="AI39" s="28"/>
      <c r="AJ39" s="28"/>
      <c r="AK39" s="28"/>
      <c r="AL39" s="28"/>
      <c r="AM39" s="28"/>
      <c r="AN39" s="28"/>
      <c r="AO39" s="29"/>
      <c r="AP39" s="29"/>
      <c r="AQ39" s="29"/>
      <c r="AR39" s="29"/>
      <c r="AS39" s="31"/>
      <c r="AT39" s="67"/>
      <c r="AU39" s="67"/>
      <c r="AV39" s="67"/>
      <c r="AW39" s="67"/>
      <c r="AX39" s="67"/>
      <c r="AY39" s="67"/>
      <c r="AZ39" s="67"/>
      <c r="BA39" s="67"/>
      <c r="BB39" s="67"/>
      <c r="BC39" s="67"/>
      <c r="BD39" s="68"/>
    </row>
    <row r="40" spans="1:56" ht="14.4" customHeight="1">
      <c r="A40" s="70" t="str">
        <f>IF(B40="","",COUNTA($B$8:B40))</f>
        <v/>
      </c>
      <c r="B40" s="19"/>
      <c r="C40" s="20"/>
      <c r="D40" s="20"/>
      <c r="E40" s="20"/>
      <c r="F40" s="20"/>
      <c r="G40" s="20"/>
      <c r="H40" s="24"/>
      <c r="I40" s="31"/>
      <c r="J40" s="23"/>
      <c r="K40" s="23"/>
      <c r="L40" s="23"/>
      <c r="M40" s="23"/>
      <c r="N40" s="23"/>
      <c r="O40" s="23"/>
      <c r="P40" s="23"/>
      <c r="Q40" s="24"/>
      <c r="R40" s="22"/>
      <c r="S40" s="23"/>
      <c r="T40" s="23"/>
      <c r="U40" s="23"/>
      <c r="V40" s="23"/>
      <c r="W40" s="23"/>
      <c r="X40" s="24"/>
      <c r="Y40" s="440"/>
      <c r="Z40" s="441"/>
      <c r="AA40" s="442"/>
      <c r="AB40" s="443"/>
      <c r="AC40" s="444"/>
      <c r="AD40" s="27"/>
      <c r="AE40" s="29" t="s">
        <v>244</v>
      </c>
      <c r="AF40" s="29"/>
      <c r="AG40" s="29"/>
      <c r="AH40" s="28"/>
      <c r="AI40" s="28"/>
      <c r="AJ40" s="28"/>
      <c r="AK40" s="28"/>
      <c r="AL40" s="28"/>
      <c r="AM40" s="28"/>
      <c r="AN40" s="28"/>
      <c r="AO40" s="29"/>
      <c r="AP40" s="29"/>
      <c r="AQ40" s="29"/>
      <c r="AR40" s="29"/>
      <c r="AS40" s="47"/>
      <c r="AT40" s="48"/>
      <c r="AU40" s="48"/>
      <c r="AV40" s="48"/>
      <c r="AW40" s="48"/>
      <c r="AX40" s="48"/>
      <c r="AY40" s="48"/>
      <c r="AZ40" s="48"/>
      <c r="BA40" s="48"/>
      <c r="BB40" s="48"/>
      <c r="BC40" s="48"/>
      <c r="BD40" s="66"/>
    </row>
    <row r="41" spans="1:56" ht="14.4" customHeight="1">
      <c r="A41" s="70" t="str">
        <f>IF(B41="","",COUNTA($B$8:B41))</f>
        <v/>
      </c>
      <c r="B41" s="19"/>
      <c r="C41" s="20"/>
      <c r="D41" s="20"/>
      <c r="E41" s="20"/>
      <c r="F41" s="20"/>
      <c r="G41" s="20"/>
      <c r="H41" s="24"/>
      <c r="I41" s="31"/>
      <c r="J41" s="23"/>
      <c r="K41" s="23"/>
      <c r="L41" s="23"/>
      <c r="M41" s="23"/>
      <c r="N41" s="23"/>
      <c r="O41" s="23"/>
      <c r="P41" s="23"/>
      <c r="Q41" s="24"/>
      <c r="R41" s="22"/>
      <c r="S41" s="23"/>
      <c r="T41" s="23"/>
      <c r="U41" s="23"/>
      <c r="V41" s="23"/>
      <c r="W41" s="23"/>
      <c r="X41" s="24"/>
      <c r="Y41" s="440"/>
      <c r="Z41" s="441"/>
      <c r="AA41" s="442"/>
      <c r="AB41" s="443"/>
      <c r="AC41" s="444"/>
      <c r="AD41" s="27"/>
      <c r="AE41" s="29" t="s">
        <v>244</v>
      </c>
      <c r="AF41" s="29"/>
      <c r="AG41" s="29"/>
      <c r="AH41" s="28"/>
      <c r="AI41" s="28"/>
      <c r="AJ41" s="28"/>
      <c r="AK41" s="28"/>
      <c r="AL41" s="28"/>
      <c r="AM41" s="28"/>
      <c r="AN41" s="28"/>
      <c r="AO41" s="29"/>
      <c r="AP41" s="29"/>
      <c r="AQ41" s="29"/>
      <c r="AR41" s="29"/>
      <c r="AS41" s="31"/>
      <c r="AT41" s="67"/>
      <c r="AU41" s="67"/>
      <c r="AV41" s="67"/>
      <c r="AW41" s="67"/>
      <c r="AX41" s="67"/>
      <c r="AY41" s="67"/>
      <c r="AZ41" s="67"/>
      <c r="BA41" s="67"/>
      <c r="BB41" s="67"/>
      <c r="BC41" s="67"/>
      <c r="BD41" s="68"/>
    </row>
    <row r="42" spans="1:56" ht="14.4" customHeight="1">
      <c r="A42" s="70" t="str">
        <f>IF(B42="","",COUNTA($B$8:B42))</f>
        <v/>
      </c>
      <c r="B42" s="19"/>
      <c r="C42" s="20"/>
      <c r="D42" s="20"/>
      <c r="E42" s="20"/>
      <c r="F42" s="20"/>
      <c r="G42" s="20"/>
      <c r="H42" s="24"/>
      <c r="I42" s="31"/>
      <c r="J42" s="23"/>
      <c r="K42" s="23"/>
      <c r="L42" s="23"/>
      <c r="M42" s="23"/>
      <c r="N42" s="23"/>
      <c r="O42" s="23"/>
      <c r="P42" s="23"/>
      <c r="Q42" s="24"/>
      <c r="R42" s="22"/>
      <c r="S42" s="23"/>
      <c r="T42" s="23"/>
      <c r="U42" s="23"/>
      <c r="V42" s="23"/>
      <c r="W42" s="23"/>
      <c r="X42" s="24"/>
      <c r="Y42" s="440"/>
      <c r="Z42" s="441"/>
      <c r="AA42" s="442"/>
      <c r="AB42" s="443"/>
      <c r="AC42" s="444"/>
      <c r="AD42" s="27"/>
      <c r="AE42" s="29" t="s">
        <v>244</v>
      </c>
      <c r="AF42" s="29"/>
      <c r="AG42" s="29"/>
      <c r="AH42" s="28"/>
      <c r="AI42" s="28"/>
      <c r="AJ42" s="28"/>
      <c r="AK42" s="28"/>
      <c r="AL42" s="28"/>
      <c r="AM42" s="28"/>
      <c r="AN42" s="28"/>
      <c r="AO42" s="29"/>
      <c r="AP42" s="29"/>
      <c r="AQ42" s="29"/>
      <c r="AR42" s="29"/>
      <c r="AS42" s="31"/>
      <c r="AT42" s="67"/>
      <c r="AU42" s="67"/>
      <c r="AV42" s="67"/>
      <c r="AW42" s="67"/>
      <c r="AX42" s="67"/>
      <c r="AY42" s="67"/>
      <c r="AZ42" s="67"/>
      <c r="BA42" s="67"/>
      <c r="BB42" s="67"/>
      <c r="BC42" s="67"/>
      <c r="BD42" s="68"/>
    </row>
    <row r="43" spans="1:56" ht="14.4" customHeight="1">
      <c r="A43" s="70" t="str">
        <f>IF(B43="","",COUNTA($B$8:B43))</f>
        <v/>
      </c>
      <c r="B43" s="19"/>
      <c r="C43" s="20"/>
      <c r="D43" s="20"/>
      <c r="E43" s="20"/>
      <c r="F43" s="20"/>
      <c r="G43" s="20"/>
      <c r="H43" s="24"/>
      <c r="I43" s="31"/>
      <c r="J43" s="23"/>
      <c r="K43" s="23"/>
      <c r="L43" s="23"/>
      <c r="M43" s="23"/>
      <c r="N43" s="23"/>
      <c r="O43" s="23"/>
      <c r="P43" s="23"/>
      <c r="Q43" s="37"/>
      <c r="R43" s="22"/>
      <c r="S43" s="23"/>
      <c r="T43" s="23"/>
      <c r="U43" s="23"/>
      <c r="V43" s="23"/>
      <c r="W43" s="23"/>
      <c r="X43" s="37"/>
      <c r="Y43" s="440"/>
      <c r="Z43" s="441"/>
      <c r="AA43" s="442"/>
      <c r="AB43" s="443"/>
      <c r="AC43" s="444"/>
      <c r="AD43" s="51"/>
      <c r="AE43" s="29" t="s">
        <v>244</v>
      </c>
      <c r="AF43" s="29"/>
      <c r="AG43" s="29"/>
      <c r="AH43" s="40"/>
      <c r="AI43" s="40"/>
      <c r="AJ43" s="40"/>
      <c r="AK43" s="40"/>
      <c r="AL43" s="40"/>
      <c r="AM43" s="40"/>
      <c r="AN43" s="40"/>
      <c r="AO43" s="41"/>
      <c r="AP43" s="41"/>
      <c r="AQ43" s="41"/>
      <c r="AR43" s="41"/>
      <c r="AS43" s="42"/>
      <c r="AT43" s="43"/>
      <c r="AU43" s="67"/>
      <c r="AV43" s="67"/>
      <c r="AW43" s="67"/>
      <c r="AX43" s="67"/>
      <c r="AY43" s="67"/>
      <c r="AZ43" s="67"/>
      <c r="BA43" s="67"/>
      <c r="BB43" s="67"/>
      <c r="BC43" s="67"/>
      <c r="BD43" s="68"/>
    </row>
    <row r="44" spans="1:56" ht="14.4" customHeight="1">
      <c r="A44" s="70" t="str">
        <f>IF(B44="","",COUNTA($B$8:B44))</f>
        <v/>
      </c>
      <c r="B44" s="31"/>
      <c r="C44" s="44"/>
      <c r="D44" s="44"/>
      <c r="E44" s="44"/>
      <c r="F44" s="44"/>
      <c r="G44" s="44"/>
      <c r="H44" s="45"/>
      <c r="I44" s="31"/>
      <c r="J44" s="35"/>
      <c r="K44" s="35"/>
      <c r="L44" s="35"/>
      <c r="M44" s="35"/>
      <c r="N44" s="35"/>
      <c r="O44" s="35"/>
      <c r="P44" s="35"/>
      <c r="Q44" s="36"/>
      <c r="R44" s="34"/>
      <c r="S44" s="35"/>
      <c r="T44" s="35"/>
      <c r="U44" s="35"/>
      <c r="V44" s="35"/>
      <c r="W44" s="35"/>
      <c r="X44" s="36"/>
      <c r="Y44" s="440"/>
      <c r="Z44" s="441"/>
      <c r="AA44" s="442"/>
      <c r="AB44" s="443"/>
      <c r="AC44" s="444"/>
      <c r="AD44" s="51"/>
      <c r="AE44" s="29" t="s">
        <v>244</v>
      </c>
      <c r="AF44" s="29"/>
      <c r="AG44" s="29"/>
      <c r="AH44" s="28"/>
      <c r="AI44" s="28"/>
      <c r="AJ44" s="28"/>
      <c r="AK44" s="28"/>
      <c r="AL44" s="28"/>
      <c r="AM44" s="28"/>
      <c r="AN44" s="28"/>
      <c r="AO44" s="29"/>
      <c r="AP44" s="29"/>
      <c r="AQ44" s="29"/>
      <c r="AR44" s="29"/>
      <c r="AS44" s="42"/>
      <c r="AT44" s="49"/>
      <c r="AU44" s="48"/>
      <c r="AV44" s="48"/>
      <c r="AW44" s="48"/>
      <c r="AX44" s="48"/>
      <c r="AY44" s="48"/>
      <c r="AZ44" s="48"/>
      <c r="BA44" s="48"/>
      <c r="BB44" s="48"/>
      <c r="BC44" s="48"/>
      <c r="BD44" s="66"/>
    </row>
    <row r="45" spans="1:56" ht="14.4" customHeight="1">
      <c r="A45" s="70" t="str">
        <f>IF(B45="","",COUNTA($B$8:B45))</f>
        <v/>
      </c>
      <c r="B45" s="31"/>
      <c r="C45" s="44"/>
      <c r="D45" s="44"/>
      <c r="E45" s="44"/>
      <c r="F45" s="44"/>
      <c r="G45" s="44"/>
      <c r="H45" s="45"/>
      <c r="I45" s="31"/>
      <c r="J45" s="35"/>
      <c r="K45" s="35"/>
      <c r="L45" s="35"/>
      <c r="M45" s="35"/>
      <c r="N45" s="35"/>
      <c r="O45" s="35"/>
      <c r="P45" s="35"/>
      <c r="Q45" s="36"/>
      <c r="R45" s="34"/>
      <c r="S45" s="35"/>
      <c r="T45" s="35"/>
      <c r="U45" s="35"/>
      <c r="V45" s="35"/>
      <c r="W45" s="35"/>
      <c r="X45" s="36"/>
      <c r="Y45" s="440"/>
      <c r="Z45" s="441"/>
      <c r="AA45" s="442"/>
      <c r="AB45" s="443"/>
      <c r="AC45" s="444"/>
      <c r="AD45" s="51"/>
      <c r="AE45" s="29" t="s">
        <v>244</v>
      </c>
      <c r="AF45" s="29"/>
      <c r="AG45" s="29"/>
      <c r="AH45" s="28"/>
      <c r="AI45" s="28"/>
      <c r="AJ45" s="28"/>
      <c r="AK45" s="28"/>
      <c r="AL45" s="28"/>
      <c r="AM45" s="28"/>
      <c r="AN45" s="28"/>
      <c r="AO45" s="29"/>
      <c r="AP45" s="29"/>
      <c r="AQ45" s="29"/>
      <c r="AR45" s="29"/>
      <c r="AS45" s="42"/>
      <c r="AT45" s="49"/>
      <c r="AU45" s="48"/>
      <c r="AV45" s="48"/>
      <c r="AW45" s="48"/>
      <c r="AX45" s="48"/>
      <c r="AY45" s="48"/>
      <c r="AZ45" s="48"/>
      <c r="BA45" s="48"/>
      <c r="BB45" s="48"/>
      <c r="BC45" s="48"/>
      <c r="BD45" s="66"/>
    </row>
    <row r="46" spans="1:56" ht="14.4" customHeight="1">
      <c r="A46" s="70" t="str">
        <f>IF(B46="","",COUNTA($B$8:B46))</f>
        <v/>
      </c>
      <c r="B46" s="31"/>
      <c r="C46" s="44"/>
      <c r="D46" s="44"/>
      <c r="E46" s="44"/>
      <c r="F46" s="44"/>
      <c r="G46" s="44"/>
      <c r="H46" s="45"/>
      <c r="I46" s="31"/>
      <c r="J46" s="35"/>
      <c r="K46" s="35"/>
      <c r="L46" s="35"/>
      <c r="M46" s="35"/>
      <c r="N46" s="35"/>
      <c r="O46" s="35"/>
      <c r="P46" s="35"/>
      <c r="Q46" s="36"/>
      <c r="R46" s="34"/>
      <c r="S46" s="35"/>
      <c r="T46" s="35"/>
      <c r="U46" s="35"/>
      <c r="V46" s="35"/>
      <c r="W46" s="35"/>
      <c r="X46" s="36"/>
      <c r="Y46" s="440"/>
      <c r="Z46" s="441"/>
      <c r="AA46" s="442"/>
      <c r="AB46" s="443"/>
      <c r="AC46" s="444"/>
      <c r="AD46" s="51"/>
      <c r="AE46" s="29" t="s">
        <v>244</v>
      </c>
      <c r="AF46" s="29"/>
      <c r="AG46" s="29"/>
      <c r="AH46" s="28"/>
      <c r="AI46" s="28"/>
      <c r="AJ46" s="28"/>
      <c r="AK46" s="28"/>
      <c r="AL46" s="28"/>
      <c r="AM46" s="28"/>
      <c r="AN46" s="28"/>
      <c r="AO46" s="29"/>
      <c r="AP46" s="29"/>
      <c r="AQ46" s="29"/>
      <c r="AR46" s="29"/>
      <c r="AS46" s="42"/>
      <c r="AT46" s="49"/>
      <c r="AU46" s="48"/>
      <c r="AV46" s="48"/>
      <c r="AW46" s="48"/>
      <c r="AX46" s="48"/>
      <c r="AY46" s="48"/>
      <c r="AZ46" s="48"/>
      <c r="BA46" s="48"/>
      <c r="BB46" s="48"/>
      <c r="BC46" s="48"/>
      <c r="BD46" s="66"/>
    </row>
    <row r="47" spans="1:56" ht="14.4" customHeight="1">
      <c r="A47" s="70" t="str">
        <f>IF(B47="","",COUNTA($B$8:B47))</f>
        <v/>
      </c>
      <c r="B47" s="31"/>
      <c r="C47" s="44"/>
      <c r="D47" s="44"/>
      <c r="E47" s="44"/>
      <c r="F47" s="44"/>
      <c r="G47" s="44"/>
      <c r="H47" s="45"/>
      <c r="I47" s="31"/>
      <c r="J47" s="35"/>
      <c r="K47" s="35"/>
      <c r="L47" s="35"/>
      <c r="M47" s="35"/>
      <c r="N47" s="35"/>
      <c r="O47" s="35"/>
      <c r="P47" s="35"/>
      <c r="Q47" s="36"/>
      <c r="R47" s="34"/>
      <c r="S47" s="35"/>
      <c r="T47" s="35"/>
      <c r="U47" s="35"/>
      <c r="V47" s="35"/>
      <c r="W47" s="35"/>
      <c r="X47" s="36"/>
      <c r="Y47" s="440"/>
      <c r="Z47" s="441"/>
      <c r="AA47" s="442"/>
      <c r="AB47" s="443"/>
      <c r="AC47" s="444"/>
      <c r="AD47" s="51"/>
      <c r="AE47" s="29" t="s">
        <v>244</v>
      </c>
      <c r="AF47" s="29"/>
      <c r="AG47" s="29"/>
      <c r="AH47" s="28"/>
      <c r="AI47" s="28"/>
      <c r="AJ47" s="28"/>
      <c r="AK47" s="28"/>
      <c r="AL47" s="28"/>
      <c r="AM47" s="28"/>
      <c r="AN47" s="28"/>
      <c r="AO47" s="29"/>
      <c r="AP47" s="29"/>
      <c r="AQ47" s="29"/>
      <c r="AR47" s="29"/>
      <c r="AS47" s="42"/>
      <c r="AT47" s="49"/>
      <c r="AU47" s="48"/>
      <c r="AV47" s="48"/>
      <c r="AW47" s="48"/>
      <c r="AX47" s="48"/>
      <c r="AY47" s="48"/>
      <c r="AZ47" s="48"/>
      <c r="BA47" s="48"/>
      <c r="BB47" s="48"/>
      <c r="BC47" s="48"/>
      <c r="BD47" s="66"/>
    </row>
  </sheetData>
  <mergeCells count="110">
    <mergeCell ref="Y45:Z45"/>
    <mergeCell ref="AA45:AC45"/>
    <mergeCell ref="Y43:Z43"/>
    <mergeCell ref="AA43:AC43"/>
    <mergeCell ref="Y44:Z44"/>
    <mergeCell ref="AA44:AC44"/>
    <mergeCell ref="Y40:Z40"/>
    <mergeCell ref="AA40:AC40"/>
    <mergeCell ref="Y41:Z41"/>
    <mergeCell ref="AA41:AC41"/>
    <mergeCell ref="Y42:Z42"/>
    <mergeCell ref="AA42:AC42"/>
    <mergeCell ref="Y37:Z37"/>
    <mergeCell ref="AA37:AC37"/>
    <mergeCell ref="Y38:Z38"/>
    <mergeCell ref="AA38:AC38"/>
    <mergeCell ref="Y39:Z39"/>
    <mergeCell ref="AA39:AC39"/>
    <mergeCell ref="Y34:Z34"/>
    <mergeCell ref="AA34:AC34"/>
    <mergeCell ref="Y35:Z35"/>
    <mergeCell ref="AA35:AC35"/>
    <mergeCell ref="Y36:Z36"/>
    <mergeCell ref="AA36:AC36"/>
    <mergeCell ref="Y31:Z31"/>
    <mergeCell ref="AA31:AC31"/>
    <mergeCell ref="Y32:Z32"/>
    <mergeCell ref="AA32:AC32"/>
    <mergeCell ref="Y33:Z33"/>
    <mergeCell ref="AA33:AC33"/>
    <mergeCell ref="Y29:Z29"/>
    <mergeCell ref="AA29:AC29"/>
    <mergeCell ref="Y30:Z30"/>
    <mergeCell ref="AA30:AC30"/>
    <mergeCell ref="Y28:Z28"/>
    <mergeCell ref="AA28:AC28"/>
    <mergeCell ref="Y23:Z23"/>
    <mergeCell ref="AA23:AC23"/>
    <mergeCell ref="Y24:Z24"/>
    <mergeCell ref="AA24:AC24"/>
    <mergeCell ref="Y25:Z25"/>
    <mergeCell ref="AA25:AC25"/>
    <mergeCell ref="Y27:Z27"/>
    <mergeCell ref="AA27:AC27"/>
    <mergeCell ref="AA26:AC26"/>
    <mergeCell ref="AF6:AF7"/>
    <mergeCell ref="A1:H4"/>
    <mergeCell ref="AZ1:BD1"/>
    <mergeCell ref="I2:Q4"/>
    <mergeCell ref="R2:X4"/>
    <mergeCell ref="Y2:AO3"/>
    <mergeCell ref="AP2:AT2"/>
    <mergeCell ref="AZ2:BD2"/>
    <mergeCell ref="AP3:AT3"/>
    <mergeCell ref="AU3:AY3"/>
    <mergeCell ref="AZ3:BD3"/>
    <mergeCell ref="Y4:AO4"/>
    <mergeCell ref="I1:Q1"/>
    <mergeCell ref="R1:X1"/>
    <mergeCell ref="Y1:AO1"/>
    <mergeCell ref="AP1:AT1"/>
    <mergeCell ref="AU1:AY1"/>
    <mergeCell ref="AP4:AT4"/>
    <mergeCell ref="AU4:AY4"/>
    <mergeCell ref="A6:A7"/>
    <mergeCell ref="B6:H7"/>
    <mergeCell ref="I6:Q7"/>
    <mergeCell ref="R6:X7"/>
    <mergeCell ref="Y6:Z7"/>
    <mergeCell ref="AD6:AD7"/>
    <mergeCell ref="AE6:AE7"/>
    <mergeCell ref="Y12:Z12"/>
    <mergeCell ref="Y22:Z22"/>
    <mergeCell ref="AA22:AC22"/>
    <mergeCell ref="Y18:Z18"/>
    <mergeCell ref="AA18:AC18"/>
    <mergeCell ref="Y15:Z15"/>
    <mergeCell ref="AA15:AC15"/>
    <mergeCell ref="Y16:Z16"/>
    <mergeCell ref="AA16:AC16"/>
    <mergeCell ref="Y17:Z17"/>
    <mergeCell ref="AA17:AC17"/>
    <mergeCell ref="Y20:Z20"/>
    <mergeCell ref="AA20:AC20"/>
    <mergeCell ref="Y21:Z21"/>
    <mergeCell ref="AA21:AC21"/>
    <mergeCell ref="Y46:Z46"/>
    <mergeCell ref="AA46:AC46"/>
    <mergeCell ref="Y47:Z47"/>
    <mergeCell ref="AA47:AC47"/>
    <mergeCell ref="AS6:BD7"/>
    <mergeCell ref="Y8:Z8"/>
    <mergeCell ref="AA8:AC8"/>
    <mergeCell ref="AZ4:BD4"/>
    <mergeCell ref="Y9:Z9"/>
    <mergeCell ref="AA9:AC9"/>
    <mergeCell ref="Y10:Z10"/>
    <mergeCell ref="AA10:AC10"/>
    <mergeCell ref="Y11:Z11"/>
    <mergeCell ref="AA11:AC11"/>
    <mergeCell ref="AG6:AG7"/>
    <mergeCell ref="AH6:AH7"/>
    <mergeCell ref="AI6:AR6"/>
    <mergeCell ref="AA12:AC12"/>
    <mergeCell ref="Y13:Z13"/>
    <mergeCell ref="AA13:AC13"/>
    <mergeCell ref="Y14:Z14"/>
    <mergeCell ref="AA14:AC14"/>
    <mergeCell ref="Y26:Z26"/>
    <mergeCell ref="AA6:AC7"/>
  </mergeCells>
  <phoneticPr fontId="5"/>
  <dataValidations count="3">
    <dataValidation imeMode="hiragana" allowBlank="1" showInputMessage="1" showErrorMessage="1" sqref="IR65541:JC65543 SN65541:SY65543 ACJ65541:ACU65543 AMF65541:AMQ65543 AWB65541:AWM65543 BFX65541:BGI65543 BPT65541:BQE65543 BZP65541:CAA65543 CJL65541:CJW65543 CTH65541:CTS65543 DDD65541:DDO65543 DMZ65541:DNK65543 DWV65541:DXG65543 EGR65541:EHC65543 EQN65541:EQY65543 FAJ65541:FAU65543 FKF65541:FKQ65543 FUB65541:FUM65543 GDX65541:GEI65543 GNT65541:GOE65543 GXP65541:GYA65543 HHL65541:HHW65543 HRH65541:HRS65543 IBD65541:IBO65543 IKZ65541:ILK65543 IUV65541:IVG65543 JER65541:JFC65543 JON65541:JOY65543 JYJ65541:JYU65543 KIF65541:KIQ65543 KSB65541:KSM65543 LBX65541:LCI65543 LLT65541:LME65543 LVP65541:LWA65543 MFL65541:MFW65543 MPH65541:MPS65543 MZD65541:MZO65543 NIZ65541:NJK65543 NSV65541:NTG65543 OCR65541:ODC65543 OMN65541:OMY65543 OWJ65541:OWU65543 PGF65541:PGQ65543 PQB65541:PQM65543 PZX65541:QAI65543 QJT65541:QKE65543 QTP65541:QUA65543 RDL65541:RDW65543 RNH65541:RNS65543 RXD65541:RXO65543 SGZ65541:SHK65543 SQV65541:SRG65543 TAR65541:TBC65543 TKN65541:TKY65543 TUJ65541:TUU65543 UEF65541:UEQ65543 UOB65541:UOM65543 UXX65541:UYI65543 VHT65541:VIE65543 VRP65541:VSA65543 WBL65541:WBW65543 WLH65541:WLS65543 WVD65541:WVO65543 IR131077:JC131079 SN131077:SY131079 ACJ131077:ACU131079 AMF131077:AMQ131079 AWB131077:AWM131079 BFX131077:BGI131079 BPT131077:BQE131079 BZP131077:CAA131079 CJL131077:CJW131079 CTH131077:CTS131079 DDD131077:DDO131079 DMZ131077:DNK131079 DWV131077:DXG131079 EGR131077:EHC131079 EQN131077:EQY131079 FAJ131077:FAU131079 FKF131077:FKQ131079 FUB131077:FUM131079 GDX131077:GEI131079 GNT131077:GOE131079 GXP131077:GYA131079 HHL131077:HHW131079 HRH131077:HRS131079 IBD131077:IBO131079 IKZ131077:ILK131079 IUV131077:IVG131079 JER131077:JFC131079 JON131077:JOY131079 JYJ131077:JYU131079 KIF131077:KIQ131079 KSB131077:KSM131079 LBX131077:LCI131079 LLT131077:LME131079 LVP131077:LWA131079 MFL131077:MFW131079 MPH131077:MPS131079 MZD131077:MZO131079 NIZ131077:NJK131079 NSV131077:NTG131079 OCR131077:ODC131079 OMN131077:OMY131079 OWJ131077:OWU131079 PGF131077:PGQ131079 PQB131077:PQM131079 PZX131077:QAI131079 QJT131077:QKE131079 QTP131077:QUA131079 RDL131077:RDW131079 RNH131077:RNS131079 RXD131077:RXO131079 SGZ131077:SHK131079 SQV131077:SRG131079 TAR131077:TBC131079 TKN131077:TKY131079 TUJ131077:TUU131079 UEF131077:UEQ131079 UOB131077:UOM131079 UXX131077:UYI131079 VHT131077:VIE131079 VRP131077:VSA131079 WBL131077:WBW131079 WLH131077:WLS131079 WVD131077:WVO131079 IR196613:JC196615 SN196613:SY196615 ACJ196613:ACU196615 AMF196613:AMQ196615 AWB196613:AWM196615 BFX196613:BGI196615 BPT196613:BQE196615 BZP196613:CAA196615 CJL196613:CJW196615 CTH196613:CTS196615 DDD196613:DDO196615 DMZ196613:DNK196615 DWV196613:DXG196615 EGR196613:EHC196615 EQN196613:EQY196615 FAJ196613:FAU196615 FKF196613:FKQ196615 FUB196613:FUM196615 GDX196613:GEI196615 GNT196613:GOE196615 GXP196613:GYA196615 HHL196613:HHW196615 HRH196613:HRS196615 IBD196613:IBO196615 IKZ196613:ILK196615 IUV196613:IVG196615 JER196613:JFC196615 JON196613:JOY196615 JYJ196613:JYU196615 KIF196613:KIQ196615 KSB196613:KSM196615 LBX196613:LCI196615 LLT196613:LME196615 LVP196613:LWA196615 MFL196613:MFW196615 MPH196613:MPS196615 MZD196613:MZO196615 NIZ196613:NJK196615 NSV196613:NTG196615 OCR196613:ODC196615 OMN196613:OMY196615 OWJ196613:OWU196615 PGF196613:PGQ196615 PQB196613:PQM196615 PZX196613:QAI196615 QJT196613:QKE196615 QTP196613:QUA196615 RDL196613:RDW196615 RNH196613:RNS196615 RXD196613:RXO196615 SGZ196613:SHK196615 SQV196613:SRG196615 TAR196613:TBC196615 TKN196613:TKY196615 TUJ196613:TUU196615 UEF196613:UEQ196615 UOB196613:UOM196615 UXX196613:UYI196615 VHT196613:VIE196615 VRP196613:VSA196615 WBL196613:WBW196615 WLH196613:WLS196615 WVD196613:WVO196615 IR262149:JC262151 SN262149:SY262151 ACJ262149:ACU262151 AMF262149:AMQ262151 AWB262149:AWM262151 BFX262149:BGI262151 BPT262149:BQE262151 BZP262149:CAA262151 CJL262149:CJW262151 CTH262149:CTS262151 DDD262149:DDO262151 DMZ262149:DNK262151 DWV262149:DXG262151 EGR262149:EHC262151 EQN262149:EQY262151 FAJ262149:FAU262151 FKF262149:FKQ262151 FUB262149:FUM262151 GDX262149:GEI262151 GNT262149:GOE262151 GXP262149:GYA262151 HHL262149:HHW262151 HRH262149:HRS262151 IBD262149:IBO262151 IKZ262149:ILK262151 IUV262149:IVG262151 JER262149:JFC262151 JON262149:JOY262151 JYJ262149:JYU262151 KIF262149:KIQ262151 KSB262149:KSM262151 LBX262149:LCI262151 LLT262149:LME262151 LVP262149:LWA262151 MFL262149:MFW262151 MPH262149:MPS262151 MZD262149:MZO262151 NIZ262149:NJK262151 NSV262149:NTG262151 OCR262149:ODC262151 OMN262149:OMY262151 OWJ262149:OWU262151 PGF262149:PGQ262151 PQB262149:PQM262151 PZX262149:QAI262151 QJT262149:QKE262151 QTP262149:QUA262151 RDL262149:RDW262151 RNH262149:RNS262151 RXD262149:RXO262151 SGZ262149:SHK262151 SQV262149:SRG262151 TAR262149:TBC262151 TKN262149:TKY262151 TUJ262149:TUU262151 UEF262149:UEQ262151 UOB262149:UOM262151 UXX262149:UYI262151 VHT262149:VIE262151 VRP262149:VSA262151 WBL262149:WBW262151 WLH262149:WLS262151 WVD262149:WVO262151 IR327685:JC327687 SN327685:SY327687 ACJ327685:ACU327687 AMF327685:AMQ327687 AWB327685:AWM327687 BFX327685:BGI327687 BPT327685:BQE327687 BZP327685:CAA327687 CJL327685:CJW327687 CTH327685:CTS327687 DDD327685:DDO327687 DMZ327685:DNK327687 DWV327685:DXG327687 EGR327685:EHC327687 EQN327685:EQY327687 FAJ327685:FAU327687 FKF327685:FKQ327687 FUB327685:FUM327687 GDX327685:GEI327687 GNT327685:GOE327687 GXP327685:GYA327687 HHL327685:HHW327687 HRH327685:HRS327687 IBD327685:IBO327687 IKZ327685:ILK327687 IUV327685:IVG327687 JER327685:JFC327687 JON327685:JOY327687 JYJ327685:JYU327687 KIF327685:KIQ327687 KSB327685:KSM327687 LBX327685:LCI327687 LLT327685:LME327687 LVP327685:LWA327687 MFL327685:MFW327687 MPH327685:MPS327687 MZD327685:MZO327687 NIZ327685:NJK327687 NSV327685:NTG327687 OCR327685:ODC327687 OMN327685:OMY327687 OWJ327685:OWU327687 PGF327685:PGQ327687 PQB327685:PQM327687 PZX327685:QAI327687 QJT327685:QKE327687 QTP327685:QUA327687 RDL327685:RDW327687 RNH327685:RNS327687 RXD327685:RXO327687 SGZ327685:SHK327687 SQV327685:SRG327687 TAR327685:TBC327687 TKN327685:TKY327687 TUJ327685:TUU327687 UEF327685:UEQ327687 UOB327685:UOM327687 UXX327685:UYI327687 VHT327685:VIE327687 VRP327685:VSA327687 WBL327685:WBW327687 WLH327685:WLS327687 WVD327685:WVO327687 IR393221:JC393223 SN393221:SY393223 ACJ393221:ACU393223 AMF393221:AMQ393223 AWB393221:AWM393223 BFX393221:BGI393223 BPT393221:BQE393223 BZP393221:CAA393223 CJL393221:CJW393223 CTH393221:CTS393223 DDD393221:DDO393223 DMZ393221:DNK393223 DWV393221:DXG393223 EGR393221:EHC393223 EQN393221:EQY393223 FAJ393221:FAU393223 FKF393221:FKQ393223 FUB393221:FUM393223 GDX393221:GEI393223 GNT393221:GOE393223 GXP393221:GYA393223 HHL393221:HHW393223 HRH393221:HRS393223 IBD393221:IBO393223 IKZ393221:ILK393223 IUV393221:IVG393223 JER393221:JFC393223 JON393221:JOY393223 JYJ393221:JYU393223 KIF393221:KIQ393223 KSB393221:KSM393223 LBX393221:LCI393223 LLT393221:LME393223 LVP393221:LWA393223 MFL393221:MFW393223 MPH393221:MPS393223 MZD393221:MZO393223 NIZ393221:NJK393223 NSV393221:NTG393223 OCR393221:ODC393223 OMN393221:OMY393223 OWJ393221:OWU393223 PGF393221:PGQ393223 PQB393221:PQM393223 PZX393221:QAI393223 QJT393221:QKE393223 QTP393221:QUA393223 RDL393221:RDW393223 RNH393221:RNS393223 RXD393221:RXO393223 SGZ393221:SHK393223 SQV393221:SRG393223 TAR393221:TBC393223 TKN393221:TKY393223 TUJ393221:TUU393223 UEF393221:UEQ393223 UOB393221:UOM393223 UXX393221:UYI393223 VHT393221:VIE393223 VRP393221:VSA393223 WBL393221:WBW393223 WLH393221:WLS393223 WVD393221:WVO393223 IR458757:JC458759 SN458757:SY458759 ACJ458757:ACU458759 AMF458757:AMQ458759 AWB458757:AWM458759 BFX458757:BGI458759 BPT458757:BQE458759 BZP458757:CAA458759 CJL458757:CJW458759 CTH458757:CTS458759 DDD458757:DDO458759 DMZ458757:DNK458759 DWV458757:DXG458759 EGR458757:EHC458759 EQN458757:EQY458759 FAJ458757:FAU458759 FKF458757:FKQ458759 FUB458757:FUM458759 GDX458757:GEI458759 GNT458757:GOE458759 GXP458757:GYA458759 HHL458757:HHW458759 HRH458757:HRS458759 IBD458757:IBO458759 IKZ458757:ILK458759 IUV458757:IVG458759 JER458757:JFC458759 JON458757:JOY458759 JYJ458757:JYU458759 KIF458757:KIQ458759 KSB458757:KSM458759 LBX458757:LCI458759 LLT458757:LME458759 LVP458757:LWA458759 MFL458757:MFW458759 MPH458757:MPS458759 MZD458757:MZO458759 NIZ458757:NJK458759 NSV458757:NTG458759 OCR458757:ODC458759 OMN458757:OMY458759 OWJ458757:OWU458759 PGF458757:PGQ458759 PQB458757:PQM458759 PZX458757:QAI458759 QJT458757:QKE458759 QTP458757:QUA458759 RDL458757:RDW458759 RNH458757:RNS458759 RXD458757:RXO458759 SGZ458757:SHK458759 SQV458757:SRG458759 TAR458757:TBC458759 TKN458757:TKY458759 TUJ458757:TUU458759 UEF458757:UEQ458759 UOB458757:UOM458759 UXX458757:UYI458759 VHT458757:VIE458759 VRP458757:VSA458759 WBL458757:WBW458759 WLH458757:WLS458759 WVD458757:WVO458759 IR524293:JC524295 SN524293:SY524295 ACJ524293:ACU524295 AMF524293:AMQ524295 AWB524293:AWM524295 BFX524293:BGI524295 BPT524293:BQE524295 BZP524293:CAA524295 CJL524293:CJW524295 CTH524293:CTS524295 DDD524293:DDO524295 DMZ524293:DNK524295 DWV524293:DXG524295 EGR524293:EHC524295 EQN524293:EQY524295 FAJ524293:FAU524295 FKF524293:FKQ524295 FUB524293:FUM524295 GDX524293:GEI524295 GNT524293:GOE524295 GXP524293:GYA524295 HHL524293:HHW524295 HRH524293:HRS524295 IBD524293:IBO524295 IKZ524293:ILK524295 IUV524293:IVG524295 JER524293:JFC524295 JON524293:JOY524295 JYJ524293:JYU524295 KIF524293:KIQ524295 KSB524293:KSM524295 LBX524293:LCI524295 LLT524293:LME524295 LVP524293:LWA524295 MFL524293:MFW524295 MPH524293:MPS524295 MZD524293:MZO524295 NIZ524293:NJK524295 NSV524293:NTG524295 OCR524293:ODC524295 OMN524293:OMY524295 OWJ524293:OWU524295 PGF524293:PGQ524295 PQB524293:PQM524295 PZX524293:QAI524295 QJT524293:QKE524295 QTP524293:QUA524295 RDL524293:RDW524295 RNH524293:RNS524295 RXD524293:RXO524295 SGZ524293:SHK524295 SQV524293:SRG524295 TAR524293:TBC524295 TKN524293:TKY524295 TUJ524293:TUU524295 UEF524293:UEQ524295 UOB524293:UOM524295 UXX524293:UYI524295 VHT524293:VIE524295 VRP524293:VSA524295 WBL524293:WBW524295 WLH524293:WLS524295 WVD524293:WVO524295 IR589829:JC589831 SN589829:SY589831 ACJ589829:ACU589831 AMF589829:AMQ589831 AWB589829:AWM589831 BFX589829:BGI589831 BPT589829:BQE589831 BZP589829:CAA589831 CJL589829:CJW589831 CTH589829:CTS589831 DDD589829:DDO589831 DMZ589829:DNK589831 DWV589829:DXG589831 EGR589829:EHC589831 EQN589829:EQY589831 FAJ589829:FAU589831 FKF589829:FKQ589831 FUB589829:FUM589831 GDX589829:GEI589831 GNT589829:GOE589831 GXP589829:GYA589831 HHL589829:HHW589831 HRH589829:HRS589831 IBD589829:IBO589831 IKZ589829:ILK589831 IUV589829:IVG589831 JER589829:JFC589831 JON589829:JOY589831 JYJ589829:JYU589831 KIF589829:KIQ589831 KSB589829:KSM589831 LBX589829:LCI589831 LLT589829:LME589831 LVP589829:LWA589831 MFL589829:MFW589831 MPH589829:MPS589831 MZD589829:MZO589831 NIZ589829:NJK589831 NSV589829:NTG589831 OCR589829:ODC589831 OMN589829:OMY589831 OWJ589829:OWU589831 PGF589829:PGQ589831 PQB589829:PQM589831 PZX589829:QAI589831 QJT589829:QKE589831 QTP589829:QUA589831 RDL589829:RDW589831 RNH589829:RNS589831 RXD589829:RXO589831 SGZ589829:SHK589831 SQV589829:SRG589831 TAR589829:TBC589831 TKN589829:TKY589831 TUJ589829:TUU589831 UEF589829:UEQ589831 UOB589829:UOM589831 UXX589829:UYI589831 VHT589829:VIE589831 VRP589829:VSA589831 WBL589829:WBW589831 WLH589829:WLS589831 WVD589829:WVO589831 IR655365:JC655367 SN655365:SY655367 ACJ655365:ACU655367 AMF655365:AMQ655367 AWB655365:AWM655367 BFX655365:BGI655367 BPT655365:BQE655367 BZP655365:CAA655367 CJL655365:CJW655367 CTH655365:CTS655367 DDD655365:DDO655367 DMZ655365:DNK655367 DWV655365:DXG655367 EGR655365:EHC655367 EQN655365:EQY655367 FAJ655365:FAU655367 FKF655365:FKQ655367 FUB655365:FUM655367 GDX655365:GEI655367 GNT655365:GOE655367 GXP655365:GYA655367 HHL655365:HHW655367 HRH655365:HRS655367 IBD655365:IBO655367 IKZ655365:ILK655367 IUV655365:IVG655367 JER655365:JFC655367 JON655365:JOY655367 JYJ655365:JYU655367 KIF655365:KIQ655367 KSB655365:KSM655367 LBX655365:LCI655367 LLT655365:LME655367 LVP655365:LWA655367 MFL655365:MFW655367 MPH655365:MPS655367 MZD655365:MZO655367 NIZ655365:NJK655367 NSV655365:NTG655367 OCR655365:ODC655367 OMN655365:OMY655367 OWJ655365:OWU655367 PGF655365:PGQ655367 PQB655365:PQM655367 PZX655365:QAI655367 QJT655365:QKE655367 QTP655365:QUA655367 RDL655365:RDW655367 RNH655365:RNS655367 RXD655365:RXO655367 SGZ655365:SHK655367 SQV655365:SRG655367 TAR655365:TBC655367 TKN655365:TKY655367 TUJ655365:TUU655367 UEF655365:UEQ655367 UOB655365:UOM655367 UXX655365:UYI655367 VHT655365:VIE655367 VRP655365:VSA655367 WBL655365:WBW655367 WLH655365:WLS655367 WVD655365:WVO655367 IR720901:JC720903 SN720901:SY720903 ACJ720901:ACU720903 AMF720901:AMQ720903 AWB720901:AWM720903 BFX720901:BGI720903 BPT720901:BQE720903 BZP720901:CAA720903 CJL720901:CJW720903 CTH720901:CTS720903 DDD720901:DDO720903 DMZ720901:DNK720903 DWV720901:DXG720903 EGR720901:EHC720903 EQN720901:EQY720903 FAJ720901:FAU720903 FKF720901:FKQ720903 FUB720901:FUM720903 GDX720901:GEI720903 GNT720901:GOE720903 GXP720901:GYA720903 HHL720901:HHW720903 HRH720901:HRS720903 IBD720901:IBO720903 IKZ720901:ILK720903 IUV720901:IVG720903 JER720901:JFC720903 JON720901:JOY720903 JYJ720901:JYU720903 KIF720901:KIQ720903 KSB720901:KSM720903 LBX720901:LCI720903 LLT720901:LME720903 LVP720901:LWA720903 MFL720901:MFW720903 MPH720901:MPS720903 MZD720901:MZO720903 NIZ720901:NJK720903 NSV720901:NTG720903 OCR720901:ODC720903 OMN720901:OMY720903 OWJ720901:OWU720903 PGF720901:PGQ720903 PQB720901:PQM720903 PZX720901:QAI720903 QJT720901:QKE720903 QTP720901:QUA720903 RDL720901:RDW720903 RNH720901:RNS720903 RXD720901:RXO720903 SGZ720901:SHK720903 SQV720901:SRG720903 TAR720901:TBC720903 TKN720901:TKY720903 TUJ720901:TUU720903 UEF720901:UEQ720903 UOB720901:UOM720903 UXX720901:UYI720903 VHT720901:VIE720903 VRP720901:VSA720903 WBL720901:WBW720903 WLH720901:WLS720903 WVD720901:WVO720903 IR786437:JC786439 SN786437:SY786439 ACJ786437:ACU786439 AMF786437:AMQ786439 AWB786437:AWM786439 BFX786437:BGI786439 BPT786437:BQE786439 BZP786437:CAA786439 CJL786437:CJW786439 CTH786437:CTS786439 DDD786437:DDO786439 DMZ786437:DNK786439 DWV786437:DXG786439 EGR786437:EHC786439 EQN786437:EQY786439 FAJ786437:FAU786439 FKF786437:FKQ786439 FUB786437:FUM786439 GDX786437:GEI786439 GNT786437:GOE786439 GXP786437:GYA786439 HHL786437:HHW786439 HRH786437:HRS786439 IBD786437:IBO786439 IKZ786437:ILK786439 IUV786437:IVG786439 JER786437:JFC786439 JON786437:JOY786439 JYJ786437:JYU786439 KIF786437:KIQ786439 KSB786437:KSM786439 LBX786437:LCI786439 LLT786437:LME786439 LVP786437:LWA786439 MFL786437:MFW786439 MPH786437:MPS786439 MZD786437:MZO786439 NIZ786437:NJK786439 NSV786437:NTG786439 OCR786437:ODC786439 OMN786437:OMY786439 OWJ786437:OWU786439 PGF786437:PGQ786439 PQB786437:PQM786439 PZX786437:QAI786439 QJT786437:QKE786439 QTP786437:QUA786439 RDL786437:RDW786439 RNH786437:RNS786439 RXD786437:RXO786439 SGZ786437:SHK786439 SQV786437:SRG786439 TAR786437:TBC786439 TKN786437:TKY786439 TUJ786437:TUU786439 UEF786437:UEQ786439 UOB786437:UOM786439 UXX786437:UYI786439 VHT786437:VIE786439 VRP786437:VSA786439 WBL786437:WBW786439 WLH786437:WLS786439 WVD786437:WVO786439 IR851973:JC851975 SN851973:SY851975 ACJ851973:ACU851975 AMF851973:AMQ851975 AWB851973:AWM851975 BFX851973:BGI851975 BPT851973:BQE851975 BZP851973:CAA851975 CJL851973:CJW851975 CTH851973:CTS851975 DDD851973:DDO851975 DMZ851973:DNK851975 DWV851973:DXG851975 EGR851973:EHC851975 EQN851973:EQY851975 FAJ851973:FAU851975 FKF851973:FKQ851975 FUB851973:FUM851975 GDX851973:GEI851975 GNT851973:GOE851975 GXP851973:GYA851975 HHL851973:HHW851975 HRH851973:HRS851975 IBD851973:IBO851975 IKZ851973:ILK851975 IUV851973:IVG851975 JER851973:JFC851975 JON851973:JOY851975 JYJ851973:JYU851975 KIF851973:KIQ851975 KSB851973:KSM851975 LBX851973:LCI851975 LLT851973:LME851975 LVP851973:LWA851975 MFL851973:MFW851975 MPH851973:MPS851975 MZD851973:MZO851975 NIZ851973:NJK851975 NSV851973:NTG851975 OCR851973:ODC851975 OMN851973:OMY851975 OWJ851973:OWU851975 PGF851973:PGQ851975 PQB851973:PQM851975 PZX851973:QAI851975 QJT851973:QKE851975 QTP851973:QUA851975 RDL851973:RDW851975 RNH851973:RNS851975 RXD851973:RXO851975 SGZ851973:SHK851975 SQV851973:SRG851975 TAR851973:TBC851975 TKN851973:TKY851975 TUJ851973:TUU851975 UEF851973:UEQ851975 UOB851973:UOM851975 UXX851973:UYI851975 VHT851973:VIE851975 VRP851973:VSA851975 WBL851973:WBW851975 WLH851973:WLS851975 WVD851973:WVO851975 IR917509:JC917511 SN917509:SY917511 ACJ917509:ACU917511 AMF917509:AMQ917511 AWB917509:AWM917511 BFX917509:BGI917511 BPT917509:BQE917511 BZP917509:CAA917511 CJL917509:CJW917511 CTH917509:CTS917511 DDD917509:DDO917511 DMZ917509:DNK917511 DWV917509:DXG917511 EGR917509:EHC917511 EQN917509:EQY917511 FAJ917509:FAU917511 FKF917509:FKQ917511 FUB917509:FUM917511 GDX917509:GEI917511 GNT917509:GOE917511 GXP917509:GYA917511 HHL917509:HHW917511 HRH917509:HRS917511 IBD917509:IBO917511 IKZ917509:ILK917511 IUV917509:IVG917511 JER917509:JFC917511 JON917509:JOY917511 JYJ917509:JYU917511 KIF917509:KIQ917511 KSB917509:KSM917511 LBX917509:LCI917511 LLT917509:LME917511 LVP917509:LWA917511 MFL917509:MFW917511 MPH917509:MPS917511 MZD917509:MZO917511 NIZ917509:NJK917511 NSV917509:NTG917511 OCR917509:ODC917511 OMN917509:OMY917511 OWJ917509:OWU917511 PGF917509:PGQ917511 PQB917509:PQM917511 PZX917509:QAI917511 QJT917509:QKE917511 QTP917509:QUA917511 RDL917509:RDW917511 RNH917509:RNS917511 RXD917509:RXO917511 SGZ917509:SHK917511 SQV917509:SRG917511 TAR917509:TBC917511 TKN917509:TKY917511 TUJ917509:TUU917511 UEF917509:UEQ917511 UOB917509:UOM917511 UXX917509:UYI917511 VHT917509:VIE917511 VRP917509:VSA917511 WBL917509:WBW917511 WLH917509:WLS917511 WVD917509:WVO917511 IR983045:JC983047 SN983045:SY983047 ACJ983045:ACU983047 AMF983045:AMQ983047 AWB983045:AWM983047 BFX983045:BGI983047 BPT983045:BQE983047 BZP983045:CAA983047 CJL983045:CJW983047 CTH983045:CTS983047 DDD983045:DDO983047 DMZ983045:DNK983047 DWV983045:DXG983047 EGR983045:EHC983047 EQN983045:EQY983047 FAJ983045:FAU983047 FKF983045:FKQ983047 FUB983045:FUM983047 GDX983045:GEI983047 GNT983045:GOE983047 GXP983045:GYA983047 HHL983045:HHW983047 HRH983045:HRS983047 IBD983045:IBO983047 IKZ983045:ILK983047 IUV983045:IVG983047 JER983045:JFC983047 JON983045:JOY983047 JYJ983045:JYU983047 KIF983045:KIQ983047 KSB983045:KSM983047 LBX983045:LCI983047 LLT983045:LME983047 LVP983045:LWA983047 MFL983045:MFW983047 MPH983045:MPS983047 MZD983045:MZO983047 NIZ983045:NJK983047 NSV983045:NTG983047 OCR983045:ODC983047 OMN983045:OMY983047 OWJ983045:OWU983047 PGF983045:PGQ983047 PQB983045:PQM983047 PZX983045:QAI983047 QJT983045:QKE983047 QTP983045:QUA983047 RDL983045:RDW983047 RNH983045:RNS983047 RXD983045:RXO983047 SGZ983045:SHK983047 SQV983045:SRG983047 TAR983045:TBC983047 TKN983045:TKY983047 TUJ983045:TUU983047 UEF983045:UEQ983047 UOB983045:UOM983047 UXX983045:UYI983047 VHT983045:VIE983047 VRP983045:VSA983047 WBL983045:WBW983047 WLH983045:WLS983047 WVD983045:WVO983047 Z262149:AJ262151 Z196613:AJ196615 Z131077:AJ131079 Z65541:AJ65543 Z983045:AJ983047 Z917509:AJ917511 Z851973:AJ851975 Z786437:AJ786439 Z720901:AJ720903 Z655365:AJ655367 Z589829:AJ589831 Z524293:AJ524295 Z458757:AJ458759 Z393221:AJ393223 Z327685:AJ327687 IS2:JD4 SO2:SZ4 ACK2:ACV4 AMG2:AMR4 AWC2:AWN4 BFY2:BGJ4 BPU2:BQF4 BZQ2:CAB4 CJM2:CJX4 CTI2:CTT4 DDE2:DDP4 DNA2:DNL4 DWW2:DXH4 EGS2:EHD4 EQO2:EQZ4 FAK2:FAV4 FKG2:FKR4 FUC2:FUN4 GDY2:GEJ4 GNU2:GOF4 GXQ2:GYB4 HHM2:HHX4 HRI2:HRT4 IBE2:IBP4 ILA2:ILL4 IUW2:IVH4 JES2:JFD4 JOO2:JOZ4 JYK2:JYV4 KIG2:KIR4 KSC2:KSN4 LBY2:LCJ4 LLU2:LMF4 LVQ2:LWB4 MFM2:MFX4 MPI2:MPT4 MZE2:MZP4 NJA2:NJL4 NSW2:NTH4 OCS2:ODD4 OMO2:OMZ4 OWK2:OWV4 PGG2:PGR4 PQC2:PQN4 PZY2:QAJ4 QJU2:QKF4 QTQ2:QUB4 RDM2:RDX4 RNI2:RNT4 RXE2:RXP4 SHA2:SHL4 SQW2:SRH4 TAS2:TBD4 TKO2:TKZ4 TUK2:TUV4 UEG2:UER4 UOC2:UON4 UXY2:UYJ4 VHU2:VIF4 VRQ2:VSB4 WBM2:WBX4 WLI2:WLT4 WVE2:WVP4 R2"/>
    <dataValidation type="list" allowBlank="1" showInputMessage="1" showErrorMessage="1" sqref="Y8:Z47">
      <formula1>"文字,数値,日付,時間"</formula1>
    </dataValidation>
    <dataValidation type="list" allowBlank="1" showInputMessage="1" showErrorMessage="1" sqref="AA8:AC47">
      <formula1>"int,numeric,varchar,date,datetime2(0),datetime2,varbinary(max)"</formula1>
    </dataValidation>
  </dataValidations>
  <pageMargins left="0.39370078740157483" right="0.39370078740157483" top="0.59055118110236227" bottom="0.39370078740157483" header="0.39370078740157483" footer="0.19685039370078741"/>
  <pageSetup paperSize="9" scale="80" fitToHeight="0" orientation="landscape" useFirstPageNumber="1" verticalDpi="300" r:id="rId1"/>
  <headerFooter alignWithMargins="0">
    <oddFooter>&amp;R&amp;A - &amp;P</oddFooter>
  </headerFooter>
  <legacyDrawing r:id="rId2"/>
</worksheet>
</file>

<file path=xl/worksheets/sheet1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30">
    <tabColor rgb="FFFFC000"/>
  </sheetPr>
  <dimension ref="A1:BE48"/>
  <sheetViews>
    <sheetView showGridLines="0" zoomScaleNormal="100" zoomScaleSheetLayoutView="100" workbookViewId="0">
      <pane ySplit="7" topLeftCell="A8" activePane="bottomLeft" state="frozen"/>
      <selection sqref="A1:K4"/>
      <selection pane="bottomLeft" sqref="A1:H4"/>
    </sheetView>
  </sheetViews>
  <sheetFormatPr defaultColWidth="2.6328125" defaultRowHeight="14.4" customHeight="1"/>
  <cols>
    <col min="1" max="1" width="4.6328125" style="18" customWidth="1"/>
    <col min="2" max="26" width="2.6328125" style="18"/>
    <col min="27" max="27" width="2.6328125" style="18" customWidth="1"/>
    <col min="28" max="29" width="2.6328125" style="18"/>
    <col min="30" max="30" width="4.6328125" style="18" customWidth="1"/>
    <col min="31" max="31" width="2.6328125" style="18" customWidth="1"/>
    <col min="32" max="33" width="2.6328125" style="18"/>
    <col min="34" max="34" width="6.6328125" style="18" customWidth="1"/>
    <col min="35" max="41" width="2.6328125" style="18"/>
    <col min="42" max="56" width="2.6328125" style="46"/>
    <col min="57" max="16384" width="2.6328125" style="18"/>
  </cols>
  <sheetData>
    <row r="1" spans="1:57" s="17" customFormat="1" ht="14.4" customHeight="1">
      <c r="A1" s="417" t="s">
        <v>78</v>
      </c>
      <c r="B1" s="418"/>
      <c r="C1" s="418"/>
      <c r="D1" s="418"/>
      <c r="E1" s="418"/>
      <c r="F1" s="418"/>
      <c r="G1" s="418"/>
      <c r="H1" s="419"/>
      <c r="I1" s="354" t="s">
        <v>79</v>
      </c>
      <c r="J1" s="355"/>
      <c r="K1" s="355"/>
      <c r="L1" s="355"/>
      <c r="M1" s="355"/>
      <c r="N1" s="355"/>
      <c r="O1" s="355"/>
      <c r="P1" s="355"/>
      <c r="Q1" s="356"/>
      <c r="R1" s="354" t="s">
        <v>80</v>
      </c>
      <c r="S1" s="355"/>
      <c r="T1" s="355"/>
      <c r="U1" s="355"/>
      <c r="V1" s="355"/>
      <c r="W1" s="355"/>
      <c r="X1" s="356"/>
      <c r="Y1" s="354" t="s">
        <v>135</v>
      </c>
      <c r="Z1" s="355"/>
      <c r="AA1" s="355"/>
      <c r="AB1" s="355"/>
      <c r="AC1" s="355"/>
      <c r="AD1" s="355"/>
      <c r="AE1" s="355"/>
      <c r="AF1" s="355"/>
      <c r="AG1" s="355"/>
      <c r="AH1" s="355"/>
      <c r="AI1" s="355"/>
      <c r="AJ1" s="355"/>
      <c r="AK1" s="355"/>
      <c r="AL1" s="355"/>
      <c r="AM1" s="355"/>
      <c r="AN1" s="355"/>
      <c r="AO1" s="356"/>
      <c r="AP1" s="428" t="s">
        <v>82</v>
      </c>
      <c r="AQ1" s="429"/>
      <c r="AR1" s="429"/>
      <c r="AS1" s="429"/>
      <c r="AT1" s="430"/>
      <c r="AU1" s="428" t="s">
        <v>83</v>
      </c>
      <c r="AV1" s="429"/>
      <c r="AW1" s="429"/>
      <c r="AX1" s="429"/>
      <c r="AY1" s="430"/>
      <c r="AZ1" s="428" t="s">
        <v>84</v>
      </c>
      <c r="BA1" s="429"/>
      <c r="BB1" s="429"/>
      <c r="BC1" s="429"/>
      <c r="BD1" s="430"/>
    </row>
    <row r="2" spans="1:57" s="17" customFormat="1" ht="14.4" customHeight="1">
      <c r="A2" s="420"/>
      <c r="B2" s="421"/>
      <c r="C2" s="421"/>
      <c r="D2" s="421"/>
      <c r="E2" s="421"/>
      <c r="F2" s="421"/>
      <c r="G2" s="421"/>
      <c r="H2" s="422"/>
      <c r="I2" s="384" t="s">
        <v>85</v>
      </c>
      <c r="J2" s="385"/>
      <c r="K2" s="385"/>
      <c r="L2" s="385"/>
      <c r="M2" s="385"/>
      <c r="N2" s="385"/>
      <c r="O2" s="385"/>
      <c r="P2" s="385"/>
      <c r="Q2" s="386"/>
      <c r="R2" s="384" t="str">
        <f ca="1">VLOOKUP(RIGHT(CELL("filename",A2),LEN(CELL("filename",A2))-FIND("]",CELL("filename",A2))),テーブル一覧!B:AD,22,FALSE)</f>
        <v>B.生産計画</v>
      </c>
      <c r="S2" s="385"/>
      <c r="T2" s="385"/>
      <c r="U2" s="385"/>
      <c r="V2" s="385"/>
      <c r="W2" s="385"/>
      <c r="X2" s="386"/>
      <c r="Y2" s="384" t="str">
        <f ca="1">VLOOKUP(RIGHT(CELL("filename",A2),LEN(CELL("filename",A2))-FIND("]",CELL("filename",A2))),テーブル一覧!B:AD,1,FALSE)</f>
        <v>生産指示明細情報（薬品）</v>
      </c>
      <c r="Z2" s="385"/>
      <c r="AA2" s="385"/>
      <c r="AB2" s="385"/>
      <c r="AC2" s="385"/>
      <c r="AD2" s="385"/>
      <c r="AE2" s="385"/>
      <c r="AF2" s="385"/>
      <c r="AG2" s="385"/>
      <c r="AH2" s="385"/>
      <c r="AI2" s="385"/>
      <c r="AJ2" s="385"/>
      <c r="AK2" s="385"/>
      <c r="AL2" s="385"/>
      <c r="AM2" s="385"/>
      <c r="AN2" s="385"/>
      <c r="AO2" s="386"/>
      <c r="AP2" s="357"/>
      <c r="AQ2" s="358"/>
      <c r="AR2" s="358"/>
      <c r="AS2" s="358"/>
      <c r="AT2" s="359"/>
      <c r="AU2" s="58" t="s">
        <v>88</v>
      </c>
      <c r="AV2" s="59"/>
      <c r="AW2" s="59"/>
      <c r="AX2" s="59"/>
      <c r="AY2" s="60"/>
      <c r="AZ2" s="434" t="s">
        <v>89</v>
      </c>
      <c r="BA2" s="435"/>
      <c r="BB2" s="435"/>
      <c r="BC2" s="435"/>
      <c r="BD2" s="436"/>
    </row>
    <row r="3" spans="1:57" s="17" customFormat="1" ht="14.4" customHeight="1">
      <c r="A3" s="420"/>
      <c r="B3" s="421"/>
      <c r="C3" s="421"/>
      <c r="D3" s="421"/>
      <c r="E3" s="421"/>
      <c r="F3" s="421"/>
      <c r="G3" s="421"/>
      <c r="H3" s="422"/>
      <c r="I3" s="387"/>
      <c r="J3" s="388"/>
      <c r="K3" s="388"/>
      <c r="L3" s="388"/>
      <c r="M3" s="388"/>
      <c r="N3" s="388"/>
      <c r="O3" s="388"/>
      <c r="P3" s="388"/>
      <c r="Q3" s="389"/>
      <c r="R3" s="387"/>
      <c r="S3" s="388"/>
      <c r="T3" s="388"/>
      <c r="U3" s="388"/>
      <c r="V3" s="388"/>
      <c r="W3" s="388"/>
      <c r="X3" s="389"/>
      <c r="Y3" s="390"/>
      <c r="Z3" s="391"/>
      <c r="AA3" s="391"/>
      <c r="AB3" s="391"/>
      <c r="AC3" s="391"/>
      <c r="AD3" s="391"/>
      <c r="AE3" s="391"/>
      <c r="AF3" s="391"/>
      <c r="AG3" s="391"/>
      <c r="AH3" s="391"/>
      <c r="AI3" s="391"/>
      <c r="AJ3" s="391"/>
      <c r="AK3" s="391"/>
      <c r="AL3" s="391"/>
      <c r="AM3" s="391"/>
      <c r="AN3" s="391"/>
      <c r="AO3" s="392"/>
      <c r="AP3" s="360"/>
      <c r="AQ3" s="361"/>
      <c r="AR3" s="361"/>
      <c r="AS3" s="361"/>
      <c r="AT3" s="362"/>
      <c r="AU3" s="431"/>
      <c r="AV3" s="432"/>
      <c r="AW3" s="432"/>
      <c r="AX3" s="432"/>
      <c r="AY3" s="433"/>
      <c r="AZ3" s="434"/>
      <c r="BA3" s="435"/>
      <c r="BB3" s="435"/>
      <c r="BC3" s="435"/>
      <c r="BD3" s="436"/>
    </row>
    <row r="4" spans="1:57" s="17" customFormat="1" ht="14.4" customHeight="1">
      <c r="A4" s="423"/>
      <c r="B4" s="424"/>
      <c r="C4" s="424"/>
      <c r="D4" s="424"/>
      <c r="E4" s="424"/>
      <c r="F4" s="424"/>
      <c r="G4" s="424"/>
      <c r="H4" s="425"/>
      <c r="I4" s="390"/>
      <c r="J4" s="391"/>
      <c r="K4" s="391"/>
      <c r="L4" s="391"/>
      <c r="M4" s="391"/>
      <c r="N4" s="391"/>
      <c r="O4" s="391"/>
      <c r="P4" s="391"/>
      <c r="Q4" s="392"/>
      <c r="R4" s="390"/>
      <c r="S4" s="391"/>
      <c r="T4" s="391"/>
      <c r="U4" s="391"/>
      <c r="V4" s="391"/>
      <c r="W4" s="391"/>
      <c r="X4" s="392"/>
      <c r="Y4" s="437" t="str">
        <f ca="1">IF(VLOOKUP(RIGHT(CELL("filename",A2),LEN(CELL("filename",A2))-FIND("]",CELL("filename",A2))),テーブル一覧!B:AD,11,FALSE)=0,"",VLOOKUP(RIGHT(CELL("filename",A2),LEN(CELL("filename",A2))-FIND("]",CELL("filename",A2))),テーブル一覧!B:AD,11,FALSE))</f>
        <v>t_seisan_shiji_yakuhin_m</v>
      </c>
      <c r="Z4" s="438"/>
      <c r="AA4" s="438"/>
      <c r="AB4" s="438"/>
      <c r="AC4" s="438"/>
      <c r="AD4" s="438"/>
      <c r="AE4" s="438"/>
      <c r="AF4" s="438"/>
      <c r="AG4" s="438"/>
      <c r="AH4" s="438"/>
      <c r="AI4" s="438"/>
      <c r="AJ4" s="438"/>
      <c r="AK4" s="438"/>
      <c r="AL4" s="438"/>
      <c r="AM4" s="438"/>
      <c r="AN4" s="438"/>
      <c r="AO4" s="439"/>
      <c r="AP4" s="360"/>
      <c r="AQ4" s="361"/>
      <c r="AR4" s="361"/>
      <c r="AS4" s="361"/>
      <c r="AT4" s="362"/>
      <c r="AU4" s="431"/>
      <c r="AV4" s="432"/>
      <c r="AW4" s="432"/>
      <c r="AX4" s="432"/>
      <c r="AY4" s="433"/>
      <c r="AZ4" s="434"/>
      <c r="BA4" s="435"/>
      <c r="BB4" s="435"/>
      <c r="BC4" s="435"/>
      <c r="BD4" s="436"/>
    </row>
    <row r="5" spans="1:57" ht="14.4" customHeight="1">
      <c r="A5" s="123"/>
    </row>
    <row r="6" spans="1:57" ht="14.4" customHeight="1">
      <c r="A6" s="426" t="s">
        <v>90</v>
      </c>
      <c r="B6" s="407" t="s">
        <v>136</v>
      </c>
      <c r="C6" s="415"/>
      <c r="D6" s="415"/>
      <c r="E6" s="415"/>
      <c r="F6" s="415"/>
      <c r="G6" s="415"/>
      <c r="H6" s="408"/>
      <c r="I6" s="407" t="s">
        <v>137</v>
      </c>
      <c r="J6" s="415"/>
      <c r="K6" s="415"/>
      <c r="L6" s="415"/>
      <c r="M6" s="415"/>
      <c r="N6" s="415"/>
      <c r="O6" s="415"/>
      <c r="P6" s="415"/>
      <c r="Q6" s="408"/>
      <c r="R6" s="407" t="s">
        <v>138</v>
      </c>
      <c r="S6" s="415"/>
      <c r="T6" s="415"/>
      <c r="U6" s="415"/>
      <c r="V6" s="415"/>
      <c r="W6" s="415"/>
      <c r="X6" s="408"/>
      <c r="Y6" s="407" t="s">
        <v>139</v>
      </c>
      <c r="Z6" s="408"/>
      <c r="AA6" s="407" t="s">
        <v>140</v>
      </c>
      <c r="AB6" s="415"/>
      <c r="AC6" s="408"/>
      <c r="AD6" s="411" t="s">
        <v>141</v>
      </c>
      <c r="AE6" s="413" t="s">
        <v>142</v>
      </c>
      <c r="AF6" s="411" t="s">
        <v>143</v>
      </c>
      <c r="AG6" s="411" t="s">
        <v>144</v>
      </c>
      <c r="AH6" s="411" t="s">
        <v>145</v>
      </c>
      <c r="AI6" s="404" t="s">
        <v>146</v>
      </c>
      <c r="AJ6" s="405"/>
      <c r="AK6" s="405"/>
      <c r="AL6" s="405"/>
      <c r="AM6" s="405"/>
      <c r="AN6" s="405"/>
      <c r="AO6" s="405"/>
      <c r="AP6" s="405"/>
      <c r="AQ6" s="405"/>
      <c r="AR6" s="406"/>
      <c r="AS6" s="407" t="s">
        <v>147</v>
      </c>
      <c r="AT6" s="415"/>
      <c r="AU6" s="415"/>
      <c r="AV6" s="415"/>
      <c r="AW6" s="415"/>
      <c r="AX6" s="415"/>
      <c r="AY6" s="415"/>
      <c r="AZ6" s="415"/>
      <c r="BA6" s="415"/>
      <c r="BB6" s="415"/>
      <c r="BC6" s="415"/>
      <c r="BD6" s="408"/>
    </row>
    <row r="7" spans="1:57" ht="14.4" customHeight="1">
      <c r="A7" s="427"/>
      <c r="B7" s="409"/>
      <c r="C7" s="416"/>
      <c r="D7" s="416"/>
      <c r="E7" s="416"/>
      <c r="F7" s="416"/>
      <c r="G7" s="416"/>
      <c r="H7" s="410"/>
      <c r="I7" s="409"/>
      <c r="J7" s="416"/>
      <c r="K7" s="416"/>
      <c r="L7" s="416"/>
      <c r="M7" s="416"/>
      <c r="N7" s="416"/>
      <c r="O7" s="416"/>
      <c r="P7" s="416"/>
      <c r="Q7" s="410"/>
      <c r="R7" s="409"/>
      <c r="S7" s="416"/>
      <c r="T7" s="416"/>
      <c r="U7" s="416"/>
      <c r="V7" s="416"/>
      <c r="W7" s="416"/>
      <c r="X7" s="410"/>
      <c r="Y7" s="409"/>
      <c r="Z7" s="410"/>
      <c r="AA7" s="409"/>
      <c r="AB7" s="416"/>
      <c r="AC7" s="410"/>
      <c r="AD7" s="412"/>
      <c r="AE7" s="414"/>
      <c r="AF7" s="412"/>
      <c r="AG7" s="412"/>
      <c r="AH7" s="412"/>
      <c r="AI7" s="52">
        <v>1</v>
      </c>
      <c r="AJ7" s="52">
        <v>2</v>
      </c>
      <c r="AK7" s="52">
        <v>3</v>
      </c>
      <c r="AL7" s="52">
        <v>4</v>
      </c>
      <c r="AM7" s="52">
        <v>5</v>
      </c>
      <c r="AN7" s="52">
        <v>6</v>
      </c>
      <c r="AO7" s="52">
        <v>7</v>
      </c>
      <c r="AP7" s="52">
        <v>8</v>
      </c>
      <c r="AQ7" s="52">
        <v>9</v>
      </c>
      <c r="AR7" s="52">
        <v>10</v>
      </c>
      <c r="AS7" s="409"/>
      <c r="AT7" s="416"/>
      <c r="AU7" s="416"/>
      <c r="AV7" s="416"/>
      <c r="AW7" s="416"/>
      <c r="AX7" s="416"/>
      <c r="AY7" s="416"/>
      <c r="AZ7" s="416"/>
      <c r="BA7" s="416"/>
      <c r="BB7" s="416"/>
      <c r="BC7" s="416"/>
      <c r="BD7" s="410"/>
    </row>
    <row r="8" spans="1:57" ht="14.4" customHeight="1">
      <c r="A8" s="50">
        <f>IF(B8="","",COUNTA($B$8:B8))</f>
        <v>1</v>
      </c>
      <c r="B8" s="222" t="s">
        <v>148</v>
      </c>
      <c r="C8" s="223"/>
      <c r="D8" s="223"/>
      <c r="E8" s="223"/>
      <c r="F8" s="223"/>
      <c r="G8" s="223"/>
      <c r="H8" s="270"/>
      <c r="I8" s="225" t="s">
        <v>149</v>
      </c>
      <c r="J8" s="226"/>
      <c r="K8" s="226"/>
      <c r="L8" s="226"/>
      <c r="M8" s="226"/>
      <c r="N8" s="226"/>
      <c r="O8" s="226"/>
      <c r="P8" s="226"/>
      <c r="Q8" s="227"/>
      <c r="R8" s="222" t="s">
        <v>148</v>
      </c>
      <c r="S8" s="226"/>
      <c r="T8" s="226"/>
      <c r="U8" s="226"/>
      <c r="V8" s="226"/>
      <c r="W8" s="226"/>
      <c r="X8" s="224"/>
      <c r="Y8" s="481" t="s">
        <v>150</v>
      </c>
      <c r="Z8" s="482"/>
      <c r="AA8" s="483" t="s">
        <v>151</v>
      </c>
      <c r="AB8" s="484"/>
      <c r="AC8" s="485"/>
      <c r="AD8" s="228">
        <v>15</v>
      </c>
      <c r="AE8" s="261"/>
      <c r="AF8" s="261">
        <v>1</v>
      </c>
      <c r="AG8" s="262" t="s">
        <v>152</v>
      </c>
      <c r="AH8" s="262"/>
      <c r="AI8" s="262"/>
      <c r="AJ8" s="262"/>
      <c r="AK8" s="262"/>
      <c r="AL8" s="262"/>
      <c r="AM8" s="262"/>
      <c r="AN8" s="262"/>
      <c r="AO8" s="261"/>
      <c r="AP8" s="261"/>
      <c r="AQ8" s="261"/>
      <c r="AR8" s="261"/>
      <c r="AS8" s="282"/>
      <c r="AT8" s="283"/>
      <c r="AU8" s="283"/>
      <c r="AV8" s="283"/>
      <c r="AW8" s="283"/>
      <c r="AX8" s="283"/>
      <c r="AY8" s="283"/>
      <c r="AZ8" s="283"/>
      <c r="BA8" s="283"/>
      <c r="BB8" s="283"/>
      <c r="BC8" s="283"/>
      <c r="BD8" s="284"/>
    </row>
    <row r="9" spans="1:57" ht="14.4" customHeight="1">
      <c r="A9" s="79">
        <f>IF(B9="","",COUNTA($B$8:B9))</f>
        <v>2</v>
      </c>
      <c r="B9" s="285" t="s">
        <v>398</v>
      </c>
      <c r="C9" s="286"/>
      <c r="D9" s="286"/>
      <c r="E9" s="286"/>
      <c r="F9" s="286"/>
      <c r="G9" s="286"/>
      <c r="H9" s="270"/>
      <c r="I9" s="266" t="s">
        <v>399</v>
      </c>
      <c r="J9" s="267"/>
      <c r="K9" s="267"/>
      <c r="L9" s="267"/>
      <c r="M9" s="267"/>
      <c r="N9" s="267"/>
      <c r="O9" s="267"/>
      <c r="P9" s="267"/>
      <c r="Q9" s="268"/>
      <c r="R9" s="285" t="s">
        <v>398</v>
      </c>
      <c r="S9" s="267"/>
      <c r="T9" s="267"/>
      <c r="U9" s="267"/>
      <c r="V9" s="267"/>
      <c r="W9" s="267"/>
      <c r="X9" s="270"/>
      <c r="Y9" s="486" t="s">
        <v>150</v>
      </c>
      <c r="Z9" s="487"/>
      <c r="AA9" s="488" t="s">
        <v>151</v>
      </c>
      <c r="AB9" s="489"/>
      <c r="AC9" s="490"/>
      <c r="AD9" s="287">
        <v>30</v>
      </c>
      <c r="AE9" s="288"/>
      <c r="AF9" s="288">
        <v>2</v>
      </c>
      <c r="AG9" s="289" t="s">
        <v>152</v>
      </c>
      <c r="AH9" s="289"/>
      <c r="AI9" s="289"/>
      <c r="AJ9" s="289"/>
      <c r="AK9" s="289"/>
      <c r="AL9" s="289"/>
      <c r="AM9" s="289"/>
      <c r="AN9" s="289"/>
      <c r="AO9" s="288"/>
      <c r="AP9" s="288"/>
      <c r="AQ9" s="288"/>
      <c r="AR9" s="288"/>
      <c r="AS9" s="266" t="s">
        <v>400</v>
      </c>
      <c r="AT9" s="290"/>
      <c r="AU9" s="290"/>
      <c r="AV9" s="290"/>
      <c r="AW9" s="290"/>
      <c r="AX9" s="290"/>
      <c r="AY9" s="290"/>
      <c r="AZ9" s="290"/>
      <c r="BA9" s="290"/>
      <c r="BB9" s="290"/>
      <c r="BC9" s="290"/>
      <c r="BD9" s="291"/>
    </row>
    <row r="10" spans="1:57" ht="14.4" customHeight="1">
      <c r="A10" s="166" t="str">
        <f>IF(B10="","",COUNTA($B$8:B10))</f>
        <v/>
      </c>
      <c r="B10" s="292"/>
      <c r="C10" s="293"/>
      <c r="D10" s="293"/>
      <c r="E10" s="293"/>
      <c r="F10" s="293"/>
      <c r="G10" s="293"/>
      <c r="H10" s="294"/>
      <c r="I10" s="295"/>
      <c r="J10" s="296"/>
      <c r="K10" s="296"/>
      <c r="L10" s="296"/>
      <c r="M10" s="296"/>
      <c r="N10" s="296"/>
      <c r="O10" s="296"/>
      <c r="P10" s="296"/>
      <c r="Q10" s="297"/>
      <c r="R10" s="292"/>
      <c r="S10" s="296"/>
      <c r="T10" s="296"/>
      <c r="U10" s="296"/>
      <c r="V10" s="296"/>
      <c r="W10" s="296"/>
      <c r="X10" s="294"/>
      <c r="Y10" s="292"/>
      <c r="Z10" s="298"/>
      <c r="AA10" s="491"/>
      <c r="AB10" s="492"/>
      <c r="AC10" s="493"/>
      <c r="AD10" s="299"/>
      <c r="AE10" s="300" t="s">
        <v>244</v>
      </c>
      <c r="AF10" s="300"/>
      <c r="AG10" s="300"/>
      <c r="AH10" s="301"/>
      <c r="AI10" s="301"/>
      <c r="AJ10" s="301"/>
      <c r="AK10" s="301"/>
      <c r="AL10" s="301"/>
      <c r="AM10" s="301"/>
      <c r="AN10" s="301"/>
      <c r="AO10" s="300"/>
      <c r="AP10" s="300"/>
      <c r="AQ10" s="300"/>
      <c r="AR10" s="300"/>
      <c r="AS10" s="295" t="s">
        <v>1425</v>
      </c>
      <c r="AT10" s="302"/>
      <c r="AU10" s="302"/>
      <c r="AV10" s="302"/>
      <c r="AW10" s="302"/>
      <c r="AX10" s="302"/>
      <c r="AY10" s="302"/>
      <c r="AZ10" s="302"/>
      <c r="BA10" s="302"/>
      <c r="BB10" s="302"/>
      <c r="BC10" s="302"/>
      <c r="BD10" s="303"/>
    </row>
    <row r="11" spans="1:57" ht="14.4" customHeight="1">
      <c r="A11" s="168">
        <f>IF(B11="","",COUNTA($B$8:B11))</f>
        <v>3</v>
      </c>
      <c r="B11" s="269" t="s">
        <v>347</v>
      </c>
      <c r="C11" s="304"/>
      <c r="D11" s="304"/>
      <c r="E11" s="304"/>
      <c r="F11" s="304"/>
      <c r="G11" s="304"/>
      <c r="H11" s="305"/>
      <c r="I11" s="266" t="s">
        <v>348</v>
      </c>
      <c r="J11" s="267"/>
      <c r="K11" s="267"/>
      <c r="L11" s="267"/>
      <c r="M11" s="267"/>
      <c r="N11" s="267"/>
      <c r="O11" s="267"/>
      <c r="P11" s="267"/>
      <c r="Q11" s="268"/>
      <c r="R11" s="269" t="s">
        <v>347</v>
      </c>
      <c r="S11" s="267"/>
      <c r="T11" s="267"/>
      <c r="U11" s="267"/>
      <c r="V11" s="267"/>
      <c r="W11" s="267"/>
      <c r="X11" s="270"/>
      <c r="Y11" s="486" t="s">
        <v>155</v>
      </c>
      <c r="Z11" s="487"/>
      <c r="AA11" s="488" t="s">
        <v>156</v>
      </c>
      <c r="AB11" s="489"/>
      <c r="AC11" s="490"/>
      <c r="AD11" s="287">
        <v>3</v>
      </c>
      <c r="AE11" s="288"/>
      <c r="AF11" s="288">
        <v>3</v>
      </c>
      <c r="AG11" s="289" t="s">
        <v>152</v>
      </c>
      <c r="AH11" s="289"/>
      <c r="AI11" s="289"/>
      <c r="AJ11" s="289"/>
      <c r="AK11" s="289"/>
      <c r="AL11" s="289"/>
      <c r="AM11" s="289"/>
      <c r="AN11" s="289"/>
      <c r="AO11" s="288"/>
      <c r="AP11" s="288"/>
      <c r="AQ11" s="288"/>
      <c r="AR11" s="288"/>
      <c r="AS11" s="266" t="s">
        <v>402</v>
      </c>
      <c r="AT11" s="290"/>
      <c r="AU11" s="290"/>
      <c r="AV11" s="290"/>
      <c r="AW11" s="290"/>
      <c r="AX11" s="290"/>
      <c r="AY11" s="290"/>
      <c r="AZ11" s="290"/>
      <c r="BA11" s="290"/>
      <c r="BB11" s="290"/>
      <c r="BC11" s="290"/>
      <c r="BD11" s="291"/>
    </row>
    <row r="12" spans="1:57" ht="14.4" customHeight="1">
      <c r="A12" s="145">
        <f>IF(B12="","",COUNTA($B$8:B12))</f>
        <v>4</v>
      </c>
      <c r="B12" s="230" t="s">
        <v>197</v>
      </c>
      <c r="C12" s="231"/>
      <c r="D12" s="231"/>
      <c r="E12" s="231"/>
      <c r="F12" s="231"/>
      <c r="G12" s="231"/>
      <c r="H12" s="232"/>
      <c r="I12" s="248" t="s">
        <v>198</v>
      </c>
      <c r="J12" s="234"/>
      <c r="K12" s="234"/>
      <c r="L12" s="234"/>
      <c r="M12" s="234"/>
      <c r="N12" s="234"/>
      <c r="O12" s="234"/>
      <c r="P12" s="234"/>
      <c r="Q12" s="235"/>
      <c r="R12" s="230" t="s">
        <v>197</v>
      </c>
      <c r="S12" s="234"/>
      <c r="T12" s="234"/>
      <c r="U12" s="234"/>
      <c r="V12" s="234"/>
      <c r="W12" s="234"/>
      <c r="X12" s="232"/>
      <c r="Y12" s="399" t="s">
        <v>150</v>
      </c>
      <c r="Z12" s="400"/>
      <c r="AA12" s="401" t="s">
        <v>151</v>
      </c>
      <c r="AB12" s="402"/>
      <c r="AC12" s="403"/>
      <c r="AD12" s="249">
        <v>5</v>
      </c>
      <c r="AE12" s="237"/>
      <c r="AF12" s="237"/>
      <c r="AG12" s="237"/>
      <c r="AH12" s="238"/>
      <c r="AI12" s="238"/>
      <c r="AJ12" s="238"/>
      <c r="AK12" s="238"/>
      <c r="AL12" s="238"/>
      <c r="AM12" s="238"/>
      <c r="AN12" s="238"/>
      <c r="AO12" s="237"/>
      <c r="AP12" s="237"/>
      <c r="AQ12" s="237"/>
      <c r="AR12" s="237"/>
      <c r="AS12" s="233"/>
      <c r="AT12" s="220"/>
      <c r="AU12" s="220"/>
      <c r="AV12" s="220"/>
      <c r="AW12" s="220"/>
      <c r="AX12" s="220"/>
      <c r="AY12" s="220"/>
      <c r="AZ12" s="220"/>
      <c r="BA12" s="220"/>
      <c r="BB12" s="220"/>
      <c r="BC12" s="220"/>
      <c r="BD12" s="221"/>
    </row>
    <row r="13" spans="1:57" ht="14.4" customHeight="1">
      <c r="A13" s="50">
        <f>IF(B13="","",COUNTA($B$8:B13))</f>
        <v>5</v>
      </c>
      <c r="B13" s="241" t="s">
        <v>199</v>
      </c>
      <c r="C13" s="242"/>
      <c r="D13" s="242"/>
      <c r="E13" s="242"/>
      <c r="F13" s="242"/>
      <c r="G13" s="242"/>
      <c r="H13" s="243"/>
      <c r="I13" s="225" t="s">
        <v>200</v>
      </c>
      <c r="J13" s="226"/>
      <c r="K13" s="226"/>
      <c r="L13" s="226"/>
      <c r="M13" s="226"/>
      <c r="N13" s="226"/>
      <c r="O13" s="226"/>
      <c r="P13" s="226"/>
      <c r="Q13" s="227"/>
      <c r="R13" s="241" t="s">
        <v>199</v>
      </c>
      <c r="S13" s="226"/>
      <c r="T13" s="226"/>
      <c r="U13" s="226"/>
      <c r="V13" s="226"/>
      <c r="W13" s="226"/>
      <c r="X13" s="224"/>
      <c r="Y13" s="481" t="s">
        <v>150</v>
      </c>
      <c r="Z13" s="482"/>
      <c r="AA13" s="483" t="s">
        <v>151</v>
      </c>
      <c r="AB13" s="484"/>
      <c r="AC13" s="485"/>
      <c r="AD13" s="228">
        <v>20</v>
      </c>
      <c r="AE13" s="261"/>
      <c r="AF13" s="261"/>
      <c r="AG13" s="261"/>
      <c r="AH13" s="262"/>
      <c r="AI13" s="262"/>
      <c r="AJ13" s="262"/>
      <c r="AK13" s="262"/>
      <c r="AL13" s="262"/>
      <c r="AM13" s="262"/>
      <c r="AN13" s="262"/>
      <c r="AO13" s="261"/>
      <c r="AP13" s="261"/>
      <c r="AQ13" s="261"/>
      <c r="AR13" s="261"/>
      <c r="AS13" s="225"/>
      <c r="AT13" s="263"/>
      <c r="AU13" s="263"/>
      <c r="AV13" s="263"/>
      <c r="AW13" s="263"/>
      <c r="AX13" s="263"/>
      <c r="AY13" s="263"/>
      <c r="AZ13" s="263"/>
      <c r="BA13" s="263"/>
      <c r="BB13" s="263"/>
      <c r="BC13" s="263"/>
      <c r="BD13" s="275"/>
      <c r="BE13" s="18" t="s">
        <v>1486</v>
      </c>
    </row>
    <row r="14" spans="1:57" ht="14.4" customHeight="1">
      <c r="A14" s="50">
        <f>IF(B14="","",COUNTA($B$8:B14))</f>
        <v>6</v>
      </c>
      <c r="B14" s="241" t="s">
        <v>201</v>
      </c>
      <c r="C14" s="242"/>
      <c r="D14" s="242"/>
      <c r="E14" s="242"/>
      <c r="F14" s="242"/>
      <c r="G14" s="242"/>
      <c r="H14" s="243"/>
      <c r="I14" s="225" t="s">
        <v>202</v>
      </c>
      <c r="J14" s="226"/>
      <c r="K14" s="226"/>
      <c r="L14" s="226"/>
      <c r="M14" s="226"/>
      <c r="N14" s="226"/>
      <c r="O14" s="226"/>
      <c r="P14" s="226"/>
      <c r="Q14" s="227"/>
      <c r="R14" s="241" t="s">
        <v>201</v>
      </c>
      <c r="S14" s="226"/>
      <c r="T14" s="226"/>
      <c r="U14" s="226"/>
      <c r="V14" s="226"/>
      <c r="W14" s="226"/>
      <c r="X14" s="224"/>
      <c r="Y14" s="481" t="s">
        <v>150</v>
      </c>
      <c r="Z14" s="482"/>
      <c r="AA14" s="483" t="s">
        <v>151</v>
      </c>
      <c r="AB14" s="484"/>
      <c r="AC14" s="485"/>
      <c r="AD14" s="228">
        <v>30</v>
      </c>
      <c r="AE14" s="261"/>
      <c r="AF14" s="261"/>
      <c r="AG14" s="261"/>
      <c r="AH14" s="262"/>
      <c r="AI14" s="262"/>
      <c r="AJ14" s="262"/>
      <c r="AK14" s="262"/>
      <c r="AL14" s="262"/>
      <c r="AM14" s="262"/>
      <c r="AN14" s="262"/>
      <c r="AO14" s="261"/>
      <c r="AP14" s="261"/>
      <c r="AQ14" s="261"/>
      <c r="AR14" s="261"/>
      <c r="AS14" s="225"/>
      <c r="AT14" s="263"/>
      <c r="AU14" s="263"/>
      <c r="AV14" s="263"/>
      <c r="AW14" s="263"/>
      <c r="AX14" s="263"/>
      <c r="AY14" s="263"/>
      <c r="AZ14" s="263"/>
      <c r="BA14" s="263"/>
      <c r="BB14" s="263"/>
      <c r="BC14" s="263"/>
      <c r="BD14" s="275"/>
    </row>
    <row r="15" spans="1:57" ht="14.4" customHeight="1">
      <c r="A15" s="50">
        <f>IF(B15="","",COUNTA($B$8:B15))</f>
        <v>7</v>
      </c>
      <c r="B15" s="241" t="s">
        <v>416</v>
      </c>
      <c r="C15" s="242"/>
      <c r="D15" s="242"/>
      <c r="E15" s="242"/>
      <c r="F15" s="242"/>
      <c r="G15" s="242"/>
      <c r="H15" s="243"/>
      <c r="I15" s="225" t="s">
        <v>417</v>
      </c>
      <c r="J15" s="226"/>
      <c r="K15" s="226"/>
      <c r="L15" s="226"/>
      <c r="M15" s="226"/>
      <c r="N15" s="226"/>
      <c r="O15" s="226"/>
      <c r="P15" s="226"/>
      <c r="Q15" s="227"/>
      <c r="R15" s="241" t="s">
        <v>416</v>
      </c>
      <c r="S15" s="226"/>
      <c r="T15" s="226"/>
      <c r="U15" s="226"/>
      <c r="V15" s="226"/>
      <c r="W15" s="226"/>
      <c r="X15" s="224"/>
      <c r="Y15" s="481" t="s">
        <v>150</v>
      </c>
      <c r="Z15" s="482"/>
      <c r="AA15" s="483" t="s">
        <v>151</v>
      </c>
      <c r="AB15" s="484"/>
      <c r="AC15" s="485"/>
      <c r="AD15" s="228">
        <v>30</v>
      </c>
      <c r="AE15" s="261"/>
      <c r="AF15" s="261"/>
      <c r="AG15" s="261"/>
      <c r="AH15" s="262"/>
      <c r="AI15" s="262"/>
      <c r="AJ15" s="262"/>
      <c r="AK15" s="262"/>
      <c r="AL15" s="262"/>
      <c r="AM15" s="262"/>
      <c r="AN15" s="262"/>
      <c r="AO15" s="261"/>
      <c r="AP15" s="261"/>
      <c r="AQ15" s="261"/>
      <c r="AR15" s="261"/>
      <c r="AS15" s="225"/>
      <c r="AT15" s="263"/>
      <c r="AU15" s="263"/>
      <c r="AV15" s="263"/>
      <c r="AW15" s="263"/>
      <c r="AX15" s="263"/>
      <c r="AY15" s="263"/>
      <c r="AZ15" s="263"/>
      <c r="BA15" s="263"/>
      <c r="BB15" s="263"/>
      <c r="BC15" s="263"/>
      <c r="BD15" s="275"/>
    </row>
    <row r="16" spans="1:57" ht="14.4" customHeight="1">
      <c r="A16" s="50">
        <f>IF(B16="","",COUNTA($B$8:B16))</f>
        <v>8</v>
      </c>
      <c r="B16" s="222" t="s">
        <v>228</v>
      </c>
      <c r="C16" s="223"/>
      <c r="D16" s="223"/>
      <c r="E16" s="223"/>
      <c r="F16" s="223"/>
      <c r="G16" s="223"/>
      <c r="H16" s="243"/>
      <c r="I16" s="225" t="s">
        <v>229</v>
      </c>
      <c r="J16" s="226"/>
      <c r="K16" s="226"/>
      <c r="L16" s="226"/>
      <c r="M16" s="226"/>
      <c r="N16" s="226"/>
      <c r="O16" s="226"/>
      <c r="P16" s="226"/>
      <c r="Q16" s="227"/>
      <c r="R16" s="222" t="s">
        <v>228</v>
      </c>
      <c r="S16" s="226"/>
      <c r="T16" s="226"/>
      <c r="U16" s="226"/>
      <c r="V16" s="226"/>
      <c r="W16" s="226"/>
      <c r="X16" s="224"/>
      <c r="Y16" s="481" t="s">
        <v>150</v>
      </c>
      <c r="Z16" s="482"/>
      <c r="AA16" s="483" t="s">
        <v>151</v>
      </c>
      <c r="AB16" s="484"/>
      <c r="AC16" s="485"/>
      <c r="AD16" s="228">
        <v>1000</v>
      </c>
      <c r="AE16" s="261"/>
      <c r="AF16" s="261"/>
      <c r="AG16" s="261"/>
      <c r="AH16" s="262"/>
      <c r="AI16" s="262"/>
      <c r="AJ16" s="262"/>
      <c r="AK16" s="262"/>
      <c r="AL16" s="262"/>
      <c r="AM16" s="262"/>
      <c r="AN16" s="262"/>
      <c r="AO16" s="261"/>
      <c r="AP16" s="261"/>
      <c r="AQ16" s="261"/>
      <c r="AR16" s="261"/>
      <c r="AS16" s="225"/>
      <c r="AT16" s="263"/>
      <c r="AU16" s="263"/>
      <c r="AV16" s="263"/>
      <c r="AW16" s="263"/>
      <c r="AX16" s="263"/>
      <c r="AY16" s="263"/>
      <c r="AZ16" s="263"/>
      <c r="BA16" s="263"/>
      <c r="BB16" s="263"/>
      <c r="BC16" s="263"/>
      <c r="BD16" s="275"/>
      <c r="BE16" s="18" t="s">
        <v>1552</v>
      </c>
    </row>
    <row r="17" spans="1:56" ht="14.4" customHeight="1">
      <c r="A17" s="70">
        <f>IF(B17="","",COUNTA($B$8:B17))</f>
        <v>9</v>
      </c>
      <c r="B17" s="19" t="s">
        <v>249</v>
      </c>
      <c r="C17" s="20"/>
      <c r="D17" s="20"/>
      <c r="E17" s="20"/>
      <c r="F17" s="20"/>
      <c r="G17" s="20"/>
      <c r="H17" s="24"/>
      <c r="I17" s="31" t="s">
        <v>250</v>
      </c>
      <c r="J17" s="23"/>
      <c r="K17" s="23"/>
      <c r="L17" s="23"/>
      <c r="M17" s="23"/>
      <c r="N17" s="23"/>
      <c r="O17" s="23"/>
      <c r="P17" s="23"/>
      <c r="Q17" s="37"/>
      <c r="R17" s="19" t="s">
        <v>249</v>
      </c>
      <c r="S17" s="23"/>
      <c r="T17" s="23"/>
      <c r="U17" s="23"/>
      <c r="V17" s="23"/>
      <c r="W17" s="23"/>
      <c r="X17" s="24"/>
      <c r="Y17" s="440" t="s">
        <v>150</v>
      </c>
      <c r="Z17" s="441"/>
      <c r="AA17" s="442" t="s">
        <v>151</v>
      </c>
      <c r="AB17" s="443"/>
      <c r="AC17" s="444"/>
      <c r="AD17" s="27">
        <v>4</v>
      </c>
      <c r="AE17" s="29"/>
      <c r="AF17" s="29"/>
      <c r="AG17" s="29"/>
      <c r="AH17" s="28"/>
      <c r="AI17" s="28"/>
      <c r="AJ17" s="28"/>
      <c r="AK17" s="28"/>
      <c r="AL17" s="28"/>
      <c r="AM17" s="28"/>
      <c r="AN17" s="28"/>
      <c r="AO17" s="29"/>
      <c r="AP17" s="29"/>
      <c r="AQ17" s="29"/>
      <c r="AR17" s="29"/>
      <c r="AS17" s="31"/>
      <c r="AT17" s="67"/>
      <c r="AU17" s="67"/>
      <c r="AV17" s="67"/>
      <c r="AW17" s="67"/>
      <c r="AX17" s="67"/>
      <c r="AY17" s="67"/>
      <c r="AZ17" s="67"/>
      <c r="BA17" s="67"/>
      <c r="BB17" s="67"/>
      <c r="BC17" s="67"/>
      <c r="BD17" s="68"/>
    </row>
    <row r="18" spans="1:56" ht="14.4" customHeight="1">
      <c r="A18" s="70">
        <f>IF(B18="","",COUNTA($B$8:B18))</f>
        <v>10</v>
      </c>
      <c r="B18" s="19" t="s">
        <v>251</v>
      </c>
      <c r="C18" s="20"/>
      <c r="D18" s="20"/>
      <c r="E18" s="20"/>
      <c r="F18" s="20"/>
      <c r="G18" s="20"/>
      <c r="H18" s="24"/>
      <c r="I18" s="31" t="s">
        <v>252</v>
      </c>
      <c r="J18" s="23"/>
      <c r="K18" s="23"/>
      <c r="L18" s="23"/>
      <c r="M18" s="23"/>
      <c r="N18" s="23"/>
      <c r="O18" s="23"/>
      <c r="P18" s="23"/>
      <c r="Q18" s="37"/>
      <c r="R18" s="19" t="s">
        <v>251</v>
      </c>
      <c r="S18" s="23"/>
      <c r="T18" s="23"/>
      <c r="U18" s="23"/>
      <c r="V18" s="23"/>
      <c r="W18" s="23"/>
      <c r="X18" s="24"/>
      <c r="Y18" s="440" t="s">
        <v>150</v>
      </c>
      <c r="Z18" s="441"/>
      <c r="AA18" s="442" t="s">
        <v>151</v>
      </c>
      <c r="AB18" s="443"/>
      <c r="AC18" s="444"/>
      <c r="AD18" s="27">
        <v>4</v>
      </c>
      <c r="AE18" s="29"/>
      <c r="AF18" s="29"/>
      <c r="AG18" s="29"/>
      <c r="AH18" s="28"/>
      <c r="AI18" s="28"/>
      <c r="AJ18" s="28"/>
      <c r="AK18" s="28"/>
      <c r="AL18" s="28"/>
      <c r="AM18" s="28"/>
      <c r="AN18" s="28"/>
      <c r="AO18" s="29"/>
      <c r="AP18" s="29"/>
      <c r="AQ18" s="29"/>
      <c r="AR18" s="29"/>
      <c r="AS18" s="31"/>
      <c r="AT18" s="67"/>
      <c r="AU18" s="67"/>
      <c r="AV18" s="67"/>
      <c r="AW18" s="67"/>
      <c r="AX18" s="67"/>
      <c r="AY18" s="67"/>
      <c r="AZ18" s="67"/>
      <c r="BA18" s="67"/>
      <c r="BB18" s="67"/>
      <c r="BC18" s="67"/>
      <c r="BD18" s="68"/>
    </row>
    <row r="19" spans="1:56" ht="14.4" customHeight="1">
      <c r="A19" s="50">
        <f>IF(B19="","",COUNTA($B$8:B19))</f>
        <v>11</v>
      </c>
      <c r="B19" s="19" t="s">
        <v>253</v>
      </c>
      <c r="C19" s="20"/>
      <c r="D19" s="20"/>
      <c r="E19" s="20"/>
      <c r="F19" s="20"/>
      <c r="G19" s="20"/>
      <c r="H19" s="24"/>
      <c r="I19" s="31" t="s">
        <v>254</v>
      </c>
      <c r="J19" s="23"/>
      <c r="K19" s="23"/>
      <c r="L19" s="23"/>
      <c r="M19" s="23"/>
      <c r="N19" s="23"/>
      <c r="O19" s="23"/>
      <c r="P19" s="23"/>
      <c r="Q19" s="37"/>
      <c r="R19" s="19" t="s">
        <v>253</v>
      </c>
      <c r="S19" s="23"/>
      <c r="T19" s="38"/>
      <c r="U19" s="23"/>
      <c r="V19" s="23"/>
      <c r="W19" s="23"/>
      <c r="X19" s="24"/>
      <c r="Y19" s="440" t="s">
        <v>150</v>
      </c>
      <c r="Z19" s="441"/>
      <c r="AA19" s="442" t="s">
        <v>151</v>
      </c>
      <c r="AB19" s="443"/>
      <c r="AC19" s="444"/>
      <c r="AD19" s="27">
        <v>10</v>
      </c>
      <c r="AE19" s="29"/>
      <c r="AF19" s="29"/>
      <c r="AG19" s="29"/>
      <c r="AH19" s="28"/>
      <c r="AI19" s="28"/>
      <c r="AJ19" s="28"/>
      <c r="AK19" s="28"/>
      <c r="AL19" s="28"/>
      <c r="AM19" s="28"/>
      <c r="AN19" s="28"/>
      <c r="AO19" s="29"/>
      <c r="AP19" s="29"/>
      <c r="AQ19" s="29"/>
      <c r="AR19" s="29"/>
      <c r="AS19" s="31"/>
      <c r="AT19" s="67"/>
      <c r="AU19" s="67"/>
      <c r="AV19" s="67"/>
      <c r="AW19" s="67"/>
      <c r="AX19" s="67"/>
      <c r="AY19" s="67"/>
      <c r="AZ19" s="67"/>
      <c r="BA19" s="67"/>
      <c r="BB19" s="67"/>
      <c r="BC19" s="67"/>
      <c r="BD19" s="68"/>
    </row>
    <row r="20" spans="1:56" ht="14.4" customHeight="1">
      <c r="A20" s="50">
        <f>IF(B20="","",COUNTA($B$8:B20))</f>
        <v>12</v>
      </c>
      <c r="B20" s="19" t="s">
        <v>255</v>
      </c>
      <c r="C20" s="20"/>
      <c r="D20" s="20"/>
      <c r="E20" s="20"/>
      <c r="F20" s="20"/>
      <c r="G20" s="20"/>
      <c r="H20" s="24"/>
      <c r="I20" s="31" t="s">
        <v>256</v>
      </c>
      <c r="J20" s="23"/>
      <c r="K20" s="23"/>
      <c r="L20" s="23"/>
      <c r="M20" s="23"/>
      <c r="N20" s="23"/>
      <c r="O20" s="23"/>
      <c r="P20" s="23"/>
      <c r="Q20" s="37"/>
      <c r="R20" s="19" t="s">
        <v>255</v>
      </c>
      <c r="S20" s="23"/>
      <c r="T20" s="38"/>
      <c r="U20" s="23"/>
      <c r="V20" s="23"/>
      <c r="W20" s="23"/>
      <c r="X20" s="24"/>
      <c r="Y20" s="440" t="s">
        <v>150</v>
      </c>
      <c r="Z20" s="441"/>
      <c r="AA20" s="442" t="s">
        <v>151</v>
      </c>
      <c r="AB20" s="443"/>
      <c r="AC20" s="444"/>
      <c r="AD20" s="27">
        <v>10</v>
      </c>
      <c r="AE20" s="29"/>
      <c r="AF20" s="29"/>
      <c r="AG20" s="29"/>
      <c r="AH20" s="40"/>
      <c r="AI20" s="40"/>
      <c r="AJ20" s="28"/>
      <c r="AK20" s="28"/>
      <c r="AL20" s="28"/>
      <c r="AM20" s="28"/>
      <c r="AN20" s="28"/>
      <c r="AO20" s="29"/>
      <c r="AP20" s="29"/>
      <c r="AQ20" s="29"/>
      <c r="AR20" s="29"/>
      <c r="AS20" s="31"/>
      <c r="AT20" s="67"/>
      <c r="AU20" s="67"/>
      <c r="AV20" s="67"/>
      <c r="AW20" s="67"/>
      <c r="AX20" s="67"/>
      <c r="AY20" s="67"/>
      <c r="AZ20" s="67"/>
      <c r="BA20" s="67"/>
      <c r="BB20" s="67"/>
      <c r="BC20" s="67"/>
      <c r="BD20" s="68"/>
    </row>
    <row r="21" spans="1:56" ht="14.4" customHeight="1">
      <c r="A21" s="50">
        <f>IF(B21="","",COUNTA($B$8:B21))</f>
        <v>13</v>
      </c>
      <c r="B21" s="19" t="s">
        <v>257</v>
      </c>
      <c r="C21" s="20"/>
      <c r="D21" s="20"/>
      <c r="E21" s="20"/>
      <c r="F21" s="20"/>
      <c r="G21" s="20"/>
      <c r="H21" s="24"/>
      <c r="I21" s="31" t="s">
        <v>258</v>
      </c>
      <c r="J21" s="23"/>
      <c r="K21" s="23"/>
      <c r="L21" s="23"/>
      <c r="M21" s="23"/>
      <c r="N21" s="23"/>
      <c r="O21" s="23"/>
      <c r="P21" s="23"/>
      <c r="Q21" s="37"/>
      <c r="R21" s="19" t="s">
        <v>257</v>
      </c>
      <c r="S21" s="23"/>
      <c r="T21" s="38"/>
      <c r="U21" s="23"/>
      <c r="V21" s="23"/>
      <c r="W21" s="23"/>
      <c r="X21" s="24"/>
      <c r="Y21" s="440" t="s">
        <v>169</v>
      </c>
      <c r="Z21" s="441"/>
      <c r="AA21" s="442" t="s">
        <v>243</v>
      </c>
      <c r="AB21" s="443"/>
      <c r="AC21" s="444"/>
      <c r="AD21" s="51"/>
      <c r="AE21" s="29"/>
      <c r="AF21" s="29"/>
      <c r="AG21" s="29"/>
      <c r="AH21" s="28"/>
      <c r="AI21" s="28"/>
      <c r="AJ21" s="28"/>
      <c r="AK21" s="28"/>
      <c r="AL21" s="40"/>
      <c r="AM21" s="40"/>
      <c r="AN21" s="40"/>
      <c r="AO21" s="41"/>
      <c r="AP21" s="41"/>
      <c r="AQ21" s="41"/>
      <c r="AR21" s="41"/>
      <c r="AS21" s="42"/>
      <c r="AT21" s="43"/>
      <c r="AU21" s="67"/>
      <c r="AV21" s="67"/>
      <c r="AW21" s="67"/>
      <c r="AX21" s="67"/>
      <c r="AY21" s="67"/>
      <c r="AZ21" s="67"/>
      <c r="BA21" s="67"/>
      <c r="BB21" s="67"/>
      <c r="BC21" s="67"/>
      <c r="BD21" s="68"/>
    </row>
    <row r="22" spans="1:56" ht="14.4" customHeight="1">
      <c r="A22" s="50">
        <f>IF(B22="","",COUNTA($B$8:B22))</f>
        <v>14</v>
      </c>
      <c r="B22" s="19" t="s">
        <v>259</v>
      </c>
      <c r="C22" s="20"/>
      <c r="D22" s="20"/>
      <c r="E22" s="20"/>
      <c r="F22" s="20"/>
      <c r="G22" s="20"/>
      <c r="H22" s="24"/>
      <c r="I22" s="31" t="s">
        <v>260</v>
      </c>
      <c r="J22" s="23"/>
      <c r="K22" s="23"/>
      <c r="L22" s="23"/>
      <c r="M22" s="23"/>
      <c r="N22" s="23"/>
      <c r="O22" s="23"/>
      <c r="P22" s="23"/>
      <c r="Q22" s="37"/>
      <c r="R22" s="19" t="s">
        <v>259</v>
      </c>
      <c r="S22" s="23"/>
      <c r="T22" s="38"/>
      <c r="U22" s="23"/>
      <c r="V22" s="23"/>
      <c r="W22" s="23"/>
      <c r="X22" s="24"/>
      <c r="Y22" s="440" t="s">
        <v>150</v>
      </c>
      <c r="Z22" s="441"/>
      <c r="AA22" s="442" t="s">
        <v>151</v>
      </c>
      <c r="AB22" s="443"/>
      <c r="AC22" s="444"/>
      <c r="AD22" s="27">
        <v>10</v>
      </c>
      <c r="AE22" s="29"/>
      <c r="AF22" s="29"/>
      <c r="AG22" s="29"/>
      <c r="AH22" s="40"/>
      <c r="AI22" s="40"/>
      <c r="AJ22" s="40"/>
      <c r="AK22" s="40"/>
      <c r="AL22" s="40"/>
      <c r="AM22" s="40"/>
      <c r="AN22" s="40"/>
      <c r="AO22" s="41"/>
      <c r="AP22" s="41"/>
      <c r="AQ22" s="41"/>
      <c r="AR22" s="41"/>
      <c r="AS22" s="42"/>
      <c r="AT22" s="43"/>
      <c r="AU22" s="48"/>
      <c r="AV22" s="67"/>
      <c r="AW22" s="67"/>
      <c r="AX22" s="67"/>
      <c r="AY22" s="67"/>
      <c r="AZ22" s="67"/>
      <c r="BA22" s="67"/>
      <c r="BB22" s="67"/>
      <c r="BC22" s="67"/>
      <c r="BD22" s="68"/>
    </row>
    <row r="23" spans="1:56" ht="14.4" customHeight="1">
      <c r="A23" s="50">
        <f>IF(B23="","",COUNTA($B$8:B23))</f>
        <v>15</v>
      </c>
      <c r="B23" s="19" t="s">
        <v>261</v>
      </c>
      <c r="C23" s="20"/>
      <c r="D23" s="20"/>
      <c r="E23" s="20"/>
      <c r="F23" s="20"/>
      <c r="G23" s="20"/>
      <c r="H23" s="24"/>
      <c r="I23" s="31" t="s">
        <v>262</v>
      </c>
      <c r="J23" s="23"/>
      <c r="K23" s="23"/>
      <c r="L23" s="23"/>
      <c r="M23" s="23"/>
      <c r="N23" s="23"/>
      <c r="O23" s="23"/>
      <c r="P23" s="23"/>
      <c r="Q23" s="37"/>
      <c r="R23" s="19" t="s">
        <v>261</v>
      </c>
      <c r="S23" s="23"/>
      <c r="T23" s="38"/>
      <c r="U23" s="23"/>
      <c r="V23" s="23"/>
      <c r="W23" s="23"/>
      <c r="X23" s="24"/>
      <c r="Y23" s="440" t="s">
        <v>150</v>
      </c>
      <c r="Z23" s="441"/>
      <c r="AA23" s="442" t="s">
        <v>151</v>
      </c>
      <c r="AB23" s="443"/>
      <c r="AC23" s="444"/>
      <c r="AD23" s="51">
        <v>10</v>
      </c>
      <c r="AE23" s="29"/>
      <c r="AF23" s="29"/>
      <c r="AG23" s="29"/>
      <c r="AH23" s="40"/>
      <c r="AI23" s="40"/>
      <c r="AJ23" s="40"/>
      <c r="AK23" s="40"/>
      <c r="AL23" s="40"/>
      <c r="AM23" s="40"/>
      <c r="AN23" s="40"/>
      <c r="AO23" s="41"/>
      <c r="AP23" s="41"/>
      <c r="AQ23" s="41"/>
      <c r="AR23" s="41"/>
      <c r="AS23" s="42"/>
      <c r="AT23" s="43"/>
      <c r="AU23" s="48"/>
      <c r="AV23" s="67"/>
      <c r="AW23" s="67"/>
      <c r="AX23" s="67"/>
      <c r="AY23" s="67"/>
      <c r="AZ23" s="67"/>
      <c r="BA23" s="67"/>
      <c r="BB23" s="67"/>
      <c r="BC23" s="67"/>
      <c r="BD23" s="68"/>
    </row>
    <row r="24" spans="1:56" ht="14.4" customHeight="1">
      <c r="A24" s="50">
        <f>IF(B24="","",COUNTA($B$8:B24))</f>
        <v>16</v>
      </c>
      <c r="B24" s="19" t="s">
        <v>263</v>
      </c>
      <c r="C24" s="20"/>
      <c r="D24" s="20"/>
      <c r="E24" s="20"/>
      <c r="F24" s="20"/>
      <c r="G24" s="20"/>
      <c r="H24" s="24"/>
      <c r="I24" s="31" t="s">
        <v>264</v>
      </c>
      <c r="J24" s="23"/>
      <c r="K24" s="23"/>
      <c r="L24" s="23"/>
      <c r="M24" s="23"/>
      <c r="N24" s="23"/>
      <c r="O24" s="23"/>
      <c r="P24" s="23"/>
      <c r="Q24" s="37"/>
      <c r="R24" s="22" t="s">
        <v>263</v>
      </c>
      <c r="S24" s="23"/>
      <c r="T24" s="38"/>
      <c r="U24" s="23"/>
      <c r="V24" s="23"/>
      <c r="W24" s="23"/>
      <c r="X24" s="24"/>
      <c r="Y24" s="440" t="s">
        <v>169</v>
      </c>
      <c r="Z24" s="441"/>
      <c r="AA24" s="442" t="s">
        <v>243</v>
      </c>
      <c r="AB24" s="443"/>
      <c r="AC24" s="444"/>
      <c r="AD24" s="51"/>
      <c r="AE24" s="29"/>
      <c r="AF24" s="29"/>
      <c r="AG24" s="29"/>
      <c r="AH24" s="28"/>
      <c r="AI24" s="28"/>
      <c r="AJ24" s="28"/>
      <c r="AK24" s="28"/>
      <c r="AL24" s="28"/>
      <c r="AM24" s="28"/>
      <c r="AN24" s="28"/>
      <c r="AO24" s="29"/>
      <c r="AP24" s="29"/>
      <c r="AQ24" s="29"/>
      <c r="AR24" s="29"/>
      <c r="AS24" s="31"/>
      <c r="AT24" s="67"/>
      <c r="AU24" s="67"/>
      <c r="AV24" s="67"/>
      <c r="AW24" s="67"/>
      <c r="AX24" s="67"/>
      <c r="AY24" s="67"/>
      <c r="AZ24" s="67"/>
      <c r="BA24" s="67"/>
      <c r="BB24" s="67"/>
      <c r="BC24" s="67"/>
      <c r="BD24" s="68"/>
    </row>
    <row r="25" spans="1:56" ht="14.4" customHeight="1">
      <c r="A25" s="50" t="str">
        <f>IF(B25="","",COUNTA($B$8:B25))</f>
        <v/>
      </c>
      <c r="B25" s="19"/>
      <c r="C25" s="20"/>
      <c r="D25" s="20"/>
      <c r="E25" s="20"/>
      <c r="F25" s="20"/>
      <c r="G25" s="20"/>
      <c r="H25" s="24"/>
      <c r="I25" s="31"/>
      <c r="J25" s="23"/>
      <c r="K25" s="23"/>
      <c r="L25" s="23"/>
      <c r="M25" s="23"/>
      <c r="N25" s="23"/>
      <c r="O25" s="23"/>
      <c r="P25" s="23"/>
      <c r="Q25" s="37"/>
      <c r="R25" s="22"/>
      <c r="S25" s="23"/>
      <c r="T25" s="23"/>
      <c r="U25" s="23"/>
      <c r="V25" s="23"/>
      <c r="W25" s="23"/>
      <c r="X25" s="24"/>
      <c r="Y25" s="440"/>
      <c r="Z25" s="441"/>
      <c r="AA25" s="442"/>
      <c r="AB25" s="443"/>
      <c r="AC25" s="444"/>
      <c r="AD25" s="27"/>
      <c r="AE25" s="29" t="s">
        <v>244</v>
      </c>
      <c r="AF25" s="29"/>
      <c r="AG25" s="29"/>
      <c r="AH25" s="28"/>
      <c r="AI25" s="28"/>
      <c r="AJ25" s="28"/>
      <c r="AK25" s="28"/>
      <c r="AL25" s="28"/>
      <c r="AM25" s="28"/>
      <c r="AN25" s="28"/>
      <c r="AO25" s="29"/>
      <c r="AP25" s="29"/>
      <c r="AQ25" s="29"/>
      <c r="AR25" s="29"/>
      <c r="AS25" s="31"/>
      <c r="AT25" s="67"/>
      <c r="AU25" s="67"/>
      <c r="AV25" s="67"/>
      <c r="AW25" s="67"/>
      <c r="AX25" s="67"/>
      <c r="AY25" s="67"/>
      <c r="AZ25" s="67"/>
      <c r="BA25" s="67"/>
      <c r="BB25" s="67"/>
      <c r="BC25" s="67"/>
      <c r="BD25" s="68"/>
    </row>
    <row r="26" spans="1:56" ht="14.4" customHeight="1">
      <c r="A26" s="50" t="str">
        <f>IF(B26="","",COUNTA($B$8:B26))</f>
        <v/>
      </c>
      <c r="B26" s="19"/>
      <c r="C26" s="20"/>
      <c r="D26" s="20"/>
      <c r="E26" s="20"/>
      <c r="F26" s="20"/>
      <c r="G26" s="20"/>
      <c r="H26" s="24"/>
      <c r="I26" s="31"/>
      <c r="J26" s="23"/>
      <c r="K26" s="23"/>
      <c r="L26" s="23"/>
      <c r="M26" s="23"/>
      <c r="N26" s="23"/>
      <c r="O26" s="23"/>
      <c r="P26" s="23"/>
      <c r="Q26" s="37"/>
      <c r="R26" s="22"/>
      <c r="S26" s="23"/>
      <c r="T26" s="23"/>
      <c r="U26" s="23"/>
      <c r="V26" s="23"/>
      <c r="W26" s="23"/>
      <c r="X26" s="24"/>
      <c r="Y26" s="440"/>
      <c r="Z26" s="441"/>
      <c r="AA26" s="442"/>
      <c r="AB26" s="443"/>
      <c r="AC26" s="444"/>
      <c r="AD26" s="51"/>
      <c r="AE26" s="29" t="s">
        <v>244</v>
      </c>
      <c r="AF26" s="29"/>
      <c r="AG26" s="29"/>
      <c r="AH26" s="40"/>
      <c r="AI26" s="40"/>
      <c r="AJ26" s="28"/>
      <c r="AK26" s="28"/>
      <c r="AL26" s="28"/>
      <c r="AM26" s="28"/>
      <c r="AN26" s="28"/>
      <c r="AO26" s="29"/>
      <c r="AP26" s="29"/>
      <c r="AQ26" s="29"/>
      <c r="AR26" s="29"/>
      <c r="AS26" s="31"/>
      <c r="AT26" s="67"/>
      <c r="AU26" s="67"/>
      <c r="AV26" s="67"/>
      <c r="AW26" s="67"/>
      <c r="AX26" s="67"/>
      <c r="AY26" s="67"/>
      <c r="AZ26" s="67"/>
      <c r="BA26" s="67"/>
      <c r="BB26" s="67"/>
      <c r="BC26" s="67"/>
      <c r="BD26" s="68"/>
    </row>
    <row r="27" spans="1:56" ht="14.4" customHeight="1">
      <c r="A27" s="50" t="str">
        <f>IF(B27="","",COUNTA($B$8:B27))</f>
        <v/>
      </c>
      <c r="B27" s="19"/>
      <c r="C27" s="20"/>
      <c r="D27" s="20"/>
      <c r="E27" s="20"/>
      <c r="F27" s="20"/>
      <c r="G27" s="20"/>
      <c r="H27" s="24"/>
      <c r="I27" s="31"/>
      <c r="J27" s="23"/>
      <c r="K27" s="23"/>
      <c r="L27" s="23"/>
      <c r="M27" s="23"/>
      <c r="N27" s="23"/>
      <c r="O27" s="23"/>
      <c r="P27" s="23"/>
      <c r="Q27" s="37"/>
      <c r="R27" s="22"/>
      <c r="S27" s="23"/>
      <c r="T27" s="23"/>
      <c r="U27" s="23"/>
      <c r="V27" s="23"/>
      <c r="W27" s="23"/>
      <c r="X27" s="24"/>
      <c r="Y27" s="440"/>
      <c r="Z27" s="441"/>
      <c r="AA27" s="442"/>
      <c r="AB27" s="443"/>
      <c r="AC27" s="444"/>
      <c r="AD27" s="51"/>
      <c r="AE27" s="29" t="s">
        <v>244</v>
      </c>
      <c r="AF27" s="29"/>
      <c r="AG27" s="29"/>
      <c r="AH27" s="28"/>
      <c r="AI27" s="28"/>
      <c r="AJ27" s="28"/>
      <c r="AK27" s="28"/>
      <c r="AL27" s="40"/>
      <c r="AM27" s="40"/>
      <c r="AN27" s="40"/>
      <c r="AO27" s="41"/>
      <c r="AP27" s="41"/>
      <c r="AQ27" s="41"/>
      <c r="AR27" s="41"/>
      <c r="AS27" s="42"/>
      <c r="AT27" s="43"/>
      <c r="AU27" s="67"/>
      <c r="AV27" s="67"/>
      <c r="AW27" s="67"/>
      <c r="AX27" s="67"/>
      <c r="AY27" s="67"/>
      <c r="AZ27" s="67"/>
      <c r="BA27" s="67"/>
      <c r="BB27" s="67"/>
      <c r="BC27" s="67"/>
      <c r="BD27" s="68"/>
    </row>
    <row r="28" spans="1:56" ht="14.4" customHeight="1">
      <c r="A28" s="50" t="str">
        <f>IF(B28="","",COUNTA($B$8:B28))</f>
        <v/>
      </c>
      <c r="B28" s="19"/>
      <c r="C28" s="20"/>
      <c r="D28" s="20"/>
      <c r="E28" s="20"/>
      <c r="F28" s="20"/>
      <c r="G28" s="20"/>
      <c r="H28" s="24"/>
      <c r="I28" s="31"/>
      <c r="J28" s="23"/>
      <c r="K28" s="23"/>
      <c r="L28" s="23"/>
      <c r="M28" s="23"/>
      <c r="N28" s="23"/>
      <c r="O28" s="23"/>
      <c r="P28" s="23"/>
      <c r="Q28" s="37"/>
      <c r="R28" s="22"/>
      <c r="S28" s="23"/>
      <c r="T28" s="23"/>
      <c r="U28" s="23"/>
      <c r="V28" s="23"/>
      <c r="W28" s="23"/>
      <c r="X28" s="24"/>
      <c r="Y28" s="440"/>
      <c r="Z28" s="441"/>
      <c r="AA28" s="442"/>
      <c r="AB28" s="443"/>
      <c r="AC28" s="444"/>
      <c r="AD28" s="51"/>
      <c r="AE28" s="29" t="s">
        <v>244</v>
      </c>
      <c r="AF28" s="29"/>
      <c r="AG28" s="29"/>
      <c r="AH28" s="40"/>
      <c r="AI28" s="40"/>
      <c r="AJ28" s="40"/>
      <c r="AK28" s="40"/>
      <c r="AL28" s="40"/>
      <c r="AM28" s="40"/>
      <c r="AN28" s="40"/>
      <c r="AO28" s="41"/>
      <c r="AP28" s="41"/>
      <c r="AQ28" s="41"/>
      <c r="AR28" s="41"/>
      <c r="AS28" s="42"/>
      <c r="AT28" s="43"/>
      <c r="AU28" s="48"/>
      <c r="AV28" s="48"/>
      <c r="AW28" s="48"/>
      <c r="AX28" s="48"/>
      <c r="AY28" s="48"/>
      <c r="AZ28" s="48"/>
      <c r="BA28" s="48"/>
      <c r="BB28" s="48"/>
      <c r="BC28" s="48"/>
      <c r="BD28" s="66"/>
    </row>
    <row r="29" spans="1:56" ht="14.4" customHeight="1">
      <c r="A29" s="50" t="str">
        <f>IF(B29="","",COUNTA($B$8:B29))</f>
        <v/>
      </c>
      <c r="B29" s="19"/>
      <c r="C29" s="20"/>
      <c r="D29" s="20"/>
      <c r="E29" s="20"/>
      <c r="F29" s="20"/>
      <c r="G29" s="20"/>
      <c r="H29" s="24"/>
      <c r="I29" s="31"/>
      <c r="J29" s="23"/>
      <c r="K29" s="23"/>
      <c r="L29" s="23"/>
      <c r="M29" s="23"/>
      <c r="N29" s="23"/>
      <c r="O29" s="23"/>
      <c r="P29" s="23"/>
      <c r="Q29" s="37"/>
      <c r="R29" s="22"/>
      <c r="S29" s="23"/>
      <c r="T29" s="23"/>
      <c r="U29" s="23"/>
      <c r="V29" s="23"/>
      <c r="W29" s="23"/>
      <c r="X29" s="24"/>
      <c r="Y29" s="440"/>
      <c r="Z29" s="441"/>
      <c r="AA29" s="442"/>
      <c r="AB29" s="443"/>
      <c r="AC29" s="444"/>
      <c r="AD29" s="27"/>
      <c r="AE29" s="29" t="s">
        <v>244</v>
      </c>
      <c r="AF29" s="29"/>
      <c r="AG29" s="29"/>
      <c r="AH29" s="28"/>
      <c r="AI29" s="28"/>
      <c r="AJ29" s="28"/>
      <c r="AK29" s="28"/>
      <c r="AL29" s="28"/>
      <c r="AM29" s="28"/>
      <c r="AN29" s="28"/>
      <c r="AO29" s="29"/>
      <c r="AP29" s="29"/>
      <c r="AQ29" s="29"/>
      <c r="AR29" s="29"/>
      <c r="AS29" s="31"/>
      <c r="AT29" s="67"/>
      <c r="AU29" s="67"/>
      <c r="AV29" s="67"/>
      <c r="AW29" s="67"/>
      <c r="AX29" s="67"/>
      <c r="AY29" s="67"/>
      <c r="AZ29" s="67"/>
      <c r="BA29" s="67"/>
      <c r="BB29" s="67"/>
      <c r="BC29" s="67"/>
      <c r="BD29" s="68"/>
    </row>
    <row r="30" spans="1:56" ht="14.4" customHeight="1">
      <c r="A30" s="50" t="str">
        <f>IF(B30="","",COUNTA($B$8:B30))</f>
        <v/>
      </c>
      <c r="B30" s="19"/>
      <c r="C30" s="20"/>
      <c r="D30" s="20"/>
      <c r="E30" s="20"/>
      <c r="F30" s="20"/>
      <c r="G30" s="20"/>
      <c r="H30" s="24"/>
      <c r="I30" s="31"/>
      <c r="J30" s="23"/>
      <c r="K30" s="23"/>
      <c r="L30" s="23"/>
      <c r="M30" s="23"/>
      <c r="N30" s="23"/>
      <c r="O30" s="23"/>
      <c r="P30" s="23"/>
      <c r="Q30" s="37"/>
      <c r="R30" s="22"/>
      <c r="S30" s="23"/>
      <c r="T30" s="23"/>
      <c r="U30" s="23"/>
      <c r="V30" s="23"/>
      <c r="W30" s="23"/>
      <c r="X30" s="37"/>
      <c r="Y30" s="440"/>
      <c r="Z30" s="441"/>
      <c r="AA30" s="442"/>
      <c r="AB30" s="443"/>
      <c r="AC30" s="444"/>
      <c r="AD30" s="51"/>
      <c r="AE30" s="29" t="s">
        <v>244</v>
      </c>
      <c r="AF30" s="29"/>
      <c r="AG30" s="29"/>
      <c r="AH30" s="40"/>
      <c r="AI30" s="40"/>
      <c r="AJ30" s="40"/>
      <c r="AK30" s="40"/>
      <c r="AL30" s="40"/>
      <c r="AM30" s="40"/>
      <c r="AN30" s="40"/>
      <c r="AO30" s="41"/>
      <c r="AP30" s="41"/>
      <c r="AQ30" s="41"/>
      <c r="AR30" s="41"/>
      <c r="AS30" s="42"/>
      <c r="AT30" s="43"/>
      <c r="AU30" s="67"/>
      <c r="AV30" s="67"/>
      <c r="AW30" s="67"/>
      <c r="AX30" s="67"/>
      <c r="AY30" s="67"/>
      <c r="AZ30" s="67"/>
      <c r="BA30" s="67"/>
      <c r="BB30" s="67"/>
      <c r="BC30" s="67"/>
      <c r="BD30" s="68"/>
    </row>
    <row r="31" spans="1:56" ht="14.4" customHeight="1">
      <c r="A31" s="50" t="str">
        <f>IF(B31="","",COUNTA($B$8:B31))</f>
        <v/>
      </c>
      <c r="B31" s="19"/>
      <c r="C31" s="20"/>
      <c r="D31" s="20"/>
      <c r="E31" s="20"/>
      <c r="F31" s="20"/>
      <c r="G31" s="20"/>
      <c r="H31" s="24"/>
      <c r="I31" s="31"/>
      <c r="J31" s="23"/>
      <c r="K31" s="23"/>
      <c r="L31" s="23"/>
      <c r="M31" s="23"/>
      <c r="N31" s="23"/>
      <c r="O31" s="23"/>
      <c r="P31" s="23"/>
      <c r="Q31" s="37"/>
      <c r="R31" s="22"/>
      <c r="S31" s="23"/>
      <c r="T31" s="23"/>
      <c r="U31" s="23"/>
      <c r="V31" s="23"/>
      <c r="W31" s="23"/>
      <c r="X31" s="37"/>
      <c r="Y31" s="440"/>
      <c r="Z31" s="441"/>
      <c r="AA31" s="442"/>
      <c r="AB31" s="443"/>
      <c r="AC31" s="444"/>
      <c r="AD31" s="51"/>
      <c r="AE31" s="29" t="s">
        <v>244</v>
      </c>
      <c r="AF31" s="29"/>
      <c r="AG31" s="29"/>
      <c r="AH31" s="40"/>
      <c r="AI31" s="40"/>
      <c r="AJ31" s="40"/>
      <c r="AK31" s="40"/>
      <c r="AL31" s="40"/>
      <c r="AM31" s="40"/>
      <c r="AN31" s="40"/>
      <c r="AO31" s="41"/>
      <c r="AP31" s="41"/>
      <c r="AQ31" s="41"/>
      <c r="AR31" s="41"/>
      <c r="AS31" s="42"/>
      <c r="AT31" s="43"/>
      <c r="AU31" s="67"/>
      <c r="AV31" s="67"/>
      <c r="AW31" s="67"/>
      <c r="AX31" s="67"/>
      <c r="AY31" s="67"/>
      <c r="AZ31" s="67"/>
      <c r="BA31" s="67"/>
      <c r="BB31" s="67"/>
      <c r="BC31" s="67"/>
      <c r="BD31" s="68"/>
    </row>
    <row r="32" spans="1:56" ht="14.4" customHeight="1">
      <c r="A32" s="50" t="str">
        <f>IF(B32="","",COUNTA($B$8:B32))</f>
        <v/>
      </c>
      <c r="B32" s="31"/>
      <c r="C32" s="44"/>
      <c r="D32" s="44"/>
      <c r="E32" s="44"/>
      <c r="F32" s="44"/>
      <c r="G32" s="44"/>
      <c r="H32" s="45"/>
      <c r="I32" s="31"/>
      <c r="J32" s="35"/>
      <c r="K32" s="35"/>
      <c r="L32" s="35"/>
      <c r="M32" s="35"/>
      <c r="N32" s="35"/>
      <c r="O32" s="35"/>
      <c r="P32" s="35"/>
      <c r="Q32" s="36"/>
      <c r="R32" s="34"/>
      <c r="S32" s="35"/>
      <c r="T32" s="35"/>
      <c r="U32" s="35"/>
      <c r="V32" s="35"/>
      <c r="W32" s="35"/>
      <c r="X32" s="36"/>
      <c r="Y32" s="440"/>
      <c r="Z32" s="441"/>
      <c r="AA32" s="442"/>
      <c r="AB32" s="443"/>
      <c r="AC32" s="444"/>
      <c r="AD32" s="51"/>
      <c r="AE32" s="29" t="s">
        <v>244</v>
      </c>
      <c r="AF32" s="29"/>
      <c r="AG32" s="29"/>
      <c r="AH32" s="28"/>
      <c r="AI32" s="28"/>
      <c r="AJ32" s="28"/>
      <c r="AK32" s="28"/>
      <c r="AL32" s="28"/>
      <c r="AM32" s="28"/>
      <c r="AN32" s="28"/>
      <c r="AO32" s="29"/>
      <c r="AP32" s="29"/>
      <c r="AQ32" s="29"/>
      <c r="AR32" s="29"/>
      <c r="AS32" s="42"/>
      <c r="AT32" s="49"/>
      <c r="AU32" s="48"/>
      <c r="AV32" s="48"/>
      <c r="AW32" s="48"/>
      <c r="AX32" s="48"/>
      <c r="AY32" s="48"/>
      <c r="AZ32" s="48"/>
      <c r="BA32" s="48"/>
      <c r="BB32" s="48"/>
      <c r="BC32" s="48"/>
      <c r="BD32" s="66"/>
    </row>
    <row r="33" spans="1:56" ht="14.4" customHeight="1">
      <c r="A33" s="50" t="str">
        <f>IF(B33="","",COUNTA($B$8:B33))</f>
        <v/>
      </c>
      <c r="B33" s="31"/>
      <c r="C33" s="44"/>
      <c r="D33" s="44"/>
      <c r="E33" s="44"/>
      <c r="F33" s="44"/>
      <c r="G33" s="44"/>
      <c r="H33" s="45"/>
      <c r="I33" s="31"/>
      <c r="J33" s="35"/>
      <c r="K33" s="35"/>
      <c r="L33" s="35"/>
      <c r="M33" s="35"/>
      <c r="N33" s="35"/>
      <c r="O33" s="35"/>
      <c r="P33" s="35"/>
      <c r="Q33" s="36"/>
      <c r="R33" s="34"/>
      <c r="S33" s="35"/>
      <c r="T33" s="35"/>
      <c r="U33" s="35"/>
      <c r="V33" s="35"/>
      <c r="W33" s="35"/>
      <c r="X33" s="36"/>
      <c r="Y33" s="440"/>
      <c r="Z33" s="441"/>
      <c r="AA33" s="442"/>
      <c r="AB33" s="443"/>
      <c r="AC33" s="444"/>
      <c r="AD33" s="51"/>
      <c r="AE33" s="29" t="s">
        <v>244</v>
      </c>
      <c r="AF33" s="29"/>
      <c r="AG33" s="29"/>
      <c r="AH33" s="28"/>
      <c r="AI33" s="28"/>
      <c r="AJ33" s="28"/>
      <c r="AK33" s="28"/>
      <c r="AL33" s="28"/>
      <c r="AM33" s="28"/>
      <c r="AN33" s="28"/>
      <c r="AO33" s="29"/>
      <c r="AP33" s="29"/>
      <c r="AQ33" s="29"/>
      <c r="AR33" s="29"/>
      <c r="AS33" s="42"/>
      <c r="AT33" s="49"/>
      <c r="AU33" s="48"/>
      <c r="AV33" s="48"/>
      <c r="AW33" s="48"/>
      <c r="AX33" s="48"/>
      <c r="AY33" s="48"/>
      <c r="AZ33" s="48"/>
      <c r="BA33" s="48"/>
      <c r="BB33" s="48"/>
      <c r="BC33" s="48"/>
      <c r="BD33" s="66"/>
    </row>
    <row r="34" spans="1:56" ht="14.4" customHeight="1">
      <c r="A34" s="50" t="str">
        <f>IF(B34="","",COUNTA($B$8:B34))</f>
        <v/>
      </c>
      <c r="B34" s="19"/>
      <c r="C34" s="20"/>
      <c r="D34" s="20"/>
      <c r="E34" s="20"/>
      <c r="F34" s="20"/>
      <c r="G34" s="20"/>
      <c r="H34" s="24"/>
      <c r="I34" s="31"/>
      <c r="J34" s="23"/>
      <c r="K34" s="23"/>
      <c r="L34" s="23"/>
      <c r="M34" s="23"/>
      <c r="N34" s="23"/>
      <c r="O34" s="23"/>
      <c r="P34" s="23"/>
      <c r="Q34" s="37"/>
      <c r="R34" s="22"/>
      <c r="S34" s="23"/>
      <c r="T34" s="23"/>
      <c r="U34" s="23"/>
      <c r="V34" s="23"/>
      <c r="W34" s="23"/>
      <c r="X34" s="37"/>
      <c r="Y34" s="440"/>
      <c r="Z34" s="441"/>
      <c r="AA34" s="442"/>
      <c r="AB34" s="443"/>
      <c r="AC34" s="444"/>
      <c r="AD34" s="51"/>
      <c r="AE34" s="29" t="s">
        <v>244</v>
      </c>
      <c r="AF34" s="29"/>
      <c r="AG34" s="29"/>
      <c r="AH34" s="40"/>
      <c r="AI34" s="40"/>
      <c r="AJ34" s="40"/>
      <c r="AK34" s="40"/>
      <c r="AL34" s="40"/>
      <c r="AM34" s="40"/>
      <c r="AN34" s="40"/>
      <c r="AO34" s="41"/>
      <c r="AP34" s="41"/>
      <c r="AQ34" s="41"/>
      <c r="AR34" s="41"/>
      <c r="AS34" s="42"/>
      <c r="AT34" s="43"/>
      <c r="AU34" s="67"/>
      <c r="AV34" s="67"/>
      <c r="AW34" s="67"/>
      <c r="AX34" s="67"/>
      <c r="AY34" s="67"/>
      <c r="AZ34" s="67"/>
      <c r="BA34" s="67"/>
      <c r="BB34" s="67"/>
      <c r="BC34" s="67"/>
      <c r="BD34" s="68"/>
    </row>
    <row r="35" spans="1:56" ht="14.4" customHeight="1">
      <c r="A35" s="50" t="str">
        <f>IF(B35="","",COUNTA($B$8:B35))</f>
        <v/>
      </c>
      <c r="B35" s="19"/>
      <c r="C35" s="20"/>
      <c r="D35" s="20"/>
      <c r="E35" s="20"/>
      <c r="F35" s="20"/>
      <c r="G35" s="20"/>
      <c r="H35" s="24"/>
      <c r="I35" s="31"/>
      <c r="J35" s="23"/>
      <c r="K35" s="23"/>
      <c r="L35" s="23"/>
      <c r="M35" s="23"/>
      <c r="N35" s="23"/>
      <c r="O35" s="23"/>
      <c r="P35" s="23"/>
      <c r="Q35" s="37"/>
      <c r="R35" s="22"/>
      <c r="S35" s="23"/>
      <c r="T35" s="23"/>
      <c r="U35" s="23"/>
      <c r="V35" s="23"/>
      <c r="W35" s="23"/>
      <c r="X35" s="37"/>
      <c r="Y35" s="440"/>
      <c r="Z35" s="441"/>
      <c r="AA35" s="442"/>
      <c r="AB35" s="443"/>
      <c r="AC35" s="444"/>
      <c r="AD35" s="51"/>
      <c r="AE35" s="29" t="s">
        <v>244</v>
      </c>
      <c r="AF35" s="29"/>
      <c r="AG35" s="29"/>
      <c r="AH35" s="40"/>
      <c r="AI35" s="40"/>
      <c r="AJ35" s="40"/>
      <c r="AK35" s="40"/>
      <c r="AL35" s="40"/>
      <c r="AM35" s="40"/>
      <c r="AN35" s="40"/>
      <c r="AO35" s="41"/>
      <c r="AP35" s="41"/>
      <c r="AQ35" s="41"/>
      <c r="AR35" s="41"/>
      <c r="AS35" s="42"/>
      <c r="AT35" s="43"/>
      <c r="AU35" s="67"/>
      <c r="AV35" s="67"/>
      <c r="AW35" s="67"/>
      <c r="AX35" s="67"/>
      <c r="AY35" s="67"/>
      <c r="AZ35" s="67"/>
      <c r="BA35" s="67"/>
      <c r="BB35" s="67"/>
      <c r="BC35" s="67"/>
      <c r="BD35" s="68"/>
    </row>
    <row r="36" spans="1:56" ht="14.4" customHeight="1">
      <c r="A36" s="50" t="str">
        <f>IF(B36="","",COUNTA($B$8:B36))</f>
        <v/>
      </c>
      <c r="B36" s="19"/>
      <c r="C36" s="20"/>
      <c r="D36" s="20"/>
      <c r="E36" s="20"/>
      <c r="F36" s="20"/>
      <c r="G36" s="20"/>
      <c r="H36" s="24"/>
      <c r="I36" s="31"/>
      <c r="J36" s="23"/>
      <c r="K36" s="23"/>
      <c r="L36" s="23"/>
      <c r="M36" s="23"/>
      <c r="N36" s="23"/>
      <c r="O36" s="23"/>
      <c r="P36" s="23"/>
      <c r="Q36" s="37"/>
      <c r="R36" s="22"/>
      <c r="S36" s="23"/>
      <c r="T36" s="23"/>
      <c r="U36" s="23"/>
      <c r="V36" s="23"/>
      <c r="W36" s="23"/>
      <c r="X36" s="37"/>
      <c r="Y36" s="440"/>
      <c r="Z36" s="441"/>
      <c r="AA36" s="442"/>
      <c r="AB36" s="443"/>
      <c r="AC36" s="444"/>
      <c r="AD36" s="51"/>
      <c r="AE36" s="29" t="s">
        <v>244</v>
      </c>
      <c r="AF36" s="29"/>
      <c r="AG36" s="29"/>
      <c r="AH36" s="40"/>
      <c r="AI36" s="40"/>
      <c r="AJ36" s="40"/>
      <c r="AK36" s="40"/>
      <c r="AL36" s="40"/>
      <c r="AM36" s="40"/>
      <c r="AN36" s="40"/>
      <c r="AO36" s="41"/>
      <c r="AP36" s="41"/>
      <c r="AQ36" s="41"/>
      <c r="AR36" s="41"/>
      <c r="AS36" s="42"/>
      <c r="AT36" s="43"/>
      <c r="AU36" s="67"/>
      <c r="AV36" s="67"/>
      <c r="AW36" s="67"/>
      <c r="AX36" s="67"/>
      <c r="AY36" s="67"/>
      <c r="AZ36" s="67"/>
      <c r="BA36" s="67"/>
      <c r="BB36" s="67"/>
      <c r="BC36" s="67"/>
      <c r="BD36" s="68"/>
    </row>
    <row r="37" spans="1:56" ht="14.4" customHeight="1">
      <c r="A37" s="50" t="str">
        <f>IF(B37="","",COUNTA($B$8:B37))</f>
        <v/>
      </c>
      <c r="B37" s="19"/>
      <c r="C37" s="20"/>
      <c r="D37" s="20"/>
      <c r="E37" s="20"/>
      <c r="F37" s="20"/>
      <c r="G37" s="20"/>
      <c r="H37" s="24"/>
      <c r="I37" s="31"/>
      <c r="J37" s="23"/>
      <c r="K37" s="23"/>
      <c r="L37" s="23"/>
      <c r="M37" s="23"/>
      <c r="N37" s="23"/>
      <c r="O37" s="23"/>
      <c r="P37" s="23"/>
      <c r="Q37" s="37"/>
      <c r="R37" s="22"/>
      <c r="S37" s="23"/>
      <c r="T37" s="23"/>
      <c r="U37" s="23"/>
      <c r="V37" s="23"/>
      <c r="W37" s="23"/>
      <c r="X37" s="37"/>
      <c r="Y37" s="440"/>
      <c r="Z37" s="441"/>
      <c r="AA37" s="442"/>
      <c r="AB37" s="443"/>
      <c r="AC37" s="444"/>
      <c r="AD37" s="51"/>
      <c r="AE37" s="29" t="s">
        <v>244</v>
      </c>
      <c r="AF37" s="29"/>
      <c r="AG37" s="29"/>
      <c r="AH37" s="40"/>
      <c r="AI37" s="40"/>
      <c r="AJ37" s="40"/>
      <c r="AK37" s="40"/>
      <c r="AL37" s="40"/>
      <c r="AM37" s="40"/>
      <c r="AN37" s="40"/>
      <c r="AO37" s="41"/>
      <c r="AP37" s="41"/>
      <c r="AQ37" s="41"/>
      <c r="AR37" s="41"/>
      <c r="AS37" s="42"/>
      <c r="AT37" s="43"/>
      <c r="AU37" s="67"/>
      <c r="AV37" s="67"/>
      <c r="AW37" s="67"/>
      <c r="AX37" s="67"/>
      <c r="AY37" s="67"/>
      <c r="AZ37" s="67"/>
      <c r="BA37" s="67"/>
      <c r="BB37" s="67"/>
      <c r="BC37" s="67"/>
      <c r="BD37" s="68"/>
    </row>
    <row r="38" spans="1:56" ht="14.4" customHeight="1">
      <c r="A38" s="50" t="str">
        <f>IF(B38="","",COUNTA($B$8:B38))</f>
        <v/>
      </c>
      <c r="B38" s="19"/>
      <c r="C38" s="20"/>
      <c r="D38" s="20"/>
      <c r="E38" s="20"/>
      <c r="F38" s="20"/>
      <c r="G38" s="20"/>
      <c r="H38" s="24"/>
      <c r="I38" s="31"/>
      <c r="J38" s="23"/>
      <c r="K38" s="23"/>
      <c r="L38" s="23"/>
      <c r="M38" s="23"/>
      <c r="N38" s="23"/>
      <c r="O38" s="23"/>
      <c r="P38" s="23"/>
      <c r="Q38" s="37"/>
      <c r="R38" s="22"/>
      <c r="S38" s="23"/>
      <c r="T38" s="23"/>
      <c r="U38" s="23"/>
      <c r="V38" s="23"/>
      <c r="W38" s="23"/>
      <c r="X38" s="37"/>
      <c r="Y38" s="440"/>
      <c r="Z38" s="441"/>
      <c r="AA38" s="442"/>
      <c r="AB38" s="443"/>
      <c r="AC38" s="444"/>
      <c r="AD38" s="51"/>
      <c r="AE38" s="29" t="s">
        <v>244</v>
      </c>
      <c r="AF38" s="29"/>
      <c r="AG38" s="29"/>
      <c r="AH38" s="40"/>
      <c r="AI38" s="40"/>
      <c r="AJ38" s="40"/>
      <c r="AK38" s="40"/>
      <c r="AL38" s="40"/>
      <c r="AM38" s="40"/>
      <c r="AN38" s="40"/>
      <c r="AO38" s="41"/>
      <c r="AP38" s="41"/>
      <c r="AQ38" s="41"/>
      <c r="AR38" s="41"/>
      <c r="AS38" s="42"/>
      <c r="AT38" s="43"/>
      <c r="AU38" s="67"/>
      <c r="AV38" s="67"/>
      <c r="AW38" s="67"/>
      <c r="AX38" s="67"/>
      <c r="AY38" s="67"/>
      <c r="AZ38" s="67"/>
      <c r="BA38" s="67"/>
      <c r="BB38" s="67"/>
      <c r="BC38" s="67"/>
      <c r="BD38" s="68"/>
    </row>
    <row r="39" spans="1:56" ht="14.4" customHeight="1">
      <c r="A39" s="50" t="str">
        <f>IF(B39="","",COUNTA($B$8:B39))</f>
        <v/>
      </c>
      <c r="B39" s="19"/>
      <c r="C39" s="20"/>
      <c r="D39" s="20"/>
      <c r="E39" s="20"/>
      <c r="F39" s="20"/>
      <c r="G39" s="20"/>
      <c r="H39" s="24"/>
      <c r="I39" s="31"/>
      <c r="J39" s="23"/>
      <c r="K39" s="23"/>
      <c r="L39" s="23"/>
      <c r="M39" s="23"/>
      <c r="N39" s="23"/>
      <c r="O39" s="23"/>
      <c r="P39" s="23"/>
      <c r="Q39" s="37"/>
      <c r="R39" s="22"/>
      <c r="S39" s="23"/>
      <c r="T39" s="23"/>
      <c r="U39" s="23"/>
      <c r="V39" s="23"/>
      <c r="W39" s="23"/>
      <c r="X39" s="37"/>
      <c r="Y39" s="440"/>
      <c r="Z39" s="441"/>
      <c r="AA39" s="442"/>
      <c r="AB39" s="443"/>
      <c r="AC39" s="444"/>
      <c r="AD39" s="51"/>
      <c r="AE39" s="29" t="s">
        <v>244</v>
      </c>
      <c r="AF39" s="29"/>
      <c r="AG39" s="29"/>
      <c r="AH39" s="40"/>
      <c r="AI39" s="40"/>
      <c r="AJ39" s="40"/>
      <c r="AK39" s="40"/>
      <c r="AL39" s="40"/>
      <c r="AM39" s="40"/>
      <c r="AN39" s="40"/>
      <c r="AO39" s="41"/>
      <c r="AP39" s="41"/>
      <c r="AQ39" s="41"/>
      <c r="AR39" s="41"/>
      <c r="AS39" s="42"/>
      <c r="AT39" s="43"/>
      <c r="AU39" s="67"/>
      <c r="AV39" s="67"/>
      <c r="AW39" s="67"/>
      <c r="AX39" s="67"/>
      <c r="AY39" s="67"/>
      <c r="AZ39" s="67"/>
      <c r="BA39" s="67"/>
      <c r="BB39" s="67"/>
      <c r="BC39" s="67"/>
      <c r="BD39" s="68"/>
    </row>
    <row r="40" spans="1:56" ht="14.4" customHeight="1">
      <c r="A40" s="50" t="str">
        <f>IF(B40="","",COUNTA($B$8:B40))</f>
        <v/>
      </c>
      <c r="B40" s="19"/>
      <c r="C40" s="20"/>
      <c r="D40" s="20"/>
      <c r="E40" s="20"/>
      <c r="F40" s="20"/>
      <c r="G40" s="20"/>
      <c r="H40" s="24"/>
      <c r="I40" s="31"/>
      <c r="J40" s="23"/>
      <c r="K40" s="23"/>
      <c r="L40" s="23"/>
      <c r="M40" s="23"/>
      <c r="N40" s="23"/>
      <c r="O40" s="23"/>
      <c r="P40" s="23"/>
      <c r="Q40" s="37"/>
      <c r="R40" s="22"/>
      <c r="S40" s="23"/>
      <c r="T40" s="23"/>
      <c r="U40" s="23"/>
      <c r="V40" s="23"/>
      <c r="W40" s="23"/>
      <c r="X40" s="37"/>
      <c r="Y40" s="440"/>
      <c r="Z40" s="441"/>
      <c r="AA40" s="442"/>
      <c r="AB40" s="443"/>
      <c r="AC40" s="444"/>
      <c r="AD40" s="51"/>
      <c r="AE40" s="29" t="s">
        <v>244</v>
      </c>
      <c r="AF40" s="29"/>
      <c r="AG40" s="29"/>
      <c r="AH40" s="40"/>
      <c r="AI40" s="40"/>
      <c r="AJ40" s="40"/>
      <c r="AK40" s="40"/>
      <c r="AL40" s="40"/>
      <c r="AM40" s="40"/>
      <c r="AN40" s="40"/>
      <c r="AO40" s="41"/>
      <c r="AP40" s="41"/>
      <c r="AQ40" s="41"/>
      <c r="AR40" s="41"/>
      <c r="AS40" s="42"/>
      <c r="AT40" s="43"/>
      <c r="AU40" s="67"/>
      <c r="AV40" s="67"/>
      <c r="AW40" s="67"/>
      <c r="AX40" s="67"/>
      <c r="AY40" s="67"/>
      <c r="AZ40" s="67"/>
      <c r="BA40" s="67"/>
      <c r="BB40" s="67"/>
      <c r="BC40" s="67"/>
      <c r="BD40" s="68"/>
    </row>
    <row r="41" spans="1:56" ht="14.4" customHeight="1">
      <c r="A41" s="50" t="str">
        <f>IF(B41="","",COUNTA($B$8:B41))</f>
        <v/>
      </c>
      <c r="B41" s="19"/>
      <c r="C41" s="20"/>
      <c r="D41" s="20"/>
      <c r="E41" s="20"/>
      <c r="F41" s="20"/>
      <c r="G41" s="20"/>
      <c r="H41" s="24"/>
      <c r="I41" s="31"/>
      <c r="J41" s="23"/>
      <c r="K41" s="23"/>
      <c r="L41" s="23"/>
      <c r="M41" s="23"/>
      <c r="N41" s="23"/>
      <c r="O41" s="23"/>
      <c r="P41" s="23"/>
      <c r="Q41" s="37"/>
      <c r="R41" s="22"/>
      <c r="S41" s="23"/>
      <c r="T41" s="23"/>
      <c r="U41" s="23"/>
      <c r="V41" s="23"/>
      <c r="W41" s="23"/>
      <c r="X41" s="37"/>
      <c r="Y41" s="440"/>
      <c r="Z41" s="441"/>
      <c r="AA41" s="442"/>
      <c r="AB41" s="443"/>
      <c r="AC41" s="444"/>
      <c r="AD41" s="51"/>
      <c r="AE41" s="29" t="s">
        <v>244</v>
      </c>
      <c r="AF41" s="29"/>
      <c r="AG41" s="29"/>
      <c r="AH41" s="40"/>
      <c r="AI41" s="40"/>
      <c r="AJ41" s="40"/>
      <c r="AK41" s="40"/>
      <c r="AL41" s="40"/>
      <c r="AM41" s="40"/>
      <c r="AN41" s="40"/>
      <c r="AO41" s="41"/>
      <c r="AP41" s="41"/>
      <c r="AQ41" s="41"/>
      <c r="AR41" s="41"/>
      <c r="AS41" s="42"/>
      <c r="AT41" s="43"/>
      <c r="AU41" s="67"/>
      <c r="AV41" s="67"/>
      <c r="AW41" s="67"/>
      <c r="AX41" s="67"/>
      <c r="AY41" s="67"/>
      <c r="AZ41" s="67"/>
      <c r="BA41" s="67"/>
      <c r="BB41" s="67"/>
      <c r="BC41" s="67"/>
      <c r="BD41" s="68"/>
    </row>
    <row r="42" spans="1:56" ht="14.4" customHeight="1">
      <c r="A42" s="50" t="str">
        <f>IF(B42="","",COUNTA($B$8:B42))</f>
        <v/>
      </c>
      <c r="B42" s="19"/>
      <c r="C42" s="20"/>
      <c r="D42" s="20"/>
      <c r="E42" s="20"/>
      <c r="F42" s="20"/>
      <c r="G42" s="20"/>
      <c r="H42" s="24"/>
      <c r="I42" s="31"/>
      <c r="J42" s="23"/>
      <c r="K42" s="23"/>
      <c r="L42" s="23"/>
      <c r="M42" s="23"/>
      <c r="N42" s="23"/>
      <c r="O42" s="23"/>
      <c r="P42" s="23"/>
      <c r="Q42" s="37"/>
      <c r="R42" s="22"/>
      <c r="S42" s="23"/>
      <c r="T42" s="23"/>
      <c r="U42" s="23"/>
      <c r="V42" s="23"/>
      <c r="W42" s="23"/>
      <c r="X42" s="37"/>
      <c r="Y42" s="440"/>
      <c r="Z42" s="441"/>
      <c r="AA42" s="442"/>
      <c r="AB42" s="443"/>
      <c r="AC42" s="444"/>
      <c r="AD42" s="51"/>
      <c r="AE42" s="29" t="s">
        <v>244</v>
      </c>
      <c r="AF42" s="29"/>
      <c r="AG42" s="29"/>
      <c r="AH42" s="40"/>
      <c r="AI42" s="40"/>
      <c r="AJ42" s="40"/>
      <c r="AK42" s="40"/>
      <c r="AL42" s="40"/>
      <c r="AM42" s="40"/>
      <c r="AN42" s="40"/>
      <c r="AO42" s="41"/>
      <c r="AP42" s="41"/>
      <c r="AQ42" s="41"/>
      <c r="AR42" s="41"/>
      <c r="AS42" s="42"/>
      <c r="AT42" s="43"/>
      <c r="AU42" s="67"/>
      <c r="AV42" s="67"/>
      <c r="AW42" s="67"/>
      <c r="AX42" s="67"/>
      <c r="AY42" s="67"/>
      <c r="AZ42" s="67"/>
      <c r="BA42" s="67"/>
      <c r="BB42" s="67"/>
      <c r="BC42" s="67"/>
      <c r="BD42" s="68"/>
    </row>
    <row r="43" spans="1:56" ht="14.4" customHeight="1">
      <c r="A43" s="50" t="str">
        <f>IF(B43="","",COUNTA($B$8:B43))</f>
        <v/>
      </c>
      <c r="B43" s="19"/>
      <c r="C43" s="20"/>
      <c r="D43" s="20"/>
      <c r="E43" s="20"/>
      <c r="F43" s="20"/>
      <c r="G43" s="20"/>
      <c r="H43" s="24"/>
      <c r="I43" s="31"/>
      <c r="J43" s="23"/>
      <c r="K43" s="23"/>
      <c r="L43" s="23"/>
      <c r="M43" s="23"/>
      <c r="N43" s="23"/>
      <c r="O43" s="23"/>
      <c r="P43" s="23"/>
      <c r="Q43" s="37"/>
      <c r="R43" s="22"/>
      <c r="S43" s="23"/>
      <c r="T43" s="23"/>
      <c r="U43" s="23"/>
      <c r="V43" s="23"/>
      <c r="W43" s="23"/>
      <c r="X43" s="37"/>
      <c r="Y43" s="440"/>
      <c r="Z43" s="441"/>
      <c r="AA43" s="442"/>
      <c r="AB43" s="443"/>
      <c r="AC43" s="444"/>
      <c r="AD43" s="51"/>
      <c r="AE43" s="29" t="s">
        <v>244</v>
      </c>
      <c r="AF43" s="29"/>
      <c r="AG43" s="29"/>
      <c r="AH43" s="40"/>
      <c r="AI43" s="40"/>
      <c r="AJ43" s="40"/>
      <c r="AK43" s="40"/>
      <c r="AL43" s="40"/>
      <c r="AM43" s="40"/>
      <c r="AN43" s="40"/>
      <c r="AO43" s="41"/>
      <c r="AP43" s="41"/>
      <c r="AQ43" s="41"/>
      <c r="AR43" s="41"/>
      <c r="AS43" s="42"/>
      <c r="AT43" s="43"/>
      <c r="AU43" s="67"/>
      <c r="AV43" s="67"/>
      <c r="AW43" s="67"/>
      <c r="AX43" s="67"/>
      <c r="AY43" s="67"/>
      <c r="AZ43" s="67"/>
      <c r="BA43" s="67"/>
      <c r="BB43" s="67"/>
      <c r="BC43" s="67"/>
      <c r="BD43" s="68"/>
    </row>
    <row r="44" spans="1:56" ht="14.4" customHeight="1">
      <c r="A44" s="50" t="str">
        <f>IF(B44="","",COUNTA($B$8:B44))</f>
        <v/>
      </c>
      <c r="B44" s="19"/>
      <c r="C44" s="20"/>
      <c r="D44" s="20"/>
      <c r="E44" s="20"/>
      <c r="F44" s="20"/>
      <c r="G44" s="20"/>
      <c r="H44" s="24"/>
      <c r="I44" s="31"/>
      <c r="J44" s="23"/>
      <c r="K44" s="23"/>
      <c r="L44" s="23"/>
      <c r="M44" s="23"/>
      <c r="N44" s="23"/>
      <c r="O44" s="23"/>
      <c r="P44" s="23"/>
      <c r="Q44" s="37"/>
      <c r="R44" s="22"/>
      <c r="S44" s="23"/>
      <c r="T44" s="23"/>
      <c r="U44" s="23"/>
      <c r="V44" s="23"/>
      <c r="W44" s="23"/>
      <c r="X44" s="37"/>
      <c r="Y44" s="440"/>
      <c r="Z44" s="441"/>
      <c r="AA44" s="442"/>
      <c r="AB44" s="443"/>
      <c r="AC44" s="444"/>
      <c r="AD44" s="51"/>
      <c r="AE44" s="29" t="s">
        <v>244</v>
      </c>
      <c r="AF44" s="29"/>
      <c r="AG44" s="29"/>
      <c r="AH44" s="40"/>
      <c r="AI44" s="40"/>
      <c r="AJ44" s="40"/>
      <c r="AK44" s="40"/>
      <c r="AL44" s="40"/>
      <c r="AM44" s="40"/>
      <c r="AN44" s="40"/>
      <c r="AO44" s="41"/>
      <c r="AP44" s="41"/>
      <c r="AQ44" s="41"/>
      <c r="AR44" s="41"/>
      <c r="AS44" s="42"/>
      <c r="AT44" s="43"/>
      <c r="AU44" s="67"/>
      <c r="AV44" s="67"/>
      <c r="AW44" s="67"/>
      <c r="AX44" s="67"/>
      <c r="AY44" s="67"/>
      <c r="AZ44" s="67"/>
      <c r="BA44" s="67"/>
      <c r="BB44" s="67"/>
      <c r="BC44" s="67"/>
      <c r="BD44" s="68"/>
    </row>
    <row r="45" spans="1:56" ht="14.4" customHeight="1">
      <c r="A45" s="50" t="str">
        <f>IF(B45="","",COUNTA($B$8:B45))</f>
        <v/>
      </c>
      <c r="B45" s="19"/>
      <c r="C45" s="20"/>
      <c r="D45" s="20"/>
      <c r="E45" s="20"/>
      <c r="F45" s="20"/>
      <c r="G45" s="20"/>
      <c r="H45" s="24"/>
      <c r="I45" s="31"/>
      <c r="J45" s="23"/>
      <c r="K45" s="23"/>
      <c r="L45" s="23"/>
      <c r="M45" s="23"/>
      <c r="N45" s="23"/>
      <c r="O45" s="23"/>
      <c r="P45" s="23"/>
      <c r="Q45" s="37"/>
      <c r="R45" s="22"/>
      <c r="S45" s="23"/>
      <c r="T45" s="23"/>
      <c r="U45" s="23"/>
      <c r="V45" s="23"/>
      <c r="W45" s="23"/>
      <c r="X45" s="37"/>
      <c r="Y45" s="440"/>
      <c r="Z45" s="441"/>
      <c r="AA45" s="442"/>
      <c r="AB45" s="443"/>
      <c r="AC45" s="444"/>
      <c r="AD45" s="51"/>
      <c r="AE45" s="29" t="s">
        <v>244</v>
      </c>
      <c r="AF45" s="29"/>
      <c r="AG45" s="29"/>
      <c r="AH45" s="40"/>
      <c r="AI45" s="40"/>
      <c r="AJ45" s="40"/>
      <c r="AK45" s="40"/>
      <c r="AL45" s="40"/>
      <c r="AM45" s="40"/>
      <c r="AN45" s="40"/>
      <c r="AO45" s="41"/>
      <c r="AP45" s="41"/>
      <c r="AQ45" s="41"/>
      <c r="AR45" s="41"/>
      <c r="AS45" s="42"/>
      <c r="AT45" s="43"/>
      <c r="AU45" s="67"/>
      <c r="AV45" s="67"/>
      <c r="AW45" s="67"/>
      <c r="AX45" s="67"/>
      <c r="AY45" s="67"/>
      <c r="AZ45" s="67"/>
      <c r="BA45" s="67"/>
      <c r="BB45" s="67"/>
      <c r="BC45" s="67"/>
      <c r="BD45" s="68"/>
    </row>
    <row r="46" spans="1:56" ht="14.4" customHeight="1">
      <c r="A46" s="50" t="str">
        <f>IF(B46="","",COUNTA($B$8:B46))</f>
        <v/>
      </c>
      <c r="B46" s="19"/>
      <c r="C46" s="20"/>
      <c r="D46" s="20"/>
      <c r="E46" s="20"/>
      <c r="F46" s="20"/>
      <c r="G46" s="20"/>
      <c r="H46" s="24"/>
      <c r="I46" s="31"/>
      <c r="J46" s="23"/>
      <c r="K46" s="23"/>
      <c r="L46" s="23"/>
      <c r="M46" s="23"/>
      <c r="N46" s="23"/>
      <c r="O46" s="23"/>
      <c r="P46" s="23"/>
      <c r="Q46" s="37"/>
      <c r="R46" s="22"/>
      <c r="S46" s="23"/>
      <c r="T46" s="23"/>
      <c r="U46" s="23"/>
      <c r="V46" s="23"/>
      <c r="W46" s="23"/>
      <c r="X46" s="37"/>
      <c r="Y46" s="440"/>
      <c r="Z46" s="441"/>
      <c r="AA46" s="442"/>
      <c r="AB46" s="443"/>
      <c r="AC46" s="444"/>
      <c r="AD46" s="51"/>
      <c r="AE46" s="29" t="s">
        <v>244</v>
      </c>
      <c r="AF46" s="29"/>
      <c r="AG46" s="29"/>
      <c r="AH46" s="40"/>
      <c r="AI46" s="40"/>
      <c r="AJ46" s="40"/>
      <c r="AK46" s="40"/>
      <c r="AL46" s="40"/>
      <c r="AM46" s="40"/>
      <c r="AN46" s="40"/>
      <c r="AO46" s="41"/>
      <c r="AP46" s="41"/>
      <c r="AQ46" s="41"/>
      <c r="AR46" s="41"/>
      <c r="AS46" s="42"/>
      <c r="AT46" s="43"/>
      <c r="AU46" s="67"/>
      <c r="AV46" s="67"/>
      <c r="AW46" s="67"/>
      <c r="AX46" s="67"/>
      <c r="AY46" s="67"/>
      <c r="AZ46" s="67"/>
      <c r="BA46" s="67"/>
      <c r="BB46" s="67"/>
      <c r="BC46" s="67"/>
      <c r="BD46" s="68"/>
    </row>
    <row r="47" spans="1:56" ht="14.4" customHeight="1">
      <c r="AP47" s="18"/>
      <c r="AQ47" s="18"/>
      <c r="AR47" s="18"/>
      <c r="AS47" s="18"/>
    </row>
    <row r="48" spans="1:56" ht="14.4" customHeight="1">
      <c r="AP48" s="18"/>
      <c r="AQ48" s="18"/>
      <c r="AR48" s="18"/>
      <c r="AS48" s="18"/>
    </row>
  </sheetData>
  <mergeCells count="109">
    <mergeCell ref="Y46:Z46"/>
    <mergeCell ref="AA46:AC46"/>
    <mergeCell ref="Y27:Z27"/>
    <mergeCell ref="AA27:AC27"/>
    <mergeCell ref="Y28:Z28"/>
    <mergeCell ref="AA28:AC28"/>
    <mergeCell ref="Y44:Z44"/>
    <mergeCell ref="AA44:AC44"/>
    <mergeCell ref="Y45:Z45"/>
    <mergeCell ref="AA45:AC45"/>
    <mergeCell ref="Y29:Z29"/>
    <mergeCell ref="AA29:AC29"/>
    <mergeCell ref="Y30:Z30"/>
    <mergeCell ref="AA30:AC30"/>
    <mergeCell ref="Y31:Z31"/>
    <mergeCell ref="AA31:AC31"/>
    <mergeCell ref="Y43:Z43"/>
    <mergeCell ref="AA43:AC43"/>
    <mergeCell ref="Y40:Z40"/>
    <mergeCell ref="AA40:AC40"/>
    <mergeCell ref="Y41:Z41"/>
    <mergeCell ref="AA41:AC41"/>
    <mergeCell ref="Y42:Z42"/>
    <mergeCell ref="AA42:AC42"/>
    <mergeCell ref="Y37:Z37"/>
    <mergeCell ref="AA37:AC37"/>
    <mergeCell ref="Y38:Z38"/>
    <mergeCell ref="AA38:AC38"/>
    <mergeCell ref="Y39:Z39"/>
    <mergeCell ref="AA39:AC39"/>
    <mergeCell ref="Y20:Z20"/>
    <mergeCell ref="AA20:AC20"/>
    <mergeCell ref="Y21:Z21"/>
    <mergeCell ref="AA21:AC21"/>
    <mergeCell ref="Y22:Z22"/>
    <mergeCell ref="Y35:Z35"/>
    <mergeCell ref="AA35:AC35"/>
    <mergeCell ref="Y36:Z36"/>
    <mergeCell ref="AA36:AC36"/>
    <mergeCell ref="Y32:Z32"/>
    <mergeCell ref="AA32:AC32"/>
    <mergeCell ref="Y33:Z33"/>
    <mergeCell ref="AA33:AC33"/>
    <mergeCell ref="Y34:Z34"/>
    <mergeCell ref="AA34:AC34"/>
    <mergeCell ref="AA22:AC22"/>
    <mergeCell ref="Y23:Z23"/>
    <mergeCell ref="AA23:AC23"/>
    <mergeCell ref="Y24:Z24"/>
    <mergeCell ref="AA24:AC24"/>
    <mergeCell ref="Y25:Z25"/>
    <mergeCell ref="AA25:AC25"/>
    <mergeCell ref="Y26:Z26"/>
    <mergeCell ref="AA26:AC26"/>
    <mergeCell ref="Y16:Z16"/>
    <mergeCell ref="AA16:AC16"/>
    <mergeCell ref="Y17:Z17"/>
    <mergeCell ref="AA17:AC17"/>
    <mergeCell ref="Y18:Z18"/>
    <mergeCell ref="AA18:AC18"/>
    <mergeCell ref="Y19:Z19"/>
    <mergeCell ref="AA19:AC19"/>
    <mergeCell ref="AA10:AC10"/>
    <mergeCell ref="Y11:Z11"/>
    <mergeCell ref="AA11:AC11"/>
    <mergeCell ref="Y15:Z15"/>
    <mergeCell ref="AA15:AC15"/>
    <mergeCell ref="Y13:Z13"/>
    <mergeCell ref="AA13:AC13"/>
    <mergeCell ref="Y14:Z14"/>
    <mergeCell ref="AA14:AC14"/>
    <mergeCell ref="Y12:Z12"/>
    <mergeCell ref="AA12:AC12"/>
    <mergeCell ref="A1:H4"/>
    <mergeCell ref="AU4:AY4"/>
    <mergeCell ref="AG6:AG7"/>
    <mergeCell ref="AH6:AH7"/>
    <mergeCell ref="AI6:AR6"/>
    <mergeCell ref="AS6:BD7"/>
    <mergeCell ref="Y8:Z8"/>
    <mergeCell ref="AA8:AC8"/>
    <mergeCell ref="Y9:Z9"/>
    <mergeCell ref="AA9:AC9"/>
    <mergeCell ref="A6:A7"/>
    <mergeCell ref="B6:H7"/>
    <mergeCell ref="I6:Q7"/>
    <mergeCell ref="R6:X7"/>
    <mergeCell ref="Y6:Z7"/>
    <mergeCell ref="AA6:AC7"/>
    <mergeCell ref="AD6:AD7"/>
    <mergeCell ref="AE6:AE7"/>
    <mergeCell ref="AF6:AF7"/>
    <mergeCell ref="AZ1:BD1"/>
    <mergeCell ref="I2:Q4"/>
    <mergeCell ref="R2:X4"/>
    <mergeCell ref="Y2:AO3"/>
    <mergeCell ref="AP2:AT2"/>
    <mergeCell ref="AZ2:BD2"/>
    <mergeCell ref="AP3:AT3"/>
    <mergeCell ref="AU3:AY3"/>
    <mergeCell ref="AZ3:BD3"/>
    <mergeCell ref="Y4:AO4"/>
    <mergeCell ref="I1:Q1"/>
    <mergeCell ref="R1:X1"/>
    <mergeCell ref="Y1:AO1"/>
    <mergeCell ref="AP1:AT1"/>
    <mergeCell ref="AU1:AY1"/>
    <mergeCell ref="AP4:AT4"/>
    <mergeCell ref="AZ4:BD4"/>
  </mergeCells>
  <phoneticPr fontId="5"/>
  <dataValidations count="3">
    <dataValidation imeMode="hiragana" allowBlank="1" showInputMessage="1" showErrorMessage="1" sqref="JI65531:JT65533 TE65531:TP65533 ADA65531:ADL65533 AMW65531:ANH65533 AWS65531:AXD65533 BGO65531:BGZ65533 BQK65531:BQV65533 CAG65531:CAR65533 CKC65531:CKN65533 CTY65531:CUJ65533 DDU65531:DEF65533 DNQ65531:DOB65533 DXM65531:DXX65533 EHI65531:EHT65533 ERE65531:ERP65533 FBA65531:FBL65533 FKW65531:FLH65533 FUS65531:FVD65533 GEO65531:GEZ65533 GOK65531:GOV65533 GYG65531:GYR65533 HIC65531:HIN65533 HRY65531:HSJ65533 IBU65531:ICF65533 ILQ65531:IMB65533 IVM65531:IVX65533 JFI65531:JFT65533 JPE65531:JPP65533 JZA65531:JZL65533 KIW65531:KJH65533 KSS65531:KTD65533 LCO65531:LCZ65533 LMK65531:LMV65533 LWG65531:LWR65533 MGC65531:MGN65533 MPY65531:MQJ65533 MZU65531:NAF65533 NJQ65531:NKB65533 NTM65531:NTX65533 ODI65531:ODT65533 ONE65531:ONP65533 OXA65531:OXL65533 PGW65531:PHH65533 PQS65531:PRD65533 QAO65531:QAZ65533 QKK65531:QKV65533 QUG65531:QUR65533 REC65531:REN65533 RNY65531:ROJ65533 RXU65531:RYF65533 SHQ65531:SIB65533 SRM65531:SRX65533 TBI65531:TBT65533 TLE65531:TLP65533 TVA65531:TVL65533 UEW65531:UFH65533 UOS65531:UPD65533 UYO65531:UYZ65533 VIK65531:VIV65533 VSG65531:VSR65533 WCC65531:WCN65533 WLY65531:WMJ65533 WVU65531:WWF65533 JI131067:JT131069 TE131067:TP131069 ADA131067:ADL131069 AMW131067:ANH131069 AWS131067:AXD131069 BGO131067:BGZ131069 BQK131067:BQV131069 CAG131067:CAR131069 CKC131067:CKN131069 CTY131067:CUJ131069 DDU131067:DEF131069 DNQ131067:DOB131069 DXM131067:DXX131069 EHI131067:EHT131069 ERE131067:ERP131069 FBA131067:FBL131069 FKW131067:FLH131069 FUS131067:FVD131069 GEO131067:GEZ131069 GOK131067:GOV131069 GYG131067:GYR131069 HIC131067:HIN131069 HRY131067:HSJ131069 IBU131067:ICF131069 ILQ131067:IMB131069 IVM131067:IVX131069 JFI131067:JFT131069 JPE131067:JPP131069 JZA131067:JZL131069 KIW131067:KJH131069 KSS131067:KTD131069 LCO131067:LCZ131069 LMK131067:LMV131069 LWG131067:LWR131069 MGC131067:MGN131069 MPY131067:MQJ131069 MZU131067:NAF131069 NJQ131067:NKB131069 NTM131067:NTX131069 ODI131067:ODT131069 ONE131067:ONP131069 OXA131067:OXL131069 PGW131067:PHH131069 PQS131067:PRD131069 QAO131067:QAZ131069 QKK131067:QKV131069 QUG131067:QUR131069 REC131067:REN131069 RNY131067:ROJ131069 RXU131067:RYF131069 SHQ131067:SIB131069 SRM131067:SRX131069 TBI131067:TBT131069 TLE131067:TLP131069 TVA131067:TVL131069 UEW131067:UFH131069 UOS131067:UPD131069 UYO131067:UYZ131069 VIK131067:VIV131069 VSG131067:VSR131069 WCC131067:WCN131069 WLY131067:WMJ131069 WVU131067:WWF131069 JI196603:JT196605 TE196603:TP196605 ADA196603:ADL196605 AMW196603:ANH196605 AWS196603:AXD196605 BGO196603:BGZ196605 BQK196603:BQV196605 CAG196603:CAR196605 CKC196603:CKN196605 CTY196603:CUJ196605 DDU196603:DEF196605 DNQ196603:DOB196605 DXM196603:DXX196605 EHI196603:EHT196605 ERE196603:ERP196605 FBA196603:FBL196605 FKW196603:FLH196605 FUS196603:FVD196605 GEO196603:GEZ196605 GOK196603:GOV196605 GYG196603:GYR196605 HIC196603:HIN196605 HRY196603:HSJ196605 IBU196603:ICF196605 ILQ196603:IMB196605 IVM196603:IVX196605 JFI196603:JFT196605 JPE196603:JPP196605 JZA196603:JZL196605 KIW196603:KJH196605 KSS196603:KTD196605 LCO196603:LCZ196605 LMK196603:LMV196605 LWG196603:LWR196605 MGC196603:MGN196605 MPY196603:MQJ196605 MZU196603:NAF196605 NJQ196603:NKB196605 NTM196603:NTX196605 ODI196603:ODT196605 ONE196603:ONP196605 OXA196603:OXL196605 PGW196603:PHH196605 PQS196603:PRD196605 QAO196603:QAZ196605 QKK196603:QKV196605 QUG196603:QUR196605 REC196603:REN196605 RNY196603:ROJ196605 RXU196603:RYF196605 SHQ196603:SIB196605 SRM196603:SRX196605 TBI196603:TBT196605 TLE196603:TLP196605 TVA196603:TVL196605 UEW196603:UFH196605 UOS196603:UPD196605 UYO196603:UYZ196605 VIK196603:VIV196605 VSG196603:VSR196605 WCC196603:WCN196605 WLY196603:WMJ196605 WVU196603:WWF196605 JI262139:JT262141 TE262139:TP262141 ADA262139:ADL262141 AMW262139:ANH262141 AWS262139:AXD262141 BGO262139:BGZ262141 BQK262139:BQV262141 CAG262139:CAR262141 CKC262139:CKN262141 CTY262139:CUJ262141 DDU262139:DEF262141 DNQ262139:DOB262141 DXM262139:DXX262141 EHI262139:EHT262141 ERE262139:ERP262141 FBA262139:FBL262141 FKW262139:FLH262141 FUS262139:FVD262141 GEO262139:GEZ262141 GOK262139:GOV262141 GYG262139:GYR262141 HIC262139:HIN262141 HRY262139:HSJ262141 IBU262139:ICF262141 ILQ262139:IMB262141 IVM262139:IVX262141 JFI262139:JFT262141 JPE262139:JPP262141 JZA262139:JZL262141 KIW262139:KJH262141 KSS262139:KTD262141 LCO262139:LCZ262141 LMK262139:LMV262141 LWG262139:LWR262141 MGC262139:MGN262141 MPY262139:MQJ262141 MZU262139:NAF262141 NJQ262139:NKB262141 NTM262139:NTX262141 ODI262139:ODT262141 ONE262139:ONP262141 OXA262139:OXL262141 PGW262139:PHH262141 PQS262139:PRD262141 QAO262139:QAZ262141 QKK262139:QKV262141 QUG262139:QUR262141 REC262139:REN262141 RNY262139:ROJ262141 RXU262139:RYF262141 SHQ262139:SIB262141 SRM262139:SRX262141 TBI262139:TBT262141 TLE262139:TLP262141 TVA262139:TVL262141 UEW262139:UFH262141 UOS262139:UPD262141 UYO262139:UYZ262141 VIK262139:VIV262141 VSG262139:VSR262141 WCC262139:WCN262141 WLY262139:WMJ262141 WVU262139:WWF262141 JI327675:JT327677 TE327675:TP327677 ADA327675:ADL327677 AMW327675:ANH327677 AWS327675:AXD327677 BGO327675:BGZ327677 BQK327675:BQV327677 CAG327675:CAR327677 CKC327675:CKN327677 CTY327675:CUJ327677 DDU327675:DEF327677 DNQ327675:DOB327677 DXM327675:DXX327677 EHI327675:EHT327677 ERE327675:ERP327677 FBA327675:FBL327677 FKW327675:FLH327677 FUS327675:FVD327677 GEO327675:GEZ327677 GOK327675:GOV327677 GYG327675:GYR327677 HIC327675:HIN327677 HRY327675:HSJ327677 IBU327675:ICF327677 ILQ327675:IMB327677 IVM327675:IVX327677 JFI327675:JFT327677 JPE327675:JPP327677 JZA327675:JZL327677 KIW327675:KJH327677 KSS327675:KTD327677 LCO327675:LCZ327677 LMK327675:LMV327677 LWG327675:LWR327677 MGC327675:MGN327677 MPY327675:MQJ327677 MZU327675:NAF327677 NJQ327675:NKB327677 NTM327675:NTX327677 ODI327675:ODT327677 ONE327675:ONP327677 OXA327675:OXL327677 PGW327675:PHH327677 PQS327675:PRD327677 QAO327675:QAZ327677 QKK327675:QKV327677 QUG327675:QUR327677 REC327675:REN327677 RNY327675:ROJ327677 RXU327675:RYF327677 SHQ327675:SIB327677 SRM327675:SRX327677 TBI327675:TBT327677 TLE327675:TLP327677 TVA327675:TVL327677 UEW327675:UFH327677 UOS327675:UPD327677 UYO327675:UYZ327677 VIK327675:VIV327677 VSG327675:VSR327677 WCC327675:WCN327677 WLY327675:WMJ327677 WVU327675:WWF327677 JI393211:JT393213 TE393211:TP393213 ADA393211:ADL393213 AMW393211:ANH393213 AWS393211:AXD393213 BGO393211:BGZ393213 BQK393211:BQV393213 CAG393211:CAR393213 CKC393211:CKN393213 CTY393211:CUJ393213 DDU393211:DEF393213 DNQ393211:DOB393213 DXM393211:DXX393213 EHI393211:EHT393213 ERE393211:ERP393213 FBA393211:FBL393213 FKW393211:FLH393213 FUS393211:FVD393213 GEO393211:GEZ393213 GOK393211:GOV393213 GYG393211:GYR393213 HIC393211:HIN393213 HRY393211:HSJ393213 IBU393211:ICF393213 ILQ393211:IMB393213 IVM393211:IVX393213 JFI393211:JFT393213 JPE393211:JPP393213 JZA393211:JZL393213 KIW393211:KJH393213 KSS393211:KTD393213 LCO393211:LCZ393213 LMK393211:LMV393213 LWG393211:LWR393213 MGC393211:MGN393213 MPY393211:MQJ393213 MZU393211:NAF393213 NJQ393211:NKB393213 NTM393211:NTX393213 ODI393211:ODT393213 ONE393211:ONP393213 OXA393211:OXL393213 PGW393211:PHH393213 PQS393211:PRD393213 QAO393211:QAZ393213 QKK393211:QKV393213 QUG393211:QUR393213 REC393211:REN393213 RNY393211:ROJ393213 RXU393211:RYF393213 SHQ393211:SIB393213 SRM393211:SRX393213 TBI393211:TBT393213 TLE393211:TLP393213 TVA393211:TVL393213 UEW393211:UFH393213 UOS393211:UPD393213 UYO393211:UYZ393213 VIK393211:VIV393213 VSG393211:VSR393213 WCC393211:WCN393213 WLY393211:WMJ393213 WVU393211:WWF393213 JI458747:JT458749 TE458747:TP458749 ADA458747:ADL458749 AMW458747:ANH458749 AWS458747:AXD458749 BGO458747:BGZ458749 BQK458747:BQV458749 CAG458747:CAR458749 CKC458747:CKN458749 CTY458747:CUJ458749 DDU458747:DEF458749 DNQ458747:DOB458749 DXM458747:DXX458749 EHI458747:EHT458749 ERE458747:ERP458749 FBA458747:FBL458749 FKW458747:FLH458749 FUS458747:FVD458749 GEO458747:GEZ458749 GOK458747:GOV458749 GYG458747:GYR458749 HIC458747:HIN458749 HRY458747:HSJ458749 IBU458747:ICF458749 ILQ458747:IMB458749 IVM458747:IVX458749 JFI458747:JFT458749 JPE458747:JPP458749 JZA458747:JZL458749 KIW458747:KJH458749 KSS458747:KTD458749 LCO458747:LCZ458749 LMK458747:LMV458749 LWG458747:LWR458749 MGC458747:MGN458749 MPY458747:MQJ458749 MZU458747:NAF458749 NJQ458747:NKB458749 NTM458747:NTX458749 ODI458747:ODT458749 ONE458747:ONP458749 OXA458747:OXL458749 PGW458747:PHH458749 PQS458747:PRD458749 QAO458747:QAZ458749 QKK458747:QKV458749 QUG458747:QUR458749 REC458747:REN458749 RNY458747:ROJ458749 RXU458747:RYF458749 SHQ458747:SIB458749 SRM458747:SRX458749 TBI458747:TBT458749 TLE458747:TLP458749 TVA458747:TVL458749 UEW458747:UFH458749 UOS458747:UPD458749 UYO458747:UYZ458749 VIK458747:VIV458749 VSG458747:VSR458749 WCC458747:WCN458749 WLY458747:WMJ458749 WVU458747:WWF458749 JI524283:JT524285 TE524283:TP524285 ADA524283:ADL524285 AMW524283:ANH524285 AWS524283:AXD524285 BGO524283:BGZ524285 BQK524283:BQV524285 CAG524283:CAR524285 CKC524283:CKN524285 CTY524283:CUJ524285 DDU524283:DEF524285 DNQ524283:DOB524285 DXM524283:DXX524285 EHI524283:EHT524285 ERE524283:ERP524285 FBA524283:FBL524285 FKW524283:FLH524285 FUS524283:FVD524285 GEO524283:GEZ524285 GOK524283:GOV524285 GYG524283:GYR524285 HIC524283:HIN524285 HRY524283:HSJ524285 IBU524283:ICF524285 ILQ524283:IMB524285 IVM524283:IVX524285 JFI524283:JFT524285 JPE524283:JPP524285 JZA524283:JZL524285 KIW524283:KJH524285 KSS524283:KTD524285 LCO524283:LCZ524285 LMK524283:LMV524285 LWG524283:LWR524285 MGC524283:MGN524285 MPY524283:MQJ524285 MZU524283:NAF524285 NJQ524283:NKB524285 NTM524283:NTX524285 ODI524283:ODT524285 ONE524283:ONP524285 OXA524283:OXL524285 PGW524283:PHH524285 PQS524283:PRD524285 QAO524283:QAZ524285 QKK524283:QKV524285 QUG524283:QUR524285 REC524283:REN524285 RNY524283:ROJ524285 RXU524283:RYF524285 SHQ524283:SIB524285 SRM524283:SRX524285 TBI524283:TBT524285 TLE524283:TLP524285 TVA524283:TVL524285 UEW524283:UFH524285 UOS524283:UPD524285 UYO524283:UYZ524285 VIK524283:VIV524285 VSG524283:VSR524285 WCC524283:WCN524285 WLY524283:WMJ524285 WVU524283:WWF524285 JI589819:JT589821 TE589819:TP589821 ADA589819:ADL589821 AMW589819:ANH589821 AWS589819:AXD589821 BGO589819:BGZ589821 BQK589819:BQV589821 CAG589819:CAR589821 CKC589819:CKN589821 CTY589819:CUJ589821 DDU589819:DEF589821 DNQ589819:DOB589821 DXM589819:DXX589821 EHI589819:EHT589821 ERE589819:ERP589821 FBA589819:FBL589821 FKW589819:FLH589821 FUS589819:FVD589821 GEO589819:GEZ589821 GOK589819:GOV589821 GYG589819:GYR589821 HIC589819:HIN589821 HRY589819:HSJ589821 IBU589819:ICF589821 ILQ589819:IMB589821 IVM589819:IVX589821 JFI589819:JFT589821 JPE589819:JPP589821 JZA589819:JZL589821 KIW589819:KJH589821 KSS589819:KTD589821 LCO589819:LCZ589821 LMK589819:LMV589821 LWG589819:LWR589821 MGC589819:MGN589821 MPY589819:MQJ589821 MZU589819:NAF589821 NJQ589819:NKB589821 NTM589819:NTX589821 ODI589819:ODT589821 ONE589819:ONP589821 OXA589819:OXL589821 PGW589819:PHH589821 PQS589819:PRD589821 QAO589819:QAZ589821 QKK589819:QKV589821 QUG589819:QUR589821 REC589819:REN589821 RNY589819:ROJ589821 RXU589819:RYF589821 SHQ589819:SIB589821 SRM589819:SRX589821 TBI589819:TBT589821 TLE589819:TLP589821 TVA589819:TVL589821 UEW589819:UFH589821 UOS589819:UPD589821 UYO589819:UYZ589821 VIK589819:VIV589821 VSG589819:VSR589821 WCC589819:WCN589821 WLY589819:WMJ589821 WVU589819:WWF589821 JI655355:JT655357 TE655355:TP655357 ADA655355:ADL655357 AMW655355:ANH655357 AWS655355:AXD655357 BGO655355:BGZ655357 BQK655355:BQV655357 CAG655355:CAR655357 CKC655355:CKN655357 CTY655355:CUJ655357 DDU655355:DEF655357 DNQ655355:DOB655357 DXM655355:DXX655357 EHI655355:EHT655357 ERE655355:ERP655357 FBA655355:FBL655357 FKW655355:FLH655357 FUS655355:FVD655357 GEO655355:GEZ655357 GOK655355:GOV655357 GYG655355:GYR655357 HIC655355:HIN655357 HRY655355:HSJ655357 IBU655355:ICF655357 ILQ655355:IMB655357 IVM655355:IVX655357 JFI655355:JFT655357 JPE655355:JPP655357 JZA655355:JZL655357 KIW655355:KJH655357 KSS655355:KTD655357 LCO655355:LCZ655357 LMK655355:LMV655357 LWG655355:LWR655357 MGC655355:MGN655357 MPY655355:MQJ655357 MZU655355:NAF655357 NJQ655355:NKB655357 NTM655355:NTX655357 ODI655355:ODT655357 ONE655355:ONP655357 OXA655355:OXL655357 PGW655355:PHH655357 PQS655355:PRD655357 QAO655355:QAZ655357 QKK655355:QKV655357 QUG655355:QUR655357 REC655355:REN655357 RNY655355:ROJ655357 RXU655355:RYF655357 SHQ655355:SIB655357 SRM655355:SRX655357 TBI655355:TBT655357 TLE655355:TLP655357 TVA655355:TVL655357 UEW655355:UFH655357 UOS655355:UPD655357 UYO655355:UYZ655357 VIK655355:VIV655357 VSG655355:VSR655357 WCC655355:WCN655357 WLY655355:WMJ655357 WVU655355:WWF655357 JI720891:JT720893 TE720891:TP720893 ADA720891:ADL720893 AMW720891:ANH720893 AWS720891:AXD720893 BGO720891:BGZ720893 BQK720891:BQV720893 CAG720891:CAR720893 CKC720891:CKN720893 CTY720891:CUJ720893 DDU720891:DEF720893 DNQ720891:DOB720893 DXM720891:DXX720893 EHI720891:EHT720893 ERE720891:ERP720893 FBA720891:FBL720893 FKW720891:FLH720893 FUS720891:FVD720893 GEO720891:GEZ720893 GOK720891:GOV720893 GYG720891:GYR720893 HIC720891:HIN720893 HRY720891:HSJ720893 IBU720891:ICF720893 ILQ720891:IMB720893 IVM720891:IVX720893 JFI720891:JFT720893 JPE720891:JPP720893 JZA720891:JZL720893 KIW720891:KJH720893 KSS720891:KTD720893 LCO720891:LCZ720893 LMK720891:LMV720893 LWG720891:LWR720893 MGC720891:MGN720893 MPY720891:MQJ720893 MZU720891:NAF720893 NJQ720891:NKB720893 NTM720891:NTX720893 ODI720891:ODT720893 ONE720891:ONP720893 OXA720891:OXL720893 PGW720891:PHH720893 PQS720891:PRD720893 QAO720891:QAZ720893 QKK720891:QKV720893 QUG720891:QUR720893 REC720891:REN720893 RNY720891:ROJ720893 RXU720891:RYF720893 SHQ720891:SIB720893 SRM720891:SRX720893 TBI720891:TBT720893 TLE720891:TLP720893 TVA720891:TVL720893 UEW720891:UFH720893 UOS720891:UPD720893 UYO720891:UYZ720893 VIK720891:VIV720893 VSG720891:VSR720893 WCC720891:WCN720893 WLY720891:WMJ720893 WVU720891:WWF720893 JI786427:JT786429 TE786427:TP786429 ADA786427:ADL786429 AMW786427:ANH786429 AWS786427:AXD786429 BGO786427:BGZ786429 BQK786427:BQV786429 CAG786427:CAR786429 CKC786427:CKN786429 CTY786427:CUJ786429 DDU786427:DEF786429 DNQ786427:DOB786429 DXM786427:DXX786429 EHI786427:EHT786429 ERE786427:ERP786429 FBA786427:FBL786429 FKW786427:FLH786429 FUS786427:FVD786429 GEO786427:GEZ786429 GOK786427:GOV786429 GYG786427:GYR786429 HIC786427:HIN786429 HRY786427:HSJ786429 IBU786427:ICF786429 ILQ786427:IMB786429 IVM786427:IVX786429 JFI786427:JFT786429 JPE786427:JPP786429 JZA786427:JZL786429 KIW786427:KJH786429 KSS786427:KTD786429 LCO786427:LCZ786429 LMK786427:LMV786429 LWG786427:LWR786429 MGC786427:MGN786429 MPY786427:MQJ786429 MZU786427:NAF786429 NJQ786427:NKB786429 NTM786427:NTX786429 ODI786427:ODT786429 ONE786427:ONP786429 OXA786427:OXL786429 PGW786427:PHH786429 PQS786427:PRD786429 QAO786427:QAZ786429 QKK786427:QKV786429 QUG786427:QUR786429 REC786427:REN786429 RNY786427:ROJ786429 RXU786427:RYF786429 SHQ786427:SIB786429 SRM786427:SRX786429 TBI786427:TBT786429 TLE786427:TLP786429 TVA786427:TVL786429 UEW786427:UFH786429 UOS786427:UPD786429 UYO786427:UYZ786429 VIK786427:VIV786429 VSG786427:VSR786429 WCC786427:WCN786429 WLY786427:WMJ786429 WVU786427:WWF786429 JI851963:JT851965 TE851963:TP851965 ADA851963:ADL851965 AMW851963:ANH851965 AWS851963:AXD851965 BGO851963:BGZ851965 BQK851963:BQV851965 CAG851963:CAR851965 CKC851963:CKN851965 CTY851963:CUJ851965 DDU851963:DEF851965 DNQ851963:DOB851965 DXM851963:DXX851965 EHI851963:EHT851965 ERE851963:ERP851965 FBA851963:FBL851965 FKW851963:FLH851965 FUS851963:FVD851965 GEO851963:GEZ851965 GOK851963:GOV851965 GYG851963:GYR851965 HIC851963:HIN851965 HRY851963:HSJ851965 IBU851963:ICF851965 ILQ851963:IMB851965 IVM851963:IVX851965 JFI851963:JFT851965 JPE851963:JPP851965 JZA851963:JZL851965 KIW851963:KJH851965 KSS851963:KTD851965 LCO851963:LCZ851965 LMK851963:LMV851965 LWG851963:LWR851965 MGC851963:MGN851965 MPY851963:MQJ851965 MZU851963:NAF851965 NJQ851963:NKB851965 NTM851963:NTX851965 ODI851963:ODT851965 ONE851963:ONP851965 OXA851963:OXL851965 PGW851963:PHH851965 PQS851963:PRD851965 QAO851963:QAZ851965 QKK851963:QKV851965 QUG851963:QUR851965 REC851963:REN851965 RNY851963:ROJ851965 RXU851963:RYF851965 SHQ851963:SIB851965 SRM851963:SRX851965 TBI851963:TBT851965 TLE851963:TLP851965 TVA851963:TVL851965 UEW851963:UFH851965 UOS851963:UPD851965 UYO851963:UYZ851965 VIK851963:VIV851965 VSG851963:VSR851965 WCC851963:WCN851965 WLY851963:WMJ851965 WVU851963:WWF851965 JI917499:JT917501 TE917499:TP917501 ADA917499:ADL917501 AMW917499:ANH917501 AWS917499:AXD917501 BGO917499:BGZ917501 BQK917499:BQV917501 CAG917499:CAR917501 CKC917499:CKN917501 CTY917499:CUJ917501 DDU917499:DEF917501 DNQ917499:DOB917501 DXM917499:DXX917501 EHI917499:EHT917501 ERE917499:ERP917501 FBA917499:FBL917501 FKW917499:FLH917501 FUS917499:FVD917501 GEO917499:GEZ917501 GOK917499:GOV917501 GYG917499:GYR917501 HIC917499:HIN917501 HRY917499:HSJ917501 IBU917499:ICF917501 ILQ917499:IMB917501 IVM917499:IVX917501 JFI917499:JFT917501 JPE917499:JPP917501 JZA917499:JZL917501 KIW917499:KJH917501 KSS917499:KTD917501 LCO917499:LCZ917501 LMK917499:LMV917501 LWG917499:LWR917501 MGC917499:MGN917501 MPY917499:MQJ917501 MZU917499:NAF917501 NJQ917499:NKB917501 NTM917499:NTX917501 ODI917499:ODT917501 ONE917499:ONP917501 OXA917499:OXL917501 PGW917499:PHH917501 PQS917499:PRD917501 QAO917499:QAZ917501 QKK917499:QKV917501 QUG917499:QUR917501 REC917499:REN917501 RNY917499:ROJ917501 RXU917499:RYF917501 SHQ917499:SIB917501 SRM917499:SRX917501 TBI917499:TBT917501 TLE917499:TLP917501 TVA917499:TVL917501 UEW917499:UFH917501 UOS917499:UPD917501 UYO917499:UYZ917501 VIK917499:VIV917501 VSG917499:VSR917501 WCC917499:WCN917501 WLY917499:WMJ917501 WVU917499:WWF917501 JI983035:JT983037 TE983035:TP983037 ADA983035:ADL983037 AMW983035:ANH983037 AWS983035:AXD983037 BGO983035:BGZ983037 BQK983035:BQV983037 CAG983035:CAR983037 CKC983035:CKN983037 CTY983035:CUJ983037 DDU983035:DEF983037 DNQ983035:DOB983037 DXM983035:DXX983037 EHI983035:EHT983037 ERE983035:ERP983037 FBA983035:FBL983037 FKW983035:FLH983037 FUS983035:FVD983037 GEO983035:GEZ983037 GOK983035:GOV983037 GYG983035:GYR983037 HIC983035:HIN983037 HRY983035:HSJ983037 IBU983035:ICF983037 ILQ983035:IMB983037 IVM983035:IVX983037 JFI983035:JFT983037 JPE983035:JPP983037 JZA983035:JZL983037 KIW983035:KJH983037 KSS983035:KTD983037 LCO983035:LCZ983037 LMK983035:LMV983037 LWG983035:LWR983037 MGC983035:MGN983037 MPY983035:MQJ983037 MZU983035:NAF983037 NJQ983035:NKB983037 NTM983035:NTX983037 ODI983035:ODT983037 ONE983035:ONP983037 OXA983035:OXL983037 PGW983035:PHH983037 PQS983035:PRD983037 QAO983035:QAZ983037 QKK983035:QKV983037 QUG983035:QUR983037 REC983035:REN983037 RNY983035:ROJ983037 RXU983035:RYF983037 SHQ983035:SIB983037 SRM983035:SRX983037 TBI983035:TBT983037 TLE983035:TLP983037 TVA983035:TVL983037 UEW983035:UFH983037 UOS983035:UPD983037 UYO983035:UYZ983037 VIK983035:VIV983037 VSG983035:VSR983037 WCC983035:WCN983037 WLY983035:WMJ983037 WVU983035:WWF983037 Z262139:AJ262141 Z196603:AJ196605 Z131067:AJ131069 Z65531:AJ65533 Z983035:AJ983037 Z917499:AJ917501 Z851963:AJ851965 Z786427:AJ786429 Z720891:AJ720893 Z655355:AJ655357 Z589819:AJ589821 Z524283:AJ524285 Z458747:AJ458749 Z393211:AJ393213 Z327675:AJ327677 JJ2:JU4 TF2:TQ4 ADB2:ADM4 AMX2:ANI4 AWT2:AXE4 BGP2:BHA4 BQL2:BQW4 CAH2:CAS4 CKD2:CKO4 CTZ2:CUK4 DDV2:DEG4 DNR2:DOC4 DXN2:DXY4 EHJ2:EHU4 ERF2:ERQ4 FBB2:FBM4 FKX2:FLI4 FUT2:FVE4 GEP2:GFA4 GOL2:GOW4 GYH2:GYS4 HID2:HIO4 HRZ2:HSK4 IBV2:ICG4 ILR2:IMC4 IVN2:IVY4 JFJ2:JFU4 JPF2:JPQ4 JZB2:JZM4 KIX2:KJI4 KST2:KTE4 LCP2:LDA4 LML2:LMW4 LWH2:LWS4 MGD2:MGO4 MPZ2:MQK4 MZV2:NAG4 NJR2:NKC4 NTN2:NTY4 ODJ2:ODU4 ONF2:ONQ4 OXB2:OXM4 PGX2:PHI4 PQT2:PRE4 QAP2:QBA4 QKL2:QKW4 QUH2:QUS4 RED2:REO4 RNZ2:ROK4 RXV2:RYG4 SHR2:SIC4 SRN2:SRY4 TBJ2:TBU4 TLF2:TLQ4 TVB2:TVM4 UEX2:UFI4 UOT2:UPE4 UYP2:UZA4 VIL2:VIW4 VSH2:VSS4 WCD2:WCO4 WLZ2:WMK4 WVV2:WWG4 R2"/>
    <dataValidation type="list" allowBlank="1" showInputMessage="1" showErrorMessage="1" sqref="Y8:Z46">
      <formula1>"文字,数値,日付,時間"</formula1>
    </dataValidation>
    <dataValidation type="list" allowBlank="1" showInputMessage="1" showErrorMessage="1" sqref="AA8:AC46">
      <formula1>"int,numeric,varchar,date,datetime2(0),datetime2,varbinary(max)"</formula1>
    </dataValidation>
  </dataValidations>
  <pageMargins left="0.39370078740157483" right="0.39370078740157483" top="0.59055118110236227" bottom="0.39370078740157483" header="0.39370078740157483" footer="0.19685039370078741"/>
  <pageSetup paperSize="9" scale="80" fitToHeight="0" orientation="landscape" useFirstPageNumber="1" verticalDpi="300" r:id="rId1"/>
  <headerFooter alignWithMargins="0">
    <oddFooter>&amp;R&amp;A - &amp;P</oddFooter>
  </headerFooter>
  <legacyDrawing r:id="rId2"/>
</worksheet>
</file>

<file path=xl/worksheets/sheet1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53">
    <tabColor rgb="FFFFC000"/>
  </sheetPr>
  <dimension ref="A1:BD46"/>
  <sheetViews>
    <sheetView showGridLines="0" zoomScaleNormal="100" zoomScaleSheetLayoutView="100" workbookViewId="0">
      <pane ySplit="7" topLeftCell="A8" activePane="bottomLeft" state="frozen"/>
      <selection sqref="A1:K4"/>
      <selection pane="bottomLeft" sqref="A1:H4"/>
    </sheetView>
  </sheetViews>
  <sheetFormatPr defaultColWidth="2.6328125" defaultRowHeight="14.4" customHeight="1"/>
  <cols>
    <col min="1" max="1" width="4.6328125" style="18" customWidth="1"/>
    <col min="2" max="26" width="2.6328125" style="18"/>
    <col min="27" max="27" width="2.6328125" style="18" customWidth="1"/>
    <col min="28" max="29" width="2.6328125" style="18"/>
    <col min="30" max="30" width="4.6328125" style="18" customWidth="1"/>
    <col min="31" max="31" width="2.6328125" style="18" customWidth="1"/>
    <col min="32" max="33" width="2.6328125" style="18"/>
    <col min="34" max="34" width="6.6328125" style="18" customWidth="1"/>
    <col min="35" max="41" width="2.6328125" style="18"/>
    <col min="42" max="56" width="2.6328125" style="46"/>
    <col min="57" max="16384" width="2.6328125" style="18"/>
  </cols>
  <sheetData>
    <row r="1" spans="1:56" s="17" customFormat="1" ht="14.4" customHeight="1">
      <c r="A1" s="417" t="s">
        <v>78</v>
      </c>
      <c r="B1" s="418"/>
      <c r="C1" s="418"/>
      <c r="D1" s="418"/>
      <c r="E1" s="418"/>
      <c r="F1" s="418"/>
      <c r="G1" s="418"/>
      <c r="H1" s="419"/>
      <c r="I1" s="354" t="s">
        <v>79</v>
      </c>
      <c r="J1" s="355"/>
      <c r="K1" s="355"/>
      <c r="L1" s="355"/>
      <c r="M1" s="355"/>
      <c r="N1" s="355"/>
      <c r="O1" s="355"/>
      <c r="P1" s="355"/>
      <c r="Q1" s="356"/>
      <c r="R1" s="354" t="s">
        <v>80</v>
      </c>
      <c r="S1" s="355"/>
      <c r="T1" s="355"/>
      <c r="U1" s="355"/>
      <c r="V1" s="355"/>
      <c r="W1" s="355"/>
      <c r="X1" s="356"/>
      <c r="Y1" s="354" t="s">
        <v>135</v>
      </c>
      <c r="Z1" s="355"/>
      <c r="AA1" s="355"/>
      <c r="AB1" s="355"/>
      <c r="AC1" s="355"/>
      <c r="AD1" s="355"/>
      <c r="AE1" s="355"/>
      <c r="AF1" s="355"/>
      <c r="AG1" s="355"/>
      <c r="AH1" s="355"/>
      <c r="AI1" s="355"/>
      <c r="AJ1" s="355"/>
      <c r="AK1" s="355"/>
      <c r="AL1" s="355"/>
      <c r="AM1" s="355"/>
      <c r="AN1" s="355"/>
      <c r="AO1" s="356"/>
      <c r="AP1" s="428" t="s">
        <v>82</v>
      </c>
      <c r="AQ1" s="429"/>
      <c r="AR1" s="429"/>
      <c r="AS1" s="429"/>
      <c r="AT1" s="430"/>
      <c r="AU1" s="428" t="s">
        <v>83</v>
      </c>
      <c r="AV1" s="429"/>
      <c r="AW1" s="429"/>
      <c r="AX1" s="429"/>
      <c r="AY1" s="430"/>
      <c r="AZ1" s="428" t="s">
        <v>84</v>
      </c>
      <c r="BA1" s="429"/>
      <c r="BB1" s="429"/>
      <c r="BC1" s="429"/>
      <c r="BD1" s="430"/>
    </row>
    <row r="2" spans="1:56" s="17" customFormat="1" ht="14.4" customHeight="1">
      <c r="A2" s="420"/>
      <c r="B2" s="421"/>
      <c r="C2" s="421"/>
      <c r="D2" s="421"/>
      <c r="E2" s="421"/>
      <c r="F2" s="421"/>
      <c r="G2" s="421"/>
      <c r="H2" s="422"/>
      <c r="I2" s="384" t="s">
        <v>85</v>
      </c>
      <c r="J2" s="385"/>
      <c r="K2" s="385"/>
      <c r="L2" s="385"/>
      <c r="M2" s="385"/>
      <c r="N2" s="385"/>
      <c r="O2" s="385"/>
      <c r="P2" s="385"/>
      <c r="Q2" s="386"/>
      <c r="R2" s="384" t="str">
        <f ca="1">VLOOKUP(RIGHT(CELL("filename",A2),LEN(CELL("filename",A2))-FIND("]",CELL("filename",A2))),テーブル一覧!B:AD,22,FALSE)</f>
        <v>B.生産計画</v>
      </c>
      <c r="S2" s="385"/>
      <c r="T2" s="385"/>
      <c r="U2" s="385"/>
      <c r="V2" s="385"/>
      <c r="W2" s="385"/>
      <c r="X2" s="386"/>
      <c r="Y2" s="384" t="str">
        <f ca="1">VLOOKUP(RIGHT(CELL("filename",A2),LEN(CELL("filename",A2))-FIND("]",CELL("filename",A2))),テーブル一覧!B:AD,1,FALSE)</f>
        <v>生産指示情報（調薬）</v>
      </c>
      <c r="Z2" s="385"/>
      <c r="AA2" s="385"/>
      <c r="AB2" s="385"/>
      <c r="AC2" s="385"/>
      <c r="AD2" s="385"/>
      <c r="AE2" s="385"/>
      <c r="AF2" s="385"/>
      <c r="AG2" s="385"/>
      <c r="AH2" s="385"/>
      <c r="AI2" s="385"/>
      <c r="AJ2" s="385"/>
      <c r="AK2" s="385"/>
      <c r="AL2" s="385"/>
      <c r="AM2" s="385"/>
      <c r="AN2" s="385"/>
      <c r="AO2" s="386"/>
      <c r="AP2" s="357"/>
      <c r="AQ2" s="358"/>
      <c r="AR2" s="358"/>
      <c r="AS2" s="358"/>
      <c r="AT2" s="359"/>
      <c r="AU2" s="58" t="s">
        <v>88</v>
      </c>
      <c r="AV2" s="59"/>
      <c r="AW2" s="59"/>
      <c r="AX2" s="59"/>
      <c r="AY2" s="60"/>
      <c r="AZ2" s="434" t="s">
        <v>89</v>
      </c>
      <c r="BA2" s="435"/>
      <c r="BB2" s="435"/>
      <c r="BC2" s="435"/>
      <c r="BD2" s="436"/>
    </row>
    <row r="3" spans="1:56" s="17" customFormat="1" ht="14.4" customHeight="1">
      <c r="A3" s="420"/>
      <c r="B3" s="421"/>
      <c r="C3" s="421"/>
      <c r="D3" s="421"/>
      <c r="E3" s="421"/>
      <c r="F3" s="421"/>
      <c r="G3" s="421"/>
      <c r="H3" s="422"/>
      <c r="I3" s="387"/>
      <c r="J3" s="388"/>
      <c r="K3" s="388"/>
      <c r="L3" s="388"/>
      <c r="M3" s="388"/>
      <c r="N3" s="388"/>
      <c r="O3" s="388"/>
      <c r="P3" s="388"/>
      <c r="Q3" s="389"/>
      <c r="R3" s="387"/>
      <c r="S3" s="388"/>
      <c r="T3" s="388"/>
      <c r="U3" s="388"/>
      <c r="V3" s="388"/>
      <c r="W3" s="388"/>
      <c r="X3" s="389"/>
      <c r="Y3" s="390"/>
      <c r="Z3" s="391"/>
      <c r="AA3" s="391"/>
      <c r="AB3" s="391"/>
      <c r="AC3" s="391"/>
      <c r="AD3" s="391"/>
      <c r="AE3" s="391"/>
      <c r="AF3" s="391"/>
      <c r="AG3" s="391"/>
      <c r="AH3" s="391"/>
      <c r="AI3" s="391"/>
      <c r="AJ3" s="391"/>
      <c r="AK3" s="391"/>
      <c r="AL3" s="391"/>
      <c r="AM3" s="391"/>
      <c r="AN3" s="391"/>
      <c r="AO3" s="392"/>
      <c r="AP3" s="360"/>
      <c r="AQ3" s="361"/>
      <c r="AR3" s="361"/>
      <c r="AS3" s="361"/>
      <c r="AT3" s="362"/>
      <c r="AU3" s="431"/>
      <c r="AV3" s="432"/>
      <c r="AW3" s="432"/>
      <c r="AX3" s="432"/>
      <c r="AY3" s="433"/>
      <c r="AZ3" s="434"/>
      <c r="BA3" s="435"/>
      <c r="BB3" s="435"/>
      <c r="BC3" s="435"/>
      <c r="BD3" s="436"/>
    </row>
    <row r="4" spans="1:56" s="17" customFormat="1" ht="14.4" customHeight="1">
      <c r="A4" s="423"/>
      <c r="B4" s="424"/>
      <c r="C4" s="424"/>
      <c r="D4" s="424"/>
      <c r="E4" s="424"/>
      <c r="F4" s="424"/>
      <c r="G4" s="424"/>
      <c r="H4" s="425"/>
      <c r="I4" s="390"/>
      <c r="J4" s="391"/>
      <c r="K4" s="391"/>
      <c r="L4" s="391"/>
      <c r="M4" s="391"/>
      <c r="N4" s="391"/>
      <c r="O4" s="391"/>
      <c r="P4" s="391"/>
      <c r="Q4" s="392"/>
      <c r="R4" s="390"/>
      <c r="S4" s="391"/>
      <c r="T4" s="391"/>
      <c r="U4" s="391"/>
      <c r="V4" s="391"/>
      <c r="W4" s="391"/>
      <c r="X4" s="392"/>
      <c r="Y4" s="437" t="str">
        <f ca="1">IF(VLOOKUP(RIGHT(CELL("filename",A2),LEN(CELL("filename",A2))-FIND("]",CELL("filename",A2))),テーブル一覧!B:AD,11,FALSE)=0,"",VLOOKUP(RIGHT(CELL("filename",A2),LEN(CELL("filename",A2))-FIND("]",CELL("filename",A2))),テーブル一覧!B:AD,11,FALSE))</f>
        <v>t_seisan_shiji_choyaku</v>
      </c>
      <c r="Z4" s="438"/>
      <c r="AA4" s="438"/>
      <c r="AB4" s="438"/>
      <c r="AC4" s="438"/>
      <c r="AD4" s="438"/>
      <c r="AE4" s="438"/>
      <c r="AF4" s="438"/>
      <c r="AG4" s="438"/>
      <c r="AH4" s="438"/>
      <c r="AI4" s="438"/>
      <c r="AJ4" s="438"/>
      <c r="AK4" s="438"/>
      <c r="AL4" s="438"/>
      <c r="AM4" s="438"/>
      <c r="AN4" s="438"/>
      <c r="AO4" s="439"/>
      <c r="AP4" s="360"/>
      <c r="AQ4" s="361"/>
      <c r="AR4" s="361"/>
      <c r="AS4" s="361"/>
      <c r="AT4" s="362"/>
      <c r="AU4" s="431"/>
      <c r="AV4" s="432"/>
      <c r="AW4" s="432"/>
      <c r="AX4" s="432"/>
      <c r="AY4" s="433"/>
      <c r="AZ4" s="434"/>
      <c r="BA4" s="435"/>
      <c r="BB4" s="435"/>
      <c r="BC4" s="435"/>
      <c r="BD4" s="436"/>
    </row>
    <row r="6" spans="1:56" ht="14.4" customHeight="1">
      <c r="A6" s="426" t="s">
        <v>90</v>
      </c>
      <c r="B6" s="407" t="s">
        <v>136</v>
      </c>
      <c r="C6" s="415"/>
      <c r="D6" s="415"/>
      <c r="E6" s="415"/>
      <c r="F6" s="415"/>
      <c r="G6" s="415"/>
      <c r="H6" s="408"/>
      <c r="I6" s="407" t="s">
        <v>137</v>
      </c>
      <c r="J6" s="415"/>
      <c r="K6" s="415"/>
      <c r="L6" s="415"/>
      <c r="M6" s="415"/>
      <c r="N6" s="415"/>
      <c r="O6" s="415"/>
      <c r="P6" s="415"/>
      <c r="Q6" s="408"/>
      <c r="R6" s="407" t="s">
        <v>138</v>
      </c>
      <c r="S6" s="415"/>
      <c r="T6" s="415"/>
      <c r="U6" s="415"/>
      <c r="V6" s="415"/>
      <c r="W6" s="415"/>
      <c r="X6" s="408"/>
      <c r="Y6" s="407" t="s">
        <v>139</v>
      </c>
      <c r="Z6" s="408"/>
      <c r="AA6" s="407" t="s">
        <v>140</v>
      </c>
      <c r="AB6" s="415"/>
      <c r="AC6" s="408"/>
      <c r="AD6" s="411" t="s">
        <v>141</v>
      </c>
      <c r="AE6" s="413" t="s">
        <v>142</v>
      </c>
      <c r="AF6" s="411" t="s">
        <v>143</v>
      </c>
      <c r="AG6" s="411" t="s">
        <v>144</v>
      </c>
      <c r="AH6" s="411" t="s">
        <v>145</v>
      </c>
      <c r="AI6" s="404" t="s">
        <v>146</v>
      </c>
      <c r="AJ6" s="405"/>
      <c r="AK6" s="405"/>
      <c r="AL6" s="405"/>
      <c r="AM6" s="405"/>
      <c r="AN6" s="405"/>
      <c r="AO6" s="405"/>
      <c r="AP6" s="405"/>
      <c r="AQ6" s="405"/>
      <c r="AR6" s="406"/>
      <c r="AS6" s="407" t="s">
        <v>147</v>
      </c>
      <c r="AT6" s="415"/>
      <c r="AU6" s="415"/>
      <c r="AV6" s="415"/>
      <c r="AW6" s="415"/>
      <c r="AX6" s="415"/>
      <c r="AY6" s="415"/>
      <c r="AZ6" s="415"/>
      <c r="BA6" s="415"/>
      <c r="BB6" s="415"/>
      <c r="BC6" s="415"/>
      <c r="BD6" s="408"/>
    </row>
    <row r="7" spans="1:56" ht="14.4" customHeight="1">
      <c r="A7" s="427"/>
      <c r="B7" s="409"/>
      <c r="C7" s="416"/>
      <c r="D7" s="416"/>
      <c r="E7" s="416"/>
      <c r="F7" s="416"/>
      <c r="G7" s="416"/>
      <c r="H7" s="410"/>
      <c r="I7" s="409"/>
      <c r="J7" s="416"/>
      <c r="K7" s="416"/>
      <c r="L7" s="416"/>
      <c r="M7" s="416"/>
      <c r="N7" s="416"/>
      <c r="O7" s="416"/>
      <c r="P7" s="416"/>
      <c r="Q7" s="410"/>
      <c r="R7" s="409"/>
      <c r="S7" s="416"/>
      <c r="T7" s="416"/>
      <c r="U7" s="416"/>
      <c r="V7" s="416"/>
      <c r="W7" s="416"/>
      <c r="X7" s="410"/>
      <c r="Y7" s="409"/>
      <c r="Z7" s="410"/>
      <c r="AA7" s="409"/>
      <c r="AB7" s="416"/>
      <c r="AC7" s="410"/>
      <c r="AD7" s="412"/>
      <c r="AE7" s="414"/>
      <c r="AF7" s="412"/>
      <c r="AG7" s="412"/>
      <c r="AH7" s="412"/>
      <c r="AI7" s="52">
        <v>1</v>
      </c>
      <c r="AJ7" s="52">
        <v>2</v>
      </c>
      <c r="AK7" s="52">
        <v>3</v>
      </c>
      <c r="AL7" s="52">
        <v>4</v>
      </c>
      <c r="AM7" s="52">
        <v>5</v>
      </c>
      <c r="AN7" s="52">
        <v>6</v>
      </c>
      <c r="AO7" s="52">
        <v>7</v>
      </c>
      <c r="AP7" s="52">
        <v>8</v>
      </c>
      <c r="AQ7" s="52">
        <v>9</v>
      </c>
      <c r="AR7" s="52">
        <v>10</v>
      </c>
      <c r="AS7" s="409"/>
      <c r="AT7" s="416"/>
      <c r="AU7" s="416"/>
      <c r="AV7" s="416"/>
      <c r="AW7" s="416"/>
      <c r="AX7" s="416"/>
      <c r="AY7" s="416"/>
      <c r="AZ7" s="416"/>
      <c r="BA7" s="416"/>
      <c r="BB7" s="416"/>
      <c r="BC7" s="416"/>
      <c r="BD7" s="410"/>
    </row>
    <row r="8" spans="1:56" ht="14.4" customHeight="1">
      <c r="A8" s="70">
        <f>IF(B8="","",COUNTA($B$8:B8))</f>
        <v>1</v>
      </c>
      <c r="B8" s="19" t="s">
        <v>148</v>
      </c>
      <c r="C8" s="20"/>
      <c r="D8" s="20"/>
      <c r="E8" s="20"/>
      <c r="F8" s="20"/>
      <c r="G8" s="20"/>
      <c r="H8" s="24"/>
      <c r="I8" s="31" t="s">
        <v>149</v>
      </c>
      <c r="J8" s="23"/>
      <c r="K8" s="23"/>
      <c r="L8" s="23"/>
      <c r="M8" s="23"/>
      <c r="N8" s="23"/>
      <c r="O8" s="38"/>
      <c r="P8" s="23"/>
      <c r="Q8" s="24"/>
      <c r="R8" s="19" t="s">
        <v>148</v>
      </c>
      <c r="S8" s="23"/>
      <c r="T8" s="23"/>
      <c r="U8" s="23"/>
      <c r="V8" s="23"/>
      <c r="W8" s="23"/>
      <c r="X8" s="24"/>
      <c r="Y8" s="440" t="s">
        <v>150</v>
      </c>
      <c r="Z8" s="441"/>
      <c r="AA8" s="442" t="s">
        <v>151</v>
      </c>
      <c r="AB8" s="443"/>
      <c r="AC8" s="444"/>
      <c r="AD8" s="27">
        <v>15</v>
      </c>
      <c r="AE8" s="29"/>
      <c r="AF8" s="29">
        <v>1</v>
      </c>
      <c r="AG8" s="28" t="s">
        <v>152</v>
      </c>
      <c r="AH8" s="28"/>
      <c r="AI8" s="28"/>
      <c r="AJ8" s="28"/>
      <c r="AK8" s="28"/>
      <c r="AL8" s="28"/>
      <c r="AM8" s="28"/>
      <c r="AN8" s="28"/>
      <c r="AO8" s="29"/>
      <c r="AP8" s="29"/>
      <c r="AQ8" s="29"/>
      <c r="AR8" s="29"/>
      <c r="AS8" s="47"/>
      <c r="AT8" s="48"/>
      <c r="AU8" s="48"/>
      <c r="AV8" s="48"/>
      <c r="AW8" s="48"/>
      <c r="AX8" s="48"/>
      <c r="AY8" s="48"/>
      <c r="AZ8" s="48"/>
      <c r="BA8" s="48"/>
      <c r="BB8" s="48"/>
      <c r="BC8" s="48"/>
      <c r="BD8" s="66"/>
    </row>
    <row r="9" spans="1:56" ht="14.4" customHeight="1">
      <c r="A9" s="70">
        <f>IF(B9="","",COUNTA($B$8:B9))</f>
        <v>2</v>
      </c>
      <c r="B9" s="19" t="s">
        <v>159</v>
      </c>
      <c r="C9" s="20"/>
      <c r="D9" s="20"/>
      <c r="E9" s="20"/>
      <c r="F9" s="20"/>
      <c r="G9" s="20"/>
      <c r="H9" s="24"/>
      <c r="I9" s="31" t="s">
        <v>160</v>
      </c>
      <c r="J9" s="23"/>
      <c r="K9" s="23"/>
      <c r="L9" s="23"/>
      <c r="M9" s="23"/>
      <c r="N9" s="23"/>
      <c r="O9" s="38"/>
      <c r="P9" s="23"/>
      <c r="Q9" s="24"/>
      <c r="R9" s="19" t="s">
        <v>159</v>
      </c>
      <c r="S9" s="23"/>
      <c r="T9" s="23"/>
      <c r="U9" s="23"/>
      <c r="V9" s="23"/>
      <c r="W9" s="23"/>
      <c r="X9" s="24"/>
      <c r="Y9" s="440" t="s">
        <v>150</v>
      </c>
      <c r="Z9" s="441"/>
      <c r="AA9" s="442" t="s">
        <v>151</v>
      </c>
      <c r="AB9" s="443"/>
      <c r="AC9" s="444"/>
      <c r="AD9" s="27">
        <v>4</v>
      </c>
      <c r="AE9" s="29"/>
      <c r="AF9" s="29"/>
      <c r="AG9" s="29"/>
      <c r="AH9" s="28"/>
      <c r="AI9" s="28"/>
      <c r="AJ9" s="28"/>
      <c r="AK9" s="28"/>
      <c r="AL9" s="28"/>
      <c r="AM9" s="28"/>
      <c r="AN9" s="28"/>
      <c r="AO9" s="29"/>
      <c r="AP9" s="29"/>
      <c r="AQ9" s="29"/>
      <c r="AR9" s="29"/>
      <c r="AS9" s="31"/>
      <c r="AT9" s="67"/>
      <c r="AU9" s="67"/>
      <c r="AV9" s="67"/>
      <c r="AW9" s="67"/>
      <c r="AX9" s="67"/>
      <c r="AY9" s="67"/>
      <c r="AZ9" s="67"/>
      <c r="BA9" s="67"/>
      <c r="BB9" s="67"/>
      <c r="BC9" s="67"/>
      <c r="BD9" s="68"/>
    </row>
    <row r="10" spans="1:56" ht="14.4" customHeight="1">
      <c r="A10" s="70">
        <f>IF(B10="","",COUNTA($B$8:B10))</f>
        <v>3</v>
      </c>
      <c r="B10" s="19" t="s">
        <v>162</v>
      </c>
      <c r="C10" s="20"/>
      <c r="D10" s="20"/>
      <c r="E10" s="20"/>
      <c r="F10" s="20"/>
      <c r="G10" s="20"/>
      <c r="H10" s="24" t="s">
        <v>418</v>
      </c>
      <c r="I10" s="31" t="s">
        <v>163</v>
      </c>
      <c r="J10" s="23"/>
      <c r="K10" s="23"/>
      <c r="L10" s="23"/>
      <c r="M10" s="23"/>
      <c r="N10" s="23"/>
      <c r="O10" s="38"/>
      <c r="P10" s="23"/>
      <c r="Q10" s="24"/>
      <c r="R10" s="19" t="s">
        <v>164</v>
      </c>
      <c r="S10" s="23"/>
      <c r="T10" s="23"/>
      <c r="U10" s="23"/>
      <c r="V10" s="23"/>
      <c r="W10" s="23"/>
      <c r="X10" s="24"/>
      <c r="Y10" s="440" t="s">
        <v>150</v>
      </c>
      <c r="Z10" s="441"/>
      <c r="AA10" s="442" t="s">
        <v>151</v>
      </c>
      <c r="AB10" s="443"/>
      <c r="AC10" s="444"/>
      <c r="AD10" s="27">
        <v>4</v>
      </c>
      <c r="AE10" s="29"/>
      <c r="AF10" s="29"/>
      <c r="AG10" s="29"/>
      <c r="AH10" s="28"/>
      <c r="AI10" s="28"/>
      <c r="AJ10" s="28"/>
      <c r="AK10" s="28"/>
      <c r="AL10" s="28"/>
      <c r="AM10" s="28"/>
      <c r="AN10" s="28"/>
      <c r="AO10" s="29"/>
      <c r="AP10" s="29"/>
      <c r="AQ10" s="29"/>
      <c r="AR10" s="29"/>
      <c r="AS10" s="31"/>
      <c r="AT10" s="67"/>
      <c r="AU10" s="67"/>
      <c r="AV10" s="67"/>
      <c r="AW10" s="67"/>
      <c r="AX10" s="67"/>
      <c r="AY10" s="67"/>
      <c r="AZ10" s="67"/>
      <c r="BA10" s="67"/>
      <c r="BB10" s="67"/>
      <c r="BC10" s="67"/>
      <c r="BD10" s="68"/>
    </row>
    <row r="11" spans="1:56" s="1" customFormat="1" ht="14.4" customHeight="1">
      <c r="A11" s="145">
        <f>IF(B11="","",COUNTA($B$8:B11))</f>
        <v>4</v>
      </c>
      <c r="B11" s="64" t="s">
        <v>193</v>
      </c>
      <c r="C11" s="2"/>
      <c r="D11" s="2"/>
      <c r="E11" s="2"/>
      <c r="F11" s="2"/>
      <c r="G11" s="2"/>
      <c r="H11" s="3" t="s">
        <v>418</v>
      </c>
      <c r="I11" s="131" t="s">
        <v>194</v>
      </c>
      <c r="J11" s="129"/>
      <c r="K11" s="129"/>
      <c r="L11" s="129"/>
      <c r="M11" s="129"/>
      <c r="N11" s="129"/>
      <c r="O11" s="2"/>
      <c r="P11" s="129"/>
      <c r="Q11" s="148"/>
      <c r="R11" s="64" t="s">
        <v>193</v>
      </c>
      <c r="S11" s="129"/>
      <c r="T11" s="129"/>
      <c r="U11" s="129"/>
      <c r="V11" s="129"/>
      <c r="W11" s="129"/>
      <c r="X11" s="148"/>
      <c r="Y11" s="451" t="s">
        <v>150</v>
      </c>
      <c r="Z11" s="452"/>
      <c r="AA11" s="448" t="s">
        <v>151</v>
      </c>
      <c r="AB11" s="449"/>
      <c r="AC11" s="450"/>
      <c r="AD11" s="139">
        <v>5</v>
      </c>
      <c r="AE11" s="29"/>
      <c r="AF11" s="29"/>
      <c r="AG11" s="29"/>
      <c r="AH11" s="133"/>
      <c r="AI11" s="133"/>
      <c r="AJ11" s="133"/>
      <c r="AK11" s="133"/>
      <c r="AL11" s="133"/>
      <c r="AM11" s="133"/>
      <c r="AN11" s="133"/>
      <c r="AO11" s="124"/>
      <c r="AP11" s="124"/>
      <c r="AQ11" s="124"/>
      <c r="AR11" s="124"/>
      <c r="AS11" s="131"/>
      <c r="AT11" s="137"/>
      <c r="AU11" s="137"/>
      <c r="AV11" s="137"/>
      <c r="AW11" s="137"/>
      <c r="AX11" s="137"/>
      <c r="AY11" s="137"/>
      <c r="AZ11" s="137"/>
      <c r="BA11" s="137"/>
      <c r="BB11" s="137"/>
      <c r="BC11" s="137"/>
      <c r="BD11" s="138"/>
    </row>
    <row r="12" spans="1:56" s="1" customFormat="1" ht="14.4" customHeight="1">
      <c r="A12" s="145">
        <f>IF(B12="","",COUNTA($B$8:B12))</f>
        <v>5</v>
      </c>
      <c r="B12" s="8" t="s">
        <v>195</v>
      </c>
      <c r="C12" s="2"/>
      <c r="D12" s="2"/>
      <c r="E12" s="2"/>
      <c r="F12" s="2"/>
      <c r="G12" s="2"/>
      <c r="H12" s="3" t="s">
        <v>418</v>
      </c>
      <c r="I12" s="131" t="s">
        <v>196</v>
      </c>
      <c r="J12" s="129"/>
      <c r="K12" s="129"/>
      <c r="L12" s="129"/>
      <c r="M12" s="129"/>
      <c r="N12" s="129"/>
      <c r="O12" s="129"/>
      <c r="P12" s="129"/>
      <c r="Q12" s="148"/>
      <c r="R12" s="64" t="s">
        <v>195</v>
      </c>
      <c r="S12" s="129"/>
      <c r="T12" s="129"/>
      <c r="U12" s="129"/>
      <c r="V12" s="129"/>
      <c r="W12" s="129"/>
      <c r="X12" s="148"/>
      <c r="Y12" s="451" t="s">
        <v>150</v>
      </c>
      <c r="Z12" s="452"/>
      <c r="AA12" s="448" t="s">
        <v>151</v>
      </c>
      <c r="AB12" s="449"/>
      <c r="AC12" s="450"/>
      <c r="AD12" s="139">
        <v>30</v>
      </c>
      <c r="AE12" s="29"/>
      <c r="AF12" s="29"/>
      <c r="AG12" s="29"/>
      <c r="AH12" s="133"/>
      <c r="AI12" s="133"/>
      <c r="AJ12" s="133"/>
      <c r="AK12" s="133"/>
      <c r="AL12" s="133"/>
      <c r="AM12" s="133"/>
      <c r="AN12" s="133"/>
      <c r="AO12" s="124"/>
      <c r="AP12" s="124"/>
      <c r="AQ12" s="124"/>
      <c r="AR12" s="124"/>
      <c r="AS12" s="131"/>
      <c r="AT12" s="137"/>
      <c r="AU12" s="137"/>
      <c r="AV12" s="137"/>
      <c r="AW12" s="137"/>
      <c r="AX12" s="137"/>
      <c r="AY12" s="137"/>
      <c r="AZ12" s="137"/>
      <c r="BA12" s="137"/>
      <c r="BB12" s="137"/>
      <c r="BC12" s="137"/>
      <c r="BD12" s="138"/>
    </row>
    <row r="13" spans="1:56" s="1" customFormat="1" ht="14.4" customHeight="1">
      <c r="A13" s="145">
        <f>IF(B13="","",COUNTA($B$8:B13))</f>
        <v>6</v>
      </c>
      <c r="B13" s="8" t="s">
        <v>197</v>
      </c>
      <c r="C13" s="127"/>
      <c r="D13" s="127"/>
      <c r="E13" s="127"/>
      <c r="F13" s="127"/>
      <c r="G13" s="127"/>
      <c r="H13" s="3" t="s">
        <v>418</v>
      </c>
      <c r="I13" s="131" t="s">
        <v>198</v>
      </c>
      <c r="J13" s="129"/>
      <c r="K13" s="129"/>
      <c r="L13" s="129"/>
      <c r="M13" s="129"/>
      <c r="N13" s="129"/>
      <c r="O13" s="129"/>
      <c r="P13" s="129"/>
      <c r="Q13" s="148"/>
      <c r="R13" s="8" t="s">
        <v>197</v>
      </c>
      <c r="S13" s="129"/>
      <c r="T13" s="129"/>
      <c r="U13" s="129"/>
      <c r="V13" s="129"/>
      <c r="W13" s="129"/>
      <c r="X13" s="148"/>
      <c r="Y13" s="451" t="s">
        <v>150</v>
      </c>
      <c r="Z13" s="452"/>
      <c r="AA13" s="448" t="s">
        <v>151</v>
      </c>
      <c r="AB13" s="449"/>
      <c r="AC13" s="450"/>
      <c r="AD13" s="139">
        <v>5</v>
      </c>
      <c r="AE13" s="29"/>
      <c r="AF13" s="29"/>
      <c r="AG13" s="29"/>
      <c r="AH13" s="133"/>
      <c r="AI13" s="133"/>
      <c r="AJ13" s="133"/>
      <c r="AK13" s="133"/>
      <c r="AL13" s="133"/>
      <c r="AM13" s="133"/>
      <c r="AN13" s="133"/>
      <c r="AO13" s="124"/>
      <c r="AP13" s="124"/>
      <c r="AQ13" s="124"/>
      <c r="AR13" s="124"/>
      <c r="AS13" s="131"/>
      <c r="AT13" s="137"/>
      <c r="AU13" s="137"/>
      <c r="AV13" s="137"/>
      <c r="AW13" s="137"/>
      <c r="AX13" s="137"/>
      <c r="AY13" s="137"/>
      <c r="AZ13" s="137"/>
      <c r="BA13" s="137"/>
      <c r="BB13" s="137"/>
      <c r="BC13" s="137"/>
      <c r="BD13" s="138"/>
    </row>
    <row r="14" spans="1:56" s="1" customFormat="1" ht="14.4" customHeight="1">
      <c r="A14" s="145">
        <f>IF(B14="","",COUNTA($B$8:B14))</f>
        <v>7</v>
      </c>
      <c r="B14" s="146" t="s">
        <v>199</v>
      </c>
      <c r="C14" s="127"/>
      <c r="D14" s="127"/>
      <c r="E14" s="127"/>
      <c r="F14" s="127"/>
      <c r="G14" s="127"/>
      <c r="H14" s="3" t="s">
        <v>418</v>
      </c>
      <c r="I14" s="131" t="s">
        <v>200</v>
      </c>
      <c r="J14" s="129"/>
      <c r="K14" s="129"/>
      <c r="L14" s="129"/>
      <c r="M14" s="129"/>
      <c r="N14" s="129"/>
      <c r="O14" s="129"/>
      <c r="P14" s="129"/>
      <c r="Q14" s="148"/>
      <c r="R14" s="8" t="s">
        <v>199</v>
      </c>
      <c r="S14" s="129"/>
      <c r="T14" s="129"/>
      <c r="U14" s="129"/>
      <c r="V14" s="129"/>
      <c r="W14" s="129"/>
      <c r="X14" s="148"/>
      <c r="Y14" s="451" t="s">
        <v>150</v>
      </c>
      <c r="Z14" s="452"/>
      <c r="AA14" s="448" t="s">
        <v>151</v>
      </c>
      <c r="AB14" s="449"/>
      <c r="AC14" s="450"/>
      <c r="AD14" s="139">
        <v>20</v>
      </c>
      <c r="AE14" s="29"/>
      <c r="AF14" s="29"/>
      <c r="AG14" s="29"/>
      <c r="AH14" s="133"/>
      <c r="AI14" s="133"/>
      <c r="AJ14" s="133"/>
      <c r="AK14" s="133"/>
      <c r="AL14" s="133"/>
      <c r="AM14" s="133"/>
      <c r="AN14" s="133"/>
      <c r="AO14" s="124"/>
      <c r="AP14" s="124"/>
      <c r="AQ14" s="124"/>
      <c r="AR14" s="124"/>
      <c r="AS14" s="131"/>
      <c r="AT14" s="137"/>
      <c r="AU14" s="137"/>
      <c r="AV14" s="137"/>
      <c r="AW14" s="137"/>
      <c r="AX14" s="137"/>
      <c r="AY14" s="137"/>
      <c r="AZ14" s="137"/>
      <c r="BA14" s="137"/>
      <c r="BB14" s="137"/>
      <c r="BC14" s="137"/>
      <c r="BD14" s="138"/>
    </row>
    <row r="15" spans="1:56" s="1" customFormat="1" ht="14.4" customHeight="1">
      <c r="A15" s="145">
        <f>IF(B15="","",COUNTA($B$8:B15))</f>
        <v>8</v>
      </c>
      <c r="B15" s="8" t="s">
        <v>201</v>
      </c>
      <c r="C15" s="127"/>
      <c r="D15" s="127"/>
      <c r="E15" s="127"/>
      <c r="F15" s="127"/>
      <c r="G15" s="127"/>
      <c r="H15" s="3" t="s">
        <v>418</v>
      </c>
      <c r="I15" s="131" t="s">
        <v>202</v>
      </c>
      <c r="J15" s="129"/>
      <c r="K15" s="129"/>
      <c r="L15" s="129"/>
      <c r="M15" s="129"/>
      <c r="N15" s="129"/>
      <c r="O15" s="129"/>
      <c r="P15" s="129"/>
      <c r="Q15" s="148"/>
      <c r="R15" s="8" t="s">
        <v>201</v>
      </c>
      <c r="S15" s="129"/>
      <c r="T15" s="129"/>
      <c r="U15" s="129"/>
      <c r="V15" s="129"/>
      <c r="W15" s="129"/>
      <c r="X15" s="148"/>
      <c r="Y15" s="451" t="s">
        <v>150</v>
      </c>
      <c r="Z15" s="452"/>
      <c r="AA15" s="448" t="s">
        <v>151</v>
      </c>
      <c r="AB15" s="449"/>
      <c r="AC15" s="450"/>
      <c r="AD15" s="139">
        <v>30</v>
      </c>
      <c r="AE15" s="29"/>
      <c r="AF15" s="29"/>
      <c r="AG15" s="29"/>
      <c r="AH15" s="133"/>
      <c r="AI15" s="133"/>
      <c r="AJ15" s="133"/>
      <c r="AK15" s="133"/>
      <c r="AL15" s="133"/>
      <c r="AM15" s="133"/>
      <c r="AN15" s="133"/>
      <c r="AO15" s="124"/>
      <c r="AP15" s="124"/>
      <c r="AQ15" s="124"/>
      <c r="AR15" s="124"/>
      <c r="AS15" s="131"/>
      <c r="AT15" s="137"/>
      <c r="AU15" s="137"/>
      <c r="AV15" s="137"/>
      <c r="AW15" s="137"/>
      <c r="AX15" s="137"/>
      <c r="AY15" s="137"/>
      <c r="AZ15" s="137"/>
      <c r="BA15" s="137"/>
      <c r="BB15" s="137"/>
      <c r="BC15" s="137"/>
      <c r="BD15" s="138"/>
    </row>
    <row r="16" spans="1:56" s="1" customFormat="1" ht="14.4" customHeight="1">
      <c r="A16" s="145">
        <f>IF(B16="","",COUNTA($B$8:B16))</f>
        <v>9</v>
      </c>
      <c r="B16" s="8" t="s">
        <v>203</v>
      </c>
      <c r="C16" s="127"/>
      <c r="D16" s="127"/>
      <c r="E16" s="127"/>
      <c r="F16" s="127"/>
      <c r="G16" s="127"/>
      <c r="H16" s="3" t="s">
        <v>418</v>
      </c>
      <c r="I16" s="131" t="s">
        <v>204</v>
      </c>
      <c r="J16" s="129"/>
      <c r="K16" s="129"/>
      <c r="L16" s="129"/>
      <c r="M16" s="129"/>
      <c r="N16" s="129"/>
      <c r="O16" s="169"/>
      <c r="P16" s="129"/>
      <c r="Q16" s="148"/>
      <c r="R16" s="8" t="s">
        <v>203</v>
      </c>
      <c r="S16" s="129"/>
      <c r="T16" s="129"/>
      <c r="U16" s="129"/>
      <c r="V16" s="129"/>
      <c r="W16" s="129"/>
      <c r="X16" s="148"/>
      <c r="Y16" s="451" t="s">
        <v>155</v>
      </c>
      <c r="Z16" s="452"/>
      <c r="AA16" s="448" t="s">
        <v>156</v>
      </c>
      <c r="AB16" s="449"/>
      <c r="AC16" s="450"/>
      <c r="AD16" s="139">
        <v>5</v>
      </c>
      <c r="AE16" s="29">
        <v>2</v>
      </c>
      <c r="AF16" s="29"/>
      <c r="AG16" s="29"/>
      <c r="AH16" s="133"/>
      <c r="AI16" s="133"/>
      <c r="AJ16" s="133"/>
      <c r="AK16" s="133"/>
      <c r="AL16" s="133"/>
      <c r="AM16" s="133"/>
      <c r="AN16" s="133"/>
      <c r="AO16" s="124"/>
      <c r="AP16" s="124"/>
      <c r="AQ16" s="124"/>
      <c r="AR16" s="124"/>
      <c r="AS16" s="131"/>
      <c r="AT16" s="137"/>
      <c r="AU16" s="137"/>
      <c r="AV16" s="137"/>
      <c r="AW16" s="137"/>
      <c r="AX16" s="137"/>
      <c r="AY16" s="137"/>
      <c r="AZ16" s="137"/>
      <c r="BA16" s="137"/>
      <c r="BB16" s="137"/>
      <c r="BC16" s="137"/>
      <c r="BD16" s="138"/>
    </row>
    <row r="17" spans="1:56" s="1" customFormat="1" ht="14.4" customHeight="1">
      <c r="A17" s="145">
        <f>IF(B17="","",COUNTA($B$8:B17))</f>
        <v>10</v>
      </c>
      <c r="B17" s="64" t="s">
        <v>205</v>
      </c>
      <c r="C17" s="2"/>
      <c r="D17" s="2"/>
      <c r="E17" s="2"/>
      <c r="F17" s="2"/>
      <c r="G17" s="2"/>
      <c r="H17" s="3" t="s">
        <v>418</v>
      </c>
      <c r="I17" s="131" t="s">
        <v>206</v>
      </c>
      <c r="J17" s="129"/>
      <c r="K17" s="129"/>
      <c r="L17" s="129"/>
      <c r="M17" s="129"/>
      <c r="N17" s="129"/>
      <c r="O17" s="2"/>
      <c r="P17" s="129"/>
      <c r="Q17" s="148"/>
      <c r="R17" s="64" t="s">
        <v>205</v>
      </c>
      <c r="S17" s="129"/>
      <c r="T17" s="129"/>
      <c r="U17" s="129"/>
      <c r="V17" s="129"/>
      <c r="W17" s="129"/>
      <c r="X17" s="148"/>
      <c r="Y17" s="451" t="s">
        <v>155</v>
      </c>
      <c r="Z17" s="452"/>
      <c r="AA17" s="448" t="s">
        <v>156</v>
      </c>
      <c r="AB17" s="449"/>
      <c r="AC17" s="450"/>
      <c r="AD17" s="139">
        <v>4</v>
      </c>
      <c r="AE17" s="29"/>
      <c r="AF17" s="29"/>
      <c r="AG17" s="29"/>
      <c r="AH17" s="133"/>
      <c r="AI17" s="133"/>
      <c r="AJ17" s="133"/>
      <c r="AK17" s="133"/>
      <c r="AL17" s="133"/>
      <c r="AM17" s="133"/>
      <c r="AN17" s="133"/>
      <c r="AO17" s="124"/>
      <c r="AP17" s="124"/>
      <c r="AQ17" s="124"/>
      <c r="AR17" s="124"/>
      <c r="AS17" s="131"/>
      <c r="AT17" s="137"/>
      <c r="AU17" s="137"/>
      <c r="AV17" s="137"/>
      <c r="AW17" s="137"/>
      <c r="AX17" s="137"/>
      <c r="AY17" s="137"/>
      <c r="AZ17" s="137"/>
      <c r="BA17" s="137"/>
      <c r="BB17" s="137"/>
      <c r="BC17" s="137"/>
      <c r="BD17" s="138"/>
    </row>
    <row r="18" spans="1:56" s="1" customFormat="1" ht="14.4" customHeight="1">
      <c r="A18" s="145">
        <f>IF(B18="","",COUNTA($B$8:B18))</f>
        <v>11</v>
      </c>
      <c r="B18" s="64" t="s">
        <v>208</v>
      </c>
      <c r="C18" s="2"/>
      <c r="D18" s="2"/>
      <c r="E18" s="2"/>
      <c r="F18" s="2"/>
      <c r="G18" s="2"/>
      <c r="H18" s="3" t="s">
        <v>418</v>
      </c>
      <c r="I18" s="131" t="s">
        <v>209</v>
      </c>
      <c r="J18" s="129"/>
      <c r="K18" s="129"/>
      <c r="L18" s="129"/>
      <c r="M18" s="129"/>
      <c r="N18" s="129"/>
      <c r="O18" s="2"/>
      <c r="P18" s="129"/>
      <c r="Q18" s="148"/>
      <c r="R18" s="64" t="s">
        <v>208</v>
      </c>
      <c r="S18" s="129"/>
      <c r="T18" s="129"/>
      <c r="U18" s="129"/>
      <c r="V18" s="129"/>
      <c r="W18" s="129"/>
      <c r="X18" s="148"/>
      <c r="Y18" s="451" t="s">
        <v>155</v>
      </c>
      <c r="Z18" s="452"/>
      <c r="AA18" s="448" t="s">
        <v>156</v>
      </c>
      <c r="AB18" s="449"/>
      <c r="AC18" s="450"/>
      <c r="AD18" s="139">
        <v>5</v>
      </c>
      <c r="AE18" s="29"/>
      <c r="AF18" s="29"/>
      <c r="AG18" s="29"/>
      <c r="AH18" s="133"/>
      <c r="AI18" s="133"/>
      <c r="AJ18" s="133"/>
      <c r="AK18" s="133"/>
      <c r="AL18" s="133"/>
      <c r="AM18" s="133"/>
      <c r="AN18" s="133"/>
      <c r="AO18" s="124"/>
      <c r="AP18" s="124"/>
      <c r="AQ18" s="124"/>
      <c r="AR18" s="124"/>
      <c r="AS18" s="131"/>
      <c r="AT18" s="137"/>
      <c r="AU18" s="137"/>
      <c r="AV18" s="137"/>
      <c r="AW18" s="137"/>
      <c r="AX18" s="137"/>
      <c r="AY18" s="137"/>
      <c r="AZ18" s="137"/>
      <c r="BA18" s="137"/>
      <c r="BB18" s="137"/>
      <c r="BC18" s="137"/>
      <c r="BD18" s="138"/>
    </row>
    <row r="19" spans="1:56" ht="14.4" customHeight="1">
      <c r="A19" s="70">
        <f>IF(B19="","",COUNTA($B$8:B19))</f>
        <v>12</v>
      </c>
      <c r="B19" s="19" t="s">
        <v>228</v>
      </c>
      <c r="C19" s="20"/>
      <c r="D19" s="20"/>
      <c r="E19" s="20"/>
      <c r="F19" s="20"/>
      <c r="G19" s="20"/>
      <c r="H19" s="24"/>
      <c r="I19" s="31" t="s">
        <v>229</v>
      </c>
      <c r="J19" s="23"/>
      <c r="K19" s="23"/>
      <c r="L19" s="23"/>
      <c r="M19" s="23"/>
      <c r="N19" s="23"/>
      <c r="O19" s="38"/>
      <c r="P19" s="23"/>
      <c r="Q19" s="24"/>
      <c r="R19" s="19" t="s">
        <v>228</v>
      </c>
      <c r="S19" s="23"/>
      <c r="T19" s="23"/>
      <c r="U19" s="23"/>
      <c r="V19" s="23"/>
      <c r="W19" s="23"/>
      <c r="X19" s="24"/>
      <c r="Y19" s="440" t="s">
        <v>150</v>
      </c>
      <c r="Z19" s="441"/>
      <c r="AA19" s="442" t="s">
        <v>151</v>
      </c>
      <c r="AB19" s="443"/>
      <c r="AC19" s="444"/>
      <c r="AD19" s="27">
        <v>1000</v>
      </c>
      <c r="AE19" s="29"/>
      <c r="AF19" s="29"/>
      <c r="AG19" s="29"/>
      <c r="AH19" s="28"/>
      <c r="AI19" s="28"/>
      <c r="AJ19" s="28"/>
      <c r="AK19" s="28"/>
      <c r="AL19" s="28"/>
      <c r="AM19" s="28"/>
      <c r="AN19" s="28"/>
      <c r="AO19" s="29"/>
      <c r="AP19" s="29"/>
      <c r="AQ19" s="29"/>
      <c r="AR19" s="29"/>
      <c r="AS19" s="31"/>
      <c r="AT19" s="67"/>
      <c r="AU19" s="67"/>
      <c r="AV19" s="67"/>
      <c r="AW19" s="67"/>
      <c r="AX19" s="67"/>
      <c r="AY19" s="67"/>
      <c r="AZ19" s="67"/>
      <c r="BA19" s="67"/>
      <c r="BB19" s="67"/>
      <c r="BC19" s="67"/>
      <c r="BD19" s="68"/>
    </row>
    <row r="20" spans="1:56" ht="14.4" customHeight="1">
      <c r="A20" s="70">
        <f>IF(B20="","",COUNTA($B$8:B20))</f>
        <v>13</v>
      </c>
      <c r="B20" s="19" t="s">
        <v>1421</v>
      </c>
      <c r="C20" s="20"/>
      <c r="D20" s="20"/>
      <c r="E20" s="20"/>
      <c r="F20" s="20"/>
      <c r="G20" s="20"/>
      <c r="H20" s="24"/>
      <c r="I20" s="31" t="s">
        <v>1422</v>
      </c>
      <c r="J20" s="23"/>
      <c r="K20" s="23"/>
      <c r="L20" s="23"/>
      <c r="M20" s="23"/>
      <c r="N20" s="23"/>
      <c r="O20" s="38"/>
      <c r="P20" s="23"/>
      <c r="Q20" s="24"/>
      <c r="R20" s="19" t="s">
        <v>1421</v>
      </c>
      <c r="S20" s="23"/>
      <c r="T20" s="23"/>
      <c r="U20" s="23"/>
      <c r="V20" s="23"/>
      <c r="W20" s="23"/>
      <c r="X20" s="24"/>
      <c r="Y20" s="440" t="s">
        <v>150</v>
      </c>
      <c r="Z20" s="441"/>
      <c r="AA20" s="442" t="s">
        <v>151</v>
      </c>
      <c r="AB20" s="443"/>
      <c r="AC20" s="444"/>
      <c r="AD20" s="27">
        <v>15</v>
      </c>
      <c r="AE20" s="29"/>
      <c r="AF20" s="29"/>
      <c r="AG20" s="29"/>
      <c r="AH20" s="28"/>
      <c r="AI20" s="28"/>
      <c r="AJ20" s="28"/>
      <c r="AK20" s="28"/>
      <c r="AL20" s="28"/>
      <c r="AM20" s="28"/>
      <c r="AN20" s="28"/>
      <c r="AO20" s="29"/>
      <c r="AP20" s="29"/>
      <c r="AQ20" s="29"/>
      <c r="AR20" s="29"/>
      <c r="AS20" s="31"/>
      <c r="AT20" s="67"/>
      <c r="AU20" s="67"/>
      <c r="AV20" s="67"/>
      <c r="AW20" s="67"/>
      <c r="AX20" s="67"/>
      <c r="AY20" s="67"/>
      <c r="AZ20" s="67"/>
      <c r="BA20" s="67"/>
      <c r="BB20" s="67"/>
      <c r="BC20" s="67"/>
      <c r="BD20" s="68"/>
    </row>
    <row r="21" spans="1:56" ht="14.4" customHeight="1">
      <c r="A21" s="70">
        <f>IF(B21="","",COUNTA($B$8:B21))</f>
        <v>14</v>
      </c>
      <c r="B21" s="19" t="s">
        <v>392</v>
      </c>
      <c r="C21" s="20"/>
      <c r="D21" s="20"/>
      <c r="E21" s="20"/>
      <c r="F21" s="20"/>
      <c r="G21" s="20"/>
      <c r="H21" s="24"/>
      <c r="I21" s="31" t="s">
        <v>393</v>
      </c>
      <c r="J21" s="23"/>
      <c r="K21" s="23"/>
      <c r="L21" s="23"/>
      <c r="M21" s="23"/>
      <c r="N21" s="23"/>
      <c r="O21" s="38"/>
      <c r="P21" s="23"/>
      <c r="Q21" s="24"/>
      <c r="R21" s="22" t="s">
        <v>392</v>
      </c>
      <c r="S21" s="23"/>
      <c r="T21" s="23"/>
      <c r="U21" s="23"/>
      <c r="V21" s="23"/>
      <c r="W21" s="23"/>
      <c r="X21" s="24"/>
      <c r="Y21" s="440" t="s">
        <v>169</v>
      </c>
      <c r="Z21" s="441"/>
      <c r="AA21" s="442" t="s">
        <v>170</v>
      </c>
      <c r="AB21" s="443"/>
      <c r="AC21" s="444"/>
      <c r="AD21" s="51"/>
      <c r="AE21" s="29"/>
      <c r="AF21" s="29"/>
      <c r="AG21" s="29"/>
      <c r="AH21" s="28"/>
      <c r="AI21" s="28"/>
      <c r="AJ21" s="28"/>
      <c r="AK21" s="28"/>
      <c r="AL21" s="28"/>
      <c r="AM21" s="28"/>
      <c r="AN21" s="28"/>
      <c r="AO21" s="29"/>
      <c r="AP21" s="29"/>
      <c r="AQ21" s="29"/>
      <c r="AR21" s="29"/>
      <c r="AS21" s="31" t="s">
        <v>394</v>
      </c>
      <c r="AT21" s="67"/>
      <c r="AU21" s="67"/>
      <c r="AV21" s="67"/>
      <c r="AW21" s="67"/>
      <c r="AX21" s="67"/>
      <c r="AY21" s="67"/>
      <c r="AZ21" s="67"/>
      <c r="BA21" s="67"/>
      <c r="BB21" s="67"/>
      <c r="BC21" s="67"/>
      <c r="BD21" s="68"/>
    </row>
    <row r="22" spans="1:56" ht="14.4" customHeight="1">
      <c r="A22" s="70">
        <f>IF(B22="","",COUNTA($B$8:B22))</f>
        <v>15</v>
      </c>
      <c r="B22" s="19" t="s">
        <v>249</v>
      </c>
      <c r="C22" s="20"/>
      <c r="D22" s="20"/>
      <c r="E22" s="20"/>
      <c r="F22" s="20"/>
      <c r="G22" s="20"/>
      <c r="H22" s="24"/>
      <c r="I22" s="31" t="s">
        <v>250</v>
      </c>
      <c r="J22" s="23"/>
      <c r="K22" s="23"/>
      <c r="L22" s="23"/>
      <c r="M22" s="23"/>
      <c r="N22" s="23"/>
      <c r="O22" s="23"/>
      <c r="P22" s="23"/>
      <c r="Q22" s="37"/>
      <c r="R22" s="19" t="s">
        <v>249</v>
      </c>
      <c r="S22" s="23"/>
      <c r="T22" s="23"/>
      <c r="U22" s="23"/>
      <c r="V22" s="23"/>
      <c r="W22" s="23"/>
      <c r="X22" s="24"/>
      <c r="Y22" s="440" t="s">
        <v>150</v>
      </c>
      <c r="Z22" s="441"/>
      <c r="AA22" s="442" t="s">
        <v>151</v>
      </c>
      <c r="AB22" s="443"/>
      <c r="AC22" s="444"/>
      <c r="AD22" s="27">
        <v>4</v>
      </c>
      <c r="AE22" s="29"/>
      <c r="AF22" s="29"/>
      <c r="AG22" s="29"/>
      <c r="AH22" s="28"/>
      <c r="AI22" s="28"/>
      <c r="AJ22" s="28"/>
      <c r="AK22" s="28"/>
      <c r="AL22" s="28"/>
      <c r="AM22" s="28"/>
      <c r="AN22" s="28"/>
      <c r="AO22" s="29"/>
      <c r="AP22" s="29"/>
      <c r="AQ22" s="29"/>
      <c r="AR22" s="29"/>
      <c r="AS22" s="31"/>
      <c r="AT22" s="67"/>
      <c r="AU22" s="67"/>
      <c r="AV22" s="67"/>
      <c r="AW22" s="67"/>
      <c r="AX22" s="67"/>
      <c r="AY22" s="67"/>
      <c r="AZ22" s="67"/>
      <c r="BA22" s="67"/>
      <c r="BB22" s="67"/>
      <c r="BC22" s="67"/>
      <c r="BD22" s="68"/>
    </row>
    <row r="23" spans="1:56" ht="14.4" customHeight="1">
      <c r="A23" s="70">
        <f>IF(B23="","",COUNTA($B$8:B23))</f>
        <v>16</v>
      </c>
      <c r="B23" s="19" t="s">
        <v>251</v>
      </c>
      <c r="C23" s="20"/>
      <c r="D23" s="20"/>
      <c r="E23" s="20"/>
      <c r="F23" s="20"/>
      <c r="G23" s="20"/>
      <c r="H23" s="24"/>
      <c r="I23" s="31" t="s">
        <v>252</v>
      </c>
      <c r="J23" s="23"/>
      <c r="K23" s="23"/>
      <c r="L23" s="23"/>
      <c r="M23" s="23"/>
      <c r="N23" s="23"/>
      <c r="O23" s="23"/>
      <c r="P23" s="23"/>
      <c r="Q23" s="37"/>
      <c r="R23" s="19" t="s">
        <v>251</v>
      </c>
      <c r="S23" s="23"/>
      <c r="T23" s="23"/>
      <c r="U23" s="23"/>
      <c r="V23" s="23"/>
      <c r="W23" s="23"/>
      <c r="X23" s="24"/>
      <c r="Y23" s="440" t="s">
        <v>150</v>
      </c>
      <c r="Z23" s="441"/>
      <c r="AA23" s="442" t="s">
        <v>151</v>
      </c>
      <c r="AB23" s="443"/>
      <c r="AC23" s="444"/>
      <c r="AD23" s="27">
        <v>4</v>
      </c>
      <c r="AE23" s="29"/>
      <c r="AF23" s="29"/>
      <c r="AG23" s="29"/>
      <c r="AH23" s="28"/>
      <c r="AI23" s="28"/>
      <c r="AJ23" s="28"/>
      <c r="AK23" s="28"/>
      <c r="AL23" s="28"/>
      <c r="AM23" s="28"/>
      <c r="AN23" s="28"/>
      <c r="AO23" s="29"/>
      <c r="AP23" s="29"/>
      <c r="AQ23" s="29"/>
      <c r="AR23" s="29"/>
      <c r="AS23" s="31"/>
      <c r="AT23" s="67"/>
      <c r="AU23" s="67"/>
      <c r="AV23" s="67"/>
      <c r="AW23" s="67"/>
      <c r="AX23" s="67"/>
      <c r="AY23" s="67"/>
      <c r="AZ23" s="67"/>
      <c r="BA23" s="67"/>
      <c r="BB23" s="67"/>
      <c r="BC23" s="67"/>
      <c r="BD23" s="68"/>
    </row>
    <row r="24" spans="1:56" ht="14.4" customHeight="1">
      <c r="A24" s="70">
        <f>IF(B24="","",COUNTA($B$8:B24))</f>
        <v>17</v>
      </c>
      <c r="B24" s="19" t="s">
        <v>253</v>
      </c>
      <c r="C24" s="20"/>
      <c r="D24" s="20"/>
      <c r="E24" s="20"/>
      <c r="F24" s="20"/>
      <c r="G24" s="20"/>
      <c r="H24" s="24"/>
      <c r="I24" s="31" t="s">
        <v>254</v>
      </c>
      <c r="J24" s="23"/>
      <c r="K24" s="23"/>
      <c r="L24" s="23"/>
      <c r="M24" s="23"/>
      <c r="N24" s="23"/>
      <c r="O24" s="23"/>
      <c r="P24" s="23"/>
      <c r="Q24" s="37"/>
      <c r="R24" s="19" t="s">
        <v>253</v>
      </c>
      <c r="S24" s="23"/>
      <c r="T24" s="23"/>
      <c r="U24" s="23"/>
      <c r="V24" s="23"/>
      <c r="W24" s="23"/>
      <c r="X24" s="24"/>
      <c r="Y24" s="440" t="s">
        <v>150</v>
      </c>
      <c r="Z24" s="441"/>
      <c r="AA24" s="442" t="s">
        <v>151</v>
      </c>
      <c r="AB24" s="443"/>
      <c r="AC24" s="444"/>
      <c r="AD24" s="27">
        <v>10</v>
      </c>
      <c r="AE24" s="29"/>
      <c r="AF24" s="29"/>
      <c r="AG24" s="29"/>
      <c r="AH24" s="28"/>
      <c r="AI24" s="28"/>
      <c r="AJ24" s="28"/>
      <c r="AK24" s="28"/>
      <c r="AL24" s="28"/>
      <c r="AM24" s="28"/>
      <c r="AN24" s="28"/>
      <c r="AO24" s="29"/>
      <c r="AP24" s="29"/>
      <c r="AQ24" s="29"/>
      <c r="AR24" s="29"/>
      <c r="AS24" s="31"/>
      <c r="AT24" s="67"/>
      <c r="AU24" s="67"/>
      <c r="AV24" s="67"/>
      <c r="AW24" s="67"/>
      <c r="AX24" s="67"/>
      <c r="AY24" s="67"/>
      <c r="AZ24" s="67"/>
      <c r="BA24" s="67"/>
      <c r="BB24" s="67"/>
      <c r="BC24" s="67"/>
      <c r="BD24" s="68"/>
    </row>
    <row r="25" spans="1:56" ht="14.4" customHeight="1">
      <c r="A25" s="70">
        <f>IF(B25="","",COUNTA($B$8:B25))</f>
        <v>18</v>
      </c>
      <c r="B25" s="19" t="s">
        <v>255</v>
      </c>
      <c r="C25" s="20"/>
      <c r="D25" s="20"/>
      <c r="E25" s="20"/>
      <c r="F25" s="20"/>
      <c r="G25" s="20"/>
      <c r="H25" s="24"/>
      <c r="I25" s="31" t="s">
        <v>256</v>
      </c>
      <c r="J25" s="23"/>
      <c r="K25" s="23"/>
      <c r="L25" s="23"/>
      <c r="M25" s="23"/>
      <c r="N25" s="23"/>
      <c r="O25" s="23"/>
      <c r="P25" s="23"/>
      <c r="Q25" s="37"/>
      <c r="R25" s="19" t="s">
        <v>255</v>
      </c>
      <c r="S25" s="23"/>
      <c r="T25" s="23"/>
      <c r="U25" s="23"/>
      <c r="V25" s="23"/>
      <c r="W25" s="23"/>
      <c r="X25" s="24"/>
      <c r="Y25" s="440" t="s">
        <v>150</v>
      </c>
      <c r="Z25" s="441"/>
      <c r="AA25" s="442" t="s">
        <v>151</v>
      </c>
      <c r="AB25" s="443"/>
      <c r="AC25" s="444"/>
      <c r="AD25" s="27">
        <v>10</v>
      </c>
      <c r="AE25" s="29"/>
      <c r="AF25" s="29"/>
      <c r="AG25" s="29"/>
      <c r="AH25" s="40"/>
      <c r="AI25" s="40"/>
      <c r="AJ25" s="28"/>
      <c r="AK25" s="28"/>
      <c r="AL25" s="28"/>
      <c r="AM25" s="28"/>
      <c r="AN25" s="28"/>
      <c r="AO25" s="29"/>
      <c r="AP25" s="29"/>
      <c r="AQ25" s="29"/>
      <c r="AR25" s="29"/>
      <c r="AS25" s="31"/>
      <c r="AT25" s="67"/>
      <c r="AU25" s="32"/>
      <c r="AV25" s="32"/>
      <c r="AW25" s="32"/>
      <c r="AX25" s="32"/>
      <c r="AY25" s="67"/>
      <c r="AZ25" s="67"/>
      <c r="BA25" s="67"/>
      <c r="BB25" s="67"/>
      <c r="BC25" s="67"/>
      <c r="BD25" s="68"/>
    </row>
    <row r="26" spans="1:56" ht="14.4" customHeight="1">
      <c r="A26" s="70">
        <f>IF(B26="","",COUNTA($B$8:B26))</f>
        <v>19</v>
      </c>
      <c r="B26" s="19" t="s">
        <v>257</v>
      </c>
      <c r="C26" s="20"/>
      <c r="D26" s="20"/>
      <c r="E26" s="20"/>
      <c r="F26" s="20"/>
      <c r="G26" s="20"/>
      <c r="H26" s="24"/>
      <c r="I26" s="31" t="s">
        <v>258</v>
      </c>
      <c r="J26" s="23"/>
      <c r="K26" s="23"/>
      <c r="L26" s="23"/>
      <c r="M26" s="23"/>
      <c r="N26" s="23"/>
      <c r="O26" s="23"/>
      <c r="P26" s="23"/>
      <c r="Q26" s="37"/>
      <c r="R26" s="19" t="s">
        <v>257</v>
      </c>
      <c r="S26" s="23"/>
      <c r="T26" s="23"/>
      <c r="U26" s="23"/>
      <c r="V26" s="23"/>
      <c r="W26" s="23"/>
      <c r="X26" s="24"/>
      <c r="Y26" s="440" t="s">
        <v>169</v>
      </c>
      <c r="Z26" s="441"/>
      <c r="AA26" s="442" t="s">
        <v>243</v>
      </c>
      <c r="AB26" s="443"/>
      <c r="AC26" s="444"/>
      <c r="AD26" s="51"/>
      <c r="AE26" s="29"/>
      <c r="AF26" s="29"/>
      <c r="AG26" s="29"/>
      <c r="AH26" s="28"/>
      <c r="AI26" s="28"/>
      <c r="AJ26" s="28"/>
      <c r="AK26" s="28"/>
      <c r="AL26" s="40"/>
      <c r="AM26" s="40"/>
      <c r="AN26" s="40"/>
      <c r="AO26" s="41"/>
      <c r="AP26" s="41"/>
      <c r="AQ26" s="41"/>
      <c r="AR26" s="41"/>
      <c r="AS26" s="42"/>
      <c r="AT26" s="43"/>
      <c r="AU26" s="32"/>
      <c r="AV26" s="32"/>
      <c r="AW26" s="32"/>
      <c r="AX26" s="32"/>
      <c r="AY26" s="32"/>
      <c r="AZ26" s="32"/>
      <c r="BA26" s="32"/>
      <c r="BB26" s="32"/>
      <c r="BC26" s="32"/>
      <c r="BD26" s="33"/>
    </row>
    <row r="27" spans="1:56" ht="14.4" customHeight="1">
      <c r="A27" s="70">
        <f>IF(B27="","",COUNTA($B$8:B27))</f>
        <v>20</v>
      </c>
      <c r="B27" s="19" t="s">
        <v>259</v>
      </c>
      <c r="C27" s="20"/>
      <c r="D27" s="20"/>
      <c r="E27" s="20"/>
      <c r="F27" s="20"/>
      <c r="G27" s="20"/>
      <c r="H27" s="24"/>
      <c r="I27" s="31" t="s">
        <v>260</v>
      </c>
      <c r="J27" s="23"/>
      <c r="K27" s="23"/>
      <c r="L27" s="23"/>
      <c r="M27" s="23"/>
      <c r="N27" s="23"/>
      <c r="O27" s="23"/>
      <c r="P27" s="23"/>
      <c r="Q27" s="37"/>
      <c r="R27" s="19" t="s">
        <v>259</v>
      </c>
      <c r="S27" s="23"/>
      <c r="T27" s="23"/>
      <c r="U27" s="23"/>
      <c r="V27" s="23"/>
      <c r="W27" s="23"/>
      <c r="X27" s="24"/>
      <c r="Y27" s="440" t="s">
        <v>150</v>
      </c>
      <c r="Z27" s="441"/>
      <c r="AA27" s="442" t="s">
        <v>151</v>
      </c>
      <c r="AB27" s="443"/>
      <c r="AC27" s="444"/>
      <c r="AD27" s="27">
        <v>10</v>
      </c>
      <c r="AE27" s="29"/>
      <c r="AF27" s="29"/>
      <c r="AG27" s="29"/>
      <c r="AH27" s="40"/>
      <c r="AI27" s="40"/>
      <c r="AJ27" s="40"/>
      <c r="AK27" s="40"/>
      <c r="AL27" s="40"/>
      <c r="AM27" s="40"/>
      <c r="AN27" s="40"/>
      <c r="AO27" s="41"/>
      <c r="AP27" s="41"/>
      <c r="AQ27" s="41"/>
      <c r="AR27" s="41"/>
      <c r="AS27" s="42"/>
      <c r="AT27" s="43"/>
      <c r="AU27" s="67"/>
      <c r="AV27" s="67"/>
      <c r="AW27" s="67"/>
      <c r="AX27" s="67"/>
      <c r="AY27" s="32"/>
      <c r="AZ27" s="32"/>
      <c r="BA27" s="32"/>
      <c r="BB27" s="32"/>
      <c r="BC27" s="32"/>
      <c r="BD27" s="33"/>
    </row>
    <row r="28" spans="1:56" ht="14.4" customHeight="1">
      <c r="A28" s="70">
        <f>IF(B28="","",COUNTA($B$8:B28))</f>
        <v>21</v>
      </c>
      <c r="B28" s="19" t="s">
        <v>261</v>
      </c>
      <c r="C28" s="20"/>
      <c r="D28" s="20"/>
      <c r="E28" s="20"/>
      <c r="F28" s="20"/>
      <c r="G28" s="20"/>
      <c r="H28" s="24"/>
      <c r="I28" s="31" t="s">
        <v>262</v>
      </c>
      <c r="J28" s="23"/>
      <c r="K28" s="23"/>
      <c r="L28" s="23"/>
      <c r="M28" s="23"/>
      <c r="N28" s="23"/>
      <c r="O28" s="23"/>
      <c r="P28" s="23"/>
      <c r="Q28" s="37"/>
      <c r="R28" s="19" t="s">
        <v>261</v>
      </c>
      <c r="S28" s="23"/>
      <c r="T28" s="23"/>
      <c r="U28" s="23"/>
      <c r="V28" s="23"/>
      <c r="W28" s="23"/>
      <c r="X28" s="24"/>
      <c r="Y28" s="440" t="s">
        <v>150</v>
      </c>
      <c r="Z28" s="441"/>
      <c r="AA28" s="442" t="s">
        <v>151</v>
      </c>
      <c r="AB28" s="443"/>
      <c r="AC28" s="444"/>
      <c r="AD28" s="51">
        <v>10</v>
      </c>
      <c r="AE28" s="29"/>
      <c r="AF28" s="29"/>
      <c r="AG28" s="29"/>
      <c r="AH28" s="40"/>
      <c r="AI28" s="40"/>
      <c r="AJ28" s="40"/>
      <c r="AK28" s="40"/>
      <c r="AL28" s="40"/>
      <c r="AM28" s="40"/>
      <c r="AN28" s="40"/>
      <c r="AO28" s="41"/>
      <c r="AP28" s="41"/>
      <c r="AQ28" s="41"/>
      <c r="AR28" s="41"/>
      <c r="AS28" s="42"/>
      <c r="AT28" s="43"/>
      <c r="AU28" s="67"/>
      <c r="AV28" s="67"/>
      <c r="AW28" s="67"/>
      <c r="AX28" s="67"/>
      <c r="AY28" s="67"/>
      <c r="AZ28" s="67"/>
      <c r="BA28" s="67"/>
      <c r="BB28" s="67"/>
      <c r="BC28" s="67"/>
      <c r="BD28" s="68"/>
    </row>
    <row r="29" spans="1:56" ht="14.4" customHeight="1">
      <c r="A29" s="70">
        <f>IF(B29="","",COUNTA($B$8:B29))</f>
        <v>22</v>
      </c>
      <c r="B29" s="19" t="s">
        <v>263</v>
      </c>
      <c r="C29" s="20"/>
      <c r="D29" s="20"/>
      <c r="E29" s="20"/>
      <c r="F29" s="20"/>
      <c r="G29" s="20"/>
      <c r="H29" s="24"/>
      <c r="I29" s="31" t="s">
        <v>264</v>
      </c>
      <c r="J29" s="23"/>
      <c r="K29" s="23"/>
      <c r="L29" s="23"/>
      <c r="M29" s="23"/>
      <c r="N29" s="23"/>
      <c r="O29" s="23"/>
      <c r="P29" s="23"/>
      <c r="Q29" s="37"/>
      <c r="R29" s="22" t="s">
        <v>263</v>
      </c>
      <c r="S29" s="23"/>
      <c r="T29" s="23"/>
      <c r="U29" s="23"/>
      <c r="V29" s="23"/>
      <c r="W29" s="23"/>
      <c r="X29" s="24"/>
      <c r="Y29" s="440" t="s">
        <v>169</v>
      </c>
      <c r="Z29" s="441"/>
      <c r="AA29" s="442" t="s">
        <v>243</v>
      </c>
      <c r="AB29" s="443"/>
      <c r="AC29" s="444"/>
      <c r="AD29" s="51"/>
      <c r="AE29" s="29"/>
      <c r="AF29" s="29"/>
      <c r="AG29" s="29"/>
      <c r="AH29" s="28"/>
      <c r="AI29" s="28"/>
      <c r="AJ29" s="28"/>
      <c r="AK29" s="28"/>
      <c r="AL29" s="28"/>
      <c r="AM29" s="28"/>
      <c r="AN29" s="28"/>
      <c r="AO29" s="29"/>
      <c r="AP29" s="29"/>
      <c r="AQ29" s="29"/>
      <c r="AR29" s="29"/>
      <c r="AS29" s="31"/>
      <c r="AT29" s="67"/>
      <c r="AU29" s="67"/>
      <c r="AV29" s="67"/>
      <c r="AW29" s="67"/>
      <c r="AX29" s="67"/>
      <c r="AY29" s="67"/>
      <c r="AZ29" s="67"/>
      <c r="BA29" s="67"/>
      <c r="BB29" s="67"/>
      <c r="BC29" s="67"/>
      <c r="BD29" s="68"/>
    </row>
    <row r="30" spans="1:56" ht="14.4" customHeight="1">
      <c r="A30" s="70" t="str">
        <f>IF(B30="","",COUNTA($B$8:B30))</f>
        <v/>
      </c>
      <c r="B30" s="25"/>
      <c r="C30" s="26"/>
      <c r="D30" s="26"/>
      <c r="E30" s="26"/>
      <c r="F30" s="26"/>
      <c r="G30" s="26"/>
      <c r="H30" s="39"/>
      <c r="I30" s="31"/>
      <c r="J30" s="23"/>
      <c r="K30" s="23"/>
      <c r="L30" s="23"/>
      <c r="M30" s="23"/>
      <c r="N30" s="23"/>
      <c r="O30" s="23"/>
      <c r="P30" s="23"/>
      <c r="Q30" s="24"/>
      <c r="R30" s="22"/>
      <c r="S30" s="23"/>
      <c r="T30" s="23"/>
      <c r="U30" s="23"/>
      <c r="V30" s="23"/>
      <c r="W30" s="23"/>
      <c r="X30" s="24"/>
      <c r="Y30" s="440"/>
      <c r="Z30" s="441"/>
      <c r="AA30" s="442"/>
      <c r="AB30" s="443"/>
      <c r="AC30" s="444"/>
      <c r="AD30" s="27"/>
      <c r="AE30" s="29" t="s">
        <v>244</v>
      </c>
      <c r="AF30" s="29"/>
      <c r="AG30" s="29"/>
      <c r="AH30" s="28"/>
      <c r="AI30" s="28"/>
      <c r="AJ30" s="28"/>
      <c r="AK30" s="28"/>
      <c r="AL30" s="28"/>
      <c r="AM30" s="28"/>
      <c r="AN30" s="28"/>
      <c r="AO30" s="29"/>
      <c r="AP30" s="29"/>
      <c r="AQ30" s="29"/>
      <c r="AR30" s="29"/>
      <c r="AS30" s="31"/>
      <c r="AT30" s="67"/>
      <c r="AU30" s="67"/>
      <c r="AV30" s="67"/>
      <c r="AW30" s="67"/>
      <c r="AX30" s="67"/>
      <c r="AY30" s="67"/>
      <c r="AZ30" s="67"/>
      <c r="BA30" s="67"/>
      <c r="BB30" s="67"/>
      <c r="BC30" s="67"/>
      <c r="BD30" s="68"/>
    </row>
    <row r="31" spans="1:56" ht="14.4" customHeight="1">
      <c r="A31" s="70" t="str">
        <f>IF(B31="","",COUNTA($B$8:B31))</f>
        <v/>
      </c>
      <c r="B31" s="19"/>
      <c r="C31" s="20" t="s">
        <v>395</v>
      </c>
      <c r="D31" s="20"/>
      <c r="E31" s="20" t="s">
        <v>396</v>
      </c>
      <c r="F31" s="20"/>
      <c r="G31" s="20"/>
      <c r="H31" s="24"/>
      <c r="I31" s="31"/>
      <c r="J31" s="23"/>
      <c r="K31" s="23"/>
      <c r="L31" s="23"/>
      <c r="M31" s="23"/>
      <c r="N31" s="23"/>
      <c r="O31" s="23"/>
      <c r="P31" s="23"/>
      <c r="Q31" s="24"/>
      <c r="R31" s="22"/>
      <c r="S31" s="23"/>
      <c r="T31" s="23"/>
      <c r="U31" s="23"/>
      <c r="V31" s="23"/>
      <c r="W31" s="23"/>
      <c r="X31" s="24"/>
      <c r="Y31" s="440"/>
      <c r="Z31" s="441"/>
      <c r="AA31" s="442"/>
      <c r="AB31" s="443"/>
      <c r="AC31" s="444"/>
      <c r="AD31" s="27"/>
      <c r="AE31" s="29" t="s">
        <v>244</v>
      </c>
      <c r="AF31" s="29"/>
      <c r="AG31" s="29"/>
      <c r="AH31" s="28"/>
      <c r="AI31" s="28"/>
      <c r="AJ31" s="28"/>
      <c r="AK31" s="28"/>
      <c r="AL31" s="28"/>
      <c r="AM31" s="28"/>
      <c r="AN31" s="28"/>
      <c r="AO31" s="29"/>
      <c r="AP31" s="29"/>
      <c r="AQ31" s="29"/>
      <c r="AR31" s="29"/>
      <c r="AS31" s="31"/>
      <c r="AT31" s="67"/>
      <c r="AU31" s="67"/>
      <c r="AV31" s="67"/>
      <c r="AW31" s="67"/>
      <c r="AX31" s="67"/>
      <c r="AY31" s="67"/>
      <c r="AZ31" s="67"/>
      <c r="BA31" s="67"/>
      <c r="BB31" s="67"/>
      <c r="BC31" s="67"/>
      <c r="BD31" s="68"/>
    </row>
    <row r="32" spans="1:56" ht="14.4" customHeight="1">
      <c r="A32" s="70" t="str">
        <f>IF(B32="","",COUNTA($B$8:B32))</f>
        <v/>
      </c>
      <c r="B32" s="19"/>
      <c r="C32" s="20"/>
      <c r="D32" s="20"/>
      <c r="E32" s="20"/>
      <c r="F32" s="20"/>
      <c r="G32" s="20"/>
      <c r="H32" s="24"/>
      <c r="I32" s="31"/>
      <c r="J32" s="23"/>
      <c r="K32" s="23"/>
      <c r="L32" s="23"/>
      <c r="M32" s="23"/>
      <c r="N32" s="23"/>
      <c r="O32" s="23"/>
      <c r="P32" s="23"/>
      <c r="Q32" s="24"/>
      <c r="R32" s="22"/>
      <c r="S32" s="23"/>
      <c r="T32" s="23"/>
      <c r="U32" s="23"/>
      <c r="V32" s="23"/>
      <c r="W32" s="23"/>
      <c r="X32" s="24"/>
      <c r="Y32" s="440"/>
      <c r="Z32" s="441"/>
      <c r="AA32" s="442"/>
      <c r="AB32" s="443"/>
      <c r="AC32" s="444"/>
      <c r="AD32" s="69"/>
      <c r="AE32" s="29" t="s">
        <v>244</v>
      </c>
      <c r="AF32" s="29"/>
      <c r="AG32" s="29"/>
      <c r="AH32" s="28"/>
      <c r="AI32" s="28"/>
      <c r="AJ32" s="28"/>
      <c r="AK32" s="28"/>
      <c r="AL32" s="28"/>
      <c r="AM32" s="28"/>
      <c r="AN32" s="28"/>
      <c r="AO32" s="29"/>
      <c r="AP32" s="29"/>
      <c r="AQ32" s="29"/>
      <c r="AR32" s="29"/>
      <c r="AS32" s="31"/>
      <c r="AT32" s="67"/>
      <c r="AU32" s="67"/>
      <c r="AV32" s="67"/>
      <c r="AW32" s="67"/>
      <c r="AX32" s="67"/>
      <c r="AY32" s="67"/>
      <c r="AZ32" s="67"/>
      <c r="BA32" s="67"/>
      <c r="BB32" s="67"/>
      <c r="BC32" s="67"/>
      <c r="BD32" s="68"/>
    </row>
    <row r="33" spans="1:56" ht="14.4" customHeight="1">
      <c r="A33" s="70" t="str">
        <f>IF(B33="","",COUNTA($B$8:B33))</f>
        <v/>
      </c>
      <c r="B33" s="19"/>
      <c r="C33" s="20"/>
      <c r="D33" s="20"/>
      <c r="E33" s="20"/>
      <c r="F33" s="20"/>
      <c r="G33" s="20"/>
      <c r="H33" s="24"/>
      <c r="I33" s="31"/>
      <c r="J33" s="23"/>
      <c r="K33" s="23"/>
      <c r="L33" s="23"/>
      <c r="M33" s="23"/>
      <c r="N33" s="23"/>
      <c r="O33" s="23"/>
      <c r="P33" s="23"/>
      <c r="Q33" s="24"/>
      <c r="R33" s="22"/>
      <c r="S33" s="23"/>
      <c r="T33" s="23"/>
      <c r="U33" s="23"/>
      <c r="V33" s="23"/>
      <c r="W33" s="23"/>
      <c r="X33" s="24"/>
      <c r="Y33" s="440"/>
      <c r="Z33" s="441"/>
      <c r="AA33" s="442"/>
      <c r="AB33" s="443"/>
      <c r="AC33" s="444"/>
      <c r="AD33" s="69"/>
      <c r="AE33" s="29" t="s">
        <v>244</v>
      </c>
      <c r="AF33" s="29"/>
      <c r="AG33" s="29"/>
      <c r="AH33" s="28"/>
      <c r="AI33" s="28"/>
      <c r="AJ33" s="28"/>
      <c r="AK33" s="28"/>
      <c r="AL33" s="28"/>
      <c r="AM33" s="28"/>
      <c r="AN33" s="28"/>
      <c r="AO33" s="29"/>
      <c r="AP33" s="29"/>
      <c r="AQ33" s="29"/>
      <c r="AR33" s="29"/>
      <c r="AS33" s="31"/>
      <c r="AT33" s="67"/>
      <c r="AU33" s="67"/>
      <c r="AV33" s="67"/>
      <c r="AW33" s="67"/>
      <c r="AX33" s="67"/>
      <c r="AY33" s="67"/>
      <c r="AZ33" s="67"/>
      <c r="BA33" s="67"/>
      <c r="BB33" s="67"/>
      <c r="BC33" s="67"/>
      <c r="BD33" s="68"/>
    </row>
    <row r="34" spans="1:56" ht="14.4" customHeight="1">
      <c r="A34" s="70" t="str">
        <f>IF(B34="","",COUNTA($B$8:B34))</f>
        <v/>
      </c>
      <c r="B34" s="19"/>
      <c r="C34" s="20"/>
      <c r="D34" s="20"/>
      <c r="E34" s="20"/>
      <c r="F34" s="20"/>
      <c r="G34" s="20"/>
      <c r="H34" s="24"/>
      <c r="I34" s="31"/>
      <c r="J34" s="23"/>
      <c r="K34" s="23"/>
      <c r="L34" s="23"/>
      <c r="M34" s="23"/>
      <c r="N34" s="23"/>
      <c r="O34" s="23"/>
      <c r="P34" s="23"/>
      <c r="Q34" s="37"/>
      <c r="R34" s="22"/>
      <c r="S34" s="23"/>
      <c r="T34" s="23"/>
      <c r="U34" s="23"/>
      <c r="V34" s="23"/>
      <c r="W34" s="23"/>
      <c r="X34" s="37"/>
      <c r="Y34" s="440"/>
      <c r="Z34" s="441"/>
      <c r="AA34" s="442"/>
      <c r="AB34" s="443"/>
      <c r="AC34" s="444"/>
      <c r="AD34" s="51"/>
      <c r="AE34" s="29" t="s">
        <v>244</v>
      </c>
      <c r="AF34" s="29"/>
      <c r="AG34" s="29"/>
      <c r="AH34" s="28"/>
      <c r="AI34" s="28"/>
      <c r="AJ34" s="28"/>
      <c r="AK34" s="28"/>
      <c r="AL34" s="28"/>
      <c r="AM34" s="28"/>
      <c r="AN34" s="28"/>
      <c r="AO34" s="29"/>
      <c r="AP34" s="29"/>
      <c r="AQ34" s="29"/>
      <c r="AR34" s="29"/>
      <c r="AS34" s="31"/>
      <c r="AT34" s="67"/>
      <c r="AU34" s="67"/>
      <c r="AV34" s="67"/>
      <c r="AW34" s="67"/>
      <c r="AX34" s="67"/>
      <c r="AY34" s="67"/>
      <c r="AZ34" s="67"/>
      <c r="BA34" s="67"/>
      <c r="BB34" s="67"/>
      <c r="BC34" s="67"/>
      <c r="BD34" s="68"/>
    </row>
    <row r="35" spans="1:56" ht="14.4" customHeight="1">
      <c r="A35" s="70" t="str">
        <f>IF(B35="","",COUNTA($B$8:B35))</f>
        <v/>
      </c>
      <c r="B35" s="19"/>
      <c r="C35" s="20"/>
      <c r="D35" s="20"/>
      <c r="E35" s="20"/>
      <c r="F35" s="20"/>
      <c r="G35" s="20"/>
      <c r="H35" s="24"/>
      <c r="I35" s="31"/>
      <c r="J35" s="23"/>
      <c r="K35" s="23"/>
      <c r="L35" s="23"/>
      <c r="M35" s="23"/>
      <c r="N35" s="23"/>
      <c r="O35" s="23"/>
      <c r="P35" s="23"/>
      <c r="Q35" s="24"/>
      <c r="R35" s="22"/>
      <c r="S35" s="23"/>
      <c r="T35" s="23"/>
      <c r="U35" s="23"/>
      <c r="V35" s="23"/>
      <c r="W35" s="23"/>
      <c r="X35" s="24"/>
      <c r="Y35" s="440"/>
      <c r="Z35" s="441"/>
      <c r="AA35" s="442"/>
      <c r="AB35" s="443"/>
      <c r="AC35" s="444"/>
      <c r="AD35" s="27"/>
      <c r="AE35" s="29" t="s">
        <v>244</v>
      </c>
      <c r="AF35" s="29"/>
      <c r="AG35" s="29"/>
      <c r="AH35" s="28"/>
      <c r="AI35" s="28"/>
      <c r="AJ35" s="28"/>
      <c r="AK35" s="28"/>
      <c r="AL35" s="28"/>
      <c r="AM35" s="28"/>
      <c r="AN35" s="28"/>
      <c r="AO35" s="29"/>
      <c r="AP35" s="29"/>
      <c r="AQ35" s="29"/>
      <c r="AR35" s="29"/>
      <c r="AS35" s="31"/>
      <c r="AT35" s="67"/>
      <c r="AU35" s="67"/>
      <c r="AV35" s="67"/>
      <c r="AW35" s="67"/>
      <c r="AX35" s="67"/>
      <c r="AY35" s="67"/>
      <c r="AZ35" s="67"/>
      <c r="BA35" s="67"/>
      <c r="BB35" s="67"/>
      <c r="BC35" s="67"/>
      <c r="BD35" s="68"/>
    </row>
    <row r="36" spans="1:56" ht="14.4" customHeight="1">
      <c r="A36" s="70" t="str">
        <f>IF(B36="","",COUNTA($B$8:B36))</f>
        <v/>
      </c>
      <c r="B36" s="19"/>
      <c r="C36" s="20"/>
      <c r="D36" s="20"/>
      <c r="E36" s="20"/>
      <c r="F36" s="20"/>
      <c r="G36" s="20"/>
      <c r="H36" s="24"/>
      <c r="I36" s="31"/>
      <c r="J36" s="23"/>
      <c r="K36" s="23"/>
      <c r="L36" s="23"/>
      <c r="M36" s="23"/>
      <c r="N36" s="23"/>
      <c r="O36" s="23"/>
      <c r="P36" s="23"/>
      <c r="Q36" s="24"/>
      <c r="R36" s="22"/>
      <c r="S36" s="23"/>
      <c r="T36" s="23"/>
      <c r="U36" s="23"/>
      <c r="V36" s="23"/>
      <c r="W36" s="23"/>
      <c r="X36" s="24"/>
      <c r="Y36" s="440"/>
      <c r="Z36" s="441"/>
      <c r="AA36" s="442"/>
      <c r="AB36" s="443"/>
      <c r="AC36" s="444"/>
      <c r="AD36" s="27"/>
      <c r="AE36" s="29" t="s">
        <v>244</v>
      </c>
      <c r="AF36" s="29"/>
      <c r="AG36" s="29"/>
      <c r="AH36" s="28"/>
      <c r="AI36" s="28"/>
      <c r="AJ36" s="28"/>
      <c r="AK36" s="28"/>
      <c r="AL36" s="28"/>
      <c r="AM36" s="28"/>
      <c r="AN36" s="28"/>
      <c r="AO36" s="29"/>
      <c r="AP36" s="29"/>
      <c r="AQ36" s="29"/>
      <c r="AR36" s="29"/>
      <c r="AS36" s="31"/>
      <c r="AT36" s="67"/>
      <c r="AU36" s="67"/>
      <c r="AV36" s="67"/>
      <c r="AW36" s="67"/>
      <c r="AX36" s="67"/>
      <c r="AY36" s="67"/>
      <c r="AZ36" s="67"/>
      <c r="BA36" s="67"/>
      <c r="BB36" s="67"/>
      <c r="BC36" s="67"/>
      <c r="BD36" s="68"/>
    </row>
    <row r="37" spans="1:56" ht="14.4" customHeight="1">
      <c r="A37" s="70" t="str">
        <f>IF(B37="","",COUNTA($B$8:B37))</f>
        <v/>
      </c>
      <c r="B37" s="19"/>
      <c r="C37" s="20"/>
      <c r="D37" s="20"/>
      <c r="E37" s="20"/>
      <c r="F37" s="20"/>
      <c r="G37" s="20"/>
      <c r="H37" s="24"/>
      <c r="I37" s="31"/>
      <c r="J37" s="23"/>
      <c r="K37" s="23"/>
      <c r="L37" s="23"/>
      <c r="M37" s="23"/>
      <c r="N37" s="23"/>
      <c r="O37" s="23"/>
      <c r="P37" s="23"/>
      <c r="Q37" s="24"/>
      <c r="R37" s="22"/>
      <c r="S37" s="23"/>
      <c r="T37" s="23"/>
      <c r="U37" s="23"/>
      <c r="V37" s="23"/>
      <c r="W37" s="23"/>
      <c r="X37" s="24"/>
      <c r="Y37" s="440"/>
      <c r="Z37" s="441"/>
      <c r="AA37" s="442"/>
      <c r="AB37" s="443"/>
      <c r="AC37" s="444"/>
      <c r="AD37" s="27"/>
      <c r="AE37" s="29" t="s">
        <v>244</v>
      </c>
      <c r="AF37" s="29"/>
      <c r="AG37" s="29"/>
      <c r="AH37" s="28"/>
      <c r="AI37" s="28"/>
      <c r="AJ37" s="28"/>
      <c r="AK37" s="28"/>
      <c r="AL37" s="28"/>
      <c r="AM37" s="28"/>
      <c r="AN37" s="28"/>
      <c r="AO37" s="29"/>
      <c r="AP37" s="29"/>
      <c r="AQ37" s="29"/>
      <c r="AR37" s="29"/>
      <c r="AS37" s="31"/>
      <c r="AT37" s="67"/>
      <c r="AU37" s="67"/>
      <c r="AV37" s="67"/>
      <c r="AW37" s="67"/>
      <c r="AX37" s="67"/>
      <c r="AY37" s="67"/>
      <c r="AZ37" s="67"/>
      <c r="BA37" s="67"/>
      <c r="BB37" s="67"/>
      <c r="BC37" s="67"/>
      <c r="BD37" s="68"/>
    </row>
    <row r="38" spans="1:56" ht="14.4" customHeight="1">
      <c r="A38" s="70" t="str">
        <f>IF(B38="","",COUNTA($B$8:B38))</f>
        <v/>
      </c>
      <c r="B38" s="19"/>
      <c r="C38" s="20"/>
      <c r="D38" s="20"/>
      <c r="E38" s="20"/>
      <c r="F38" s="20"/>
      <c r="G38" s="20"/>
      <c r="H38" s="24"/>
      <c r="I38" s="31"/>
      <c r="J38" s="23"/>
      <c r="K38" s="23"/>
      <c r="L38" s="23"/>
      <c r="M38" s="23"/>
      <c r="N38" s="23"/>
      <c r="O38" s="23"/>
      <c r="P38" s="23"/>
      <c r="Q38" s="24"/>
      <c r="R38" s="22"/>
      <c r="S38" s="23"/>
      <c r="T38" s="23"/>
      <c r="U38" s="23"/>
      <c r="V38" s="23"/>
      <c r="W38" s="23"/>
      <c r="X38" s="24"/>
      <c r="Y38" s="440"/>
      <c r="Z38" s="441"/>
      <c r="AA38" s="442"/>
      <c r="AB38" s="443"/>
      <c r="AC38" s="444"/>
      <c r="AD38" s="27"/>
      <c r="AE38" s="29" t="s">
        <v>244</v>
      </c>
      <c r="AF38" s="29"/>
      <c r="AG38" s="29"/>
      <c r="AH38" s="28"/>
      <c r="AI38" s="28"/>
      <c r="AJ38" s="28"/>
      <c r="AK38" s="28"/>
      <c r="AL38" s="28"/>
      <c r="AM38" s="28"/>
      <c r="AN38" s="28"/>
      <c r="AO38" s="29"/>
      <c r="AP38" s="29"/>
      <c r="AQ38" s="29"/>
      <c r="AR38" s="29"/>
      <c r="AS38" s="31"/>
      <c r="AT38" s="67"/>
      <c r="AU38" s="67"/>
      <c r="AV38" s="67"/>
      <c r="AW38" s="67"/>
      <c r="AX38" s="67"/>
      <c r="AY38" s="67"/>
      <c r="AZ38" s="67"/>
      <c r="BA38" s="67"/>
      <c r="BB38" s="67"/>
      <c r="BC38" s="67"/>
      <c r="BD38" s="68"/>
    </row>
    <row r="39" spans="1:56" ht="14.4" customHeight="1">
      <c r="A39" s="70" t="str">
        <f>IF(B39="","",COUNTA($B$8:B39))</f>
        <v/>
      </c>
      <c r="B39" s="19"/>
      <c r="C39" s="20"/>
      <c r="D39" s="20"/>
      <c r="E39" s="20"/>
      <c r="F39" s="20"/>
      <c r="G39" s="20"/>
      <c r="H39" s="24"/>
      <c r="I39" s="31"/>
      <c r="J39" s="23"/>
      <c r="K39" s="23"/>
      <c r="L39" s="23"/>
      <c r="M39" s="23"/>
      <c r="N39" s="23"/>
      <c r="O39" s="23"/>
      <c r="P39" s="23"/>
      <c r="Q39" s="24"/>
      <c r="R39" s="22"/>
      <c r="S39" s="23"/>
      <c r="T39" s="23"/>
      <c r="U39" s="23"/>
      <c r="V39" s="23"/>
      <c r="W39" s="23"/>
      <c r="X39" s="24"/>
      <c r="Y39" s="440"/>
      <c r="Z39" s="441"/>
      <c r="AA39" s="442"/>
      <c r="AB39" s="443"/>
      <c r="AC39" s="444"/>
      <c r="AD39" s="27"/>
      <c r="AE39" s="29" t="s">
        <v>244</v>
      </c>
      <c r="AF39" s="29"/>
      <c r="AG39" s="29"/>
      <c r="AH39" s="28"/>
      <c r="AI39" s="28"/>
      <c r="AJ39" s="28"/>
      <c r="AK39" s="28"/>
      <c r="AL39" s="28"/>
      <c r="AM39" s="28"/>
      <c r="AN39" s="28"/>
      <c r="AO39" s="29"/>
      <c r="AP39" s="29"/>
      <c r="AQ39" s="29"/>
      <c r="AR39" s="29"/>
      <c r="AS39" s="47"/>
      <c r="AT39" s="48"/>
      <c r="AU39" s="48"/>
      <c r="AV39" s="48"/>
      <c r="AW39" s="48"/>
      <c r="AX39" s="48"/>
      <c r="AY39" s="48"/>
      <c r="AZ39" s="48"/>
      <c r="BA39" s="48"/>
      <c r="BB39" s="48"/>
      <c r="BC39" s="48"/>
      <c r="BD39" s="66"/>
    </row>
    <row r="40" spans="1:56" ht="14.4" customHeight="1">
      <c r="A40" s="70" t="str">
        <f>IF(B40="","",COUNTA($B$8:B40))</f>
        <v/>
      </c>
      <c r="B40" s="19"/>
      <c r="C40" s="20"/>
      <c r="D40" s="20"/>
      <c r="E40" s="20"/>
      <c r="F40" s="20"/>
      <c r="G40" s="20"/>
      <c r="H40" s="24"/>
      <c r="I40" s="31"/>
      <c r="J40" s="23"/>
      <c r="K40" s="23"/>
      <c r="L40" s="23"/>
      <c r="M40" s="23"/>
      <c r="N40" s="23"/>
      <c r="O40" s="23"/>
      <c r="P40" s="23"/>
      <c r="Q40" s="24"/>
      <c r="R40" s="22"/>
      <c r="S40" s="23"/>
      <c r="T40" s="23"/>
      <c r="U40" s="23"/>
      <c r="V40" s="23"/>
      <c r="W40" s="23"/>
      <c r="X40" s="24"/>
      <c r="Y40" s="440"/>
      <c r="Z40" s="441"/>
      <c r="AA40" s="442"/>
      <c r="AB40" s="443"/>
      <c r="AC40" s="444"/>
      <c r="AD40" s="27"/>
      <c r="AE40" s="29" t="s">
        <v>244</v>
      </c>
      <c r="AF40" s="29"/>
      <c r="AG40" s="29"/>
      <c r="AH40" s="28"/>
      <c r="AI40" s="28"/>
      <c r="AJ40" s="28"/>
      <c r="AK40" s="28"/>
      <c r="AL40" s="28"/>
      <c r="AM40" s="28"/>
      <c r="AN40" s="28"/>
      <c r="AO40" s="29"/>
      <c r="AP40" s="29"/>
      <c r="AQ40" s="29"/>
      <c r="AR40" s="29"/>
      <c r="AS40" s="47"/>
      <c r="AT40" s="48"/>
      <c r="AU40" s="48"/>
      <c r="AV40" s="48"/>
      <c r="AW40" s="48"/>
      <c r="AX40" s="48"/>
      <c r="AY40" s="48"/>
      <c r="AZ40" s="48"/>
      <c r="BA40" s="48"/>
      <c r="BB40" s="48"/>
      <c r="BC40" s="48"/>
      <c r="BD40" s="66"/>
    </row>
    <row r="41" spans="1:56" ht="14.4" customHeight="1">
      <c r="A41" s="70" t="str">
        <f>IF(B41="","",COUNTA($B$8:B41))</f>
        <v/>
      </c>
      <c r="B41" s="19"/>
      <c r="C41" s="20"/>
      <c r="D41" s="20"/>
      <c r="E41" s="20"/>
      <c r="F41" s="20"/>
      <c r="G41" s="20"/>
      <c r="H41" s="24"/>
      <c r="I41" s="31"/>
      <c r="J41" s="23"/>
      <c r="K41" s="23"/>
      <c r="L41" s="23"/>
      <c r="M41" s="23"/>
      <c r="N41" s="23"/>
      <c r="O41" s="23"/>
      <c r="P41" s="23"/>
      <c r="Q41" s="24"/>
      <c r="R41" s="22"/>
      <c r="S41" s="23"/>
      <c r="T41" s="23"/>
      <c r="U41" s="23"/>
      <c r="V41" s="23"/>
      <c r="W41" s="23"/>
      <c r="X41" s="24"/>
      <c r="Y41" s="440"/>
      <c r="Z41" s="441"/>
      <c r="AA41" s="442"/>
      <c r="AB41" s="443"/>
      <c r="AC41" s="444"/>
      <c r="AD41" s="27"/>
      <c r="AE41" s="29" t="s">
        <v>244</v>
      </c>
      <c r="AF41" s="29"/>
      <c r="AG41" s="29"/>
      <c r="AH41" s="28"/>
      <c r="AI41" s="28"/>
      <c r="AJ41" s="28"/>
      <c r="AK41" s="28"/>
      <c r="AL41" s="28"/>
      <c r="AM41" s="28"/>
      <c r="AN41" s="28"/>
      <c r="AO41" s="29"/>
      <c r="AP41" s="29"/>
      <c r="AQ41" s="29"/>
      <c r="AR41" s="29"/>
      <c r="AS41" s="47"/>
      <c r="AT41" s="48"/>
      <c r="AU41" s="48"/>
      <c r="AV41" s="48"/>
      <c r="AW41" s="48"/>
      <c r="AX41" s="48"/>
      <c r="AY41" s="48"/>
      <c r="AZ41" s="48"/>
      <c r="BA41" s="48"/>
      <c r="BB41" s="48"/>
      <c r="BC41" s="48"/>
      <c r="BD41" s="66"/>
    </row>
    <row r="42" spans="1:56" ht="14.4" customHeight="1">
      <c r="A42" s="70" t="str">
        <f>IF(B42="","",COUNTA($B$8:B42))</f>
        <v/>
      </c>
      <c r="B42" s="19"/>
      <c r="C42" s="20"/>
      <c r="D42" s="20"/>
      <c r="E42" s="20"/>
      <c r="F42" s="20"/>
      <c r="G42" s="20"/>
      <c r="H42" s="24"/>
      <c r="I42" s="31"/>
      <c r="J42" s="23"/>
      <c r="K42" s="23"/>
      <c r="L42" s="23"/>
      <c r="M42" s="23"/>
      <c r="N42" s="23"/>
      <c r="O42" s="23"/>
      <c r="P42" s="23"/>
      <c r="Q42" s="24"/>
      <c r="R42" s="22"/>
      <c r="S42" s="23"/>
      <c r="T42" s="23"/>
      <c r="U42" s="23"/>
      <c r="V42" s="23"/>
      <c r="W42" s="23"/>
      <c r="X42" s="24"/>
      <c r="Y42" s="440"/>
      <c r="Z42" s="441"/>
      <c r="AA42" s="442"/>
      <c r="AB42" s="443"/>
      <c r="AC42" s="444"/>
      <c r="AD42" s="27"/>
      <c r="AE42" s="29" t="s">
        <v>244</v>
      </c>
      <c r="AF42" s="29"/>
      <c r="AG42" s="29"/>
      <c r="AH42" s="28"/>
      <c r="AI42" s="28"/>
      <c r="AJ42" s="28"/>
      <c r="AK42" s="28"/>
      <c r="AL42" s="28"/>
      <c r="AM42" s="28"/>
      <c r="AN42" s="28"/>
      <c r="AO42" s="29"/>
      <c r="AP42" s="29"/>
      <c r="AQ42" s="29"/>
      <c r="AR42" s="29"/>
      <c r="AS42" s="47"/>
      <c r="AT42" s="48"/>
      <c r="AU42" s="48"/>
      <c r="AV42" s="48"/>
      <c r="AW42" s="48"/>
      <c r="AX42" s="48"/>
      <c r="AY42" s="48"/>
      <c r="AZ42" s="48"/>
      <c r="BA42" s="48"/>
      <c r="BB42" s="48"/>
      <c r="BC42" s="48"/>
      <c r="BD42" s="66"/>
    </row>
    <row r="43" spans="1:56" ht="14.4" customHeight="1">
      <c r="A43" s="70" t="str">
        <f>IF(B43="","",COUNTA($B$8:B43))</f>
        <v/>
      </c>
      <c r="B43" s="19"/>
      <c r="C43" s="20"/>
      <c r="D43" s="20"/>
      <c r="E43" s="20"/>
      <c r="F43" s="20"/>
      <c r="G43" s="20"/>
      <c r="H43" s="24"/>
      <c r="I43" s="31"/>
      <c r="J43" s="23"/>
      <c r="K43" s="23"/>
      <c r="L43" s="23"/>
      <c r="M43" s="23"/>
      <c r="N43" s="23"/>
      <c r="O43" s="23"/>
      <c r="P43" s="23"/>
      <c r="Q43" s="24"/>
      <c r="R43" s="22"/>
      <c r="S43" s="23"/>
      <c r="T43" s="23"/>
      <c r="U43" s="23"/>
      <c r="V43" s="23"/>
      <c r="W43" s="23"/>
      <c r="X43" s="24"/>
      <c r="Y43" s="440"/>
      <c r="Z43" s="441"/>
      <c r="AA43" s="442"/>
      <c r="AB43" s="443"/>
      <c r="AC43" s="444"/>
      <c r="AD43" s="27"/>
      <c r="AE43" s="29" t="s">
        <v>244</v>
      </c>
      <c r="AF43" s="29"/>
      <c r="AG43" s="29"/>
      <c r="AH43" s="28"/>
      <c r="AI43" s="28"/>
      <c r="AJ43" s="28"/>
      <c r="AK43" s="28"/>
      <c r="AL43" s="28"/>
      <c r="AM43" s="28"/>
      <c r="AN43" s="28"/>
      <c r="AO43" s="29"/>
      <c r="AP43" s="29"/>
      <c r="AQ43" s="29"/>
      <c r="AR43" s="29"/>
      <c r="AS43" s="47"/>
      <c r="AT43" s="48"/>
      <c r="AU43" s="48"/>
      <c r="AV43" s="48"/>
      <c r="AW43" s="48"/>
      <c r="AX43" s="48"/>
      <c r="AY43" s="48"/>
      <c r="AZ43" s="48"/>
      <c r="BA43" s="48"/>
      <c r="BB43" s="48"/>
      <c r="BC43" s="48"/>
      <c r="BD43" s="66"/>
    </row>
    <row r="44" spans="1:56" ht="14.4" customHeight="1">
      <c r="A44" s="70" t="str">
        <f>IF(B44="","",COUNTA($B$8:B44))</f>
        <v/>
      </c>
      <c r="B44" s="19"/>
      <c r="C44" s="20"/>
      <c r="D44" s="20"/>
      <c r="E44" s="20"/>
      <c r="F44" s="20"/>
      <c r="G44" s="20"/>
      <c r="H44" s="24"/>
      <c r="I44" s="31"/>
      <c r="J44" s="23"/>
      <c r="K44" s="23"/>
      <c r="L44" s="23"/>
      <c r="M44" s="23"/>
      <c r="N44" s="23"/>
      <c r="O44" s="23"/>
      <c r="P44" s="23"/>
      <c r="Q44" s="24"/>
      <c r="R44" s="22"/>
      <c r="S44" s="23"/>
      <c r="T44" s="23"/>
      <c r="U44" s="23"/>
      <c r="V44" s="23"/>
      <c r="W44" s="23"/>
      <c r="X44" s="24"/>
      <c r="Y44" s="440"/>
      <c r="Z44" s="441"/>
      <c r="AA44" s="442"/>
      <c r="AB44" s="443"/>
      <c r="AC44" s="444"/>
      <c r="AD44" s="27"/>
      <c r="AE44" s="29" t="s">
        <v>244</v>
      </c>
      <c r="AF44" s="29"/>
      <c r="AG44" s="29"/>
      <c r="AH44" s="28"/>
      <c r="AI44" s="28"/>
      <c r="AJ44" s="28"/>
      <c r="AK44" s="28"/>
      <c r="AL44" s="28"/>
      <c r="AM44" s="28"/>
      <c r="AN44" s="28"/>
      <c r="AO44" s="29"/>
      <c r="AP44" s="29"/>
      <c r="AQ44" s="29"/>
      <c r="AR44" s="29"/>
      <c r="AS44" s="47"/>
      <c r="AT44" s="48"/>
      <c r="AU44" s="48"/>
      <c r="AV44" s="48"/>
      <c r="AW44" s="48"/>
      <c r="AX44" s="48"/>
      <c r="AY44" s="48"/>
      <c r="AZ44" s="48"/>
      <c r="BA44" s="48"/>
      <c r="BB44" s="48"/>
      <c r="BC44" s="48"/>
      <c r="BD44" s="66"/>
    </row>
    <row r="45" spans="1:56" ht="14.4" customHeight="1">
      <c r="A45" s="70" t="str">
        <f>IF(B45="","",COUNTA($B$8:B45))</f>
        <v/>
      </c>
      <c r="B45" s="19"/>
      <c r="C45" s="20"/>
      <c r="D45" s="20"/>
      <c r="E45" s="20"/>
      <c r="F45" s="20"/>
      <c r="G45" s="20"/>
      <c r="H45" s="24"/>
      <c r="I45" s="31"/>
      <c r="J45" s="23"/>
      <c r="K45" s="23"/>
      <c r="L45" s="23"/>
      <c r="M45" s="23"/>
      <c r="N45" s="23"/>
      <c r="O45" s="23"/>
      <c r="P45" s="23"/>
      <c r="Q45" s="24"/>
      <c r="R45" s="22"/>
      <c r="S45" s="23"/>
      <c r="T45" s="23"/>
      <c r="U45" s="23"/>
      <c r="V45" s="23"/>
      <c r="W45" s="23"/>
      <c r="X45" s="24"/>
      <c r="Y45" s="440"/>
      <c r="Z45" s="441"/>
      <c r="AA45" s="442"/>
      <c r="AB45" s="443"/>
      <c r="AC45" s="444"/>
      <c r="AD45" s="27"/>
      <c r="AE45" s="29" t="s">
        <v>244</v>
      </c>
      <c r="AF45" s="29"/>
      <c r="AG45" s="29"/>
      <c r="AH45" s="28"/>
      <c r="AI45" s="28"/>
      <c r="AJ45" s="28"/>
      <c r="AK45" s="28"/>
      <c r="AL45" s="28"/>
      <c r="AM45" s="28"/>
      <c r="AN45" s="28"/>
      <c r="AO45" s="29"/>
      <c r="AP45" s="29"/>
      <c r="AQ45" s="29"/>
      <c r="AR45" s="29"/>
      <c r="AS45" s="47"/>
      <c r="AT45" s="48"/>
      <c r="AU45" s="48"/>
      <c r="AV45" s="48"/>
      <c r="AW45" s="48"/>
      <c r="AX45" s="48"/>
      <c r="AY45" s="48"/>
      <c r="AZ45" s="48"/>
      <c r="BA45" s="48"/>
      <c r="BB45" s="48"/>
      <c r="BC45" s="48"/>
      <c r="BD45" s="66"/>
    </row>
    <row r="46" spans="1:56" ht="14.4" customHeight="1">
      <c r="A46" s="70" t="str">
        <f>IF(B46="","",COUNTA($B$8:B46))</f>
        <v/>
      </c>
      <c r="B46" s="19"/>
      <c r="C46" s="20"/>
      <c r="D46" s="20"/>
      <c r="E46" s="20"/>
      <c r="F46" s="20"/>
      <c r="G46" s="20"/>
      <c r="H46" s="24"/>
      <c r="I46" s="31"/>
      <c r="J46" s="23"/>
      <c r="K46" s="23"/>
      <c r="L46" s="23"/>
      <c r="M46" s="23"/>
      <c r="N46" s="23"/>
      <c r="O46" s="23"/>
      <c r="P46" s="23"/>
      <c r="Q46" s="24"/>
      <c r="R46" s="22"/>
      <c r="S46" s="23"/>
      <c r="T46" s="23"/>
      <c r="U46" s="23"/>
      <c r="V46" s="23"/>
      <c r="W46" s="23"/>
      <c r="X46" s="24"/>
      <c r="Y46" s="440"/>
      <c r="Z46" s="441"/>
      <c r="AA46" s="442"/>
      <c r="AB46" s="443"/>
      <c r="AC46" s="444"/>
      <c r="AD46" s="27"/>
      <c r="AE46" s="29" t="s">
        <v>244</v>
      </c>
      <c r="AF46" s="29"/>
      <c r="AG46" s="29"/>
      <c r="AH46" s="28"/>
      <c r="AI46" s="28"/>
      <c r="AJ46" s="28"/>
      <c r="AK46" s="28"/>
      <c r="AL46" s="28"/>
      <c r="AM46" s="28"/>
      <c r="AN46" s="28"/>
      <c r="AO46" s="29"/>
      <c r="AP46" s="29"/>
      <c r="AQ46" s="29"/>
      <c r="AR46" s="29"/>
      <c r="AS46" s="47"/>
      <c r="AT46" s="48"/>
      <c r="AU46" s="48"/>
      <c r="AV46" s="48"/>
      <c r="AW46" s="48"/>
      <c r="AX46" s="48"/>
      <c r="AY46" s="48"/>
      <c r="AZ46" s="48"/>
      <c r="BA46" s="48"/>
      <c r="BB46" s="48"/>
      <c r="BC46" s="48"/>
      <c r="BD46" s="66"/>
    </row>
  </sheetData>
  <mergeCells count="110">
    <mergeCell ref="Y44:Z44"/>
    <mergeCell ref="AA44:AC44"/>
    <mergeCell ref="Y45:Z45"/>
    <mergeCell ref="AA45:AC45"/>
    <mergeCell ref="Y46:Z46"/>
    <mergeCell ref="AA46:AC46"/>
    <mergeCell ref="Y30:Z30"/>
    <mergeCell ref="AA30:AC30"/>
    <mergeCell ref="Y38:Z38"/>
    <mergeCell ref="AA38:AC38"/>
    <mergeCell ref="Y39:Z39"/>
    <mergeCell ref="AA39:AC39"/>
    <mergeCell ref="Y35:Z35"/>
    <mergeCell ref="AA35:AC35"/>
    <mergeCell ref="Y36:Z36"/>
    <mergeCell ref="AA36:AC36"/>
    <mergeCell ref="Y37:Z37"/>
    <mergeCell ref="AA37:AC37"/>
    <mergeCell ref="Y31:Z31"/>
    <mergeCell ref="AA31:AC31"/>
    <mergeCell ref="Y32:Z32"/>
    <mergeCell ref="AA32:AC32"/>
    <mergeCell ref="Y33:Z33"/>
    <mergeCell ref="AA33:AC33"/>
    <mergeCell ref="Y34:Z34"/>
    <mergeCell ref="AA34:AC34"/>
    <mergeCell ref="Y27:Z27"/>
    <mergeCell ref="AA27:AC27"/>
    <mergeCell ref="Y28:Z28"/>
    <mergeCell ref="AA28:AC28"/>
    <mergeCell ref="Y29:Z29"/>
    <mergeCell ref="AA29:AC29"/>
    <mergeCell ref="Y24:Z24"/>
    <mergeCell ref="AA24:AC24"/>
    <mergeCell ref="Y25:Z25"/>
    <mergeCell ref="AA25:AC25"/>
    <mergeCell ref="Y26:Z26"/>
    <mergeCell ref="AA26:AC26"/>
    <mergeCell ref="Y22:Z22"/>
    <mergeCell ref="AA22:AC22"/>
    <mergeCell ref="Y23:Z23"/>
    <mergeCell ref="AA23:AC23"/>
    <mergeCell ref="Y15:Z15"/>
    <mergeCell ref="AA15:AC15"/>
    <mergeCell ref="Y16:Z16"/>
    <mergeCell ref="AA16:AC16"/>
    <mergeCell ref="Y17:Z17"/>
    <mergeCell ref="AA17:AC17"/>
    <mergeCell ref="Y21:Z21"/>
    <mergeCell ref="AA21:AC21"/>
    <mergeCell ref="Y20:Z20"/>
    <mergeCell ref="AA20:AC20"/>
    <mergeCell ref="A1:H4"/>
    <mergeCell ref="AZ1:BD1"/>
    <mergeCell ref="I2:Q4"/>
    <mergeCell ref="R2:X4"/>
    <mergeCell ref="Y2:AO3"/>
    <mergeCell ref="AP2:AT2"/>
    <mergeCell ref="AZ2:BD2"/>
    <mergeCell ref="AP3:AT3"/>
    <mergeCell ref="Y12:Z12"/>
    <mergeCell ref="AA12:AC12"/>
    <mergeCell ref="Y9:Z9"/>
    <mergeCell ref="AA9:AC9"/>
    <mergeCell ref="Y10:Z10"/>
    <mergeCell ref="AA10:AC10"/>
    <mergeCell ref="Y11:Z11"/>
    <mergeCell ref="AA11:AC11"/>
    <mergeCell ref="A6:A7"/>
    <mergeCell ref="B6:H7"/>
    <mergeCell ref="I6:Q7"/>
    <mergeCell ref="R6:X7"/>
    <mergeCell ref="Y6:Z7"/>
    <mergeCell ref="AA6:AC7"/>
    <mergeCell ref="AD6:AD7"/>
    <mergeCell ref="AE6:AE7"/>
    <mergeCell ref="AZ3:BD3"/>
    <mergeCell ref="I1:Q1"/>
    <mergeCell ref="R1:X1"/>
    <mergeCell ref="Y1:AO1"/>
    <mergeCell ref="AP1:AT1"/>
    <mergeCell ref="AU1:AY1"/>
    <mergeCell ref="Y4:AO4"/>
    <mergeCell ref="AP4:AT4"/>
    <mergeCell ref="AU4:AY4"/>
    <mergeCell ref="AZ4:BD4"/>
    <mergeCell ref="Y40:Z40"/>
    <mergeCell ref="AA40:AC40"/>
    <mergeCell ref="Y41:Z41"/>
    <mergeCell ref="AA41:AC41"/>
    <mergeCell ref="Y42:Z42"/>
    <mergeCell ref="AA42:AC42"/>
    <mergeCell ref="Y43:Z43"/>
    <mergeCell ref="AA43:AC43"/>
    <mergeCell ref="AU3:AY3"/>
    <mergeCell ref="AG6:AG7"/>
    <mergeCell ref="AH6:AH7"/>
    <mergeCell ref="AI6:AR6"/>
    <mergeCell ref="AS6:BD7"/>
    <mergeCell ref="Y8:Z8"/>
    <mergeCell ref="AA8:AC8"/>
    <mergeCell ref="Y13:Z13"/>
    <mergeCell ref="AA13:AC13"/>
    <mergeCell ref="Y14:Z14"/>
    <mergeCell ref="AA14:AC14"/>
    <mergeCell ref="Y18:Z18"/>
    <mergeCell ref="AA18:AC18"/>
    <mergeCell ref="Y19:Z19"/>
    <mergeCell ref="AA19:AC19"/>
    <mergeCell ref="AF6:AF7"/>
  </mergeCells>
  <phoneticPr fontId="5"/>
  <dataValidations count="3">
    <dataValidation imeMode="hiragana" allowBlank="1" showInputMessage="1" showErrorMessage="1" sqref="IR65535:JC65537 SN65535:SY65537 ACJ65535:ACU65537 AMF65535:AMQ65537 AWB65535:AWM65537 BFX65535:BGI65537 BPT65535:BQE65537 BZP65535:CAA65537 CJL65535:CJW65537 CTH65535:CTS65537 DDD65535:DDO65537 DMZ65535:DNK65537 DWV65535:DXG65537 EGR65535:EHC65537 EQN65535:EQY65537 FAJ65535:FAU65537 FKF65535:FKQ65537 FUB65535:FUM65537 GDX65535:GEI65537 GNT65535:GOE65537 GXP65535:GYA65537 HHL65535:HHW65537 HRH65535:HRS65537 IBD65535:IBO65537 IKZ65535:ILK65537 IUV65535:IVG65537 JER65535:JFC65537 JON65535:JOY65537 JYJ65535:JYU65537 KIF65535:KIQ65537 KSB65535:KSM65537 LBX65535:LCI65537 LLT65535:LME65537 LVP65535:LWA65537 MFL65535:MFW65537 MPH65535:MPS65537 MZD65535:MZO65537 NIZ65535:NJK65537 NSV65535:NTG65537 OCR65535:ODC65537 OMN65535:OMY65537 OWJ65535:OWU65537 PGF65535:PGQ65537 PQB65535:PQM65537 PZX65535:QAI65537 QJT65535:QKE65537 QTP65535:QUA65537 RDL65535:RDW65537 RNH65535:RNS65537 RXD65535:RXO65537 SGZ65535:SHK65537 SQV65535:SRG65537 TAR65535:TBC65537 TKN65535:TKY65537 TUJ65535:TUU65537 UEF65535:UEQ65537 UOB65535:UOM65537 UXX65535:UYI65537 VHT65535:VIE65537 VRP65535:VSA65537 WBL65535:WBW65537 WLH65535:WLS65537 WVD65535:WVO65537 IR131071:JC131073 SN131071:SY131073 ACJ131071:ACU131073 AMF131071:AMQ131073 AWB131071:AWM131073 BFX131071:BGI131073 BPT131071:BQE131073 BZP131071:CAA131073 CJL131071:CJW131073 CTH131071:CTS131073 DDD131071:DDO131073 DMZ131071:DNK131073 DWV131071:DXG131073 EGR131071:EHC131073 EQN131071:EQY131073 FAJ131071:FAU131073 FKF131071:FKQ131073 FUB131071:FUM131073 GDX131071:GEI131073 GNT131071:GOE131073 GXP131071:GYA131073 HHL131071:HHW131073 HRH131071:HRS131073 IBD131071:IBO131073 IKZ131071:ILK131073 IUV131071:IVG131073 JER131071:JFC131073 JON131071:JOY131073 JYJ131071:JYU131073 KIF131071:KIQ131073 KSB131071:KSM131073 LBX131071:LCI131073 LLT131071:LME131073 LVP131071:LWA131073 MFL131071:MFW131073 MPH131071:MPS131073 MZD131071:MZO131073 NIZ131071:NJK131073 NSV131071:NTG131073 OCR131071:ODC131073 OMN131071:OMY131073 OWJ131071:OWU131073 PGF131071:PGQ131073 PQB131071:PQM131073 PZX131071:QAI131073 QJT131071:QKE131073 QTP131071:QUA131073 RDL131071:RDW131073 RNH131071:RNS131073 RXD131071:RXO131073 SGZ131071:SHK131073 SQV131071:SRG131073 TAR131071:TBC131073 TKN131071:TKY131073 TUJ131071:TUU131073 UEF131071:UEQ131073 UOB131071:UOM131073 UXX131071:UYI131073 VHT131071:VIE131073 VRP131071:VSA131073 WBL131071:WBW131073 WLH131071:WLS131073 WVD131071:WVO131073 IR196607:JC196609 SN196607:SY196609 ACJ196607:ACU196609 AMF196607:AMQ196609 AWB196607:AWM196609 BFX196607:BGI196609 BPT196607:BQE196609 BZP196607:CAA196609 CJL196607:CJW196609 CTH196607:CTS196609 DDD196607:DDO196609 DMZ196607:DNK196609 DWV196607:DXG196609 EGR196607:EHC196609 EQN196607:EQY196609 FAJ196607:FAU196609 FKF196607:FKQ196609 FUB196607:FUM196609 GDX196607:GEI196609 GNT196607:GOE196609 GXP196607:GYA196609 HHL196607:HHW196609 HRH196607:HRS196609 IBD196607:IBO196609 IKZ196607:ILK196609 IUV196607:IVG196609 JER196607:JFC196609 JON196607:JOY196609 JYJ196607:JYU196609 KIF196607:KIQ196609 KSB196607:KSM196609 LBX196607:LCI196609 LLT196607:LME196609 LVP196607:LWA196609 MFL196607:MFW196609 MPH196607:MPS196609 MZD196607:MZO196609 NIZ196607:NJK196609 NSV196607:NTG196609 OCR196607:ODC196609 OMN196607:OMY196609 OWJ196607:OWU196609 PGF196607:PGQ196609 PQB196607:PQM196609 PZX196607:QAI196609 QJT196607:QKE196609 QTP196607:QUA196609 RDL196607:RDW196609 RNH196607:RNS196609 RXD196607:RXO196609 SGZ196607:SHK196609 SQV196607:SRG196609 TAR196607:TBC196609 TKN196607:TKY196609 TUJ196607:TUU196609 UEF196607:UEQ196609 UOB196607:UOM196609 UXX196607:UYI196609 VHT196607:VIE196609 VRP196607:VSA196609 WBL196607:WBW196609 WLH196607:WLS196609 WVD196607:WVO196609 IR262143:JC262145 SN262143:SY262145 ACJ262143:ACU262145 AMF262143:AMQ262145 AWB262143:AWM262145 BFX262143:BGI262145 BPT262143:BQE262145 BZP262143:CAA262145 CJL262143:CJW262145 CTH262143:CTS262145 DDD262143:DDO262145 DMZ262143:DNK262145 DWV262143:DXG262145 EGR262143:EHC262145 EQN262143:EQY262145 FAJ262143:FAU262145 FKF262143:FKQ262145 FUB262143:FUM262145 GDX262143:GEI262145 GNT262143:GOE262145 GXP262143:GYA262145 HHL262143:HHW262145 HRH262143:HRS262145 IBD262143:IBO262145 IKZ262143:ILK262145 IUV262143:IVG262145 JER262143:JFC262145 JON262143:JOY262145 JYJ262143:JYU262145 KIF262143:KIQ262145 KSB262143:KSM262145 LBX262143:LCI262145 LLT262143:LME262145 LVP262143:LWA262145 MFL262143:MFW262145 MPH262143:MPS262145 MZD262143:MZO262145 NIZ262143:NJK262145 NSV262143:NTG262145 OCR262143:ODC262145 OMN262143:OMY262145 OWJ262143:OWU262145 PGF262143:PGQ262145 PQB262143:PQM262145 PZX262143:QAI262145 QJT262143:QKE262145 QTP262143:QUA262145 RDL262143:RDW262145 RNH262143:RNS262145 RXD262143:RXO262145 SGZ262143:SHK262145 SQV262143:SRG262145 TAR262143:TBC262145 TKN262143:TKY262145 TUJ262143:TUU262145 UEF262143:UEQ262145 UOB262143:UOM262145 UXX262143:UYI262145 VHT262143:VIE262145 VRP262143:VSA262145 WBL262143:WBW262145 WLH262143:WLS262145 WVD262143:WVO262145 IR327679:JC327681 SN327679:SY327681 ACJ327679:ACU327681 AMF327679:AMQ327681 AWB327679:AWM327681 BFX327679:BGI327681 BPT327679:BQE327681 BZP327679:CAA327681 CJL327679:CJW327681 CTH327679:CTS327681 DDD327679:DDO327681 DMZ327679:DNK327681 DWV327679:DXG327681 EGR327679:EHC327681 EQN327679:EQY327681 FAJ327679:FAU327681 FKF327679:FKQ327681 FUB327679:FUM327681 GDX327679:GEI327681 GNT327679:GOE327681 GXP327679:GYA327681 HHL327679:HHW327681 HRH327679:HRS327681 IBD327679:IBO327681 IKZ327679:ILK327681 IUV327679:IVG327681 JER327679:JFC327681 JON327679:JOY327681 JYJ327679:JYU327681 KIF327679:KIQ327681 KSB327679:KSM327681 LBX327679:LCI327681 LLT327679:LME327681 LVP327679:LWA327681 MFL327679:MFW327681 MPH327679:MPS327681 MZD327679:MZO327681 NIZ327679:NJK327681 NSV327679:NTG327681 OCR327679:ODC327681 OMN327679:OMY327681 OWJ327679:OWU327681 PGF327679:PGQ327681 PQB327679:PQM327681 PZX327679:QAI327681 QJT327679:QKE327681 QTP327679:QUA327681 RDL327679:RDW327681 RNH327679:RNS327681 RXD327679:RXO327681 SGZ327679:SHK327681 SQV327679:SRG327681 TAR327679:TBC327681 TKN327679:TKY327681 TUJ327679:TUU327681 UEF327679:UEQ327681 UOB327679:UOM327681 UXX327679:UYI327681 VHT327679:VIE327681 VRP327679:VSA327681 WBL327679:WBW327681 WLH327679:WLS327681 WVD327679:WVO327681 IR393215:JC393217 SN393215:SY393217 ACJ393215:ACU393217 AMF393215:AMQ393217 AWB393215:AWM393217 BFX393215:BGI393217 BPT393215:BQE393217 BZP393215:CAA393217 CJL393215:CJW393217 CTH393215:CTS393217 DDD393215:DDO393217 DMZ393215:DNK393217 DWV393215:DXG393217 EGR393215:EHC393217 EQN393215:EQY393217 FAJ393215:FAU393217 FKF393215:FKQ393217 FUB393215:FUM393217 GDX393215:GEI393217 GNT393215:GOE393217 GXP393215:GYA393217 HHL393215:HHW393217 HRH393215:HRS393217 IBD393215:IBO393217 IKZ393215:ILK393217 IUV393215:IVG393217 JER393215:JFC393217 JON393215:JOY393217 JYJ393215:JYU393217 KIF393215:KIQ393217 KSB393215:KSM393217 LBX393215:LCI393217 LLT393215:LME393217 LVP393215:LWA393217 MFL393215:MFW393217 MPH393215:MPS393217 MZD393215:MZO393217 NIZ393215:NJK393217 NSV393215:NTG393217 OCR393215:ODC393217 OMN393215:OMY393217 OWJ393215:OWU393217 PGF393215:PGQ393217 PQB393215:PQM393217 PZX393215:QAI393217 QJT393215:QKE393217 QTP393215:QUA393217 RDL393215:RDW393217 RNH393215:RNS393217 RXD393215:RXO393217 SGZ393215:SHK393217 SQV393215:SRG393217 TAR393215:TBC393217 TKN393215:TKY393217 TUJ393215:TUU393217 UEF393215:UEQ393217 UOB393215:UOM393217 UXX393215:UYI393217 VHT393215:VIE393217 VRP393215:VSA393217 WBL393215:WBW393217 WLH393215:WLS393217 WVD393215:WVO393217 IR458751:JC458753 SN458751:SY458753 ACJ458751:ACU458753 AMF458751:AMQ458753 AWB458751:AWM458753 BFX458751:BGI458753 BPT458751:BQE458753 BZP458751:CAA458753 CJL458751:CJW458753 CTH458751:CTS458753 DDD458751:DDO458753 DMZ458751:DNK458753 DWV458751:DXG458753 EGR458751:EHC458753 EQN458751:EQY458753 FAJ458751:FAU458753 FKF458751:FKQ458753 FUB458751:FUM458753 GDX458751:GEI458753 GNT458751:GOE458753 GXP458751:GYA458753 HHL458751:HHW458753 HRH458751:HRS458753 IBD458751:IBO458753 IKZ458751:ILK458753 IUV458751:IVG458753 JER458751:JFC458753 JON458751:JOY458753 JYJ458751:JYU458753 KIF458751:KIQ458753 KSB458751:KSM458753 LBX458751:LCI458753 LLT458751:LME458753 LVP458751:LWA458753 MFL458751:MFW458753 MPH458751:MPS458753 MZD458751:MZO458753 NIZ458751:NJK458753 NSV458751:NTG458753 OCR458751:ODC458753 OMN458751:OMY458753 OWJ458751:OWU458753 PGF458751:PGQ458753 PQB458751:PQM458753 PZX458751:QAI458753 QJT458751:QKE458753 QTP458751:QUA458753 RDL458751:RDW458753 RNH458751:RNS458753 RXD458751:RXO458753 SGZ458751:SHK458753 SQV458751:SRG458753 TAR458751:TBC458753 TKN458751:TKY458753 TUJ458751:TUU458753 UEF458751:UEQ458753 UOB458751:UOM458753 UXX458751:UYI458753 VHT458751:VIE458753 VRP458751:VSA458753 WBL458751:WBW458753 WLH458751:WLS458753 WVD458751:WVO458753 IR524287:JC524289 SN524287:SY524289 ACJ524287:ACU524289 AMF524287:AMQ524289 AWB524287:AWM524289 BFX524287:BGI524289 BPT524287:BQE524289 BZP524287:CAA524289 CJL524287:CJW524289 CTH524287:CTS524289 DDD524287:DDO524289 DMZ524287:DNK524289 DWV524287:DXG524289 EGR524287:EHC524289 EQN524287:EQY524289 FAJ524287:FAU524289 FKF524287:FKQ524289 FUB524287:FUM524289 GDX524287:GEI524289 GNT524287:GOE524289 GXP524287:GYA524289 HHL524287:HHW524289 HRH524287:HRS524289 IBD524287:IBO524289 IKZ524287:ILK524289 IUV524287:IVG524289 JER524287:JFC524289 JON524287:JOY524289 JYJ524287:JYU524289 KIF524287:KIQ524289 KSB524287:KSM524289 LBX524287:LCI524289 LLT524287:LME524289 LVP524287:LWA524289 MFL524287:MFW524289 MPH524287:MPS524289 MZD524287:MZO524289 NIZ524287:NJK524289 NSV524287:NTG524289 OCR524287:ODC524289 OMN524287:OMY524289 OWJ524287:OWU524289 PGF524287:PGQ524289 PQB524287:PQM524289 PZX524287:QAI524289 QJT524287:QKE524289 QTP524287:QUA524289 RDL524287:RDW524289 RNH524287:RNS524289 RXD524287:RXO524289 SGZ524287:SHK524289 SQV524287:SRG524289 TAR524287:TBC524289 TKN524287:TKY524289 TUJ524287:TUU524289 UEF524287:UEQ524289 UOB524287:UOM524289 UXX524287:UYI524289 VHT524287:VIE524289 VRP524287:VSA524289 WBL524287:WBW524289 WLH524287:WLS524289 WVD524287:WVO524289 IR589823:JC589825 SN589823:SY589825 ACJ589823:ACU589825 AMF589823:AMQ589825 AWB589823:AWM589825 BFX589823:BGI589825 BPT589823:BQE589825 BZP589823:CAA589825 CJL589823:CJW589825 CTH589823:CTS589825 DDD589823:DDO589825 DMZ589823:DNK589825 DWV589823:DXG589825 EGR589823:EHC589825 EQN589823:EQY589825 FAJ589823:FAU589825 FKF589823:FKQ589825 FUB589823:FUM589825 GDX589823:GEI589825 GNT589823:GOE589825 GXP589823:GYA589825 HHL589823:HHW589825 HRH589823:HRS589825 IBD589823:IBO589825 IKZ589823:ILK589825 IUV589823:IVG589825 JER589823:JFC589825 JON589823:JOY589825 JYJ589823:JYU589825 KIF589823:KIQ589825 KSB589823:KSM589825 LBX589823:LCI589825 LLT589823:LME589825 LVP589823:LWA589825 MFL589823:MFW589825 MPH589823:MPS589825 MZD589823:MZO589825 NIZ589823:NJK589825 NSV589823:NTG589825 OCR589823:ODC589825 OMN589823:OMY589825 OWJ589823:OWU589825 PGF589823:PGQ589825 PQB589823:PQM589825 PZX589823:QAI589825 QJT589823:QKE589825 QTP589823:QUA589825 RDL589823:RDW589825 RNH589823:RNS589825 RXD589823:RXO589825 SGZ589823:SHK589825 SQV589823:SRG589825 TAR589823:TBC589825 TKN589823:TKY589825 TUJ589823:TUU589825 UEF589823:UEQ589825 UOB589823:UOM589825 UXX589823:UYI589825 VHT589823:VIE589825 VRP589823:VSA589825 WBL589823:WBW589825 WLH589823:WLS589825 WVD589823:WVO589825 IR655359:JC655361 SN655359:SY655361 ACJ655359:ACU655361 AMF655359:AMQ655361 AWB655359:AWM655361 BFX655359:BGI655361 BPT655359:BQE655361 BZP655359:CAA655361 CJL655359:CJW655361 CTH655359:CTS655361 DDD655359:DDO655361 DMZ655359:DNK655361 DWV655359:DXG655361 EGR655359:EHC655361 EQN655359:EQY655361 FAJ655359:FAU655361 FKF655359:FKQ655361 FUB655359:FUM655361 GDX655359:GEI655361 GNT655359:GOE655361 GXP655359:GYA655361 HHL655359:HHW655361 HRH655359:HRS655361 IBD655359:IBO655361 IKZ655359:ILK655361 IUV655359:IVG655361 JER655359:JFC655361 JON655359:JOY655361 JYJ655359:JYU655361 KIF655359:KIQ655361 KSB655359:KSM655361 LBX655359:LCI655361 LLT655359:LME655361 LVP655359:LWA655361 MFL655359:MFW655361 MPH655359:MPS655361 MZD655359:MZO655361 NIZ655359:NJK655361 NSV655359:NTG655361 OCR655359:ODC655361 OMN655359:OMY655361 OWJ655359:OWU655361 PGF655359:PGQ655361 PQB655359:PQM655361 PZX655359:QAI655361 QJT655359:QKE655361 QTP655359:QUA655361 RDL655359:RDW655361 RNH655359:RNS655361 RXD655359:RXO655361 SGZ655359:SHK655361 SQV655359:SRG655361 TAR655359:TBC655361 TKN655359:TKY655361 TUJ655359:TUU655361 UEF655359:UEQ655361 UOB655359:UOM655361 UXX655359:UYI655361 VHT655359:VIE655361 VRP655359:VSA655361 WBL655359:WBW655361 WLH655359:WLS655361 WVD655359:WVO655361 IR720895:JC720897 SN720895:SY720897 ACJ720895:ACU720897 AMF720895:AMQ720897 AWB720895:AWM720897 BFX720895:BGI720897 BPT720895:BQE720897 BZP720895:CAA720897 CJL720895:CJW720897 CTH720895:CTS720897 DDD720895:DDO720897 DMZ720895:DNK720897 DWV720895:DXG720897 EGR720895:EHC720897 EQN720895:EQY720897 FAJ720895:FAU720897 FKF720895:FKQ720897 FUB720895:FUM720897 GDX720895:GEI720897 GNT720895:GOE720897 GXP720895:GYA720897 HHL720895:HHW720897 HRH720895:HRS720897 IBD720895:IBO720897 IKZ720895:ILK720897 IUV720895:IVG720897 JER720895:JFC720897 JON720895:JOY720897 JYJ720895:JYU720897 KIF720895:KIQ720897 KSB720895:KSM720897 LBX720895:LCI720897 LLT720895:LME720897 LVP720895:LWA720897 MFL720895:MFW720897 MPH720895:MPS720897 MZD720895:MZO720897 NIZ720895:NJK720897 NSV720895:NTG720897 OCR720895:ODC720897 OMN720895:OMY720897 OWJ720895:OWU720897 PGF720895:PGQ720897 PQB720895:PQM720897 PZX720895:QAI720897 QJT720895:QKE720897 QTP720895:QUA720897 RDL720895:RDW720897 RNH720895:RNS720897 RXD720895:RXO720897 SGZ720895:SHK720897 SQV720895:SRG720897 TAR720895:TBC720897 TKN720895:TKY720897 TUJ720895:TUU720897 UEF720895:UEQ720897 UOB720895:UOM720897 UXX720895:UYI720897 VHT720895:VIE720897 VRP720895:VSA720897 WBL720895:WBW720897 WLH720895:WLS720897 WVD720895:WVO720897 IR786431:JC786433 SN786431:SY786433 ACJ786431:ACU786433 AMF786431:AMQ786433 AWB786431:AWM786433 BFX786431:BGI786433 BPT786431:BQE786433 BZP786431:CAA786433 CJL786431:CJW786433 CTH786431:CTS786433 DDD786431:DDO786433 DMZ786431:DNK786433 DWV786431:DXG786433 EGR786431:EHC786433 EQN786431:EQY786433 FAJ786431:FAU786433 FKF786431:FKQ786433 FUB786431:FUM786433 GDX786431:GEI786433 GNT786431:GOE786433 GXP786431:GYA786433 HHL786431:HHW786433 HRH786431:HRS786433 IBD786431:IBO786433 IKZ786431:ILK786433 IUV786431:IVG786433 JER786431:JFC786433 JON786431:JOY786433 JYJ786431:JYU786433 KIF786431:KIQ786433 KSB786431:KSM786433 LBX786431:LCI786433 LLT786431:LME786433 LVP786431:LWA786433 MFL786431:MFW786433 MPH786431:MPS786433 MZD786431:MZO786433 NIZ786431:NJK786433 NSV786431:NTG786433 OCR786431:ODC786433 OMN786431:OMY786433 OWJ786431:OWU786433 PGF786431:PGQ786433 PQB786431:PQM786433 PZX786431:QAI786433 QJT786431:QKE786433 QTP786431:QUA786433 RDL786431:RDW786433 RNH786431:RNS786433 RXD786431:RXO786433 SGZ786431:SHK786433 SQV786431:SRG786433 TAR786431:TBC786433 TKN786431:TKY786433 TUJ786431:TUU786433 UEF786431:UEQ786433 UOB786431:UOM786433 UXX786431:UYI786433 VHT786431:VIE786433 VRP786431:VSA786433 WBL786431:WBW786433 WLH786431:WLS786433 WVD786431:WVO786433 IR851967:JC851969 SN851967:SY851969 ACJ851967:ACU851969 AMF851967:AMQ851969 AWB851967:AWM851969 BFX851967:BGI851969 BPT851967:BQE851969 BZP851967:CAA851969 CJL851967:CJW851969 CTH851967:CTS851969 DDD851967:DDO851969 DMZ851967:DNK851969 DWV851967:DXG851969 EGR851967:EHC851969 EQN851967:EQY851969 FAJ851967:FAU851969 FKF851967:FKQ851969 FUB851967:FUM851969 GDX851967:GEI851969 GNT851967:GOE851969 GXP851967:GYA851969 HHL851967:HHW851969 HRH851967:HRS851969 IBD851967:IBO851969 IKZ851967:ILK851969 IUV851967:IVG851969 JER851967:JFC851969 JON851967:JOY851969 JYJ851967:JYU851969 KIF851967:KIQ851969 KSB851967:KSM851969 LBX851967:LCI851969 LLT851967:LME851969 LVP851967:LWA851969 MFL851967:MFW851969 MPH851967:MPS851969 MZD851967:MZO851969 NIZ851967:NJK851969 NSV851967:NTG851969 OCR851967:ODC851969 OMN851967:OMY851969 OWJ851967:OWU851969 PGF851967:PGQ851969 PQB851967:PQM851969 PZX851967:QAI851969 QJT851967:QKE851969 QTP851967:QUA851969 RDL851967:RDW851969 RNH851967:RNS851969 RXD851967:RXO851969 SGZ851967:SHK851969 SQV851967:SRG851969 TAR851967:TBC851969 TKN851967:TKY851969 TUJ851967:TUU851969 UEF851967:UEQ851969 UOB851967:UOM851969 UXX851967:UYI851969 VHT851967:VIE851969 VRP851967:VSA851969 WBL851967:WBW851969 WLH851967:WLS851969 WVD851967:WVO851969 IR917503:JC917505 SN917503:SY917505 ACJ917503:ACU917505 AMF917503:AMQ917505 AWB917503:AWM917505 BFX917503:BGI917505 BPT917503:BQE917505 BZP917503:CAA917505 CJL917503:CJW917505 CTH917503:CTS917505 DDD917503:DDO917505 DMZ917503:DNK917505 DWV917503:DXG917505 EGR917503:EHC917505 EQN917503:EQY917505 FAJ917503:FAU917505 FKF917503:FKQ917505 FUB917503:FUM917505 GDX917503:GEI917505 GNT917503:GOE917505 GXP917503:GYA917505 HHL917503:HHW917505 HRH917503:HRS917505 IBD917503:IBO917505 IKZ917503:ILK917505 IUV917503:IVG917505 JER917503:JFC917505 JON917503:JOY917505 JYJ917503:JYU917505 KIF917503:KIQ917505 KSB917503:KSM917505 LBX917503:LCI917505 LLT917503:LME917505 LVP917503:LWA917505 MFL917503:MFW917505 MPH917503:MPS917505 MZD917503:MZO917505 NIZ917503:NJK917505 NSV917503:NTG917505 OCR917503:ODC917505 OMN917503:OMY917505 OWJ917503:OWU917505 PGF917503:PGQ917505 PQB917503:PQM917505 PZX917503:QAI917505 QJT917503:QKE917505 QTP917503:QUA917505 RDL917503:RDW917505 RNH917503:RNS917505 RXD917503:RXO917505 SGZ917503:SHK917505 SQV917503:SRG917505 TAR917503:TBC917505 TKN917503:TKY917505 TUJ917503:TUU917505 UEF917503:UEQ917505 UOB917503:UOM917505 UXX917503:UYI917505 VHT917503:VIE917505 VRP917503:VSA917505 WBL917503:WBW917505 WLH917503:WLS917505 WVD917503:WVO917505 IR983039:JC983041 SN983039:SY983041 ACJ983039:ACU983041 AMF983039:AMQ983041 AWB983039:AWM983041 BFX983039:BGI983041 BPT983039:BQE983041 BZP983039:CAA983041 CJL983039:CJW983041 CTH983039:CTS983041 DDD983039:DDO983041 DMZ983039:DNK983041 DWV983039:DXG983041 EGR983039:EHC983041 EQN983039:EQY983041 FAJ983039:FAU983041 FKF983039:FKQ983041 FUB983039:FUM983041 GDX983039:GEI983041 GNT983039:GOE983041 GXP983039:GYA983041 HHL983039:HHW983041 HRH983039:HRS983041 IBD983039:IBO983041 IKZ983039:ILK983041 IUV983039:IVG983041 JER983039:JFC983041 JON983039:JOY983041 JYJ983039:JYU983041 KIF983039:KIQ983041 KSB983039:KSM983041 LBX983039:LCI983041 LLT983039:LME983041 LVP983039:LWA983041 MFL983039:MFW983041 MPH983039:MPS983041 MZD983039:MZO983041 NIZ983039:NJK983041 NSV983039:NTG983041 OCR983039:ODC983041 OMN983039:OMY983041 OWJ983039:OWU983041 PGF983039:PGQ983041 PQB983039:PQM983041 PZX983039:QAI983041 QJT983039:QKE983041 QTP983039:QUA983041 RDL983039:RDW983041 RNH983039:RNS983041 RXD983039:RXO983041 SGZ983039:SHK983041 SQV983039:SRG983041 TAR983039:TBC983041 TKN983039:TKY983041 TUJ983039:TUU983041 UEF983039:UEQ983041 UOB983039:UOM983041 UXX983039:UYI983041 VHT983039:VIE983041 VRP983039:VSA983041 WBL983039:WBW983041 WLH983039:WLS983041 WVD983039:WVO983041 Z262143:AJ262145 Z196607:AJ196609 Z131071:AJ131073 Z65535:AJ65537 Z983039:AJ983041 Z917503:AJ917505 Z851967:AJ851969 Z786431:AJ786433 Z720895:AJ720897 Z655359:AJ655361 Z589823:AJ589825 Z524287:AJ524289 Z458751:AJ458753 Z393215:AJ393217 Z327679:AJ327681 IS2:JD4 SO2:SZ4 ACK2:ACV4 AMG2:AMR4 AWC2:AWN4 BFY2:BGJ4 BPU2:BQF4 BZQ2:CAB4 CJM2:CJX4 CTI2:CTT4 DDE2:DDP4 DNA2:DNL4 DWW2:DXH4 EGS2:EHD4 EQO2:EQZ4 FAK2:FAV4 FKG2:FKR4 FUC2:FUN4 GDY2:GEJ4 GNU2:GOF4 GXQ2:GYB4 HHM2:HHX4 HRI2:HRT4 IBE2:IBP4 ILA2:ILL4 IUW2:IVH4 JES2:JFD4 JOO2:JOZ4 JYK2:JYV4 KIG2:KIR4 KSC2:KSN4 LBY2:LCJ4 LLU2:LMF4 LVQ2:LWB4 MFM2:MFX4 MPI2:MPT4 MZE2:MZP4 NJA2:NJL4 NSW2:NTH4 OCS2:ODD4 OMO2:OMZ4 OWK2:OWV4 PGG2:PGR4 PQC2:PQN4 PZY2:QAJ4 QJU2:QKF4 QTQ2:QUB4 RDM2:RDX4 RNI2:RNT4 RXE2:RXP4 SHA2:SHL4 SQW2:SRH4 TAS2:TBD4 TKO2:TKZ4 TUK2:TUV4 UEG2:UER4 UOC2:UON4 UXY2:UYJ4 VHU2:VIF4 VRQ2:VSB4 WBM2:WBX4 WLI2:WLT4 WVE2:WVP4 R2"/>
    <dataValidation type="list" allowBlank="1" showInputMessage="1" showErrorMessage="1" sqref="AA8:AC46">
      <formula1>"int,numeric,varchar,date,datetime2(0),datetime2,varbinary(max)"</formula1>
    </dataValidation>
    <dataValidation type="list" allowBlank="1" showInputMessage="1" showErrorMessage="1" sqref="Y8:Z46">
      <formula1>"文字,数値,日付,時間"</formula1>
    </dataValidation>
  </dataValidations>
  <pageMargins left="0.39370078740157483" right="0.39370078740157483" top="0.59055118110236227" bottom="0.39370078740157483" header="0.39370078740157483" footer="0.19685039370078741"/>
  <pageSetup paperSize="9" scale="80" fitToHeight="0" orientation="landscape" useFirstPageNumber="1" verticalDpi="300" r:id="rId1"/>
  <headerFooter alignWithMargins="0">
    <oddFooter>&amp;R&amp;A - &amp;P</oddFooter>
  </headerFooter>
  <legacyDrawing r:id="rId2"/>
</worksheet>
</file>

<file path=xl/worksheets/sheet1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65">
    <tabColor rgb="FFFFC000"/>
  </sheetPr>
  <dimension ref="A1:BE46"/>
  <sheetViews>
    <sheetView showGridLines="0" zoomScaleNormal="100" zoomScaleSheetLayoutView="100" workbookViewId="0">
      <pane ySplit="7" topLeftCell="A8" activePane="bottomLeft" state="frozen"/>
      <selection sqref="A1:K4"/>
      <selection pane="bottomLeft" sqref="A1:H4"/>
    </sheetView>
  </sheetViews>
  <sheetFormatPr defaultColWidth="2.6328125" defaultRowHeight="14.4" customHeight="1"/>
  <cols>
    <col min="1" max="1" width="4.6328125" style="18" customWidth="1"/>
    <col min="2" max="26" width="2.6328125" style="18"/>
    <col min="27" max="27" width="2.6328125" style="18" customWidth="1"/>
    <col min="28" max="29" width="2.6328125" style="18"/>
    <col min="30" max="30" width="4.6328125" style="18" customWidth="1"/>
    <col min="31" max="31" width="2.6328125" style="18" customWidth="1"/>
    <col min="32" max="33" width="2.6328125" style="18"/>
    <col min="34" max="34" width="6.6328125" style="18" customWidth="1"/>
    <col min="35" max="41" width="2.6328125" style="18"/>
    <col min="42" max="56" width="2.6328125" style="46"/>
    <col min="57" max="16384" width="2.6328125" style="18"/>
  </cols>
  <sheetData>
    <row r="1" spans="1:57" s="17" customFormat="1" ht="14.4" customHeight="1">
      <c r="A1" s="417" t="s">
        <v>78</v>
      </c>
      <c r="B1" s="418"/>
      <c r="C1" s="418"/>
      <c r="D1" s="418"/>
      <c r="E1" s="418"/>
      <c r="F1" s="418"/>
      <c r="G1" s="418"/>
      <c r="H1" s="419"/>
      <c r="I1" s="354" t="s">
        <v>79</v>
      </c>
      <c r="J1" s="355"/>
      <c r="K1" s="355"/>
      <c r="L1" s="355"/>
      <c r="M1" s="355"/>
      <c r="N1" s="355"/>
      <c r="O1" s="355"/>
      <c r="P1" s="355"/>
      <c r="Q1" s="356"/>
      <c r="R1" s="354" t="s">
        <v>80</v>
      </c>
      <c r="S1" s="355"/>
      <c r="T1" s="355"/>
      <c r="U1" s="355"/>
      <c r="V1" s="355"/>
      <c r="W1" s="355"/>
      <c r="X1" s="356"/>
      <c r="Y1" s="354" t="s">
        <v>135</v>
      </c>
      <c r="Z1" s="355"/>
      <c r="AA1" s="355"/>
      <c r="AB1" s="355"/>
      <c r="AC1" s="355"/>
      <c r="AD1" s="355"/>
      <c r="AE1" s="355"/>
      <c r="AF1" s="355"/>
      <c r="AG1" s="355"/>
      <c r="AH1" s="355"/>
      <c r="AI1" s="355"/>
      <c r="AJ1" s="355"/>
      <c r="AK1" s="355"/>
      <c r="AL1" s="355"/>
      <c r="AM1" s="355"/>
      <c r="AN1" s="355"/>
      <c r="AO1" s="356"/>
      <c r="AP1" s="428" t="s">
        <v>82</v>
      </c>
      <c r="AQ1" s="429"/>
      <c r="AR1" s="429"/>
      <c r="AS1" s="429"/>
      <c r="AT1" s="430"/>
      <c r="AU1" s="428" t="s">
        <v>83</v>
      </c>
      <c r="AV1" s="429"/>
      <c r="AW1" s="429"/>
      <c r="AX1" s="429"/>
      <c r="AY1" s="430"/>
      <c r="AZ1" s="428" t="s">
        <v>84</v>
      </c>
      <c r="BA1" s="429"/>
      <c r="BB1" s="429"/>
      <c r="BC1" s="429"/>
      <c r="BD1" s="430"/>
    </row>
    <row r="2" spans="1:57" s="17" customFormat="1" ht="14.4" customHeight="1">
      <c r="A2" s="420"/>
      <c r="B2" s="421"/>
      <c r="C2" s="421"/>
      <c r="D2" s="421"/>
      <c r="E2" s="421"/>
      <c r="F2" s="421"/>
      <c r="G2" s="421"/>
      <c r="H2" s="422"/>
      <c r="I2" s="384" t="s">
        <v>85</v>
      </c>
      <c r="J2" s="385"/>
      <c r="K2" s="385"/>
      <c r="L2" s="385"/>
      <c r="M2" s="385"/>
      <c r="N2" s="385"/>
      <c r="O2" s="385"/>
      <c r="P2" s="385"/>
      <c r="Q2" s="386"/>
      <c r="R2" s="384" t="str">
        <f ca="1">VLOOKUP(RIGHT(CELL("filename",A2),LEN(CELL("filename",A2))-FIND("]",CELL("filename",A2))),テーブル一覧!B:AD,22,FALSE)</f>
        <v>B.生産計画</v>
      </c>
      <c r="S2" s="385"/>
      <c r="T2" s="385"/>
      <c r="U2" s="385"/>
      <c r="V2" s="385"/>
      <c r="W2" s="385"/>
      <c r="X2" s="386"/>
      <c r="Y2" s="384" t="str">
        <f ca="1">VLOOKUP(RIGHT(CELL("filename",A2),LEN(CELL("filename",A2))-FIND("]",CELL("filename",A2))),テーブル一覧!B:AD,1,FALSE)</f>
        <v>生産指示明細情報（調薬）</v>
      </c>
      <c r="Z2" s="385"/>
      <c r="AA2" s="385"/>
      <c r="AB2" s="385"/>
      <c r="AC2" s="385"/>
      <c r="AD2" s="385"/>
      <c r="AE2" s="385"/>
      <c r="AF2" s="385"/>
      <c r="AG2" s="385"/>
      <c r="AH2" s="385"/>
      <c r="AI2" s="385"/>
      <c r="AJ2" s="385"/>
      <c r="AK2" s="385"/>
      <c r="AL2" s="385"/>
      <c r="AM2" s="385"/>
      <c r="AN2" s="385"/>
      <c r="AO2" s="386"/>
      <c r="AP2" s="357"/>
      <c r="AQ2" s="358"/>
      <c r="AR2" s="358"/>
      <c r="AS2" s="358"/>
      <c r="AT2" s="359"/>
      <c r="AU2" s="58" t="s">
        <v>88</v>
      </c>
      <c r="AV2" s="59"/>
      <c r="AW2" s="59"/>
      <c r="AX2" s="59"/>
      <c r="AY2" s="60"/>
      <c r="AZ2" s="434" t="s">
        <v>89</v>
      </c>
      <c r="BA2" s="435"/>
      <c r="BB2" s="435"/>
      <c r="BC2" s="435"/>
      <c r="BD2" s="436"/>
    </row>
    <row r="3" spans="1:57" s="17" customFormat="1" ht="14.4" customHeight="1">
      <c r="A3" s="420"/>
      <c r="B3" s="421"/>
      <c r="C3" s="421"/>
      <c r="D3" s="421"/>
      <c r="E3" s="421"/>
      <c r="F3" s="421"/>
      <c r="G3" s="421"/>
      <c r="H3" s="422"/>
      <c r="I3" s="387"/>
      <c r="J3" s="388"/>
      <c r="K3" s="388"/>
      <c r="L3" s="388"/>
      <c r="M3" s="388"/>
      <c r="N3" s="388"/>
      <c r="O3" s="388"/>
      <c r="P3" s="388"/>
      <c r="Q3" s="389"/>
      <c r="R3" s="387"/>
      <c r="S3" s="388"/>
      <c r="T3" s="388"/>
      <c r="U3" s="388"/>
      <c r="V3" s="388"/>
      <c r="W3" s="388"/>
      <c r="X3" s="389"/>
      <c r="Y3" s="390"/>
      <c r="Z3" s="391"/>
      <c r="AA3" s="391"/>
      <c r="AB3" s="391"/>
      <c r="AC3" s="391"/>
      <c r="AD3" s="391"/>
      <c r="AE3" s="391"/>
      <c r="AF3" s="391"/>
      <c r="AG3" s="391"/>
      <c r="AH3" s="391"/>
      <c r="AI3" s="391"/>
      <c r="AJ3" s="391"/>
      <c r="AK3" s="391"/>
      <c r="AL3" s="391"/>
      <c r="AM3" s="391"/>
      <c r="AN3" s="391"/>
      <c r="AO3" s="392"/>
      <c r="AP3" s="360"/>
      <c r="AQ3" s="361"/>
      <c r="AR3" s="361"/>
      <c r="AS3" s="361"/>
      <c r="AT3" s="362"/>
      <c r="AU3" s="431"/>
      <c r="AV3" s="432"/>
      <c r="AW3" s="432"/>
      <c r="AX3" s="432"/>
      <c r="AY3" s="433"/>
      <c r="AZ3" s="434"/>
      <c r="BA3" s="435"/>
      <c r="BB3" s="435"/>
      <c r="BC3" s="435"/>
      <c r="BD3" s="436"/>
    </row>
    <row r="4" spans="1:57" s="17" customFormat="1" ht="14.4" customHeight="1">
      <c r="A4" s="423"/>
      <c r="B4" s="424"/>
      <c r="C4" s="424"/>
      <c r="D4" s="424"/>
      <c r="E4" s="424"/>
      <c r="F4" s="424"/>
      <c r="G4" s="424"/>
      <c r="H4" s="425"/>
      <c r="I4" s="390"/>
      <c r="J4" s="391"/>
      <c r="K4" s="391"/>
      <c r="L4" s="391"/>
      <c r="M4" s="391"/>
      <c r="N4" s="391"/>
      <c r="O4" s="391"/>
      <c r="P4" s="391"/>
      <c r="Q4" s="392"/>
      <c r="R4" s="390"/>
      <c r="S4" s="391"/>
      <c r="T4" s="391"/>
      <c r="U4" s="391"/>
      <c r="V4" s="391"/>
      <c r="W4" s="391"/>
      <c r="X4" s="392"/>
      <c r="Y4" s="437" t="str">
        <f ca="1">IF(VLOOKUP(RIGHT(CELL("filename",A2),LEN(CELL("filename",A2))-FIND("]",CELL("filename",A2))),テーブル一覧!B:AD,11,FALSE)=0,"",VLOOKUP(RIGHT(CELL("filename",A2),LEN(CELL("filename",A2))-FIND("]",CELL("filename",A2))),テーブル一覧!B:AD,11,FALSE))</f>
        <v>t_seisan_shiji_choyaku_m</v>
      </c>
      <c r="Z4" s="438"/>
      <c r="AA4" s="438"/>
      <c r="AB4" s="438"/>
      <c r="AC4" s="438"/>
      <c r="AD4" s="438"/>
      <c r="AE4" s="438"/>
      <c r="AF4" s="438"/>
      <c r="AG4" s="438"/>
      <c r="AH4" s="438"/>
      <c r="AI4" s="438"/>
      <c r="AJ4" s="438"/>
      <c r="AK4" s="438"/>
      <c r="AL4" s="438"/>
      <c r="AM4" s="438"/>
      <c r="AN4" s="438"/>
      <c r="AO4" s="439"/>
      <c r="AP4" s="360"/>
      <c r="AQ4" s="361"/>
      <c r="AR4" s="361"/>
      <c r="AS4" s="361"/>
      <c r="AT4" s="362"/>
      <c r="AU4" s="431"/>
      <c r="AV4" s="432"/>
      <c r="AW4" s="432"/>
      <c r="AX4" s="432"/>
      <c r="AY4" s="433"/>
      <c r="AZ4" s="434"/>
      <c r="BA4" s="435"/>
      <c r="BB4" s="435"/>
      <c r="BC4" s="435"/>
      <c r="BD4" s="436"/>
    </row>
    <row r="6" spans="1:57" ht="14.4" customHeight="1">
      <c r="A6" s="426" t="s">
        <v>90</v>
      </c>
      <c r="B6" s="407" t="s">
        <v>136</v>
      </c>
      <c r="C6" s="415"/>
      <c r="D6" s="415"/>
      <c r="E6" s="415"/>
      <c r="F6" s="415"/>
      <c r="G6" s="415"/>
      <c r="H6" s="408"/>
      <c r="I6" s="407" t="s">
        <v>137</v>
      </c>
      <c r="J6" s="415"/>
      <c r="K6" s="415"/>
      <c r="L6" s="415"/>
      <c r="M6" s="415"/>
      <c r="N6" s="415"/>
      <c r="O6" s="415"/>
      <c r="P6" s="415"/>
      <c r="Q6" s="408"/>
      <c r="R6" s="407" t="s">
        <v>138</v>
      </c>
      <c r="S6" s="415"/>
      <c r="T6" s="415"/>
      <c r="U6" s="415"/>
      <c r="V6" s="415"/>
      <c r="W6" s="415"/>
      <c r="X6" s="408"/>
      <c r="Y6" s="407" t="s">
        <v>139</v>
      </c>
      <c r="Z6" s="408"/>
      <c r="AA6" s="407" t="s">
        <v>140</v>
      </c>
      <c r="AB6" s="415"/>
      <c r="AC6" s="408"/>
      <c r="AD6" s="411" t="s">
        <v>141</v>
      </c>
      <c r="AE6" s="413" t="s">
        <v>142</v>
      </c>
      <c r="AF6" s="411" t="s">
        <v>143</v>
      </c>
      <c r="AG6" s="411" t="s">
        <v>144</v>
      </c>
      <c r="AH6" s="411" t="s">
        <v>145</v>
      </c>
      <c r="AI6" s="404" t="s">
        <v>146</v>
      </c>
      <c r="AJ6" s="405"/>
      <c r="AK6" s="405"/>
      <c r="AL6" s="405"/>
      <c r="AM6" s="405"/>
      <c r="AN6" s="405"/>
      <c r="AO6" s="405"/>
      <c r="AP6" s="405"/>
      <c r="AQ6" s="405"/>
      <c r="AR6" s="406"/>
      <c r="AS6" s="407" t="s">
        <v>147</v>
      </c>
      <c r="AT6" s="415"/>
      <c r="AU6" s="415"/>
      <c r="AV6" s="415"/>
      <c r="AW6" s="415"/>
      <c r="AX6" s="415"/>
      <c r="AY6" s="415"/>
      <c r="AZ6" s="415"/>
      <c r="BA6" s="415"/>
      <c r="BB6" s="415"/>
      <c r="BC6" s="415"/>
      <c r="BD6" s="408"/>
    </row>
    <row r="7" spans="1:57" ht="14.4" customHeight="1">
      <c r="A7" s="427"/>
      <c r="B7" s="409"/>
      <c r="C7" s="416"/>
      <c r="D7" s="416"/>
      <c r="E7" s="416"/>
      <c r="F7" s="416"/>
      <c r="G7" s="416"/>
      <c r="H7" s="410"/>
      <c r="I7" s="409"/>
      <c r="J7" s="416"/>
      <c r="K7" s="416"/>
      <c r="L7" s="416"/>
      <c r="M7" s="416"/>
      <c r="N7" s="416"/>
      <c r="O7" s="416"/>
      <c r="P7" s="416"/>
      <c r="Q7" s="410"/>
      <c r="R7" s="409"/>
      <c r="S7" s="416"/>
      <c r="T7" s="416"/>
      <c r="U7" s="416"/>
      <c r="V7" s="416"/>
      <c r="W7" s="416"/>
      <c r="X7" s="410"/>
      <c r="Y7" s="409"/>
      <c r="Z7" s="410"/>
      <c r="AA7" s="409"/>
      <c r="AB7" s="416"/>
      <c r="AC7" s="410"/>
      <c r="AD7" s="412"/>
      <c r="AE7" s="414"/>
      <c r="AF7" s="412"/>
      <c r="AG7" s="412"/>
      <c r="AH7" s="412"/>
      <c r="AI7" s="52">
        <v>1</v>
      </c>
      <c r="AJ7" s="52">
        <v>2</v>
      </c>
      <c r="AK7" s="52">
        <v>3</v>
      </c>
      <c r="AL7" s="52">
        <v>4</v>
      </c>
      <c r="AM7" s="52">
        <v>5</v>
      </c>
      <c r="AN7" s="52">
        <v>6</v>
      </c>
      <c r="AO7" s="52">
        <v>7</v>
      </c>
      <c r="AP7" s="52">
        <v>8</v>
      </c>
      <c r="AQ7" s="52">
        <v>9</v>
      </c>
      <c r="AR7" s="52">
        <v>10</v>
      </c>
      <c r="AS7" s="409"/>
      <c r="AT7" s="416"/>
      <c r="AU7" s="416"/>
      <c r="AV7" s="416"/>
      <c r="AW7" s="416"/>
      <c r="AX7" s="416"/>
      <c r="AY7" s="416"/>
      <c r="AZ7" s="416"/>
      <c r="BA7" s="416"/>
      <c r="BB7" s="416"/>
      <c r="BC7" s="416"/>
      <c r="BD7" s="410"/>
    </row>
    <row r="8" spans="1:57" ht="14.4" customHeight="1">
      <c r="A8" s="70">
        <f>IF(B8="","",COUNTA($B$8:B8))</f>
        <v>1</v>
      </c>
      <c r="B8" s="222" t="s">
        <v>148</v>
      </c>
      <c r="C8" s="223"/>
      <c r="D8" s="223"/>
      <c r="E8" s="223"/>
      <c r="F8" s="223"/>
      <c r="G8" s="223"/>
      <c r="H8" s="224"/>
      <c r="I8" s="225" t="s">
        <v>149</v>
      </c>
      <c r="J8" s="226"/>
      <c r="K8" s="226"/>
      <c r="L8" s="226"/>
      <c r="M8" s="226"/>
      <c r="N8" s="226"/>
      <c r="O8" s="306"/>
      <c r="P8" s="226"/>
      <c r="Q8" s="224"/>
      <c r="R8" s="222" t="s">
        <v>148</v>
      </c>
      <c r="S8" s="226"/>
      <c r="T8" s="226"/>
      <c r="U8" s="226"/>
      <c r="V8" s="226"/>
      <c r="W8" s="226"/>
      <c r="X8" s="224"/>
      <c r="Y8" s="481" t="s">
        <v>150</v>
      </c>
      <c r="Z8" s="482"/>
      <c r="AA8" s="483" t="s">
        <v>151</v>
      </c>
      <c r="AB8" s="484"/>
      <c r="AC8" s="485"/>
      <c r="AD8" s="228">
        <v>15</v>
      </c>
      <c r="AE8" s="261"/>
      <c r="AF8" s="261">
        <v>1</v>
      </c>
      <c r="AG8" s="262" t="s">
        <v>152</v>
      </c>
      <c r="AH8" s="262"/>
      <c r="AI8" s="262"/>
      <c r="AJ8" s="262"/>
      <c r="AK8" s="262"/>
      <c r="AL8" s="262"/>
      <c r="AM8" s="262"/>
      <c r="AN8" s="262"/>
      <c r="AO8" s="261"/>
      <c r="AP8" s="261"/>
      <c r="AQ8" s="261"/>
      <c r="AR8" s="261"/>
      <c r="AS8" s="282"/>
      <c r="AT8" s="283"/>
      <c r="AU8" s="48"/>
      <c r="AV8" s="48"/>
      <c r="AW8" s="48"/>
      <c r="AX8" s="48"/>
      <c r="AY8" s="48"/>
      <c r="AZ8" s="48"/>
      <c r="BA8" s="48"/>
      <c r="BB8" s="48"/>
      <c r="BC8" s="48"/>
      <c r="BD8" s="66"/>
    </row>
    <row r="9" spans="1:57" ht="14.4" customHeight="1">
      <c r="A9" s="79">
        <f>IF(B9="","",COUNTA($B$8:B9))</f>
        <v>2</v>
      </c>
      <c r="B9" s="285" t="s">
        <v>398</v>
      </c>
      <c r="C9" s="286"/>
      <c r="D9" s="286"/>
      <c r="E9" s="286"/>
      <c r="F9" s="286"/>
      <c r="G9" s="286"/>
      <c r="H9" s="270"/>
      <c r="I9" s="266" t="s">
        <v>399</v>
      </c>
      <c r="J9" s="267"/>
      <c r="K9" s="267"/>
      <c r="L9" s="267"/>
      <c r="M9" s="267"/>
      <c r="N9" s="267"/>
      <c r="O9" s="267"/>
      <c r="P9" s="267"/>
      <c r="Q9" s="268"/>
      <c r="R9" s="285" t="s">
        <v>398</v>
      </c>
      <c r="S9" s="267"/>
      <c r="T9" s="267"/>
      <c r="U9" s="267"/>
      <c r="V9" s="267"/>
      <c r="W9" s="267"/>
      <c r="X9" s="270"/>
      <c r="Y9" s="486" t="s">
        <v>150</v>
      </c>
      <c r="Z9" s="487"/>
      <c r="AA9" s="488" t="s">
        <v>151</v>
      </c>
      <c r="AB9" s="489"/>
      <c r="AC9" s="490"/>
      <c r="AD9" s="287">
        <v>30</v>
      </c>
      <c r="AE9" s="288"/>
      <c r="AF9" s="288">
        <v>2</v>
      </c>
      <c r="AG9" s="289" t="s">
        <v>152</v>
      </c>
      <c r="AH9" s="289"/>
      <c r="AI9" s="289"/>
      <c r="AJ9" s="289"/>
      <c r="AK9" s="289"/>
      <c r="AL9" s="289"/>
      <c r="AM9" s="289"/>
      <c r="AN9" s="289"/>
      <c r="AO9" s="288"/>
      <c r="AP9" s="288"/>
      <c r="AQ9" s="288"/>
      <c r="AR9" s="288"/>
      <c r="AS9" s="266" t="s">
        <v>400</v>
      </c>
      <c r="AT9" s="290"/>
      <c r="AU9" s="76"/>
      <c r="AV9" s="76"/>
      <c r="AW9" s="76"/>
      <c r="AX9" s="76"/>
      <c r="AY9" s="76"/>
      <c r="AZ9" s="76"/>
      <c r="BA9" s="76"/>
      <c r="BB9" s="76"/>
      <c r="BC9" s="76"/>
      <c r="BD9" s="77"/>
    </row>
    <row r="10" spans="1:57" ht="14.4" customHeight="1">
      <c r="A10" s="166" t="str">
        <f>IF(B10="","",COUNTA($B$8:B10))</f>
        <v/>
      </c>
      <c r="B10" s="292"/>
      <c r="C10" s="293"/>
      <c r="D10" s="293"/>
      <c r="E10" s="293"/>
      <c r="F10" s="293"/>
      <c r="G10" s="293"/>
      <c r="H10" s="294"/>
      <c r="I10" s="295"/>
      <c r="J10" s="296"/>
      <c r="K10" s="296"/>
      <c r="L10" s="296"/>
      <c r="M10" s="296"/>
      <c r="N10" s="296"/>
      <c r="O10" s="296"/>
      <c r="P10" s="296"/>
      <c r="Q10" s="297"/>
      <c r="R10" s="292"/>
      <c r="S10" s="296"/>
      <c r="T10" s="296"/>
      <c r="U10" s="296"/>
      <c r="V10" s="296"/>
      <c r="W10" s="296"/>
      <c r="X10" s="294"/>
      <c r="Y10" s="292"/>
      <c r="Z10" s="298"/>
      <c r="AA10" s="491"/>
      <c r="AB10" s="492"/>
      <c r="AC10" s="493"/>
      <c r="AD10" s="299"/>
      <c r="AE10" s="300" t="s">
        <v>244</v>
      </c>
      <c r="AF10" s="300"/>
      <c r="AG10" s="300"/>
      <c r="AH10" s="301"/>
      <c r="AI10" s="301"/>
      <c r="AJ10" s="301"/>
      <c r="AK10" s="301"/>
      <c r="AL10" s="301"/>
      <c r="AM10" s="301"/>
      <c r="AN10" s="301"/>
      <c r="AO10" s="300"/>
      <c r="AP10" s="300"/>
      <c r="AQ10" s="300"/>
      <c r="AR10" s="300"/>
      <c r="AS10" s="295" t="s">
        <v>419</v>
      </c>
      <c r="AT10" s="302"/>
      <c r="BD10" s="167"/>
    </row>
    <row r="11" spans="1:57" ht="14.4" customHeight="1">
      <c r="A11" s="70">
        <f>IF(B11="","",COUNTA($B$8:B11))</f>
        <v>3</v>
      </c>
      <c r="B11" s="241" t="s">
        <v>420</v>
      </c>
      <c r="C11" s="242"/>
      <c r="D11" s="242"/>
      <c r="E11" s="242"/>
      <c r="F11" s="242"/>
      <c r="G11" s="242"/>
      <c r="H11" s="243"/>
      <c r="I11" s="225" t="str">
        <f>VLOOKUP(B11,Sheet1!A:B,2,FALSE)</f>
        <v>meisai_seq</v>
      </c>
      <c r="J11" s="226"/>
      <c r="K11" s="226"/>
      <c r="L11" s="226"/>
      <c r="M11" s="226"/>
      <c r="N11" s="226"/>
      <c r="O11" s="226"/>
      <c r="P11" s="226"/>
      <c r="Q11" s="227"/>
      <c r="R11" s="241" t="s">
        <v>420</v>
      </c>
      <c r="S11" s="226"/>
      <c r="T11" s="226"/>
      <c r="U11" s="226"/>
      <c r="V11" s="226"/>
      <c r="W11" s="226"/>
      <c r="X11" s="224"/>
      <c r="Y11" s="481" t="s">
        <v>421</v>
      </c>
      <c r="Z11" s="482"/>
      <c r="AA11" s="483" t="s">
        <v>422</v>
      </c>
      <c r="AB11" s="484"/>
      <c r="AC11" s="485"/>
      <c r="AD11" s="228">
        <v>3</v>
      </c>
      <c r="AE11" s="261" t="s">
        <v>244</v>
      </c>
      <c r="AF11" s="261">
        <v>4</v>
      </c>
      <c r="AG11" s="262" t="s">
        <v>152</v>
      </c>
      <c r="AH11" s="262"/>
      <c r="AI11" s="262"/>
      <c r="AJ11" s="262"/>
      <c r="AK11" s="262"/>
      <c r="AL11" s="262"/>
      <c r="AM11" s="262"/>
      <c r="AN11" s="262"/>
      <c r="AO11" s="261"/>
      <c r="AP11" s="261"/>
      <c r="AQ11" s="261"/>
      <c r="AR11" s="261"/>
      <c r="AS11" s="225" t="s">
        <v>423</v>
      </c>
      <c r="AT11" s="263"/>
      <c r="AU11" s="67"/>
      <c r="AV11" s="67"/>
      <c r="AW11" s="67"/>
      <c r="AX11" s="67"/>
      <c r="AY11" s="67"/>
      <c r="AZ11" s="67"/>
      <c r="BA11" s="67"/>
      <c r="BB11" s="67"/>
      <c r="BC11" s="67"/>
      <c r="BD11" s="68"/>
    </row>
    <row r="12" spans="1:57" ht="14.4" customHeight="1">
      <c r="A12" s="145">
        <f>IF(B12="","",COUNTA($B$8:B12))</f>
        <v>4</v>
      </c>
      <c r="B12" s="230" t="s">
        <v>197</v>
      </c>
      <c r="C12" s="231"/>
      <c r="D12" s="231"/>
      <c r="E12" s="231"/>
      <c r="F12" s="231"/>
      <c r="G12" s="231"/>
      <c r="H12" s="232"/>
      <c r="I12" s="248" t="s">
        <v>198</v>
      </c>
      <c r="J12" s="234"/>
      <c r="K12" s="234"/>
      <c r="L12" s="234"/>
      <c r="M12" s="234"/>
      <c r="N12" s="234"/>
      <c r="O12" s="234"/>
      <c r="P12" s="234"/>
      <c r="Q12" s="235"/>
      <c r="R12" s="230" t="s">
        <v>197</v>
      </c>
      <c r="S12" s="234"/>
      <c r="T12" s="234"/>
      <c r="U12" s="234"/>
      <c r="V12" s="234"/>
      <c r="W12" s="234"/>
      <c r="X12" s="232"/>
      <c r="Y12" s="399" t="s">
        <v>150</v>
      </c>
      <c r="Z12" s="400"/>
      <c r="AA12" s="401" t="s">
        <v>151</v>
      </c>
      <c r="AB12" s="402"/>
      <c r="AC12" s="403"/>
      <c r="AD12" s="249">
        <v>5</v>
      </c>
      <c r="AE12" s="237"/>
      <c r="AF12" s="237"/>
      <c r="AG12" s="237"/>
      <c r="AH12" s="238"/>
      <c r="AI12" s="238"/>
      <c r="AJ12" s="238"/>
      <c r="AK12" s="238"/>
      <c r="AL12" s="238"/>
      <c r="AM12" s="238"/>
      <c r="AN12" s="238"/>
      <c r="AO12" s="237"/>
      <c r="AP12" s="237"/>
      <c r="AQ12" s="237"/>
      <c r="AR12" s="237"/>
      <c r="AS12" s="233"/>
      <c r="AT12" s="220"/>
      <c r="AU12" s="137"/>
      <c r="AV12" s="137"/>
      <c r="AW12" s="137"/>
      <c r="AX12" s="137"/>
      <c r="AY12" s="137"/>
      <c r="AZ12" s="137"/>
      <c r="BA12" s="137"/>
      <c r="BB12" s="137"/>
      <c r="BC12" s="137"/>
      <c r="BD12" s="138"/>
    </row>
    <row r="13" spans="1:57" ht="14.4" customHeight="1">
      <c r="A13" s="70">
        <f>IF(B13="","",COUNTA($B$8:B13))</f>
        <v>5</v>
      </c>
      <c r="B13" s="241" t="s">
        <v>424</v>
      </c>
      <c r="C13" s="242"/>
      <c r="D13" s="242"/>
      <c r="E13" s="242"/>
      <c r="F13" s="242"/>
      <c r="G13" s="242"/>
      <c r="H13" s="243"/>
      <c r="I13" s="225" t="str">
        <f>VLOOKUP(B13,Sheet1!A:B,2,FALSE)</f>
        <v>hinshu_cd</v>
      </c>
      <c r="J13" s="226"/>
      <c r="K13" s="226"/>
      <c r="L13" s="226"/>
      <c r="M13" s="226"/>
      <c r="N13" s="226"/>
      <c r="O13" s="226"/>
      <c r="P13" s="226"/>
      <c r="Q13" s="227"/>
      <c r="R13" s="241" t="s">
        <v>1428</v>
      </c>
      <c r="S13" s="226"/>
      <c r="T13" s="226"/>
      <c r="U13" s="226"/>
      <c r="V13" s="226"/>
      <c r="W13" s="226"/>
      <c r="X13" s="224"/>
      <c r="Y13" s="481" t="s">
        <v>150</v>
      </c>
      <c r="Z13" s="482"/>
      <c r="AA13" s="483" t="s">
        <v>425</v>
      </c>
      <c r="AB13" s="484"/>
      <c r="AC13" s="485"/>
      <c r="AD13" s="228">
        <v>20</v>
      </c>
      <c r="AE13" s="261"/>
      <c r="AF13" s="261"/>
      <c r="AG13" s="261"/>
      <c r="AH13" s="262"/>
      <c r="AI13" s="262"/>
      <c r="AJ13" s="262"/>
      <c r="AK13" s="262"/>
      <c r="AL13" s="262"/>
      <c r="AM13" s="262"/>
      <c r="AN13" s="262"/>
      <c r="AO13" s="261"/>
      <c r="AP13" s="261"/>
      <c r="AQ13" s="261"/>
      <c r="AR13" s="261"/>
      <c r="AS13" s="225"/>
      <c r="AT13" s="263"/>
      <c r="AU13" s="67"/>
      <c r="AV13" s="67"/>
      <c r="AW13" s="67"/>
      <c r="AX13" s="67"/>
      <c r="AY13" s="67"/>
      <c r="AZ13" s="67"/>
      <c r="BA13" s="67"/>
      <c r="BB13" s="67"/>
      <c r="BC13" s="67"/>
      <c r="BD13" s="68"/>
      <c r="BE13" s="18" t="s">
        <v>1486</v>
      </c>
    </row>
    <row r="14" spans="1:57" ht="14.4" customHeight="1">
      <c r="A14" s="70">
        <f>IF(B14="","",COUNTA($B$8:B14))</f>
        <v>6</v>
      </c>
      <c r="B14" s="241" t="s">
        <v>426</v>
      </c>
      <c r="C14" s="242"/>
      <c r="D14" s="242"/>
      <c r="E14" s="242"/>
      <c r="F14" s="242"/>
      <c r="G14" s="242"/>
      <c r="H14" s="243"/>
      <c r="I14" s="225" t="str">
        <f>VLOOKUP(B14,Sheet1!A:B,2,FALSE)</f>
        <v>hinmei</v>
      </c>
      <c r="J14" s="226"/>
      <c r="K14" s="226"/>
      <c r="L14" s="226"/>
      <c r="M14" s="226"/>
      <c r="N14" s="226"/>
      <c r="O14" s="226"/>
      <c r="P14" s="226"/>
      <c r="Q14" s="227"/>
      <c r="R14" s="241" t="s">
        <v>1429</v>
      </c>
      <c r="S14" s="226"/>
      <c r="T14" s="226"/>
      <c r="U14" s="226"/>
      <c r="V14" s="226"/>
      <c r="W14" s="226"/>
      <c r="X14" s="224"/>
      <c r="Y14" s="481" t="s">
        <v>150</v>
      </c>
      <c r="Z14" s="482"/>
      <c r="AA14" s="483" t="s">
        <v>427</v>
      </c>
      <c r="AB14" s="484"/>
      <c r="AC14" s="485"/>
      <c r="AD14" s="228">
        <v>30</v>
      </c>
      <c r="AE14" s="261"/>
      <c r="AF14" s="261"/>
      <c r="AG14" s="261"/>
      <c r="AH14" s="262"/>
      <c r="AI14" s="262"/>
      <c r="AJ14" s="262"/>
      <c r="AK14" s="262"/>
      <c r="AL14" s="262"/>
      <c r="AM14" s="262"/>
      <c r="AN14" s="262"/>
      <c r="AO14" s="261"/>
      <c r="AP14" s="261"/>
      <c r="AQ14" s="261"/>
      <c r="AR14" s="261"/>
      <c r="AS14" s="225"/>
      <c r="AT14" s="263"/>
      <c r="AU14" s="67"/>
      <c r="AV14" s="67"/>
      <c r="AW14" s="67"/>
      <c r="AX14" s="67"/>
      <c r="AY14" s="67"/>
      <c r="AZ14" s="67"/>
      <c r="BA14" s="67"/>
      <c r="BB14" s="67"/>
      <c r="BC14" s="67"/>
      <c r="BD14" s="68"/>
    </row>
    <row r="15" spans="1:57" ht="14.4" customHeight="1">
      <c r="A15" s="70">
        <f>IF(B15="","",COUNTA($B$8:B15))</f>
        <v>7</v>
      </c>
      <c r="B15" s="222" t="s">
        <v>1426</v>
      </c>
      <c r="C15" s="223"/>
      <c r="D15" s="223"/>
      <c r="E15" s="223"/>
      <c r="F15" s="223"/>
      <c r="G15" s="223"/>
      <c r="H15" s="243" t="s">
        <v>391</v>
      </c>
      <c r="I15" s="225" t="s">
        <v>1427</v>
      </c>
      <c r="J15" s="226"/>
      <c r="K15" s="226"/>
      <c r="L15" s="226"/>
      <c r="M15" s="226"/>
      <c r="N15" s="226"/>
      <c r="O15" s="226"/>
      <c r="P15" s="226"/>
      <c r="Q15" s="227"/>
      <c r="R15" s="222" t="s">
        <v>1426</v>
      </c>
      <c r="S15" s="226"/>
      <c r="T15" s="226"/>
      <c r="U15" s="226"/>
      <c r="V15" s="226"/>
      <c r="W15" s="226"/>
      <c r="X15" s="224"/>
      <c r="Y15" s="481" t="s">
        <v>150</v>
      </c>
      <c r="Z15" s="482"/>
      <c r="AA15" s="483" t="s">
        <v>425</v>
      </c>
      <c r="AB15" s="484"/>
      <c r="AC15" s="485"/>
      <c r="AD15" s="228">
        <v>3</v>
      </c>
      <c r="AE15" s="261"/>
      <c r="AF15" s="261"/>
      <c r="AG15" s="261"/>
      <c r="AH15" s="262"/>
      <c r="AI15" s="262"/>
      <c r="AJ15" s="262"/>
      <c r="AK15" s="262"/>
      <c r="AL15" s="262"/>
      <c r="AM15" s="262"/>
      <c r="AN15" s="262"/>
      <c r="AO15" s="261"/>
      <c r="AP15" s="261"/>
      <c r="AQ15" s="261"/>
      <c r="AR15" s="261"/>
      <c r="AS15" s="225"/>
      <c r="AT15" s="283"/>
      <c r="AU15" s="67"/>
      <c r="AV15" s="67"/>
      <c r="AW15" s="67"/>
      <c r="AX15" s="67"/>
      <c r="AY15" s="67"/>
      <c r="AZ15" s="67"/>
      <c r="BA15" s="67"/>
      <c r="BB15" s="67"/>
      <c r="BC15" s="67"/>
      <c r="BD15" s="68"/>
    </row>
    <row r="16" spans="1:57" ht="14.4" customHeight="1">
      <c r="A16" s="70">
        <f>IF(B16="","",COUNTA($B$8:B16))</f>
        <v>8</v>
      </c>
      <c r="B16" s="222" t="s">
        <v>432</v>
      </c>
      <c r="C16" s="223"/>
      <c r="D16" s="223"/>
      <c r="E16" s="223"/>
      <c r="F16" s="223"/>
      <c r="G16" s="223"/>
      <c r="H16" s="224"/>
      <c r="I16" s="225" t="str">
        <f>VLOOKUP(B16,Sheet1!A:B,2,FALSE)</f>
        <v>tonyu_ryo</v>
      </c>
      <c r="J16" s="226"/>
      <c r="K16" s="226"/>
      <c r="L16" s="226"/>
      <c r="M16" s="226"/>
      <c r="N16" s="226"/>
      <c r="O16" s="226"/>
      <c r="P16" s="226"/>
      <c r="Q16" s="227"/>
      <c r="R16" s="222" t="s">
        <v>432</v>
      </c>
      <c r="S16" s="226"/>
      <c r="T16" s="226"/>
      <c r="U16" s="226"/>
      <c r="V16" s="226"/>
      <c r="W16" s="226"/>
      <c r="X16" s="224"/>
      <c r="Y16" s="481" t="s">
        <v>421</v>
      </c>
      <c r="Z16" s="482"/>
      <c r="AA16" s="483" t="s">
        <v>422</v>
      </c>
      <c r="AB16" s="484"/>
      <c r="AC16" s="485"/>
      <c r="AD16" s="228">
        <v>5</v>
      </c>
      <c r="AE16" s="261">
        <v>2</v>
      </c>
      <c r="AF16" s="261"/>
      <c r="AG16" s="261"/>
      <c r="AH16" s="262">
        <v>0</v>
      </c>
      <c r="AI16" s="262"/>
      <c r="AJ16" s="262"/>
      <c r="AK16" s="262"/>
      <c r="AL16" s="262"/>
      <c r="AM16" s="262"/>
      <c r="AN16" s="262"/>
      <c r="AO16" s="261"/>
      <c r="AP16" s="261"/>
      <c r="AQ16" s="261"/>
      <c r="AR16" s="261"/>
      <c r="AS16" s="225"/>
      <c r="AT16" s="283"/>
      <c r="AU16" s="67"/>
      <c r="AV16" s="67"/>
      <c r="AW16" s="67"/>
      <c r="AX16" s="67"/>
      <c r="AY16" s="67"/>
      <c r="AZ16" s="67"/>
      <c r="BA16" s="67"/>
      <c r="BB16" s="67"/>
      <c r="BC16" s="67"/>
      <c r="BD16" s="68"/>
    </row>
    <row r="17" spans="1:56" ht="14.4" customHeight="1">
      <c r="A17" s="70">
        <f>IF(B17="","",COUNTA($B$8:B17))</f>
        <v>9</v>
      </c>
      <c r="B17" s="222" t="s">
        <v>433</v>
      </c>
      <c r="C17" s="223"/>
      <c r="D17" s="223"/>
      <c r="E17" s="223"/>
      <c r="F17" s="223"/>
      <c r="G17" s="223"/>
      <c r="H17" s="224"/>
      <c r="I17" s="225" t="str">
        <f>VLOOKUP(B17,Sheet1!A:B,2,FALSE)</f>
        <v>biko</v>
      </c>
      <c r="J17" s="226"/>
      <c r="K17" s="226"/>
      <c r="L17" s="226"/>
      <c r="M17" s="226"/>
      <c r="N17" s="226"/>
      <c r="O17" s="226"/>
      <c r="P17" s="226"/>
      <c r="Q17" s="227"/>
      <c r="R17" s="222" t="s">
        <v>433</v>
      </c>
      <c r="S17" s="226"/>
      <c r="T17" s="226"/>
      <c r="U17" s="226"/>
      <c r="V17" s="226"/>
      <c r="W17" s="226"/>
      <c r="X17" s="224"/>
      <c r="Y17" s="481" t="s">
        <v>150</v>
      </c>
      <c r="Z17" s="482"/>
      <c r="AA17" s="483" t="s">
        <v>425</v>
      </c>
      <c r="AB17" s="484"/>
      <c r="AC17" s="485"/>
      <c r="AD17" s="228">
        <v>1000</v>
      </c>
      <c r="AE17" s="261"/>
      <c r="AF17" s="261"/>
      <c r="AG17" s="261"/>
      <c r="AH17" s="262"/>
      <c r="AI17" s="262"/>
      <c r="AJ17" s="262"/>
      <c r="AK17" s="262"/>
      <c r="AL17" s="262"/>
      <c r="AM17" s="262"/>
      <c r="AN17" s="262"/>
      <c r="AO17" s="261"/>
      <c r="AP17" s="261"/>
      <c r="AQ17" s="261"/>
      <c r="AR17" s="261"/>
      <c r="AS17" s="225"/>
      <c r="AT17" s="283"/>
      <c r="AU17" s="67"/>
      <c r="AV17" s="67"/>
      <c r="AW17" s="67"/>
      <c r="AX17" s="67"/>
      <c r="AY17" s="67"/>
      <c r="AZ17" s="67"/>
      <c r="BA17" s="67"/>
      <c r="BB17" s="67"/>
      <c r="BC17" s="67"/>
      <c r="BD17" s="68"/>
    </row>
    <row r="18" spans="1:56" ht="14.4" customHeight="1">
      <c r="A18" s="70">
        <f>IF(B18="","",COUNTA($B$8:B18))</f>
        <v>10</v>
      </c>
      <c r="B18" s="222" t="s">
        <v>249</v>
      </c>
      <c r="C18" s="223"/>
      <c r="D18" s="223"/>
      <c r="E18" s="223"/>
      <c r="F18" s="223"/>
      <c r="G18" s="223"/>
      <c r="H18" s="224"/>
      <c r="I18" s="225" t="str">
        <f>VLOOKUP(B18,Sheet1!A:B,2,FALSE)</f>
        <v>shukan_busho_cd</v>
      </c>
      <c r="J18" s="226"/>
      <c r="K18" s="226"/>
      <c r="L18" s="226"/>
      <c r="M18" s="226"/>
      <c r="N18" s="226"/>
      <c r="O18" s="226"/>
      <c r="P18" s="226"/>
      <c r="Q18" s="227"/>
      <c r="R18" s="222" t="s">
        <v>434</v>
      </c>
      <c r="S18" s="226"/>
      <c r="T18" s="226"/>
      <c r="U18" s="226"/>
      <c r="V18" s="226"/>
      <c r="W18" s="226"/>
      <c r="X18" s="224"/>
      <c r="Y18" s="481" t="s">
        <v>150</v>
      </c>
      <c r="Z18" s="482"/>
      <c r="AA18" s="483" t="s">
        <v>425</v>
      </c>
      <c r="AB18" s="484"/>
      <c r="AC18" s="485"/>
      <c r="AD18" s="228">
        <v>4</v>
      </c>
      <c r="AE18" s="261"/>
      <c r="AF18" s="261"/>
      <c r="AG18" s="261"/>
      <c r="AH18" s="262"/>
      <c r="AI18" s="262"/>
      <c r="AJ18" s="262"/>
      <c r="AK18" s="262"/>
      <c r="AL18" s="262"/>
      <c r="AM18" s="262"/>
      <c r="AN18" s="262"/>
      <c r="AO18" s="261"/>
      <c r="AP18" s="261"/>
      <c r="AQ18" s="261"/>
      <c r="AR18" s="261"/>
      <c r="AS18" s="225"/>
      <c r="AT18" s="263"/>
      <c r="AU18" s="67"/>
      <c r="AV18" s="67"/>
      <c r="AW18" s="67"/>
      <c r="AX18" s="67"/>
      <c r="AY18" s="67"/>
      <c r="AZ18" s="67"/>
      <c r="BA18" s="67"/>
      <c r="BB18" s="67"/>
      <c r="BC18" s="67"/>
      <c r="BD18" s="68"/>
    </row>
    <row r="19" spans="1:56" ht="14.4" customHeight="1">
      <c r="A19" s="70">
        <f>IF(B19="","",COUNTA($B$8:B19))</f>
        <v>11</v>
      </c>
      <c r="B19" s="222" t="s">
        <v>435</v>
      </c>
      <c r="C19" s="223"/>
      <c r="D19" s="223"/>
      <c r="E19" s="223"/>
      <c r="F19" s="223"/>
      <c r="G19" s="223"/>
      <c r="H19" s="224"/>
      <c r="I19" s="225" t="str">
        <f>VLOOKUP(B19,Sheet1!A:B,2,FALSE)</f>
        <v>shukan_kotei_cd</v>
      </c>
      <c r="J19" s="226"/>
      <c r="K19" s="226"/>
      <c r="L19" s="226"/>
      <c r="M19" s="226"/>
      <c r="N19" s="226"/>
      <c r="O19" s="226"/>
      <c r="P19" s="226"/>
      <c r="Q19" s="227"/>
      <c r="R19" s="222" t="s">
        <v>435</v>
      </c>
      <c r="S19" s="226"/>
      <c r="T19" s="226"/>
      <c r="U19" s="226"/>
      <c r="V19" s="226"/>
      <c r="W19" s="226"/>
      <c r="X19" s="224"/>
      <c r="Y19" s="481" t="s">
        <v>150</v>
      </c>
      <c r="Z19" s="482"/>
      <c r="AA19" s="483" t="s">
        <v>425</v>
      </c>
      <c r="AB19" s="484"/>
      <c r="AC19" s="485"/>
      <c r="AD19" s="228">
        <v>4</v>
      </c>
      <c r="AE19" s="261"/>
      <c r="AF19" s="261"/>
      <c r="AG19" s="261"/>
      <c r="AH19" s="262"/>
      <c r="AI19" s="262"/>
      <c r="AJ19" s="262"/>
      <c r="AK19" s="262"/>
      <c r="AL19" s="262"/>
      <c r="AM19" s="262"/>
      <c r="AN19" s="262"/>
      <c r="AO19" s="261"/>
      <c r="AP19" s="261"/>
      <c r="AQ19" s="261"/>
      <c r="AR19" s="261"/>
      <c r="AS19" s="225"/>
      <c r="AT19" s="263"/>
      <c r="AU19" s="67"/>
      <c r="AV19" s="67"/>
      <c r="AW19" s="67"/>
      <c r="AX19" s="67"/>
      <c r="AY19" s="67"/>
      <c r="AZ19" s="67"/>
      <c r="BA19" s="67"/>
      <c r="BB19" s="67"/>
      <c r="BC19" s="67"/>
      <c r="BD19" s="68"/>
    </row>
    <row r="20" spans="1:56" ht="14.4" customHeight="1">
      <c r="A20" s="70">
        <f>IF(B20="","",COUNTA($B$8:B20))</f>
        <v>12</v>
      </c>
      <c r="B20" s="222" t="s">
        <v>253</v>
      </c>
      <c r="C20" s="223"/>
      <c r="D20" s="223"/>
      <c r="E20" s="223"/>
      <c r="F20" s="223"/>
      <c r="G20" s="223"/>
      <c r="H20" s="224"/>
      <c r="I20" s="225" t="s">
        <v>254</v>
      </c>
      <c r="J20" s="226"/>
      <c r="K20" s="226"/>
      <c r="L20" s="226"/>
      <c r="M20" s="226"/>
      <c r="N20" s="226"/>
      <c r="O20" s="226"/>
      <c r="P20" s="226"/>
      <c r="Q20" s="227"/>
      <c r="R20" s="222" t="s">
        <v>253</v>
      </c>
      <c r="S20" s="226"/>
      <c r="T20" s="226"/>
      <c r="U20" s="226"/>
      <c r="V20" s="226"/>
      <c r="W20" s="226"/>
      <c r="X20" s="224"/>
      <c r="Y20" s="481" t="s">
        <v>150</v>
      </c>
      <c r="Z20" s="482"/>
      <c r="AA20" s="483" t="s">
        <v>151</v>
      </c>
      <c r="AB20" s="484"/>
      <c r="AC20" s="485"/>
      <c r="AD20" s="228">
        <v>10</v>
      </c>
      <c r="AE20" s="261"/>
      <c r="AF20" s="261"/>
      <c r="AG20" s="261"/>
      <c r="AH20" s="262"/>
      <c r="AI20" s="262"/>
      <c r="AJ20" s="262"/>
      <c r="AK20" s="262"/>
      <c r="AL20" s="262"/>
      <c r="AM20" s="262"/>
      <c r="AN20" s="262"/>
      <c r="AO20" s="261"/>
      <c r="AP20" s="261"/>
      <c r="AQ20" s="261"/>
      <c r="AR20" s="261"/>
      <c r="AS20" s="225"/>
      <c r="AT20" s="263"/>
      <c r="AU20" s="67"/>
      <c r="AV20" s="67"/>
      <c r="AW20" s="67"/>
      <c r="AX20" s="67"/>
      <c r="AY20" s="67"/>
      <c r="AZ20" s="67"/>
      <c r="BA20" s="67"/>
      <c r="BB20" s="67"/>
      <c r="BC20" s="67"/>
      <c r="BD20" s="68"/>
    </row>
    <row r="21" spans="1:56" ht="14.4" customHeight="1">
      <c r="A21" s="70">
        <f>IF(B21="","",COUNTA($B$8:B21))</f>
        <v>13</v>
      </c>
      <c r="B21" s="222" t="s">
        <v>255</v>
      </c>
      <c r="C21" s="223"/>
      <c r="D21" s="223"/>
      <c r="E21" s="223"/>
      <c r="F21" s="223"/>
      <c r="G21" s="223"/>
      <c r="H21" s="224"/>
      <c r="I21" s="225" t="s">
        <v>256</v>
      </c>
      <c r="J21" s="226"/>
      <c r="K21" s="226"/>
      <c r="L21" s="226"/>
      <c r="M21" s="226"/>
      <c r="N21" s="226"/>
      <c r="O21" s="226"/>
      <c r="P21" s="226"/>
      <c r="Q21" s="227"/>
      <c r="R21" s="222" t="s">
        <v>255</v>
      </c>
      <c r="S21" s="226"/>
      <c r="T21" s="226"/>
      <c r="U21" s="226"/>
      <c r="V21" s="226"/>
      <c r="W21" s="226"/>
      <c r="X21" s="224"/>
      <c r="Y21" s="481" t="s">
        <v>150</v>
      </c>
      <c r="Z21" s="482"/>
      <c r="AA21" s="483" t="s">
        <v>151</v>
      </c>
      <c r="AB21" s="484"/>
      <c r="AC21" s="485"/>
      <c r="AD21" s="228">
        <v>10</v>
      </c>
      <c r="AE21" s="261"/>
      <c r="AF21" s="261"/>
      <c r="AG21" s="261"/>
      <c r="AH21" s="262"/>
      <c r="AI21" s="262"/>
      <c r="AJ21" s="262"/>
      <c r="AK21" s="262"/>
      <c r="AL21" s="262"/>
      <c r="AM21" s="262"/>
      <c r="AN21" s="262"/>
      <c r="AO21" s="261"/>
      <c r="AP21" s="261"/>
      <c r="AQ21" s="261"/>
      <c r="AR21" s="261"/>
      <c r="AS21" s="225"/>
      <c r="AT21" s="263"/>
      <c r="AU21" s="67"/>
      <c r="AV21" s="67"/>
      <c r="AW21" s="67"/>
      <c r="AX21" s="67"/>
      <c r="AY21" s="67"/>
      <c r="AZ21" s="67"/>
      <c r="BA21" s="67"/>
      <c r="BB21" s="67"/>
      <c r="BC21" s="67"/>
      <c r="BD21" s="68"/>
    </row>
    <row r="22" spans="1:56" ht="14.4" customHeight="1">
      <c r="A22" s="70">
        <f>IF(B22="","",COUNTA($B$8:B22))</f>
        <v>14</v>
      </c>
      <c r="B22" s="222" t="s">
        <v>257</v>
      </c>
      <c r="C22" s="223"/>
      <c r="D22" s="223"/>
      <c r="E22" s="223"/>
      <c r="F22" s="223"/>
      <c r="G22" s="223"/>
      <c r="H22" s="224"/>
      <c r="I22" s="225" t="s">
        <v>258</v>
      </c>
      <c r="J22" s="226"/>
      <c r="K22" s="226"/>
      <c r="L22" s="226"/>
      <c r="M22" s="226"/>
      <c r="N22" s="226"/>
      <c r="O22" s="226"/>
      <c r="P22" s="226"/>
      <c r="Q22" s="227"/>
      <c r="R22" s="222" t="s">
        <v>257</v>
      </c>
      <c r="S22" s="226"/>
      <c r="T22" s="226"/>
      <c r="U22" s="226"/>
      <c r="V22" s="226"/>
      <c r="W22" s="226"/>
      <c r="X22" s="224"/>
      <c r="Y22" s="481" t="s">
        <v>169</v>
      </c>
      <c r="Z22" s="482"/>
      <c r="AA22" s="483" t="s">
        <v>243</v>
      </c>
      <c r="AB22" s="484"/>
      <c r="AC22" s="485"/>
      <c r="AD22" s="307"/>
      <c r="AE22" s="261"/>
      <c r="AF22" s="261"/>
      <c r="AG22" s="261"/>
      <c r="AH22" s="262"/>
      <c r="AI22" s="262"/>
      <c r="AJ22" s="262"/>
      <c r="AK22" s="262"/>
      <c r="AL22" s="262"/>
      <c r="AM22" s="262"/>
      <c r="AN22" s="262"/>
      <c r="AO22" s="261"/>
      <c r="AP22" s="261"/>
      <c r="AQ22" s="261"/>
      <c r="AR22" s="261"/>
      <c r="AS22" s="225"/>
      <c r="AT22" s="263"/>
      <c r="AU22" s="67"/>
      <c r="AV22" s="67"/>
      <c r="AW22" s="67"/>
      <c r="AX22" s="67"/>
      <c r="AY22" s="67"/>
      <c r="AZ22" s="67"/>
      <c r="BA22" s="67"/>
      <c r="BB22" s="67"/>
      <c r="BC22" s="67"/>
      <c r="BD22" s="68"/>
    </row>
    <row r="23" spans="1:56" ht="14.4" customHeight="1">
      <c r="A23" s="70">
        <f>IF(B23="","",COUNTA($B$8:B23))</f>
        <v>15</v>
      </c>
      <c r="B23" s="222" t="s">
        <v>259</v>
      </c>
      <c r="C23" s="223"/>
      <c r="D23" s="223"/>
      <c r="E23" s="223"/>
      <c r="F23" s="223"/>
      <c r="G23" s="223"/>
      <c r="H23" s="224"/>
      <c r="I23" s="225" t="s">
        <v>260</v>
      </c>
      <c r="J23" s="226"/>
      <c r="K23" s="226"/>
      <c r="L23" s="226"/>
      <c r="M23" s="226"/>
      <c r="N23" s="226"/>
      <c r="O23" s="226"/>
      <c r="P23" s="226"/>
      <c r="Q23" s="227"/>
      <c r="R23" s="222" t="s">
        <v>259</v>
      </c>
      <c r="S23" s="226"/>
      <c r="T23" s="226"/>
      <c r="U23" s="226"/>
      <c r="V23" s="226"/>
      <c r="W23" s="226"/>
      <c r="X23" s="224"/>
      <c r="Y23" s="481" t="s">
        <v>150</v>
      </c>
      <c r="Z23" s="482"/>
      <c r="AA23" s="483" t="s">
        <v>151</v>
      </c>
      <c r="AB23" s="484"/>
      <c r="AC23" s="485"/>
      <c r="AD23" s="228">
        <v>10</v>
      </c>
      <c r="AE23" s="261"/>
      <c r="AF23" s="261"/>
      <c r="AG23" s="261"/>
      <c r="AH23" s="262"/>
      <c r="AI23" s="262"/>
      <c r="AJ23" s="262"/>
      <c r="AK23" s="262"/>
      <c r="AL23" s="262"/>
      <c r="AM23" s="262"/>
      <c r="AN23" s="262"/>
      <c r="AO23" s="261"/>
      <c r="AP23" s="261"/>
      <c r="AQ23" s="261"/>
      <c r="AR23" s="261"/>
      <c r="AS23" s="225"/>
      <c r="AT23" s="264"/>
      <c r="AU23" s="32"/>
      <c r="AV23" s="32"/>
      <c r="AW23" s="32"/>
      <c r="AX23" s="32"/>
      <c r="AY23" s="32"/>
      <c r="AZ23" s="32"/>
      <c r="BA23" s="32"/>
      <c r="BB23" s="32"/>
      <c r="BC23" s="32"/>
      <c r="BD23" s="33"/>
    </row>
    <row r="24" spans="1:56" ht="14.4" customHeight="1">
      <c r="A24" s="70">
        <f>IF(B24="","",COUNTA($B$8:B24))</f>
        <v>16</v>
      </c>
      <c r="B24" s="222" t="s">
        <v>261</v>
      </c>
      <c r="C24" s="223"/>
      <c r="D24" s="223"/>
      <c r="E24" s="223"/>
      <c r="F24" s="223"/>
      <c r="G24" s="223"/>
      <c r="H24" s="224"/>
      <c r="I24" s="225" t="s">
        <v>262</v>
      </c>
      <c r="J24" s="226"/>
      <c r="K24" s="226"/>
      <c r="L24" s="226"/>
      <c r="M24" s="226"/>
      <c r="N24" s="226"/>
      <c r="O24" s="226"/>
      <c r="P24" s="226"/>
      <c r="Q24" s="227"/>
      <c r="R24" s="222" t="s">
        <v>261</v>
      </c>
      <c r="S24" s="226"/>
      <c r="T24" s="226"/>
      <c r="U24" s="226"/>
      <c r="V24" s="226"/>
      <c r="W24" s="226"/>
      <c r="X24" s="224"/>
      <c r="Y24" s="481" t="s">
        <v>150</v>
      </c>
      <c r="Z24" s="482"/>
      <c r="AA24" s="483" t="s">
        <v>151</v>
      </c>
      <c r="AB24" s="484"/>
      <c r="AC24" s="485"/>
      <c r="AD24" s="307">
        <v>10</v>
      </c>
      <c r="AE24" s="261"/>
      <c r="AF24" s="261"/>
      <c r="AG24" s="261"/>
      <c r="AH24" s="262"/>
      <c r="AI24" s="262"/>
      <c r="AJ24" s="262"/>
      <c r="AK24" s="262"/>
      <c r="AL24" s="262"/>
      <c r="AM24" s="262"/>
      <c r="AN24" s="262"/>
      <c r="AO24" s="261"/>
      <c r="AP24" s="261"/>
      <c r="AQ24" s="261"/>
      <c r="AR24" s="261"/>
      <c r="AS24" s="225"/>
      <c r="AT24" s="264"/>
      <c r="AU24" s="32"/>
      <c r="AV24" s="32"/>
      <c r="AW24" s="32"/>
      <c r="AX24" s="32"/>
      <c r="AY24" s="32"/>
      <c r="AZ24" s="32"/>
      <c r="BA24" s="32"/>
      <c r="BB24" s="32"/>
      <c r="BC24" s="32"/>
      <c r="BD24" s="33"/>
    </row>
    <row r="25" spans="1:56" ht="14.4" customHeight="1">
      <c r="A25" s="70">
        <f>IF(B25="","",COUNTA($B$8:B25))</f>
        <v>17</v>
      </c>
      <c r="B25" s="222" t="s">
        <v>263</v>
      </c>
      <c r="C25" s="223"/>
      <c r="D25" s="223"/>
      <c r="E25" s="223"/>
      <c r="F25" s="223"/>
      <c r="G25" s="223"/>
      <c r="H25" s="224"/>
      <c r="I25" s="225" t="s">
        <v>264</v>
      </c>
      <c r="J25" s="226"/>
      <c r="K25" s="226"/>
      <c r="L25" s="226"/>
      <c r="M25" s="226"/>
      <c r="N25" s="226"/>
      <c r="O25" s="226"/>
      <c r="P25" s="226"/>
      <c r="Q25" s="227"/>
      <c r="R25" s="229" t="s">
        <v>263</v>
      </c>
      <c r="S25" s="226"/>
      <c r="T25" s="226"/>
      <c r="U25" s="226"/>
      <c r="V25" s="226"/>
      <c r="W25" s="226"/>
      <c r="X25" s="224"/>
      <c r="Y25" s="481" t="s">
        <v>169</v>
      </c>
      <c r="Z25" s="482"/>
      <c r="AA25" s="483" t="s">
        <v>243</v>
      </c>
      <c r="AB25" s="484"/>
      <c r="AC25" s="485"/>
      <c r="AD25" s="307"/>
      <c r="AE25" s="261"/>
      <c r="AF25" s="261"/>
      <c r="AG25" s="261"/>
      <c r="AH25" s="262"/>
      <c r="AI25" s="262"/>
      <c r="AJ25" s="262"/>
      <c r="AK25" s="262"/>
      <c r="AL25" s="262"/>
      <c r="AM25" s="262"/>
      <c r="AN25" s="262"/>
      <c r="AO25" s="261"/>
      <c r="AP25" s="261"/>
      <c r="AQ25" s="261"/>
      <c r="AR25" s="261"/>
      <c r="AS25" s="225"/>
      <c r="AT25" s="263"/>
      <c r="AU25" s="67"/>
      <c r="AV25" s="67"/>
      <c r="AW25" s="67"/>
      <c r="AX25" s="67"/>
      <c r="AY25" s="67"/>
      <c r="AZ25" s="67"/>
      <c r="BA25" s="67"/>
      <c r="BB25" s="67"/>
      <c r="BC25" s="67"/>
      <c r="BD25" s="68"/>
    </row>
    <row r="26" spans="1:56" ht="14.4" customHeight="1">
      <c r="A26" s="70" t="str">
        <f>IF(B26="","",COUNTA($B$8:B26))</f>
        <v/>
      </c>
      <c r="B26" s="222"/>
      <c r="C26" s="223"/>
      <c r="D26" s="223"/>
      <c r="E26" s="223"/>
      <c r="F26" s="223"/>
      <c r="G26" s="223"/>
      <c r="H26" s="243"/>
      <c r="I26" s="225"/>
      <c r="J26" s="226"/>
      <c r="K26" s="226"/>
      <c r="L26" s="226"/>
      <c r="M26" s="226"/>
      <c r="N26" s="226"/>
      <c r="O26" s="226"/>
      <c r="P26" s="226"/>
      <c r="Q26" s="227"/>
      <c r="R26" s="222"/>
      <c r="S26" s="226"/>
      <c r="T26" s="226"/>
      <c r="U26" s="226"/>
      <c r="V26" s="226"/>
      <c r="W26" s="226"/>
      <c r="X26" s="224"/>
      <c r="Y26" s="481"/>
      <c r="Z26" s="482"/>
      <c r="AA26" s="483"/>
      <c r="AB26" s="484"/>
      <c r="AC26" s="485"/>
      <c r="AD26" s="228"/>
      <c r="AE26" s="261"/>
      <c r="AF26" s="261"/>
      <c r="AG26" s="261"/>
      <c r="AH26" s="262"/>
      <c r="AI26" s="262"/>
      <c r="AJ26" s="262"/>
      <c r="AK26" s="262"/>
      <c r="AL26" s="262"/>
      <c r="AM26" s="262"/>
      <c r="AN26" s="262"/>
      <c r="AO26" s="261"/>
      <c r="AP26" s="261"/>
      <c r="AQ26" s="261"/>
      <c r="AR26" s="261"/>
      <c r="AS26" s="225"/>
      <c r="AT26" s="263"/>
      <c r="AU26" s="67"/>
      <c r="AV26" s="67"/>
      <c r="AW26" s="67"/>
      <c r="AX26" s="67"/>
      <c r="AY26" s="67"/>
      <c r="AZ26" s="67"/>
      <c r="BA26" s="67"/>
      <c r="BB26" s="67"/>
      <c r="BC26" s="67"/>
      <c r="BD26" s="68"/>
    </row>
    <row r="27" spans="1:56" ht="14.4" customHeight="1">
      <c r="A27" s="70" t="str">
        <f>IF(B27="","",COUNTA($B$8:B27))</f>
        <v/>
      </c>
      <c r="B27" s="222"/>
      <c r="C27" s="223" t="s">
        <v>395</v>
      </c>
      <c r="D27" s="223"/>
      <c r="E27" s="223" t="s">
        <v>436</v>
      </c>
      <c r="F27" s="223"/>
      <c r="G27" s="223"/>
      <c r="H27" s="224"/>
      <c r="I27" s="225"/>
      <c r="J27" s="226"/>
      <c r="K27" s="226"/>
      <c r="L27" s="226"/>
      <c r="M27" s="226"/>
      <c r="N27" s="226"/>
      <c r="O27" s="226"/>
      <c r="P27" s="226"/>
      <c r="Q27" s="227"/>
      <c r="R27" s="229"/>
      <c r="S27" s="226"/>
      <c r="T27" s="306"/>
      <c r="U27" s="226"/>
      <c r="V27" s="226"/>
      <c r="W27" s="226"/>
      <c r="X27" s="224"/>
      <c r="Y27" s="481"/>
      <c r="Z27" s="482"/>
      <c r="AA27" s="483"/>
      <c r="AB27" s="484"/>
      <c r="AC27" s="485"/>
      <c r="AD27" s="228"/>
      <c r="AE27" s="261"/>
      <c r="AF27" s="261"/>
      <c r="AG27" s="261"/>
      <c r="AH27" s="272"/>
      <c r="AI27" s="272"/>
      <c r="AJ27" s="262"/>
      <c r="AK27" s="262"/>
      <c r="AL27" s="262"/>
      <c r="AM27" s="262"/>
      <c r="AN27" s="262"/>
      <c r="AO27" s="261"/>
      <c r="AP27" s="261"/>
      <c r="AQ27" s="261"/>
      <c r="AR27" s="261"/>
      <c r="AS27" s="225"/>
      <c r="AT27" s="263"/>
      <c r="AU27" s="67"/>
      <c r="AV27" s="67"/>
      <c r="AW27" s="67"/>
      <c r="AX27" s="67"/>
      <c r="AY27" s="67"/>
      <c r="AZ27" s="67"/>
      <c r="BA27" s="67"/>
      <c r="BB27" s="67"/>
      <c r="BC27" s="67"/>
      <c r="BD27" s="68"/>
    </row>
    <row r="28" spans="1:56" ht="14.4" customHeight="1">
      <c r="A28" s="70" t="str">
        <f>IF(B28="","",COUNTA($B$8:B28))</f>
        <v/>
      </c>
      <c r="B28" s="222"/>
      <c r="C28" s="223"/>
      <c r="D28" s="223"/>
      <c r="E28" s="223"/>
      <c r="F28" s="223"/>
      <c r="G28" s="223"/>
      <c r="H28" s="224"/>
      <c r="I28" s="225"/>
      <c r="J28" s="226"/>
      <c r="K28" s="226"/>
      <c r="L28" s="226"/>
      <c r="M28" s="226"/>
      <c r="N28" s="226"/>
      <c r="O28" s="226"/>
      <c r="P28" s="226"/>
      <c r="Q28" s="227"/>
      <c r="R28" s="229"/>
      <c r="S28" s="226"/>
      <c r="T28" s="306"/>
      <c r="U28" s="226"/>
      <c r="V28" s="226"/>
      <c r="W28" s="226"/>
      <c r="X28" s="224"/>
      <c r="Y28" s="481"/>
      <c r="Z28" s="482"/>
      <c r="AA28" s="483"/>
      <c r="AB28" s="484"/>
      <c r="AC28" s="485"/>
      <c r="AD28" s="307"/>
      <c r="AE28" s="261"/>
      <c r="AF28" s="261"/>
      <c r="AG28" s="261"/>
      <c r="AH28" s="262"/>
      <c r="AI28" s="262"/>
      <c r="AJ28" s="262"/>
      <c r="AK28" s="262"/>
      <c r="AL28" s="272"/>
      <c r="AM28" s="272"/>
      <c r="AN28" s="272"/>
      <c r="AO28" s="271"/>
      <c r="AP28" s="271"/>
      <c r="AQ28" s="271"/>
      <c r="AR28" s="271"/>
      <c r="AS28" s="273"/>
      <c r="AT28" s="274"/>
      <c r="AU28" s="67"/>
      <c r="AV28" s="67"/>
      <c r="AW28" s="67"/>
      <c r="AX28" s="67"/>
      <c r="AY28" s="67"/>
      <c r="AZ28" s="67"/>
      <c r="BA28" s="67"/>
      <c r="BB28" s="67"/>
      <c r="BC28" s="67"/>
      <c r="BD28" s="68"/>
    </row>
    <row r="29" spans="1:56" ht="14.4" customHeight="1">
      <c r="A29" s="70" t="str">
        <f>IF(B29="","",COUNTA($B$8:B29))</f>
        <v/>
      </c>
      <c r="B29" s="222"/>
      <c r="C29" s="223"/>
      <c r="D29" s="223"/>
      <c r="E29" s="223"/>
      <c r="F29" s="223"/>
      <c r="G29" s="223"/>
      <c r="H29" s="224"/>
      <c r="I29" s="225"/>
      <c r="J29" s="226"/>
      <c r="K29" s="226"/>
      <c r="L29" s="226"/>
      <c r="M29" s="226"/>
      <c r="N29" s="226"/>
      <c r="O29" s="226"/>
      <c r="P29" s="226"/>
      <c r="Q29" s="227"/>
      <c r="R29" s="229"/>
      <c r="S29" s="226"/>
      <c r="T29" s="306"/>
      <c r="U29" s="226"/>
      <c r="V29" s="226"/>
      <c r="W29" s="226"/>
      <c r="X29" s="224"/>
      <c r="Y29" s="481"/>
      <c r="Z29" s="482"/>
      <c r="AA29" s="483"/>
      <c r="AB29" s="484"/>
      <c r="AC29" s="485"/>
      <c r="AD29" s="228"/>
      <c r="AE29" s="261"/>
      <c r="AF29" s="261"/>
      <c r="AG29" s="261"/>
      <c r="AH29" s="272"/>
      <c r="AI29" s="272"/>
      <c r="AJ29" s="272"/>
      <c r="AK29" s="272"/>
      <c r="AL29" s="272"/>
      <c r="AM29" s="272"/>
      <c r="AN29" s="272"/>
      <c r="AO29" s="271"/>
      <c r="AP29" s="271"/>
      <c r="AQ29" s="271"/>
      <c r="AR29" s="271"/>
      <c r="AS29" s="273"/>
      <c r="AT29" s="274"/>
      <c r="AU29" s="48"/>
      <c r="AV29" s="67"/>
      <c r="AW29" s="67"/>
      <c r="AX29" s="67"/>
      <c r="AY29" s="67"/>
      <c r="AZ29" s="67"/>
      <c r="BA29" s="67"/>
      <c r="BB29" s="67"/>
      <c r="BC29" s="67"/>
      <c r="BD29" s="68"/>
    </row>
    <row r="30" spans="1:56" ht="14.4" customHeight="1">
      <c r="A30" s="70" t="str">
        <f>IF(B30="","",COUNTA($B$8:B30))</f>
        <v/>
      </c>
      <c r="B30" s="19"/>
      <c r="C30" s="20"/>
      <c r="D30" s="20"/>
      <c r="E30" s="20"/>
      <c r="F30" s="20"/>
      <c r="G30" s="20"/>
      <c r="H30" s="24"/>
      <c r="I30" s="31"/>
      <c r="J30" s="23"/>
      <c r="K30" s="23"/>
      <c r="L30" s="23"/>
      <c r="M30" s="23"/>
      <c r="N30" s="23"/>
      <c r="O30" s="23"/>
      <c r="P30" s="23"/>
      <c r="Q30" s="37"/>
      <c r="R30" s="22"/>
      <c r="S30" s="23"/>
      <c r="T30" s="38"/>
      <c r="U30" s="23"/>
      <c r="V30" s="23"/>
      <c r="W30" s="23"/>
      <c r="X30" s="24"/>
      <c r="Y30" s="440"/>
      <c r="Z30" s="441"/>
      <c r="AA30" s="442"/>
      <c r="AB30" s="443"/>
      <c r="AC30" s="444"/>
      <c r="AD30" s="51"/>
      <c r="AE30" s="29"/>
      <c r="AF30" s="29"/>
      <c r="AG30" s="29"/>
      <c r="AH30" s="40"/>
      <c r="AI30" s="40"/>
      <c r="AJ30" s="40"/>
      <c r="AK30" s="40"/>
      <c r="AL30" s="40"/>
      <c r="AM30" s="40"/>
      <c r="AN30" s="40"/>
      <c r="AO30" s="41"/>
      <c r="AP30" s="41"/>
      <c r="AQ30" s="41"/>
      <c r="AR30" s="41"/>
      <c r="AS30" s="42"/>
      <c r="AT30" s="43"/>
      <c r="AU30" s="48"/>
      <c r="AV30" s="67"/>
      <c r="AW30" s="67"/>
      <c r="AX30" s="67"/>
      <c r="AY30" s="67"/>
      <c r="AZ30" s="67"/>
      <c r="BA30" s="67"/>
      <c r="BB30" s="67"/>
      <c r="BC30" s="67"/>
      <c r="BD30" s="68"/>
    </row>
    <row r="31" spans="1:56" ht="14.4" customHeight="1">
      <c r="A31" s="70" t="str">
        <f>IF(B31="","",COUNTA($B$8:B31))</f>
        <v/>
      </c>
      <c r="B31" s="19"/>
      <c r="C31" s="20"/>
      <c r="D31" s="20"/>
      <c r="E31" s="20"/>
      <c r="F31" s="20"/>
      <c r="G31" s="20"/>
      <c r="H31" s="24"/>
      <c r="I31" s="31"/>
      <c r="J31" s="23"/>
      <c r="K31" s="23"/>
      <c r="L31" s="23"/>
      <c r="M31" s="23"/>
      <c r="N31" s="23"/>
      <c r="O31" s="23"/>
      <c r="P31" s="23"/>
      <c r="Q31" s="37"/>
      <c r="R31" s="22"/>
      <c r="S31" s="23"/>
      <c r="T31" s="38"/>
      <c r="U31" s="23"/>
      <c r="V31" s="23"/>
      <c r="W31" s="23"/>
      <c r="X31" s="24"/>
      <c r="Y31" s="440"/>
      <c r="Z31" s="441"/>
      <c r="AA31" s="442"/>
      <c r="AB31" s="443"/>
      <c r="AC31" s="444"/>
      <c r="AD31" s="51"/>
      <c r="AE31" s="29"/>
      <c r="AF31" s="29"/>
      <c r="AG31" s="29"/>
      <c r="AH31" s="28"/>
      <c r="AI31" s="28"/>
      <c r="AJ31" s="28"/>
      <c r="AK31" s="28"/>
      <c r="AL31" s="28"/>
      <c r="AM31" s="28"/>
      <c r="AN31" s="28"/>
      <c r="AO31" s="29"/>
      <c r="AP31" s="29"/>
      <c r="AQ31" s="29"/>
      <c r="AR31" s="29"/>
      <c r="AS31" s="31"/>
      <c r="AT31" s="67"/>
      <c r="AU31" s="67"/>
      <c r="AV31" s="67"/>
      <c r="AW31" s="67"/>
      <c r="AX31" s="67"/>
      <c r="AY31" s="67"/>
      <c r="AZ31" s="67"/>
      <c r="BA31" s="67"/>
      <c r="BB31" s="67"/>
      <c r="BC31" s="67"/>
      <c r="BD31" s="68"/>
    </row>
    <row r="32" spans="1:56" ht="14.4" customHeight="1">
      <c r="A32" s="70" t="str">
        <f>IF(B32="","",COUNTA($B$8:B32))</f>
        <v/>
      </c>
      <c r="B32" s="19"/>
      <c r="C32" s="20"/>
      <c r="D32" s="20"/>
      <c r="E32" s="20"/>
      <c r="F32" s="20"/>
      <c r="G32" s="20"/>
      <c r="H32" s="24"/>
      <c r="I32" s="31"/>
      <c r="J32" s="23"/>
      <c r="K32" s="23"/>
      <c r="L32" s="23"/>
      <c r="M32" s="23"/>
      <c r="N32" s="23"/>
      <c r="O32" s="23"/>
      <c r="P32" s="23"/>
      <c r="Q32" s="37"/>
      <c r="R32" s="22"/>
      <c r="S32" s="23"/>
      <c r="T32" s="23"/>
      <c r="U32" s="23"/>
      <c r="V32" s="23"/>
      <c r="W32" s="23"/>
      <c r="X32" s="24"/>
      <c r="Y32" s="440"/>
      <c r="Z32" s="441"/>
      <c r="AA32" s="442"/>
      <c r="AB32" s="443"/>
      <c r="AC32" s="444"/>
      <c r="AD32" s="27"/>
      <c r="AE32" s="29"/>
      <c r="AF32" s="29"/>
      <c r="AG32" s="29"/>
      <c r="AH32" s="28"/>
      <c r="AI32" s="28"/>
      <c r="AJ32" s="28"/>
      <c r="AK32" s="28"/>
      <c r="AL32" s="28"/>
      <c r="AM32" s="28"/>
      <c r="AN32" s="28"/>
      <c r="AO32" s="29"/>
      <c r="AP32" s="29"/>
      <c r="AQ32" s="29"/>
      <c r="AR32" s="29"/>
      <c r="AS32" s="31"/>
      <c r="AT32" s="48"/>
      <c r="AU32" s="67"/>
      <c r="AV32" s="67"/>
      <c r="AW32" s="67"/>
      <c r="AX32" s="67"/>
      <c r="AY32" s="67"/>
      <c r="AZ32" s="67"/>
      <c r="BA32" s="67"/>
      <c r="BB32" s="67"/>
      <c r="BC32" s="67"/>
      <c r="BD32" s="68"/>
    </row>
    <row r="33" spans="1:56" ht="14.4" customHeight="1">
      <c r="A33" s="70" t="str">
        <f>IF(B33="","",COUNTA($B$8:B33))</f>
        <v/>
      </c>
      <c r="B33" s="19"/>
      <c r="C33" s="20"/>
      <c r="D33" s="20"/>
      <c r="E33" s="20"/>
      <c r="F33" s="20"/>
      <c r="G33" s="20"/>
      <c r="H33" s="24"/>
      <c r="I33" s="31"/>
      <c r="J33" s="23"/>
      <c r="K33" s="23"/>
      <c r="L33" s="23"/>
      <c r="M33" s="23"/>
      <c r="N33" s="23"/>
      <c r="O33" s="23"/>
      <c r="P33" s="23"/>
      <c r="Q33" s="37"/>
      <c r="R33" s="22"/>
      <c r="S33" s="23"/>
      <c r="T33" s="23"/>
      <c r="U33" s="23"/>
      <c r="V33" s="23"/>
      <c r="W33" s="23"/>
      <c r="X33" s="24"/>
      <c r="Y33" s="440"/>
      <c r="Z33" s="441"/>
      <c r="AA33" s="442"/>
      <c r="AB33" s="443"/>
      <c r="AC33" s="444"/>
      <c r="AD33" s="27"/>
      <c r="AE33" s="29"/>
      <c r="AF33" s="29"/>
      <c r="AG33" s="29"/>
      <c r="AH33" s="28"/>
      <c r="AI33" s="28"/>
      <c r="AJ33" s="28"/>
      <c r="AK33" s="28"/>
      <c r="AL33" s="28"/>
      <c r="AM33" s="28"/>
      <c r="AN33" s="28"/>
      <c r="AO33" s="29"/>
      <c r="AP33" s="29"/>
      <c r="AQ33" s="29"/>
      <c r="AR33" s="29"/>
      <c r="AS33" s="31"/>
      <c r="AT33" s="67"/>
      <c r="AU33" s="67"/>
      <c r="AV33" s="67"/>
      <c r="AW33" s="67"/>
      <c r="AX33" s="67"/>
      <c r="AY33" s="67"/>
      <c r="AZ33" s="67"/>
      <c r="BA33" s="67"/>
      <c r="BB33" s="67"/>
      <c r="BC33" s="67"/>
      <c r="BD33" s="68"/>
    </row>
    <row r="34" spans="1:56" ht="14.4" customHeight="1">
      <c r="A34" s="70" t="str">
        <f>IF(B34="","",COUNTA($B$8:B34))</f>
        <v/>
      </c>
      <c r="B34" s="19"/>
      <c r="C34" s="20"/>
      <c r="D34" s="20"/>
      <c r="E34" s="20"/>
      <c r="F34" s="20"/>
      <c r="G34" s="20"/>
      <c r="H34" s="24"/>
      <c r="I34" s="31"/>
      <c r="J34" s="23"/>
      <c r="K34" s="23"/>
      <c r="L34" s="23"/>
      <c r="M34" s="23"/>
      <c r="N34" s="23"/>
      <c r="O34" s="23"/>
      <c r="P34" s="23"/>
      <c r="Q34" s="37"/>
      <c r="R34" s="22"/>
      <c r="S34" s="23"/>
      <c r="T34" s="23"/>
      <c r="U34" s="23"/>
      <c r="V34" s="23"/>
      <c r="W34" s="23"/>
      <c r="X34" s="37"/>
      <c r="Y34" s="440"/>
      <c r="Z34" s="441"/>
      <c r="AA34" s="442"/>
      <c r="AB34" s="443"/>
      <c r="AC34" s="444"/>
      <c r="AD34" s="51"/>
      <c r="AE34" s="29"/>
      <c r="AF34" s="29"/>
      <c r="AG34" s="29"/>
      <c r="AH34" s="40"/>
      <c r="AI34" s="40"/>
      <c r="AJ34" s="40"/>
      <c r="AK34" s="40"/>
      <c r="AL34" s="40"/>
      <c r="AM34" s="40"/>
      <c r="AN34" s="40"/>
      <c r="AO34" s="41"/>
      <c r="AP34" s="41"/>
      <c r="AQ34" s="41"/>
      <c r="AR34" s="41"/>
      <c r="AS34" s="42"/>
      <c r="AT34" s="43"/>
      <c r="AU34" s="67"/>
      <c r="AV34" s="67"/>
      <c r="AW34" s="67"/>
      <c r="AX34" s="67"/>
      <c r="AY34" s="67"/>
      <c r="AZ34" s="67"/>
      <c r="BA34" s="67"/>
      <c r="BB34" s="67"/>
      <c r="BC34" s="67"/>
      <c r="BD34" s="68"/>
    </row>
    <row r="35" spans="1:56" ht="14.4" customHeight="1">
      <c r="A35" s="70" t="str">
        <f>IF(B35="","",COUNTA($B$8:B35))</f>
        <v/>
      </c>
      <c r="B35" s="19"/>
      <c r="C35" s="20"/>
      <c r="D35" s="20"/>
      <c r="E35" s="20"/>
      <c r="F35" s="20"/>
      <c r="G35" s="20"/>
      <c r="H35" s="24"/>
      <c r="I35" s="31"/>
      <c r="J35" s="23"/>
      <c r="K35" s="23"/>
      <c r="L35" s="23"/>
      <c r="M35" s="23"/>
      <c r="N35" s="23"/>
      <c r="O35" s="23"/>
      <c r="P35" s="23"/>
      <c r="Q35" s="37"/>
      <c r="R35" s="22"/>
      <c r="S35" s="23"/>
      <c r="T35" s="23"/>
      <c r="U35" s="23"/>
      <c r="V35" s="23"/>
      <c r="W35" s="23"/>
      <c r="X35" s="37"/>
      <c r="Y35" s="440"/>
      <c r="Z35" s="441"/>
      <c r="AA35" s="442"/>
      <c r="AB35" s="443"/>
      <c r="AC35" s="444"/>
      <c r="AD35" s="51"/>
      <c r="AE35" s="29"/>
      <c r="AF35" s="29"/>
      <c r="AG35" s="29"/>
      <c r="AH35" s="40"/>
      <c r="AI35" s="40"/>
      <c r="AJ35" s="40"/>
      <c r="AK35" s="40"/>
      <c r="AL35" s="40"/>
      <c r="AM35" s="40"/>
      <c r="AN35" s="40"/>
      <c r="AO35" s="41"/>
      <c r="AP35" s="41"/>
      <c r="AQ35" s="41"/>
      <c r="AR35" s="41"/>
      <c r="AS35" s="42"/>
      <c r="AT35" s="43"/>
      <c r="AU35" s="67"/>
      <c r="AV35" s="67"/>
      <c r="AW35" s="67"/>
      <c r="AX35" s="67"/>
      <c r="AY35" s="67"/>
      <c r="AZ35" s="67"/>
      <c r="BA35" s="67"/>
      <c r="BB35" s="67"/>
      <c r="BC35" s="67"/>
      <c r="BD35" s="68"/>
    </row>
    <row r="36" spans="1:56" ht="14.4" customHeight="1">
      <c r="A36" s="70" t="str">
        <f>IF(B36="","",COUNTA($B$8:B36))</f>
        <v/>
      </c>
      <c r="B36" s="19"/>
      <c r="C36" s="20"/>
      <c r="D36" s="20"/>
      <c r="E36" s="20"/>
      <c r="F36" s="20"/>
      <c r="G36" s="20"/>
      <c r="H36" s="24"/>
      <c r="I36" s="31"/>
      <c r="J36" s="23"/>
      <c r="K36" s="23"/>
      <c r="L36" s="23"/>
      <c r="M36" s="23"/>
      <c r="N36" s="23"/>
      <c r="O36" s="23"/>
      <c r="P36" s="23"/>
      <c r="Q36" s="37"/>
      <c r="R36" s="22"/>
      <c r="S36" s="23"/>
      <c r="T36" s="23"/>
      <c r="U36" s="23"/>
      <c r="V36" s="23"/>
      <c r="W36" s="23"/>
      <c r="X36" s="37"/>
      <c r="Y36" s="440"/>
      <c r="Z36" s="441"/>
      <c r="AA36" s="442"/>
      <c r="AB36" s="443"/>
      <c r="AC36" s="444"/>
      <c r="AD36" s="51"/>
      <c r="AE36" s="29"/>
      <c r="AF36" s="29"/>
      <c r="AG36" s="29"/>
      <c r="AH36" s="40"/>
      <c r="AI36" s="40"/>
      <c r="AJ36" s="40"/>
      <c r="AK36" s="40"/>
      <c r="AL36" s="40"/>
      <c r="AM36" s="40"/>
      <c r="AN36" s="40"/>
      <c r="AO36" s="41"/>
      <c r="AP36" s="41"/>
      <c r="AQ36" s="41"/>
      <c r="AR36" s="41"/>
      <c r="AS36" s="42"/>
      <c r="AT36" s="43"/>
      <c r="AU36" s="67"/>
      <c r="AV36" s="67"/>
      <c r="AW36" s="67"/>
      <c r="AX36" s="67"/>
      <c r="AY36" s="67"/>
      <c r="AZ36" s="67"/>
      <c r="BA36" s="67"/>
      <c r="BB36" s="67"/>
      <c r="BC36" s="67"/>
      <c r="BD36" s="68"/>
    </row>
    <row r="37" spans="1:56" ht="14.4" customHeight="1">
      <c r="A37" s="70" t="str">
        <f>IF(B37="","",COUNTA($B$8:B37))</f>
        <v/>
      </c>
      <c r="B37" s="19"/>
      <c r="C37" s="20"/>
      <c r="D37" s="20"/>
      <c r="E37" s="20"/>
      <c r="F37" s="20"/>
      <c r="G37" s="20"/>
      <c r="H37" s="24"/>
      <c r="I37" s="31"/>
      <c r="J37" s="23"/>
      <c r="K37" s="23"/>
      <c r="L37" s="23"/>
      <c r="M37" s="23"/>
      <c r="N37" s="23"/>
      <c r="O37" s="23"/>
      <c r="P37" s="23"/>
      <c r="Q37" s="37"/>
      <c r="R37" s="22"/>
      <c r="S37" s="23"/>
      <c r="T37" s="23"/>
      <c r="U37" s="23"/>
      <c r="V37" s="23"/>
      <c r="W37" s="23"/>
      <c r="X37" s="37"/>
      <c r="Y37" s="440"/>
      <c r="Z37" s="441"/>
      <c r="AA37" s="442"/>
      <c r="AB37" s="443"/>
      <c r="AC37" s="444"/>
      <c r="AD37" s="51"/>
      <c r="AE37" s="29"/>
      <c r="AF37" s="29"/>
      <c r="AG37" s="29"/>
      <c r="AH37" s="40"/>
      <c r="AI37" s="40"/>
      <c r="AJ37" s="40"/>
      <c r="AK37" s="40"/>
      <c r="AL37" s="40"/>
      <c r="AM37" s="40"/>
      <c r="AN37" s="40"/>
      <c r="AO37" s="41"/>
      <c r="AP37" s="41"/>
      <c r="AQ37" s="41"/>
      <c r="AR37" s="41"/>
      <c r="AS37" s="42"/>
      <c r="AT37" s="43"/>
      <c r="AU37" s="67"/>
      <c r="AV37" s="67"/>
      <c r="AW37" s="67"/>
      <c r="AX37" s="67"/>
      <c r="AY37" s="67"/>
      <c r="AZ37" s="67"/>
      <c r="BA37" s="67"/>
      <c r="BB37" s="67"/>
      <c r="BC37" s="67"/>
      <c r="BD37" s="68"/>
    </row>
    <row r="38" spans="1:56" ht="14.4" customHeight="1">
      <c r="A38" s="70" t="str">
        <f>IF(B38="","",COUNTA($B$8:B38))</f>
        <v/>
      </c>
      <c r="B38" s="19"/>
      <c r="C38" s="20"/>
      <c r="D38" s="20"/>
      <c r="E38" s="20"/>
      <c r="F38" s="20"/>
      <c r="G38" s="20"/>
      <c r="H38" s="24"/>
      <c r="I38" s="31"/>
      <c r="J38" s="23"/>
      <c r="K38" s="23"/>
      <c r="L38" s="23"/>
      <c r="M38" s="23"/>
      <c r="N38" s="23"/>
      <c r="O38" s="23"/>
      <c r="P38" s="23"/>
      <c r="Q38" s="37"/>
      <c r="R38" s="22"/>
      <c r="S38" s="23"/>
      <c r="T38" s="23"/>
      <c r="U38" s="23"/>
      <c r="V38" s="23"/>
      <c r="W38" s="23"/>
      <c r="X38" s="37"/>
      <c r="Y38" s="440"/>
      <c r="Z38" s="441"/>
      <c r="AA38" s="442"/>
      <c r="AB38" s="443"/>
      <c r="AC38" s="444"/>
      <c r="AD38" s="51"/>
      <c r="AE38" s="29"/>
      <c r="AF38" s="29"/>
      <c r="AG38" s="29"/>
      <c r="AH38" s="40"/>
      <c r="AI38" s="40"/>
      <c r="AJ38" s="40"/>
      <c r="AK38" s="40"/>
      <c r="AL38" s="40"/>
      <c r="AM38" s="40"/>
      <c r="AN38" s="40"/>
      <c r="AO38" s="41"/>
      <c r="AP38" s="41"/>
      <c r="AQ38" s="41"/>
      <c r="AR38" s="41"/>
      <c r="AS38" s="42"/>
      <c r="AT38" s="43"/>
      <c r="AU38" s="67"/>
      <c r="AV38" s="67"/>
      <c r="AW38" s="67"/>
      <c r="AX38" s="67"/>
      <c r="AY38" s="67"/>
      <c r="AZ38" s="67"/>
      <c r="BA38" s="67"/>
      <c r="BB38" s="67"/>
      <c r="BC38" s="67"/>
      <c r="BD38" s="68"/>
    </row>
    <row r="39" spans="1:56" ht="14.4" customHeight="1">
      <c r="A39" s="70" t="str">
        <f>IF(B39="","",COUNTA($B$8:B39))</f>
        <v/>
      </c>
      <c r="B39" s="19"/>
      <c r="C39" s="20"/>
      <c r="D39" s="20"/>
      <c r="E39" s="20"/>
      <c r="F39" s="20"/>
      <c r="G39" s="20"/>
      <c r="H39" s="24"/>
      <c r="I39" s="31"/>
      <c r="J39" s="23"/>
      <c r="K39" s="23"/>
      <c r="L39" s="23"/>
      <c r="M39" s="23"/>
      <c r="N39" s="23"/>
      <c r="O39" s="23"/>
      <c r="P39" s="23"/>
      <c r="Q39" s="37"/>
      <c r="R39" s="22"/>
      <c r="S39" s="23"/>
      <c r="T39" s="23"/>
      <c r="U39" s="23"/>
      <c r="V39" s="23"/>
      <c r="W39" s="23"/>
      <c r="X39" s="37"/>
      <c r="Y39" s="440"/>
      <c r="Z39" s="441"/>
      <c r="AA39" s="442"/>
      <c r="AB39" s="443"/>
      <c r="AC39" s="444"/>
      <c r="AD39" s="51"/>
      <c r="AE39" s="29"/>
      <c r="AF39" s="29"/>
      <c r="AG39" s="29"/>
      <c r="AH39" s="40"/>
      <c r="AI39" s="40"/>
      <c r="AJ39" s="40"/>
      <c r="AK39" s="40"/>
      <c r="AL39" s="40"/>
      <c r="AM39" s="40"/>
      <c r="AN39" s="40"/>
      <c r="AO39" s="41"/>
      <c r="AP39" s="41"/>
      <c r="AQ39" s="41"/>
      <c r="AR39" s="41"/>
      <c r="AS39" s="42"/>
      <c r="AT39" s="43"/>
      <c r="AU39" s="67"/>
      <c r="AV39" s="67"/>
      <c r="AW39" s="67"/>
      <c r="AX39" s="67"/>
      <c r="AY39" s="67"/>
      <c r="AZ39" s="67"/>
      <c r="BA39" s="67"/>
      <c r="BB39" s="67"/>
      <c r="BC39" s="67"/>
      <c r="BD39" s="68"/>
    </row>
    <row r="40" spans="1:56" ht="14.4" customHeight="1">
      <c r="A40" s="70" t="str">
        <f>IF(B40="","",COUNTA($B$8:B40))</f>
        <v/>
      </c>
      <c r="B40" s="19"/>
      <c r="C40" s="20"/>
      <c r="D40" s="20"/>
      <c r="E40" s="20"/>
      <c r="F40" s="20"/>
      <c r="G40" s="20"/>
      <c r="H40" s="24"/>
      <c r="I40" s="31"/>
      <c r="J40" s="23"/>
      <c r="K40" s="23"/>
      <c r="L40" s="23"/>
      <c r="M40" s="23"/>
      <c r="N40" s="23"/>
      <c r="O40" s="23"/>
      <c r="P40" s="23"/>
      <c r="Q40" s="37"/>
      <c r="R40" s="22"/>
      <c r="S40" s="23"/>
      <c r="T40" s="23"/>
      <c r="U40" s="23"/>
      <c r="V40" s="23"/>
      <c r="W40" s="23"/>
      <c r="X40" s="37"/>
      <c r="Y40" s="440"/>
      <c r="Z40" s="441"/>
      <c r="AA40" s="442"/>
      <c r="AB40" s="443"/>
      <c r="AC40" s="444"/>
      <c r="AD40" s="51"/>
      <c r="AE40" s="29"/>
      <c r="AF40" s="29"/>
      <c r="AG40" s="29"/>
      <c r="AH40" s="40"/>
      <c r="AI40" s="40"/>
      <c r="AJ40" s="40"/>
      <c r="AK40" s="40"/>
      <c r="AL40" s="40"/>
      <c r="AM40" s="40"/>
      <c r="AN40" s="40"/>
      <c r="AO40" s="41"/>
      <c r="AP40" s="41"/>
      <c r="AQ40" s="41"/>
      <c r="AR40" s="41"/>
      <c r="AS40" s="42"/>
      <c r="AT40" s="43"/>
      <c r="AU40" s="67"/>
      <c r="AV40" s="67"/>
      <c r="AW40" s="67"/>
      <c r="AX40" s="67"/>
      <c r="AY40" s="67"/>
      <c r="AZ40" s="67"/>
      <c r="BA40" s="67"/>
      <c r="BB40" s="67"/>
      <c r="BC40" s="67"/>
      <c r="BD40" s="68"/>
    </row>
    <row r="41" spans="1:56" ht="14.4" customHeight="1">
      <c r="A41" s="70" t="str">
        <f>IF(B41="","",COUNTA($B$8:B41))</f>
        <v/>
      </c>
      <c r="B41" s="19"/>
      <c r="C41" s="20"/>
      <c r="D41" s="20"/>
      <c r="E41" s="20"/>
      <c r="F41" s="20"/>
      <c r="G41" s="20"/>
      <c r="H41" s="24"/>
      <c r="I41" s="31"/>
      <c r="J41" s="23"/>
      <c r="K41" s="23"/>
      <c r="L41" s="23"/>
      <c r="M41" s="23"/>
      <c r="N41" s="23"/>
      <c r="O41" s="23"/>
      <c r="P41" s="23"/>
      <c r="Q41" s="37"/>
      <c r="R41" s="22"/>
      <c r="S41" s="23"/>
      <c r="T41" s="23"/>
      <c r="U41" s="23"/>
      <c r="V41" s="23"/>
      <c r="W41" s="23"/>
      <c r="X41" s="37"/>
      <c r="Y41" s="440"/>
      <c r="Z41" s="441"/>
      <c r="AA41" s="442"/>
      <c r="AB41" s="443"/>
      <c r="AC41" s="444"/>
      <c r="AD41" s="51"/>
      <c r="AE41" s="29"/>
      <c r="AF41" s="29"/>
      <c r="AG41" s="29"/>
      <c r="AH41" s="40"/>
      <c r="AI41" s="40"/>
      <c r="AJ41" s="40"/>
      <c r="AK41" s="40"/>
      <c r="AL41" s="40"/>
      <c r="AM41" s="40"/>
      <c r="AN41" s="40"/>
      <c r="AO41" s="41"/>
      <c r="AP41" s="41"/>
      <c r="AQ41" s="41"/>
      <c r="AR41" s="41"/>
      <c r="AS41" s="42"/>
      <c r="AT41" s="43"/>
      <c r="AU41" s="67"/>
      <c r="AV41" s="67"/>
      <c r="AW41" s="67"/>
      <c r="AX41" s="67"/>
      <c r="AY41" s="67"/>
      <c r="AZ41" s="67"/>
      <c r="BA41" s="67"/>
      <c r="BB41" s="67"/>
      <c r="BC41" s="67"/>
      <c r="BD41" s="68"/>
    </row>
    <row r="42" spans="1:56" ht="14.4" customHeight="1">
      <c r="A42" s="70" t="str">
        <f>IF(B42="","",COUNTA($B$8:B42))</f>
        <v/>
      </c>
      <c r="B42" s="19"/>
      <c r="C42" s="20"/>
      <c r="D42" s="20"/>
      <c r="E42" s="20"/>
      <c r="F42" s="20"/>
      <c r="G42" s="20"/>
      <c r="H42" s="24"/>
      <c r="I42" s="31"/>
      <c r="J42" s="23"/>
      <c r="K42" s="23"/>
      <c r="L42" s="23"/>
      <c r="M42" s="23"/>
      <c r="N42" s="23"/>
      <c r="O42" s="23"/>
      <c r="P42" s="23"/>
      <c r="Q42" s="37"/>
      <c r="R42" s="22"/>
      <c r="S42" s="23"/>
      <c r="T42" s="23"/>
      <c r="U42" s="23"/>
      <c r="V42" s="23"/>
      <c r="W42" s="23"/>
      <c r="X42" s="37"/>
      <c r="Y42" s="440"/>
      <c r="Z42" s="441"/>
      <c r="AA42" s="442"/>
      <c r="AB42" s="443"/>
      <c r="AC42" s="444"/>
      <c r="AD42" s="51"/>
      <c r="AE42" s="29"/>
      <c r="AF42" s="29"/>
      <c r="AG42" s="29"/>
      <c r="AH42" s="40"/>
      <c r="AI42" s="40"/>
      <c r="AJ42" s="40"/>
      <c r="AK42" s="40"/>
      <c r="AL42" s="40"/>
      <c r="AM42" s="40"/>
      <c r="AN42" s="40"/>
      <c r="AO42" s="41"/>
      <c r="AP42" s="41"/>
      <c r="AQ42" s="41"/>
      <c r="AR42" s="41"/>
      <c r="AS42" s="42"/>
      <c r="AT42" s="43"/>
      <c r="AU42" s="67"/>
      <c r="AV42" s="67"/>
      <c r="AW42" s="67"/>
      <c r="AX42" s="67"/>
      <c r="AY42" s="67"/>
      <c r="AZ42" s="67"/>
      <c r="BA42" s="67"/>
      <c r="BB42" s="67"/>
      <c r="BC42" s="67"/>
      <c r="BD42" s="68"/>
    </row>
    <row r="43" spans="1:56" ht="14.4" customHeight="1">
      <c r="A43" s="70" t="str">
        <f>IF(B43="","",COUNTA($B$8:B43))</f>
        <v/>
      </c>
      <c r="B43" s="19"/>
      <c r="C43" s="20"/>
      <c r="D43" s="20"/>
      <c r="E43" s="20"/>
      <c r="F43" s="20"/>
      <c r="G43" s="20"/>
      <c r="H43" s="24"/>
      <c r="I43" s="31"/>
      <c r="J43" s="23"/>
      <c r="K43" s="23"/>
      <c r="L43" s="23"/>
      <c r="M43" s="23"/>
      <c r="N43" s="23"/>
      <c r="O43" s="23"/>
      <c r="P43" s="23"/>
      <c r="Q43" s="37"/>
      <c r="R43" s="22"/>
      <c r="S43" s="23"/>
      <c r="T43" s="23"/>
      <c r="U43" s="23"/>
      <c r="V43" s="23"/>
      <c r="W43" s="23"/>
      <c r="X43" s="37"/>
      <c r="Y43" s="440"/>
      <c r="Z43" s="441"/>
      <c r="AA43" s="442"/>
      <c r="AB43" s="443"/>
      <c r="AC43" s="444"/>
      <c r="AD43" s="51"/>
      <c r="AE43" s="29"/>
      <c r="AF43" s="29"/>
      <c r="AG43" s="29"/>
      <c r="AH43" s="40"/>
      <c r="AI43" s="40"/>
      <c r="AJ43" s="40"/>
      <c r="AK43" s="40"/>
      <c r="AL43" s="40"/>
      <c r="AM43" s="40"/>
      <c r="AN43" s="40"/>
      <c r="AO43" s="41"/>
      <c r="AP43" s="41"/>
      <c r="AQ43" s="41"/>
      <c r="AR43" s="41"/>
      <c r="AS43" s="42"/>
      <c r="AT43" s="43"/>
      <c r="AU43" s="67"/>
      <c r="AV43" s="67"/>
      <c r="AW43" s="67"/>
      <c r="AX43" s="67"/>
      <c r="AY43" s="67"/>
      <c r="AZ43" s="67"/>
      <c r="BA43" s="67"/>
      <c r="BB43" s="67"/>
      <c r="BC43" s="67"/>
      <c r="BD43" s="68"/>
    </row>
    <row r="44" spans="1:56" ht="14.4" customHeight="1">
      <c r="A44" s="70" t="str">
        <f>IF(B44="","",COUNTA($B$8:B44))</f>
        <v/>
      </c>
      <c r="B44" s="19"/>
      <c r="C44" s="20"/>
      <c r="D44" s="20"/>
      <c r="E44" s="20"/>
      <c r="F44" s="20"/>
      <c r="G44" s="20"/>
      <c r="H44" s="24"/>
      <c r="I44" s="31"/>
      <c r="J44" s="23"/>
      <c r="K44" s="23"/>
      <c r="L44" s="23"/>
      <c r="M44" s="23"/>
      <c r="N44" s="23"/>
      <c r="O44" s="23"/>
      <c r="P44" s="23"/>
      <c r="Q44" s="37"/>
      <c r="R44" s="22"/>
      <c r="S44" s="23"/>
      <c r="T44" s="23"/>
      <c r="U44" s="23"/>
      <c r="V44" s="23"/>
      <c r="W44" s="23"/>
      <c r="X44" s="37"/>
      <c r="Y44" s="440"/>
      <c r="Z44" s="441"/>
      <c r="AA44" s="442"/>
      <c r="AB44" s="443"/>
      <c r="AC44" s="444"/>
      <c r="AD44" s="51"/>
      <c r="AE44" s="29"/>
      <c r="AF44" s="29"/>
      <c r="AG44" s="29"/>
      <c r="AH44" s="40"/>
      <c r="AI44" s="40"/>
      <c r="AJ44" s="40"/>
      <c r="AK44" s="40"/>
      <c r="AL44" s="40"/>
      <c r="AM44" s="40"/>
      <c r="AN44" s="40"/>
      <c r="AO44" s="41"/>
      <c r="AP44" s="41"/>
      <c r="AQ44" s="41"/>
      <c r="AR44" s="41"/>
      <c r="AS44" s="42"/>
      <c r="AT44" s="43"/>
      <c r="AU44" s="67"/>
      <c r="AV44" s="67"/>
      <c r="AW44" s="67"/>
      <c r="AX44" s="67"/>
      <c r="AY44" s="67"/>
      <c r="AZ44" s="67"/>
      <c r="BA44" s="67"/>
      <c r="BB44" s="67"/>
      <c r="BC44" s="67"/>
      <c r="BD44" s="68"/>
    </row>
    <row r="45" spans="1:56" ht="14.4" customHeight="1">
      <c r="A45" s="70" t="str">
        <f>IF(B45="","",COUNTA($B$8:B45))</f>
        <v/>
      </c>
      <c r="B45" s="19"/>
      <c r="C45" s="20"/>
      <c r="D45" s="20"/>
      <c r="E45" s="20"/>
      <c r="F45" s="20"/>
      <c r="G45" s="20"/>
      <c r="H45" s="24"/>
      <c r="I45" s="31"/>
      <c r="J45" s="23"/>
      <c r="K45" s="23"/>
      <c r="L45" s="23"/>
      <c r="M45" s="23"/>
      <c r="N45" s="23"/>
      <c r="O45" s="23"/>
      <c r="P45" s="23"/>
      <c r="Q45" s="37"/>
      <c r="R45" s="22"/>
      <c r="S45" s="23"/>
      <c r="T45" s="23"/>
      <c r="U45" s="23"/>
      <c r="V45" s="23"/>
      <c r="W45" s="23"/>
      <c r="X45" s="37"/>
      <c r="Y45" s="440"/>
      <c r="Z45" s="441"/>
      <c r="AA45" s="442"/>
      <c r="AB45" s="443"/>
      <c r="AC45" s="444"/>
      <c r="AD45" s="51"/>
      <c r="AE45" s="29"/>
      <c r="AF45" s="29"/>
      <c r="AG45" s="29"/>
      <c r="AH45" s="40"/>
      <c r="AI45" s="40"/>
      <c r="AJ45" s="40"/>
      <c r="AK45" s="40"/>
      <c r="AL45" s="40"/>
      <c r="AM45" s="40"/>
      <c r="AN45" s="40"/>
      <c r="AO45" s="41"/>
      <c r="AP45" s="41"/>
      <c r="AQ45" s="41"/>
      <c r="AR45" s="41"/>
      <c r="AS45" s="42"/>
      <c r="AT45" s="43"/>
      <c r="AU45" s="67"/>
      <c r="AV45" s="67"/>
      <c r="AW45" s="67"/>
      <c r="AX45" s="67"/>
      <c r="AY45" s="67"/>
      <c r="AZ45" s="67"/>
      <c r="BA45" s="67"/>
      <c r="BB45" s="67"/>
      <c r="BC45" s="67"/>
      <c r="BD45" s="68"/>
    </row>
    <row r="46" spans="1:56" ht="14.4" customHeight="1">
      <c r="A46" s="70" t="str">
        <f>IF(B46="","",COUNTA($B$8:B46))</f>
        <v/>
      </c>
      <c r="B46" s="19"/>
      <c r="C46" s="20"/>
      <c r="D46" s="20"/>
      <c r="E46" s="20"/>
      <c r="F46" s="20"/>
      <c r="G46" s="20"/>
      <c r="H46" s="24"/>
      <c r="I46" s="31"/>
      <c r="J46" s="23"/>
      <c r="K46" s="23"/>
      <c r="L46" s="23"/>
      <c r="M46" s="23"/>
      <c r="N46" s="23"/>
      <c r="O46" s="23"/>
      <c r="P46" s="23"/>
      <c r="Q46" s="37"/>
      <c r="R46" s="22"/>
      <c r="S46" s="23"/>
      <c r="T46" s="23"/>
      <c r="U46" s="23"/>
      <c r="V46" s="23"/>
      <c r="W46" s="23"/>
      <c r="X46" s="37"/>
      <c r="Y46" s="440"/>
      <c r="Z46" s="441"/>
      <c r="AA46" s="442"/>
      <c r="AB46" s="443"/>
      <c r="AC46" s="444"/>
      <c r="AD46" s="51"/>
      <c r="AE46" s="29"/>
      <c r="AF46" s="29"/>
      <c r="AG46" s="29"/>
      <c r="AH46" s="40"/>
      <c r="AI46" s="40"/>
      <c r="AJ46" s="40"/>
      <c r="AK46" s="40"/>
      <c r="AL46" s="40"/>
      <c r="AM46" s="40"/>
      <c r="AN46" s="40"/>
      <c r="AO46" s="41"/>
      <c r="AP46" s="41"/>
      <c r="AQ46" s="41"/>
      <c r="AR46" s="41"/>
      <c r="AS46" s="42"/>
      <c r="AT46" s="43"/>
      <c r="AU46" s="67"/>
      <c r="AV46" s="67"/>
      <c r="AW46" s="67"/>
      <c r="AX46" s="67"/>
      <c r="AY46" s="67"/>
      <c r="AZ46" s="67"/>
      <c r="BA46" s="67"/>
      <c r="BB46" s="67"/>
      <c r="BC46" s="67"/>
      <c r="BD46" s="68"/>
    </row>
  </sheetData>
  <mergeCells count="109">
    <mergeCell ref="Y42:Z42"/>
    <mergeCell ref="AA42:AC42"/>
    <mergeCell ref="Y43:Z43"/>
    <mergeCell ref="AA43:AC43"/>
    <mergeCell ref="Y44:Z44"/>
    <mergeCell ref="AA44:AC44"/>
    <mergeCell ref="Y45:Z45"/>
    <mergeCell ref="AA45:AC45"/>
    <mergeCell ref="Y46:Z46"/>
    <mergeCell ref="AA46:AC46"/>
    <mergeCell ref="Y37:Z37"/>
    <mergeCell ref="AA37:AC37"/>
    <mergeCell ref="Y38:Z38"/>
    <mergeCell ref="AA38:AC38"/>
    <mergeCell ref="Y39:Z39"/>
    <mergeCell ref="AA39:AC39"/>
    <mergeCell ref="Y40:Z40"/>
    <mergeCell ref="AA40:AC40"/>
    <mergeCell ref="Y41:Z41"/>
    <mergeCell ref="AA41:AC41"/>
    <mergeCell ref="Y26:Z26"/>
    <mergeCell ref="AA26:AC26"/>
    <mergeCell ref="Y27:Z27"/>
    <mergeCell ref="AA27:AC27"/>
    <mergeCell ref="Y28:Z28"/>
    <mergeCell ref="AA28:AC28"/>
    <mergeCell ref="Y23:Z23"/>
    <mergeCell ref="AA23:AC23"/>
    <mergeCell ref="Y24:Z24"/>
    <mergeCell ref="AA24:AC24"/>
    <mergeCell ref="Y25:Z25"/>
    <mergeCell ref="AA25:AC25"/>
    <mergeCell ref="AA35:AC35"/>
    <mergeCell ref="Y32:Z32"/>
    <mergeCell ref="AA32:AC32"/>
    <mergeCell ref="Y33:Z33"/>
    <mergeCell ref="AA33:AC33"/>
    <mergeCell ref="Y34:Z34"/>
    <mergeCell ref="AA34:AC34"/>
    <mergeCell ref="Y29:Z29"/>
    <mergeCell ref="AA29:AC29"/>
    <mergeCell ref="Y30:Z30"/>
    <mergeCell ref="AA30:AC30"/>
    <mergeCell ref="Y31:Z31"/>
    <mergeCell ref="AA31:AC31"/>
    <mergeCell ref="A1:H4"/>
    <mergeCell ref="AZ1:BD1"/>
    <mergeCell ref="I2:Q4"/>
    <mergeCell ref="R2:X4"/>
    <mergeCell ref="Y2:AO3"/>
    <mergeCell ref="AP2:AT2"/>
    <mergeCell ref="AZ2:BD2"/>
    <mergeCell ref="A6:A7"/>
    <mergeCell ref="B6:H7"/>
    <mergeCell ref="I6:Q7"/>
    <mergeCell ref="R6:X7"/>
    <mergeCell ref="Y6:Z7"/>
    <mergeCell ref="AA6:AC7"/>
    <mergeCell ref="AD6:AD7"/>
    <mergeCell ref="AE6:AE7"/>
    <mergeCell ref="AF6:AF7"/>
    <mergeCell ref="AA10:AC10"/>
    <mergeCell ref="Y11:Z11"/>
    <mergeCell ref="AA11:AC11"/>
    <mergeCell ref="Y16:Z16"/>
    <mergeCell ref="AA16:AC16"/>
    <mergeCell ref="Y15:Z15"/>
    <mergeCell ref="AA15:AC15"/>
    <mergeCell ref="Y36:Z36"/>
    <mergeCell ref="AA36:AC36"/>
    <mergeCell ref="Y14:Z14"/>
    <mergeCell ref="AA14:AC14"/>
    <mergeCell ref="Y20:Z20"/>
    <mergeCell ref="AA20:AC20"/>
    <mergeCell ref="Y21:Z21"/>
    <mergeCell ref="AA21:AC21"/>
    <mergeCell ref="Y22:Z22"/>
    <mergeCell ref="AA22:AC22"/>
    <mergeCell ref="Y17:Z17"/>
    <mergeCell ref="AA17:AC17"/>
    <mergeCell ref="Y18:Z18"/>
    <mergeCell ref="AA18:AC18"/>
    <mergeCell ref="Y19:Z19"/>
    <mergeCell ref="AA19:AC19"/>
    <mergeCell ref="Y35:Z35"/>
    <mergeCell ref="Y13:Z13"/>
    <mergeCell ref="AA13:AC13"/>
    <mergeCell ref="AP3:AT3"/>
    <mergeCell ref="AU3:AY3"/>
    <mergeCell ref="AZ3:BD3"/>
    <mergeCell ref="I1:Q1"/>
    <mergeCell ref="R1:X1"/>
    <mergeCell ref="AU1:AY1"/>
    <mergeCell ref="Y12:Z12"/>
    <mergeCell ref="AA12:AC12"/>
    <mergeCell ref="Y1:AO1"/>
    <mergeCell ref="AP1:AT1"/>
    <mergeCell ref="Y4:AO4"/>
    <mergeCell ref="AP4:AT4"/>
    <mergeCell ref="AS6:BD7"/>
    <mergeCell ref="AZ4:BD4"/>
    <mergeCell ref="Y9:Z9"/>
    <mergeCell ref="AA9:AC9"/>
    <mergeCell ref="AU4:AY4"/>
    <mergeCell ref="AG6:AG7"/>
    <mergeCell ref="AH6:AH7"/>
    <mergeCell ref="AI6:AR6"/>
    <mergeCell ref="Y8:Z8"/>
    <mergeCell ref="AA8:AC8"/>
  </mergeCells>
  <phoneticPr fontId="5"/>
  <dataValidations count="3">
    <dataValidation imeMode="hiragana" allowBlank="1" showInputMessage="1" showErrorMessage="1" sqref="JG65522:JR65524 TC65522:TN65524 ACY65522:ADJ65524 AMU65522:ANF65524 AWQ65522:AXB65524 BGM65522:BGX65524 BQI65522:BQT65524 CAE65522:CAP65524 CKA65522:CKL65524 CTW65522:CUH65524 DDS65522:DED65524 DNO65522:DNZ65524 DXK65522:DXV65524 EHG65522:EHR65524 ERC65522:ERN65524 FAY65522:FBJ65524 FKU65522:FLF65524 FUQ65522:FVB65524 GEM65522:GEX65524 GOI65522:GOT65524 GYE65522:GYP65524 HIA65522:HIL65524 HRW65522:HSH65524 IBS65522:ICD65524 ILO65522:ILZ65524 IVK65522:IVV65524 JFG65522:JFR65524 JPC65522:JPN65524 JYY65522:JZJ65524 KIU65522:KJF65524 KSQ65522:KTB65524 LCM65522:LCX65524 LMI65522:LMT65524 LWE65522:LWP65524 MGA65522:MGL65524 MPW65522:MQH65524 MZS65522:NAD65524 NJO65522:NJZ65524 NTK65522:NTV65524 ODG65522:ODR65524 ONC65522:ONN65524 OWY65522:OXJ65524 PGU65522:PHF65524 PQQ65522:PRB65524 QAM65522:QAX65524 QKI65522:QKT65524 QUE65522:QUP65524 REA65522:REL65524 RNW65522:ROH65524 RXS65522:RYD65524 SHO65522:SHZ65524 SRK65522:SRV65524 TBG65522:TBR65524 TLC65522:TLN65524 TUY65522:TVJ65524 UEU65522:UFF65524 UOQ65522:UPB65524 UYM65522:UYX65524 VII65522:VIT65524 VSE65522:VSP65524 WCA65522:WCL65524 WLW65522:WMH65524 WVS65522:WWD65524 JG131058:JR131060 TC131058:TN131060 ACY131058:ADJ131060 AMU131058:ANF131060 AWQ131058:AXB131060 BGM131058:BGX131060 BQI131058:BQT131060 CAE131058:CAP131060 CKA131058:CKL131060 CTW131058:CUH131060 DDS131058:DED131060 DNO131058:DNZ131060 DXK131058:DXV131060 EHG131058:EHR131060 ERC131058:ERN131060 FAY131058:FBJ131060 FKU131058:FLF131060 FUQ131058:FVB131060 GEM131058:GEX131060 GOI131058:GOT131060 GYE131058:GYP131060 HIA131058:HIL131060 HRW131058:HSH131060 IBS131058:ICD131060 ILO131058:ILZ131060 IVK131058:IVV131060 JFG131058:JFR131060 JPC131058:JPN131060 JYY131058:JZJ131060 KIU131058:KJF131060 KSQ131058:KTB131060 LCM131058:LCX131060 LMI131058:LMT131060 LWE131058:LWP131060 MGA131058:MGL131060 MPW131058:MQH131060 MZS131058:NAD131060 NJO131058:NJZ131060 NTK131058:NTV131060 ODG131058:ODR131060 ONC131058:ONN131060 OWY131058:OXJ131060 PGU131058:PHF131060 PQQ131058:PRB131060 QAM131058:QAX131060 QKI131058:QKT131060 QUE131058:QUP131060 REA131058:REL131060 RNW131058:ROH131060 RXS131058:RYD131060 SHO131058:SHZ131060 SRK131058:SRV131060 TBG131058:TBR131060 TLC131058:TLN131060 TUY131058:TVJ131060 UEU131058:UFF131060 UOQ131058:UPB131060 UYM131058:UYX131060 VII131058:VIT131060 VSE131058:VSP131060 WCA131058:WCL131060 WLW131058:WMH131060 WVS131058:WWD131060 JG196594:JR196596 TC196594:TN196596 ACY196594:ADJ196596 AMU196594:ANF196596 AWQ196594:AXB196596 BGM196594:BGX196596 BQI196594:BQT196596 CAE196594:CAP196596 CKA196594:CKL196596 CTW196594:CUH196596 DDS196594:DED196596 DNO196594:DNZ196596 DXK196594:DXV196596 EHG196594:EHR196596 ERC196594:ERN196596 FAY196594:FBJ196596 FKU196594:FLF196596 FUQ196594:FVB196596 GEM196594:GEX196596 GOI196594:GOT196596 GYE196594:GYP196596 HIA196594:HIL196596 HRW196594:HSH196596 IBS196594:ICD196596 ILO196594:ILZ196596 IVK196594:IVV196596 JFG196594:JFR196596 JPC196594:JPN196596 JYY196594:JZJ196596 KIU196594:KJF196596 KSQ196594:KTB196596 LCM196594:LCX196596 LMI196594:LMT196596 LWE196594:LWP196596 MGA196594:MGL196596 MPW196594:MQH196596 MZS196594:NAD196596 NJO196594:NJZ196596 NTK196594:NTV196596 ODG196594:ODR196596 ONC196594:ONN196596 OWY196594:OXJ196596 PGU196594:PHF196596 PQQ196594:PRB196596 QAM196594:QAX196596 QKI196594:QKT196596 QUE196594:QUP196596 REA196594:REL196596 RNW196594:ROH196596 RXS196594:RYD196596 SHO196594:SHZ196596 SRK196594:SRV196596 TBG196594:TBR196596 TLC196594:TLN196596 TUY196594:TVJ196596 UEU196594:UFF196596 UOQ196594:UPB196596 UYM196594:UYX196596 VII196594:VIT196596 VSE196594:VSP196596 WCA196594:WCL196596 WLW196594:WMH196596 WVS196594:WWD196596 JG262130:JR262132 TC262130:TN262132 ACY262130:ADJ262132 AMU262130:ANF262132 AWQ262130:AXB262132 BGM262130:BGX262132 BQI262130:BQT262132 CAE262130:CAP262132 CKA262130:CKL262132 CTW262130:CUH262132 DDS262130:DED262132 DNO262130:DNZ262132 DXK262130:DXV262132 EHG262130:EHR262132 ERC262130:ERN262132 FAY262130:FBJ262132 FKU262130:FLF262132 FUQ262130:FVB262132 GEM262130:GEX262132 GOI262130:GOT262132 GYE262130:GYP262132 HIA262130:HIL262132 HRW262130:HSH262132 IBS262130:ICD262132 ILO262130:ILZ262132 IVK262130:IVV262132 JFG262130:JFR262132 JPC262130:JPN262132 JYY262130:JZJ262132 KIU262130:KJF262132 KSQ262130:KTB262132 LCM262130:LCX262132 LMI262130:LMT262132 LWE262130:LWP262132 MGA262130:MGL262132 MPW262130:MQH262132 MZS262130:NAD262132 NJO262130:NJZ262132 NTK262130:NTV262132 ODG262130:ODR262132 ONC262130:ONN262132 OWY262130:OXJ262132 PGU262130:PHF262132 PQQ262130:PRB262132 QAM262130:QAX262132 QKI262130:QKT262132 QUE262130:QUP262132 REA262130:REL262132 RNW262130:ROH262132 RXS262130:RYD262132 SHO262130:SHZ262132 SRK262130:SRV262132 TBG262130:TBR262132 TLC262130:TLN262132 TUY262130:TVJ262132 UEU262130:UFF262132 UOQ262130:UPB262132 UYM262130:UYX262132 VII262130:VIT262132 VSE262130:VSP262132 WCA262130:WCL262132 WLW262130:WMH262132 WVS262130:WWD262132 JG327666:JR327668 TC327666:TN327668 ACY327666:ADJ327668 AMU327666:ANF327668 AWQ327666:AXB327668 BGM327666:BGX327668 BQI327666:BQT327668 CAE327666:CAP327668 CKA327666:CKL327668 CTW327666:CUH327668 DDS327666:DED327668 DNO327666:DNZ327668 DXK327666:DXV327668 EHG327666:EHR327668 ERC327666:ERN327668 FAY327666:FBJ327668 FKU327666:FLF327668 FUQ327666:FVB327668 GEM327666:GEX327668 GOI327666:GOT327668 GYE327666:GYP327668 HIA327666:HIL327668 HRW327666:HSH327668 IBS327666:ICD327668 ILO327666:ILZ327668 IVK327666:IVV327668 JFG327666:JFR327668 JPC327666:JPN327668 JYY327666:JZJ327668 KIU327666:KJF327668 KSQ327666:KTB327668 LCM327666:LCX327668 LMI327666:LMT327668 LWE327666:LWP327668 MGA327666:MGL327668 MPW327666:MQH327668 MZS327666:NAD327668 NJO327666:NJZ327668 NTK327666:NTV327668 ODG327666:ODR327668 ONC327666:ONN327668 OWY327666:OXJ327668 PGU327666:PHF327668 PQQ327666:PRB327668 QAM327666:QAX327668 QKI327666:QKT327668 QUE327666:QUP327668 REA327666:REL327668 RNW327666:ROH327668 RXS327666:RYD327668 SHO327666:SHZ327668 SRK327666:SRV327668 TBG327666:TBR327668 TLC327666:TLN327668 TUY327666:TVJ327668 UEU327666:UFF327668 UOQ327666:UPB327668 UYM327666:UYX327668 VII327666:VIT327668 VSE327666:VSP327668 WCA327666:WCL327668 WLW327666:WMH327668 WVS327666:WWD327668 JG393202:JR393204 TC393202:TN393204 ACY393202:ADJ393204 AMU393202:ANF393204 AWQ393202:AXB393204 BGM393202:BGX393204 BQI393202:BQT393204 CAE393202:CAP393204 CKA393202:CKL393204 CTW393202:CUH393204 DDS393202:DED393204 DNO393202:DNZ393204 DXK393202:DXV393204 EHG393202:EHR393204 ERC393202:ERN393204 FAY393202:FBJ393204 FKU393202:FLF393204 FUQ393202:FVB393204 GEM393202:GEX393204 GOI393202:GOT393204 GYE393202:GYP393204 HIA393202:HIL393204 HRW393202:HSH393204 IBS393202:ICD393204 ILO393202:ILZ393204 IVK393202:IVV393204 JFG393202:JFR393204 JPC393202:JPN393204 JYY393202:JZJ393204 KIU393202:KJF393204 KSQ393202:KTB393204 LCM393202:LCX393204 LMI393202:LMT393204 LWE393202:LWP393204 MGA393202:MGL393204 MPW393202:MQH393204 MZS393202:NAD393204 NJO393202:NJZ393204 NTK393202:NTV393204 ODG393202:ODR393204 ONC393202:ONN393204 OWY393202:OXJ393204 PGU393202:PHF393204 PQQ393202:PRB393204 QAM393202:QAX393204 QKI393202:QKT393204 QUE393202:QUP393204 REA393202:REL393204 RNW393202:ROH393204 RXS393202:RYD393204 SHO393202:SHZ393204 SRK393202:SRV393204 TBG393202:TBR393204 TLC393202:TLN393204 TUY393202:TVJ393204 UEU393202:UFF393204 UOQ393202:UPB393204 UYM393202:UYX393204 VII393202:VIT393204 VSE393202:VSP393204 WCA393202:WCL393204 WLW393202:WMH393204 WVS393202:WWD393204 JG458738:JR458740 TC458738:TN458740 ACY458738:ADJ458740 AMU458738:ANF458740 AWQ458738:AXB458740 BGM458738:BGX458740 BQI458738:BQT458740 CAE458738:CAP458740 CKA458738:CKL458740 CTW458738:CUH458740 DDS458738:DED458740 DNO458738:DNZ458740 DXK458738:DXV458740 EHG458738:EHR458740 ERC458738:ERN458740 FAY458738:FBJ458740 FKU458738:FLF458740 FUQ458738:FVB458740 GEM458738:GEX458740 GOI458738:GOT458740 GYE458738:GYP458740 HIA458738:HIL458740 HRW458738:HSH458740 IBS458738:ICD458740 ILO458738:ILZ458740 IVK458738:IVV458740 JFG458738:JFR458740 JPC458738:JPN458740 JYY458738:JZJ458740 KIU458738:KJF458740 KSQ458738:KTB458740 LCM458738:LCX458740 LMI458738:LMT458740 LWE458738:LWP458740 MGA458738:MGL458740 MPW458738:MQH458740 MZS458738:NAD458740 NJO458738:NJZ458740 NTK458738:NTV458740 ODG458738:ODR458740 ONC458738:ONN458740 OWY458738:OXJ458740 PGU458738:PHF458740 PQQ458738:PRB458740 QAM458738:QAX458740 QKI458738:QKT458740 QUE458738:QUP458740 REA458738:REL458740 RNW458738:ROH458740 RXS458738:RYD458740 SHO458738:SHZ458740 SRK458738:SRV458740 TBG458738:TBR458740 TLC458738:TLN458740 TUY458738:TVJ458740 UEU458738:UFF458740 UOQ458738:UPB458740 UYM458738:UYX458740 VII458738:VIT458740 VSE458738:VSP458740 WCA458738:WCL458740 WLW458738:WMH458740 WVS458738:WWD458740 JG524274:JR524276 TC524274:TN524276 ACY524274:ADJ524276 AMU524274:ANF524276 AWQ524274:AXB524276 BGM524274:BGX524276 BQI524274:BQT524276 CAE524274:CAP524276 CKA524274:CKL524276 CTW524274:CUH524276 DDS524274:DED524276 DNO524274:DNZ524276 DXK524274:DXV524276 EHG524274:EHR524276 ERC524274:ERN524276 FAY524274:FBJ524276 FKU524274:FLF524276 FUQ524274:FVB524276 GEM524274:GEX524276 GOI524274:GOT524276 GYE524274:GYP524276 HIA524274:HIL524276 HRW524274:HSH524276 IBS524274:ICD524276 ILO524274:ILZ524276 IVK524274:IVV524276 JFG524274:JFR524276 JPC524274:JPN524276 JYY524274:JZJ524276 KIU524274:KJF524276 KSQ524274:KTB524276 LCM524274:LCX524276 LMI524274:LMT524276 LWE524274:LWP524276 MGA524274:MGL524276 MPW524274:MQH524276 MZS524274:NAD524276 NJO524274:NJZ524276 NTK524274:NTV524276 ODG524274:ODR524276 ONC524274:ONN524276 OWY524274:OXJ524276 PGU524274:PHF524276 PQQ524274:PRB524276 QAM524274:QAX524276 QKI524274:QKT524276 QUE524274:QUP524276 REA524274:REL524276 RNW524274:ROH524276 RXS524274:RYD524276 SHO524274:SHZ524276 SRK524274:SRV524276 TBG524274:TBR524276 TLC524274:TLN524276 TUY524274:TVJ524276 UEU524274:UFF524276 UOQ524274:UPB524276 UYM524274:UYX524276 VII524274:VIT524276 VSE524274:VSP524276 WCA524274:WCL524276 WLW524274:WMH524276 WVS524274:WWD524276 JG589810:JR589812 TC589810:TN589812 ACY589810:ADJ589812 AMU589810:ANF589812 AWQ589810:AXB589812 BGM589810:BGX589812 BQI589810:BQT589812 CAE589810:CAP589812 CKA589810:CKL589812 CTW589810:CUH589812 DDS589810:DED589812 DNO589810:DNZ589812 DXK589810:DXV589812 EHG589810:EHR589812 ERC589810:ERN589812 FAY589810:FBJ589812 FKU589810:FLF589812 FUQ589810:FVB589812 GEM589810:GEX589812 GOI589810:GOT589812 GYE589810:GYP589812 HIA589810:HIL589812 HRW589810:HSH589812 IBS589810:ICD589812 ILO589810:ILZ589812 IVK589810:IVV589812 JFG589810:JFR589812 JPC589810:JPN589812 JYY589810:JZJ589812 KIU589810:KJF589812 KSQ589810:KTB589812 LCM589810:LCX589812 LMI589810:LMT589812 LWE589810:LWP589812 MGA589810:MGL589812 MPW589810:MQH589812 MZS589810:NAD589812 NJO589810:NJZ589812 NTK589810:NTV589812 ODG589810:ODR589812 ONC589810:ONN589812 OWY589810:OXJ589812 PGU589810:PHF589812 PQQ589810:PRB589812 QAM589810:QAX589812 QKI589810:QKT589812 QUE589810:QUP589812 REA589810:REL589812 RNW589810:ROH589812 RXS589810:RYD589812 SHO589810:SHZ589812 SRK589810:SRV589812 TBG589810:TBR589812 TLC589810:TLN589812 TUY589810:TVJ589812 UEU589810:UFF589812 UOQ589810:UPB589812 UYM589810:UYX589812 VII589810:VIT589812 VSE589810:VSP589812 WCA589810:WCL589812 WLW589810:WMH589812 WVS589810:WWD589812 JG655346:JR655348 TC655346:TN655348 ACY655346:ADJ655348 AMU655346:ANF655348 AWQ655346:AXB655348 BGM655346:BGX655348 BQI655346:BQT655348 CAE655346:CAP655348 CKA655346:CKL655348 CTW655346:CUH655348 DDS655346:DED655348 DNO655346:DNZ655348 DXK655346:DXV655348 EHG655346:EHR655348 ERC655346:ERN655348 FAY655346:FBJ655348 FKU655346:FLF655348 FUQ655346:FVB655348 GEM655346:GEX655348 GOI655346:GOT655348 GYE655346:GYP655348 HIA655346:HIL655348 HRW655346:HSH655348 IBS655346:ICD655348 ILO655346:ILZ655348 IVK655346:IVV655348 JFG655346:JFR655348 JPC655346:JPN655348 JYY655346:JZJ655348 KIU655346:KJF655348 KSQ655346:KTB655348 LCM655346:LCX655348 LMI655346:LMT655348 LWE655346:LWP655348 MGA655346:MGL655348 MPW655346:MQH655348 MZS655346:NAD655348 NJO655346:NJZ655348 NTK655346:NTV655348 ODG655346:ODR655348 ONC655346:ONN655348 OWY655346:OXJ655348 PGU655346:PHF655348 PQQ655346:PRB655348 QAM655346:QAX655348 QKI655346:QKT655348 QUE655346:QUP655348 REA655346:REL655348 RNW655346:ROH655348 RXS655346:RYD655348 SHO655346:SHZ655348 SRK655346:SRV655348 TBG655346:TBR655348 TLC655346:TLN655348 TUY655346:TVJ655348 UEU655346:UFF655348 UOQ655346:UPB655348 UYM655346:UYX655348 VII655346:VIT655348 VSE655346:VSP655348 WCA655346:WCL655348 WLW655346:WMH655348 WVS655346:WWD655348 JG720882:JR720884 TC720882:TN720884 ACY720882:ADJ720884 AMU720882:ANF720884 AWQ720882:AXB720884 BGM720882:BGX720884 BQI720882:BQT720884 CAE720882:CAP720884 CKA720882:CKL720884 CTW720882:CUH720884 DDS720882:DED720884 DNO720882:DNZ720884 DXK720882:DXV720884 EHG720882:EHR720884 ERC720882:ERN720884 FAY720882:FBJ720884 FKU720882:FLF720884 FUQ720882:FVB720884 GEM720882:GEX720884 GOI720882:GOT720884 GYE720882:GYP720884 HIA720882:HIL720884 HRW720882:HSH720884 IBS720882:ICD720884 ILO720882:ILZ720884 IVK720882:IVV720884 JFG720882:JFR720884 JPC720882:JPN720884 JYY720882:JZJ720884 KIU720882:KJF720884 KSQ720882:KTB720884 LCM720882:LCX720884 LMI720882:LMT720884 LWE720882:LWP720884 MGA720882:MGL720884 MPW720882:MQH720884 MZS720882:NAD720884 NJO720882:NJZ720884 NTK720882:NTV720884 ODG720882:ODR720884 ONC720882:ONN720884 OWY720882:OXJ720884 PGU720882:PHF720884 PQQ720882:PRB720884 QAM720882:QAX720884 QKI720882:QKT720884 QUE720882:QUP720884 REA720882:REL720884 RNW720882:ROH720884 RXS720882:RYD720884 SHO720882:SHZ720884 SRK720882:SRV720884 TBG720882:TBR720884 TLC720882:TLN720884 TUY720882:TVJ720884 UEU720882:UFF720884 UOQ720882:UPB720884 UYM720882:UYX720884 VII720882:VIT720884 VSE720882:VSP720884 WCA720882:WCL720884 WLW720882:WMH720884 WVS720882:WWD720884 JG786418:JR786420 TC786418:TN786420 ACY786418:ADJ786420 AMU786418:ANF786420 AWQ786418:AXB786420 BGM786418:BGX786420 BQI786418:BQT786420 CAE786418:CAP786420 CKA786418:CKL786420 CTW786418:CUH786420 DDS786418:DED786420 DNO786418:DNZ786420 DXK786418:DXV786420 EHG786418:EHR786420 ERC786418:ERN786420 FAY786418:FBJ786420 FKU786418:FLF786420 FUQ786418:FVB786420 GEM786418:GEX786420 GOI786418:GOT786420 GYE786418:GYP786420 HIA786418:HIL786420 HRW786418:HSH786420 IBS786418:ICD786420 ILO786418:ILZ786420 IVK786418:IVV786420 JFG786418:JFR786420 JPC786418:JPN786420 JYY786418:JZJ786420 KIU786418:KJF786420 KSQ786418:KTB786420 LCM786418:LCX786420 LMI786418:LMT786420 LWE786418:LWP786420 MGA786418:MGL786420 MPW786418:MQH786420 MZS786418:NAD786420 NJO786418:NJZ786420 NTK786418:NTV786420 ODG786418:ODR786420 ONC786418:ONN786420 OWY786418:OXJ786420 PGU786418:PHF786420 PQQ786418:PRB786420 QAM786418:QAX786420 QKI786418:QKT786420 QUE786418:QUP786420 REA786418:REL786420 RNW786418:ROH786420 RXS786418:RYD786420 SHO786418:SHZ786420 SRK786418:SRV786420 TBG786418:TBR786420 TLC786418:TLN786420 TUY786418:TVJ786420 UEU786418:UFF786420 UOQ786418:UPB786420 UYM786418:UYX786420 VII786418:VIT786420 VSE786418:VSP786420 WCA786418:WCL786420 WLW786418:WMH786420 WVS786418:WWD786420 JG851954:JR851956 TC851954:TN851956 ACY851954:ADJ851956 AMU851954:ANF851956 AWQ851954:AXB851956 BGM851954:BGX851956 BQI851954:BQT851956 CAE851954:CAP851956 CKA851954:CKL851956 CTW851954:CUH851956 DDS851954:DED851956 DNO851954:DNZ851956 DXK851954:DXV851956 EHG851954:EHR851956 ERC851954:ERN851956 FAY851954:FBJ851956 FKU851954:FLF851956 FUQ851954:FVB851956 GEM851954:GEX851956 GOI851954:GOT851956 GYE851954:GYP851956 HIA851954:HIL851956 HRW851954:HSH851956 IBS851954:ICD851956 ILO851954:ILZ851956 IVK851954:IVV851956 JFG851954:JFR851956 JPC851954:JPN851956 JYY851954:JZJ851956 KIU851954:KJF851956 KSQ851954:KTB851956 LCM851954:LCX851956 LMI851954:LMT851956 LWE851954:LWP851956 MGA851954:MGL851956 MPW851954:MQH851956 MZS851954:NAD851956 NJO851954:NJZ851956 NTK851954:NTV851956 ODG851954:ODR851956 ONC851954:ONN851956 OWY851954:OXJ851956 PGU851954:PHF851956 PQQ851954:PRB851956 QAM851954:QAX851956 QKI851954:QKT851956 QUE851954:QUP851956 REA851954:REL851956 RNW851954:ROH851956 RXS851954:RYD851956 SHO851954:SHZ851956 SRK851954:SRV851956 TBG851954:TBR851956 TLC851954:TLN851956 TUY851954:TVJ851956 UEU851954:UFF851956 UOQ851954:UPB851956 UYM851954:UYX851956 VII851954:VIT851956 VSE851954:VSP851956 WCA851954:WCL851956 WLW851954:WMH851956 WVS851954:WWD851956 JG917490:JR917492 TC917490:TN917492 ACY917490:ADJ917492 AMU917490:ANF917492 AWQ917490:AXB917492 BGM917490:BGX917492 BQI917490:BQT917492 CAE917490:CAP917492 CKA917490:CKL917492 CTW917490:CUH917492 DDS917490:DED917492 DNO917490:DNZ917492 DXK917490:DXV917492 EHG917490:EHR917492 ERC917490:ERN917492 FAY917490:FBJ917492 FKU917490:FLF917492 FUQ917490:FVB917492 GEM917490:GEX917492 GOI917490:GOT917492 GYE917490:GYP917492 HIA917490:HIL917492 HRW917490:HSH917492 IBS917490:ICD917492 ILO917490:ILZ917492 IVK917490:IVV917492 JFG917490:JFR917492 JPC917490:JPN917492 JYY917490:JZJ917492 KIU917490:KJF917492 KSQ917490:KTB917492 LCM917490:LCX917492 LMI917490:LMT917492 LWE917490:LWP917492 MGA917490:MGL917492 MPW917490:MQH917492 MZS917490:NAD917492 NJO917490:NJZ917492 NTK917490:NTV917492 ODG917490:ODR917492 ONC917490:ONN917492 OWY917490:OXJ917492 PGU917490:PHF917492 PQQ917490:PRB917492 QAM917490:QAX917492 QKI917490:QKT917492 QUE917490:QUP917492 REA917490:REL917492 RNW917490:ROH917492 RXS917490:RYD917492 SHO917490:SHZ917492 SRK917490:SRV917492 TBG917490:TBR917492 TLC917490:TLN917492 TUY917490:TVJ917492 UEU917490:UFF917492 UOQ917490:UPB917492 UYM917490:UYX917492 VII917490:VIT917492 VSE917490:VSP917492 WCA917490:WCL917492 WLW917490:WMH917492 WVS917490:WWD917492 JG983026:JR983028 TC983026:TN983028 ACY983026:ADJ983028 AMU983026:ANF983028 AWQ983026:AXB983028 BGM983026:BGX983028 BQI983026:BQT983028 CAE983026:CAP983028 CKA983026:CKL983028 CTW983026:CUH983028 DDS983026:DED983028 DNO983026:DNZ983028 DXK983026:DXV983028 EHG983026:EHR983028 ERC983026:ERN983028 FAY983026:FBJ983028 FKU983026:FLF983028 FUQ983026:FVB983028 GEM983026:GEX983028 GOI983026:GOT983028 GYE983026:GYP983028 HIA983026:HIL983028 HRW983026:HSH983028 IBS983026:ICD983028 ILO983026:ILZ983028 IVK983026:IVV983028 JFG983026:JFR983028 JPC983026:JPN983028 JYY983026:JZJ983028 KIU983026:KJF983028 KSQ983026:KTB983028 LCM983026:LCX983028 LMI983026:LMT983028 LWE983026:LWP983028 MGA983026:MGL983028 MPW983026:MQH983028 MZS983026:NAD983028 NJO983026:NJZ983028 NTK983026:NTV983028 ODG983026:ODR983028 ONC983026:ONN983028 OWY983026:OXJ983028 PGU983026:PHF983028 PQQ983026:PRB983028 QAM983026:QAX983028 QKI983026:QKT983028 QUE983026:QUP983028 REA983026:REL983028 RNW983026:ROH983028 RXS983026:RYD983028 SHO983026:SHZ983028 SRK983026:SRV983028 TBG983026:TBR983028 TLC983026:TLN983028 TUY983026:TVJ983028 UEU983026:UFF983028 UOQ983026:UPB983028 UYM983026:UYX983028 VII983026:VIT983028 VSE983026:VSP983028 WCA983026:WCL983028 WLW983026:WMH983028 WVS983026:WWD983028 Z262130:AJ262132 Z196594:AJ196596 Z131058:AJ131060 Z65522:AJ65524 Z983026:AJ983028 Z917490:AJ917492 Z851954:AJ851956 Z786418:AJ786420 Z720882:AJ720884 Z655346:AJ655348 Z589810:AJ589812 Z524274:AJ524276 Z458738:AJ458740 Z393202:AJ393204 Z327666:AJ327668 JH2:JS4 TD2:TO4 ACZ2:ADK4 AMV2:ANG4 AWR2:AXC4 BGN2:BGY4 BQJ2:BQU4 CAF2:CAQ4 CKB2:CKM4 CTX2:CUI4 DDT2:DEE4 DNP2:DOA4 DXL2:DXW4 EHH2:EHS4 ERD2:ERO4 FAZ2:FBK4 FKV2:FLG4 FUR2:FVC4 GEN2:GEY4 GOJ2:GOU4 GYF2:GYQ4 HIB2:HIM4 HRX2:HSI4 IBT2:ICE4 ILP2:IMA4 IVL2:IVW4 JFH2:JFS4 JPD2:JPO4 JYZ2:JZK4 KIV2:KJG4 KSR2:KTC4 LCN2:LCY4 LMJ2:LMU4 LWF2:LWQ4 MGB2:MGM4 MPX2:MQI4 MZT2:NAE4 NJP2:NKA4 NTL2:NTW4 ODH2:ODS4 OND2:ONO4 OWZ2:OXK4 PGV2:PHG4 PQR2:PRC4 QAN2:QAY4 QKJ2:QKU4 QUF2:QUQ4 REB2:REM4 RNX2:ROI4 RXT2:RYE4 SHP2:SIA4 SRL2:SRW4 TBH2:TBS4 TLD2:TLO4 TUZ2:TVK4 UEV2:UFG4 UOR2:UPC4 UYN2:UYY4 VIJ2:VIU4 VSF2:VSQ4 WCB2:WCM4 WLX2:WMI4 WVT2:WWE4 R2"/>
    <dataValidation type="list" allowBlank="1" showInputMessage="1" showErrorMessage="1" sqref="Y8:Z46">
      <formula1>"文字,数値,日付,時間"</formula1>
    </dataValidation>
    <dataValidation type="list" allowBlank="1" showInputMessage="1" showErrorMessage="1" sqref="AA8:AC46">
      <formula1>"int,numeric,varchar,date,datetime2(0),datetime2,varbinary(max)"</formula1>
    </dataValidation>
  </dataValidations>
  <pageMargins left="0.39370078740157483" right="0.39370078740157483" top="0.59055118110236227" bottom="0.39370078740157483" header="0.39370078740157483" footer="0.19685039370078741"/>
  <pageSetup paperSize="9" scale="80" fitToHeight="0" orientation="landscape" useFirstPageNumber="1" verticalDpi="300" r:id="rId1"/>
  <headerFooter alignWithMargins="0">
    <oddFooter>&amp;R&amp;A - &amp;P</oddFooter>
  </headerFooter>
  <legacyDrawing r:id="rId2"/>
</worksheet>
</file>

<file path=xl/worksheets/sheet1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47">
    <tabColor rgb="FFFFC000"/>
  </sheetPr>
  <dimension ref="A1:BD46"/>
  <sheetViews>
    <sheetView showGridLines="0" zoomScaleNormal="100" zoomScaleSheetLayoutView="100" workbookViewId="0">
      <pane ySplit="7" topLeftCell="A8" activePane="bottomLeft" state="frozen"/>
      <selection sqref="A1:K4"/>
      <selection pane="bottomLeft" sqref="A1:H4"/>
    </sheetView>
  </sheetViews>
  <sheetFormatPr defaultColWidth="2.6328125" defaultRowHeight="14.4" customHeight="1"/>
  <cols>
    <col min="1" max="1" width="4.6328125" style="18" customWidth="1"/>
    <col min="2" max="26" width="2.6328125" style="18"/>
    <col min="27" max="27" width="2.6328125" style="18" customWidth="1"/>
    <col min="28" max="29" width="2.6328125" style="18"/>
    <col min="30" max="30" width="4.6328125" style="18" customWidth="1"/>
    <col min="31" max="31" width="2.6328125" style="18" customWidth="1"/>
    <col min="32" max="33" width="2.6328125" style="18"/>
    <col min="34" max="34" width="6.6328125" style="18" customWidth="1"/>
    <col min="35" max="41" width="2.6328125" style="18"/>
    <col min="42" max="56" width="2.6328125" style="46"/>
    <col min="57" max="16384" width="2.6328125" style="18"/>
  </cols>
  <sheetData>
    <row r="1" spans="1:56" s="17" customFormat="1" ht="14.4" customHeight="1">
      <c r="A1" s="417" t="s">
        <v>78</v>
      </c>
      <c r="B1" s="418"/>
      <c r="C1" s="418"/>
      <c r="D1" s="418"/>
      <c r="E1" s="418"/>
      <c r="F1" s="418"/>
      <c r="G1" s="418"/>
      <c r="H1" s="419"/>
      <c r="I1" s="354" t="s">
        <v>79</v>
      </c>
      <c r="J1" s="355"/>
      <c r="K1" s="355"/>
      <c r="L1" s="355"/>
      <c r="M1" s="355"/>
      <c r="N1" s="355"/>
      <c r="O1" s="355"/>
      <c r="P1" s="355"/>
      <c r="Q1" s="356"/>
      <c r="R1" s="354" t="s">
        <v>80</v>
      </c>
      <c r="S1" s="355"/>
      <c r="T1" s="355"/>
      <c r="U1" s="355"/>
      <c r="V1" s="355"/>
      <c r="W1" s="355"/>
      <c r="X1" s="356"/>
      <c r="Y1" s="354" t="s">
        <v>135</v>
      </c>
      <c r="Z1" s="355"/>
      <c r="AA1" s="355"/>
      <c r="AB1" s="355"/>
      <c r="AC1" s="355"/>
      <c r="AD1" s="355"/>
      <c r="AE1" s="355"/>
      <c r="AF1" s="355"/>
      <c r="AG1" s="355"/>
      <c r="AH1" s="355"/>
      <c r="AI1" s="355"/>
      <c r="AJ1" s="355"/>
      <c r="AK1" s="355"/>
      <c r="AL1" s="355"/>
      <c r="AM1" s="355"/>
      <c r="AN1" s="355"/>
      <c r="AO1" s="356"/>
      <c r="AP1" s="428" t="s">
        <v>82</v>
      </c>
      <c r="AQ1" s="429"/>
      <c r="AR1" s="429"/>
      <c r="AS1" s="429"/>
      <c r="AT1" s="430"/>
      <c r="AU1" s="428" t="s">
        <v>83</v>
      </c>
      <c r="AV1" s="429"/>
      <c r="AW1" s="429"/>
      <c r="AX1" s="429"/>
      <c r="AY1" s="430"/>
      <c r="AZ1" s="428" t="s">
        <v>84</v>
      </c>
      <c r="BA1" s="429"/>
      <c r="BB1" s="429"/>
      <c r="BC1" s="429"/>
      <c r="BD1" s="430"/>
    </row>
    <row r="2" spans="1:56" s="17" customFormat="1" ht="14.4" customHeight="1">
      <c r="A2" s="420"/>
      <c r="B2" s="421"/>
      <c r="C2" s="421"/>
      <c r="D2" s="421"/>
      <c r="E2" s="421"/>
      <c r="F2" s="421"/>
      <c r="G2" s="421"/>
      <c r="H2" s="422"/>
      <c r="I2" s="384" t="s">
        <v>85</v>
      </c>
      <c r="J2" s="385"/>
      <c r="K2" s="385"/>
      <c r="L2" s="385"/>
      <c r="M2" s="385"/>
      <c r="N2" s="385"/>
      <c r="O2" s="385"/>
      <c r="P2" s="385"/>
      <c r="Q2" s="386"/>
      <c r="R2" s="384" t="str">
        <f ca="1">VLOOKUP(RIGHT(CELL("filename",A2),LEN(CELL("filename",A2))-FIND("]",CELL("filename",A2))),テーブル一覧!B:AD,22,FALSE)</f>
        <v>B.生産計画</v>
      </c>
      <c r="S2" s="385"/>
      <c r="T2" s="385"/>
      <c r="U2" s="385"/>
      <c r="V2" s="385"/>
      <c r="W2" s="385"/>
      <c r="X2" s="386"/>
      <c r="Y2" s="384" t="str">
        <f ca="1">VLOOKUP(RIGHT(CELL("filename",A2),LEN(CELL("filename",A2))-FIND("]",CELL("filename",A2))),テーブル一覧!B:AD,1,FALSE)</f>
        <v>生産指示情報（原反）</v>
      </c>
      <c r="Z2" s="385"/>
      <c r="AA2" s="385"/>
      <c r="AB2" s="385"/>
      <c r="AC2" s="385"/>
      <c r="AD2" s="385"/>
      <c r="AE2" s="385"/>
      <c r="AF2" s="385"/>
      <c r="AG2" s="385"/>
      <c r="AH2" s="385"/>
      <c r="AI2" s="385"/>
      <c r="AJ2" s="385"/>
      <c r="AK2" s="385"/>
      <c r="AL2" s="385"/>
      <c r="AM2" s="385"/>
      <c r="AN2" s="385"/>
      <c r="AO2" s="386"/>
      <c r="AP2" s="357"/>
      <c r="AQ2" s="358"/>
      <c r="AR2" s="358"/>
      <c r="AS2" s="358"/>
      <c r="AT2" s="359"/>
      <c r="AU2" s="58" t="s">
        <v>88</v>
      </c>
      <c r="AV2" s="59"/>
      <c r="AW2" s="59"/>
      <c r="AX2" s="59"/>
      <c r="AY2" s="60"/>
      <c r="AZ2" s="434" t="s">
        <v>89</v>
      </c>
      <c r="BA2" s="435"/>
      <c r="BB2" s="435"/>
      <c r="BC2" s="435"/>
      <c r="BD2" s="436"/>
    </row>
    <row r="3" spans="1:56" s="17" customFormat="1" ht="14.4" customHeight="1">
      <c r="A3" s="420"/>
      <c r="B3" s="421"/>
      <c r="C3" s="421"/>
      <c r="D3" s="421"/>
      <c r="E3" s="421"/>
      <c r="F3" s="421"/>
      <c r="G3" s="421"/>
      <c r="H3" s="422"/>
      <c r="I3" s="387"/>
      <c r="J3" s="388"/>
      <c r="K3" s="388"/>
      <c r="L3" s="388"/>
      <c r="M3" s="388"/>
      <c r="N3" s="388"/>
      <c r="O3" s="388"/>
      <c r="P3" s="388"/>
      <c r="Q3" s="389"/>
      <c r="R3" s="387"/>
      <c r="S3" s="388"/>
      <c r="T3" s="388"/>
      <c r="U3" s="388"/>
      <c r="V3" s="388"/>
      <c r="W3" s="388"/>
      <c r="X3" s="389"/>
      <c r="Y3" s="390"/>
      <c r="Z3" s="391"/>
      <c r="AA3" s="391"/>
      <c r="AB3" s="391"/>
      <c r="AC3" s="391"/>
      <c r="AD3" s="391"/>
      <c r="AE3" s="391"/>
      <c r="AF3" s="391"/>
      <c r="AG3" s="391"/>
      <c r="AH3" s="391"/>
      <c r="AI3" s="391"/>
      <c r="AJ3" s="391"/>
      <c r="AK3" s="391"/>
      <c r="AL3" s="391"/>
      <c r="AM3" s="391"/>
      <c r="AN3" s="391"/>
      <c r="AO3" s="392"/>
      <c r="AP3" s="360"/>
      <c r="AQ3" s="361"/>
      <c r="AR3" s="361"/>
      <c r="AS3" s="361"/>
      <c r="AT3" s="362"/>
      <c r="AU3" s="431"/>
      <c r="AV3" s="432"/>
      <c r="AW3" s="432"/>
      <c r="AX3" s="432"/>
      <c r="AY3" s="433"/>
      <c r="AZ3" s="434"/>
      <c r="BA3" s="435"/>
      <c r="BB3" s="435"/>
      <c r="BC3" s="435"/>
      <c r="BD3" s="436"/>
    </row>
    <row r="4" spans="1:56" s="17" customFormat="1" ht="14.4" customHeight="1">
      <c r="A4" s="423"/>
      <c r="B4" s="424"/>
      <c r="C4" s="424"/>
      <c r="D4" s="424"/>
      <c r="E4" s="424"/>
      <c r="F4" s="424"/>
      <c r="G4" s="424"/>
      <c r="H4" s="425"/>
      <c r="I4" s="390"/>
      <c r="J4" s="391"/>
      <c r="K4" s="391"/>
      <c r="L4" s="391"/>
      <c r="M4" s="391"/>
      <c r="N4" s="391"/>
      <c r="O4" s="391"/>
      <c r="P4" s="391"/>
      <c r="Q4" s="392"/>
      <c r="R4" s="390"/>
      <c r="S4" s="391"/>
      <c r="T4" s="391"/>
      <c r="U4" s="391"/>
      <c r="V4" s="391"/>
      <c r="W4" s="391"/>
      <c r="X4" s="392"/>
      <c r="Y4" s="437" t="str">
        <f ca="1">IF(VLOOKUP(RIGHT(CELL("filename",A2),LEN(CELL("filename",A2))-FIND("]",CELL("filename",A2))),テーブル一覧!B:AD,11,FALSE)=0,"",VLOOKUP(RIGHT(CELL("filename",A2),LEN(CELL("filename",A2))-FIND("]",CELL("filename",A2))),テーブル一覧!B:AD,11,FALSE))</f>
        <v>t_seisan_shiji_gentan</v>
      </c>
      <c r="Z4" s="438"/>
      <c r="AA4" s="438"/>
      <c r="AB4" s="438"/>
      <c r="AC4" s="438"/>
      <c r="AD4" s="438"/>
      <c r="AE4" s="438"/>
      <c r="AF4" s="438"/>
      <c r="AG4" s="438"/>
      <c r="AH4" s="438"/>
      <c r="AI4" s="438"/>
      <c r="AJ4" s="438"/>
      <c r="AK4" s="438"/>
      <c r="AL4" s="438"/>
      <c r="AM4" s="438"/>
      <c r="AN4" s="438"/>
      <c r="AO4" s="439"/>
      <c r="AP4" s="360"/>
      <c r="AQ4" s="361"/>
      <c r="AR4" s="361"/>
      <c r="AS4" s="361"/>
      <c r="AT4" s="362"/>
      <c r="AU4" s="431"/>
      <c r="AV4" s="432"/>
      <c r="AW4" s="432"/>
      <c r="AX4" s="432"/>
      <c r="AY4" s="433"/>
      <c r="AZ4" s="434"/>
      <c r="BA4" s="435"/>
      <c r="BB4" s="435"/>
      <c r="BC4" s="435"/>
      <c r="BD4" s="436"/>
    </row>
    <row r="6" spans="1:56" ht="14.4" customHeight="1">
      <c r="A6" s="426" t="s">
        <v>90</v>
      </c>
      <c r="B6" s="407" t="s">
        <v>136</v>
      </c>
      <c r="C6" s="415"/>
      <c r="D6" s="415"/>
      <c r="E6" s="415"/>
      <c r="F6" s="415"/>
      <c r="G6" s="415"/>
      <c r="H6" s="408"/>
      <c r="I6" s="407" t="s">
        <v>137</v>
      </c>
      <c r="J6" s="415"/>
      <c r="K6" s="415"/>
      <c r="L6" s="415"/>
      <c r="M6" s="415"/>
      <c r="N6" s="415"/>
      <c r="O6" s="415"/>
      <c r="P6" s="415"/>
      <c r="Q6" s="408"/>
      <c r="R6" s="407" t="s">
        <v>138</v>
      </c>
      <c r="S6" s="415"/>
      <c r="T6" s="415"/>
      <c r="U6" s="415"/>
      <c r="V6" s="415"/>
      <c r="W6" s="415"/>
      <c r="X6" s="408"/>
      <c r="Y6" s="407" t="s">
        <v>139</v>
      </c>
      <c r="Z6" s="408"/>
      <c r="AA6" s="407" t="s">
        <v>140</v>
      </c>
      <c r="AB6" s="415"/>
      <c r="AC6" s="408"/>
      <c r="AD6" s="411" t="s">
        <v>141</v>
      </c>
      <c r="AE6" s="413" t="s">
        <v>142</v>
      </c>
      <c r="AF6" s="411" t="s">
        <v>143</v>
      </c>
      <c r="AG6" s="411" t="s">
        <v>144</v>
      </c>
      <c r="AH6" s="411" t="s">
        <v>145</v>
      </c>
      <c r="AI6" s="404" t="s">
        <v>146</v>
      </c>
      <c r="AJ6" s="405"/>
      <c r="AK6" s="405"/>
      <c r="AL6" s="405"/>
      <c r="AM6" s="405"/>
      <c r="AN6" s="405"/>
      <c r="AO6" s="405"/>
      <c r="AP6" s="405"/>
      <c r="AQ6" s="405"/>
      <c r="AR6" s="406"/>
      <c r="AS6" s="407" t="s">
        <v>147</v>
      </c>
      <c r="AT6" s="415"/>
      <c r="AU6" s="415"/>
      <c r="AV6" s="415"/>
      <c r="AW6" s="415"/>
      <c r="AX6" s="415"/>
      <c r="AY6" s="415"/>
      <c r="AZ6" s="415"/>
      <c r="BA6" s="415"/>
      <c r="BB6" s="415"/>
      <c r="BC6" s="415"/>
      <c r="BD6" s="408"/>
    </row>
    <row r="7" spans="1:56" ht="14.4" customHeight="1">
      <c r="A7" s="427"/>
      <c r="B7" s="409"/>
      <c r="C7" s="416"/>
      <c r="D7" s="416"/>
      <c r="E7" s="416"/>
      <c r="F7" s="416"/>
      <c r="G7" s="416"/>
      <c r="H7" s="410"/>
      <c r="I7" s="409"/>
      <c r="J7" s="416"/>
      <c r="K7" s="416"/>
      <c r="L7" s="416"/>
      <c r="M7" s="416"/>
      <c r="N7" s="416"/>
      <c r="O7" s="416"/>
      <c r="P7" s="416"/>
      <c r="Q7" s="410"/>
      <c r="R7" s="409"/>
      <c r="S7" s="416"/>
      <c r="T7" s="416"/>
      <c r="U7" s="416"/>
      <c r="V7" s="416"/>
      <c r="W7" s="416"/>
      <c r="X7" s="410"/>
      <c r="Y7" s="409"/>
      <c r="Z7" s="410"/>
      <c r="AA7" s="409"/>
      <c r="AB7" s="416"/>
      <c r="AC7" s="410"/>
      <c r="AD7" s="412"/>
      <c r="AE7" s="414"/>
      <c r="AF7" s="412"/>
      <c r="AG7" s="412"/>
      <c r="AH7" s="412"/>
      <c r="AI7" s="52">
        <v>1</v>
      </c>
      <c r="AJ7" s="52">
        <v>2</v>
      </c>
      <c r="AK7" s="52">
        <v>3</v>
      </c>
      <c r="AL7" s="52">
        <v>4</v>
      </c>
      <c r="AM7" s="52">
        <v>5</v>
      </c>
      <c r="AN7" s="52">
        <v>6</v>
      </c>
      <c r="AO7" s="52">
        <v>7</v>
      </c>
      <c r="AP7" s="52">
        <v>8</v>
      </c>
      <c r="AQ7" s="52">
        <v>9</v>
      </c>
      <c r="AR7" s="52">
        <v>10</v>
      </c>
      <c r="AS7" s="409"/>
      <c r="AT7" s="416"/>
      <c r="AU7" s="416"/>
      <c r="AV7" s="416"/>
      <c r="AW7" s="416"/>
      <c r="AX7" s="416"/>
      <c r="AY7" s="416"/>
      <c r="AZ7" s="416"/>
      <c r="BA7" s="416"/>
      <c r="BB7" s="416"/>
      <c r="BC7" s="416"/>
      <c r="BD7" s="410"/>
    </row>
    <row r="8" spans="1:56" ht="14.4" customHeight="1">
      <c r="A8" s="70">
        <f>IF(B8="","",COUNTA($B$8:B8))</f>
        <v>1</v>
      </c>
      <c r="B8" s="19" t="s">
        <v>148</v>
      </c>
      <c r="C8" s="20"/>
      <c r="D8" s="20"/>
      <c r="E8" s="20"/>
      <c r="F8" s="20"/>
      <c r="G8" s="20"/>
      <c r="H8" s="24"/>
      <c r="I8" s="31" t="s">
        <v>149</v>
      </c>
      <c r="J8" s="23"/>
      <c r="K8" s="23"/>
      <c r="L8" s="23"/>
      <c r="M8" s="23"/>
      <c r="N8" s="23"/>
      <c r="O8" s="38"/>
      <c r="P8" s="23"/>
      <c r="Q8" s="24"/>
      <c r="R8" s="19" t="s">
        <v>148</v>
      </c>
      <c r="S8" s="23"/>
      <c r="T8" s="23"/>
      <c r="U8" s="23"/>
      <c r="V8" s="23"/>
      <c r="W8" s="23"/>
      <c r="X8" s="24"/>
      <c r="Y8" s="440" t="s">
        <v>150</v>
      </c>
      <c r="Z8" s="441"/>
      <c r="AA8" s="442" t="s">
        <v>151</v>
      </c>
      <c r="AB8" s="443"/>
      <c r="AC8" s="444"/>
      <c r="AD8" s="27">
        <v>15</v>
      </c>
      <c r="AE8" s="29"/>
      <c r="AF8" s="29">
        <v>1</v>
      </c>
      <c r="AG8" s="28" t="s">
        <v>152</v>
      </c>
      <c r="AH8" s="28"/>
      <c r="AI8" s="28"/>
      <c r="AJ8" s="28"/>
      <c r="AK8" s="28"/>
      <c r="AL8" s="28"/>
      <c r="AM8" s="28"/>
      <c r="AN8" s="28"/>
      <c r="AO8" s="29"/>
      <c r="AP8" s="29"/>
      <c r="AQ8" s="29"/>
      <c r="AR8" s="29"/>
      <c r="AS8" s="47"/>
      <c r="AT8" s="48"/>
      <c r="AU8" s="48"/>
      <c r="AV8" s="48"/>
      <c r="AW8" s="48"/>
      <c r="AX8" s="48"/>
      <c r="AY8" s="48"/>
      <c r="AZ8" s="48"/>
      <c r="BA8" s="48"/>
      <c r="BB8" s="48"/>
      <c r="BC8" s="48"/>
      <c r="BD8" s="66"/>
    </row>
    <row r="9" spans="1:56" ht="14.4" customHeight="1">
      <c r="A9" s="70">
        <f>IF(B9="","",COUNTA($B$8:B9))</f>
        <v>2</v>
      </c>
      <c r="B9" s="19" t="s">
        <v>159</v>
      </c>
      <c r="C9" s="20"/>
      <c r="D9" s="20"/>
      <c r="E9" s="20"/>
      <c r="F9" s="20"/>
      <c r="G9" s="20"/>
      <c r="H9" s="24"/>
      <c r="I9" s="31" t="s">
        <v>160</v>
      </c>
      <c r="J9" s="23"/>
      <c r="K9" s="23"/>
      <c r="L9" s="23"/>
      <c r="M9" s="23"/>
      <c r="N9" s="23"/>
      <c r="O9" s="38"/>
      <c r="P9" s="23"/>
      <c r="Q9" s="24"/>
      <c r="R9" s="19" t="s">
        <v>159</v>
      </c>
      <c r="S9" s="23"/>
      <c r="T9" s="23"/>
      <c r="U9" s="23"/>
      <c r="V9" s="23"/>
      <c r="W9" s="23"/>
      <c r="X9" s="24"/>
      <c r="Y9" s="440" t="s">
        <v>150</v>
      </c>
      <c r="Z9" s="441"/>
      <c r="AA9" s="442" t="s">
        <v>151</v>
      </c>
      <c r="AB9" s="443"/>
      <c r="AC9" s="444"/>
      <c r="AD9" s="27">
        <v>4</v>
      </c>
      <c r="AE9" s="29"/>
      <c r="AF9" s="29"/>
      <c r="AG9" s="29"/>
      <c r="AH9" s="28"/>
      <c r="AI9" s="28"/>
      <c r="AJ9" s="28"/>
      <c r="AK9" s="28"/>
      <c r="AL9" s="28"/>
      <c r="AM9" s="28"/>
      <c r="AN9" s="28"/>
      <c r="AO9" s="29"/>
      <c r="AP9" s="29"/>
      <c r="AQ9" s="29"/>
      <c r="AR9" s="29"/>
      <c r="AS9" s="31"/>
      <c r="AT9" s="67"/>
      <c r="AU9" s="67"/>
      <c r="AV9" s="67"/>
      <c r="AW9" s="67"/>
      <c r="AX9" s="67"/>
      <c r="AY9" s="67"/>
      <c r="AZ9" s="67"/>
      <c r="BA9" s="67"/>
      <c r="BB9" s="67"/>
      <c r="BC9" s="67"/>
      <c r="BD9" s="68"/>
    </row>
    <row r="10" spans="1:56" ht="14.4" customHeight="1">
      <c r="A10" s="70">
        <f>IF(B10="","",COUNTA($B$8:B10))</f>
        <v>3</v>
      </c>
      <c r="B10" s="19" t="s">
        <v>162</v>
      </c>
      <c r="C10" s="20"/>
      <c r="D10" s="20"/>
      <c r="E10" s="20"/>
      <c r="F10" s="20"/>
      <c r="G10" s="20"/>
      <c r="H10" s="24" t="s">
        <v>391</v>
      </c>
      <c r="I10" s="31" t="s">
        <v>163</v>
      </c>
      <c r="J10" s="23"/>
      <c r="K10" s="23"/>
      <c r="L10" s="23"/>
      <c r="M10" s="23"/>
      <c r="N10" s="23"/>
      <c r="O10" s="38"/>
      <c r="P10" s="23"/>
      <c r="Q10" s="24"/>
      <c r="R10" s="19" t="s">
        <v>164</v>
      </c>
      <c r="S10" s="23"/>
      <c r="T10" s="23"/>
      <c r="U10" s="23"/>
      <c r="V10" s="23"/>
      <c r="W10" s="23"/>
      <c r="X10" s="24"/>
      <c r="Y10" s="440" t="s">
        <v>150</v>
      </c>
      <c r="Z10" s="441"/>
      <c r="AA10" s="442" t="s">
        <v>151</v>
      </c>
      <c r="AB10" s="443"/>
      <c r="AC10" s="444"/>
      <c r="AD10" s="27">
        <v>4</v>
      </c>
      <c r="AE10" s="29"/>
      <c r="AF10" s="29"/>
      <c r="AG10" s="29"/>
      <c r="AH10" s="28"/>
      <c r="AI10" s="28"/>
      <c r="AJ10" s="28"/>
      <c r="AK10" s="28"/>
      <c r="AL10" s="28"/>
      <c r="AM10" s="28"/>
      <c r="AN10" s="28"/>
      <c r="AO10" s="29"/>
      <c r="AP10" s="29"/>
      <c r="AQ10" s="29"/>
      <c r="AR10" s="29"/>
      <c r="AS10" s="31"/>
      <c r="AT10" s="67"/>
      <c r="AU10" s="67"/>
      <c r="AV10" s="67"/>
      <c r="AW10" s="67"/>
      <c r="AX10" s="67"/>
      <c r="AY10" s="67"/>
      <c r="AZ10" s="67"/>
      <c r="BA10" s="67"/>
      <c r="BB10" s="67"/>
      <c r="BC10" s="67"/>
      <c r="BD10" s="68"/>
    </row>
    <row r="11" spans="1:56" ht="14.4" customHeight="1">
      <c r="A11" s="70">
        <f>IF(B11="","",COUNTA($B$8:B11))</f>
        <v>4</v>
      </c>
      <c r="B11" s="25" t="s">
        <v>193</v>
      </c>
      <c r="C11" s="26"/>
      <c r="D11" s="26"/>
      <c r="E11" s="26"/>
      <c r="F11" s="26"/>
      <c r="G11" s="26"/>
      <c r="H11" s="39" t="s">
        <v>418</v>
      </c>
      <c r="I11" s="31" t="s">
        <v>194</v>
      </c>
      <c r="J11" s="23"/>
      <c r="K11" s="23"/>
      <c r="L11" s="23"/>
      <c r="M11" s="23"/>
      <c r="N11" s="23"/>
      <c r="O11" s="26"/>
      <c r="P11" s="23"/>
      <c r="Q11" s="24"/>
      <c r="R11" s="25" t="s">
        <v>193</v>
      </c>
      <c r="S11" s="23"/>
      <c r="T11" s="23"/>
      <c r="U11" s="23"/>
      <c r="V11" s="23"/>
      <c r="W11" s="23"/>
      <c r="X11" s="24"/>
      <c r="Y11" s="440" t="s">
        <v>150</v>
      </c>
      <c r="Z11" s="441"/>
      <c r="AA11" s="442" t="s">
        <v>151</v>
      </c>
      <c r="AB11" s="443"/>
      <c r="AC11" s="444"/>
      <c r="AD11" s="27">
        <v>5</v>
      </c>
      <c r="AE11" s="29"/>
      <c r="AF11" s="29"/>
      <c r="AG11" s="29"/>
      <c r="AH11" s="28"/>
      <c r="AI11" s="28"/>
      <c r="AJ11" s="28"/>
      <c r="AK11" s="28"/>
      <c r="AL11" s="28"/>
      <c r="AM11" s="28"/>
      <c r="AN11" s="28"/>
      <c r="AO11" s="29"/>
      <c r="AP11" s="29"/>
      <c r="AQ11" s="29"/>
      <c r="AR11" s="29"/>
      <c r="AS11" s="31"/>
      <c r="AT11" s="67"/>
      <c r="AU11" s="67"/>
      <c r="AV11" s="67"/>
      <c r="AW11" s="67"/>
      <c r="AX11" s="67"/>
      <c r="AY11" s="67"/>
      <c r="AZ11" s="67"/>
      <c r="BA11" s="67"/>
      <c r="BB11" s="67"/>
      <c r="BC11" s="67"/>
      <c r="BD11" s="68"/>
    </row>
    <row r="12" spans="1:56" ht="14.4" customHeight="1">
      <c r="A12" s="70">
        <f>IF(B12="","",COUNTA($B$8:B12))</f>
        <v>5</v>
      </c>
      <c r="B12" s="19" t="s">
        <v>195</v>
      </c>
      <c r="C12" s="26"/>
      <c r="D12" s="26"/>
      <c r="E12" s="26"/>
      <c r="F12" s="26"/>
      <c r="G12" s="26"/>
      <c r="H12" s="39" t="s">
        <v>418</v>
      </c>
      <c r="I12" s="31" t="s">
        <v>196</v>
      </c>
      <c r="J12" s="23"/>
      <c r="K12" s="23"/>
      <c r="L12" s="23"/>
      <c r="M12" s="23"/>
      <c r="N12" s="23"/>
      <c r="O12" s="23"/>
      <c r="P12" s="23"/>
      <c r="Q12" s="24"/>
      <c r="R12" s="25" t="s">
        <v>195</v>
      </c>
      <c r="S12" s="23"/>
      <c r="T12" s="23"/>
      <c r="U12" s="23"/>
      <c r="V12" s="23"/>
      <c r="W12" s="23"/>
      <c r="X12" s="24"/>
      <c r="Y12" s="440" t="s">
        <v>150</v>
      </c>
      <c r="Z12" s="441"/>
      <c r="AA12" s="442" t="s">
        <v>151</v>
      </c>
      <c r="AB12" s="443"/>
      <c r="AC12" s="444"/>
      <c r="AD12" s="27">
        <v>30</v>
      </c>
      <c r="AE12" s="29"/>
      <c r="AF12" s="29"/>
      <c r="AG12" s="29"/>
      <c r="AH12" s="28"/>
      <c r="AI12" s="28"/>
      <c r="AJ12" s="28"/>
      <c r="AK12" s="28"/>
      <c r="AL12" s="28"/>
      <c r="AM12" s="28"/>
      <c r="AN12" s="28"/>
      <c r="AO12" s="29"/>
      <c r="AP12" s="29"/>
      <c r="AQ12" s="29"/>
      <c r="AR12" s="29"/>
      <c r="AS12" s="31"/>
      <c r="AT12" s="67"/>
      <c r="AU12" s="67"/>
      <c r="AV12" s="67"/>
      <c r="AW12" s="67"/>
      <c r="AX12" s="67"/>
      <c r="AY12" s="67"/>
      <c r="AZ12" s="67"/>
      <c r="BA12" s="67"/>
      <c r="BB12" s="67"/>
      <c r="BC12" s="67"/>
      <c r="BD12" s="68"/>
    </row>
    <row r="13" spans="1:56" ht="14.4" customHeight="1">
      <c r="A13" s="70">
        <f>IF(B13="","",COUNTA($B$8:B13))</f>
        <v>6</v>
      </c>
      <c r="B13" s="19" t="s">
        <v>197</v>
      </c>
      <c r="C13" s="20"/>
      <c r="D13" s="20"/>
      <c r="E13" s="20"/>
      <c r="F13" s="20"/>
      <c r="G13" s="20"/>
      <c r="H13" s="39" t="s">
        <v>418</v>
      </c>
      <c r="I13" s="31" t="s">
        <v>198</v>
      </c>
      <c r="J13" s="23"/>
      <c r="K13" s="23"/>
      <c r="L13" s="23"/>
      <c r="M13" s="23"/>
      <c r="N13" s="23"/>
      <c r="O13" s="23"/>
      <c r="P13" s="23"/>
      <c r="Q13" s="24"/>
      <c r="R13" s="19" t="s">
        <v>197</v>
      </c>
      <c r="S13" s="23"/>
      <c r="T13" s="23"/>
      <c r="U13" s="23"/>
      <c r="V13" s="23"/>
      <c r="W13" s="23"/>
      <c r="X13" s="24"/>
      <c r="Y13" s="440" t="s">
        <v>150</v>
      </c>
      <c r="Z13" s="441"/>
      <c r="AA13" s="442" t="s">
        <v>151</v>
      </c>
      <c r="AB13" s="443"/>
      <c r="AC13" s="444"/>
      <c r="AD13" s="27">
        <v>5</v>
      </c>
      <c r="AE13" s="29"/>
      <c r="AF13" s="29"/>
      <c r="AG13" s="29"/>
      <c r="AH13" s="28"/>
      <c r="AI13" s="28"/>
      <c r="AJ13" s="28"/>
      <c r="AK13" s="28"/>
      <c r="AL13" s="28"/>
      <c r="AM13" s="28"/>
      <c r="AN13" s="28"/>
      <c r="AO13" s="29"/>
      <c r="AP13" s="29"/>
      <c r="AQ13" s="29"/>
      <c r="AR13" s="29"/>
      <c r="AS13" s="31"/>
      <c r="AT13" s="67"/>
      <c r="AU13" s="67"/>
      <c r="AV13" s="67"/>
      <c r="AW13" s="67"/>
      <c r="AX13" s="67"/>
      <c r="AY13" s="67"/>
      <c r="AZ13" s="67"/>
      <c r="BA13" s="67"/>
      <c r="BB13" s="67"/>
      <c r="BC13" s="67"/>
      <c r="BD13" s="68"/>
    </row>
    <row r="14" spans="1:56" ht="14.4" customHeight="1">
      <c r="A14" s="70">
        <f>IF(B14="","",COUNTA($B$8:B14))</f>
        <v>7</v>
      </c>
      <c r="B14" s="22" t="s">
        <v>199</v>
      </c>
      <c r="C14" s="20"/>
      <c r="D14" s="20"/>
      <c r="E14" s="20"/>
      <c r="F14" s="20"/>
      <c r="G14" s="20"/>
      <c r="H14" s="39" t="s">
        <v>418</v>
      </c>
      <c r="I14" s="31" t="s">
        <v>200</v>
      </c>
      <c r="J14" s="23"/>
      <c r="K14" s="23"/>
      <c r="L14" s="23"/>
      <c r="M14" s="23"/>
      <c r="N14" s="23"/>
      <c r="O14" s="23"/>
      <c r="P14" s="23"/>
      <c r="Q14" s="24"/>
      <c r="R14" s="19" t="s">
        <v>199</v>
      </c>
      <c r="S14" s="23"/>
      <c r="T14" s="23"/>
      <c r="U14" s="23"/>
      <c r="V14" s="23"/>
      <c r="W14" s="23"/>
      <c r="X14" s="24"/>
      <c r="Y14" s="440" t="s">
        <v>150</v>
      </c>
      <c r="Z14" s="441"/>
      <c r="AA14" s="442" t="s">
        <v>151</v>
      </c>
      <c r="AB14" s="443"/>
      <c r="AC14" s="444"/>
      <c r="AD14" s="27">
        <v>20</v>
      </c>
      <c r="AE14" s="29"/>
      <c r="AF14" s="29"/>
      <c r="AG14" s="29"/>
      <c r="AH14" s="28"/>
      <c r="AI14" s="28"/>
      <c r="AJ14" s="28"/>
      <c r="AK14" s="28"/>
      <c r="AL14" s="28"/>
      <c r="AM14" s="28"/>
      <c r="AN14" s="28"/>
      <c r="AO14" s="29"/>
      <c r="AP14" s="29"/>
      <c r="AQ14" s="29"/>
      <c r="AR14" s="29"/>
      <c r="AS14" s="31"/>
      <c r="AT14" s="67"/>
      <c r="AU14" s="67"/>
      <c r="AV14" s="67"/>
      <c r="AW14" s="67"/>
      <c r="AX14" s="67"/>
      <c r="AY14" s="67"/>
      <c r="AZ14" s="67"/>
      <c r="BA14" s="67"/>
      <c r="BB14" s="67"/>
      <c r="BC14" s="67"/>
      <c r="BD14" s="68"/>
    </row>
    <row r="15" spans="1:56" ht="14.4" customHeight="1">
      <c r="A15" s="70">
        <f>IF(B15="","",COUNTA($B$8:B15))</f>
        <v>8</v>
      </c>
      <c r="B15" s="19" t="s">
        <v>201</v>
      </c>
      <c r="C15" s="20"/>
      <c r="D15" s="20"/>
      <c r="E15" s="20"/>
      <c r="F15" s="20"/>
      <c r="G15" s="20"/>
      <c r="H15" s="39" t="s">
        <v>418</v>
      </c>
      <c r="I15" s="31" t="s">
        <v>202</v>
      </c>
      <c r="J15" s="23"/>
      <c r="K15" s="23"/>
      <c r="L15" s="23"/>
      <c r="M15" s="23"/>
      <c r="N15" s="23"/>
      <c r="O15" s="23"/>
      <c r="P15" s="23"/>
      <c r="Q15" s="24"/>
      <c r="R15" s="19" t="s">
        <v>201</v>
      </c>
      <c r="S15" s="23"/>
      <c r="T15" s="23"/>
      <c r="U15" s="23"/>
      <c r="V15" s="23"/>
      <c r="W15" s="23"/>
      <c r="X15" s="24"/>
      <c r="Y15" s="440" t="s">
        <v>150</v>
      </c>
      <c r="Z15" s="441"/>
      <c r="AA15" s="442" t="s">
        <v>151</v>
      </c>
      <c r="AB15" s="443"/>
      <c r="AC15" s="444"/>
      <c r="AD15" s="27">
        <v>30</v>
      </c>
      <c r="AE15" s="29"/>
      <c r="AF15" s="29"/>
      <c r="AG15" s="29"/>
      <c r="AH15" s="28"/>
      <c r="AI15" s="28"/>
      <c r="AJ15" s="28"/>
      <c r="AK15" s="28"/>
      <c r="AL15" s="28"/>
      <c r="AM15" s="28"/>
      <c r="AN15" s="28"/>
      <c r="AO15" s="29"/>
      <c r="AP15" s="29"/>
      <c r="AQ15" s="29"/>
      <c r="AR15" s="29"/>
      <c r="AS15" s="31"/>
      <c r="AT15" s="67"/>
      <c r="AU15" s="67"/>
      <c r="AV15" s="67"/>
      <c r="AW15" s="67"/>
      <c r="AX15" s="67"/>
      <c r="AY15" s="67"/>
      <c r="AZ15" s="67"/>
      <c r="BA15" s="67"/>
      <c r="BB15" s="67"/>
      <c r="BC15" s="67"/>
      <c r="BD15" s="68"/>
    </row>
    <row r="16" spans="1:56" ht="14.4" customHeight="1">
      <c r="A16" s="70">
        <f>IF(B16="","",COUNTA($B$8:B16))</f>
        <v>9</v>
      </c>
      <c r="B16" s="19" t="s">
        <v>203</v>
      </c>
      <c r="C16" s="20"/>
      <c r="D16" s="20"/>
      <c r="E16" s="20"/>
      <c r="F16" s="20"/>
      <c r="G16" s="20"/>
      <c r="H16" s="39" t="s">
        <v>418</v>
      </c>
      <c r="I16" s="31" t="s">
        <v>204</v>
      </c>
      <c r="J16" s="23"/>
      <c r="K16" s="23"/>
      <c r="L16" s="23"/>
      <c r="M16" s="23"/>
      <c r="N16" s="23"/>
      <c r="O16" s="38"/>
      <c r="P16" s="23"/>
      <c r="Q16" s="24"/>
      <c r="R16" s="19" t="s">
        <v>203</v>
      </c>
      <c r="S16" s="23"/>
      <c r="T16" s="23"/>
      <c r="U16" s="23"/>
      <c r="V16" s="23"/>
      <c r="W16" s="23"/>
      <c r="X16" s="24"/>
      <c r="Y16" s="440" t="s">
        <v>155</v>
      </c>
      <c r="Z16" s="441"/>
      <c r="AA16" s="442" t="s">
        <v>156</v>
      </c>
      <c r="AB16" s="443"/>
      <c r="AC16" s="444"/>
      <c r="AD16" s="27">
        <v>5</v>
      </c>
      <c r="AE16" s="29">
        <v>2</v>
      </c>
      <c r="AF16" s="29"/>
      <c r="AG16" s="29"/>
      <c r="AH16" s="28"/>
      <c r="AI16" s="28"/>
      <c r="AJ16" s="28"/>
      <c r="AK16" s="28"/>
      <c r="AL16" s="28"/>
      <c r="AM16" s="28"/>
      <c r="AN16" s="28"/>
      <c r="AO16" s="29"/>
      <c r="AP16" s="29"/>
      <c r="AQ16" s="29"/>
      <c r="AR16" s="29"/>
      <c r="AS16" s="31"/>
      <c r="AT16" s="67"/>
      <c r="AU16" s="67"/>
      <c r="AV16" s="67"/>
      <c r="AW16" s="67"/>
      <c r="AX16" s="67"/>
      <c r="AY16" s="67"/>
      <c r="AZ16" s="67"/>
      <c r="BA16" s="67"/>
      <c r="BB16" s="67"/>
      <c r="BC16" s="67"/>
      <c r="BD16" s="68"/>
    </row>
    <row r="17" spans="1:56" ht="14.4" customHeight="1">
      <c r="A17" s="70">
        <f>IF(B17="","",COUNTA($B$8:B17))</f>
        <v>10</v>
      </c>
      <c r="B17" s="25" t="s">
        <v>205</v>
      </c>
      <c r="C17" s="26"/>
      <c r="D17" s="26"/>
      <c r="E17" s="26"/>
      <c r="F17" s="26"/>
      <c r="G17" s="26"/>
      <c r="H17" s="39" t="s">
        <v>418</v>
      </c>
      <c r="I17" s="31" t="s">
        <v>206</v>
      </c>
      <c r="J17" s="23"/>
      <c r="K17" s="23"/>
      <c r="L17" s="23"/>
      <c r="M17" s="23"/>
      <c r="N17" s="23"/>
      <c r="O17" s="26"/>
      <c r="P17" s="23"/>
      <c r="Q17" s="24"/>
      <c r="R17" s="25" t="s">
        <v>205</v>
      </c>
      <c r="S17" s="23"/>
      <c r="T17" s="23"/>
      <c r="U17" s="23"/>
      <c r="V17" s="23"/>
      <c r="W17" s="23"/>
      <c r="X17" s="24"/>
      <c r="Y17" s="440" t="s">
        <v>155</v>
      </c>
      <c r="Z17" s="441"/>
      <c r="AA17" s="442" t="s">
        <v>156</v>
      </c>
      <c r="AB17" s="443"/>
      <c r="AC17" s="444"/>
      <c r="AD17" s="27">
        <v>4</v>
      </c>
      <c r="AE17" s="29"/>
      <c r="AF17" s="29"/>
      <c r="AG17" s="29"/>
      <c r="AH17" s="28"/>
      <c r="AI17" s="28"/>
      <c r="AJ17" s="28"/>
      <c r="AK17" s="28"/>
      <c r="AL17" s="28"/>
      <c r="AM17" s="28"/>
      <c r="AN17" s="28"/>
      <c r="AO17" s="29"/>
      <c r="AP17" s="29"/>
      <c r="AQ17" s="29"/>
      <c r="AR17" s="29"/>
      <c r="AS17" s="31"/>
      <c r="AT17" s="67"/>
      <c r="AU17" s="67"/>
      <c r="AV17" s="67"/>
      <c r="AW17" s="67"/>
      <c r="AX17" s="67"/>
      <c r="AY17" s="67"/>
      <c r="AZ17" s="67"/>
      <c r="BA17" s="67"/>
      <c r="BB17" s="67"/>
      <c r="BC17" s="67"/>
      <c r="BD17" s="68"/>
    </row>
    <row r="18" spans="1:56" ht="14.4" customHeight="1">
      <c r="A18" s="70">
        <f>IF(B18="","",COUNTA($B$8:B18))</f>
        <v>11</v>
      </c>
      <c r="B18" s="25" t="s">
        <v>208</v>
      </c>
      <c r="C18" s="26"/>
      <c r="D18" s="26"/>
      <c r="E18" s="26"/>
      <c r="F18" s="26"/>
      <c r="G18" s="26"/>
      <c r="H18" s="39" t="s">
        <v>418</v>
      </c>
      <c r="I18" s="31" t="s">
        <v>209</v>
      </c>
      <c r="J18" s="23"/>
      <c r="K18" s="23"/>
      <c r="L18" s="23"/>
      <c r="M18" s="23"/>
      <c r="N18" s="23"/>
      <c r="O18" s="26"/>
      <c r="P18" s="23"/>
      <c r="Q18" s="24"/>
      <c r="R18" s="25" t="s">
        <v>208</v>
      </c>
      <c r="S18" s="23"/>
      <c r="T18" s="23"/>
      <c r="U18" s="23"/>
      <c r="V18" s="23"/>
      <c r="W18" s="23"/>
      <c r="X18" s="24"/>
      <c r="Y18" s="440" t="s">
        <v>155</v>
      </c>
      <c r="Z18" s="441"/>
      <c r="AA18" s="442" t="s">
        <v>156</v>
      </c>
      <c r="AB18" s="443"/>
      <c r="AC18" s="444"/>
      <c r="AD18" s="27">
        <v>5</v>
      </c>
      <c r="AE18" s="29"/>
      <c r="AF18" s="29"/>
      <c r="AG18" s="29"/>
      <c r="AH18" s="28"/>
      <c r="AI18" s="28"/>
      <c r="AJ18" s="28"/>
      <c r="AK18" s="28"/>
      <c r="AL18" s="28"/>
      <c r="AM18" s="28"/>
      <c r="AN18" s="28"/>
      <c r="AO18" s="29"/>
      <c r="AP18" s="29"/>
      <c r="AQ18" s="29"/>
      <c r="AR18" s="29"/>
      <c r="AS18" s="31"/>
      <c r="AT18" s="67"/>
      <c r="AU18" s="67"/>
      <c r="AV18" s="67"/>
      <c r="AW18" s="67"/>
      <c r="AX18" s="67"/>
      <c r="AY18" s="67"/>
      <c r="AZ18" s="67"/>
      <c r="BA18" s="67"/>
      <c r="BB18" s="67"/>
      <c r="BC18" s="67"/>
      <c r="BD18" s="68"/>
    </row>
    <row r="19" spans="1:56" ht="14.4" customHeight="1">
      <c r="A19" s="70">
        <f>IF(B19="","",COUNTA($B$8:B19))</f>
        <v>12</v>
      </c>
      <c r="B19" s="19" t="s">
        <v>228</v>
      </c>
      <c r="C19" s="20"/>
      <c r="D19" s="20"/>
      <c r="E19" s="20"/>
      <c r="F19" s="20"/>
      <c r="G19" s="20"/>
      <c r="H19" s="24"/>
      <c r="I19" s="31" t="s">
        <v>229</v>
      </c>
      <c r="J19" s="23"/>
      <c r="K19" s="23"/>
      <c r="L19" s="23"/>
      <c r="M19" s="23"/>
      <c r="N19" s="23"/>
      <c r="O19" s="38"/>
      <c r="P19" s="23"/>
      <c r="Q19" s="24"/>
      <c r="R19" s="19" t="s">
        <v>228</v>
      </c>
      <c r="S19" s="23"/>
      <c r="T19" s="23"/>
      <c r="U19" s="23"/>
      <c r="V19" s="23"/>
      <c r="W19" s="23"/>
      <c r="X19" s="24"/>
      <c r="Y19" s="440" t="s">
        <v>150</v>
      </c>
      <c r="Z19" s="441"/>
      <c r="AA19" s="442" t="s">
        <v>151</v>
      </c>
      <c r="AB19" s="443"/>
      <c r="AC19" s="444"/>
      <c r="AD19" s="27">
        <v>1000</v>
      </c>
      <c r="AE19" s="29"/>
      <c r="AF19" s="29"/>
      <c r="AG19" s="29"/>
      <c r="AH19" s="28"/>
      <c r="AI19" s="28"/>
      <c r="AJ19" s="28"/>
      <c r="AK19" s="28"/>
      <c r="AL19" s="28"/>
      <c r="AM19" s="28"/>
      <c r="AN19" s="28"/>
      <c r="AO19" s="29"/>
      <c r="AP19" s="29"/>
      <c r="AQ19" s="29"/>
      <c r="AR19" s="29"/>
      <c r="AS19" s="31"/>
      <c r="AT19" s="67"/>
      <c r="AU19" s="67"/>
      <c r="AV19" s="67"/>
      <c r="AW19" s="67"/>
      <c r="AX19" s="67"/>
      <c r="AY19" s="67"/>
      <c r="AZ19" s="67"/>
      <c r="BA19" s="67"/>
      <c r="BB19" s="67"/>
      <c r="BC19" s="67"/>
      <c r="BD19" s="68"/>
    </row>
    <row r="20" spans="1:56" ht="14.4" customHeight="1">
      <c r="A20" s="70">
        <f>IF(B20="","",COUNTA($B$8:B20))</f>
        <v>13</v>
      </c>
      <c r="B20" s="19" t="s">
        <v>1421</v>
      </c>
      <c r="C20" s="20"/>
      <c r="D20" s="20"/>
      <c r="E20" s="20"/>
      <c r="F20" s="20"/>
      <c r="G20" s="20"/>
      <c r="H20" s="24"/>
      <c r="I20" s="31" t="s">
        <v>1422</v>
      </c>
      <c r="J20" s="23"/>
      <c r="K20" s="23"/>
      <c r="L20" s="23"/>
      <c r="M20" s="23"/>
      <c r="N20" s="23"/>
      <c r="O20" s="38"/>
      <c r="P20" s="23"/>
      <c r="Q20" s="24"/>
      <c r="R20" s="19" t="s">
        <v>1421</v>
      </c>
      <c r="S20" s="23"/>
      <c r="T20" s="23"/>
      <c r="U20" s="23"/>
      <c r="V20" s="23"/>
      <c r="W20" s="23"/>
      <c r="X20" s="24"/>
      <c r="Y20" s="440" t="s">
        <v>150</v>
      </c>
      <c r="Z20" s="441"/>
      <c r="AA20" s="442" t="s">
        <v>151</v>
      </c>
      <c r="AB20" s="443"/>
      <c r="AC20" s="444"/>
      <c r="AD20" s="27">
        <v>15</v>
      </c>
      <c r="AE20" s="29"/>
      <c r="AF20" s="29"/>
      <c r="AG20" s="29"/>
      <c r="AH20" s="28"/>
      <c r="AI20" s="28"/>
      <c r="AJ20" s="28"/>
      <c r="AK20" s="28"/>
      <c r="AL20" s="28"/>
      <c r="AM20" s="28"/>
      <c r="AN20" s="28"/>
      <c r="AO20" s="29"/>
      <c r="AP20" s="29"/>
      <c r="AQ20" s="29"/>
      <c r="AR20" s="29"/>
      <c r="AS20" s="31"/>
      <c r="AT20" s="67"/>
      <c r="AU20" s="67"/>
      <c r="AV20" s="67"/>
      <c r="AW20" s="67"/>
      <c r="AX20" s="67"/>
      <c r="AY20" s="67"/>
      <c r="AZ20" s="67"/>
      <c r="BA20" s="67"/>
      <c r="BB20" s="67"/>
      <c r="BC20" s="67"/>
      <c r="BD20" s="68"/>
    </row>
    <row r="21" spans="1:56" ht="14.4" customHeight="1">
      <c r="A21" s="70">
        <f>IF(B21="","",COUNTA($B$8:B21))</f>
        <v>14</v>
      </c>
      <c r="B21" s="19" t="s">
        <v>392</v>
      </c>
      <c r="C21" s="20"/>
      <c r="D21" s="20"/>
      <c r="E21" s="20"/>
      <c r="F21" s="20"/>
      <c r="G21" s="20"/>
      <c r="H21" s="24"/>
      <c r="I21" s="31" t="s">
        <v>393</v>
      </c>
      <c r="J21" s="23"/>
      <c r="K21" s="23"/>
      <c r="L21" s="23"/>
      <c r="M21" s="23"/>
      <c r="N21" s="23"/>
      <c r="O21" s="38"/>
      <c r="P21" s="23"/>
      <c r="Q21" s="24"/>
      <c r="R21" s="22" t="s">
        <v>392</v>
      </c>
      <c r="S21" s="23"/>
      <c r="T21" s="23"/>
      <c r="U21" s="23"/>
      <c r="V21" s="23"/>
      <c r="W21" s="23"/>
      <c r="X21" s="24"/>
      <c r="Y21" s="440" t="s">
        <v>169</v>
      </c>
      <c r="Z21" s="441"/>
      <c r="AA21" s="442" t="s">
        <v>170</v>
      </c>
      <c r="AB21" s="443"/>
      <c r="AC21" s="444"/>
      <c r="AD21" s="51"/>
      <c r="AE21" s="29"/>
      <c r="AF21" s="29"/>
      <c r="AG21" s="29"/>
      <c r="AH21" s="28"/>
      <c r="AI21" s="28"/>
      <c r="AJ21" s="28"/>
      <c r="AK21" s="28"/>
      <c r="AL21" s="28"/>
      <c r="AM21" s="28"/>
      <c r="AN21" s="28"/>
      <c r="AO21" s="29"/>
      <c r="AP21" s="29"/>
      <c r="AQ21" s="29"/>
      <c r="AR21" s="29"/>
      <c r="AS21" s="31"/>
      <c r="AT21" s="67"/>
      <c r="AU21" s="67"/>
      <c r="AV21" s="67"/>
      <c r="AW21" s="67"/>
      <c r="AX21" s="67"/>
      <c r="AY21" s="67"/>
      <c r="AZ21" s="67"/>
      <c r="BA21" s="67"/>
      <c r="BB21" s="67"/>
      <c r="BC21" s="67"/>
      <c r="BD21" s="68"/>
    </row>
    <row r="22" spans="1:56" ht="14.4" customHeight="1">
      <c r="A22" s="70">
        <f>IF(B22="","",COUNTA($B$8:B22))</f>
        <v>15</v>
      </c>
      <c r="B22" s="19" t="s">
        <v>249</v>
      </c>
      <c r="C22" s="20"/>
      <c r="D22" s="20"/>
      <c r="E22" s="20"/>
      <c r="F22" s="20"/>
      <c r="G22" s="20"/>
      <c r="H22" s="24"/>
      <c r="I22" s="31" t="s">
        <v>250</v>
      </c>
      <c r="J22" s="23"/>
      <c r="K22" s="23"/>
      <c r="L22" s="23"/>
      <c r="M22" s="23"/>
      <c r="N22" s="23"/>
      <c r="O22" s="23"/>
      <c r="P22" s="23"/>
      <c r="Q22" s="37"/>
      <c r="R22" s="19" t="s">
        <v>249</v>
      </c>
      <c r="S22" s="23"/>
      <c r="T22" s="23"/>
      <c r="U22" s="23"/>
      <c r="V22" s="23"/>
      <c r="W22" s="23"/>
      <c r="X22" s="24"/>
      <c r="Y22" s="440" t="s">
        <v>150</v>
      </c>
      <c r="Z22" s="441"/>
      <c r="AA22" s="442" t="s">
        <v>151</v>
      </c>
      <c r="AB22" s="443"/>
      <c r="AC22" s="444"/>
      <c r="AD22" s="27">
        <v>4</v>
      </c>
      <c r="AE22" s="29"/>
      <c r="AF22" s="29"/>
      <c r="AG22" s="29"/>
      <c r="AH22" s="28"/>
      <c r="AI22" s="28"/>
      <c r="AJ22" s="28"/>
      <c r="AK22" s="28"/>
      <c r="AL22" s="28"/>
      <c r="AM22" s="28"/>
      <c r="AN22" s="28"/>
      <c r="AO22" s="29"/>
      <c r="AP22" s="29"/>
      <c r="AQ22" s="29"/>
      <c r="AR22" s="29"/>
      <c r="AS22" s="31"/>
      <c r="AT22" s="67"/>
      <c r="AU22" s="67"/>
      <c r="AV22" s="67"/>
      <c r="AW22" s="67"/>
      <c r="AX22" s="67"/>
      <c r="AY22" s="67"/>
      <c r="AZ22" s="67"/>
      <c r="BA22" s="67"/>
      <c r="BB22" s="67"/>
      <c r="BC22" s="67"/>
      <c r="BD22" s="68"/>
    </row>
    <row r="23" spans="1:56" ht="14.4" customHeight="1">
      <c r="A23" s="70">
        <f>IF(B23="","",COUNTA($B$8:B23))</f>
        <v>16</v>
      </c>
      <c r="B23" s="19" t="s">
        <v>251</v>
      </c>
      <c r="C23" s="20"/>
      <c r="D23" s="20"/>
      <c r="E23" s="20"/>
      <c r="F23" s="20"/>
      <c r="G23" s="20"/>
      <c r="H23" s="24"/>
      <c r="I23" s="31" t="s">
        <v>252</v>
      </c>
      <c r="J23" s="23"/>
      <c r="K23" s="23"/>
      <c r="L23" s="23"/>
      <c r="M23" s="23"/>
      <c r="N23" s="23"/>
      <c r="O23" s="23"/>
      <c r="P23" s="23"/>
      <c r="Q23" s="37"/>
      <c r="R23" s="19" t="s">
        <v>251</v>
      </c>
      <c r="S23" s="23"/>
      <c r="T23" s="23"/>
      <c r="U23" s="23"/>
      <c r="V23" s="23"/>
      <c r="W23" s="23"/>
      <c r="X23" s="24"/>
      <c r="Y23" s="440" t="s">
        <v>150</v>
      </c>
      <c r="Z23" s="441"/>
      <c r="AA23" s="442" t="s">
        <v>151</v>
      </c>
      <c r="AB23" s="443"/>
      <c r="AC23" s="444"/>
      <c r="AD23" s="27">
        <v>4</v>
      </c>
      <c r="AE23" s="29"/>
      <c r="AF23" s="29"/>
      <c r="AG23" s="29"/>
      <c r="AH23" s="28"/>
      <c r="AI23" s="28"/>
      <c r="AJ23" s="28"/>
      <c r="AK23" s="28"/>
      <c r="AL23" s="28"/>
      <c r="AM23" s="28"/>
      <c r="AN23" s="28"/>
      <c r="AO23" s="29"/>
      <c r="AP23" s="29"/>
      <c r="AQ23" s="29"/>
      <c r="AR23" s="29"/>
      <c r="AS23" s="31"/>
      <c r="AT23" s="67"/>
      <c r="AU23" s="67"/>
      <c r="AV23" s="67"/>
      <c r="AW23" s="67"/>
      <c r="AX23" s="67"/>
      <c r="AY23" s="67"/>
      <c r="AZ23" s="67"/>
      <c r="BA23" s="67"/>
      <c r="BB23" s="67"/>
      <c r="BC23" s="67"/>
      <c r="BD23" s="68"/>
    </row>
    <row r="24" spans="1:56" ht="14.4" customHeight="1">
      <c r="A24" s="70">
        <f>IF(B24="","",COUNTA($B$8:B24))</f>
        <v>17</v>
      </c>
      <c r="B24" s="19" t="s">
        <v>253</v>
      </c>
      <c r="C24" s="20"/>
      <c r="D24" s="20"/>
      <c r="E24" s="20"/>
      <c r="F24" s="20"/>
      <c r="G24" s="20"/>
      <c r="H24" s="24"/>
      <c r="I24" s="31" t="s">
        <v>254</v>
      </c>
      <c r="J24" s="23"/>
      <c r="K24" s="23"/>
      <c r="L24" s="23"/>
      <c r="M24" s="23"/>
      <c r="N24" s="23"/>
      <c r="O24" s="23"/>
      <c r="P24" s="23"/>
      <c r="Q24" s="37"/>
      <c r="R24" s="19" t="s">
        <v>253</v>
      </c>
      <c r="S24" s="23"/>
      <c r="T24" s="23"/>
      <c r="U24" s="23"/>
      <c r="V24" s="23"/>
      <c r="W24" s="23"/>
      <c r="X24" s="24"/>
      <c r="Y24" s="440" t="s">
        <v>150</v>
      </c>
      <c r="Z24" s="441"/>
      <c r="AA24" s="442" t="s">
        <v>151</v>
      </c>
      <c r="AB24" s="443"/>
      <c r="AC24" s="444"/>
      <c r="AD24" s="27">
        <v>10</v>
      </c>
      <c r="AE24" s="29"/>
      <c r="AF24" s="29"/>
      <c r="AG24" s="29"/>
      <c r="AH24" s="28"/>
      <c r="AI24" s="28"/>
      <c r="AJ24" s="28"/>
      <c r="AK24" s="28"/>
      <c r="AL24" s="28"/>
      <c r="AM24" s="28"/>
      <c r="AN24" s="28"/>
      <c r="AO24" s="29"/>
      <c r="AP24" s="29"/>
      <c r="AQ24" s="29"/>
      <c r="AR24" s="29"/>
      <c r="AS24" s="31"/>
      <c r="AT24" s="67"/>
      <c r="AU24" s="67"/>
      <c r="AV24" s="67"/>
      <c r="AW24" s="67"/>
      <c r="AX24" s="67"/>
      <c r="AY24" s="67"/>
      <c r="AZ24" s="67"/>
      <c r="BA24" s="67"/>
      <c r="BB24" s="67"/>
      <c r="BC24" s="67"/>
      <c r="BD24" s="68"/>
    </row>
    <row r="25" spans="1:56" ht="14.4" customHeight="1">
      <c r="A25" s="70">
        <f>IF(B25="","",COUNTA($B$8:B25))</f>
        <v>18</v>
      </c>
      <c r="B25" s="19" t="s">
        <v>255</v>
      </c>
      <c r="C25" s="20"/>
      <c r="D25" s="20"/>
      <c r="E25" s="20"/>
      <c r="F25" s="20"/>
      <c r="G25" s="20"/>
      <c r="H25" s="24"/>
      <c r="I25" s="31" t="s">
        <v>256</v>
      </c>
      <c r="J25" s="23"/>
      <c r="K25" s="23"/>
      <c r="L25" s="23"/>
      <c r="M25" s="23"/>
      <c r="N25" s="23"/>
      <c r="O25" s="23"/>
      <c r="P25" s="23"/>
      <c r="Q25" s="37"/>
      <c r="R25" s="19" t="s">
        <v>255</v>
      </c>
      <c r="S25" s="23"/>
      <c r="T25" s="23"/>
      <c r="U25" s="23"/>
      <c r="V25" s="23"/>
      <c r="W25" s="23"/>
      <c r="X25" s="24"/>
      <c r="Y25" s="440" t="s">
        <v>150</v>
      </c>
      <c r="Z25" s="441"/>
      <c r="AA25" s="442" t="s">
        <v>151</v>
      </c>
      <c r="AB25" s="443"/>
      <c r="AC25" s="444"/>
      <c r="AD25" s="27">
        <v>10</v>
      </c>
      <c r="AE25" s="29"/>
      <c r="AF25" s="29"/>
      <c r="AG25" s="29"/>
      <c r="AH25" s="40"/>
      <c r="AI25" s="40"/>
      <c r="AJ25" s="28"/>
      <c r="AK25" s="28"/>
      <c r="AL25" s="28"/>
      <c r="AM25" s="28"/>
      <c r="AN25" s="28"/>
      <c r="AO25" s="29"/>
      <c r="AP25" s="29"/>
      <c r="AQ25" s="29"/>
      <c r="AR25" s="29"/>
      <c r="AS25" s="31"/>
      <c r="AT25" s="67"/>
      <c r="AU25" s="32"/>
      <c r="AV25" s="32"/>
      <c r="AW25" s="32"/>
      <c r="AX25" s="32"/>
      <c r="AY25" s="67"/>
      <c r="AZ25" s="67"/>
      <c r="BA25" s="67"/>
      <c r="BB25" s="67"/>
      <c r="BC25" s="67"/>
      <c r="BD25" s="68"/>
    </row>
    <row r="26" spans="1:56" ht="14.4" customHeight="1">
      <c r="A26" s="70">
        <f>IF(B26="","",COUNTA($B$8:B26))</f>
        <v>19</v>
      </c>
      <c r="B26" s="19" t="s">
        <v>257</v>
      </c>
      <c r="C26" s="20"/>
      <c r="D26" s="20"/>
      <c r="E26" s="20"/>
      <c r="F26" s="20"/>
      <c r="G26" s="20"/>
      <c r="H26" s="24"/>
      <c r="I26" s="31" t="s">
        <v>258</v>
      </c>
      <c r="J26" s="23"/>
      <c r="K26" s="23"/>
      <c r="L26" s="23"/>
      <c r="M26" s="23"/>
      <c r="N26" s="23"/>
      <c r="O26" s="23"/>
      <c r="P26" s="23"/>
      <c r="Q26" s="37"/>
      <c r="R26" s="19" t="s">
        <v>257</v>
      </c>
      <c r="S26" s="23"/>
      <c r="T26" s="23"/>
      <c r="U26" s="23"/>
      <c r="V26" s="23"/>
      <c r="W26" s="23"/>
      <c r="X26" s="24"/>
      <c r="Y26" s="440" t="s">
        <v>169</v>
      </c>
      <c r="Z26" s="441"/>
      <c r="AA26" s="442" t="s">
        <v>243</v>
      </c>
      <c r="AB26" s="443"/>
      <c r="AC26" s="444"/>
      <c r="AD26" s="51"/>
      <c r="AE26" s="29"/>
      <c r="AF26" s="29"/>
      <c r="AG26" s="29"/>
      <c r="AH26" s="28"/>
      <c r="AI26" s="28"/>
      <c r="AJ26" s="28"/>
      <c r="AK26" s="28"/>
      <c r="AL26" s="40"/>
      <c r="AM26" s="40"/>
      <c r="AN26" s="40"/>
      <c r="AO26" s="41"/>
      <c r="AP26" s="41"/>
      <c r="AQ26" s="41"/>
      <c r="AR26" s="41"/>
      <c r="AS26" s="42"/>
      <c r="AT26" s="43"/>
      <c r="AU26" s="32"/>
      <c r="AV26" s="32"/>
      <c r="AW26" s="32"/>
      <c r="AX26" s="32"/>
      <c r="AY26" s="32"/>
      <c r="AZ26" s="32"/>
      <c r="BA26" s="32"/>
      <c r="BB26" s="32"/>
      <c r="BC26" s="32"/>
      <c r="BD26" s="33"/>
    </row>
    <row r="27" spans="1:56" ht="14.4" customHeight="1">
      <c r="A27" s="70">
        <f>IF(B27="","",COUNTA($B$8:B27))</f>
        <v>20</v>
      </c>
      <c r="B27" s="19" t="s">
        <v>259</v>
      </c>
      <c r="C27" s="20"/>
      <c r="D27" s="20"/>
      <c r="E27" s="20"/>
      <c r="F27" s="20"/>
      <c r="G27" s="20"/>
      <c r="H27" s="24"/>
      <c r="I27" s="31" t="s">
        <v>260</v>
      </c>
      <c r="J27" s="23"/>
      <c r="K27" s="23"/>
      <c r="L27" s="23"/>
      <c r="M27" s="23"/>
      <c r="N27" s="23"/>
      <c r="O27" s="23"/>
      <c r="P27" s="23"/>
      <c r="Q27" s="37"/>
      <c r="R27" s="19" t="s">
        <v>259</v>
      </c>
      <c r="S27" s="23"/>
      <c r="T27" s="23"/>
      <c r="U27" s="23"/>
      <c r="V27" s="23"/>
      <c r="W27" s="23"/>
      <c r="X27" s="24"/>
      <c r="Y27" s="440" t="s">
        <v>150</v>
      </c>
      <c r="Z27" s="441"/>
      <c r="AA27" s="442" t="s">
        <v>151</v>
      </c>
      <c r="AB27" s="443"/>
      <c r="AC27" s="444"/>
      <c r="AD27" s="27">
        <v>10</v>
      </c>
      <c r="AE27" s="29"/>
      <c r="AF27" s="29"/>
      <c r="AG27" s="29"/>
      <c r="AH27" s="40"/>
      <c r="AI27" s="40"/>
      <c r="AJ27" s="40"/>
      <c r="AK27" s="40"/>
      <c r="AL27" s="40"/>
      <c r="AM27" s="40"/>
      <c r="AN27" s="40"/>
      <c r="AO27" s="41"/>
      <c r="AP27" s="41"/>
      <c r="AQ27" s="41"/>
      <c r="AR27" s="41"/>
      <c r="AS27" s="42"/>
      <c r="AT27" s="43"/>
      <c r="AU27" s="67"/>
      <c r="AV27" s="67"/>
      <c r="AW27" s="67"/>
      <c r="AX27" s="67"/>
      <c r="AY27" s="32"/>
      <c r="AZ27" s="32"/>
      <c r="BA27" s="32"/>
      <c r="BB27" s="32"/>
      <c r="BC27" s="32"/>
      <c r="BD27" s="33"/>
    </row>
    <row r="28" spans="1:56" ht="14.4" customHeight="1">
      <c r="A28" s="70">
        <f>IF(B28="","",COUNTA($B$8:B28))</f>
        <v>21</v>
      </c>
      <c r="B28" s="19" t="s">
        <v>261</v>
      </c>
      <c r="C28" s="20"/>
      <c r="D28" s="20"/>
      <c r="E28" s="20"/>
      <c r="F28" s="20"/>
      <c r="G28" s="20"/>
      <c r="H28" s="24"/>
      <c r="I28" s="31" t="s">
        <v>262</v>
      </c>
      <c r="J28" s="23"/>
      <c r="K28" s="23"/>
      <c r="L28" s="23"/>
      <c r="M28" s="23"/>
      <c r="N28" s="23"/>
      <c r="O28" s="23"/>
      <c r="P28" s="23"/>
      <c r="Q28" s="37"/>
      <c r="R28" s="19" t="s">
        <v>261</v>
      </c>
      <c r="S28" s="23"/>
      <c r="T28" s="23"/>
      <c r="U28" s="23"/>
      <c r="V28" s="23"/>
      <c r="W28" s="23"/>
      <c r="X28" s="24"/>
      <c r="Y28" s="440" t="s">
        <v>150</v>
      </c>
      <c r="Z28" s="441"/>
      <c r="AA28" s="442" t="s">
        <v>151</v>
      </c>
      <c r="AB28" s="443"/>
      <c r="AC28" s="444"/>
      <c r="AD28" s="51">
        <v>10</v>
      </c>
      <c r="AE28" s="29"/>
      <c r="AF28" s="29"/>
      <c r="AG28" s="29"/>
      <c r="AH28" s="40"/>
      <c r="AI28" s="40"/>
      <c r="AJ28" s="40"/>
      <c r="AK28" s="40"/>
      <c r="AL28" s="40"/>
      <c r="AM28" s="40"/>
      <c r="AN28" s="40"/>
      <c r="AO28" s="41"/>
      <c r="AP28" s="41"/>
      <c r="AQ28" s="41"/>
      <c r="AR28" s="41"/>
      <c r="AS28" s="42"/>
      <c r="AT28" s="43"/>
      <c r="AU28" s="67"/>
      <c r="AV28" s="67"/>
      <c r="AW28" s="67"/>
      <c r="AX28" s="67"/>
      <c r="AY28" s="67"/>
      <c r="AZ28" s="67"/>
      <c r="BA28" s="67"/>
      <c r="BB28" s="67"/>
      <c r="BC28" s="67"/>
      <c r="BD28" s="68"/>
    </row>
    <row r="29" spans="1:56" ht="14.4" customHeight="1">
      <c r="A29" s="70">
        <f>IF(B29="","",COUNTA($B$8:B29))</f>
        <v>22</v>
      </c>
      <c r="B29" s="19" t="s">
        <v>263</v>
      </c>
      <c r="C29" s="20"/>
      <c r="D29" s="20"/>
      <c r="E29" s="20"/>
      <c r="F29" s="20"/>
      <c r="G29" s="20"/>
      <c r="H29" s="24"/>
      <c r="I29" s="31" t="s">
        <v>264</v>
      </c>
      <c r="J29" s="23"/>
      <c r="K29" s="23"/>
      <c r="L29" s="23"/>
      <c r="M29" s="23"/>
      <c r="N29" s="23"/>
      <c r="O29" s="23"/>
      <c r="P29" s="23"/>
      <c r="Q29" s="37"/>
      <c r="R29" s="22" t="s">
        <v>263</v>
      </c>
      <c r="S29" s="23"/>
      <c r="T29" s="23"/>
      <c r="U29" s="23"/>
      <c r="V29" s="23"/>
      <c r="W29" s="23"/>
      <c r="X29" s="24"/>
      <c r="Y29" s="440" t="s">
        <v>169</v>
      </c>
      <c r="Z29" s="441"/>
      <c r="AA29" s="442" t="s">
        <v>243</v>
      </c>
      <c r="AB29" s="443"/>
      <c r="AC29" s="444"/>
      <c r="AD29" s="51"/>
      <c r="AE29" s="29"/>
      <c r="AF29" s="29"/>
      <c r="AG29" s="29"/>
      <c r="AH29" s="28"/>
      <c r="AI29" s="28"/>
      <c r="AJ29" s="28"/>
      <c r="AK29" s="28"/>
      <c r="AL29" s="28"/>
      <c r="AM29" s="28"/>
      <c r="AN29" s="28"/>
      <c r="AO29" s="29"/>
      <c r="AP29" s="29"/>
      <c r="AQ29" s="29"/>
      <c r="AR29" s="29"/>
      <c r="AS29" s="31"/>
      <c r="AT29" s="67"/>
      <c r="AU29" s="67"/>
      <c r="AV29" s="67"/>
      <c r="AW29" s="67"/>
      <c r="AX29" s="67"/>
      <c r="AY29" s="67"/>
      <c r="AZ29" s="67"/>
      <c r="BA29" s="67"/>
      <c r="BB29" s="67"/>
      <c r="BC29" s="67"/>
      <c r="BD29" s="68"/>
    </row>
    <row r="30" spans="1:56" ht="14.4" customHeight="1">
      <c r="A30" s="70" t="str">
        <f>IF(B30="","",COUNTA($B$8:B30))</f>
        <v/>
      </c>
      <c r="B30" s="25"/>
      <c r="C30" s="26"/>
      <c r="D30" s="26"/>
      <c r="E30" s="26"/>
      <c r="F30" s="26"/>
      <c r="G30" s="26"/>
      <c r="H30" s="39"/>
      <c r="I30" s="31"/>
      <c r="J30" s="23"/>
      <c r="K30" s="23"/>
      <c r="L30" s="23"/>
      <c r="M30" s="23"/>
      <c r="N30" s="23"/>
      <c r="O30" s="23"/>
      <c r="P30" s="23"/>
      <c r="Q30" s="24"/>
      <c r="R30" s="22"/>
      <c r="S30" s="23"/>
      <c r="T30" s="23"/>
      <c r="U30" s="23"/>
      <c r="V30" s="23"/>
      <c r="W30" s="23"/>
      <c r="X30" s="24"/>
      <c r="Y30" s="440"/>
      <c r="Z30" s="441"/>
      <c r="AA30" s="442"/>
      <c r="AB30" s="443"/>
      <c r="AC30" s="444"/>
      <c r="AD30" s="27"/>
      <c r="AE30" s="29"/>
      <c r="AF30" s="29"/>
      <c r="AG30" s="29"/>
      <c r="AH30" s="28"/>
      <c r="AI30" s="28"/>
      <c r="AJ30" s="28"/>
      <c r="AK30" s="28"/>
      <c r="AL30" s="28"/>
      <c r="AM30" s="28"/>
      <c r="AN30" s="28"/>
      <c r="AO30" s="29"/>
      <c r="AP30" s="29"/>
      <c r="AQ30" s="29"/>
      <c r="AR30" s="29"/>
      <c r="AS30" s="31"/>
      <c r="AT30" s="67"/>
      <c r="AU30" s="67"/>
      <c r="AV30" s="67"/>
      <c r="AW30" s="67"/>
      <c r="AX30" s="67"/>
      <c r="AY30" s="67"/>
      <c r="AZ30" s="67"/>
      <c r="BA30" s="67"/>
      <c r="BB30" s="67"/>
      <c r="BC30" s="67"/>
      <c r="BD30" s="68"/>
    </row>
    <row r="31" spans="1:56" ht="14.4" customHeight="1">
      <c r="A31" s="70" t="str">
        <f>IF(B31="","",COUNTA($B$8:B31))</f>
        <v/>
      </c>
      <c r="B31" s="19"/>
      <c r="C31" s="20" t="s">
        <v>395</v>
      </c>
      <c r="D31" s="20"/>
      <c r="E31" s="20" t="s">
        <v>396</v>
      </c>
      <c r="F31" s="20"/>
      <c r="G31" s="20"/>
      <c r="H31" s="24"/>
      <c r="I31" s="31"/>
      <c r="J31" s="23"/>
      <c r="K31" s="23"/>
      <c r="L31" s="23"/>
      <c r="M31" s="23"/>
      <c r="N31" s="23"/>
      <c r="O31" s="23"/>
      <c r="P31" s="23"/>
      <c r="Q31" s="24"/>
      <c r="R31" s="22"/>
      <c r="S31" s="23"/>
      <c r="T31" s="23"/>
      <c r="U31" s="23"/>
      <c r="V31" s="23"/>
      <c r="W31" s="23"/>
      <c r="X31" s="24"/>
      <c r="Y31" s="440"/>
      <c r="Z31" s="441"/>
      <c r="AA31" s="442"/>
      <c r="AB31" s="443"/>
      <c r="AC31" s="444"/>
      <c r="AD31" s="27"/>
      <c r="AE31" s="29"/>
      <c r="AF31" s="29"/>
      <c r="AG31" s="29"/>
      <c r="AH31" s="28"/>
      <c r="AI31" s="28"/>
      <c r="AJ31" s="28"/>
      <c r="AK31" s="28"/>
      <c r="AL31" s="28"/>
      <c r="AM31" s="28"/>
      <c r="AN31" s="28"/>
      <c r="AO31" s="29"/>
      <c r="AP31" s="29"/>
      <c r="AQ31" s="29"/>
      <c r="AR31" s="29"/>
      <c r="AS31" s="31"/>
      <c r="AT31" s="67"/>
      <c r="AU31" s="67"/>
      <c r="AV31" s="67"/>
      <c r="AW31" s="67"/>
      <c r="AX31" s="67"/>
      <c r="AY31" s="67"/>
      <c r="AZ31" s="67"/>
      <c r="BA31" s="67"/>
      <c r="BB31" s="67"/>
      <c r="BC31" s="67"/>
      <c r="BD31" s="68"/>
    </row>
    <row r="32" spans="1:56" ht="14.4" customHeight="1">
      <c r="A32" s="70" t="str">
        <f>IF(B32="","",COUNTA($B$8:B32))</f>
        <v/>
      </c>
      <c r="B32" s="19"/>
      <c r="C32" s="20"/>
      <c r="D32" s="20"/>
      <c r="E32" s="20"/>
      <c r="F32" s="20"/>
      <c r="G32" s="20"/>
      <c r="H32" s="24"/>
      <c r="I32" s="31"/>
      <c r="J32" s="23"/>
      <c r="K32" s="23"/>
      <c r="L32" s="23"/>
      <c r="M32" s="23"/>
      <c r="N32" s="23"/>
      <c r="O32" s="23"/>
      <c r="P32" s="23"/>
      <c r="Q32" s="24"/>
      <c r="R32" s="22"/>
      <c r="S32" s="23"/>
      <c r="T32" s="23"/>
      <c r="U32" s="23"/>
      <c r="V32" s="23"/>
      <c r="W32" s="23"/>
      <c r="X32" s="24"/>
      <c r="Y32" s="440"/>
      <c r="Z32" s="441"/>
      <c r="AA32" s="442"/>
      <c r="AB32" s="443"/>
      <c r="AC32" s="444"/>
      <c r="AD32" s="69"/>
      <c r="AE32" s="29"/>
      <c r="AF32" s="29"/>
      <c r="AG32" s="29"/>
      <c r="AH32" s="28"/>
      <c r="AI32" s="28"/>
      <c r="AJ32" s="28"/>
      <c r="AK32" s="28"/>
      <c r="AL32" s="28"/>
      <c r="AM32" s="28"/>
      <c r="AN32" s="28"/>
      <c r="AO32" s="29"/>
      <c r="AP32" s="29"/>
      <c r="AQ32" s="29"/>
      <c r="AR32" s="29"/>
      <c r="AS32" s="31"/>
      <c r="AT32" s="67"/>
      <c r="AU32" s="67"/>
      <c r="AV32" s="67"/>
      <c r="AW32" s="67"/>
      <c r="AX32" s="67"/>
      <c r="AY32" s="67"/>
      <c r="AZ32" s="67"/>
      <c r="BA32" s="67"/>
      <c r="BB32" s="67"/>
      <c r="BC32" s="67"/>
      <c r="BD32" s="68"/>
    </row>
    <row r="33" spans="1:56" ht="14.4" customHeight="1">
      <c r="A33" s="70" t="str">
        <f>IF(B33="","",COUNTA($B$8:B33))</f>
        <v/>
      </c>
      <c r="B33" s="19"/>
      <c r="C33" s="20"/>
      <c r="D33" s="20"/>
      <c r="E33" s="20"/>
      <c r="F33" s="20"/>
      <c r="G33" s="20"/>
      <c r="H33" s="24"/>
      <c r="I33" s="31"/>
      <c r="J33" s="23"/>
      <c r="K33" s="23"/>
      <c r="L33" s="23"/>
      <c r="M33" s="23"/>
      <c r="N33" s="23"/>
      <c r="O33" s="23"/>
      <c r="P33" s="23"/>
      <c r="Q33" s="37"/>
      <c r="R33" s="22"/>
      <c r="S33" s="23"/>
      <c r="T33" s="23"/>
      <c r="U33" s="23"/>
      <c r="V33" s="23"/>
      <c r="W33" s="23"/>
      <c r="X33" s="37"/>
      <c r="Y33" s="440"/>
      <c r="Z33" s="441"/>
      <c r="AA33" s="442"/>
      <c r="AB33" s="443"/>
      <c r="AC33" s="444"/>
      <c r="AD33" s="51"/>
      <c r="AE33" s="29"/>
      <c r="AF33" s="29"/>
      <c r="AG33" s="29"/>
      <c r="AH33" s="28"/>
      <c r="AI33" s="28"/>
      <c r="AJ33" s="28"/>
      <c r="AK33" s="28"/>
      <c r="AL33" s="28"/>
      <c r="AM33" s="28"/>
      <c r="AN33" s="28"/>
      <c r="AO33" s="29"/>
      <c r="AP33" s="29"/>
      <c r="AQ33" s="29"/>
      <c r="AR33" s="29"/>
      <c r="AS33" s="31"/>
      <c r="AT33" s="67"/>
      <c r="AU33" s="67"/>
      <c r="AV33" s="67"/>
      <c r="AW33" s="67"/>
      <c r="AX33" s="67"/>
      <c r="AY33" s="67"/>
      <c r="AZ33" s="67"/>
      <c r="BA33" s="67"/>
      <c r="BB33" s="67"/>
      <c r="BC33" s="67"/>
      <c r="BD33" s="68"/>
    </row>
    <row r="34" spans="1:56" ht="14.4" customHeight="1">
      <c r="A34" s="70" t="str">
        <f>IF(B34="","",COUNTA($B$8:B34))</f>
        <v/>
      </c>
      <c r="B34" s="19"/>
      <c r="C34" s="20"/>
      <c r="D34" s="20"/>
      <c r="E34" s="20"/>
      <c r="F34" s="20"/>
      <c r="G34" s="20"/>
      <c r="H34" s="24"/>
      <c r="I34" s="31"/>
      <c r="J34" s="23"/>
      <c r="K34" s="23"/>
      <c r="L34" s="23"/>
      <c r="M34" s="23"/>
      <c r="N34" s="23"/>
      <c r="O34" s="23"/>
      <c r="P34" s="23"/>
      <c r="Q34" s="24"/>
      <c r="R34" s="22"/>
      <c r="S34" s="23"/>
      <c r="T34" s="23"/>
      <c r="U34" s="23"/>
      <c r="V34" s="23"/>
      <c r="W34" s="23"/>
      <c r="X34" s="24"/>
      <c r="Y34" s="440"/>
      <c r="Z34" s="441"/>
      <c r="AA34" s="442"/>
      <c r="AB34" s="443"/>
      <c r="AC34" s="444"/>
      <c r="AD34" s="27"/>
      <c r="AE34" s="29"/>
      <c r="AF34" s="29"/>
      <c r="AG34" s="29"/>
      <c r="AH34" s="28"/>
      <c r="AI34" s="28"/>
      <c r="AJ34" s="28"/>
      <c r="AK34" s="28"/>
      <c r="AL34" s="28"/>
      <c r="AM34" s="28"/>
      <c r="AN34" s="28"/>
      <c r="AO34" s="29"/>
      <c r="AP34" s="29"/>
      <c r="AQ34" s="29"/>
      <c r="AR34" s="29"/>
      <c r="AS34" s="31"/>
      <c r="AT34" s="67"/>
      <c r="AU34" s="67"/>
      <c r="AV34" s="67"/>
      <c r="AW34" s="67"/>
      <c r="AX34" s="67"/>
      <c r="AY34" s="67"/>
      <c r="AZ34" s="67"/>
      <c r="BA34" s="67"/>
      <c r="BB34" s="67"/>
      <c r="BC34" s="67"/>
      <c r="BD34" s="68"/>
    </row>
    <row r="35" spans="1:56" ht="14.4" customHeight="1">
      <c r="A35" s="70" t="str">
        <f>IF(B35="","",COUNTA($B$8:B35))</f>
        <v/>
      </c>
      <c r="B35" s="19"/>
      <c r="C35" s="20"/>
      <c r="D35" s="20"/>
      <c r="E35" s="20"/>
      <c r="F35" s="20"/>
      <c r="G35" s="20"/>
      <c r="H35" s="24"/>
      <c r="I35" s="31"/>
      <c r="J35" s="23"/>
      <c r="K35" s="23"/>
      <c r="L35" s="23"/>
      <c r="M35" s="23"/>
      <c r="N35" s="23"/>
      <c r="O35" s="23"/>
      <c r="P35" s="23"/>
      <c r="Q35" s="24"/>
      <c r="R35" s="22"/>
      <c r="S35" s="23"/>
      <c r="T35" s="23"/>
      <c r="U35" s="23"/>
      <c r="V35" s="23"/>
      <c r="W35" s="23"/>
      <c r="X35" s="24"/>
      <c r="Y35" s="440"/>
      <c r="Z35" s="441"/>
      <c r="AA35" s="442"/>
      <c r="AB35" s="443"/>
      <c r="AC35" s="444"/>
      <c r="AD35" s="27"/>
      <c r="AE35" s="29"/>
      <c r="AF35" s="29"/>
      <c r="AG35" s="29"/>
      <c r="AH35" s="28"/>
      <c r="AI35" s="28"/>
      <c r="AJ35" s="28"/>
      <c r="AK35" s="28"/>
      <c r="AL35" s="28"/>
      <c r="AM35" s="28"/>
      <c r="AN35" s="28"/>
      <c r="AO35" s="29"/>
      <c r="AP35" s="29"/>
      <c r="AQ35" s="29"/>
      <c r="AR35" s="29"/>
      <c r="AS35" s="31"/>
      <c r="AT35" s="67"/>
      <c r="AU35" s="67"/>
      <c r="AV35" s="67"/>
      <c r="AW35" s="67"/>
      <c r="AX35" s="67"/>
      <c r="AY35" s="67"/>
      <c r="AZ35" s="67"/>
      <c r="BA35" s="67"/>
      <c r="BB35" s="67"/>
      <c r="BC35" s="67"/>
      <c r="BD35" s="68"/>
    </row>
    <row r="36" spans="1:56" ht="14.4" customHeight="1">
      <c r="A36" s="70" t="str">
        <f>IF(B36="","",COUNTA($B$8:B36))</f>
        <v/>
      </c>
      <c r="B36" s="19"/>
      <c r="C36" s="20"/>
      <c r="D36" s="20"/>
      <c r="E36" s="20"/>
      <c r="F36" s="20"/>
      <c r="G36" s="20"/>
      <c r="H36" s="24"/>
      <c r="I36" s="31"/>
      <c r="J36" s="23"/>
      <c r="K36" s="23"/>
      <c r="L36" s="23"/>
      <c r="M36" s="23"/>
      <c r="N36" s="23"/>
      <c r="O36" s="23"/>
      <c r="P36" s="23"/>
      <c r="Q36" s="24"/>
      <c r="R36" s="22"/>
      <c r="S36" s="23"/>
      <c r="T36" s="23"/>
      <c r="U36" s="23"/>
      <c r="V36" s="23"/>
      <c r="W36" s="23"/>
      <c r="X36" s="24"/>
      <c r="Y36" s="440"/>
      <c r="Z36" s="441"/>
      <c r="AA36" s="442"/>
      <c r="AB36" s="443"/>
      <c r="AC36" s="444"/>
      <c r="AD36" s="27"/>
      <c r="AE36" s="29"/>
      <c r="AF36" s="29"/>
      <c r="AG36" s="29"/>
      <c r="AH36" s="28"/>
      <c r="AI36" s="28"/>
      <c r="AJ36" s="28"/>
      <c r="AK36" s="28"/>
      <c r="AL36" s="28"/>
      <c r="AM36" s="28"/>
      <c r="AN36" s="28"/>
      <c r="AO36" s="29"/>
      <c r="AP36" s="29"/>
      <c r="AQ36" s="29"/>
      <c r="AR36" s="29"/>
      <c r="AS36" s="31"/>
      <c r="AT36" s="67"/>
      <c r="AU36" s="67"/>
      <c r="AV36" s="67"/>
      <c r="AW36" s="67"/>
      <c r="AX36" s="67"/>
      <c r="AY36" s="67"/>
      <c r="AZ36" s="67"/>
      <c r="BA36" s="67"/>
      <c r="BB36" s="67"/>
      <c r="BC36" s="67"/>
      <c r="BD36" s="68"/>
    </row>
    <row r="37" spans="1:56" ht="14.4" customHeight="1">
      <c r="A37" s="70" t="str">
        <f>IF(B37="","",COUNTA($B$8:B37))</f>
        <v/>
      </c>
      <c r="B37" s="19"/>
      <c r="C37" s="20"/>
      <c r="D37" s="20"/>
      <c r="E37" s="20"/>
      <c r="F37" s="20"/>
      <c r="G37" s="20"/>
      <c r="H37" s="24"/>
      <c r="I37" s="31"/>
      <c r="J37" s="23"/>
      <c r="K37" s="23"/>
      <c r="L37" s="23"/>
      <c r="M37" s="23"/>
      <c r="N37" s="23"/>
      <c r="O37" s="23"/>
      <c r="P37" s="23"/>
      <c r="Q37" s="24"/>
      <c r="R37" s="22"/>
      <c r="S37" s="23"/>
      <c r="T37" s="23"/>
      <c r="U37" s="23"/>
      <c r="V37" s="23"/>
      <c r="W37" s="23"/>
      <c r="X37" s="24"/>
      <c r="Y37" s="440"/>
      <c r="Z37" s="441"/>
      <c r="AA37" s="442"/>
      <c r="AB37" s="443"/>
      <c r="AC37" s="444"/>
      <c r="AD37" s="27"/>
      <c r="AE37" s="29"/>
      <c r="AF37" s="29"/>
      <c r="AG37" s="29"/>
      <c r="AH37" s="28"/>
      <c r="AI37" s="28"/>
      <c r="AJ37" s="28"/>
      <c r="AK37" s="28"/>
      <c r="AL37" s="28"/>
      <c r="AM37" s="28"/>
      <c r="AN37" s="28"/>
      <c r="AO37" s="29"/>
      <c r="AP37" s="29"/>
      <c r="AQ37" s="29"/>
      <c r="AR37" s="29"/>
      <c r="AS37" s="31"/>
      <c r="AT37" s="67"/>
      <c r="AU37" s="67"/>
      <c r="AV37" s="67"/>
      <c r="AW37" s="67"/>
      <c r="AX37" s="67"/>
      <c r="AY37" s="67"/>
      <c r="AZ37" s="67"/>
      <c r="BA37" s="67"/>
      <c r="BB37" s="67"/>
      <c r="BC37" s="67"/>
      <c r="BD37" s="68"/>
    </row>
    <row r="38" spans="1:56" ht="14.4" customHeight="1">
      <c r="A38" s="70" t="str">
        <f>IF(B38="","",COUNTA($B$8:B38))</f>
        <v/>
      </c>
      <c r="B38" s="19"/>
      <c r="C38" s="20"/>
      <c r="D38" s="20"/>
      <c r="E38" s="20"/>
      <c r="F38" s="20"/>
      <c r="G38" s="20"/>
      <c r="H38" s="24"/>
      <c r="I38" s="31"/>
      <c r="J38" s="23"/>
      <c r="K38" s="23"/>
      <c r="L38" s="23"/>
      <c r="M38" s="23"/>
      <c r="N38" s="23"/>
      <c r="O38" s="23"/>
      <c r="P38" s="23"/>
      <c r="Q38" s="24"/>
      <c r="R38" s="22"/>
      <c r="S38" s="23"/>
      <c r="T38" s="23"/>
      <c r="U38" s="23"/>
      <c r="V38" s="23"/>
      <c r="W38" s="23"/>
      <c r="X38" s="24"/>
      <c r="Y38" s="440"/>
      <c r="Z38" s="441"/>
      <c r="AA38" s="442"/>
      <c r="AB38" s="443"/>
      <c r="AC38" s="444"/>
      <c r="AD38" s="27"/>
      <c r="AE38" s="29"/>
      <c r="AF38" s="29"/>
      <c r="AG38" s="29"/>
      <c r="AH38" s="28"/>
      <c r="AI38" s="28"/>
      <c r="AJ38" s="28"/>
      <c r="AK38" s="28"/>
      <c r="AL38" s="28"/>
      <c r="AM38" s="28"/>
      <c r="AN38" s="28"/>
      <c r="AO38" s="29"/>
      <c r="AP38" s="29"/>
      <c r="AQ38" s="29"/>
      <c r="AR38" s="29"/>
      <c r="AS38" s="47"/>
      <c r="AT38" s="48"/>
      <c r="AU38" s="48"/>
      <c r="AV38" s="48"/>
      <c r="AW38" s="48"/>
      <c r="AX38" s="48"/>
      <c r="AY38" s="48"/>
      <c r="AZ38" s="48"/>
      <c r="BA38" s="48"/>
      <c r="BB38" s="48"/>
      <c r="BC38" s="48"/>
      <c r="BD38" s="66"/>
    </row>
    <row r="39" spans="1:56" ht="14.4" customHeight="1">
      <c r="A39" s="70" t="str">
        <f>IF(B39="","",COUNTA($B$8:B39))</f>
        <v/>
      </c>
      <c r="B39" s="19"/>
      <c r="C39" s="20"/>
      <c r="D39" s="20"/>
      <c r="E39" s="20"/>
      <c r="F39" s="20"/>
      <c r="G39" s="20"/>
      <c r="H39" s="24"/>
      <c r="I39" s="31"/>
      <c r="J39" s="23"/>
      <c r="K39" s="23"/>
      <c r="L39" s="23"/>
      <c r="M39" s="23"/>
      <c r="N39" s="23"/>
      <c r="O39" s="23"/>
      <c r="P39" s="23"/>
      <c r="Q39" s="24"/>
      <c r="R39" s="22"/>
      <c r="S39" s="23"/>
      <c r="T39" s="23"/>
      <c r="U39" s="23"/>
      <c r="V39" s="23"/>
      <c r="W39" s="23"/>
      <c r="X39" s="24"/>
      <c r="Y39" s="440"/>
      <c r="Z39" s="441"/>
      <c r="AA39" s="442"/>
      <c r="AB39" s="443"/>
      <c r="AC39" s="444"/>
      <c r="AD39" s="27"/>
      <c r="AE39" s="29"/>
      <c r="AF39" s="29"/>
      <c r="AG39" s="29"/>
      <c r="AH39" s="28"/>
      <c r="AI39" s="28"/>
      <c r="AJ39" s="28"/>
      <c r="AK39" s="28"/>
      <c r="AL39" s="28"/>
      <c r="AM39" s="28"/>
      <c r="AN39" s="28"/>
      <c r="AO39" s="29"/>
      <c r="AP39" s="29"/>
      <c r="AQ39" s="29"/>
      <c r="AR39" s="29"/>
      <c r="AS39" s="31"/>
      <c r="AT39" s="67"/>
      <c r="AU39" s="67"/>
      <c r="AV39" s="67"/>
      <c r="AW39" s="67"/>
      <c r="AX39" s="67"/>
      <c r="AY39" s="67"/>
      <c r="AZ39" s="67"/>
      <c r="BA39" s="67"/>
      <c r="BB39" s="67"/>
      <c r="BC39" s="67"/>
      <c r="BD39" s="68"/>
    </row>
    <row r="40" spans="1:56" ht="14.4" customHeight="1">
      <c r="A40" s="70" t="str">
        <f>IF(B40="","",COUNTA($B$8:B40))</f>
        <v/>
      </c>
      <c r="B40" s="19"/>
      <c r="C40" s="20"/>
      <c r="D40" s="20"/>
      <c r="E40" s="20"/>
      <c r="F40" s="20"/>
      <c r="G40" s="20"/>
      <c r="H40" s="24"/>
      <c r="I40" s="31"/>
      <c r="J40" s="23"/>
      <c r="K40" s="23"/>
      <c r="L40" s="23"/>
      <c r="M40" s="23"/>
      <c r="N40" s="23"/>
      <c r="O40" s="23"/>
      <c r="P40" s="23"/>
      <c r="Q40" s="24"/>
      <c r="R40" s="22"/>
      <c r="S40" s="23"/>
      <c r="T40" s="23"/>
      <c r="U40" s="23"/>
      <c r="V40" s="23"/>
      <c r="W40" s="23"/>
      <c r="X40" s="24"/>
      <c r="Y40" s="440"/>
      <c r="Z40" s="441"/>
      <c r="AA40" s="442"/>
      <c r="AB40" s="443"/>
      <c r="AC40" s="444"/>
      <c r="AD40" s="27"/>
      <c r="AE40" s="29"/>
      <c r="AF40" s="29"/>
      <c r="AG40" s="29"/>
      <c r="AH40" s="28"/>
      <c r="AI40" s="28"/>
      <c r="AJ40" s="28"/>
      <c r="AK40" s="28"/>
      <c r="AL40" s="28"/>
      <c r="AM40" s="28"/>
      <c r="AN40" s="28"/>
      <c r="AO40" s="29"/>
      <c r="AP40" s="29"/>
      <c r="AQ40" s="29"/>
      <c r="AR40" s="29"/>
      <c r="AS40" s="31"/>
      <c r="AT40" s="67"/>
      <c r="AU40" s="67"/>
      <c r="AV40" s="67"/>
      <c r="AW40" s="67"/>
      <c r="AX40" s="67"/>
      <c r="AY40" s="67"/>
      <c r="AZ40" s="67"/>
      <c r="BA40" s="67"/>
      <c r="BB40" s="67"/>
      <c r="BC40" s="67"/>
      <c r="BD40" s="68"/>
    </row>
    <row r="41" spans="1:56" ht="14.4" customHeight="1">
      <c r="A41" s="70" t="str">
        <f>IF(B41="","",COUNTA($B$8:B41))</f>
        <v/>
      </c>
      <c r="B41" s="19"/>
      <c r="C41" s="20"/>
      <c r="D41" s="20"/>
      <c r="E41" s="20"/>
      <c r="F41" s="20"/>
      <c r="G41" s="20"/>
      <c r="H41" s="24"/>
      <c r="I41" s="31"/>
      <c r="J41" s="23"/>
      <c r="K41" s="23"/>
      <c r="L41" s="23"/>
      <c r="M41" s="23"/>
      <c r="N41" s="23"/>
      <c r="O41" s="23"/>
      <c r="P41" s="23"/>
      <c r="Q41" s="37"/>
      <c r="R41" s="22"/>
      <c r="S41" s="23"/>
      <c r="T41" s="23"/>
      <c r="U41" s="23"/>
      <c r="V41" s="23"/>
      <c r="W41" s="23"/>
      <c r="X41" s="37"/>
      <c r="Y41" s="440"/>
      <c r="Z41" s="441"/>
      <c r="AA41" s="442"/>
      <c r="AB41" s="443"/>
      <c r="AC41" s="444"/>
      <c r="AD41" s="51"/>
      <c r="AE41" s="29"/>
      <c r="AF41" s="29"/>
      <c r="AG41" s="29"/>
      <c r="AH41" s="40"/>
      <c r="AI41" s="40"/>
      <c r="AJ41" s="40"/>
      <c r="AK41" s="40"/>
      <c r="AL41" s="40"/>
      <c r="AM41" s="40"/>
      <c r="AN41" s="40"/>
      <c r="AO41" s="41"/>
      <c r="AP41" s="41"/>
      <c r="AQ41" s="41"/>
      <c r="AR41" s="41"/>
      <c r="AS41" s="42"/>
      <c r="AT41" s="43"/>
      <c r="AU41" s="67"/>
      <c r="AV41" s="67"/>
      <c r="AW41" s="67"/>
      <c r="AX41" s="67"/>
      <c r="AY41" s="67"/>
      <c r="AZ41" s="67"/>
      <c r="BA41" s="67"/>
      <c r="BB41" s="67"/>
      <c r="BC41" s="67"/>
      <c r="BD41" s="68"/>
    </row>
    <row r="42" spans="1:56" ht="14.4" customHeight="1">
      <c r="A42" s="70" t="str">
        <f>IF(B42="","",COUNTA($B$8:B42))</f>
        <v/>
      </c>
      <c r="B42" s="19"/>
      <c r="C42" s="20"/>
      <c r="D42" s="20"/>
      <c r="E42" s="20"/>
      <c r="F42" s="20"/>
      <c r="G42" s="20"/>
      <c r="H42" s="24"/>
      <c r="I42" s="31"/>
      <c r="J42" s="23"/>
      <c r="K42" s="23"/>
      <c r="L42" s="23"/>
      <c r="M42" s="23"/>
      <c r="N42" s="23"/>
      <c r="O42" s="23"/>
      <c r="P42" s="23"/>
      <c r="Q42" s="37"/>
      <c r="R42" s="22"/>
      <c r="S42" s="23"/>
      <c r="T42" s="23"/>
      <c r="U42" s="23"/>
      <c r="V42" s="23"/>
      <c r="W42" s="23"/>
      <c r="X42" s="37"/>
      <c r="Y42" s="440"/>
      <c r="Z42" s="441"/>
      <c r="AA42" s="442"/>
      <c r="AB42" s="443"/>
      <c r="AC42" s="444"/>
      <c r="AD42" s="51"/>
      <c r="AE42" s="29"/>
      <c r="AF42" s="29"/>
      <c r="AG42" s="29"/>
      <c r="AH42" s="40"/>
      <c r="AI42" s="40"/>
      <c r="AJ42" s="40"/>
      <c r="AK42" s="40"/>
      <c r="AL42" s="40"/>
      <c r="AM42" s="40"/>
      <c r="AN42" s="40"/>
      <c r="AO42" s="41"/>
      <c r="AP42" s="41"/>
      <c r="AQ42" s="41"/>
      <c r="AR42" s="41"/>
      <c r="AS42" s="42"/>
      <c r="AT42" s="43"/>
      <c r="AU42" s="67"/>
      <c r="AV42" s="67"/>
      <c r="AW42" s="67"/>
      <c r="AX42" s="67"/>
      <c r="AY42" s="67"/>
      <c r="AZ42" s="67"/>
      <c r="BA42" s="67"/>
      <c r="BB42" s="67"/>
      <c r="BC42" s="67"/>
      <c r="BD42" s="68"/>
    </row>
    <row r="43" spans="1:56" ht="14.4" customHeight="1">
      <c r="A43" s="70" t="str">
        <f>IF(B43="","",COUNTA($B$8:B43))</f>
        <v/>
      </c>
      <c r="B43" s="19"/>
      <c r="C43" s="20"/>
      <c r="D43" s="20"/>
      <c r="E43" s="20"/>
      <c r="F43" s="20"/>
      <c r="G43" s="20"/>
      <c r="H43" s="24"/>
      <c r="I43" s="31"/>
      <c r="J43" s="23"/>
      <c r="K43" s="23"/>
      <c r="L43" s="23"/>
      <c r="M43" s="23"/>
      <c r="N43" s="23"/>
      <c r="O43" s="23"/>
      <c r="P43" s="23"/>
      <c r="Q43" s="37"/>
      <c r="R43" s="22"/>
      <c r="S43" s="23"/>
      <c r="T43" s="23"/>
      <c r="U43" s="23"/>
      <c r="V43" s="23"/>
      <c r="W43" s="23"/>
      <c r="X43" s="37"/>
      <c r="Y43" s="440"/>
      <c r="Z43" s="441"/>
      <c r="AA43" s="442"/>
      <c r="AB43" s="443"/>
      <c r="AC43" s="444"/>
      <c r="AD43" s="51"/>
      <c r="AE43" s="29"/>
      <c r="AF43" s="29"/>
      <c r="AG43" s="29"/>
      <c r="AH43" s="40"/>
      <c r="AI43" s="40"/>
      <c r="AJ43" s="40"/>
      <c r="AK43" s="40"/>
      <c r="AL43" s="40"/>
      <c r="AM43" s="40"/>
      <c r="AN43" s="40"/>
      <c r="AO43" s="41"/>
      <c r="AP43" s="41"/>
      <c r="AQ43" s="41"/>
      <c r="AR43" s="41"/>
      <c r="AS43" s="42"/>
      <c r="AT43" s="43"/>
      <c r="AU43" s="67"/>
      <c r="AV43" s="67"/>
      <c r="AW43" s="67"/>
      <c r="AX43" s="67"/>
      <c r="AY43" s="67"/>
      <c r="AZ43" s="67"/>
      <c r="BA43" s="67"/>
      <c r="BB43" s="67"/>
      <c r="BC43" s="67"/>
      <c r="BD43" s="68"/>
    </row>
    <row r="44" spans="1:56" ht="14.4" customHeight="1">
      <c r="A44" s="70" t="str">
        <f>IF(B44="","",COUNTA($B$8:B44))</f>
        <v/>
      </c>
      <c r="B44" s="19"/>
      <c r="C44" s="20"/>
      <c r="D44" s="20"/>
      <c r="E44" s="20"/>
      <c r="F44" s="20"/>
      <c r="G44" s="20"/>
      <c r="H44" s="24"/>
      <c r="I44" s="31"/>
      <c r="J44" s="23"/>
      <c r="K44" s="23"/>
      <c r="L44" s="23"/>
      <c r="M44" s="23"/>
      <c r="N44" s="23"/>
      <c r="O44" s="23"/>
      <c r="P44" s="23"/>
      <c r="Q44" s="37"/>
      <c r="R44" s="22"/>
      <c r="S44" s="23"/>
      <c r="T44" s="23"/>
      <c r="U44" s="23"/>
      <c r="V44" s="23"/>
      <c r="W44" s="23"/>
      <c r="X44" s="37"/>
      <c r="Y44" s="440"/>
      <c r="Z44" s="441"/>
      <c r="AA44" s="442"/>
      <c r="AB44" s="443"/>
      <c r="AC44" s="444"/>
      <c r="AD44" s="51"/>
      <c r="AE44" s="29"/>
      <c r="AF44" s="29"/>
      <c r="AG44" s="29"/>
      <c r="AH44" s="40"/>
      <c r="AI44" s="40"/>
      <c r="AJ44" s="40"/>
      <c r="AK44" s="40"/>
      <c r="AL44" s="40"/>
      <c r="AM44" s="40"/>
      <c r="AN44" s="40"/>
      <c r="AO44" s="41"/>
      <c r="AP44" s="41"/>
      <c r="AQ44" s="41"/>
      <c r="AR44" s="41"/>
      <c r="AS44" s="42"/>
      <c r="AT44" s="43"/>
      <c r="AU44" s="67"/>
      <c r="AV44" s="67"/>
      <c r="AW44" s="67"/>
      <c r="AX44" s="67"/>
      <c r="AY44" s="67"/>
      <c r="AZ44" s="67"/>
      <c r="BA44" s="67"/>
      <c r="BB44" s="67"/>
      <c r="BC44" s="67"/>
      <c r="BD44" s="68"/>
    </row>
    <row r="45" spans="1:56" ht="14.4" customHeight="1">
      <c r="A45" s="70" t="str">
        <f>IF(B45="","",COUNTA($B$8:B45))</f>
        <v/>
      </c>
      <c r="B45" s="19"/>
      <c r="C45" s="20"/>
      <c r="D45" s="20"/>
      <c r="E45" s="20"/>
      <c r="F45" s="20"/>
      <c r="G45" s="20"/>
      <c r="H45" s="24"/>
      <c r="I45" s="31"/>
      <c r="J45" s="23"/>
      <c r="K45" s="23"/>
      <c r="L45" s="23"/>
      <c r="M45" s="23"/>
      <c r="N45" s="23"/>
      <c r="O45" s="23"/>
      <c r="P45" s="23"/>
      <c r="Q45" s="37"/>
      <c r="R45" s="22"/>
      <c r="S45" s="23"/>
      <c r="T45" s="23"/>
      <c r="U45" s="23"/>
      <c r="V45" s="23"/>
      <c r="W45" s="23"/>
      <c r="X45" s="37"/>
      <c r="Y45" s="440"/>
      <c r="Z45" s="441"/>
      <c r="AA45" s="442"/>
      <c r="AB45" s="443"/>
      <c r="AC45" s="444"/>
      <c r="AD45" s="51"/>
      <c r="AE45" s="29"/>
      <c r="AF45" s="29"/>
      <c r="AG45" s="29"/>
      <c r="AH45" s="40"/>
      <c r="AI45" s="40"/>
      <c r="AJ45" s="40"/>
      <c r="AK45" s="40"/>
      <c r="AL45" s="40"/>
      <c r="AM45" s="40"/>
      <c r="AN45" s="40"/>
      <c r="AO45" s="41"/>
      <c r="AP45" s="41"/>
      <c r="AQ45" s="41"/>
      <c r="AR45" s="41"/>
      <c r="AS45" s="42"/>
      <c r="AT45" s="43"/>
      <c r="AU45" s="67"/>
      <c r="AV45" s="67"/>
      <c r="AW45" s="67"/>
      <c r="AX45" s="67"/>
      <c r="AY45" s="67"/>
      <c r="AZ45" s="67"/>
      <c r="BA45" s="67"/>
      <c r="BB45" s="67"/>
      <c r="BC45" s="67"/>
      <c r="BD45" s="68"/>
    </row>
    <row r="46" spans="1:56" ht="14.4" customHeight="1">
      <c r="A46" s="70" t="str">
        <f>IF(B46="","",COUNTA($B$8:B46))</f>
        <v/>
      </c>
      <c r="B46" s="19"/>
      <c r="C46" s="20"/>
      <c r="D46" s="20"/>
      <c r="E46" s="20"/>
      <c r="F46" s="20"/>
      <c r="G46" s="20"/>
      <c r="H46" s="24"/>
      <c r="I46" s="31"/>
      <c r="J46" s="23"/>
      <c r="K46" s="23"/>
      <c r="L46" s="23"/>
      <c r="M46" s="23"/>
      <c r="N46" s="23"/>
      <c r="O46" s="23"/>
      <c r="P46" s="23"/>
      <c r="Q46" s="37"/>
      <c r="R46" s="22"/>
      <c r="S46" s="23"/>
      <c r="T46" s="23"/>
      <c r="U46" s="23"/>
      <c r="V46" s="23"/>
      <c r="W46" s="23"/>
      <c r="X46" s="37"/>
      <c r="Y46" s="440"/>
      <c r="Z46" s="441"/>
      <c r="AA46" s="442"/>
      <c r="AB46" s="443"/>
      <c r="AC46" s="444"/>
      <c r="AD46" s="51"/>
      <c r="AE46" s="29"/>
      <c r="AF46" s="29"/>
      <c r="AG46" s="29"/>
      <c r="AH46" s="40"/>
      <c r="AI46" s="40"/>
      <c r="AJ46" s="40"/>
      <c r="AK46" s="40"/>
      <c r="AL46" s="40"/>
      <c r="AM46" s="40"/>
      <c r="AN46" s="40"/>
      <c r="AO46" s="41"/>
      <c r="AP46" s="41"/>
      <c r="AQ46" s="41"/>
      <c r="AR46" s="41"/>
      <c r="AS46" s="42"/>
      <c r="AT46" s="43"/>
      <c r="AU46" s="67"/>
      <c r="AV46" s="67"/>
      <c r="AW46" s="67"/>
      <c r="AX46" s="67"/>
      <c r="AY46" s="67"/>
      <c r="AZ46" s="67"/>
      <c r="BA46" s="67"/>
      <c r="BB46" s="67"/>
      <c r="BC46" s="67"/>
      <c r="BD46" s="68"/>
    </row>
  </sheetData>
  <mergeCells count="110">
    <mergeCell ref="Y35:Z35"/>
    <mergeCell ref="AA35:AC35"/>
    <mergeCell ref="Y36:Z36"/>
    <mergeCell ref="AA36:AC36"/>
    <mergeCell ref="Y37:Z37"/>
    <mergeCell ref="AA37:AC37"/>
    <mergeCell ref="Y32:Z32"/>
    <mergeCell ref="AA32:AC32"/>
    <mergeCell ref="Y33:Z33"/>
    <mergeCell ref="AA33:AC33"/>
    <mergeCell ref="Y34:Z34"/>
    <mergeCell ref="AA34:AC34"/>
    <mergeCell ref="Y45:Z45"/>
    <mergeCell ref="AA45:AC45"/>
    <mergeCell ref="Y46:Z46"/>
    <mergeCell ref="AA46:AC46"/>
    <mergeCell ref="Y41:Z41"/>
    <mergeCell ref="AA41:AC41"/>
    <mergeCell ref="Y38:Z38"/>
    <mergeCell ref="AA38:AC38"/>
    <mergeCell ref="Y39:Z39"/>
    <mergeCell ref="AA39:AC39"/>
    <mergeCell ref="Y40:Z40"/>
    <mergeCell ref="AA40:AC40"/>
    <mergeCell ref="Y42:Z42"/>
    <mergeCell ref="AA42:AC42"/>
    <mergeCell ref="Y43:Z43"/>
    <mergeCell ref="AA43:AC43"/>
    <mergeCell ref="Y44:Z44"/>
    <mergeCell ref="AA44:AC44"/>
    <mergeCell ref="Y30:Z30"/>
    <mergeCell ref="AA30:AC30"/>
    <mergeCell ref="Y31:Z31"/>
    <mergeCell ref="AA31:AC31"/>
    <mergeCell ref="Y28:Z28"/>
    <mergeCell ref="AA28:AC28"/>
    <mergeCell ref="Y29:Z29"/>
    <mergeCell ref="AA29:AC29"/>
    <mergeCell ref="Y25:Z25"/>
    <mergeCell ref="AA25:AC25"/>
    <mergeCell ref="Y26:Z26"/>
    <mergeCell ref="AA26:AC26"/>
    <mergeCell ref="Y27:Z27"/>
    <mergeCell ref="AA27:AC27"/>
    <mergeCell ref="Y24:Z24"/>
    <mergeCell ref="AA24:AC24"/>
    <mergeCell ref="Y20:Z20"/>
    <mergeCell ref="AA20:AC20"/>
    <mergeCell ref="Y15:Z15"/>
    <mergeCell ref="AA15:AC15"/>
    <mergeCell ref="Y16:Z16"/>
    <mergeCell ref="AA16:AC16"/>
    <mergeCell ref="Y17:Z17"/>
    <mergeCell ref="AA17:AC17"/>
    <mergeCell ref="Y22:Z22"/>
    <mergeCell ref="AA22:AC22"/>
    <mergeCell ref="Y23:Z23"/>
    <mergeCell ref="AA23:AC23"/>
    <mergeCell ref="Y18:Z18"/>
    <mergeCell ref="AA18:AC18"/>
    <mergeCell ref="Y21:Z21"/>
    <mergeCell ref="AA21:AC21"/>
    <mergeCell ref="Y14:Z14"/>
    <mergeCell ref="AA14:AC14"/>
    <mergeCell ref="Y9:Z9"/>
    <mergeCell ref="AA9:AC9"/>
    <mergeCell ref="Y10:Z10"/>
    <mergeCell ref="AA10:AC10"/>
    <mergeCell ref="Y11:Z11"/>
    <mergeCell ref="AA11:AC11"/>
    <mergeCell ref="Y19:Z19"/>
    <mergeCell ref="AA19:AC19"/>
    <mergeCell ref="A1:H4"/>
    <mergeCell ref="AZ1:BD1"/>
    <mergeCell ref="I2:Q4"/>
    <mergeCell ref="R2:X4"/>
    <mergeCell ref="Y2:AO3"/>
    <mergeCell ref="AP2:AT2"/>
    <mergeCell ref="AZ2:BD2"/>
    <mergeCell ref="AP3:AT3"/>
    <mergeCell ref="Y12:Z12"/>
    <mergeCell ref="AA12:AC12"/>
    <mergeCell ref="A6:A7"/>
    <mergeCell ref="B6:H7"/>
    <mergeCell ref="I6:Q7"/>
    <mergeCell ref="R6:X7"/>
    <mergeCell ref="Y6:Z7"/>
    <mergeCell ref="AA6:AC7"/>
    <mergeCell ref="AD6:AD7"/>
    <mergeCell ref="AE6:AE7"/>
    <mergeCell ref="AF6:AF7"/>
    <mergeCell ref="AU3:AY3"/>
    <mergeCell ref="AZ3:BD3"/>
    <mergeCell ref="I1:Q1"/>
    <mergeCell ref="R1:X1"/>
    <mergeCell ref="Y1:AO1"/>
    <mergeCell ref="Y8:Z8"/>
    <mergeCell ref="AA8:AC8"/>
    <mergeCell ref="AZ4:BD4"/>
    <mergeCell ref="Y13:Z13"/>
    <mergeCell ref="AP1:AT1"/>
    <mergeCell ref="AU1:AY1"/>
    <mergeCell ref="Y4:AO4"/>
    <mergeCell ref="AP4:AT4"/>
    <mergeCell ref="AU4:AY4"/>
    <mergeCell ref="AG6:AG7"/>
    <mergeCell ref="AH6:AH7"/>
    <mergeCell ref="AI6:AR6"/>
    <mergeCell ref="AS6:BD7"/>
    <mergeCell ref="AA13:AC13"/>
  </mergeCells>
  <phoneticPr fontId="5"/>
  <dataValidations count="3">
    <dataValidation imeMode="hiragana" allowBlank="1" showInputMessage="1" showErrorMessage="1" sqref="JO65537:JZ65539 TK65537:TV65539 ADG65537:ADR65539 ANC65537:ANN65539 AWY65537:AXJ65539 BGU65537:BHF65539 BQQ65537:BRB65539 CAM65537:CAX65539 CKI65537:CKT65539 CUE65537:CUP65539 DEA65537:DEL65539 DNW65537:DOH65539 DXS65537:DYD65539 EHO65537:EHZ65539 ERK65537:ERV65539 FBG65537:FBR65539 FLC65537:FLN65539 FUY65537:FVJ65539 GEU65537:GFF65539 GOQ65537:GPB65539 GYM65537:GYX65539 HII65537:HIT65539 HSE65537:HSP65539 ICA65537:ICL65539 ILW65537:IMH65539 IVS65537:IWD65539 JFO65537:JFZ65539 JPK65537:JPV65539 JZG65537:JZR65539 KJC65537:KJN65539 KSY65537:KTJ65539 LCU65537:LDF65539 LMQ65537:LNB65539 LWM65537:LWX65539 MGI65537:MGT65539 MQE65537:MQP65539 NAA65537:NAL65539 NJW65537:NKH65539 NTS65537:NUD65539 ODO65537:ODZ65539 ONK65537:ONV65539 OXG65537:OXR65539 PHC65537:PHN65539 PQY65537:PRJ65539 QAU65537:QBF65539 QKQ65537:QLB65539 QUM65537:QUX65539 REI65537:RET65539 ROE65537:ROP65539 RYA65537:RYL65539 SHW65537:SIH65539 SRS65537:SSD65539 TBO65537:TBZ65539 TLK65537:TLV65539 TVG65537:TVR65539 UFC65537:UFN65539 UOY65537:UPJ65539 UYU65537:UZF65539 VIQ65537:VJB65539 VSM65537:VSX65539 WCI65537:WCT65539 WME65537:WMP65539 WWA65537:WWL65539 JO131073:JZ131075 TK131073:TV131075 ADG131073:ADR131075 ANC131073:ANN131075 AWY131073:AXJ131075 BGU131073:BHF131075 BQQ131073:BRB131075 CAM131073:CAX131075 CKI131073:CKT131075 CUE131073:CUP131075 DEA131073:DEL131075 DNW131073:DOH131075 DXS131073:DYD131075 EHO131073:EHZ131075 ERK131073:ERV131075 FBG131073:FBR131075 FLC131073:FLN131075 FUY131073:FVJ131075 GEU131073:GFF131075 GOQ131073:GPB131075 GYM131073:GYX131075 HII131073:HIT131075 HSE131073:HSP131075 ICA131073:ICL131075 ILW131073:IMH131075 IVS131073:IWD131075 JFO131073:JFZ131075 JPK131073:JPV131075 JZG131073:JZR131075 KJC131073:KJN131075 KSY131073:KTJ131075 LCU131073:LDF131075 LMQ131073:LNB131075 LWM131073:LWX131075 MGI131073:MGT131075 MQE131073:MQP131075 NAA131073:NAL131075 NJW131073:NKH131075 NTS131073:NUD131075 ODO131073:ODZ131075 ONK131073:ONV131075 OXG131073:OXR131075 PHC131073:PHN131075 PQY131073:PRJ131075 QAU131073:QBF131075 QKQ131073:QLB131075 QUM131073:QUX131075 REI131073:RET131075 ROE131073:ROP131075 RYA131073:RYL131075 SHW131073:SIH131075 SRS131073:SSD131075 TBO131073:TBZ131075 TLK131073:TLV131075 TVG131073:TVR131075 UFC131073:UFN131075 UOY131073:UPJ131075 UYU131073:UZF131075 VIQ131073:VJB131075 VSM131073:VSX131075 WCI131073:WCT131075 WME131073:WMP131075 WWA131073:WWL131075 JO196609:JZ196611 TK196609:TV196611 ADG196609:ADR196611 ANC196609:ANN196611 AWY196609:AXJ196611 BGU196609:BHF196611 BQQ196609:BRB196611 CAM196609:CAX196611 CKI196609:CKT196611 CUE196609:CUP196611 DEA196609:DEL196611 DNW196609:DOH196611 DXS196609:DYD196611 EHO196609:EHZ196611 ERK196609:ERV196611 FBG196609:FBR196611 FLC196609:FLN196611 FUY196609:FVJ196611 GEU196609:GFF196611 GOQ196609:GPB196611 GYM196609:GYX196611 HII196609:HIT196611 HSE196609:HSP196611 ICA196609:ICL196611 ILW196609:IMH196611 IVS196609:IWD196611 JFO196609:JFZ196611 JPK196609:JPV196611 JZG196609:JZR196611 KJC196609:KJN196611 KSY196609:KTJ196611 LCU196609:LDF196611 LMQ196609:LNB196611 LWM196609:LWX196611 MGI196609:MGT196611 MQE196609:MQP196611 NAA196609:NAL196611 NJW196609:NKH196611 NTS196609:NUD196611 ODO196609:ODZ196611 ONK196609:ONV196611 OXG196609:OXR196611 PHC196609:PHN196611 PQY196609:PRJ196611 QAU196609:QBF196611 QKQ196609:QLB196611 QUM196609:QUX196611 REI196609:RET196611 ROE196609:ROP196611 RYA196609:RYL196611 SHW196609:SIH196611 SRS196609:SSD196611 TBO196609:TBZ196611 TLK196609:TLV196611 TVG196609:TVR196611 UFC196609:UFN196611 UOY196609:UPJ196611 UYU196609:UZF196611 VIQ196609:VJB196611 VSM196609:VSX196611 WCI196609:WCT196611 WME196609:WMP196611 WWA196609:WWL196611 JO262145:JZ262147 TK262145:TV262147 ADG262145:ADR262147 ANC262145:ANN262147 AWY262145:AXJ262147 BGU262145:BHF262147 BQQ262145:BRB262147 CAM262145:CAX262147 CKI262145:CKT262147 CUE262145:CUP262147 DEA262145:DEL262147 DNW262145:DOH262147 DXS262145:DYD262147 EHO262145:EHZ262147 ERK262145:ERV262147 FBG262145:FBR262147 FLC262145:FLN262147 FUY262145:FVJ262147 GEU262145:GFF262147 GOQ262145:GPB262147 GYM262145:GYX262147 HII262145:HIT262147 HSE262145:HSP262147 ICA262145:ICL262147 ILW262145:IMH262147 IVS262145:IWD262147 JFO262145:JFZ262147 JPK262145:JPV262147 JZG262145:JZR262147 KJC262145:KJN262147 KSY262145:KTJ262147 LCU262145:LDF262147 LMQ262145:LNB262147 LWM262145:LWX262147 MGI262145:MGT262147 MQE262145:MQP262147 NAA262145:NAL262147 NJW262145:NKH262147 NTS262145:NUD262147 ODO262145:ODZ262147 ONK262145:ONV262147 OXG262145:OXR262147 PHC262145:PHN262147 PQY262145:PRJ262147 QAU262145:QBF262147 QKQ262145:QLB262147 QUM262145:QUX262147 REI262145:RET262147 ROE262145:ROP262147 RYA262145:RYL262147 SHW262145:SIH262147 SRS262145:SSD262147 TBO262145:TBZ262147 TLK262145:TLV262147 TVG262145:TVR262147 UFC262145:UFN262147 UOY262145:UPJ262147 UYU262145:UZF262147 VIQ262145:VJB262147 VSM262145:VSX262147 WCI262145:WCT262147 WME262145:WMP262147 WWA262145:WWL262147 JO327681:JZ327683 TK327681:TV327683 ADG327681:ADR327683 ANC327681:ANN327683 AWY327681:AXJ327683 BGU327681:BHF327683 BQQ327681:BRB327683 CAM327681:CAX327683 CKI327681:CKT327683 CUE327681:CUP327683 DEA327681:DEL327683 DNW327681:DOH327683 DXS327681:DYD327683 EHO327681:EHZ327683 ERK327681:ERV327683 FBG327681:FBR327683 FLC327681:FLN327683 FUY327681:FVJ327683 GEU327681:GFF327683 GOQ327681:GPB327683 GYM327681:GYX327683 HII327681:HIT327683 HSE327681:HSP327683 ICA327681:ICL327683 ILW327681:IMH327683 IVS327681:IWD327683 JFO327681:JFZ327683 JPK327681:JPV327683 JZG327681:JZR327683 KJC327681:KJN327683 KSY327681:KTJ327683 LCU327681:LDF327683 LMQ327681:LNB327683 LWM327681:LWX327683 MGI327681:MGT327683 MQE327681:MQP327683 NAA327681:NAL327683 NJW327681:NKH327683 NTS327681:NUD327683 ODO327681:ODZ327683 ONK327681:ONV327683 OXG327681:OXR327683 PHC327681:PHN327683 PQY327681:PRJ327683 QAU327681:QBF327683 QKQ327681:QLB327683 QUM327681:QUX327683 REI327681:RET327683 ROE327681:ROP327683 RYA327681:RYL327683 SHW327681:SIH327683 SRS327681:SSD327683 TBO327681:TBZ327683 TLK327681:TLV327683 TVG327681:TVR327683 UFC327681:UFN327683 UOY327681:UPJ327683 UYU327681:UZF327683 VIQ327681:VJB327683 VSM327681:VSX327683 WCI327681:WCT327683 WME327681:WMP327683 WWA327681:WWL327683 JO393217:JZ393219 TK393217:TV393219 ADG393217:ADR393219 ANC393217:ANN393219 AWY393217:AXJ393219 BGU393217:BHF393219 BQQ393217:BRB393219 CAM393217:CAX393219 CKI393217:CKT393219 CUE393217:CUP393219 DEA393217:DEL393219 DNW393217:DOH393219 DXS393217:DYD393219 EHO393217:EHZ393219 ERK393217:ERV393219 FBG393217:FBR393219 FLC393217:FLN393219 FUY393217:FVJ393219 GEU393217:GFF393219 GOQ393217:GPB393219 GYM393217:GYX393219 HII393217:HIT393219 HSE393217:HSP393219 ICA393217:ICL393219 ILW393217:IMH393219 IVS393217:IWD393219 JFO393217:JFZ393219 JPK393217:JPV393219 JZG393217:JZR393219 KJC393217:KJN393219 KSY393217:KTJ393219 LCU393217:LDF393219 LMQ393217:LNB393219 LWM393217:LWX393219 MGI393217:MGT393219 MQE393217:MQP393219 NAA393217:NAL393219 NJW393217:NKH393219 NTS393217:NUD393219 ODO393217:ODZ393219 ONK393217:ONV393219 OXG393217:OXR393219 PHC393217:PHN393219 PQY393217:PRJ393219 QAU393217:QBF393219 QKQ393217:QLB393219 QUM393217:QUX393219 REI393217:RET393219 ROE393217:ROP393219 RYA393217:RYL393219 SHW393217:SIH393219 SRS393217:SSD393219 TBO393217:TBZ393219 TLK393217:TLV393219 TVG393217:TVR393219 UFC393217:UFN393219 UOY393217:UPJ393219 UYU393217:UZF393219 VIQ393217:VJB393219 VSM393217:VSX393219 WCI393217:WCT393219 WME393217:WMP393219 WWA393217:WWL393219 JO458753:JZ458755 TK458753:TV458755 ADG458753:ADR458755 ANC458753:ANN458755 AWY458753:AXJ458755 BGU458753:BHF458755 BQQ458753:BRB458755 CAM458753:CAX458755 CKI458753:CKT458755 CUE458753:CUP458755 DEA458753:DEL458755 DNW458753:DOH458755 DXS458753:DYD458755 EHO458753:EHZ458755 ERK458753:ERV458755 FBG458753:FBR458755 FLC458753:FLN458755 FUY458753:FVJ458755 GEU458753:GFF458755 GOQ458753:GPB458755 GYM458753:GYX458755 HII458753:HIT458755 HSE458753:HSP458755 ICA458753:ICL458755 ILW458753:IMH458755 IVS458753:IWD458755 JFO458753:JFZ458755 JPK458753:JPV458755 JZG458753:JZR458755 KJC458753:KJN458755 KSY458753:KTJ458755 LCU458753:LDF458755 LMQ458753:LNB458755 LWM458753:LWX458755 MGI458753:MGT458755 MQE458753:MQP458755 NAA458753:NAL458755 NJW458753:NKH458755 NTS458753:NUD458755 ODO458753:ODZ458755 ONK458753:ONV458755 OXG458753:OXR458755 PHC458753:PHN458755 PQY458753:PRJ458755 QAU458753:QBF458755 QKQ458753:QLB458755 QUM458753:QUX458755 REI458753:RET458755 ROE458753:ROP458755 RYA458753:RYL458755 SHW458753:SIH458755 SRS458753:SSD458755 TBO458753:TBZ458755 TLK458753:TLV458755 TVG458753:TVR458755 UFC458753:UFN458755 UOY458753:UPJ458755 UYU458753:UZF458755 VIQ458753:VJB458755 VSM458753:VSX458755 WCI458753:WCT458755 WME458753:WMP458755 WWA458753:WWL458755 JO524289:JZ524291 TK524289:TV524291 ADG524289:ADR524291 ANC524289:ANN524291 AWY524289:AXJ524291 BGU524289:BHF524291 BQQ524289:BRB524291 CAM524289:CAX524291 CKI524289:CKT524291 CUE524289:CUP524291 DEA524289:DEL524291 DNW524289:DOH524291 DXS524289:DYD524291 EHO524289:EHZ524291 ERK524289:ERV524291 FBG524289:FBR524291 FLC524289:FLN524291 FUY524289:FVJ524291 GEU524289:GFF524291 GOQ524289:GPB524291 GYM524289:GYX524291 HII524289:HIT524291 HSE524289:HSP524291 ICA524289:ICL524291 ILW524289:IMH524291 IVS524289:IWD524291 JFO524289:JFZ524291 JPK524289:JPV524291 JZG524289:JZR524291 KJC524289:KJN524291 KSY524289:KTJ524291 LCU524289:LDF524291 LMQ524289:LNB524291 LWM524289:LWX524291 MGI524289:MGT524291 MQE524289:MQP524291 NAA524289:NAL524291 NJW524289:NKH524291 NTS524289:NUD524291 ODO524289:ODZ524291 ONK524289:ONV524291 OXG524289:OXR524291 PHC524289:PHN524291 PQY524289:PRJ524291 QAU524289:QBF524291 QKQ524289:QLB524291 QUM524289:QUX524291 REI524289:RET524291 ROE524289:ROP524291 RYA524289:RYL524291 SHW524289:SIH524291 SRS524289:SSD524291 TBO524289:TBZ524291 TLK524289:TLV524291 TVG524289:TVR524291 UFC524289:UFN524291 UOY524289:UPJ524291 UYU524289:UZF524291 VIQ524289:VJB524291 VSM524289:VSX524291 WCI524289:WCT524291 WME524289:WMP524291 WWA524289:WWL524291 JO589825:JZ589827 TK589825:TV589827 ADG589825:ADR589827 ANC589825:ANN589827 AWY589825:AXJ589827 BGU589825:BHF589827 BQQ589825:BRB589827 CAM589825:CAX589827 CKI589825:CKT589827 CUE589825:CUP589827 DEA589825:DEL589827 DNW589825:DOH589827 DXS589825:DYD589827 EHO589825:EHZ589827 ERK589825:ERV589827 FBG589825:FBR589827 FLC589825:FLN589827 FUY589825:FVJ589827 GEU589825:GFF589827 GOQ589825:GPB589827 GYM589825:GYX589827 HII589825:HIT589827 HSE589825:HSP589827 ICA589825:ICL589827 ILW589825:IMH589827 IVS589825:IWD589827 JFO589825:JFZ589827 JPK589825:JPV589827 JZG589825:JZR589827 KJC589825:KJN589827 KSY589825:KTJ589827 LCU589825:LDF589827 LMQ589825:LNB589827 LWM589825:LWX589827 MGI589825:MGT589827 MQE589825:MQP589827 NAA589825:NAL589827 NJW589825:NKH589827 NTS589825:NUD589827 ODO589825:ODZ589827 ONK589825:ONV589827 OXG589825:OXR589827 PHC589825:PHN589827 PQY589825:PRJ589827 QAU589825:QBF589827 QKQ589825:QLB589827 QUM589825:QUX589827 REI589825:RET589827 ROE589825:ROP589827 RYA589825:RYL589827 SHW589825:SIH589827 SRS589825:SSD589827 TBO589825:TBZ589827 TLK589825:TLV589827 TVG589825:TVR589827 UFC589825:UFN589827 UOY589825:UPJ589827 UYU589825:UZF589827 VIQ589825:VJB589827 VSM589825:VSX589827 WCI589825:WCT589827 WME589825:WMP589827 WWA589825:WWL589827 JO655361:JZ655363 TK655361:TV655363 ADG655361:ADR655363 ANC655361:ANN655363 AWY655361:AXJ655363 BGU655361:BHF655363 BQQ655361:BRB655363 CAM655361:CAX655363 CKI655361:CKT655363 CUE655361:CUP655363 DEA655361:DEL655363 DNW655361:DOH655363 DXS655361:DYD655363 EHO655361:EHZ655363 ERK655361:ERV655363 FBG655361:FBR655363 FLC655361:FLN655363 FUY655361:FVJ655363 GEU655361:GFF655363 GOQ655361:GPB655363 GYM655361:GYX655363 HII655361:HIT655363 HSE655361:HSP655363 ICA655361:ICL655363 ILW655361:IMH655363 IVS655361:IWD655363 JFO655361:JFZ655363 JPK655361:JPV655363 JZG655361:JZR655363 KJC655361:KJN655363 KSY655361:KTJ655363 LCU655361:LDF655363 LMQ655361:LNB655363 LWM655361:LWX655363 MGI655361:MGT655363 MQE655361:MQP655363 NAA655361:NAL655363 NJW655361:NKH655363 NTS655361:NUD655363 ODO655361:ODZ655363 ONK655361:ONV655363 OXG655361:OXR655363 PHC655361:PHN655363 PQY655361:PRJ655363 QAU655361:QBF655363 QKQ655361:QLB655363 QUM655361:QUX655363 REI655361:RET655363 ROE655361:ROP655363 RYA655361:RYL655363 SHW655361:SIH655363 SRS655361:SSD655363 TBO655361:TBZ655363 TLK655361:TLV655363 TVG655361:TVR655363 UFC655361:UFN655363 UOY655361:UPJ655363 UYU655361:UZF655363 VIQ655361:VJB655363 VSM655361:VSX655363 WCI655361:WCT655363 WME655361:WMP655363 WWA655361:WWL655363 JO720897:JZ720899 TK720897:TV720899 ADG720897:ADR720899 ANC720897:ANN720899 AWY720897:AXJ720899 BGU720897:BHF720899 BQQ720897:BRB720899 CAM720897:CAX720899 CKI720897:CKT720899 CUE720897:CUP720899 DEA720897:DEL720899 DNW720897:DOH720899 DXS720897:DYD720899 EHO720897:EHZ720899 ERK720897:ERV720899 FBG720897:FBR720899 FLC720897:FLN720899 FUY720897:FVJ720899 GEU720897:GFF720899 GOQ720897:GPB720899 GYM720897:GYX720899 HII720897:HIT720899 HSE720897:HSP720899 ICA720897:ICL720899 ILW720897:IMH720899 IVS720897:IWD720899 JFO720897:JFZ720899 JPK720897:JPV720899 JZG720897:JZR720899 KJC720897:KJN720899 KSY720897:KTJ720899 LCU720897:LDF720899 LMQ720897:LNB720899 LWM720897:LWX720899 MGI720897:MGT720899 MQE720897:MQP720899 NAA720897:NAL720899 NJW720897:NKH720899 NTS720897:NUD720899 ODO720897:ODZ720899 ONK720897:ONV720899 OXG720897:OXR720899 PHC720897:PHN720899 PQY720897:PRJ720899 QAU720897:QBF720899 QKQ720897:QLB720899 QUM720897:QUX720899 REI720897:RET720899 ROE720897:ROP720899 RYA720897:RYL720899 SHW720897:SIH720899 SRS720897:SSD720899 TBO720897:TBZ720899 TLK720897:TLV720899 TVG720897:TVR720899 UFC720897:UFN720899 UOY720897:UPJ720899 UYU720897:UZF720899 VIQ720897:VJB720899 VSM720897:VSX720899 WCI720897:WCT720899 WME720897:WMP720899 WWA720897:WWL720899 JO786433:JZ786435 TK786433:TV786435 ADG786433:ADR786435 ANC786433:ANN786435 AWY786433:AXJ786435 BGU786433:BHF786435 BQQ786433:BRB786435 CAM786433:CAX786435 CKI786433:CKT786435 CUE786433:CUP786435 DEA786433:DEL786435 DNW786433:DOH786435 DXS786433:DYD786435 EHO786433:EHZ786435 ERK786433:ERV786435 FBG786433:FBR786435 FLC786433:FLN786435 FUY786433:FVJ786435 GEU786433:GFF786435 GOQ786433:GPB786435 GYM786433:GYX786435 HII786433:HIT786435 HSE786433:HSP786435 ICA786433:ICL786435 ILW786433:IMH786435 IVS786433:IWD786435 JFO786433:JFZ786435 JPK786433:JPV786435 JZG786433:JZR786435 KJC786433:KJN786435 KSY786433:KTJ786435 LCU786433:LDF786435 LMQ786433:LNB786435 LWM786433:LWX786435 MGI786433:MGT786435 MQE786433:MQP786435 NAA786433:NAL786435 NJW786433:NKH786435 NTS786433:NUD786435 ODO786433:ODZ786435 ONK786433:ONV786435 OXG786433:OXR786435 PHC786433:PHN786435 PQY786433:PRJ786435 QAU786433:QBF786435 QKQ786433:QLB786435 QUM786433:QUX786435 REI786433:RET786435 ROE786433:ROP786435 RYA786433:RYL786435 SHW786433:SIH786435 SRS786433:SSD786435 TBO786433:TBZ786435 TLK786433:TLV786435 TVG786433:TVR786435 UFC786433:UFN786435 UOY786433:UPJ786435 UYU786433:UZF786435 VIQ786433:VJB786435 VSM786433:VSX786435 WCI786433:WCT786435 WME786433:WMP786435 WWA786433:WWL786435 JO851969:JZ851971 TK851969:TV851971 ADG851969:ADR851971 ANC851969:ANN851971 AWY851969:AXJ851971 BGU851969:BHF851971 BQQ851969:BRB851971 CAM851969:CAX851971 CKI851969:CKT851971 CUE851969:CUP851971 DEA851969:DEL851971 DNW851969:DOH851971 DXS851969:DYD851971 EHO851969:EHZ851971 ERK851969:ERV851971 FBG851969:FBR851971 FLC851969:FLN851971 FUY851969:FVJ851971 GEU851969:GFF851971 GOQ851969:GPB851971 GYM851969:GYX851971 HII851969:HIT851971 HSE851969:HSP851971 ICA851969:ICL851971 ILW851969:IMH851971 IVS851969:IWD851971 JFO851969:JFZ851971 JPK851969:JPV851971 JZG851969:JZR851971 KJC851969:KJN851971 KSY851969:KTJ851971 LCU851969:LDF851971 LMQ851969:LNB851971 LWM851969:LWX851971 MGI851969:MGT851971 MQE851969:MQP851971 NAA851969:NAL851971 NJW851969:NKH851971 NTS851969:NUD851971 ODO851969:ODZ851971 ONK851969:ONV851971 OXG851969:OXR851971 PHC851969:PHN851971 PQY851969:PRJ851971 QAU851969:QBF851971 QKQ851969:QLB851971 QUM851969:QUX851971 REI851969:RET851971 ROE851969:ROP851971 RYA851969:RYL851971 SHW851969:SIH851971 SRS851969:SSD851971 TBO851969:TBZ851971 TLK851969:TLV851971 TVG851969:TVR851971 UFC851969:UFN851971 UOY851969:UPJ851971 UYU851969:UZF851971 VIQ851969:VJB851971 VSM851969:VSX851971 WCI851969:WCT851971 WME851969:WMP851971 WWA851969:WWL851971 JO917505:JZ917507 TK917505:TV917507 ADG917505:ADR917507 ANC917505:ANN917507 AWY917505:AXJ917507 BGU917505:BHF917507 BQQ917505:BRB917507 CAM917505:CAX917507 CKI917505:CKT917507 CUE917505:CUP917507 DEA917505:DEL917507 DNW917505:DOH917507 DXS917505:DYD917507 EHO917505:EHZ917507 ERK917505:ERV917507 FBG917505:FBR917507 FLC917505:FLN917507 FUY917505:FVJ917507 GEU917505:GFF917507 GOQ917505:GPB917507 GYM917505:GYX917507 HII917505:HIT917507 HSE917505:HSP917507 ICA917505:ICL917507 ILW917505:IMH917507 IVS917505:IWD917507 JFO917505:JFZ917507 JPK917505:JPV917507 JZG917505:JZR917507 KJC917505:KJN917507 KSY917505:KTJ917507 LCU917505:LDF917507 LMQ917505:LNB917507 LWM917505:LWX917507 MGI917505:MGT917507 MQE917505:MQP917507 NAA917505:NAL917507 NJW917505:NKH917507 NTS917505:NUD917507 ODO917505:ODZ917507 ONK917505:ONV917507 OXG917505:OXR917507 PHC917505:PHN917507 PQY917505:PRJ917507 QAU917505:QBF917507 QKQ917505:QLB917507 QUM917505:QUX917507 REI917505:RET917507 ROE917505:ROP917507 RYA917505:RYL917507 SHW917505:SIH917507 SRS917505:SSD917507 TBO917505:TBZ917507 TLK917505:TLV917507 TVG917505:TVR917507 UFC917505:UFN917507 UOY917505:UPJ917507 UYU917505:UZF917507 VIQ917505:VJB917507 VSM917505:VSX917507 WCI917505:WCT917507 WME917505:WMP917507 WWA917505:WWL917507 JO983041:JZ983043 TK983041:TV983043 ADG983041:ADR983043 ANC983041:ANN983043 AWY983041:AXJ983043 BGU983041:BHF983043 BQQ983041:BRB983043 CAM983041:CAX983043 CKI983041:CKT983043 CUE983041:CUP983043 DEA983041:DEL983043 DNW983041:DOH983043 DXS983041:DYD983043 EHO983041:EHZ983043 ERK983041:ERV983043 FBG983041:FBR983043 FLC983041:FLN983043 FUY983041:FVJ983043 GEU983041:GFF983043 GOQ983041:GPB983043 GYM983041:GYX983043 HII983041:HIT983043 HSE983041:HSP983043 ICA983041:ICL983043 ILW983041:IMH983043 IVS983041:IWD983043 JFO983041:JFZ983043 JPK983041:JPV983043 JZG983041:JZR983043 KJC983041:KJN983043 KSY983041:KTJ983043 LCU983041:LDF983043 LMQ983041:LNB983043 LWM983041:LWX983043 MGI983041:MGT983043 MQE983041:MQP983043 NAA983041:NAL983043 NJW983041:NKH983043 NTS983041:NUD983043 ODO983041:ODZ983043 ONK983041:ONV983043 OXG983041:OXR983043 PHC983041:PHN983043 PQY983041:PRJ983043 QAU983041:QBF983043 QKQ983041:QLB983043 QUM983041:QUX983043 REI983041:RET983043 ROE983041:ROP983043 RYA983041:RYL983043 SHW983041:SIH983043 SRS983041:SSD983043 TBO983041:TBZ983043 TLK983041:TLV983043 TVG983041:TVR983043 UFC983041:UFN983043 UOY983041:UPJ983043 UYU983041:UZF983043 VIQ983041:VJB983043 VSM983041:VSX983043 WCI983041:WCT983043 WME983041:WMP983043 WWA983041:WWL983043 Z262145:AJ262147 Z196609:AJ196611 Z131073:AJ131075 Z65537:AJ65539 Z983041:AJ983043 Z917505:AJ917507 Z851969:AJ851971 Z786433:AJ786435 Z720897:AJ720899 Z655361:AJ655363 Z589825:AJ589827 Z524289:AJ524291 Z458753:AJ458755 Z393217:AJ393219 Z327681:AJ327683 JP2:KA4 TL2:TW4 ADH2:ADS4 AND2:ANO4 AWZ2:AXK4 BGV2:BHG4 BQR2:BRC4 CAN2:CAY4 CKJ2:CKU4 CUF2:CUQ4 DEB2:DEM4 DNX2:DOI4 DXT2:DYE4 EHP2:EIA4 ERL2:ERW4 FBH2:FBS4 FLD2:FLO4 FUZ2:FVK4 GEV2:GFG4 GOR2:GPC4 GYN2:GYY4 HIJ2:HIU4 HSF2:HSQ4 ICB2:ICM4 ILX2:IMI4 IVT2:IWE4 JFP2:JGA4 JPL2:JPW4 JZH2:JZS4 KJD2:KJO4 KSZ2:KTK4 LCV2:LDG4 LMR2:LNC4 LWN2:LWY4 MGJ2:MGU4 MQF2:MQQ4 NAB2:NAM4 NJX2:NKI4 NTT2:NUE4 ODP2:OEA4 ONL2:ONW4 OXH2:OXS4 PHD2:PHO4 PQZ2:PRK4 QAV2:QBG4 QKR2:QLC4 QUN2:QUY4 REJ2:REU4 ROF2:ROQ4 RYB2:RYM4 SHX2:SII4 SRT2:SSE4 TBP2:TCA4 TLL2:TLW4 TVH2:TVS4 UFD2:UFO4 UOZ2:UPK4 UYV2:UZG4 VIR2:VJC4 VSN2:VSY4 WCJ2:WCU4 WMF2:WMQ4 WWB2:WWM4 R2"/>
    <dataValidation type="list" allowBlank="1" showInputMessage="1" showErrorMessage="1" sqref="AA8:AC46">
      <formula1>"int,numeric,varchar,date,datetime2(0),datetime2,varbinary(max)"</formula1>
    </dataValidation>
    <dataValidation type="list" allowBlank="1" showInputMessage="1" showErrorMessage="1" sqref="Y8:Z46">
      <formula1>"文字,数値,日付,時間"</formula1>
    </dataValidation>
  </dataValidations>
  <pageMargins left="0.39370078740157483" right="0.39370078740157483" top="0.59055118110236227" bottom="0.39370078740157483" header="0.39370078740157483" footer="0.19685039370078741"/>
  <pageSetup paperSize="9" scale="80" fitToHeight="0" orientation="landscape" useFirstPageNumber="1" verticalDpi="300" r:id="rId1"/>
  <headerFooter alignWithMargins="0">
    <oddFooter>&amp;R&amp;A - &amp;P</oddFooter>
  </headerFooter>
  <legacyDrawing r:id="rId2"/>
</worksheet>
</file>

<file path=xl/worksheets/sheet1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48">
    <tabColor rgb="FFFFC000"/>
  </sheetPr>
  <dimension ref="A1:BE47"/>
  <sheetViews>
    <sheetView showGridLines="0" zoomScaleNormal="100" zoomScaleSheetLayoutView="100" workbookViewId="0">
      <pane ySplit="7" topLeftCell="A8" activePane="bottomLeft" state="frozen"/>
      <selection sqref="A1:K4"/>
      <selection pane="bottomLeft" sqref="A1:H4"/>
    </sheetView>
  </sheetViews>
  <sheetFormatPr defaultColWidth="2.6328125" defaultRowHeight="14.4" customHeight="1"/>
  <cols>
    <col min="1" max="1" width="4.6328125" style="18" customWidth="1"/>
    <col min="2" max="26" width="2.6328125" style="18"/>
    <col min="27" max="27" width="2.6328125" style="18" customWidth="1"/>
    <col min="28" max="29" width="2.6328125" style="18"/>
    <col min="30" max="30" width="4.6328125" style="18" customWidth="1"/>
    <col min="31" max="31" width="2.6328125" style="18" customWidth="1"/>
    <col min="32" max="33" width="2.6328125" style="18"/>
    <col min="34" max="34" width="6.6328125" style="18" customWidth="1"/>
    <col min="35" max="41" width="2.6328125" style="18"/>
    <col min="42" max="56" width="2.6328125" style="46"/>
    <col min="57" max="16384" width="2.6328125" style="18"/>
  </cols>
  <sheetData>
    <row r="1" spans="1:57" s="17" customFormat="1" ht="14.4" customHeight="1">
      <c r="A1" s="417" t="s">
        <v>78</v>
      </c>
      <c r="B1" s="418"/>
      <c r="C1" s="418"/>
      <c r="D1" s="418"/>
      <c r="E1" s="418"/>
      <c r="F1" s="418"/>
      <c r="G1" s="418"/>
      <c r="H1" s="419"/>
      <c r="I1" s="354" t="s">
        <v>79</v>
      </c>
      <c r="J1" s="355"/>
      <c r="K1" s="355"/>
      <c r="L1" s="355"/>
      <c r="M1" s="355"/>
      <c r="N1" s="355"/>
      <c r="O1" s="355"/>
      <c r="P1" s="355"/>
      <c r="Q1" s="356"/>
      <c r="R1" s="354" t="s">
        <v>80</v>
      </c>
      <c r="S1" s="355"/>
      <c r="T1" s="355"/>
      <c r="U1" s="355"/>
      <c r="V1" s="355"/>
      <c r="W1" s="355"/>
      <c r="X1" s="356"/>
      <c r="Y1" s="354" t="s">
        <v>135</v>
      </c>
      <c r="Z1" s="355"/>
      <c r="AA1" s="355"/>
      <c r="AB1" s="355"/>
      <c r="AC1" s="355"/>
      <c r="AD1" s="355"/>
      <c r="AE1" s="355"/>
      <c r="AF1" s="355"/>
      <c r="AG1" s="355"/>
      <c r="AH1" s="355"/>
      <c r="AI1" s="355"/>
      <c r="AJ1" s="355"/>
      <c r="AK1" s="355"/>
      <c r="AL1" s="355"/>
      <c r="AM1" s="355"/>
      <c r="AN1" s="355"/>
      <c r="AO1" s="356"/>
      <c r="AP1" s="428" t="s">
        <v>82</v>
      </c>
      <c r="AQ1" s="429"/>
      <c r="AR1" s="429"/>
      <c r="AS1" s="429"/>
      <c r="AT1" s="430"/>
      <c r="AU1" s="428" t="s">
        <v>83</v>
      </c>
      <c r="AV1" s="429"/>
      <c r="AW1" s="429"/>
      <c r="AX1" s="429"/>
      <c r="AY1" s="430"/>
      <c r="AZ1" s="428" t="s">
        <v>84</v>
      </c>
      <c r="BA1" s="429"/>
      <c r="BB1" s="429"/>
      <c r="BC1" s="429"/>
      <c r="BD1" s="430"/>
    </row>
    <row r="2" spans="1:57" s="17" customFormat="1" ht="14.4" customHeight="1">
      <c r="A2" s="420"/>
      <c r="B2" s="421"/>
      <c r="C2" s="421"/>
      <c r="D2" s="421"/>
      <c r="E2" s="421"/>
      <c r="F2" s="421"/>
      <c r="G2" s="421"/>
      <c r="H2" s="422"/>
      <c r="I2" s="384" t="s">
        <v>85</v>
      </c>
      <c r="J2" s="385"/>
      <c r="K2" s="385"/>
      <c r="L2" s="385"/>
      <c r="M2" s="385"/>
      <c r="N2" s="385"/>
      <c r="O2" s="385"/>
      <c r="P2" s="385"/>
      <c r="Q2" s="386"/>
      <c r="R2" s="384" t="str">
        <f ca="1">VLOOKUP(RIGHT(CELL("filename",A2),LEN(CELL("filename",A2))-FIND("]",CELL("filename",A2))),テーブル一覧!B:AD,22,FALSE)</f>
        <v>B.生産計画</v>
      </c>
      <c r="S2" s="385"/>
      <c r="T2" s="385"/>
      <c r="U2" s="385"/>
      <c r="V2" s="385"/>
      <c r="W2" s="385"/>
      <c r="X2" s="386"/>
      <c r="Y2" s="384" t="str">
        <f ca="1">VLOOKUP(RIGHT(CELL("filename",A2),LEN(CELL("filename",A2))-FIND("]",CELL("filename",A2))),テーブル一覧!B:AD,1,FALSE)</f>
        <v>生産指示明細情報（原反）</v>
      </c>
      <c r="Z2" s="385"/>
      <c r="AA2" s="385"/>
      <c r="AB2" s="385"/>
      <c r="AC2" s="385"/>
      <c r="AD2" s="385"/>
      <c r="AE2" s="385"/>
      <c r="AF2" s="385"/>
      <c r="AG2" s="385"/>
      <c r="AH2" s="385"/>
      <c r="AI2" s="385"/>
      <c r="AJ2" s="385"/>
      <c r="AK2" s="385"/>
      <c r="AL2" s="385"/>
      <c r="AM2" s="385"/>
      <c r="AN2" s="385"/>
      <c r="AO2" s="386"/>
      <c r="AP2" s="357"/>
      <c r="AQ2" s="358"/>
      <c r="AR2" s="358"/>
      <c r="AS2" s="358"/>
      <c r="AT2" s="359"/>
      <c r="AU2" s="58" t="s">
        <v>88</v>
      </c>
      <c r="AV2" s="59"/>
      <c r="AW2" s="59"/>
      <c r="AX2" s="59"/>
      <c r="AY2" s="60"/>
      <c r="AZ2" s="434" t="s">
        <v>89</v>
      </c>
      <c r="BA2" s="435"/>
      <c r="BB2" s="435"/>
      <c r="BC2" s="435"/>
      <c r="BD2" s="436"/>
    </row>
    <row r="3" spans="1:57" s="17" customFormat="1" ht="14.4" customHeight="1">
      <c r="A3" s="420"/>
      <c r="B3" s="421"/>
      <c r="C3" s="421"/>
      <c r="D3" s="421"/>
      <c r="E3" s="421"/>
      <c r="F3" s="421"/>
      <c r="G3" s="421"/>
      <c r="H3" s="422"/>
      <c r="I3" s="387"/>
      <c r="J3" s="388"/>
      <c r="K3" s="388"/>
      <c r="L3" s="388"/>
      <c r="M3" s="388"/>
      <c r="N3" s="388"/>
      <c r="O3" s="388"/>
      <c r="P3" s="388"/>
      <c r="Q3" s="389"/>
      <c r="R3" s="387"/>
      <c r="S3" s="388"/>
      <c r="T3" s="388"/>
      <c r="U3" s="388"/>
      <c r="V3" s="388"/>
      <c r="W3" s="388"/>
      <c r="X3" s="389"/>
      <c r="Y3" s="390"/>
      <c r="Z3" s="391"/>
      <c r="AA3" s="391"/>
      <c r="AB3" s="391"/>
      <c r="AC3" s="391"/>
      <c r="AD3" s="391"/>
      <c r="AE3" s="391"/>
      <c r="AF3" s="391"/>
      <c r="AG3" s="391"/>
      <c r="AH3" s="391"/>
      <c r="AI3" s="391"/>
      <c r="AJ3" s="391"/>
      <c r="AK3" s="391"/>
      <c r="AL3" s="391"/>
      <c r="AM3" s="391"/>
      <c r="AN3" s="391"/>
      <c r="AO3" s="392"/>
      <c r="AP3" s="360"/>
      <c r="AQ3" s="361"/>
      <c r="AR3" s="361"/>
      <c r="AS3" s="361"/>
      <c r="AT3" s="362"/>
      <c r="AU3" s="431"/>
      <c r="AV3" s="432"/>
      <c r="AW3" s="432"/>
      <c r="AX3" s="432"/>
      <c r="AY3" s="433"/>
      <c r="AZ3" s="434"/>
      <c r="BA3" s="435"/>
      <c r="BB3" s="435"/>
      <c r="BC3" s="435"/>
      <c r="BD3" s="436"/>
    </row>
    <row r="4" spans="1:57" s="17" customFormat="1" ht="14.4" customHeight="1">
      <c r="A4" s="423"/>
      <c r="B4" s="424"/>
      <c r="C4" s="424"/>
      <c r="D4" s="424"/>
      <c r="E4" s="424"/>
      <c r="F4" s="424"/>
      <c r="G4" s="424"/>
      <c r="H4" s="425"/>
      <c r="I4" s="390"/>
      <c r="J4" s="391"/>
      <c r="K4" s="391"/>
      <c r="L4" s="391"/>
      <c r="M4" s="391"/>
      <c r="N4" s="391"/>
      <c r="O4" s="391"/>
      <c r="P4" s="391"/>
      <c r="Q4" s="392"/>
      <c r="R4" s="390"/>
      <c r="S4" s="391"/>
      <c r="T4" s="391"/>
      <c r="U4" s="391"/>
      <c r="V4" s="391"/>
      <c r="W4" s="391"/>
      <c r="X4" s="392"/>
      <c r="Y4" s="437" t="str">
        <f ca="1">IF(VLOOKUP(RIGHT(CELL("filename",A2),LEN(CELL("filename",A2))-FIND("]",CELL("filename",A2))),テーブル一覧!B:AD,11,FALSE)=0,"",VLOOKUP(RIGHT(CELL("filename",A2),LEN(CELL("filename",A2))-FIND("]",CELL("filename",A2))),テーブル一覧!B:AD,11,FALSE))</f>
        <v>t_seisan_shiji_gentan_m</v>
      </c>
      <c r="Z4" s="438"/>
      <c r="AA4" s="438"/>
      <c r="AB4" s="438"/>
      <c r="AC4" s="438"/>
      <c r="AD4" s="438"/>
      <c r="AE4" s="438"/>
      <c r="AF4" s="438"/>
      <c r="AG4" s="438"/>
      <c r="AH4" s="438"/>
      <c r="AI4" s="438"/>
      <c r="AJ4" s="438"/>
      <c r="AK4" s="438"/>
      <c r="AL4" s="438"/>
      <c r="AM4" s="438"/>
      <c r="AN4" s="438"/>
      <c r="AO4" s="439"/>
      <c r="AP4" s="360"/>
      <c r="AQ4" s="361"/>
      <c r="AR4" s="361"/>
      <c r="AS4" s="361"/>
      <c r="AT4" s="362"/>
      <c r="AU4" s="431"/>
      <c r="AV4" s="432"/>
      <c r="AW4" s="432"/>
      <c r="AX4" s="432"/>
      <c r="AY4" s="433"/>
      <c r="AZ4" s="434"/>
      <c r="BA4" s="435"/>
      <c r="BB4" s="435"/>
      <c r="BC4" s="435"/>
      <c r="BD4" s="436"/>
    </row>
    <row r="6" spans="1:57" ht="14.4" customHeight="1">
      <c r="A6" s="426" t="s">
        <v>90</v>
      </c>
      <c r="B6" s="407" t="s">
        <v>136</v>
      </c>
      <c r="C6" s="415"/>
      <c r="D6" s="415"/>
      <c r="E6" s="415"/>
      <c r="F6" s="415"/>
      <c r="G6" s="415"/>
      <c r="H6" s="408"/>
      <c r="I6" s="407" t="s">
        <v>137</v>
      </c>
      <c r="J6" s="415"/>
      <c r="K6" s="415"/>
      <c r="L6" s="415"/>
      <c r="M6" s="415"/>
      <c r="N6" s="415"/>
      <c r="O6" s="415"/>
      <c r="P6" s="415"/>
      <c r="Q6" s="408"/>
      <c r="R6" s="407" t="s">
        <v>138</v>
      </c>
      <c r="S6" s="415"/>
      <c r="T6" s="415"/>
      <c r="U6" s="415"/>
      <c r="V6" s="415"/>
      <c r="W6" s="415"/>
      <c r="X6" s="408"/>
      <c r="Y6" s="407" t="s">
        <v>139</v>
      </c>
      <c r="Z6" s="408"/>
      <c r="AA6" s="407" t="s">
        <v>140</v>
      </c>
      <c r="AB6" s="415"/>
      <c r="AC6" s="408"/>
      <c r="AD6" s="411" t="s">
        <v>141</v>
      </c>
      <c r="AE6" s="413" t="s">
        <v>142</v>
      </c>
      <c r="AF6" s="411" t="s">
        <v>143</v>
      </c>
      <c r="AG6" s="411" t="s">
        <v>144</v>
      </c>
      <c r="AH6" s="411" t="s">
        <v>145</v>
      </c>
      <c r="AI6" s="404" t="s">
        <v>146</v>
      </c>
      <c r="AJ6" s="405"/>
      <c r="AK6" s="405"/>
      <c r="AL6" s="405"/>
      <c r="AM6" s="405"/>
      <c r="AN6" s="405"/>
      <c r="AO6" s="405"/>
      <c r="AP6" s="405"/>
      <c r="AQ6" s="405"/>
      <c r="AR6" s="406"/>
      <c r="AS6" s="407" t="s">
        <v>147</v>
      </c>
      <c r="AT6" s="415"/>
      <c r="AU6" s="415"/>
      <c r="AV6" s="415"/>
      <c r="AW6" s="415"/>
      <c r="AX6" s="415"/>
      <c r="AY6" s="415"/>
      <c r="AZ6" s="415"/>
      <c r="BA6" s="415"/>
      <c r="BB6" s="415"/>
      <c r="BC6" s="415"/>
      <c r="BD6" s="408"/>
    </row>
    <row r="7" spans="1:57" ht="14.4" customHeight="1">
      <c r="A7" s="427"/>
      <c r="B7" s="409"/>
      <c r="C7" s="416"/>
      <c r="D7" s="416"/>
      <c r="E7" s="416"/>
      <c r="F7" s="416"/>
      <c r="G7" s="416"/>
      <c r="H7" s="410"/>
      <c r="I7" s="409"/>
      <c r="J7" s="416"/>
      <c r="K7" s="416"/>
      <c r="L7" s="416"/>
      <c r="M7" s="416"/>
      <c r="N7" s="416"/>
      <c r="O7" s="416"/>
      <c r="P7" s="416"/>
      <c r="Q7" s="410"/>
      <c r="R7" s="409"/>
      <c r="S7" s="416"/>
      <c r="T7" s="416"/>
      <c r="U7" s="416"/>
      <c r="V7" s="416"/>
      <c r="W7" s="416"/>
      <c r="X7" s="410"/>
      <c r="Y7" s="409"/>
      <c r="Z7" s="410"/>
      <c r="AA7" s="409"/>
      <c r="AB7" s="416"/>
      <c r="AC7" s="410"/>
      <c r="AD7" s="412"/>
      <c r="AE7" s="414"/>
      <c r="AF7" s="412"/>
      <c r="AG7" s="412"/>
      <c r="AH7" s="412"/>
      <c r="AI7" s="52">
        <v>1</v>
      </c>
      <c r="AJ7" s="52">
        <v>2</v>
      </c>
      <c r="AK7" s="52">
        <v>3</v>
      </c>
      <c r="AL7" s="52">
        <v>4</v>
      </c>
      <c r="AM7" s="52">
        <v>5</v>
      </c>
      <c r="AN7" s="52">
        <v>6</v>
      </c>
      <c r="AO7" s="52">
        <v>7</v>
      </c>
      <c r="AP7" s="52">
        <v>8</v>
      </c>
      <c r="AQ7" s="52">
        <v>9</v>
      </c>
      <c r="AR7" s="52">
        <v>10</v>
      </c>
      <c r="AS7" s="409"/>
      <c r="AT7" s="416"/>
      <c r="AU7" s="416"/>
      <c r="AV7" s="416"/>
      <c r="AW7" s="416"/>
      <c r="AX7" s="416"/>
      <c r="AY7" s="416"/>
      <c r="AZ7" s="416"/>
      <c r="BA7" s="416"/>
      <c r="BB7" s="416"/>
      <c r="BC7" s="416"/>
      <c r="BD7" s="410"/>
    </row>
    <row r="8" spans="1:57" ht="14.4" customHeight="1">
      <c r="A8" s="50">
        <f>IF(B8="","",COUNTA($B$8:B8))</f>
        <v>1</v>
      </c>
      <c r="B8" s="19" t="s">
        <v>148</v>
      </c>
      <c r="C8" s="20"/>
      <c r="D8" s="20"/>
      <c r="E8" s="20"/>
      <c r="F8" s="20"/>
      <c r="G8" s="20"/>
      <c r="H8" s="24"/>
      <c r="I8" s="31" t="s">
        <v>149</v>
      </c>
      <c r="J8" s="23"/>
      <c r="K8" s="23"/>
      <c r="L8" s="23"/>
      <c r="M8" s="23"/>
      <c r="N8" s="23"/>
      <c r="O8" s="23"/>
      <c r="P8" s="23"/>
      <c r="Q8" s="37"/>
      <c r="R8" s="19" t="s">
        <v>148</v>
      </c>
      <c r="S8" s="23"/>
      <c r="T8" s="23"/>
      <c r="U8" s="23"/>
      <c r="V8" s="23"/>
      <c r="W8" s="23"/>
      <c r="X8" s="24"/>
      <c r="Y8" s="440" t="s">
        <v>150</v>
      </c>
      <c r="Z8" s="441"/>
      <c r="AA8" s="442" t="s">
        <v>151</v>
      </c>
      <c r="AB8" s="443"/>
      <c r="AC8" s="444"/>
      <c r="AD8" s="27">
        <v>15</v>
      </c>
      <c r="AE8" s="29"/>
      <c r="AF8" s="29">
        <v>1</v>
      </c>
      <c r="AG8" s="28" t="s">
        <v>152</v>
      </c>
      <c r="AH8" s="28"/>
      <c r="AI8" s="28"/>
      <c r="AJ8" s="28"/>
      <c r="AK8" s="28"/>
      <c r="AL8" s="28"/>
      <c r="AM8" s="28"/>
      <c r="AN8" s="28"/>
      <c r="AO8" s="29"/>
      <c r="AP8" s="29"/>
      <c r="AQ8" s="29"/>
      <c r="AR8" s="29"/>
      <c r="AS8" s="47"/>
      <c r="AT8" s="48"/>
      <c r="AU8" s="48"/>
      <c r="AV8" s="48"/>
      <c r="AW8" s="48"/>
      <c r="AX8" s="48"/>
      <c r="AY8" s="48"/>
      <c r="AZ8" s="48"/>
      <c r="BA8" s="48"/>
      <c r="BB8" s="48"/>
      <c r="BC8" s="48"/>
      <c r="BD8" s="66"/>
    </row>
    <row r="9" spans="1:57" ht="14.4" customHeight="1">
      <c r="A9" s="50">
        <f>IF(B9="","",COUNTA($B$8:B9))</f>
        <v>2</v>
      </c>
      <c r="B9" s="25" t="s">
        <v>347</v>
      </c>
      <c r="C9" s="26"/>
      <c r="D9" s="26"/>
      <c r="E9" s="26"/>
      <c r="F9" s="26"/>
      <c r="G9" s="26"/>
      <c r="H9" s="39"/>
      <c r="I9" s="31" t="s">
        <v>348</v>
      </c>
      <c r="J9" s="23"/>
      <c r="K9" s="23"/>
      <c r="L9" s="23"/>
      <c r="M9" s="23"/>
      <c r="N9" s="23"/>
      <c r="O9" s="23"/>
      <c r="P9" s="23"/>
      <c r="Q9" s="37"/>
      <c r="R9" s="25" t="s">
        <v>347</v>
      </c>
      <c r="S9" s="23"/>
      <c r="T9" s="23"/>
      <c r="U9" s="23"/>
      <c r="V9" s="23"/>
      <c r="W9" s="23"/>
      <c r="X9" s="24"/>
      <c r="Y9" s="440" t="s">
        <v>155</v>
      </c>
      <c r="Z9" s="441"/>
      <c r="AA9" s="442" t="s">
        <v>156</v>
      </c>
      <c r="AB9" s="443"/>
      <c r="AC9" s="444"/>
      <c r="AD9" s="27">
        <v>3</v>
      </c>
      <c r="AE9" s="29"/>
      <c r="AF9" s="29">
        <v>2</v>
      </c>
      <c r="AG9" s="29" t="s">
        <v>152</v>
      </c>
      <c r="AH9" s="28"/>
      <c r="AI9" s="28"/>
      <c r="AJ9" s="28"/>
      <c r="AK9" s="28"/>
      <c r="AL9" s="28"/>
      <c r="AM9" s="28"/>
      <c r="AN9" s="28"/>
      <c r="AO9" s="29"/>
      <c r="AP9" s="29"/>
      <c r="AQ9" s="29"/>
      <c r="AR9" s="29"/>
      <c r="AS9" s="31" t="s">
        <v>402</v>
      </c>
      <c r="AT9" s="67"/>
      <c r="AU9" s="67"/>
      <c r="AV9" s="67"/>
      <c r="AW9" s="67"/>
      <c r="AX9" s="67"/>
      <c r="AY9" s="67"/>
      <c r="AZ9" s="67"/>
      <c r="BA9" s="67"/>
      <c r="BB9" s="67"/>
      <c r="BC9" s="67"/>
      <c r="BD9" s="68"/>
    </row>
    <row r="10" spans="1:57" ht="14.4" customHeight="1">
      <c r="A10" s="50">
        <f>IF(B10="","",COUNTA($B$8:B10))</f>
        <v>3</v>
      </c>
      <c r="B10" s="19" t="s">
        <v>197</v>
      </c>
      <c r="C10" s="20"/>
      <c r="D10" s="20"/>
      <c r="E10" s="20"/>
      <c r="F10" s="20"/>
      <c r="G10" s="20"/>
      <c r="H10" s="39"/>
      <c r="I10" s="31" t="s">
        <v>198</v>
      </c>
      <c r="J10" s="23"/>
      <c r="K10" s="23"/>
      <c r="L10" s="23"/>
      <c r="M10" s="23"/>
      <c r="N10" s="23"/>
      <c r="O10" s="23"/>
      <c r="P10" s="23"/>
      <c r="Q10" s="24"/>
      <c r="R10" s="19" t="s">
        <v>197</v>
      </c>
      <c r="S10" s="23"/>
      <c r="T10" s="23"/>
      <c r="U10" s="23"/>
      <c r="V10" s="23"/>
      <c r="W10" s="23"/>
      <c r="X10" s="24"/>
      <c r="Y10" s="440" t="s">
        <v>150</v>
      </c>
      <c r="Z10" s="441"/>
      <c r="AA10" s="442" t="s">
        <v>151</v>
      </c>
      <c r="AB10" s="443"/>
      <c r="AC10" s="444"/>
      <c r="AD10" s="27">
        <v>5</v>
      </c>
      <c r="AE10" s="29"/>
      <c r="AF10" s="29"/>
      <c r="AG10" s="29"/>
      <c r="AH10" s="28"/>
      <c r="AI10" s="28"/>
      <c r="AJ10" s="28"/>
      <c r="AK10" s="28"/>
      <c r="AL10" s="28"/>
      <c r="AM10" s="28"/>
      <c r="AN10" s="28"/>
      <c r="AO10" s="29"/>
      <c r="AP10" s="29"/>
      <c r="AQ10" s="29"/>
      <c r="AR10" s="29"/>
      <c r="AS10" s="31"/>
      <c r="AT10" s="67"/>
      <c r="AU10" s="67"/>
      <c r="AV10" s="67"/>
      <c r="AW10" s="67"/>
      <c r="AX10" s="67"/>
      <c r="AY10" s="67"/>
      <c r="AZ10" s="67"/>
      <c r="BA10" s="67"/>
      <c r="BB10" s="67"/>
      <c r="BC10" s="67"/>
      <c r="BD10" s="68"/>
    </row>
    <row r="11" spans="1:57" ht="14.4" customHeight="1">
      <c r="A11" s="50">
        <f>IF(B11="","",COUNTA($B$8:B11))</f>
        <v>4</v>
      </c>
      <c r="B11" s="22" t="s">
        <v>199</v>
      </c>
      <c r="C11" s="20"/>
      <c r="D11" s="20"/>
      <c r="E11" s="20"/>
      <c r="F11" s="20"/>
      <c r="G11" s="20"/>
      <c r="H11" s="39"/>
      <c r="I11" s="31" t="s">
        <v>200</v>
      </c>
      <c r="J11" s="23"/>
      <c r="K11" s="23"/>
      <c r="L11" s="23"/>
      <c r="M11" s="23"/>
      <c r="N11" s="23"/>
      <c r="O11" s="23"/>
      <c r="P11" s="23"/>
      <c r="Q11" s="24"/>
      <c r="R11" s="19" t="s">
        <v>199</v>
      </c>
      <c r="S11" s="23"/>
      <c r="T11" s="23"/>
      <c r="U11" s="23"/>
      <c r="V11" s="23"/>
      <c r="W11" s="23"/>
      <c r="X11" s="24"/>
      <c r="Y11" s="440" t="s">
        <v>150</v>
      </c>
      <c r="Z11" s="441"/>
      <c r="AA11" s="442" t="s">
        <v>151</v>
      </c>
      <c r="AB11" s="443"/>
      <c r="AC11" s="444"/>
      <c r="AD11" s="27">
        <v>20</v>
      </c>
      <c r="AE11" s="29"/>
      <c r="AF11" s="29"/>
      <c r="AG11" s="29"/>
      <c r="AH11" s="28"/>
      <c r="AI11" s="28"/>
      <c r="AJ11" s="28"/>
      <c r="AK11" s="28"/>
      <c r="AL11" s="28"/>
      <c r="AM11" s="28"/>
      <c r="AN11" s="28"/>
      <c r="AO11" s="29"/>
      <c r="AP11" s="29"/>
      <c r="AQ11" s="29"/>
      <c r="AR11" s="29"/>
      <c r="AS11" s="31"/>
      <c r="AT11" s="67"/>
      <c r="AU11" s="67"/>
      <c r="AV11" s="67"/>
      <c r="AW11" s="67"/>
      <c r="AX11" s="67"/>
      <c r="AY11" s="67"/>
      <c r="AZ11" s="67"/>
      <c r="BA11" s="67"/>
      <c r="BB11" s="67"/>
      <c r="BC11" s="67"/>
      <c r="BD11" s="68"/>
    </row>
    <row r="12" spans="1:57" ht="14.4" customHeight="1">
      <c r="A12" s="50">
        <f>IF(B12="","",COUNTA($B$8:B12))</f>
        <v>5</v>
      </c>
      <c r="B12" s="19" t="s">
        <v>201</v>
      </c>
      <c r="C12" s="20"/>
      <c r="D12" s="20"/>
      <c r="E12" s="20"/>
      <c r="F12" s="20"/>
      <c r="G12" s="20"/>
      <c r="H12" s="39"/>
      <c r="I12" s="31" t="s">
        <v>202</v>
      </c>
      <c r="J12" s="23"/>
      <c r="K12" s="23"/>
      <c r="L12" s="23"/>
      <c r="M12" s="23"/>
      <c r="N12" s="23"/>
      <c r="O12" s="23"/>
      <c r="P12" s="23"/>
      <c r="Q12" s="24"/>
      <c r="R12" s="19" t="s">
        <v>201</v>
      </c>
      <c r="S12" s="23"/>
      <c r="T12" s="23"/>
      <c r="U12" s="23"/>
      <c r="V12" s="23"/>
      <c r="W12" s="23"/>
      <c r="X12" s="24"/>
      <c r="Y12" s="440" t="s">
        <v>150</v>
      </c>
      <c r="Z12" s="441"/>
      <c r="AA12" s="442" t="s">
        <v>151</v>
      </c>
      <c r="AB12" s="443"/>
      <c r="AC12" s="444"/>
      <c r="AD12" s="27">
        <v>30</v>
      </c>
      <c r="AE12" s="29"/>
      <c r="AF12" s="29"/>
      <c r="AG12" s="29"/>
      <c r="AH12" s="28"/>
      <c r="AI12" s="28"/>
      <c r="AJ12" s="28"/>
      <c r="AK12" s="28"/>
      <c r="AL12" s="28"/>
      <c r="AM12" s="28"/>
      <c r="AN12" s="28"/>
      <c r="AO12" s="29"/>
      <c r="AP12" s="29"/>
      <c r="AQ12" s="29"/>
      <c r="AR12" s="29"/>
      <c r="AS12" s="31"/>
      <c r="AT12" s="67"/>
      <c r="AU12" s="67"/>
      <c r="AV12" s="67"/>
      <c r="AW12" s="67"/>
      <c r="AX12" s="67"/>
      <c r="AY12" s="67"/>
      <c r="AZ12" s="67"/>
      <c r="BA12" s="67"/>
      <c r="BB12" s="67"/>
      <c r="BC12" s="67"/>
      <c r="BD12" s="68"/>
    </row>
    <row r="13" spans="1:57" ht="14.4" customHeight="1">
      <c r="A13" s="50">
        <f>IF(B13="","",COUNTA($B$8:B13))</f>
        <v>6</v>
      </c>
      <c r="B13" s="25" t="s">
        <v>437</v>
      </c>
      <c r="C13" s="26"/>
      <c r="D13" s="26"/>
      <c r="E13" s="26"/>
      <c r="F13" s="26"/>
      <c r="G13" s="26"/>
      <c r="H13" s="39"/>
      <c r="I13" s="31" t="str">
        <f>VLOOKUP(B13,Sheet1!A:B,2,FALSE)</f>
        <v>paper_weight</v>
      </c>
      <c r="J13" s="23"/>
      <c r="K13" s="23"/>
      <c r="L13" s="23"/>
      <c r="M13" s="23"/>
      <c r="N13" s="23"/>
      <c r="O13" s="23"/>
      <c r="P13" s="23"/>
      <c r="Q13" s="37"/>
      <c r="R13" s="25" t="s">
        <v>437</v>
      </c>
      <c r="S13" s="23"/>
      <c r="T13" s="23"/>
      <c r="U13" s="23"/>
      <c r="V13" s="23"/>
      <c r="W13" s="23"/>
      <c r="X13" s="24"/>
      <c r="Y13" s="440" t="s">
        <v>421</v>
      </c>
      <c r="Z13" s="441"/>
      <c r="AA13" s="442" t="s">
        <v>422</v>
      </c>
      <c r="AB13" s="443"/>
      <c r="AC13" s="444"/>
      <c r="AD13" s="27">
        <v>5</v>
      </c>
      <c r="AE13" s="97">
        <v>2</v>
      </c>
      <c r="AF13" s="29"/>
      <c r="AG13" s="29"/>
      <c r="AH13" s="28"/>
      <c r="AI13" s="28"/>
      <c r="AJ13" s="28"/>
      <c r="AK13" s="28"/>
      <c r="AL13" s="28"/>
      <c r="AM13" s="28"/>
      <c r="AN13" s="28"/>
      <c r="AO13" s="29"/>
      <c r="AP13" s="29"/>
      <c r="AQ13" s="29"/>
      <c r="AR13" s="29"/>
      <c r="AS13" s="31"/>
      <c r="AT13" s="67"/>
      <c r="AU13" s="67"/>
      <c r="AV13" s="67"/>
      <c r="AW13" s="67"/>
      <c r="AX13" s="67"/>
      <c r="AY13" s="67"/>
      <c r="AZ13" s="67"/>
      <c r="BA13" s="67"/>
      <c r="BB13" s="67"/>
      <c r="BC13" s="67"/>
      <c r="BD13" s="68"/>
      <c r="BE13" s="123" t="s">
        <v>1484</v>
      </c>
    </row>
    <row r="14" spans="1:57" ht="14.4" customHeight="1">
      <c r="A14" s="50">
        <f>IF(B14="","",COUNTA($B$8:B14))</f>
        <v>7</v>
      </c>
      <c r="B14" s="25" t="s">
        <v>428</v>
      </c>
      <c r="C14" s="26"/>
      <c r="D14" s="26"/>
      <c r="E14" s="26"/>
      <c r="F14" s="26"/>
      <c r="G14" s="26"/>
      <c r="H14" s="39"/>
      <c r="I14" s="31" t="str">
        <f>VLOOKUP(B14,Sheet1!A:B,2,FALSE)</f>
        <v>width</v>
      </c>
      <c r="J14" s="23"/>
      <c r="K14" s="23"/>
      <c r="L14" s="23"/>
      <c r="M14" s="23"/>
      <c r="N14" s="23"/>
      <c r="O14" s="23"/>
      <c r="P14" s="23"/>
      <c r="Q14" s="37"/>
      <c r="R14" s="25" t="s">
        <v>428</v>
      </c>
      <c r="S14" s="23"/>
      <c r="T14" s="23"/>
      <c r="U14" s="23"/>
      <c r="V14" s="23"/>
      <c r="W14" s="23"/>
      <c r="X14" s="24"/>
      <c r="Y14" s="440" t="s">
        <v>421</v>
      </c>
      <c r="Z14" s="441"/>
      <c r="AA14" s="442" t="s">
        <v>422</v>
      </c>
      <c r="AB14" s="443"/>
      <c r="AC14" s="444"/>
      <c r="AD14" s="96">
        <v>4</v>
      </c>
      <c r="AE14" s="29"/>
      <c r="AF14" s="29"/>
      <c r="AG14" s="29"/>
      <c r="AH14" s="28"/>
      <c r="AI14" s="28"/>
      <c r="AJ14" s="28"/>
      <c r="AK14" s="28"/>
      <c r="AL14" s="28"/>
      <c r="AM14" s="28"/>
      <c r="AN14" s="28"/>
      <c r="AO14" s="29"/>
      <c r="AP14" s="29"/>
      <c r="AQ14" s="29"/>
      <c r="AR14" s="29"/>
      <c r="AS14" s="31"/>
      <c r="AT14" s="67"/>
      <c r="AU14" s="67"/>
      <c r="AV14" s="67"/>
      <c r="AW14" s="67"/>
      <c r="AX14" s="67"/>
      <c r="AY14" s="67"/>
      <c r="AZ14" s="67"/>
      <c r="BA14" s="67"/>
      <c r="BB14" s="67"/>
      <c r="BC14" s="67"/>
      <c r="BD14" s="68"/>
      <c r="BE14" s="123" t="s">
        <v>1484</v>
      </c>
    </row>
    <row r="15" spans="1:57" ht="14.4" customHeight="1">
      <c r="A15" s="50">
        <f>IF(B15="","",COUNTA($B$8:B15))</f>
        <v>8</v>
      </c>
      <c r="B15" s="25" t="s">
        <v>429</v>
      </c>
      <c r="C15" s="26"/>
      <c r="D15" s="26"/>
      <c r="E15" s="26"/>
      <c r="F15" s="26"/>
      <c r="G15" s="26"/>
      <c r="H15" s="39"/>
      <c r="I15" s="31" t="str">
        <f>VLOOKUP(B15,Sheet1!A:B,2,FALSE)</f>
        <v>length</v>
      </c>
      <c r="J15" s="23"/>
      <c r="K15" s="23"/>
      <c r="L15" s="23"/>
      <c r="M15" s="23"/>
      <c r="N15" s="23"/>
      <c r="O15" s="23"/>
      <c r="P15" s="23"/>
      <c r="Q15" s="37"/>
      <c r="R15" s="25" t="s">
        <v>429</v>
      </c>
      <c r="S15" s="23"/>
      <c r="T15" s="23"/>
      <c r="U15" s="23"/>
      <c r="V15" s="23"/>
      <c r="W15" s="23"/>
      <c r="X15" s="24"/>
      <c r="Y15" s="440" t="s">
        <v>421</v>
      </c>
      <c r="Z15" s="441"/>
      <c r="AA15" s="442" t="s">
        <v>422</v>
      </c>
      <c r="AB15" s="443"/>
      <c r="AC15" s="444"/>
      <c r="AD15" s="27">
        <v>5</v>
      </c>
      <c r="AE15" s="29"/>
      <c r="AF15" s="29"/>
      <c r="AG15" s="29"/>
      <c r="AH15" s="28"/>
      <c r="AI15" s="28"/>
      <c r="AJ15" s="28"/>
      <c r="AK15" s="28"/>
      <c r="AL15" s="28"/>
      <c r="AM15" s="28"/>
      <c r="AN15" s="28"/>
      <c r="AO15" s="29"/>
      <c r="AP15" s="29"/>
      <c r="AQ15" s="29"/>
      <c r="AR15" s="29"/>
      <c r="AS15" s="31"/>
      <c r="AT15" s="67"/>
      <c r="AU15" s="67"/>
      <c r="AV15" s="67"/>
      <c r="AW15" s="67"/>
      <c r="AX15" s="67"/>
      <c r="AY15" s="67"/>
      <c r="AZ15" s="67"/>
      <c r="BA15" s="67"/>
      <c r="BB15" s="67"/>
      <c r="BC15" s="67"/>
      <c r="BD15" s="68"/>
    </row>
    <row r="16" spans="1:57" ht="14.4" customHeight="1">
      <c r="A16" s="50">
        <f>IF(B16="","",COUNTA($B$8:B16))</f>
        <v>9</v>
      </c>
      <c r="B16" s="22" t="s">
        <v>438</v>
      </c>
      <c r="C16" s="20"/>
      <c r="D16" s="20"/>
      <c r="E16" s="20"/>
      <c r="F16" s="20"/>
      <c r="G16" s="20"/>
      <c r="H16" s="24"/>
      <c r="I16" s="31" t="str">
        <f>VLOOKUP(B16,Sheet1!A:B,2,FALSE)</f>
        <v>gentan_honsu</v>
      </c>
      <c r="J16" s="23"/>
      <c r="K16" s="23"/>
      <c r="L16" s="23"/>
      <c r="M16" s="23"/>
      <c r="N16" s="23"/>
      <c r="O16" s="23"/>
      <c r="P16" s="23"/>
      <c r="Q16" s="37"/>
      <c r="R16" s="22" t="s">
        <v>439</v>
      </c>
      <c r="S16" s="23"/>
      <c r="T16" s="23"/>
      <c r="U16" s="23"/>
      <c r="V16" s="23"/>
      <c r="W16" s="23"/>
      <c r="X16" s="24"/>
      <c r="Y16" s="440" t="s">
        <v>421</v>
      </c>
      <c r="Z16" s="441"/>
      <c r="AA16" s="442" t="s">
        <v>422</v>
      </c>
      <c r="AB16" s="443"/>
      <c r="AC16" s="444"/>
      <c r="AD16" s="27">
        <v>5</v>
      </c>
      <c r="AE16" s="29"/>
      <c r="AF16" s="29"/>
      <c r="AG16" s="29"/>
      <c r="AH16" s="28"/>
      <c r="AI16" s="28"/>
      <c r="AJ16" s="28"/>
      <c r="AK16" s="28"/>
      <c r="AL16" s="28"/>
      <c r="AM16" s="28"/>
      <c r="AN16" s="28"/>
      <c r="AO16" s="29"/>
      <c r="AP16" s="29"/>
      <c r="AQ16" s="29"/>
      <c r="AR16" s="29"/>
      <c r="AS16" s="31"/>
      <c r="AT16" s="67"/>
      <c r="AU16" s="67"/>
      <c r="AV16" s="67"/>
      <c r="AW16" s="67"/>
      <c r="AX16" s="67"/>
      <c r="AY16" s="67"/>
      <c r="AZ16" s="67"/>
      <c r="BA16" s="67"/>
      <c r="BB16" s="67"/>
      <c r="BC16" s="67"/>
      <c r="BD16" s="68"/>
    </row>
    <row r="17" spans="1:56" ht="14.4" customHeight="1">
      <c r="A17" s="50">
        <f>IF(B17="","",COUNTA($B$8:B17))</f>
        <v>10</v>
      </c>
      <c r="B17" s="19" t="s">
        <v>162</v>
      </c>
      <c r="C17" s="20"/>
      <c r="D17" s="20"/>
      <c r="E17" s="20"/>
      <c r="F17" s="20"/>
      <c r="G17" s="20"/>
      <c r="H17" s="24"/>
      <c r="I17" s="31" t="s">
        <v>163</v>
      </c>
      <c r="J17" s="23"/>
      <c r="K17" s="23"/>
      <c r="L17" s="23"/>
      <c r="M17" s="23"/>
      <c r="N17" s="23"/>
      <c r="O17" s="38"/>
      <c r="P17" s="23"/>
      <c r="Q17" s="24"/>
      <c r="R17" s="19" t="s">
        <v>164</v>
      </c>
      <c r="S17" s="23"/>
      <c r="T17" s="23"/>
      <c r="U17" s="23"/>
      <c r="V17" s="23"/>
      <c r="W17" s="23"/>
      <c r="X17" s="24"/>
      <c r="Y17" s="440" t="s">
        <v>150</v>
      </c>
      <c r="Z17" s="441"/>
      <c r="AA17" s="442" t="s">
        <v>151</v>
      </c>
      <c r="AB17" s="443"/>
      <c r="AC17" s="444"/>
      <c r="AD17" s="27">
        <v>4</v>
      </c>
      <c r="AE17" s="29"/>
      <c r="AF17" s="29"/>
      <c r="AG17" s="29"/>
      <c r="AH17" s="28"/>
      <c r="AI17" s="28"/>
      <c r="AJ17" s="28"/>
      <c r="AK17" s="28"/>
      <c r="AL17" s="28"/>
      <c r="AM17" s="28"/>
      <c r="AN17" s="28"/>
      <c r="AO17" s="29"/>
      <c r="AP17" s="29"/>
      <c r="AQ17" s="29"/>
      <c r="AR17" s="29"/>
      <c r="AS17" s="31" t="s">
        <v>440</v>
      </c>
      <c r="AT17" s="67"/>
      <c r="AU17" s="67"/>
      <c r="AV17" s="67"/>
      <c r="AW17" s="67"/>
      <c r="AX17" s="67"/>
      <c r="AY17" s="67"/>
      <c r="AZ17" s="67"/>
      <c r="BA17" s="67"/>
      <c r="BB17" s="67"/>
      <c r="BC17" s="67"/>
      <c r="BD17" s="68"/>
    </row>
    <row r="18" spans="1:56" ht="14.4" customHeight="1">
      <c r="A18" s="50">
        <f>IF(B18="","",COUNTA($B$8:B18))</f>
        <v>11</v>
      </c>
      <c r="B18" s="19" t="s">
        <v>249</v>
      </c>
      <c r="C18" s="20"/>
      <c r="D18" s="20"/>
      <c r="E18" s="20"/>
      <c r="F18" s="20"/>
      <c r="G18" s="20"/>
      <c r="H18" s="24"/>
      <c r="I18" s="31" t="s">
        <v>250</v>
      </c>
      <c r="J18" s="23"/>
      <c r="K18" s="23"/>
      <c r="L18" s="23"/>
      <c r="M18" s="23"/>
      <c r="N18" s="23"/>
      <c r="O18" s="23"/>
      <c r="P18" s="23"/>
      <c r="Q18" s="37"/>
      <c r="R18" s="19" t="s">
        <v>249</v>
      </c>
      <c r="S18" s="23"/>
      <c r="T18" s="23"/>
      <c r="U18" s="23"/>
      <c r="V18" s="23"/>
      <c r="W18" s="23"/>
      <c r="X18" s="24"/>
      <c r="Y18" s="440" t="s">
        <v>150</v>
      </c>
      <c r="Z18" s="441"/>
      <c r="AA18" s="442" t="s">
        <v>151</v>
      </c>
      <c r="AB18" s="443"/>
      <c r="AC18" s="444"/>
      <c r="AD18" s="27">
        <v>4</v>
      </c>
      <c r="AE18" s="29"/>
      <c r="AF18" s="29"/>
      <c r="AG18" s="29"/>
      <c r="AH18" s="28"/>
      <c r="AI18" s="28"/>
      <c r="AJ18" s="28"/>
      <c r="AK18" s="28"/>
      <c r="AL18" s="28"/>
      <c r="AM18" s="28"/>
      <c r="AN18" s="28"/>
      <c r="AO18" s="29"/>
      <c r="AP18" s="29"/>
      <c r="AQ18" s="29"/>
      <c r="AR18" s="29"/>
      <c r="AS18" s="31"/>
      <c r="AT18" s="67"/>
      <c r="AU18" s="67"/>
      <c r="AV18" s="67"/>
      <c r="AW18" s="67"/>
      <c r="AX18" s="67"/>
      <c r="AY18" s="67"/>
      <c r="AZ18" s="67"/>
      <c r="BA18" s="67"/>
      <c r="BB18" s="67"/>
      <c r="BC18" s="67"/>
      <c r="BD18" s="68"/>
    </row>
    <row r="19" spans="1:56" ht="14.4" customHeight="1">
      <c r="A19" s="70">
        <f>IF(B19="","",COUNTA($B$8:B19))</f>
        <v>12</v>
      </c>
      <c r="B19" s="19" t="s">
        <v>251</v>
      </c>
      <c r="C19" s="20"/>
      <c r="D19" s="20"/>
      <c r="E19" s="20"/>
      <c r="F19" s="20"/>
      <c r="G19" s="20"/>
      <c r="H19" s="24"/>
      <c r="I19" s="31" t="s">
        <v>252</v>
      </c>
      <c r="J19" s="23"/>
      <c r="K19" s="23"/>
      <c r="L19" s="23"/>
      <c r="M19" s="23"/>
      <c r="N19" s="23"/>
      <c r="O19" s="23"/>
      <c r="P19" s="23"/>
      <c r="Q19" s="37"/>
      <c r="R19" s="19" t="s">
        <v>251</v>
      </c>
      <c r="S19" s="23"/>
      <c r="T19" s="23"/>
      <c r="U19" s="23"/>
      <c r="V19" s="23"/>
      <c r="W19" s="23"/>
      <c r="X19" s="24"/>
      <c r="Y19" s="440" t="s">
        <v>150</v>
      </c>
      <c r="Z19" s="441"/>
      <c r="AA19" s="442" t="s">
        <v>151</v>
      </c>
      <c r="AB19" s="443"/>
      <c r="AC19" s="444"/>
      <c r="AD19" s="27">
        <v>4</v>
      </c>
      <c r="AE19" s="29"/>
      <c r="AF19" s="29"/>
      <c r="AG19" s="29"/>
      <c r="AH19" s="28"/>
      <c r="AI19" s="28"/>
      <c r="AJ19" s="28"/>
      <c r="AK19" s="28"/>
      <c r="AL19" s="28"/>
      <c r="AM19" s="28"/>
      <c r="AN19" s="28"/>
      <c r="AO19" s="29"/>
      <c r="AP19" s="29"/>
      <c r="AQ19" s="29"/>
      <c r="AR19" s="29"/>
      <c r="AS19" s="31"/>
      <c r="AT19" s="67"/>
      <c r="AU19" s="67"/>
      <c r="AV19" s="67"/>
      <c r="AW19" s="67"/>
      <c r="AX19" s="67"/>
      <c r="AY19" s="67"/>
      <c r="AZ19" s="67"/>
      <c r="BA19" s="67"/>
      <c r="BB19" s="67"/>
      <c r="BC19" s="67"/>
      <c r="BD19" s="68"/>
    </row>
    <row r="20" spans="1:56" ht="14.4" customHeight="1">
      <c r="A20" s="50">
        <f>IF(B20="","",COUNTA($B$8:B20))</f>
        <v>13</v>
      </c>
      <c r="B20" s="19" t="s">
        <v>253</v>
      </c>
      <c r="C20" s="20"/>
      <c r="D20" s="20"/>
      <c r="E20" s="20"/>
      <c r="F20" s="20"/>
      <c r="G20" s="20"/>
      <c r="H20" s="24"/>
      <c r="I20" s="31" t="s">
        <v>254</v>
      </c>
      <c r="J20" s="23"/>
      <c r="K20" s="23"/>
      <c r="L20" s="23"/>
      <c r="M20" s="23"/>
      <c r="N20" s="23"/>
      <c r="O20" s="23"/>
      <c r="P20" s="23"/>
      <c r="Q20" s="37"/>
      <c r="R20" s="19" t="s">
        <v>253</v>
      </c>
      <c r="S20" s="23"/>
      <c r="T20" s="23"/>
      <c r="U20" s="23"/>
      <c r="V20" s="23"/>
      <c r="W20" s="23"/>
      <c r="X20" s="24"/>
      <c r="Y20" s="440" t="s">
        <v>150</v>
      </c>
      <c r="Z20" s="441"/>
      <c r="AA20" s="442" t="s">
        <v>151</v>
      </c>
      <c r="AB20" s="443"/>
      <c r="AC20" s="444"/>
      <c r="AD20" s="27">
        <v>10</v>
      </c>
      <c r="AE20" s="29"/>
      <c r="AF20" s="29"/>
      <c r="AG20" s="29"/>
      <c r="AH20" s="28"/>
      <c r="AI20" s="28"/>
      <c r="AJ20" s="28"/>
      <c r="AK20" s="28"/>
      <c r="AL20" s="28"/>
      <c r="AM20" s="28"/>
      <c r="AN20" s="28"/>
      <c r="AO20" s="29"/>
      <c r="AP20" s="29"/>
      <c r="AQ20" s="29"/>
      <c r="AR20" s="29"/>
      <c r="AS20" s="31"/>
      <c r="AT20" s="67"/>
      <c r="AU20" s="67"/>
      <c r="AV20" s="67"/>
      <c r="AW20" s="67"/>
      <c r="AX20" s="67"/>
      <c r="AY20" s="67"/>
      <c r="AZ20" s="67"/>
      <c r="BA20" s="67"/>
      <c r="BB20" s="67"/>
      <c r="BC20" s="67"/>
      <c r="BD20" s="68"/>
    </row>
    <row r="21" spans="1:56" ht="14.4" customHeight="1">
      <c r="A21" s="50">
        <f>IF(B21="","",COUNTA($B$8:B21))</f>
        <v>14</v>
      </c>
      <c r="B21" s="19" t="s">
        <v>255</v>
      </c>
      <c r="C21" s="20"/>
      <c r="D21" s="20"/>
      <c r="E21" s="20"/>
      <c r="F21" s="20"/>
      <c r="G21" s="20"/>
      <c r="H21" s="24"/>
      <c r="I21" s="31" t="s">
        <v>256</v>
      </c>
      <c r="J21" s="23"/>
      <c r="K21" s="23"/>
      <c r="L21" s="23"/>
      <c r="M21" s="23"/>
      <c r="N21" s="23"/>
      <c r="O21" s="23"/>
      <c r="P21" s="23"/>
      <c r="Q21" s="37"/>
      <c r="R21" s="19" t="s">
        <v>255</v>
      </c>
      <c r="S21" s="23"/>
      <c r="T21" s="23"/>
      <c r="U21" s="23"/>
      <c r="V21" s="23"/>
      <c r="W21" s="23"/>
      <c r="X21" s="24"/>
      <c r="Y21" s="440" t="s">
        <v>150</v>
      </c>
      <c r="Z21" s="441"/>
      <c r="AA21" s="442" t="s">
        <v>151</v>
      </c>
      <c r="AB21" s="443"/>
      <c r="AC21" s="444"/>
      <c r="AD21" s="27">
        <v>10</v>
      </c>
      <c r="AE21" s="29"/>
      <c r="AF21" s="29"/>
      <c r="AG21" s="29"/>
      <c r="AH21" s="40"/>
      <c r="AI21" s="40"/>
      <c r="AJ21" s="28"/>
      <c r="AK21" s="28"/>
      <c r="AL21" s="28"/>
      <c r="AM21" s="28"/>
      <c r="AN21" s="28"/>
      <c r="AO21" s="29"/>
      <c r="AP21" s="29"/>
      <c r="AQ21" s="29"/>
      <c r="AR21" s="29"/>
      <c r="AS21" s="31"/>
      <c r="AT21" s="67"/>
      <c r="AU21" s="67"/>
      <c r="AV21" s="67"/>
      <c r="AW21" s="67"/>
      <c r="AX21" s="67"/>
      <c r="AY21" s="67"/>
      <c r="AZ21" s="67"/>
      <c r="BA21" s="67"/>
      <c r="BB21" s="67"/>
      <c r="BC21" s="67"/>
      <c r="BD21" s="68"/>
    </row>
    <row r="22" spans="1:56" ht="14.4" customHeight="1">
      <c r="A22" s="50">
        <f>IF(B22="","",COUNTA($B$8:B22))</f>
        <v>15</v>
      </c>
      <c r="B22" s="19" t="s">
        <v>257</v>
      </c>
      <c r="C22" s="20"/>
      <c r="D22" s="20"/>
      <c r="E22" s="20"/>
      <c r="F22" s="20"/>
      <c r="G22" s="20"/>
      <c r="H22" s="24"/>
      <c r="I22" s="31" t="s">
        <v>258</v>
      </c>
      <c r="J22" s="23"/>
      <c r="K22" s="23"/>
      <c r="L22" s="23"/>
      <c r="M22" s="23"/>
      <c r="N22" s="23"/>
      <c r="O22" s="23"/>
      <c r="P22" s="23"/>
      <c r="Q22" s="37"/>
      <c r="R22" s="19" t="s">
        <v>257</v>
      </c>
      <c r="S22" s="23"/>
      <c r="T22" s="23"/>
      <c r="U22" s="23"/>
      <c r="V22" s="23"/>
      <c r="W22" s="23"/>
      <c r="X22" s="24"/>
      <c r="Y22" s="440" t="s">
        <v>169</v>
      </c>
      <c r="Z22" s="441"/>
      <c r="AA22" s="442" t="s">
        <v>243</v>
      </c>
      <c r="AB22" s="443"/>
      <c r="AC22" s="444"/>
      <c r="AD22" s="51"/>
      <c r="AE22" s="29"/>
      <c r="AF22" s="29"/>
      <c r="AG22" s="29"/>
      <c r="AH22" s="28"/>
      <c r="AI22" s="28"/>
      <c r="AJ22" s="28"/>
      <c r="AK22" s="28"/>
      <c r="AL22" s="40"/>
      <c r="AM22" s="40"/>
      <c r="AN22" s="40"/>
      <c r="AO22" s="41"/>
      <c r="AP22" s="41"/>
      <c r="AQ22" s="41"/>
      <c r="AR22" s="41"/>
      <c r="AS22" s="42"/>
      <c r="AT22" s="43"/>
      <c r="AU22" s="67"/>
      <c r="AV22" s="67"/>
      <c r="AW22" s="67"/>
      <c r="AX22" s="67"/>
      <c r="AY22" s="67"/>
      <c r="AZ22" s="67"/>
      <c r="BA22" s="67"/>
      <c r="BB22" s="67"/>
      <c r="BC22" s="67"/>
      <c r="BD22" s="68"/>
    </row>
    <row r="23" spans="1:56" ht="14.4" customHeight="1">
      <c r="A23" s="50">
        <f>IF(B23="","",COUNTA($B$8:B23))</f>
        <v>16</v>
      </c>
      <c r="B23" s="19" t="s">
        <v>259</v>
      </c>
      <c r="C23" s="20"/>
      <c r="D23" s="20"/>
      <c r="E23" s="20"/>
      <c r="F23" s="20"/>
      <c r="G23" s="20"/>
      <c r="H23" s="24"/>
      <c r="I23" s="31" t="s">
        <v>260</v>
      </c>
      <c r="J23" s="23"/>
      <c r="K23" s="23"/>
      <c r="L23" s="23"/>
      <c r="M23" s="23"/>
      <c r="N23" s="23"/>
      <c r="O23" s="23"/>
      <c r="P23" s="23"/>
      <c r="Q23" s="37"/>
      <c r="R23" s="19" t="s">
        <v>259</v>
      </c>
      <c r="S23" s="23"/>
      <c r="T23" s="23"/>
      <c r="U23" s="23"/>
      <c r="V23" s="23"/>
      <c r="W23" s="23"/>
      <c r="X23" s="24"/>
      <c r="Y23" s="440" t="s">
        <v>150</v>
      </c>
      <c r="Z23" s="441"/>
      <c r="AA23" s="442" t="s">
        <v>151</v>
      </c>
      <c r="AB23" s="443"/>
      <c r="AC23" s="444"/>
      <c r="AD23" s="27">
        <v>10</v>
      </c>
      <c r="AE23" s="29"/>
      <c r="AF23" s="29"/>
      <c r="AG23" s="29"/>
      <c r="AH23" s="40"/>
      <c r="AI23" s="40"/>
      <c r="AJ23" s="40"/>
      <c r="AK23" s="40"/>
      <c r="AL23" s="40"/>
      <c r="AM23" s="40"/>
      <c r="AN23" s="40"/>
      <c r="AO23" s="41"/>
      <c r="AP23" s="41"/>
      <c r="AQ23" s="41"/>
      <c r="AR23" s="41"/>
      <c r="AS23" s="42"/>
      <c r="AT23" s="43"/>
      <c r="AU23" s="48"/>
      <c r="AV23" s="67"/>
      <c r="AW23" s="67"/>
      <c r="AX23" s="67"/>
      <c r="AY23" s="67"/>
      <c r="AZ23" s="67"/>
      <c r="BA23" s="67"/>
      <c r="BB23" s="67"/>
      <c r="BC23" s="67"/>
      <c r="BD23" s="68"/>
    </row>
    <row r="24" spans="1:56" ht="14.4" customHeight="1">
      <c r="A24" s="50">
        <f>IF(B24="","",COUNTA($B$8:B24))</f>
        <v>17</v>
      </c>
      <c r="B24" s="19" t="s">
        <v>261</v>
      </c>
      <c r="C24" s="20"/>
      <c r="D24" s="20"/>
      <c r="E24" s="20"/>
      <c r="F24" s="20"/>
      <c r="G24" s="20"/>
      <c r="H24" s="24"/>
      <c r="I24" s="31" t="s">
        <v>262</v>
      </c>
      <c r="J24" s="23"/>
      <c r="K24" s="23"/>
      <c r="L24" s="23"/>
      <c r="M24" s="23"/>
      <c r="N24" s="23"/>
      <c r="O24" s="23"/>
      <c r="P24" s="23"/>
      <c r="Q24" s="37"/>
      <c r="R24" s="19" t="s">
        <v>261</v>
      </c>
      <c r="S24" s="23"/>
      <c r="T24" s="23"/>
      <c r="U24" s="23"/>
      <c r="V24" s="23"/>
      <c r="W24" s="23"/>
      <c r="X24" s="24"/>
      <c r="Y24" s="440" t="s">
        <v>150</v>
      </c>
      <c r="Z24" s="441"/>
      <c r="AA24" s="442" t="s">
        <v>151</v>
      </c>
      <c r="AB24" s="443"/>
      <c r="AC24" s="444"/>
      <c r="AD24" s="51">
        <v>10</v>
      </c>
      <c r="AE24" s="29"/>
      <c r="AF24" s="29"/>
      <c r="AG24" s="29"/>
      <c r="AH24" s="40"/>
      <c r="AI24" s="40"/>
      <c r="AJ24" s="40"/>
      <c r="AK24" s="40"/>
      <c r="AL24" s="40"/>
      <c r="AM24" s="40"/>
      <c r="AN24" s="40"/>
      <c r="AO24" s="41"/>
      <c r="AP24" s="41"/>
      <c r="AQ24" s="41"/>
      <c r="AR24" s="41"/>
      <c r="AS24" s="42"/>
      <c r="AT24" s="43"/>
      <c r="AU24" s="48"/>
      <c r="AV24" s="67"/>
      <c r="AW24" s="67"/>
      <c r="AX24" s="67"/>
      <c r="AY24" s="67"/>
      <c r="AZ24" s="67"/>
      <c r="BA24" s="67"/>
      <c r="BB24" s="67"/>
      <c r="BC24" s="67"/>
      <c r="BD24" s="68"/>
    </row>
    <row r="25" spans="1:56" ht="14.4" customHeight="1">
      <c r="A25" s="50">
        <f>IF(B25="","",COUNTA($B$8:B25))</f>
        <v>18</v>
      </c>
      <c r="B25" s="19" t="s">
        <v>263</v>
      </c>
      <c r="C25" s="20"/>
      <c r="D25" s="20"/>
      <c r="E25" s="20"/>
      <c r="F25" s="20"/>
      <c r="G25" s="20"/>
      <c r="H25" s="24"/>
      <c r="I25" s="31" t="s">
        <v>264</v>
      </c>
      <c r="J25" s="23"/>
      <c r="K25" s="23"/>
      <c r="L25" s="23"/>
      <c r="M25" s="23"/>
      <c r="N25" s="23"/>
      <c r="O25" s="23"/>
      <c r="P25" s="23"/>
      <c r="Q25" s="37"/>
      <c r="R25" s="22" t="s">
        <v>263</v>
      </c>
      <c r="S25" s="23"/>
      <c r="T25" s="23"/>
      <c r="U25" s="23"/>
      <c r="V25" s="23"/>
      <c r="W25" s="23"/>
      <c r="X25" s="24"/>
      <c r="Y25" s="440" t="s">
        <v>169</v>
      </c>
      <c r="Z25" s="441"/>
      <c r="AA25" s="442" t="s">
        <v>243</v>
      </c>
      <c r="AB25" s="443"/>
      <c r="AC25" s="444"/>
      <c r="AD25" s="51"/>
      <c r="AE25" s="29"/>
      <c r="AF25" s="29"/>
      <c r="AG25" s="29"/>
      <c r="AH25" s="28"/>
      <c r="AI25" s="28"/>
      <c r="AJ25" s="28"/>
      <c r="AK25" s="28"/>
      <c r="AL25" s="28"/>
      <c r="AM25" s="28"/>
      <c r="AN25" s="28"/>
      <c r="AO25" s="29"/>
      <c r="AP25" s="29"/>
      <c r="AQ25" s="29"/>
      <c r="AR25" s="29"/>
      <c r="AS25" s="31"/>
      <c r="AT25" s="67"/>
      <c r="AU25" s="67"/>
      <c r="AV25" s="67"/>
      <c r="AW25" s="67"/>
      <c r="AX25" s="67"/>
      <c r="AY25" s="67"/>
      <c r="AZ25" s="67"/>
      <c r="BA25" s="67"/>
      <c r="BB25" s="67"/>
      <c r="BC25" s="67"/>
      <c r="BD25" s="68"/>
    </row>
    <row r="26" spans="1:56" ht="14.4" customHeight="1">
      <c r="A26" s="50" t="str">
        <f>IF(B26="","",COUNTA($B$8:B26))</f>
        <v/>
      </c>
      <c r="B26" s="19"/>
      <c r="C26" s="20"/>
      <c r="D26" s="20"/>
      <c r="E26" s="20"/>
      <c r="F26" s="20"/>
      <c r="G26" s="20"/>
      <c r="H26" s="24"/>
      <c r="I26" s="31"/>
      <c r="J26" s="23"/>
      <c r="K26" s="23"/>
      <c r="L26" s="23"/>
      <c r="M26" s="23"/>
      <c r="N26" s="23"/>
      <c r="O26" s="23"/>
      <c r="P26" s="23"/>
      <c r="Q26" s="37"/>
      <c r="R26" s="22"/>
      <c r="S26" s="23"/>
      <c r="T26" s="23"/>
      <c r="U26" s="23"/>
      <c r="V26" s="23"/>
      <c r="W26" s="23"/>
      <c r="X26" s="24"/>
      <c r="Y26" s="440"/>
      <c r="Z26" s="441"/>
      <c r="AA26" s="442"/>
      <c r="AB26" s="443"/>
      <c r="AC26" s="444"/>
      <c r="AD26" s="27"/>
      <c r="AE26" s="29"/>
      <c r="AF26" s="29"/>
      <c r="AG26" s="29"/>
      <c r="AH26" s="28"/>
      <c r="AI26" s="28"/>
      <c r="AJ26" s="28"/>
      <c r="AK26" s="28"/>
      <c r="AL26" s="28"/>
      <c r="AM26" s="28"/>
      <c r="AN26" s="28"/>
      <c r="AO26" s="29"/>
      <c r="AP26" s="29"/>
      <c r="AQ26" s="29"/>
      <c r="AR26" s="29"/>
      <c r="AS26" s="31"/>
      <c r="AT26" s="67"/>
      <c r="AU26" s="67"/>
      <c r="AV26" s="67"/>
      <c r="AW26" s="67"/>
      <c r="AX26" s="67"/>
      <c r="AY26" s="67"/>
      <c r="AZ26" s="67"/>
      <c r="BA26" s="67"/>
      <c r="BB26" s="67"/>
      <c r="BC26" s="67"/>
      <c r="BD26" s="68"/>
    </row>
    <row r="27" spans="1:56" ht="14.4" customHeight="1">
      <c r="A27" s="50" t="str">
        <f>IF(B27="","",COUNTA($B$8:B27))</f>
        <v/>
      </c>
      <c r="B27" s="19"/>
      <c r="C27" s="20"/>
      <c r="D27" s="20"/>
      <c r="E27" s="20"/>
      <c r="F27" s="20"/>
      <c r="G27" s="20"/>
      <c r="H27" s="24"/>
      <c r="I27" s="31"/>
      <c r="J27" s="23"/>
      <c r="K27" s="23"/>
      <c r="L27" s="23"/>
      <c r="M27" s="23"/>
      <c r="N27" s="23"/>
      <c r="O27" s="23"/>
      <c r="P27" s="23"/>
      <c r="Q27" s="37"/>
      <c r="R27" s="22"/>
      <c r="S27" s="23"/>
      <c r="T27" s="23"/>
      <c r="U27" s="23"/>
      <c r="V27" s="23"/>
      <c r="W27" s="23"/>
      <c r="X27" s="24"/>
      <c r="Y27" s="440"/>
      <c r="Z27" s="441"/>
      <c r="AA27" s="442"/>
      <c r="AB27" s="443"/>
      <c r="AC27" s="444"/>
      <c r="AD27" s="51"/>
      <c r="AE27" s="29"/>
      <c r="AF27" s="29"/>
      <c r="AG27" s="29"/>
      <c r="AH27" s="40"/>
      <c r="AI27" s="40"/>
      <c r="AJ27" s="28"/>
      <c r="AK27" s="28"/>
      <c r="AL27" s="28"/>
      <c r="AM27" s="28"/>
      <c r="AN27" s="28"/>
      <c r="AO27" s="29"/>
      <c r="AP27" s="29"/>
      <c r="AQ27" s="29"/>
      <c r="AR27" s="29"/>
      <c r="AS27" s="31"/>
      <c r="AT27" s="67"/>
      <c r="AU27" s="67"/>
      <c r="AV27" s="67"/>
      <c r="AW27" s="67"/>
      <c r="AX27" s="67"/>
      <c r="AY27" s="67"/>
      <c r="AZ27" s="67"/>
      <c r="BA27" s="67"/>
      <c r="BB27" s="67"/>
      <c r="BC27" s="67"/>
      <c r="BD27" s="68"/>
    </row>
    <row r="28" spans="1:56" ht="14.4" customHeight="1">
      <c r="A28" s="50" t="str">
        <f>IF(B28="","",COUNTA($B$8:B28))</f>
        <v/>
      </c>
      <c r="B28" s="19"/>
      <c r="C28" s="20"/>
      <c r="D28" s="20"/>
      <c r="E28" s="20"/>
      <c r="F28" s="20"/>
      <c r="G28" s="20"/>
      <c r="H28" s="24"/>
      <c r="I28" s="31"/>
      <c r="J28" s="23"/>
      <c r="K28" s="23"/>
      <c r="L28" s="23"/>
      <c r="M28" s="23"/>
      <c r="N28" s="23"/>
      <c r="O28" s="23"/>
      <c r="P28" s="23"/>
      <c r="Q28" s="37"/>
      <c r="R28" s="22"/>
      <c r="S28" s="23"/>
      <c r="T28" s="23"/>
      <c r="U28" s="23"/>
      <c r="V28" s="23"/>
      <c r="W28" s="23"/>
      <c r="X28" s="24"/>
      <c r="Y28" s="440"/>
      <c r="Z28" s="441"/>
      <c r="AA28" s="442"/>
      <c r="AB28" s="443"/>
      <c r="AC28" s="444"/>
      <c r="AD28" s="51"/>
      <c r="AE28" s="29"/>
      <c r="AF28" s="29"/>
      <c r="AG28" s="29"/>
      <c r="AH28" s="28"/>
      <c r="AI28" s="28"/>
      <c r="AJ28" s="28"/>
      <c r="AK28" s="28"/>
      <c r="AL28" s="40"/>
      <c r="AM28" s="40"/>
      <c r="AN28" s="40"/>
      <c r="AO28" s="41"/>
      <c r="AP28" s="41"/>
      <c r="AQ28" s="41"/>
      <c r="AR28" s="41"/>
      <c r="AS28" s="42"/>
      <c r="AT28" s="43"/>
      <c r="AU28" s="67"/>
      <c r="AV28" s="67"/>
      <c r="AW28" s="67"/>
      <c r="AX28" s="67"/>
      <c r="AY28" s="67"/>
      <c r="AZ28" s="67"/>
      <c r="BA28" s="67"/>
      <c r="BB28" s="67"/>
      <c r="BC28" s="67"/>
      <c r="BD28" s="68"/>
    </row>
    <row r="29" spans="1:56" ht="14.4" customHeight="1">
      <c r="A29" s="50" t="str">
        <f>IF(B29="","",COUNTA($B$8:B29))</f>
        <v/>
      </c>
      <c r="B29" s="19"/>
      <c r="C29" s="20"/>
      <c r="D29" s="20"/>
      <c r="E29" s="20"/>
      <c r="F29" s="20"/>
      <c r="G29" s="20"/>
      <c r="H29" s="24"/>
      <c r="I29" s="31"/>
      <c r="J29" s="23"/>
      <c r="K29" s="23"/>
      <c r="L29" s="23"/>
      <c r="M29" s="23"/>
      <c r="N29" s="23"/>
      <c r="O29" s="23"/>
      <c r="P29" s="23"/>
      <c r="Q29" s="37"/>
      <c r="R29" s="22"/>
      <c r="S29" s="23"/>
      <c r="T29" s="23"/>
      <c r="U29" s="23"/>
      <c r="V29" s="23"/>
      <c r="W29" s="23"/>
      <c r="X29" s="24"/>
      <c r="Y29" s="440"/>
      <c r="Z29" s="441"/>
      <c r="AA29" s="442"/>
      <c r="AB29" s="443"/>
      <c r="AC29" s="444"/>
      <c r="AD29" s="51"/>
      <c r="AE29" s="29"/>
      <c r="AF29" s="29"/>
      <c r="AG29" s="29"/>
      <c r="AH29" s="40"/>
      <c r="AI29" s="40"/>
      <c r="AJ29" s="40"/>
      <c r="AK29" s="40"/>
      <c r="AL29" s="40"/>
      <c r="AM29" s="40"/>
      <c r="AN29" s="40"/>
      <c r="AO29" s="41"/>
      <c r="AP29" s="41"/>
      <c r="AQ29" s="41"/>
      <c r="AR29" s="41"/>
      <c r="AS29" s="42"/>
      <c r="AT29" s="43"/>
      <c r="AU29" s="48"/>
      <c r="AV29" s="48"/>
      <c r="AW29" s="48"/>
      <c r="AX29" s="48"/>
      <c r="AY29" s="48"/>
      <c r="AZ29" s="48"/>
      <c r="BA29" s="48"/>
      <c r="BB29" s="48"/>
      <c r="BC29" s="48"/>
      <c r="BD29" s="66"/>
    </row>
    <row r="30" spans="1:56" ht="14.4" customHeight="1">
      <c r="A30" s="50" t="str">
        <f>IF(B30="","",COUNTA($B$8:B30))</f>
        <v/>
      </c>
      <c r="B30" s="19"/>
      <c r="C30" s="20"/>
      <c r="D30" s="20"/>
      <c r="E30" s="20"/>
      <c r="F30" s="20"/>
      <c r="G30" s="20"/>
      <c r="H30" s="24"/>
      <c r="I30" s="31"/>
      <c r="J30" s="23"/>
      <c r="K30" s="23"/>
      <c r="L30" s="23"/>
      <c r="M30" s="23"/>
      <c r="N30" s="23"/>
      <c r="O30" s="23"/>
      <c r="P30" s="23"/>
      <c r="Q30" s="37"/>
      <c r="R30" s="22"/>
      <c r="S30" s="23"/>
      <c r="T30" s="23"/>
      <c r="U30" s="23"/>
      <c r="V30" s="23"/>
      <c r="W30" s="23"/>
      <c r="X30" s="24"/>
      <c r="Y30" s="440"/>
      <c r="Z30" s="441"/>
      <c r="AA30" s="442"/>
      <c r="AB30" s="443"/>
      <c r="AC30" s="444"/>
      <c r="AD30" s="27"/>
      <c r="AE30" s="29"/>
      <c r="AF30" s="29"/>
      <c r="AG30" s="29"/>
      <c r="AH30" s="28"/>
      <c r="AI30" s="28"/>
      <c r="AJ30" s="28"/>
      <c r="AK30" s="28"/>
      <c r="AL30" s="28"/>
      <c r="AM30" s="28"/>
      <c r="AN30" s="28"/>
      <c r="AO30" s="29"/>
      <c r="AP30" s="29"/>
      <c r="AQ30" s="29"/>
      <c r="AR30" s="29"/>
      <c r="AS30" s="31"/>
      <c r="AT30" s="67"/>
      <c r="AU30" s="67"/>
      <c r="AV30" s="67"/>
      <c r="AW30" s="67"/>
      <c r="AX30" s="67"/>
      <c r="AY30" s="67"/>
      <c r="AZ30" s="67"/>
      <c r="BA30" s="67"/>
      <c r="BB30" s="67"/>
      <c r="BC30" s="67"/>
      <c r="BD30" s="68"/>
    </row>
    <row r="31" spans="1:56" ht="14.4" customHeight="1">
      <c r="A31" s="50" t="str">
        <f>IF(B31="","",COUNTA($B$8:B31))</f>
        <v/>
      </c>
      <c r="B31" s="19"/>
      <c r="C31" s="20"/>
      <c r="D31" s="20"/>
      <c r="E31" s="20"/>
      <c r="F31" s="20"/>
      <c r="G31" s="20"/>
      <c r="H31" s="24"/>
      <c r="I31" s="31"/>
      <c r="J31" s="23"/>
      <c r="K31" s="23"/>
      <c r="L31" s="23"/>
      <c r="M31" s="23"/>
      <c r="N31" s="23"/>
      <c r="O31" s="23"/>
      <c r="P31" s="23"/>
      <c r="Q31" s="37"/>
      <c r="R31" s="22"/>
      <c r="S31" s="23"/>
      <c r="T31" s="23"/>
      <c r="U31" s="23"/>
      <c r="V31" s="23"/>
      <c r="W31" s="23"/>
      <c r="X31" s="37"/>
      <c r="Y31" s="440"/>
      <c r="Z31" s="441"/>
      <c r="AA31" s="442"/>
      <c r="AB31" s="443"/>
      <c r="AC31" s="444"/>
      <c r="AD31" s="51"/>
      <c r="AE31" s="29"/>
      <c r="AF31" s="29"/>
      <c r="AG31" s="29"/>
      <c r="AH31" s="40"/>
      <c r="AI31" s="40"/>
      <c r="AJ31" s="40"/>
      <c r="AK31" s="40"/>
      <c r="AL31" s="40"/>
      <c r="AM31" s="40"/>
      <c r="AN31" s="40"/>
      <c r="AO31" s="41"/>
      <c r="AP31" s="41"/>
      <c r="AQ31" s="41"/>
      <c r="AR31" s="41"/>
      <c r="AS31" s="42"/>
      <c r="AT31" s="43"/>
      <c r="AU31" s="67"/>
      <c r="AV31" s="67"/>
      <c r="AW31" s="67"/>
      <c r="AX31" s="67"/>
      <c r="AY31" s="67"/>
      <c r="AZ31" s="67"/>
      <c r="BA31" s="67"/>
      <c r="BB31" s="67"/>
      <c r="BC31" s="67"/>
      <c r="BD31" s="68"/>
    </row>
    <row r="32" spans="1:56" ht="14.4" customHeight="1">
      <c r="A32" s="50" t="str">
        <f>IF(B32="","",COUNTA($B$8:B32))</f>
        <v/>
      </c>
      <c r="B32" s="19"/>
      <c r="C32" s="20"/>
      <c r="D32" s="20"/>
      <c r="E32" s="20"/>
      <c r="F32" s="20"/>
      <c r="G32" s="20"/>
      <c r="H32" s="24"/>
      <c r="I32" s="31"/>
      <c r="J32" s="23"/>
      <c r="K32" s="23"/>
      <c r="L32" s="23"/>
      <c r="M32" s="23"/>
      <c r="N32" s="23"/>
      <c r="O32" s="23"/>
      <c r="P32" s="23"/>
      <c r="Q32" s="37"/>
      <c r="R32" s="22"/>
      <c r="S32" s="23"/>
      <c r="T32" s="23"/>
      <c r="U32" s="23"/>
      <c r="V32" s="23"/>
      <c r="W32" s="23"/>
      <c r="X32" s="37"/>
      <c r="Y32" s="440"/>
      <c r="Z32" s="441"/>
      <c r="AA32" s="442"/>
      <c r="AB32" s="443"/>
      <c r="AC32" s="444"/>
      <c r="AD32" s="51"/>
      <c r="AE32" s="29"/>
      <c r="AF32" s="29"/>
      <c r="AG32" s="29"/>
      <c r="AH32" s="40"/>
      <c r="AI32" s="40"/>
      <c r="AJ32" s="40"/>
      <c r="AK32" s="40"/>
      <c r="AL32" s="40"/>
      <c r="AM32" s="40"/>
      <c r="AN32" s="40"/>
      <c r="AO32" s="41"/>
      <c r="AP32" s="41"/>
      <c r="AQ32" s="41"/>
      <c r="AR32" s="41"/>
      <c r="AS32" s="42"/>
      <c r="AT32" s="43"/>
      <c r="AU32" s="67"/>
      <c r="AV32" s="67"/>
      <c r="AW32" s="67"/>
      <c r="AX32" s="67"/>
      <c r="AY32" s="67"/>
      <c r="AZ32" s="67"/>
      <c r="BA32" s="67"/>
      <c r="BB32" s="67"/>
      <c r="BC32" s="67"/>
      <c r="BD32" s="68"/>
    </row>
    <row r="33" spans="1:56" ht="14.4" customHeight="1">
      <c r="A33" s="50" t="str">
        <f>IF(B33="","",COUNTA($B$8:B33))</f>
        <v/>
      </c>
      <c r="B33" s="31"/>
      <c r="C33" s="44"/>
      <c r="D33" s="44"/>
      <c r="E33" s="44"/>
      <c r="F33" s="44"/>
      <c r="G33" s="44"/>
      <c r="H33" s="45"/>
      <c r="I33" s="31"/>
      <c r="J33" s="35"/>
      <c r="K33" s="35"/>
      <c r="L33" s="35"/>
      <c r="M33" s="35"/>
      <c r="N33" s="35"/>
      <c r="O33" s="35"/>
      <c r="P33" s="35"/>
      <c r="Q33" s="36"/>
      <c r="R33" s="34"/>
      <c r="S33" s="35"/>
      <c r="T33" s="35"/>
      <c r="U33" s="35"/>
      <c r="V33" s="35"/>
      <c r="W33" s="35"/>
      <c r="X33" s="36"/>
      <c r="Y33" s="440"/>
      <c r="Z33" s="441"/>
      <c r="AA33" s="442"/>
      <c r="AB33" s="443"/>
      <c r="AC33" s="444"/>
      <c r="AD33" s="51"/>
      <c r="AE33" s="29"/>
      <c r="AF33" s="29"/>
      <c r="AG33" s="29"/>
      <c r="AH33" s="28"/>
      <c r="AI33" s="28"/>
      <c r="AJ33" s="28"/>
      <c r="AK33" s="28"/>
      <c r="AL33" s="28"/>
      <c r="AM33" s="28"/>
      <c r="AN33" s="28"/>
      <c r="AO33" s="29"/>
      <c r="AP33" s="29"/>
      <c r="AQ33" s="29"/>
      <c r="AR33" s="29"/>
      <c r="AS33" s="42"/>
      <c r="AT33" s="49"/>
      <c r="AU33" s="48"/>
      <c r="AV33" s="48"/>
      <c r="AW33" s="48"/>
      <c r="AX33" s="48"/>
      <c r="AY33" s="48"/>
      <c r="AZ33" s="48"/>
      <c r="BA33" s="48"/>
      <c r="BB33" s="48"/>
      <c r="BC33" s="48"/>
      <c r="BD33" s="66"/>
    </row>
    <row r="34" spans="1:56" ht="14.4" customHeight="1">
      <c r="A34" s="50" t="str">
        <f>IF(B34="","",COUNTA($B$8:B34))</f>
        <v/>
      </c>
      <c r="B34" s="31"/>
      <c r="C34" s="44"/>
      <c r="D34" s="44"/>
      <c r="E34" s="44"/>
      <c r="F34" s="44"/>
      <c r="G34" s="44"/>
      <c r="H34" s="45"/>
      <c r="I34" s="31"/>
      <c r="J34" s="35"/>
      <c r="K34" s="35"/>
      <c r="L34" s="35"/>
      <c r="M34" s="35"/>
      <c r="N34" s="35"/>
      <c r="O34" s="35"/>
      <c r="P34" s="35"/>
      <c r="Q34" s="36"/>
      <c r="R34" s="34"/>
      <c r="S34" s="35"/>
      <c r="T34" s="35"/>
      <c r="U34" s="35"/>
      <c r="V34" s="35"/>
      <c r="W34" s="35"/>
      <c r="X34" s="36"/>
      <c r="Y34" s="440"/>
      <c r="Z34" s="441"/>
      <c r="AA34" s="442"/>
      <c r="AB34" s="443"/>
      <c r="AC34" s="444"/>
      <c r="AD34" s="51"/>
      <c r="AE34" s="29"/>
      <c r="AF34" s="29"/>
      <c r="AG34" s="29"/>
      <c r="AH34" s="28"/>
      <c r="AI34" s="28"/>
      <c r="AJ34" s="28"/>
      <c r="AK34" s="28"/>
      <c r="AL34" s="28"/>
      <c r="AM34" s="28"/>
      <c r="AN34" s="28"/>
      <c r="AO34" s="29"/>
      <c r="AP34" s="29"/>
      <c r="AQ34" s="29"/>
      <c r="AR34" s="29"/>
      <c r="AS34" s="42"/>
      <c r="AT34" s="49"/>
      <c r="AU34" s="48"/>
      <c r="AV34" s="48"/>
      <c r="AW34" s="48"/>
      <c r="AX34" s="48"/>
      <c r="AY34" s="48"/>
      <c r="AZ34" s="48"/>
      <c r="BA34" s="48"/>
      <c r="BB34" s="48"/>
      <c r="BC34" s="48"/>
      <c r="BD34" s="66"/>
    </row>
    <row r="35" spans="1:56" ht="14.4" customHeight="1">
      <c r="A35" s="50" t="str">
        <f>IF(B35="","",COUNTA($B$8:B35))</f>
        <v/>
      </c>
      <c r="B35" s="19"/>
      <c r="C35" s="20"/>
      <c r="D35" s="20"/>
      <c r="E35" s="20"/>
      <c r="F35" s="20"/>
      <c r="G35" s="20"/>
      <c r="H35" s="24"/>
      <c r="I35" s="31"/>
      <c r="J35" s="23"/>
      <c r="K35" s="23"/>
      <c r="L35" s="23"/>
      <c r="M35" s="23"/>
      <c r="N35" s="23"/>
      <c r="O35" s="23"/>
      <c r="P35" s="23"/>
      <c r="Q35" s="37"/>
      <c r="R35" s="22"/>
      <c r="S35" s="23"/>
      <c r="T35" s="23"/>
      <c r="U35" s="23"/>
      <c r="V35" s="23"/>
      <c r="W35" s="23"/>
      <c r="X35" s="37"/>
      <c r="Y35" s="440"/>
      <c r="Z35" s="441"/>
      <c r="AA35" s="442"/>
      <c r="AB35" s="443"/>
      <c r="AC35" s="444"/>
      <c r="AD35" s="51"/>
      <c r="AE35" s="29"/>
      <c r="AF35" s="29"/>
      <c r="AG35" s="29"/>
      <c r="AH35" s="40"/>
      <c r="AI35" s="40"/>
      <c r="AJ35" s="40"/>
      <c r="AK35" s="40"/>
      <c r="AL35" s="40"/>
      <c r="AM35" s="40"/>
      <c r="AN35" s="40"/>
      <c r="AO35" s="41"/>
      <c r="AP35" s="41"/>
      <c r="AQ35" s="41"/>
      <c r="AR35" s="41"/>
      <c r="AS35" s="42"/>
      <c r="AT35" s="43"/>
      <c r="AU35" s="67"/>
      <c r="AV35" s="67"/>
      <c r="AW35" s="67"/>
      <c r="AX35" s="67"/>
      <c r="AY35" s="67"/>
      <c r="AZ35" s="67"/>
      <c r="BA35" s="67"/>
      <c r="BB35" s="67"/>
      <c r="BC35" s="67"/>
      <c r="BD35" s="68"/>
    </row>
    <row r="36" spans="1:56" ht="14.4" customHeight="1">
      <c r="A36" s="50" t="str">
        <f>IF(B36="","",COUNTA($B$8:B36))</f>
        <v/>
      </c>
      <c r="B36" s="19"/>
      <c r="C36" s="20"/>
      <c r="D36" s="20"/>
      <c r="E36" s="20"/>
      <c r="F36" s="20"/>
      <c r="G36" s="20"/>
      <c r="H36" s="24"/>
      <c r="I36" s="31"/>
      <c r="J36" s="23"/>
      <c r="K36" s="23"/>
      <c r="L36" s="23"/>
      <c r="M36" s="23"/>
      <c r="N36" s="23"/>
      <c r="O36" s="23"/>
      <c r="P36" s="23"/>
      <c r="Q36" s="37"/>
      <c r="R36" s="22"/>
      <c r="S36" s="23"/>
      <c r="T36" s="23"/>
      <c r="U36" s="23"/>
      <c r="V36" s="23"/>
      <c r="W36" s="23"/>
      <c r="X36" s="37"/>
      <c r="Y36" s="440"/>
      <c r="Z36" s="441"/>
      <c r="AA36" s="442"/>
      <c r="AB36" s="443"/>
      <c r="AC36" s="444"/>
      <c r="AD36" s="51"/>
      <c r="AE36" s="29"/>
      <c r="AF36" s="29"/>
      <c r="AG36" s="29"/>
      <c r="AH36" s="40"/>
      <c r="AI36" s="40"/>
      <c r="AJ36" s="40"/>
      <c r="AK36" s="40"/>
      <c r="AL36" s="40"/>
      <c r="AM36" s="40"/>
      <c r="AN36" s="40"/>
      <c r="AO36" s="41"/>
      <c r="AP36" s="41"/>
      <c r="AQ36" s="41"/>
      <c r="AR36" s="41"/>
      <c r="AS36" s="42"/>
      <c r="AT36" s="43"/>
      <c r="AU36" s="67"/>
      <c r="AV36" s="67"/>
      <c r="AW36" s="67"/>
      <c r="AX36" s="67"/>
      <c r="AY36" s="67"/>
      <c r="AZ36" s="67"/>
      <c r="BA36" s="67"/>
      <c r="BB36" s="67"/>
      <c r="BC36" s="67"/>
      <c r="BD36" s="68"/>
    </row>
    <row r="37" spans="1:56" ht="14.4" customHeight="1">
      <c r="A37" s="50" t="str">
        <f>IF(B37="","",COUNTA($B$8:B37))</f>
        <v/>
      </c>
      <c r="B37" s="19"/>
      <c r="C37" s="20"/>
      <c r="D37" s="20"/>
      <c r="E37" s="20"/>
      <c r="F37" s="20"/>
      <c r="G37" s="20"/>
      <c r="H37" s="24"/>
      <c r="I37" s="31"/>
      <c r="J37" s="23"/>
      <c r="K37" s="23"/>
      <c r="L37" s="23"/>
      <c r="M37" s="23"/>
      <c r="N37" s="23"/>
      <c r="O37" s="23"/>
      <c r="P37" s="23"/>
      <c r="Q37" s="37"/>
      <c r="R37" s="22"/>
      <c r="S37" s="23"/>
      <c r="T37" s="23"/>
      <c r="U37" s="23"/>
      <c r="V37" s="23"/>
      <c r="W37" s="23"/>
      <c r="X37" s="37"/>
      <c r="Y37" s="440"/>
      <c r="Z37" s="441"/>
      <c r="AA37" s="442"/>
      <c r="AB37" s="443"/>
      <c r="AC37" s="444"/>
      <c r="AD37" s="51"/>
      <c r="AE37" s="29"/>
      <c r="AF37" s="29"/>
      <c r="AG37" s="29"/>
      <c r="AH37" s="40"/>
      <c r="AI37" s="40"/>
      <c r="AJ37" s="40"/>
      <c r="AK37" s="40"/>
      <c r="AL37" s="40"/>
      <c r="AM37" s="40"/>
      <c r="AN37" s="40"/>
      <c r="AO37" s="41"/>
      <c r="AP37" s="41"/>
      <c r="AQ37" s="41"/>
      <c r="AR37" s="41"/>
      <c r="AS37" s="42"/>
      <c r="AT37" s="43"/>
      <c r="AU37" s="67"/>
      <c r="AV37" s="67"/>
      <c r="AW37" s="67"/>
      <c r="AX37" s="67"/>
      <c r="AY37" s="67"/>
      <c r="AZ37" s="67"/>
      <c r="BA37" s="67"/>
      <c r="BB37" s="67"/>
      <c r="BC37" s="67"/>
      <c r="BD37" s="68"/>
    </row>
    <row r="38" spans="1:56" ht="14.4" customHeight="1">
      <c r="A38" s="50" t="str">
        <f>IF(B38="","",COUNTA($B$8:B38))</f>
        <v/>
      </c>
      <c r="B38" s="19"/>
      <c r="C38" s="20"/>
      <c r="D38" s="20"/>
      <c r="E38" s="20"/>
      <c r="F38" s="20"/>
      <c r="G38" s="20"/>
      <c r="H38" s="24"/>
      <c r="I38" s="31"/>
      <c r="J38" s="23"/>
      <c r="K38" s="23"/>
      <c r="L38" s="23"/>
      <c r="M38" s="23"/>
      <c r="N38" s="23"/>
      <c r="O38" s="23"/>
      <c r="P38" s="23"/>
      <c r="Q38" s="37"/>
      <c r="R38" s="22"/>
      <c r="S38" s="23"/>
      <c r="T38" s="23"/>
      <c r="U38" s="23"/>
      <c r="V38" s="23"/>
      <c r="W38" s="23"/>
      <c r="X38" s="37"/>
      <c r="Y38" s="440"/>
      <c r="Z38" s="441"/>
      <c r="AA38" s="442"/>
      <c r="AB38" s="443"/>
      <c r="AC38" s="444"/>
      <c r="AD38" s="51"/>
      <c r="AE38" s="29"/>
      <c r="AF38" s="29"/>
      <c r="AG38" s="29"/>
      <c r="AH38" s="40"/>
      <c r="AI38" s="40"/>
      <c r="AJ38" s="40"/>
      <c r="AK38" s="40"/>
      <c r="AL38" s="40"/>
      <c r="AM38" s="40"/>
      <c r="AN38" s="40"/>
      <c r="AO38" s="41"/>
      <c r="AP38" s="41"/>
      <c r="AQ38" s="41"/>
      <c r="AR38" s="41"/>
      <c r="AS38" s="42"/>
      <c r="AT38" s="43"/>
      <c r="AU38" s="67"/>
      <c r="AV38" s="67"/>
      <c r="AW38" s="67"/>
      <c r="AX38" s="67"/>
      <c r="AY38" s="67"/>
      <c r="AZ38" s="67"/>
      <c r="BA38" s="67"/>
      <c r="BB38" s="67"/>
      <c r="BC38" s="67"/>
      <c r="BD38" s="68"/>
    </row>
    <row r="39" spans="1:56" ht="14.4" customHeight="1">
      <c r="A39" s="50" t="str">
        <f>IF(B39="","",COUNTA($B$8:B39))</f>
        <v/>
      </c>
      <c r="B39" s="19"/>
      <c r="C39" s="20"/>
      <c r="D39" s="20"/>
      <c r="E39" s="20"/>
      <c r="F39" s="20"/>
      <c r="G39" s="20"/>
      <c r="H39" s="24"/>
      <c r="I39" s="31"/>
      <c r="J39" s="23"/>
      <c r="K39" s="23"/>
      <c r="L39" s="23"/>
      <c r="M39" s="23"/>
      <c r="N39" s="23"/>
      <c r="O39" s="23"/>
      <c r="P39" s="23"/>
      <c r="Q39" s="37"/>
      <c r="R39" s="22"/>
      <c r="S39" s="23"/>
      <c r="T39" s="23"/>
      <c r="U39" s="23"/>
      <c r="V39" s="23"/>
      <c r="W39" s="23"/>
      <c r="X39" s="37"/>
      <c r="Y39" s="440"/>
      <c r="Z39" s="441"/>
      <c r="AA39" s="442"/>
      <c r="AB39" s="443"/>
      <c r="AC39" s="444"/>
      <c r="AD39" s="51"/>
      <c r="AE39" s="29"/>
      <c r="AF39" s="29"/>
      <c r="AG39" s="29"/>
      <c r="AH39" s="40"/>
      <c r="AI39" s="40"/>
      <c r="AJ39" s="40"/>
      <c r="AK39" s="40"/>
      <c r="AL39" s="40"/>
      <c r="AM39" s="40"/>
      <c r="AN39" s="40"/>
      <c r="AO39" s="41"/>
      <c r="AP39" s="41"/>
      <c r="AQ39" s="41"/>
      <c r="AR39" s="41"/>
      <c r="AS39" s="42"/>
      <c r="AT39" s="43"/>
      <c r="AU39" s="67"/>
      <c r="AV39" s="67"/>
      <c r="AW39" s="67"/>
      <c r="AX39" s="67"/>
      <c r="AY39" s="67"/>
      <c r="AZ39" s="67"/>
      <c r="BA39" s="67"/>
      <c r="BB39" s="67"/>
      <c r="BC39" s="67"/>
      <c r="BD39" s="68"/>
    </row>
    <row r="40" spans="1:56" ht="14.4" customHeight="1">
      <c r="A40" s="50" t="str">
        <f>IF(B40="","",COUNTA($B$8:B40))</f>
        <v/>
      </c>
      <c r="B40" s="19"/>
      <c r="C40" s="20"/>
      <c r="D40" s="20"/>
      <c r="E40" s="20"/>
      <c r="F40" s="20"/>
      <c r="G40" s="20"/>
      <c r="H40" s="24"/>
      <c r="I40" s="31"/>
      <c r="J40" s="23"/>
      <c r="K40" s="23"/>
      <c r="L40" s="23"/>
      <c r="M40" s="23"/>
      <c r="N40" s="23"/>
      <c r="O40" s="23"/>
      <c r="P40" s="23"/>
      <c r="Q40" s="37"/>
      <c r="R40" s="22"/>
      <c r="S40" s="23"/>
      <c r="T40" s="23"/>
      <c r="U40" s="23"/>
      <c r="V40" s="23"/>
      <c r="W40" s="23"/>
      <c r="X40" s="37"/>
      <c r="Y40" s="440"/>
      <c r="Z40" s="441"/>
      <c r="AA40" s="442"/>
      <c r="AB40" s="443"/>
      <c r="AC40" s="444"/>
      <c r="AD40" s="51"/>
      <c r="AE40" s="29"/>
      <c r="AF40" s="29"/>
      <c r="AG40" s="29"/>
      <c r="AH40" s="40"/>
      <c r="AI40" s="40"/>
      <c r="AJ40" s="40"/>
      <c r="AK40" s="40"/>
      <c r="AL40" s="40"/>
      <c r="AM40" s="40"/>
      <c r="AN40" s="40"/>
      <c r="AO40" s="41"/>
      <c r="AP40" s="41"/>
      <c r="AQ40" s="41"/>
      <c r="AR40" s="41"/>
      <c r="AS40" s="42"/>
      <c r="AT40" s="43"/>
      <c r="AU40" s="67"/>
      <c r="AV40" s="67"/>
      <c r="AW40" s="67"/>
      <c r="AX40" s="67"/>
      <c r="AY40" s="67"/>
      <c r="AZ40" s="67"/>
      <c r="BA40" s="67"/>
      <c r="BB40" s="67"/>
      <c r="BC40" s="67"/>
      <c r="BD40" s="68"/>
    </row>
    <row r="41" spans="1:56" ht="14.4" customHeight="1">
      <c r="A41" s="50" t="str">
        <f>IF(B41="","",COUNTA($B$8:B41))</f>
        <v/>
      </c>
      <c r="B41" s="19"/>
      <c r="C41" s="20"/>
      <c r="D41" s="20"/>
      <c r="E41" s="20"/>
      <c r="F41" s="20"/>
      <c r="G41" s="20"/>
      <c r="H41" s="24"/>
      <c r="I41" s="31"/>
      <c r="J41" s="23"/>
      <c r="K41" s="23"/>
      <c r="L41" s="23"/>
      <c r="M41" s="23"/>
      <c r="N41" s="23"/>
      <c r="O41" s="23"/>
      <c r="P41" s="23"/>
      <c r="Q41" s="37"/>
      <c r="R41" s="22"/>
      <c r="S41" s="23"/>
      <c r="T41" s="23"/>
      <c r="U41" s="23"/>
      <c r="V41" s="23"/>
      <c r="W41" s="23"/>
      <c r="X41" s="37"/>
      <c r="Y41" s="440"/>
      <c r="Z41" s="441"/>
      <c r="AA41" s="442"/>
      <c r="AB41" s="443"/>
      <c r="AC41" s="444"/>
      <c r="AD41" s="51"/>
      <c r="AE41" s="29"/>
      <c r="AF41" s="29"/>
      <c r="AG41" s="29"/>
      <c r="AH41" s="40"/>
      <c r="AI41" s="40"/>
      <c r="AJ41" s="40"/>
      <c r="AK41" s="40"/>
      <c r="AL41" s="40"/>
      <c r="AM41" s="40"/>
      <c r="AN41" s="40"/>
      <c r="AO41" s="41"/>
      <c r="AP41" s="41"/>
      <c r="AQ41" s="41"/>
      <c r="AR41" s="41"/>
      <c r="AS41" s="42"/>
      <c r="AT41" s="43"/>
      <c r="AU41" s="67"/>
      <c r="AV41" s="67"/>
      <c r="AW41" s="67"/>
      <c r="AX41" s="67"/>
      <c r="AY41" s="67"/>
      <c r="AZ41" s="67"/>
      <c r="BA41" s="67"/>
      <c r="BB41" s="67"/>
      <c r="BC41" s="67"/>
      <c r="BD41" s="68"/>
    </row>
    <row r="42" spans="1:56" ht="14.4" customHeight="1">
      <c r="A42" s="50" t="str">
        <f>IF(B42="","",COUNTA($B$8:B42))</f>
        <v/>
      </c>
      <c r="B42" s="19"/>
      <c r="C42" s="20"/>
      <c r="D42" s="20"/>
      <c r="E42" s="20"/>
      <c r="F42" s="20"/>
      <c r="G42" s="20"/>
      <c r="H42" s="24"/>
      <c r="I42" s="31"/>
      <c r="J42" s="23"/>
      <c r="K42" s="23"/>
      <c r="L42" s="23"/>
      <c r="M42" s="23"/>
      <c r="N42" s="23"/>
      <c r="O42" s="23"/>
      <c r="P42" s="23"/>
      <c r="Q42" s="37"/>
      <c r="R42" s="22"/>
      <c r="S42" s="23"/>
      <c r="T42" s="23"/>
      <c r="U42" s="23"/>
      <c r="V42" s="23"/>
      <c r="W42" s="23"/>
      <c r="X42" s="37"/>
      <c r="Y42" s="440"/>
      <c r="Z42" s="441"/>
      <c r="AA42" s="442"/>
      <c r="AB42" s="443"/>
      <c r="AC42" s="444"/>
      <c r="AD42" s="51"/>
      <c r="AE42" s="29"/>
      <c r="AF42" s="29"/>
      <c r="AG42" s="29"/>
      <c r="AH42" s="40"/>
      <c r="AI42" s="40"/>
      <c r="AJ42" s="40"/>
      <c r="AK42" s="40"/>
      <c r="AL42" s="40"/>
      <c r="AM42" s="40"/>
      <c r="AN42" s="40"/>
      <c r="AO42" s="41"/>
      <c r="AP42" s="41"/>
      <c r="AQ42" s="41"/>
      <c r="AR42" s="41"/>
      <c r="AS42" s="42"/>
      <c r="AT42" s="43"/>
      <c r="AU42" s="67"/>
      <c r="AV42" s="67"/>
      <c r="AW42" s="67"/>
      <c r="AX42" s="67"/>
      <c r="AY42" s="67"/>
      <c r="AZ42" s="67"/>
      <c r="BA42" s="67"/>
      <c r="BB42" s="67"/>
      <c r="BC42" s="67"/>
      <c r="BD42" s="68"/>
    </row>
    <row r="43" spans="1:56" ht="14.4" customHeight="1">
      <c r="A43" s="50" t="str">
        <f>IF(B43="","",COUNTA($B$8:B43))</f>
        <v/>
      </c>
      <c r="B43" s="19"/>
      <c r="C43" s="20"/>
      <c r="D43" s="20"/>
      <c r="E43" s="20"/>
      <c r="F43" s="20"/>
      <c r="G43" s="20"/>
      <c r="H43" s="24"/>
      <c r="I43" s="31"/>
      <c r="J43" s="23"/>
      <c r="K43" s="23"/>
      <c r="L43" s="23"/>
      <c r="M43" s="23"/>
      <c r="N43" s="23"/>
      <c r="O43" s="23"/>
      <c r="P43" s="23"/>
      <c r="Q43" s="37"/>
      <c r="R43" s="22"/>
      <c r="S43" s="23"/>
      <c r="T43" s="23"/>
      <c r="U43" s="23"/>
      <c r="V43" s="23"/>
      <c r="W43" s="23"/>
      <c r="X43" s="37"/>
      <c r="Y43" s="440"/>
      <c r="Z43" s="441"/>
      <c r="AA43" s="442"/>
      <c r="AB43" s="443"/>
      <c r="AC43" s="444"/>
      <c r="AD43" s="51"/>
      <c r="AE43" s="29"/>
      <c r="AF43" s="29"/>
      <c r="AG43" s="29"/>
      <c r="AH43" s="40"/>
      <c r="AI43" s="40"/>
      <c r="AJ43" s="40"/>
      <c r="AK43" s="40"/>
      <c r="AL43" s="40"/>
      <c r="AM43" s="40"/>
      <c r="AN43" s="40"/>
      <c r="AO43" s="41"/>
      <c r="AP43" s="41"/>
      <c r="AQ43" s="41"/>
      <c r="AR43" s="41"/>
      <c r="AS43" s="42"/>
      <c r="AT43" s="43"/>
      <c r="AU43" s="67"/>
      <c r="AV43" s="67"/>
      <c r="AW43" s="67"/>
      <c r="AX43" s="67"/>
      <c r="AY43" s="67"/>
      <c r="AZ43" s="67"/>
      <c r="BA43" s="67"/>
      <c r="BB43" s="67"/>
      <c r="BC43" s="67"/>
      <c r="BD43" s="68"/>
    </row>
    <row r="44" spans="1:56" ht="14.4" customHeight="1">
      <c r="A44" s="50" t="str">
        <f>IF(B44="","",COUNTA($B$8:B44))</f>
        <v/>
      </c>
      <c r="B44" s="19"/>
      <c r="C44" s="20"/>
      <c r="D44" s="20"/>
      <c r="E44" s="20"/>
      <c r="F44" s="20"/>
      <c r="G44" s="20"/>
      <c r="H44" s="24"/>
      <c r="I44" s="31"/>
      <c r="J44" s="23"/>
      <c r="K44" s="23"/>
      <c r="L44" s="23"/>
      <c r="M44" s="23"/>
      <c r="N44" s="23"/>
      <c r="O44" s="23"/>
      <c r="P44" s="23"/>
      <c r="Q44" s="37"/>
      <c r="R44" s="22"/>
      <c r="S44" s="23"/>
      <c r="T44" s="23"/>
      <c r="U44" s="23"/>
      <c r="V44" s="23"/>
      <c r="W44" s="23"/>
      <c r="X44" s="37"/>
      <c r="Y44" s="440"/>
      <c r="Z44" s="441"/>
      <c r="AA44" s="442"/>
      <c r="AB44" s="443"/>
      <c r="AC44" s="444"/>
      <c r="AD44" s="51"/>
      <c r="AE44" s="29"/>
      <c r="AF44" s="29"/>
      <c r="AG44" s="29"/>
      <c r="AH44" s="40"/>
      <c r="AI44" s="40"/>
      <c r="AJ44" s="40"/>
      <c r="AK44" s="40"/>
      <c r="AL44" s="40"/>
      <c r="AM44" s="40"/>
      <c r="AN44" s="40"/>
      <c r="AO44" s="41"/>
      <c r="AP44" s="41"/>
      <c r="AQ44" s="41"/>
      <c r="AR44" s="41"/>
      <c r="AS44" s="42"/>
      <c r="AT44" s="43"/>
      <c r="AU44" s="67"/>
      <c r="AV44" s="67"/>
      <c r="AW44" s="67"/>
      <c r="AX44" s="67"/>
      <c r="AY44" s="67"/>
      <c r="AZ44" s="67"/>
      <c r="BA44" s="67"/>
      <c r="BB44" s="67"/>
      <c r="BC44" s="67"/>
      <c r="BD44" s="68"/>
    </row>
    <row r="45" spans="1:56" ht="14.4" customHeight="1">
      <c r="A45" s="50" t="str">
        <f>IF(B45="","",COUNTA($B$8:B45))</f>
        <v/>
      </c>
      <c r="B45" s="19"/>
      <c r="C45" s="20"/>
      <c r="D45" s="20"/>
      <c r="E45" s="20"/>
      <c r="F45" s="20"/>
      <c r="G45" s="20"/>
      <c r="H45" s="24"/>
      <c r="I45" s="31"/>
      <c r="J45" s="23"/>
      <c r="K45" s="23"/>
      <c r="L45" s="23"/>
      <c r="M45" s="23"/>
      <c r="N45" s="23"/>
      <c r="O45" s="23"/>
      <c r="P45" s="23"/>
      <c r="Q45" s="37"/>
      <c r="R45" s="22"/>
      <c r="S45" s="23"/>
      <c r="T45" s="23"/>
      <c r="U45" s="23"/>
      <c r="V45" s="23"/>
      <c r="W45" s="23"/>
      <c r="X45" s="37"/>
      <c r="Y45" s="440"/>
      <c r="Z45" s="441"/>
      <c r="AA45" s="442"/>
      <c r="AB45" s="443"/>
      <c r="AC45" s="444"/>
      <c r="AD45" s="51"/>
      <c r="AE45" s="29"/>
      <c r="AF45" s="29"/>
      <c r="AG45" s="29"/>
      <c r="AH45" s="40"/>
      <c r="AI45" s="40"/>
      <c r="AJ45" s="40"/>
      <c r="AK45" s="40"/>
      <c r="AL45" s="40"/>
      <c r="AM45" s="40"/>
      <c r="AN45" s="40"/>
      <c r="AO45" s="41"/>
      <c r="AP45" s="41"/>
      <c r="AQ45" s="41"/>
      <c r="AR45" s="41"/>
      <c r="AS45" s="42"/>
      <c r="AT45" s="43"/>
      <c r="AU45" s="67"/>
      <c r="AV45" s="67"/>
      <c r="AW45" s="67"/>
      <c r="AX45" s="67"/>
      <c r="AY45" s="67"/>
      <c r="AZ45" s="67"/>
      <c r="BA45" s="67"/>
      <c r="BB45" s="67"/>
      <c r="BC45" s="67"/>
      <c r="BD45" s="68"/>
    </row>
    <row r="46" spans="1:56" ht="14.4" customHeight="1">
      <c r="A46" s="50" t="str">
        <f>IF(B46="","",COUNTA($B$8:B46))</f>
        <v/>
      </c>
      <c r="B46" s="19"/>
      <c r="C46" s="20"/>
      <c r="D46" s="20"/>
      <c r="E46" s="20"/>
      <c r="F46" s="20"/>
      <c r="G46" s="20"/>
      <c r="H46" s="24"/>
      <c r="I46" s="31"/>
      <c r="J46" s="23"/>
      <c r="K46" s="23"/>
      <c r="L46" s="23"/>
      <c r="M46" s="23"/>
      <c r="N46" s="23"/>
      <c r="O46" s="23"/>
      <c r="P46" s="23"/>
      <c r="Q46" s="37"/>
      <c r="R46" s="22"/>
      <c r="S46" s="23"/>
      <c r="T46" s="23"/>
      <c r="U46" s="23"/>
      <c r="V46" s="23"/>
      <c r="W46" s="23"/>
      <c r="X46" s="37"/>
      <c r="Y46" s="440"/>
      <c r="Z46" s="441"/>
      <c r="AA46" s="442"/>
      <c r="AB46" s="443"/>
      <c r="AC46" s="444"/>
      <c r="AD46" s="51"/>
      <c r="AE46" s="29"/>
      <c r="AF46" s="29"/>
      <c r="AG46" s="29"/>
      <c r="AH46" s="40"/>
      <c r="AI46" s="40"/>
      <c r="AJ46" s="40"/>
      <c r="AK46" s="40"/>
      <c r="AL46" s="40"/>
      <c r="AM46" s="40"/>
      <c r="AN46" s="40"/>
      <c r="AO46" s="41"/>
      <c r="AP46" s="41"/>
      <c r="AQ46" s="41"/>
      <c r="AR46" s="41"/>
      <c r="AS46" s="42"/>
      <c r="AT46" s="43"/>
      <c r="AU46" s="67"/>
      <c r="AV46" s="67"/>
      <c r="AW46" s="67"/>
      <c r="AX46" s="67"/>
      <c r="AY46" s="67"/>
      <c r="AZ46" s="67"/>
      <c r="BA46" s="67"/>
      <c r="BB46" s="67"/>
      <c r="BC46" s="67"/>
      <c r="BD46" s="68"/>
    </row>
    <row r="47" spans="1:56" s="46" customFormat="1" ht="14.4" customHeight="1">
      <c r="A47" s="18"/>
      <c r="B47" s="18"/>
      <c r="C47" s="18"/>
      <c r="D47" s="18"/>
      <c r="E47" s="18"/>
      <c r="F47" s="18"/>
      <c r="G47" s="18"/>
      <c r="H47" s="18"/>
      <c r="I47" s="18"/>
      <c r="J47" s="18"/>
      <c r="K47" s="18"/>
      <c r="L47" s="18"/>
      <c r="M47" s="18"/>
      <c r="N47" s="18"/>
      <c r="O47" s="18"/>
      <c r="P47" s="18"/>
      <c r="Q47" s="18"/>
      <c r="R47" s="18"/>
      <c r="S47" s="18"/>
      <c r="T47" s="18"/>
      <c r="U47" s="18"/>
      <c r="V47" s="18"/>
      <c r="W47" s="18"/>
      <c r="X47" s="18"/>
      <c r="Y47" s="18"/>
      <c r="Z47" s="18"/>
      <c r="AA47" s="18"/>
      <c r="AB47" s="18"/>
      <c r="AC47" s="18"/>
      <c r="AD47" s="18"/>
      <c r="AE47" s="18"/>
      <c r="AF47" s="18"/>
      <c r="AG47" s="18"/>
      <c r="AH47" s="18"/>
      <c r="AI47" s="18"/>
      <c r="AJ47" s="18"/>
      <c r="AK47" s="18"/>
      <c r="AL47" s="18"/>
      <c r="AM47" s="18"/>
      <c r="AN47" s="18"/>
      <c r="AO47" s="18"/>
      <c r="AP47" s="18"/>
      <c r="AQ47" s="18"/>
      <c r="AR47" s="18"/>
      <c r="AS47" s="18"/>
    </row>
  </sheetData>
  <mergeCells count="110">
    <mergeCell ref="A1:H4"/>
    <mergeCell ref="AP4:AT4"/>
    <mergeCell ref="AU4:AY4"/>
    <mergeCell ref="Y9:Z9"/>
    <mergeCell ref="AA9:AC9"/>
    <mergeCell ref="AG6:AG7"/>
    <mergeCell ref="AH6:AH7"/>
    <mergeCell ref="AI6:AR6"/>
    <mergeCell ref="Y13:Z13"/>
    <mergeCell ref="AA13:AC13"/>
    <mergeCell ref="Y10:Z10"/>
    <mergeCell ref="AA10:AC10"/>
    <mergeCell ref="Y12:Z12"/>
    <mergeCell ref="AA12:AC12"/>
    <mergeCell ref="AA8:AC8"/>
    <mergeCell ref="A6:A7"/>
    <mergeCell ref="B6:H7"/>
    <mergeCell ref="I6:Q7"/>
    <mergeCell ref="R6:X7"/>
    <mergeCell ref="Y6:Z7"/>
    <mergeCell ref="I1:Q1"/>
    <mergeCell ref="R1:X1"/>
    <mergeCell ref="Y1:AO1"/>
    <mergeCell ref="AP1:AT1"/>
    <mergeCell ref="AA23:AC23"/>
    <mergeCell ref="Y24:Z24"/>
    <mergeCell ref="AA24:AC24"/>
    <mergeCell ref="Y25:Z25"/>
    <mergeCell ref="AA25:AC25"/>
    <mergeCell ref="Y46:Z46"/>
    <mergeCell ref="AA46:AC46"/>
    <mergeCell ref="Y45:Z45"/>
    <mergeCell ref="AA45:AC45"/>
    <mergeCell ref="Y26:Z26"/>
    <mergeCell ref="AA26:AC26"/>
    <mergeCell ref="Y44:Z44"/>
    <mergeCell ref="AA44:AC44"/>
    <mergeCell ref="Y41:Z41"/>
    <mergeCell ref="AA41:AC41"/>
    <mergeCell ref="Y42:Z42"/>
    <mergeCell ref="AA42:AC42"/>
    <mergeCell ref="Y43:Z43"/>
    <mergeCell ref="AA43:AC43"/>
    <mergeCell ref="Y37:Z37"/>
    <mergeCell ref="AA37:AC37"/>
    <mergeCell ref="Y40:Z40"/>
    <mergeCell ref="AA27:AC27"/>
    <mergeCell ref="Y28:Z28"/>
    <mergeCell ref="Y16:Z16"/>
    <mergeCell ref="AA16:AC16"/>
    <mergeCell ref="Y33:Z33"/>
    <mergeCell ref="AA33:AC33"/>
    <mergeCell ref="Y34:Z34"/>
    <mergeCell ref="AA34:AC34"/>
    <mergeCell ref="Y35:Z35"/>
    <mergeCell ref="AA28:AC28"/>
    <mergeCell ref="Y29:Z29"/>
    <mergeCell ref="AA29:AC29"/>
    <mergeCell ref="Y23:Z23"/>
    <mergeCell ref="AA20:AC20"/>
    <mergeCell ref="Y20:Z20"/>
    <mergeCell ref="Y21:Z21"/>
    <mergeCell ref="AA21:AC21"/>
    <mergeCell ref="Y22:Z22"/>
    <mergeCell ref="AA22:AC22"/>
    <mergeCell ref="Y18:Z18"/>
    <mergeCell ref="AA18:AC18"/>
    <mergeCell ref="Y19:Z19"/>
    <mergeCell ref="AA19:AC19"/>
    <mergeCell ref="Y17:Z17"/>
    <mergeCell ref="AA17:AC17"/>
    <mergeCell ref="Y27:Z27"/>
    <mergeCell ref="Y14:Z14"/>
    <mergeCell ref="AA14:AC14"/>
    <mergeCell ref="Y11:Z11"/>
    <mergeCell ref="AA11:AC11"/>
    <mergeCell ref="AS6:BD7"/>
    <mergeCell ref="Y8:Z8"/>
    <mergeCell ref="Y15:Z15"/>
    <mergeCell ref="AA15:AC15"/>
    <mergeCell ref="AD6:AD7"/>
    <mergeCell ref="AE6:AE7"/>
    <mergeCell ref="AF6:AF7"/>
    <mergeCell ref="AA6:AC7"/>
    <mergeCell ref="AU1:AY1"/>
    <mergeCell ref="AZ1:BD1"/>
    <mergeCell ref="I2:Q4"/>
    <mergeCell ref="R2:X4"/>
    <mergeCell ref="Y2:AO3"/>
    <mergeCell ref="Y4:AO4"/>
    <mergeCell ref="AZ4:BD4"/>
    <mergeCell ref="AP2:AT2"/>
    <mergeCell ref="AZ2:BD2"/>
    <mergeCell ref="AP3:AT3"/>
    <mergeCell ref="AU3:AY3"/>
    <mergeCell ref="AZ3:BD3"/>
    <mergeCell ref="AA40:AC40"/>
    <mergeCell ref="AA38:AC38"/>
    <mergeCell ref="Y38:Z38"/>
    <mergeCell ref="Y39:Z39"/>
    <mergeCell ref="AA39:AC39"/>
    <mergeCell ref="AA35:AC35"/>
    <mergeCell ref="Y30:Z30"/>
    <mergeCell ref="AA30:AC30"/>
    <mergeCell ref="Y31:Z31"/>
    <mergeCell ref="AA31:AC31"/>
    <mergeCell ref="Y32:Z32"/>
    <mergeCell ref="AA32:AC32"/>
    <mergeCell ref="Y36:Z36"/>
    <mergeCell ref="AA36:AC36"/>
  </mergeCells>
  <phoneticPr fontId="5"/>
  <dataValidations count="3">
    <dataValidation imeMode="hiragana" allowBlank="1" showInputMessage="1" showErrorMessage="1" sqref="JH65530:JS65532 TD65530:TO65532 ACZ65530:ADK65532 AMV65530:ANG65532 AWR65530:AXC65532 BGN65530:BGY65532 BQJ65530:BQU65532 CAF65530:CAQ65532 CKB65530:CKM65532 CTX65530:CUI65532 DDT65530:DEE65532 DNP65530:DOA65532 DXL65530:DXW65532 EHH65530:EHS65532 ERD65530:ERO65532 FAZ65530:FBK65532 FKV65530:FLG65532 FUR65530:FVC65532 GEN65530:GEY65532 GOJ65530:GOU65532 GYF65530:GYQ65532 HIB65530:HIM65532 HRX65530:HSI65532 IBT65530:ICE65532 ILP65530:IMA65532 IVL65530:IVW65532 JFH65530:JFS65532 JPD65530:JPO65532 JYZ65530:JZK65532 KIV65530:KJG65532 KSR65530:KTC65532 LCN65530:LCY65532 LMJ65530:LMU65532 LWF65530:LWQ65532 MGB65530:MGM65532 MPX65530:MQI65532 MZT65530:NAE65532 NJP65530:NKA65532 NTL65530:NTW65532 ODH65530:ODS65532 OND65530:ONO65532 OWZ65530:OXK65532 PGV65530:PHG65532 PQR65530:PRC65532 QAN65530:QAY65532 QKJ65530:QKU65532 QUF65530:QUQ65532 REB65530:REM65532 RNX65530:ROI65532 RXT65530:RYE65532 SHP65530:SIA65532 SRL65530:SRW65532 TBH65530:TBS65532 TLD65530:TLO65532 TUZ65530:TVK65532 UEV65530:UFG65532 UOR65530:UPC65532 UYN65530:UYY65532 VIJ65530:VIU65532 VSF65530:VSQ65532 WCB65530:WCM65532 WLX65530:WMI65532 WVT65530:WWE65532 JH131066:JS131068 TD131066:TO131068 ACZ131066:ADK131068 AMV131066:ANG131068 AWR131066:AXC131068 BGN131066:BGY131068 BQJ131066:BQU131068 CAF131066:CAQ131068 CKB131066:CKM131068 CTX131066:CUI131068 DDT131066:DEE131068 DNP131066:DOA131068 DXL131066:DXW131068 EHH131066:EHS131068 ERD131066:ERO131068 FAZ131066:FBK131068 FKV131066:FLG131068 FUR131066:FVC131068 GEN131066:GEY131068 GOJ131066:GOU131068 GYF131066:GYQ131068 HIB131066:HIM131068 HRX131066:HSI131068 IBT131066:ICE131068 ILP131066:IMA131068 IVL131066:IVW131068 JFH131066:JFS131068 JPD131066:JPO131068 JYZ131066:JZK131068 KIV131066:KJG131068 KSR131066:KTC131068 LCN131066:LCY131068 LMJ131066:LMU131068 LWF131066:LWQ131068 MGB131066:MGM131068 MPX131066:MQI131068 MZT131066:NAE131068 NJP131066:NKA131068 NTL131066:NTW131068 ODH131066:ODS131068 OND131066:ONO131068 OWZ131066:OXK131068 PGV131066:PHG131068 PQR131066:PRC131068 QAN131066:QAY131068 QKJ131066:QKU131068 QUF131066:QUQ131068 REB131066:REM131068 RNX131066:ROI131068 RXT131066:RYE131068 SHP131066:SIA131068 SRL131066:SRW131068 TBH131066:TBS131068 TLD131066:TLO131068 TUZ131066:TVK131068 UEV131066:UFG131068 UOR131066:UPC131068 UYN131066:UYY131068 VIJ131066:VIU131068 VSF131066:VSQ131068 WCB131066:WCM131068 WLX131066:WMI131068 WVT131066:WWE131068 JH196602:JS196604 TD196602:TO196604 ACZ196602:ADK196604 AMV196602:ANG196604 AWR196602:AXC196604 BGN196602:BGY196604 BQJ196602:BQU196604 CAF196602:CAQ196604 CKB196602:CKM196604 CTX196602:CUI196604 DDT196602:DEE196604 DNP196602:DOA196604 DXL196602:DXW196604 EHH196602:EHS196604 ERD196602:ERO196604 FAZ196602:FBK196604 FKV196602:FLG196604 FUR196602:FVC196604 GEN196602:GEY196604 GOJ196602:GOU196604 GYF196602:GYQ196604 HIB196602:HIM196604 HRX196602:HSI196604 IBT196602:ICE196604 ILP196602:IMA196604 IVL196602:IVW196604 JFH196602:JFS196604 JPD196602:JPO196604 JYZ196602:JZK196604 KIV196602:KJG196604 KSR196602:KTC196604 LCN196602:LCY196604 LMJ196602:LMU196604 LWF196602:LWQ196604 MGB196602:MGM196604 MPX196602:MQI196604 MZT196602:NAE196604 NJP196602:NKA196604 NTL196602:NTW196604 ODH196602:ODS196604 OND196602:ONO196604 OWZ196602:OXK196604 PGV196602:PHG196604 PQR196602:PRC196604 QAN196602:QAY196604 QKJ196602:QKU196604 QUF196602:QUQ196604 REB196602:REM196604 RNX196602:ROI196604 RXT196602:RYE196604 SHP196602:SIA196604 SRL196602:SRW196604 TBH196602:TBS196604 TLD196602:TLO196604 TUZ196602:TVK196604 UEV196602:UFG196604 UOR196602:UPC196604 UYN196602:UYY196604 VIJ196602:VIU196604 VSF196602:VSQ196604 WCB196602:WCM196604 WLX196602:WMI196604 WVT196602:WWE196604 JH262138:JS262140 TD262138:TO262140 ACZ262138:ADK262140 AMV262138:ANG262140 AWR262138:AXC262140 BGN262138:BGY262140 BQJ262138:BQU262140 CAF262138:CAQ262140 CKB262138:CKM262140 CTX262138:CUI262140 DDT262138:DEE262140 DNP262138:DOA262140 DXL262138:DXW262140 EHH262138:EHS262140 ERD262138:ERO262140 FAZ262138:FBK262140 FKV262138:FLG262140 FUR262138:FVC262140 GEN262138:GEY262140 GOJ262138:GOU262140 GYF262138:GYQ262140 HIB262138:HIM262140 HRX262138:HSI262140 IBT262138:ICE262140 ILP262138:IMA262140 IVL262138:IVW262140 JFH262138:JFS262140 JPD262138:JPO262140 JYZ262138:JZK262140 KIV262138:KJG262140 KSR262138:KTC262140 LCN262138:LCY262140 LMJ262138:LMU262140 LWF262138:LWQ262140 MGB262138:MGM262140 MPX262138:MQI262140 MZT262138:NAE262140 NJP262138:NKA262140 NTL262138:NTW262140 ODH262138:ODS262140 OND262138:ONO262140 OWZ262138:OXK262140 PGV262138:PHG262140 PQR262138:PRC262140 QAN262138:QAY262140 QKJ262138:QKU262140 QUF262138:QUQ262140 REB262138:REM262140 RNX262138:ROI262140 RXT262138:RYE262140 SHP262138:SIA262140 SRL262138:SRW262140 TBH262138:TBS262140 TLD262138:TLO262140 TUZ262138:TVK262140 UEV262138:UFG262140 UOR262138:UPC262140 UYN262138:UYY262140 VIJ262138:VIU262140 VSF262138:VSQ262140 WCB262138:WCM262140 WLX262138:WMI262140 WVT262138:WWE262140 JH327674:JS327676 TD327674:TO327676 ACZ327674:ADK327676 AMV327674:ANG327676 AWR327674:AXC327676 BGN327674:BGY327676 BQJ327674:BQU327676 CAF327674:CAQ327676 CKB327674:CKM327676 CTX327674:CUI327676 DDT327674:DEE327676 DNP327674:DOA327676 DXL327674:DXW327676 EHH327674:EHS327676 ERD327674:ERO327676 FAZ327674:FBK327676 FKV327674:FLG327676 FUR327674:FVC327676 GEN327674:GEY327676 GOJ327674:GOU327676 GYF327674:GYQ327676 HIB327674:HIM327676 HRX327674:HSI327676 IBT327674:ICE327676 ILP327674:IMA327676 IVL327674:IVW327676 JFH327674:JFS327676 JPD327674:JPO327676 JYZ327674:JZK327676 KIV327674:KJG327676 KSR327674:KTC327676 LCN327674:LCY327676 LMJ327674:LMU327676 LWF327674:LWQ327676 MGB327674:MGM327676 MPX327674:MQI327676 MZT327674:NAE327676 NJP327674:NKA327676 NTL327674:NTW327676 ODH327674:ODS327676 OND327674:ONO327676 OWZ327674:OXK327676 PGV327674:PHG327676 PQR327674:PRC327676 QAN327674:QAY327676 QKJ327674:QKU327676 QUF327674:QUQ327676 REB327674:REM327676 RNX327674:ROI327676 RXT327674:RYE327676 SHP327674:SIA327676 SRL327674:SRW327676 TBH327674:TBS327676 TLD327674:TLO327676 TUZ327674:TVK327676 UEV327674:UFG327676 UOR327674:UPC327676 UYN327674:UYY327676 VIJ327674:VIU327676 VSF327674:VSQ327676 WCB327674:WCM327676 WLX327674:WMI327676 WVT327674:WWE327676 JH393210:JS393212 TD393210:TO393212 ACZ393210:ADK393212 AMV393210:ANG393212 AWR393210:AXC393212 BGN393210:BGY393212 BQJ393210:BQU393212 CAF393210:CAQ393212 CKB393210:CKM393212 CTX393210:CUI393212 DDT393210:DEE393212 DNP393210:DOA393212 DXL393210:DXW393212 EHH393210:EHS393212 ERD393210:ERO393212 FAZ393210:FBK393212 FKV393210:FLG393212 FUR393210:FVC393212 GEN393210:GEY393212 GOJ393210:GOU393212 GYF393210:GYQ393212 HIB393210:HIM393212 HRX393210:HSI393212 IBT393210:ICE393212 ILP393210:IMA393212 IVL393210:IVW393212 JFH393210:JFS393212 JPD393210:JPO393212 JYZ393210:JZK393212 KIV393210:KJG393212 KSR393210:KTC393212 LCN393210:LCY393212 LMJ393210:LMU393212 LWF393210:LWQ393212 MGB393210:MGM393212 MPX393210:MQI393212 MZT393210:NAE393212 NJP393210:NKA393212 NTL393210:NTW393212 ODH393210:ODS393212 OND393210:ONO393212 OWZ393210:OXK393212 PGV393210:PHG393212 PQR393210:PRC393212 QAN393210:QAY393212 QKJ393210:QKU393212 QUF393210:QUQ393212 REB393210:REM393212 RNX393210:ROI393212 RXT393210:RYE393212 SHP393210:SIA393212 SRL393210:SRW393212 TBH393210:TBS393212 TLD393210:TLO393212 TUZ393210:TVK393212 UEV393210:UFG393212 UOR393210:UPC393212 UYN393210:UYY393212 VIJ393210:VIU393212 VSF393210:VSQ393212 WCB393210:WCM393212 WLX393210:WMI393212 WVT393210:WWE393212 JH458746:JS458748 TD458746:TO458748 ACZ458746:ADK458748 AMV458746:ANG458748 AWR458746:AXC458748 BGN458746:BGY458748 BQJ458746:BQU458748 CAF458746:CAQ458748 CKB458746:CKM458748 CTX458746:CUI458748 DDT458746:DEE458748 DNP458746:DOA458748 DXL458746:DXW458748 EHH458746:EHS458748 ERD458746:ERO458748 FAZ458746:FBK458748 FKV458746:FLG458748 FUR458746:FVC458748 GEN458746:GEY458748 GOJ458746:GOU458748 GYF458746:GYQ458748 HIB458746:HIM458748 HRX458746:HSI458748 IBT458746:ICE458748 ILP458746:IMA458748 IVL458746:IVW458748 JFH458746:JFS458748 JPD458746:JPO458748 JYZ458746:JZK458748 KIV458746:KJG458748 KSR458746:KTC458748 LCN458746:LCY458748 LMJ458746:LMU458748 LWF458746:LWQ458748 MGB458746:MGM458748 MPX458746:MQI458748 MZT458746:NAE458748 NJP458746:NKA458748 NTL458746:NTW458748 ODH458746:ODS458748 OND458746:ONO458748 OWZ458746:OXK458748 PGV458746:PHG458748 PQR458746:PRC458748 QAN458746:QAY458748 QKJ458746:QKU458748 QUF458746:QUQ458748 REB458746:REM458748 RNX458746:ROI458748 RXT458746:RYE458748 SHP458746:SIA458748 SRL458746:SRW458748 TBH458746:TBS458748 TLD458746:TLO458748 TUZ458746:TVK458748 UEV458746:UFG458748 UOR458746:UPC458748 UYN458746:UYY458748 VIJ458746:VIU458748 VSF458746:VSQ458748 WCB458746:WCM458748 WLX458746:WMI458748 WVT458746:WWE458748 JH524282:JS524284 TD524282:TO524284 ACZ524282:ADK524284 AMV524282:ANG524284 AWR524282:AXC524284 BGN524282:BGY524284 BQJ524282:BQU524284 CAF524282:CAQ524284 CKB524282:CKM524284 CTX524282:CUI524284 DDT524282:DEE524284 DNP524282:DOA524284 DXL524282:DXW524284 EHH524282:EHS524284 ERD524282:ERO524284 FAZ524282:FBK524284 FKV524282:FLG524284 FUR524282:FVC524284 GEN524282:GEY524284 GOJ524282:GOU524284 GYF524282:GYQ524284 HIB524282:HIM524284 HRX524282:HSI524284 IBT524282:ICE524284 ILP524282:IMA524284 IVL524282:IVW524284 JFH524282:JFS524284 JPD524282:JPO524284 JYZ524282:JZK524284 KIV524282:KJG524284 KSR524282:KTC524284 LCN524282:LCY524284 LMJ524282:LMU524284 LWF524282:LWQ524284 MGB524282:MGM524284 MPX524282:MQI524284 MZT524282:NAE524284 NJP524282:NKA524284 NTL524282:NTW524284 ODH524282:ODS524284 OND524282:ONO524284 OWZ524282:OXK524284 PGV524282:PHG524284 PQR524282:PRC524284 QAN524282:QAY524284 QKJ524282:QKU524284 QUF524282:QUQ524284 REB524282:REM524284 RNX524282:ROI524284 RXT524282:RYE524284 SHP524282:SIA524284 SRL524282:SRW524284 TBH524282:TBS524284 TLD524282:TLO524284 TUZ524282:TVK524284 UEV524282:UFG524284 UOR524282:UPC524284 UYN524282:UYY524284 VIJ524282:VIU524284 VSF524282:VSQ524284 WCB524282:WCM524284 WLX524282:WMI524284 WVT524282:WWE524284 JH589818:JS589820 TD589818:TO589820 ACZ589818:ADK589820 AMV589818:ANG589820 AWR589818:AXC589820 BGN589818:BGY589820 BQJ589818:BQU589820 CAF589818:CAQ589820 CKB589818:CKM589820 CTX589818:CUI589820 DDT589818:DEE589820 DNP589818:DOA589820 DXL589818:DXW589820 EHH589818:EHS589820 ERD589818:ERO589820 FAZ589818:FBK589820 FKV589818:FLG589820 FUR589818:FVC589820 GEN589818:GEY589820 GOJ589818:GOU589820 GYF589818:GYQ589820 HIB589818:HIM589820 HRX589818:HSI589820 IBT589818:ICE589820 ILP589818:IMA589820 IVL589818:IVW589820 JFH589818:JFS589820 JPD589818:JPO589820 JYZ589818:JZK589820 KIV589818:KJG589820 KSR589818:KTC589820 LCN589818:LCY589820 LMJ589818:LMU589820 LWF589818:LWQ589820 MGB589818:MGM589820 MPX589818:MQI589820 MZT589818:NAE589820 NJP589818:NKA589820 NTL589818:NTW589820 ODH589818:ODS589820 OND589818:ONO589820 OWZ589818:OXK589820 PGV589818:PHG589820 PQR589818:PRC589820 QAN589818:QAY589820 QKJ589818:QKU589820 QUF589818:QUQ589820 REB589818:REM589820 RNX589818:ROI589820 RXT589818:RYE589820 SHP589818:SIA589820 SRL589818:SRW589820 TBH589818:TBS589820 TLD589818:TLO589820 TUZ589818:TVK589820 UEV589818:UFG589820 UOR589818:UPC589820 UYN589818:UYY589820 VIJ589818:VIU589820 VSF589818:VSQ589820 WCB589818:WCM589820 WLX589818:WMI589820 WVT589818:WWE589820 JH655354:JS655356 TD655354:TO655356 ACZ655354:ADK655356 AMV655354:ANG655356 AWR655354:AXC655356 BGN655354:BGY655356 BQJ655354:BQU655356 CAF655354:CAQ655356 CKB655354:CKM655356 CTX655354:CUI655356 DDT655354:DEE655356 DNP655354:DOA655356 DXL655354:DXW655356 EHH655354:EHS655356 ERD655354:ERO655356 FAZ655354:FBK655356 FKV655354:FLG655356 FUR655354:FVC655356 GEN655354:GEY655356 GOJ655354:GOU655356 GYF655354:GYQ655356 HIB655354:HIM655356 HRX655354:HSI655356 IBT655354:ICE655356 ILP655354:IMA655356 IVL655354:IVW655356 JFH655354:JFS655356 JPD655354:JPO655356 JYZ655354:JZK655356 KIV655354:KJG655356 KSR655354:KTC655356 LCN655354:LCY655356 LMJ655354:LMU655356 LWF655354:LWQ655356 MGB655354:MGM655356 MPX655354:MQI655356 MZT655354:NAE655356 NJP655354:NKA655356 NTL655354:NTW655356 ODH655354:ODS655356 OND655354:ONO655356 OWZ655354:OXK655356 PGV655354:PHG655356 PQR655354:PRC655356 QAN655354:QAY655356 QKJ655354:QKU655356 QUF655354:QUQ655356 REB655354:REM655356 RNX655354:ROI655356 RXT655354:RYE655356 SHP655354:SIA655356 SRL655354:SRW655356 TBH655354:TBS655356 TLD655354:TLO655356 TUZ655354:TVK655356 UEV655354:UFG655356 UOR655354:UPC655356 UYN655354:UYY655356 VIJ655354:VIU655356 VSF655354:VSQ655356 WCB655354:WCM655356 WLX655354:WMI655356 WVT655354:WWE655356 JH720890:JS720892 TD720890:TO720892 ACZ720890:ADK720892 AMV720890:ANG720892 AWR720890:AXC720892 BGN720890:BGY720892 BQJ720890:BQU720892 CAF720890:CAQ720892 CKB720890:CKM720892 CTX720890:CUI720892 DDT720890:DEE720892 DNP720890:DOA720892 DXL720890:DXW720892 EHH720890:EHS720892 ERD720890:ERO720892 FAZ720890:FBK720892 FKV720890:FLG720892 FUR720890:FVC720892 GEN720890:GEY720892 GOJ720890:GOU720892 GYF720890:GYQ720892 HIB720890:HIM720892 HRX720890:HSI720892 IBT720890:ICE720892 ILP720890:IMA720892 IVL720890:IVW720892 JFH720890:JFS720892 JPD720890:JPO720892 JYZ720890:JZK720892 KIV720890:KJG720892 KSR720890:KTC720892 LCN720890:LCY720892 LMJ720890:LMU720892 LWF720890:LWQ720892 MGB720890:MGM720892 MPX720890:MQI720892 MZT720890:NAE720892 NJP720890:NKA720892 NTL720890:NTW720892 ODH720890:ODS720892 OND720890:ONO720892 OWZ720890:OXK720892 PGV720890:PHG720892 PQR720890:PRC720892 QAN720890:QAY720892 QKJ720890:QKU720892 QUF720890:QUQ720892 REB720890:REM720892 RNX720890:ROI720892 RXT720890:RYE720892 SHP720890:SIA720892 SRL720890:SRW720892 TBH720890:TBS720892 TLD720890:TLO720892 TUZ720890:TVK720892 UEV720890:UFG720892 UOR720890:UPC720892 UYN720890:UYY720892 VIJ720890:VIU720892 VSF720890:VSQ720892 WCB720890:WCM720892 WLX720890:WMI720892 WVT720890:WWE720892 JH786426:JS786428 TD786426:TO786428 ACZ786426:ADK786428 AMV786426:ANG786428 AWR786426:AXC786428 BGN786426:BGY786428 BQJ786426:BQU786428 CAF786426:CAQ786428 CKB786426:CKM786428 CTX786426:CUI786428 DDT786426:DEE786428 DNP786426:DOA786428 DXL786426:DXW786428 EHH786426:EHS786428 ERD786426:ERO786428 FAZ786426:FBK786428 FKV786426:FLG786428 FUR786426:FVC786428 GEN786426:GEY786428 GOJ786426:GOU786428 GYF786426:GYQ786428 HIB786426:HIM786428 HRX786426:HSI786428 IBT786426:ICE786428 ILP786426:IMA786428 IVL786426:IVW786428 JFH786426:JFS786428 JPD786426:JPO786428 JYZ786426:JZK786428 KIV786426:KJG786428 KSR786426:KTC786428 LCN786426:LCY786428 LMJ786426:LMU786428 LWF786426:LWQ786428 MGB786426:MGM786428 MPX786426:MQI786428 MZT786426:NAE786428 NJP786426:NKA786428 NTL786426:NTW786428 ODH786426:ODS786428 OND786426:ONO786428 OWZ786426:OXK786428 PGV786426:PHG786428 PQR786426:PRC786428 QAN786426:QAY786428 QKJ786426:QKU786428 QUF786426:QUQ786428 REB786426:REM786428 RNX786426:ROI786428 RXT786426:RYE786428 SHP786426:SIA786428 SRL786426:SRW786428 TBH786426:TBS786428 TLD786426:TLO786428 TUZ786426:TVK786428 UEV786426:UFG786428 UOR786426:UPC786428 UYN786426:UYY786428 VIJ786426:VIU786428 VSF786426:VSQ786428 WCB786426:WCM786428 WLX786426:WMI786428 WVT786426:WWE786428 JH851962:JS851964 TD851962:TO851964 ACZ851962:ADK851964 AMV851962:ANG851964 AWR851962:AXC851964 BGN851962:BGY851964 BQJ851962:BQU851964 CAF851962:CAQ851964 CKB851962:CKM851964 CTX851962:CUI851964 DDT851962:DEE851964 DNP851962:DOA851964 DXL851962:DXW851964 EHH851962:EHS851964 ERD851962:ERO851964 FAZ851962:FBK851964 FKV851962:FLG851964 FUR851962:FVC851964 GEN851962:GEY851964 GOJ851962:GOU851964 GYF851962:GYQ851964 HIB851962:HIM851964 HRX851962:HSI851964 IBT851962:ICE851964 ILP851962:IMA851964 IVL851962:IVW851964 JFH851962:JFS851964 JPD851962:JPO851964 JYZ851962:JZK851964 KIV851962:KJG851964 KSR851962:KTC851964 LCN851962:LCY851964 LMJ851962:LMU851964 LWF851962:LWQ851964 MGB851962:MGM851964 MPX851962:MQI851964 MZT851962:NAE851964 NJP851962:NKA851964 NTL851962:NTW851964 ODH851962:ODS851964 OND851962:ONO851964 OWZ851962:OXK851964 PGV851962:PHG851964 PQR851962:PRC851964 QAN851962:QAY851964 QKJ851962:QKU851964 QUF851962:QUQ851964 REB851962:REM851964 RNX851962:ROI851964 RXT851962:RYE851964 SHP851962:SIA851964 SRL851962:SRW851964 TBH851962:TBS851964 TLD851962:TLO851964 TUZ851962:TVK851964 UEV851962:UFG851964 UOR851962:UPC851964 UYN851962:UYY851964 VIJ851962:VIU851964 VSF851962:VSQ851964 WCB851962:WCM851964 WLX851962:WMI851964 WVT851962:WWE851964 JH917498:JS917500 TD917498:TO917500 ACZ917498:ADK917500 AMV917498:ANG917500 AWR917498:AXC917500 BGN917498:BGY917500 BQJ917498:BQU917500 CAF917498:CAQ917500 CKB917498:CKM917500 CTX917498:CUI917500 DDT917498:DEE917500 DNP917498:DOA917500 DXL917498:DXW917500 EHH917498:EHS917500 ERD917498:ERO917500 FAZ917498:FBK917500 FKV917498:FLG917500 FUR917498:FVC917500 GEN917498:GEY917500 GOJ917498:GOU917500 GYF917498:GYQ917500 HIB917498:HIM917500 HRX917498:HSI917500 IBT917498:ICE917500 ILP917498:IMA917500 IVL917498:IVW917500 JFH917498:JFS917500 JPD917498:JPO917500 JYZ917498:JZK917500 KIV917498:KJG917500 KSR917498:KTC917500 LCN917498:LCY917500 LMJ917498:LMU917500 LWF917498:LWQ917500 MGB917498:MGM917500 MPX917498:MQI917500 MZT917498:NAE917500 NJP917498:NKA917500 NTL917498:NTW917500 ODH917498:ODS917500 OND917498:ONO917500 OWZ917498:OXK917500 PGV917498:PHG917500 PQR917498:PRC917500 QAN917498:QAY917500 QKJ917498:QKU917500 QUF917498:QUQ917500 REB917498:REM917500 RNX917498:ROI917500 RXT917498:RYE917500 SHP917498:SIA917500 SRL917498:SRW917500 TBH917498:TBS917500 TLD917498:TLO917500 TUZ917498:TVK917500 UEV917498:UFG917500 UOR917498:UPC917500 UYN917498:UYY917500 VIJ917498:VIU917500 VSF917498:VSQ917500 WCB917498:WCM917500 WLX917498:WMI917500 WVT917498:WWE917500 JH983034:JS983036 TD983034:TO983036 ACZ983034:ADK983036 AMV983034:ANG983036 AWR983034:AXC983036 BGN983034:BGY983036 BQJ983034:BQU983036 CAF983034:CAQ983036 CKB983034:CKM983036 CTX983034:CUI983036 DDT983034:DEE983036 DNP983034:DOA983036 DXL983034:DXW983036 EHH983034:EHS983036 ERD983034:ERO983036 FAZ983034:FBK983036 FKV983034:FLG983036 FUR983034:FVC983036 GEN983034:GEY983036 GOJ983034:GOU983036 GYF983034:GYQ983036 HIB983034:HIM983036 HRX983034:HSI983036 IBT983034:ICE983036 ILP983034:IMA983036 IVL983034:IVW983036 JFH983034:JFS983036 JPD983034:JPO983036 JYZ983034:JZK983036 KIV983034:KJG983036 KSR983034:KTC983036 LCN983034:LCY983036 LMJ983034:LMU983036 LWF983034:LWQ983036 MGB983034:MGM983036 MPX983034:MQI983036 MZT983034:NAE983036 NJP983034:NKA983036 NTL983034:NTW983036 ODH983034:ODS983036 OND983034:ONO983036 OWZ983034:OXK983036 PGV983034:PHG983036 PQR983034:PRC983036 QAN983034:QAY983036 QKJ983034:QKU983036 QUF983034:QUQ983036 REB983034:REM983036 RNX983034:ROI983036 RXT983034:RYE983036 SHP983034:SIA983036 SRL983034:SRW983036 TBH983034:TBS983036 TLD983034:TLO983036 TUZ983034:TVK983036 UEV983034:UFG983036 UOR983034:UPC983036 UYN983034:UYY983036 VIJ983034:VIU983036 VSF983034:VSQ983036 WCB983034:WCM983036 WLX983034:WMI983036 WVT983034:WWE983036 Z262138:AJ262140 Z196602:AJ196604 Z131066:AJ131068 Z65530:AJ65532 Z983034:AJ983036 Z917498:AJ917500 Z851962:AJ851964 Z786426:AJ786428 Z720890:AJ720892 Z655354:AJ655356 Z589818:AJ589820 Z524282:AJ524284 Z458746:AJ458748 Z393210:AJ393212 Z327674:AJ327676 JI2:JT4 TE2:TP4 ADA2:ADL4 AMW2:ANH4 AWS2:AXD4 BGO2:BGZ4 BQK2:BQV4 CAG2:CAR4 CKC2:CKN4 CTY2:CUJ4 DDU2:DEF4 DNQ2:DOB4 DXM2:DXX4 EHI2:EHT4 ERE2:ERP4 FBA2:FBL4 FKW2:FLH4 FUS2:FVD4 GEO2:GEZ4 GOK2:GOV4 GYG2:GYR4 HIC2:HIN4 HRY2:HSJ4 IBU2:ICF4 ILQ2:IMB4 IVM2:IVX4 JFI2:JFT4 JPE2:JPP4 JZA2:JZL4 KIW2:KJH4 KSS2:KTD4 LCO2:LCZ4 LMK2:LMV4 LWG2:LWR4 MGC2:MGN4 MPY2:MQJ4 MZU2:NAF4 NJQ2:NKB4 NTM2:NTX4 ODI2:ODT4 ONE2:ONP4 OXA2:OXL4 PGW2:PHH4 PQS2:PRD4 QAO2:QAZ4 QKK2:QKV4 QUG2:QUR4 REC2:REN4 RNY2:ROJ4 RXU2:RYF4 SHQ2:SIB4 SRM2:SRX4 TBI2:TBT4 TLE2:TLP4 TVA2:TVL4 UEW2:UFH4 UOS2:UPD4 UYO2:UYZ4 VIK2:VIV4 VSG2:VSR4 WCC2:WCN4 WLY2:WMJ4 WVU2:WWF4 R2"/>
    <dataValidation type="list" allowBlank="1" showInputMessage="1" showErrorMessage="1" sqref="Y8:Z46">
      <formula1>"文字,数値,日付,時間"</formula1>
    </dataValidation>
    <dataValidation type="list" allowBlank="1" showInputMessage="1" showErrorMessage="1" sqref="AA8:AC46">
      <formula1>"int,numeric,varchar,date,datetime2(0),datetime2,varbinary(max)"</formula1>
    </dataValidation>
  </dataValidations>
  <pageMargins left="0.39370078740157483" right="0.39370078740157483" top="0.59055118110236227" bottom="0.39370078740157483" header="0.39370078740157483" footer="0.19685039370078741"/>
  <pageSetup paperSize="9" scale="80" fitToHeight="0" orientation="landscape" useFirstPageNumber="1" verticalDpi="300" r:id="rId1"/>
  <headerFooter alignWithMargins="0">
    <oddFooter>&amp;R&amp;A - &amp;P</oddFooter>
  </headerFooter>
  <legacyDrawing r:id="rId2"/>
</worksheet>
</file>

<file path=xl/worksheets/sheet2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57"/>
  <dimension ref="A1:BE46"/>
  <sheetViews>
    <sheetView showGridLines="0" zoomScaleNormal="100" zoomScaleSheetLayoutView="100" workbookViewId="0">
      <pane ySplit="7" topLeftCell="A8" activePane="bottomLeft" state="frozen"/>
      <selection sqref="A1:K4"/>
      <selection pane="bottomLeft" sqref="A1:H4"/>
    </sheetView>
  </sheetViews>
  <sheetFormatPr defaultColWidth="2.6328125" defaultRowHeight="14.4" customHeight="1"/>
  <cols>
    <col min="1" max="1" width="4.6328125" style="18" customWidth="1"/>
    <col min="2" max="26" width="2.6328125" style="18"/>
    <col min="27" max="27" width="2.6328125" style="18" customWidth="1"/>
    <col min="28" max="29" width="2.6328125" style="18"/>
    <col min="30" max="30" width="4.6328125" style="18" customWidth="1"/>
    <col min="31" max="31" width="2.6328125" style="18" customWidth="1"/>
    <col min="32" max="33" width="2.6328125" style="18"/>
    <col min="34" max="34" width="6.6328125" style="18" customWidth="1"/>
    <col min="35" max="41" width="2.6328125" style="18"/>
    <col min="42" max="56" width="2.6328125" style="46"/>
    <col min="57" max="16384" width="2.6328125" style="18"/>
  </cols>
  <sheetData>
    <row r="1" spans="1:57" s="17" customFormat="1" ht="14.4" customHeight="1">
      <c r="A1" s="417" t="s">
        <v>78</v>
      </c>
      <c r="B1" s="418"/>
      <c r="C1" s="418"/>
      <c r="D1" s="418"/>
      <c r="E1" s="418"/>
      <c r="F1" s="418"/>
      <c r="G1" s="418"/>
      <c r="H1" s="419"/>
      <c r="I1" s="354" t="s">
        <v>79</v>
      </c>
      <c r="J1" s="355"/>
      <c r="K1" s="355"/>
      <c r="L1" s="355"/>
      <c r="M1" s="355"/>
      <c r="N1" s="355"/>
      <c r="O1" s="355"/>
      <c r="P1" s="355"/>
      <c r="Q1" s="356"/>
      <c r="R1" s="354" t="s">
        <v>80</v>
      </c>
      <c r="S1" s="355"/>
      <c r="T1" s="355"/>
      <c r="U1" s="355"/>
      <c r="V1" s="355"/>
      <c r="W1" s="355"/>
      <c r="X1" s="356"/>
      <c r="Y1" s="354" t="s">
        <v>135</v>
      </c>
      <c r="Z1" s="355"/>
      <c r="AA1" s="355"/>
      <c r="AB1" s="355"/>
      <c r="AC1" s="355"/>
      <c r="AD1" s="355"/>
      <c r="AE1" s="355"/>
      <c r="AF1" s="355"/>
      <c r="AG1" s="355"/>
      <c r="AH1" s="355"/>
      <c r="AI1" s="355"/>
      <c r="AJ1" s="355"/>
      <c r="AK1" s="355"/>
      <c r="AL1" s="355"/>
      <c r="AM1" s="355"/>
      <c r="AN1" s="355"/>
      <c r="AO1" s="356"/>
      <c r="AP1" s="428" t="s">
        <v>82</v>
      </c>
      <c r="AQ1" s="429"/>
      <c r="AR1" s="429"/>
      <c r="AS1" s="429"/>
      <c r="AT1" s="430"/>
      <c r="AU1" s="428" t="s">
        <v>83</v>
      </c>
      <c r="AV1" s="429"/>
      <c r="AW1" s="429"/>
      <c r="AX1" s="429"/>
      <c r="AY1" s="430"/>
      <c r="AZ1" s="428" t="s">
        <v>84</v>
      </c>
      <c r="BA1" s="429"/>
      <c r="BB1" s="429"/>
      <c r="BC1" s="429"/>
      <c r="BD1" s="430"/>
    </row>
    <row r="2" spans="1:57" s="17" customFormat="1" ht="14.4" customHeight="1">
      <c r="A2" s="420"/>
      <c r="B2" s="421"/>
      <c r="C2" s="421"/>
      <c r="D2" s="421"/>
      <c r="E2" s="421"/>
      <c r="F2" s="421"/>
      <c r="G2" s="421"/>
      <c r="H2" s="422"/>
      <c r="I2" s="384" t="s">
        <v>85</v>
      </c>
      <c r="J2" s="385"/>
      <c r="K2" s="385"/>
      <c r="L2" s="385"/>
      <c r="M2" s="385"/>
      <c r="N2" s="385"/>
      <c r="O2" s="385"/>
      <c r="P2" s="385"/>
      <c r="Q2" s="386"/>
      <c r="R2" s="384" t="str">
        <f ca="1">VLOOKUP(RIGHT(CELL("filename",A2),LEN(CELL("filename",A2))-FIND("]",CELL("filename",A2))),テーブル一覧!B:AD,22,FALSE)</f>
        <v>B.生産計画</v>
      </c>
      <c r="S2" s="385"/>
      <c r="T2" s="385"/>
      <c r="U2" s="385"/>
      <c r="V2" s="385"/>
      <c r="W2" s="385"/>
      <c r="X2" s="386"/>
      <c r="Y2" s="384" t="str">
        <f ca="1">VLOOKUP(RIGHT(CELL("filename",A2),LEN(CELL("filename",A2))-FIND("]",CELL("filename",A2))),テーブル一覧!B:AD,1,FALSE)</f>
        <v>加工依頼情報</v>
      </c>
      <c r="Z2" s="385"/>
      <c r="AA2" s="385"/>
      <c r="AB2" s="385"/>
      <c r="AC2" s="385"/>
      <c r="AD2" s="385"/>
      <c r="AE2" s="385"/>
      <c r="AF2" s="385"/>
      <c r="AG2" s="385"/>
      <c r="AH2" s="385"/>
      <c r="AI2" s="385"/>
      <c r="AJ2" s="385"/>
      <c r="AK2" s="385"/>
      <c r="AL2" s="385"/>
      <c r="AM2" s="385"/>
      <c r="AN2" s="385"/>
      <c r="AO2" s="386"/>
      <c r="AP2" s="357"/>
      <c r="AQ2" s="358"/>
      <c r="AR2" s="358"/>
      <c r="AS2" s="358"/>
      <c r="AT2" s="359"/>
      <c r="AU2" s="58" t="s">
        <v>88</v>
      </c>
      <c r="AV2" s="59"/>
      <c r="AW2" s="59"/>
      <c r="AX2" s="59"/>
      <c r="AY2" s="60"/>
      <c r="AZ2" s="434" t="s">
        <v>89</v>
      </c>
      <c r="BA2" s="435"/>
      <c r="BB2" s="435"/>
      <c r="BC2" s="435"/>
      <c r="BD2" s="436"/>
    </row>
    <row r="3" spans="1:57" s="17" customFormat="1" ht="14.4" customHeight="1">
      <c r="A3" s="420"/>
      <c r="B3" s="421"/>
      <c r="C3" s="421"/>
      <c r="D3" s="421"/>
      <c r="E3" s="421"/>
      <c r="F3" s="421"/>
      <c r="G3" s="421"/>
      <c r="H3" s="422"/>
      <c r="I3" s="387"/>
      <c r="J3" s="388"/>
      <c r="K3" s="388"/>
      <c r="L3" s="388"/>
      <c r="M3" s="388"/>
      <c r="N3" s="388"/>
      <c r="O3" s="388"/>
      <c r="P3" s="388"/>
      <c r="Q3" s="389"/>
      <c r="R3" s="387"/>
      <c r="S3" s="388"/>
      <c r="T3" s="388"/>
      <c r="U3" s="388"/>
      <c r="V3" s="388"/>
      <c r="W3" s="388"/>
      <c r="X3" s="389"/>
      <c r="Y3" s="390"/>
      <c r="Z3" s="391"/>
      <c r="AA3" s="391"/>
      <c r="AB3" s="391"/>
      <c r="AC3" s="391"/>
      <c r="AD3" s="391"/>
      <c r="AE3" s="391"/>
      <c r="AF3" s="391"/>
      <c r="AG3" s="391"/>
      <c r="AH3" s="391"/>
      <c r="AI3" s="391"/>
      <c r="AJ3" s="391"/>
      <c r="AK3" s="391"/>
      <c r="AL3" s="391"/>
      <c r="AM3" s="391"/>
      <c r="AN3" s="391"/>
      <c r="AO3" s="392"/>
      <c r="AP3" s="360"/>
      <c r="AQ3" s="361"/>
      <c r="AR3" s="361"/>
      <c r="AS3" s="361"/>
      <c r="AT3" s="362"/>
      <c r="AU3" s="431"/>
      <c r="AV3" s="432"/>
      <c r="AW3" s="432"/>
      <c r="AX3" s="432"/>
      <c r="AY3" s="433"/>
      <c r="AZ3" s="434"/>
      <c r="BA3" s="435"/>
      <c r="BB3" s="435"/>
      <c r="BC3" s="435"/>
      <c r="BD3" s="436"/>
    </row>
    <row r="4" spans="1:57" s="17" customFormat="1" ht="14.4" customHeight="1">
      <c r="A4" s="423"/>
      <c r="B4" s="424"/>
      <c r="C4" s="424"/>
      <c r="D4" s="424"/>
      <c r="E4" s="424"/>
      <c r="F4" s="424"/>
      <c r="G4" s="424"/>
      <c r="H4" s="425"/>
      <c r="I4" s="390"/>
      <c r="J4" s="391"/>
      <c r="K4" s="391"/>
      <c r="L4" s="391"/>
      <c r="M4" s="391"/>
      <c r="N4" s="391"/>
      <c r="O4" s="391"/>
      <c r="P4" s="391"/>
      <c r="Q4" s="392"/>
      <c r="R4" s="390"/>
      <c r="S4" s="391"/>
      <c r="T4" s="391"/>
      <c r="U4" s="391"/>
      <c r="V4" s="391"/>
      <c r="W4" s="391"/>
      <c r="X4" s="392"/>
      <c r="Y4" s="437" t="str">
        <f ca="1">IF(VLOOKUP(RIGHT(CELL("filename",A2),LEN(CELL("filename",A2))-FIND("]",CELL("filename",A2))),テーブル一覧!B:AD,11,FALSE)=0,"",VLOOKUP(RIGHT(CELL("filename",A2),LEN(CELL("filename",A2))-FIND("]",CELL("filename",A2))),テーブル一覧!B:AD,11,FALSE))</f>
        <v>t_kako_irai</v>
      </c>
      <c r="Z4" s="438"/>
      <c r="AA4" s="438"/>
      <c r="AB4" s="438"/>
      <c r="AC4" s="438"/>
      <c r="AD4" s="438"/>
      <c r="AE4" s="438"/>
      <c r="AF4" s="438"/>
      <c r="AG4" s="438"/>
      <c r="AH4" s="438"/>
      <c r="AI4" s="438"/>
      <c r="AJ4" s="438"/>
      <c r="AK4" s="438"/>
      <c r="AL4" s="438"/>
      <c r="AM4" s="438"/>
      <c r="AN4" s="438"/>
      <c r="AO4" s="439"/>
      <c r="AP4" s="360"/>
      <c r="AQ4" s="361"/>
      <c r="AR4" s="361"/>
      <c r="AS4" s="361"/>
      <c r="AT4" s="362"/>
      <c r="AU4" s="431"/>
      <c r="AV4" s="432"/>
      <c r="AW4" s="432"/>
      <c r="AX4" s="432"/>
      <c r="AY4" s="433"/>
      <c r="AZ4" s="434"/>
      <c r="BA4" s="435"/>
      <c r="BB4" s="435"/>
      <c r="BC4" s="435"/>
      <c r="BD4" s="436"/>
    </row>
    <row r="6" spans="1:57" ht="14.4" customHeight="1">
      <c r="A6" s="426" t="s">
        <v>90</v>
      </c>
      <c r="B6" s="407" t="s">
        <v>136</v>
      </c>
      <c r="C6" s="415"/>
      <c r="D6" s="415"/>
      <c r="E6" s="415"/>
      <c r="F6" s="415"/>
      <c r="G6" s="415"/>
      <c r="H6" s="408"/>
      <c r="I6" s="407" t="s">
        <v>137</v>
      </c>
      <c r="J6" s="415"/>
      <c r="K6" s="415"/>
      <c r="L6" s="415"/>
      <c r="M6" s="415"/>
      <c r="N6" s="415"/>
      <c r="O6" s="415"/>
      <c r="P6" s="415"/>
      <c r="Q6" s="408"/>
      <c r="R6" s="407" t="s">
        <v>138</v>
      </c>
      <c r="S6" s="415"/>
      <c r="T6" s="415"/>
      <c r="U6" s="415"/>
      <c r="V6" s="415"/>
      <c r="W6" s="415"/>
      <c r="X6" s="408"/>
      <c r="Y6" s="407" t="s">
        <v>139</v>
      </c>
      <c r="Z6" s="408"/>
      <c r="AA6" s="407" t="s">
        <v>140</v>
      </c>
      <c r="AB6" s="415"/>
      <c r="AC6" s="408"/>
      <c r="AD6" s="411" t="s">
        <v>141</v>
      </c>
      <c r="AE6" s="413" t="s">
        <v>142</v>
      </c>
      <c r="AF6" s="411" t="s">
        <v>143</v>
      </c>
      <c r="AG6" s="411" t="s">
        <v>144</v>
      </c>
      <c r="AH6" s="411" t="s">
        <v>145</v>
      </c>
      <c r="AI6" s="404" t="s">
        <v>146</v>
      </c>
      <c r="AJ6" s="405"/>
      <c r="AK6" s="405"/>
      <c r="AL6" s="405"/>
      <c r="AM6" s="405"/>
      <c r="AN6" s="405"/>
      <c r="AO6" s="405"/>
      <c r="AP6" s="405"/>
      <c r="AQ6" s="405"/>
      <c r="AR6" s="406"/>
      <c r="AS6" s="407" t="s">
        <v>147</v>
      </c>
      <c r="AT6" s="415"/>
      <c r="AU6" s="415"/>
      <c r="AV6" s="415"/>
      <c r="AW6" s="415"/>
      <c r="AX6" s="415"/>
      <c r="AY6" s="415"/>
      <c r="AZ6" s="415"/>
      <c r="BA6" s="415"/>
      <c r="BB6" s="415"/>
      <c r="BC6" s="415"/>
      <c r="BD6" s="408"/>
    </row>
    <row r="7" spans="1:57" ht="14.4" customHeight="1">
      <c r="A7" s="427"/>
      <c r="B7" s="409"/>
      <c r="C7" s="416"/>
      <c r="D7" s="416"/>
      <c r="E7" s="416"/>
      <c r="F7" s="416"/>
      <c r="G7" s="416"/>
      <c r="H7" s="410"/>
      <c r="I7" s="409"/>
      <c r="J7" s="416"/>
      <c r="K7" s="416"/>
      <c r="L7" s="416"/>
      <c r="M7" s="416"/>
      <c r="N7" s="416"/>
      <c r="O7" s="416"/>
      <c r="P7" s="416"/>
      <c r="Q7" s="410"/>
      <c r="R7" s="409"/>
      <c r="S7" s="416"/>
      <c r="T7" s="416"/>
      <c r="U7" s="416"/>
      <c r="V7" s="416"/>
      <c r="W7" s="416"/>
      <c r="X7" s="410"/>
      <c r="Y7" s="409"/>
      <c r="Z7" s="410"/>
      <c r="AA7" s="409"/>
      <c r="AB7" s="416"/>
      <c r="AC7" s="410"/>
      <c r="AD7" s="412"/>
      <c r="AE7" s="414"/>
      <c r="AF7" s="412"/>
      <c r="AG7" s="412"/>
      <c r="AH7" s="412"/>
      <c r="AI7" s="52">
        <v>1</v>
      </c>
      <c r="AJ7" s="52">
        <v>2</v>
      </c>
      <c r="AK7" s="52">
        <v>3</v>
      </c>
      <c r="AL7" s="52">
        <v>4</v>
      </c>
      <c r="AM7" s="52">
        <v>5</v>
      </c>
      <c r="AN7" s="52">
        <v>6</v>
      </c>
      <c r="AO7" s="52">
        <v>7</v>
      </c>
      <c r="AP7" s="52">
        <v>8</v>
      </c>
      <c r="AQ7" s="52">
        <v>9</v>
      </c>
      <c r="AR7" s="52">
        <v>10</v>
      </c>
      <c r="AS7" s="409"/>
      <c r="AT7" s="416"/>
      <c r="AU7" s="416"/>
      <c r="AV7" s="416"/>
      <c r="AW7" s="416"/>
      <c r="AX7" s="416"/>
      <c r="AY7" s="416"/>
      <c r="AZ7" s="416"/>
      <c r="BA7" s="416"/>
      <c r="BB7" s="416"/>
      <c r="BC7" s="416"/>
      <c r="BD7" s="410"/>
    </row>
    <row r="8" spans="1:57" ht="14.4" customHeight="1">
      <c r="A8" s="70">
        <f>IF(B8="","",COUNTA($B$8:B8))</f>
        <v>1</v>
      </c>
      <c r="B8" s="19" t="s">
        <v>148</v>
      </c>
      <c r="C8" s="20"/>
      <c r="D8" s="20"/>
      <c r="E8" s="20"/>
      <c r="F8" s="20"/>
      <c r="G8" s="20"/>
      <c r="H8" s="24"/>
      <c r="I8" s="31" t="s">
        <v>149</v>
      </c>
      <c r="J8" s="23"/>
      <c r="K8" s="23"/>
      <c r="L8" s="23"/>
      <c r="M8" s="23"/>
      <c r="N8" s="23"/>
      <c r="O8" s="38"/>
      <c r="P8" s="23"/>
      <c r="Q8" s="24"/>
      <c r="R8" s="19" t="s">
        <v>148</v>
      </c>
      <c r="S8" s="23"/>
      <c r="T8" s="23"/>
      <c r="U8" s="23"/>
      <c r="V8" s="23"/>
      <c r="W8" s="23"/>
      <c r="X8" s="24"/>
      <c r="Y8" s="440" t="s">
        <v>150</v>
      </c>
      <c r="Z8" s="441"/>
      <c r="AA8" s="442" t="s">
        <v>151</v>
      </c>
      <c r="AB8" s="443"/>
      <c r="AC8" s="444"/>
      <c r="AD8" s="27">
        <v>15</v>
      </c>
      <c r="AE8" s="29"/>
      <c r="AF8" s="29">
        <v>1</v>
      </c>
      <c r="AG8" s="28" t="s">
        <v>152</v>
      </c>
      <c r="AH8" s="28"/>
      <c r="AI8" s="28"/>
      <c r="AJ8" s="28"/>
      <c r="AK8" s="28"/>
      <c r="AL8" s="28"/>
      <c r="AM8" s="28"/>
      <c r="AN8" s="28"/>
      <c r="AO8" s="29"/>
      <c r="AP8" s="29"/>
      <c r="AQ8" s="29"/>
      <c r="AR8" s="29"/>
      <c r="AS8" s="47"/>
      <c r="AT8" s="48"/>
      <c r="AU8" s="48"/>
      <c r="AV8" s="48"/>
      <c r="AW8" s="48"/>
      <c r="AX8" s="48"/>
      <c r="AY8" s="48"/>
      <c r="AZ8" s="48"/>
      <c r="BA8" s="48"/>
      <c r="BB8" s="48"/>
      <c r="BC8" s="48"/>
      <c r="BD8" s="66"/>
    </row>
    <row r="9" spans="1:57">
      <c r="A9" s="70">
        <f>IF(B9="","",COUNTA($B$8:B9))</f>
        <v>2</v>
      </c>
      <c r="B9" s="321" t="s">
        <v>1572</v>
      </c>
      <c r="C9" s="322"/>
      <c r="D9" s="322"/>
      <c r="E9" s="322"/>
      <c r="F9" s="322"/>
      <c r="G9" s="322"/>
      <c r="H9" s="323"/>
      <c r="I9" s="324" t="s">
        <v>1455</v>
      </c>
      <c r="J9" s="322"/>
      <c r="K9" s="322"/>
      <c r="L9" s="322"/>
      <c r="M9" s="322"/>
      <c r="N9" s="322"/>
      <c r="O9" s="322"/>
      <c r="P9" s="322"/>
      <c r="Q9" s="323"/>
      <c r="R9" s="321" t="s">
        <v>1572</v>
      </c>
      <c r="S9" s="322"/>
      <c r="T9" s="322"/>
      <c r="U9" s="322"/>
      <c r="V9" s="322"/>
      <c r="W9" s="322"/>
      <c r="X9" s="325"/>
      <c r="Y9" s="494" t="s">
        <v>421</v>
      </c>
      <c r="Z9" s="495"/>
      <c r="AA9" s="496" t="s">
        <v>422</v>
      </c>
      <c r="AB9" s="497"/>
      <c r="AC9" s="498"/>
      <c r="AD9" s="329">
        <v>5</v>
      </c>
      <c r="AE9" s="330"/>
      <c r="AF9" s="330">
        <v>2</v>
      </c>
      <c r="AG9" s="330" t="s">
        <v>1575</v>
      </c>
      <c r="AH9" s="331"/>
      <c r="AI9" s="331"/>
      <c r="AJ9" s="331"/>
      <c r="AK9" s="331"/>
      <c r="AL9" s="331"/>
      <c r="AM9" s="331"/>
      <c r="AN9" s="331"/>
      <c r="AO9" s="330"/>
      <c r="AP9" s="330"/>
      <c r="AQ9" s="330"/>
      <c r="AR9" s="330"/>
      <c r="AS9" s="332" t="s">
        <v>1573</v>
      </c>
      <c r="AT9" s="333"/>
      <c r="AU9" s="333"/>
      <c r="AV9" s="333"/>
      <c r="AW9" s="333"/>
      <c r="AX9" s="333"/>
      <c r="AY9" s="333"/>
      <c r="AZ9" s="333"/>
      <c r="BA9" s="333"/>
      <c r="BB9" s="333"/>
      <c r="BC9" s="333"/>
      <c r="BD9" s="334"/>
      <c r="BE9" s="123" t="s">
        <v>1574</v>
      </c>
    </row>
    <row r="10" spans="1:57" ht="14.4" customHeight="1">
      <c r="A10" s="70">
        <f>IF(B10="","",COUNTA($B$8:B10))</f>
        <v>3</v>
      </c>
      <c r="B10" s="19" t="s">
        <v>159</v>
      </c>
      <c r="C10" s="20"/>
      <c r="D10" s="20"/>
      <c r="E10" s="20"/>
      <c r="F10" s="20"/>
      <c r="G10" s="20"/>
      <c r="H10" s="24"/>
      <c r="I10" s="31" t="s">
        <v>160</v>
      </c>
      <c r="J10" s="23"/>
      <c r="K10" s="23"/>
      <c r="L10" s="23"/>
      <c r="M10" s="23"/>
      <c r="N10" s="23"/>
      <c r="O10" s="38"/>
      <c r="P10" s="23"/>
      <c r="Q10" s="24"/>
      <c r="R10" s="19" t="s">
        <v>159</v>
      </c>
      <c r="S10" s="23"/>
      <c r="T10" s="23"/>
      <c r="U10" s="23"/>
      <c r="V10" s="23"/>
      <c r="W10" s="23"/>
      <c r="X10" s="24"/>
      <c r="Y10" s="440" t="s">
        <v>150</v>
      </c>
      <c r="Z10" s="441"/>
      <c r="AA10" s="442" t="s">
        <v>151</v>
      </c>
      <c r="AB10" s="443"/>
      <c r="AC10" s="444"/>
      <c r="AD10" s="27">
        <v>4</v>
      </c>
      <c r="AE10" s="29"/>
      <c r="AF10" s="29"/>
      <c r="AG10" s="29"/>
      <c r="AH10" s="28"/>
      <c r="AI10" s="28"/>
      <c r="AJ10" s="28"/>
      <c r="AK10" s="28"/>
      <c r="AL10" s="28"/>
      <c r="AM10" s="28"/>
      <c r="AN10" s="28"/>
      <c r="AO10" s="29"/>
      <c r="AP10" s="29"/>
      <c r="AQ10" s="29"/>
      <c r="AR10" s="29"/>
      <c r="AS10" s="31"/>
      <c r="AT10" s="67"/>
      <c r="AU10" s="67"/>
      <c r="AV10" s="67"/>
      <c r="AW10" s="67"/>
      <c r="AX10" s="67"/>
      <c r="AY10" s="67"/>
      <c r="AZ10" s="67"/>
      <c r="BA10" s="67"/>
      <c r="BB10" s="67"/>
      <c r="BC10" s="67"/>
      <c r="BD10" s="68"/>
    </row>
    <row r="11" spans="1:57" ht="14.4" customHeight="1">
      <c r="A11" s="70">
        <f>IF(B11="","",COUNTA($B$8:B11))</f>
        <v>4</v>
      </c>
      <c r="B11" s="19" t="s">
        <v>162</v>
      </c>
      <c r="C11" s="20"/>
      <c r="D11" s="20"/>
      <c r="E11" s="20"/>
      <c r="F11" s="20"/>
      <c r="G11" s="20"/>
      <c r="H11" s="39" t="s">
        <v>391</v>
      </c>
      <c r="I11" s="31" t="s">
        <v>163</v>
      </c>
      <c r="J11" s="23"/>
      <c r="K11" s="23"/>
      <c r="L11" s="23"/>
      <c r="M11" s="23"/>
      <c r="N11" s="23"/>
      <c r="O11" s="38"/>
      <c r="P11" s="23"/>
      <c r="Q11" s="24"/>
      <c r="R11" s="19" t="s">
        <v>164</v>
      </c>
      <c r="S11" s="23"/>
      <c r="T11" s="23"/>
      <c r="U11" s="23"/>
      <c r="V11" s="23"/>
      <c r="W11" s="23"/>
      <c r="X11" s="24"/>
      <c r="Y11" s="440" t="s">
        <v>150</v>
      </c>
      <c r="Z11" s="441"/>
      <c r="AA11" s="442" t="s">
        <v>151</v>
      </c>
      <c r="AB11" s="443"/>
      <c r="AC11" s="444"/>
      <c r="AD11" s="27">
        <v>4</v>
      </c>
      <c r="AE11" s="29"/>
      <c r="AF11" s="29"/>
      <c r="AG11" s="29"/>
      <c r="AH11" s="28"/>
      <c r="AI11" s="28"/>
      <c r="AJ11" s="28"/>
      <c r="AK11" s="28"/>
      <c r="AL11" s="28"/>
      <c r="AM11" s="28"/>
      <c r="AN11" s="28"/>
      <c r="AO11" s="29"/>
      <c r="AP11" s="29"/>
      <c r="AQ11" s="29"/>
      <c r="AR11" s="29"/>
      <c r="AS11" s="31"/>
      <c r="AT11" s="67"/>
      <c r="AU11" s="67"/>
      <c r="AV11" s="67"/>
      <c r="AW11" s="67"/>
      <c r="AX11" s="67"/>
      <c r="AY11" s="67"/>
      <c r="AZ11" s="67"/>
      <c r="BA11" s="67"/>
      <c r="BB11" s="67"/>
      <c r="BC11" s="67"/>
      <c r="BD11" s="68"/>
    </row>
    <row r="12" spans="1:57" ht="14.4" customHeight="1">
      <c r="A12" s="70">
        <f>IF(B12="","",COUNTA($B$8:B12))</f>
        <v>5</v>
      </c>
      <c r="B12" s="25" t="s">
        <v>193</v>
      </c>
      <c r="C12" s="26"/>
      <c r="D12" s="26"/>
      <c r="E12" s="26"/>
      <c r="F12" s="26"/>
      <c r="G12" s="26"/>
      <c r="H12" s="39" t="s">
        <v>391</v>
      </c>
      <c r="I12" s="31" t="s">
        <v>194</v>
      </c>
      <c r="J12" s="23"/>
      <c r="K12" s="23"/>
      <c r="L12" s="23"/>
      <c r="M12" s="23"/>
      <c r="N12" s="23"/>
      <c r="O12" s="26"/>
      <c r="P12" s="23"/>
      <c r="Q12" s="24"/>
      <c r="R12" s="25" t="s">
        <v>193</v>
      </c>
      <c r="S12" s="23"/>
      <c r="T12" s="23"/>
      <c r="U12" s="23"/>
      <c r="V12" s="23"/>
      <c r="W12" s="23"/>
      <c r="X12" s="24"/>
      <c r="Y12" s="440" t="s">
        <v>150</v>
      </c>
      <c r="Z12" s="441"/>
      <c r="AA12" s="442" t="s">
        <v>151</v>
      </c>
      <c r="AB12" s="443"/>
      <c r="AC12" s="444"/>
      <c r="AD12" s="27">
        <v>5</v>
      </c>
      <c r="AE12" s="29"/>
      <c r="AF12" s="29"/>
      <c r="AG12" s="29"/>
      <c r="AH12" s="28"/>
      <c r="AI12" s="28"/>
      <c r="AJ12" s="28"/>
      <c r="AK12" s="28"/>
      <c r="AL12" s="28"/>
      <c r="AM12" s="28"/>
      <c r="AN12" s="28"/>
      <c r="AO12" s="29"/>
      <c r="AP12" s="29"/>
      <c r="AQ12" s="29"/>
      <c r="AR12" s="29"/>
      <c r="AS12" s="31"/>
      <c r="AT12" s="67"/>
      <c r="AU12" s="67"/>
      <c r="AV12" s="67"/>
      <c r="AW12" s="67"/>
      <c r="AX12" s="67"/>
      <c r="AY12" s="67"/>
      <c r="AZ12" s="67"/>
      <c r="BA12" s="67"/>
      <c r="BB12" s="67"/>
      <c r="BC12" s="67"/>
      <c r="BD12" s="68"/>
    </row>
    <row r="13" spans="1:57" ht="14.4" customHeight="1">
      <c r="A13" s="70">
        <f>IF(B13="","",COUNTA($B$8:B13))</f>
        <v>6</v>
      </c>
      <c r="B13" s="19" t="s">
        <v>195</v>
      </c>
      <c r="C13" s="26"/>
      <c r="D13" s="26"/>
      <c r="E13" s="26"/>
      <c r="F13" s="26"/>
      <c r="G13" s="26"/>
      <c r="H13" s="39" t="s">
        <v>391</v>
      </c>
      <c r="I13" s="31" t="s">
        <v>196</v>
      </c>
      <c r="J13" s="23"/>
      <c r="K13" s="23"/>
      <c r="L13" s="23"/>
      <c r="M13" s="23"/>
      <c r="N13" s="23"/>
      <c r="O13" s="23"/>
      <c r="P13" s="23"/>
      <c r="Q13" s="24"/>
      <c r="R13" s="25" t="s">
        <v>195</v>
      </c>
      <c r="S13" s="23"/>
      <c r="T13" s="23"/>
      <c r="U13" s="23"/>
      <c r="V13" s="23"/>
      <c r="W13" s="23"/>
      <c r="X13" s="24"/>
      <c r="Y13" s="440" t="s">
        <v>150</v>
      </c>
      <c r="Z13" s="441"/>
      <c r="AA13" s="442" t="s">
        <v>151</v>
      </c>
      <c r="AB13" s="443"/>
      <c r="AC13" s="444"/>
      <c r="AD13" s="27">
        <v>30</v>
      </c>
      <c r="AE13" s="29"/>
      <c r="AF13" s="29"/>
      <c r="AG13" s="29"/>
      <c r="AH13" s="28"/>
      <c r="AI13" s="28"/>
      <c r="AJ13" s="28"/>
      <c r="AK13" s="28"/>
      <c r="AL13" s="28"/>
      <c r="AM13" s="28"/>
      <c r="AN13" s="28"/>
      <c r="AO13" s="29"/>
      <c r="AP13" s="29"/>
      <c r="AQ13" s="29"/>
      <c r="AR13" s="29"/>
      <c r="AS13" s="31"/>
      <c r="AT13" s="67"/>
      <c r="AU13" s="67"/>
      <c r="AV13" s="67"/>
      <c r="AW13" s="67"/>
      <c r="AX13" s="67"/>
      <c r="AY13" s="67"/>
      <c r="AZ13" s="67"/>
      <c r="BA13" s="67"/>
      <c r="BB13" s="67"/>
      <c r="BC13" s="67"/>
      <c r="BD13" s="68"/>
    </row>
    <row r="14" spans="1:57" ht="14.4" customHeight="1">
      <c r="A14" s="70">
        <f>IF(B14="","",COUNTA($B$8:B14))</f>
        <v>7</v>
      </c>
      <c r="B14" s="19" t="s">
        <v>197</v>
      </c>
      <c r="C14" s="20"/>
      <c r="D14" s="20"/>
      <c r="E14" s="20"/>
      <c r="F14" s="20"/>
      <c r="G14" s="20"/>
      <c r="H14" s="39" t="s">
        <v>391</v>
      </c>
      <c r="I14" s="31" t="s">
        <v>198</v>
      </c>
      <c r="J14" s="23"/>
      <c r="K14" s="23"/>
      <c r="L14" s="23"/>
      <c r="M14" s="23"/>
      <c r="N14" s="23"/>
      <c r="O14" s="23"/>
      <c r="P14" s="23"/>
      <c r="Q14" s="24"/>
      <c r="R14" s="19" t="s">
        <v>197</v>
      </c>
      <c r="S14" s="23"/>
      <c r="T14" s="23"/>
      <c r="U14" s="23"/>
      <c r="V14" s="23"/>
      <c r="W14" s="23"/>
      <c r="X14" s="24"/>
      <c r="Y14" s="440" t="s">
        <v>150</v>
      </c>
      <c r="Z14" s="441"/>
      <c r="AA14" s="442" t="s">
        <v>151</v>
      </c>
      <c r="AB14" s="443"/>
      <c r="AC14" s="444"/>
      <c r="AD14" s="27">
        <v>5</v>
      </c>
      <c r="AE14" s="29"/>
      <c r="AF14" s="29"/>
      <c r="AG14" s="29"/>
      <c r="AH14" s="28"/>
      <c r="AI14" s="28"/>
      <c r="AJ14" s="28"/>
      <c r="AK14" s="28"/>
      <c r="AL14" s="28"/>
      <c r="AM14" s="28"/>
      <c r="AN14" s="28"/>
      <c r="AO14" s="29"/>
      <c r="AP14" s="29"/>
      <c r="AQ14" s="29"/>
      <c r="AR14" s="29"/>
      <c r="AS14" s="31"/>
      <c r="AT14" s="67"/>
      <c r="AU14" s="67"/>
      <c r="AV14" s="67"/>
      <c r="AW14" s="67"/>
      <c r="AX14" s="67"/>
      <c r="AY14" s="67"/>
      <c r="AZ14" s="67"/>
      <c r="BA14" s="67"/>
      <c r="BB14" s="67"/>
      <c r="BC14" s="67"/>
      <c r="BD14" s="68"/>
    </row>
    <row r="15" spans="1:57" ht="14.4" customHeight="1">
      <c r="A15" s="70">
        <f>IF(B15="","",COUNTA($B$8:B15))</f>
        <v>8</v>
      </c>
      <c r="B15" s="22" t="s">
        <v>199</v>
      </c>
      <c r="C15" s="20"/>
      <c r="D15" s="20"/>
      <c r="E15" s="20"/>
      <c r="F15" s="20"/>
      <c r="G15" s="20"/>
      <c r="H15" s="39" t="s">
        <v>391</v>
      </c>
      <c r="I15" s="31" t="s">
        <v>200</v>
      </c>
      <c r="J15" s="23"/>
      <c r="K15" s="23"/>
      <c r="L15" s="23"/>
      <c r="M15" s="23"/>
      <c r="N15" s="23"/>
      <c r="O15" s="23"/>
      <c r="P15" s="23"/>
      <c r="Q15" s="24"/>
      <c r="R15" s="19" t="s">
        <v>199</v>
      </c>
      <c r="S15" s="23"/>
      <c r="T15" s="23"/>
      <c r="U15" s="23"/>
      <c r="V15" s="23"/>
      <c r="W15" s="23"/>
      <c r="X15" s="24"/>
      <c r="Y15" s="440" t="s">
        <v>150</v>
      </c>
      <c r="Z15" s="441"/>
      <c r="AA15" s="442" t="s">
        <v>151</v>
      </c>
      <c r="AB15" s="443"/>
      <c r="AC15" s="444"/>
      <c r="AD15" s="27">
        <v>20</v>
      </c>
      <c r="AE15" s="29"/>
      <c r="AF15" s="29"/>
      <c r="AG15" s="29"/>
      <c r="AH15" s="28"/>
      <c r="AI15" s="28"/>
      <c r="AJ15" s="28"/>
      <c r="AK15" s="28"/>
      <c r="AL15" s="28"/>
      <c r="AM15" s="28"/>
      <c r="AN15" s="28"/>
      <c r="AO15" s="29"/>
      <c r="AP15" s="29"/>
      <c r="AQ15" s="29"/>
      <c r="AR15" s="29"/>
      <c r="AS15" s="31"/>
      <c r="AT15" s="67"/>
      <c r="AU15" s="67"/>
      <c r="AV15" s="67"/>
      <c r="AW15" s="67"/>
      <c r="AX15" s="67"/>
      <c r="AY15" s="67"/>
      <c r="AZ15" s="67"/>
      <c r="BA15" s="67"/>
      <c r="BB15" s="67"/>
      <c r="BC15" s="67"/>
      <c r="BD15" s="68"/>
    </row>
    <row r="16" spans="1:57" ht="14.4" customHeight="1">
      <c r="A16" s="70">
        <f>IF(B16="","",COUNTA($B$8:B16))</f>
        <v>9</v>
      </c>
      <c r="B16" s="19" t="s">
        <v>201</v>
      </c>
      <c r="C16" s="20"/>
      <c r="D16" s="20"/>
      <c r="E16" s="20"/>
      <c r="F16" s="20"/>
      <c r="G16" s="20"/>
      <c r="H16" s="39" t="s">
        <v>391</v>
      </c>
      <c r="I16" s="31" t="s">
        <v>202</v>
      </c>
      <c r="J16" s="23"/>
      <c r="K16" s="23"/>
      <c r="L16" s="23"/>
      <c r="M16" s="23"/>
      <c r="N16" s="23"/>
      <c r="O16" s="23"/>
      <c r="P16" s="23"/>
      <c r="Q16" s="24"/>
      <c r="R16" s="19" t="s">
        <v>201</v>
      </c>
      <c r="S16" s="23"/>
      <c r="T16" s="23"/>
      <c r="U16" s="23"/>
      <c r="V16" s="23"/>
      <c r="W16" s="23"/>
      <c r="X16" s="24"/>
      <c r="Y16" s="440" t="s">
        <v>150</v>
      </c>
      <c r="Z16" s="441"/>
      <c r="AA16" s="442" t="s">
        <v>151</v>
      </c>
      <c r="AB16" s="443"/>
      <c r="AC16" s="444"/>
      <c r="AD16" s="27">
        <v>30</v>
      </c>
      <c r="AE16" s="29"/>
      <c r="AF16" s="29"/>
      <c r="AG16" s="29"/>
      <c r="AH16" s="28"/>
      <c r="AI16" s="28"/>
      <c r="AJ16" s="28"/>
      <c r="AK16" s="28"/>
      <c r="AL16" s="28"/>
      <c r="AM16" s="28"/>
      <c r="AN16" s="28"/>
      <c r="AO16" s="29"/>
      <c r="AP16" s="29"/>
      <c r="AQ16" s="29"/>
      <c r="AR16" s="29"/>
      <c r="AS16" s="31"/>
      <c r="AT16" s="67"/>
      <c r="AU16" s="67"/>
      <c r="AV16" s="67"/>
      <c r="AW16" s="67"/>
      <c r="AX16" s="67"/>
      <c r="AY16" s="67"/>
      <c r="AZ16" s="67"/>
      <c r="BA16" s="67"/>
      <c r="BB16" s="67"/>
      <c r="BC16" s="67"/>
      <c r="BD16" s="68"/>
    </row>
    <row r="17" spans="1:56" ht="14.4" customHeight="1">
      <c r="A17" s="70">
        <f>IF(B17="","",COUNTA($B$8:B17))</f>
        <v>10</v>
      </c>
      <c r="B17" s="19" t="s">
        <v>203</v>
      </c>
      <c r="C17" s="20"/>
      <c r="D17" s="20"/>
      <c r="E17" s="20"/>
      <c r="F17" s="20"/>
      <c r="G17" s="20"/>
      <c r="H17" s="39" t="s">
        <v>391</v>
      </c>
      <c r="I17" s="31" t="s">
        <v>204</v>
      </c>
      <c r="J17" s="23"/>
      <c r="K17" s="23"/>
      <c r="L17" s="23"/>
      <c r="M17" s="23"/>
      <c r="N17" s="23"/>
      <c r="O17" s="38"/>
      <c r="P17" s="23"/>
      <c r="Q17" s="24"/>
      <c r="R17" s="19" t="s">
        <v>203</v>
      </c>
      <c r="S17" s="23"/>
      <c r="T17" s="23"/>
      <c r="U17" s="23"/>
      <c r="V17" s="23"/>
      <c r="W17" s="23"/>
      <c r="X17" s="24"/>
      <c r="Y17" s="440" t="s">
        <v>155</v>
      </c>
      <c r="Z17" s="441"/>
      <c r="AA17" s="442" t="s">
        <v>156</v>
      </c>
      <c r="AB17" s="443"/>
      <c r="AC17" s="444"/>
      <c r="AD17" s="27">
        <v>5</v>
      </c>
      <c r="AE17" s="29">
        <v>2</v>
      </c>
      <c r="AF17" s="29"/>
      <c r="AG17" s="29"/>
      <c r="AH17" s="28"/>
      <c r="AI17" s="28"/>
      <c r="AJ17" s="28"/>
      <c r="AK17" s="28"/>
      <c r="AL17" s="28"/>
      <c r="AM17" s="28"/>
      <c r="AN17" s="28"/>
      <c r="AO17" s="29"/>
      <c r="AP17" s="29"/>
      <c r="AQ17" s="29"/>
      <c r="AR17" s="29"/>
      <c r="AS17" s="31"/>
      <c r="AT17" s="67"/>
      <c r="AU17" s="67"/>
      <c r="AV17" s="67"/>
      <c r="AW17" s="67"/>
      <c r="AX17" s="67"/>
      <c r="AY17" s="67"/>
      <c r="AZ17" s="67"/>
      <c r="BA17" s="67"/>
      <c r="BB17" s="67"/>
      <c r="BC17" s="67"/>
      <c r="BD17" s="68"/>
    </row>
    <row r="18" spans="1:56" ht="14.4" customHeight="1">
      <c r="A18" s="70">
        <f>IF(B18="","",COUNTA($B$8:B18))</f>
        <v>11</v>
      </c>
      <c r="B18" s="25" t="s">
        <v>205</v>
      </c>
      <c r="C18" s="26"/>
      <c r="D18" s="26"/>
      <c r="E18" s="26"/>
      <c r="F18" s="26"/>
      <c r="G18" s="26"/>
      <c r="H18" s="39" t="s">
        <v>391</v>
      </c>
      <c r="I18" s="31" t="s">
        <v>206</v>
      </c>
      <c r="J18" s="23"/>
      <c r="K18" s="23"/>
      <c r="L18" s="23"/>
      <c r="M18" s="23"/>
      <c r="N18" s="23"/>
      <c r="O18" s="26"/>
      <c r="P18" s="23"/>
      <c r="Q18" s="24"/>
      <c r="R18" s="25" t="s">
        <v>205</v>
      </c>
      <c r="S18" s="23"/>
      <c r="T18" s="23"/>
      <c r="U18" s="23"/>
      <c r="V18" s="23"/>
      <c r="W18" s="23"/>
      <c r="X18" s="24"/>
      <c r="Y18" s="440" t="s">
        <v>155</v>
      </c>
      <c r="Z18" s="441"/>
      <c r="AA18" s="442" t="s">
        <v>156</v>
      </c>
      <c r="AB18" s="443"/>
      <c r="AC18" s="444"/>
      <c r="AD18" s="27">
        <v>4</v>
      </c>
      <c r="AE18" s="29"/>
      <c r="AF18" s="29"/>
      <c r="AG18" s="29"/>
      <c r="AH18" s="28"/>
      <c r="AI18" s="28"/>
      <c r="AJ18" s="28"/>
      <c r="AK18" s="28"/>
      <c r="AL18" s="28"/>
      <c r="AM18" s="28"/>
      <c r="AN18" s="28"/>
      <c r="AO18" s="29"/>
      <c r="AP18" s="29"/>
      <c r="AQ18" s="29"/>
      <c r="AR18" s="29"/>
      <c r="AS18" s="31"/>
      <c r="AT18" s="67"/>
      <c r="AU18" s="67"/>
      <c r="AV18" s="67"/>
      <c r="AW18" s="67"/>
      <c r="AX18" s="67"/>
      <c r="AY18" s="67"/>
      <c r="AZ18" s="67"/>
      <c r="BA18" s="67"/>
      <c r="BB18" s="67"/>
      <c r="BC18" s="67"/>
      <c r="BD18" s="68"/>
    </row>
    <row r="19" spans="1:56" ht="14.4" customHeight="1">
      <c r="A19" s="70">
        <f>IF(B19="","",COUNTA($B$8:B19))</f>
        <v>12</v>
      </c>
      <c r="B19" s="25" t="s">
        <v>208</v>
      </c>
      <c r="C19" s="26"/>
      <c r="D19" s="26"/>
      <c r="E19" s="26"/>
      <c r="F19" s="26"/>
      <c r="G19" s="26"/>
      <c r="H19" s="39" t="s">
        <v>391</v>
      </c>
      <c r="I19" s="31" t="s">
        <v>209</v>
      </c>
      <c r="J19" s="23"/>
      <c r="K19" s="23"/>
      <c r="L19" s="23"/>
      <c r="M19" s="23"/>
      <c r="N19" s="23"/>
      <c r="O19" s="26"/>
      <c r="P19" s="23"/>
      <c r="Q19" s="24"/>
      <c r="R19" s="25" t="s">
        <v>208</v>
      </c>
      <c r="S19" s="23"/>
      <c r="T19" s="23"/>
      <c r="U19" s="23"/>
      <c r="V19" s="23"/>
      <c r="W19" s="23"/>
      <c r="X19" s="24"/>
      <c r="Y19" s="440" t="s">
        <v>155</v>
      </c>
      <c r="Z19" s="441"/>
      <c r="AA19" s="442" t="s">
        <v>156</v>
      </c>
      <c r="AB19" s="443"/>
      <c r="AC19" s="444"/>
      <c r="AD19" s="27">
        <v>5</v>
      </c>
      <c r="AE19" s="29"/>
      <c r="AF19" s="29"/>
      <c r="AG19" s="29"/>
      <c r="AH19" s="28"/>
      <c r="AI19" s="28"/>
      <c r="AJ19" s="28"/>
      <c r="AK19" s="28"/>
      <c r="AL19" s="28"/>
      <c r="AM19" s="28"/>
      <c r="AN19" s="28"/>
      <c r="AO19" s="29"/>
      <c r="AP19" s="29"/>
      <c r="AQ19" s="29"/>
      <c r="AR19" s="29"/>
      <c r="AS19" s="31"/>
      <c r="AT19" s="67"/>
      <c r="AU19" s="67"/>
      <c r="AV19" s="67"/>
      <c r="AW19" s="67"/>
      <c r="AX19" s="67"/>
      <c r="AY19" s="67"/>
      <c r="AZ19" s="67"/>
      <c r="BA19" s="67"/>
      <c r="BB19" s="67"/>
      <c r="BC19" s="67"/>
      <c r="BD19" s="68"/>
    </row>
    <row r="20" spans="1:56" ht="14.4" customHeight="1">
      <c r="A20" s="70">
        <f>IF(B20="","",COUNTA($B$8:B20))</f>
        <v>13</v>
      </c>
      <c r="B20" s="19" t="s">
        <v>392</v>
      </c>
      <c r="C20" s="20"/>
      <c r="D20" s="20"/>
      <c r="E20" s="20"/>
      <c r="F20" s="20"/>
      <c r="G20" s="20"/>
      <c r="H20" s="24"/>
      <c r="I20" s="31" t="s">
        <v>393</v>
      </c>
      <c r="J20" s="23"/>
      <c r="K20" s="23"/>
      <c r="L20" s="23"/>
      <c r="M20" s="23"/>
      <c r="N20" s="23"/>
      <c r="O20" s="38"/>
      <c r="P20" s="23"/>
      <c r="Q20" s="24"/>
      <c r="R20" s="22" t="s">
        <v>392</v>
      </c>
      <c r="S20" s="23"/>
      <c r="T20" s="23"/>
      <c r="U20" s="23"/>
      <c r="V20" s="23"/>
      <c r="W20" s="23"/>
      <c r="X20" s="24"/>
      <c r="Y20" s="440" t="s">
        <v>169</v>
      </c>
      <c r="Z20" s="441"/>
      <c r="AA20" s="442" t="s">
        <v>170</v>
      </c>
      <c r="AB20" s="443"/>
      <c r="AC20" s="444"/>
      <c r="AD20" s="51"/>
      <c r="AE20" s="29"/>
      <c r="AF20" s="29"/>
      <c r="AG20" s="29"/>
      <c r="AH20" s="28"/>
      <c r="AI20" s="28"/>
      <c r="AJ20" s="28"/>
      <c r="AK20" s="28"/>
      <c r="AL20" s="28"/>
      <c r="AM20" s="28"/>
      <c r="AN20" s="28"/>
      <c r="AO20" s="29"/>
      <c r="AP20" s="29"/>
      <c r="AQ20" s="29"/>
      <c r="AR20" s="29"/>
      <c r="AS20" s="31" t="s">
        <v>441</v>
      </c>
      <c r="AT20" s="67"/>
      <c r="AU20" s="67"/>
      <c r="AV20" s="67"/>
      <c r="AW20" s="67"/>
      <c r="AX20" s="67"/>
      <c r="AY20" s="67"/>
      <c r="AZ20" s="67"/>
      <c r="BA20" s="67"/>
      <c r="BB20" s="67"/>
      <c r="BC20" s="67"/>
      <c r="BD20" s="68"/>
    </row>
    <row r="21" spans="1:56" ht="14.4" customHeight="1">
      <c r="A21" s="70">
        <f>IF(B21="","",COUNTA($B$8:B21))</f>
        <v>14</v>
      </c>
      <c r="B21" s="19" t="s">
        <v>249</v>
      </c>
      <c r="C21" s="20"/>
      <c r="D21" s="20"/>
      <c r="E21" s="20"/>
      <c r="F21" s="20"/>
      <c r="G21" s="20"/>
      <c r="H21" s="24"/>
      <c r="I21" s="31" t="s">
        <v>250</v>
      </c>
      <c r="J21" s="23"/>
      <c r="K21" s="23"/>
      <c r="L21" s="23"/>
      <c r="M21" s="23"/>
      <c r="N21" s="23"/>
      <c r="O21" s="23"/>
      <c r="P21" s="23"/>
      <c r="Q21" s="37"/>
      <c r="R21" s="19" t="s">
        <v>249</v>
      </c>
      <c r="S21" s="23"/>
      <c r="T21" s="23"/>
      <c r="U21" s="23"/>
      <c r="V21" s="23"/>
      <c r="W21" s="23"/>
      <c r="X21" s="24"/>
      <c r="Y21" s="440" t="s">
        <v>150</v>
      </c>
      <c r="Z21" s="441"/>
      <c r="AA21" s="442" t="s">
        <v>151</v>
      </c>
      <c r="AB21" s="443"/>
      <c r="AC21" s="444"/>
      <c r="AD21" s="27">
        <v>4</v>
      </c>
      <c r="AE21" s="29"/>
      <c r="AF21" s="29"/>
      <c r="AG21" s="29"/>
      <c r="AH21" s="28"/>
      <c r="AI21" s="28"/>
      <c r="AJ21" s="28"/>
      <c r="AK21" s="28"/>
      <c r="AL21" s="28"/>
      <c r="AM21" s="28"/>
      <c r="AN21" s="28"/>
      <c r="AO21" s="29"/>
      <c r="AP21" s="29"/>
      <c r="AQ21" s="29"/>
      <c r="AR21" s="29"/>
      <c r="AS21" s="31"/>
      <c r="AT21" s="67"/>
      <c r="AU21" s="67"/>
      <c r="AV21" s="67"/>
      <c r="AW21" s="67"/>
      <c r="AX21" s="67"/>
      <c r="AY21" s="67"/>
      <c r="AZ21" s="67"/>
      <c r="BA21" s="67"/>
      <c r="BB21" s="67"/>
      <c r="BC21" s="67"/>
      <c r="BD21" s="68"/>
    </row>
    <row r="22" spans="1:56" ht="14.4" customHeight="1">
      <c r="A22" s="70">
        <f>IF(B22="","",COUNTA($B$8:B22))</f>
        <v>15</v>
      </c>
      <c r="B22" s="19" t="s">
        <v>251</v>
      </c>
      <c r="C22" s="20"/>
      <c r="D22" s="20"/>
      <c r="E22" s="20"/>
      <c r="F22" s="20"/>
      <c r="G22" s="20"/>
      <c r="H22" s="24"/>
      <c r="I22" s="31" t="s">
        <v>252</v>
      </c>
      <c r="J22" s="23"/>
      <c r="K22" s="23"/>
      <c r="L22" s="23"/>
      <c r="M22" s="23"/>
      <c r="N22" s="23"/>
      <c r="O22" s="23"/>
      <c r="P22" s="23"/>
      <c r="Q22" s="37"/>
      <c r="R22" s="19" t="s">
        <v>251</v>
      </c>
      <c r="S22" s="23"/>
      <c r="T22" s="23"/>
      <c r="U22" s="23"/>
      <c r="V22" s="23"/>
      <c r="W22" s="23"/>
      <c r="X22" s="24"/>
      <c r="Y22" s="440" t="s">
        <v>150</v>
      </c>
      <c r="Z22" s="441"/>
      <c r="AA22" s="442" t="s">
        <v>151</v>
      </c>
      <c r="AB22" s="443"/>
      <c r="AC22" s="444"/>
      <c r="AD22" s="27">
        <v>4</v>
      </c>
      <c r="AE22" s="29"/>
      <c r="AF22" s="29"/>
      <c r="AG22" s="29"/>
      <c r="AH22" s="28"/>
      <c r="AI22" s="28"/>
      <c r="AJ22" s="28"/>
      <c r="AK22" s="28"/>
      <c r="AL22" s="28"/>
      <c r="AM22" s="28"/>
      <c r="AN22" s="28"/>
      <c r="AO22" s="29"/>
      <c r="AP22" s="29"/>
      <c r="AQ22" s="29"/>
      <c r="AR22" s="29"/>
      <c r="AS22" s="31"/>
      <c r="AT22" s="67"/>
      <c r="AU22" s="67"/>
      <c r="AV22" s="67"/>
      <c r="AW22" s="67"/>
      <c r="AX22" s="67"/>
      <c r="AY22" s="67"/>
      <c r="AZ22" s="67"/>
      <c r="BA22" s="67"/>
      <c r="BB22" s="67"/>
      <c r="BC22" s="67"/>
      <c r="BD22" s="68"/>
    </row>
    <row r="23" spans="1:56" ht="14.4" customHeight="1">
      <c r="A23" s="70">
        <f>IF(B23="","",COUNTA($B$8:B23))</f>
        <v>16</v>
      </c>
      <c r="B23" s="19" t="s">
        <v>253</v>
      </c>
      <c r="C23" s="20"/>
      <c r="D23" s="20"/>
      <c r="E23" s="20"/>
      <c r="F23" s="20"/>
      <c r="G23" s="20"/>
      <c r="H23" s="24"/>
      <c r="I23" s="31" t="s">
        <v>254</v>
      </c>
      <c r="J23" s="23"/>
      <c r="K23" s="23"/>
      <c r="L23" s="23"/>
      <c r="M23" s="23"/>
      <c r="N23" s="23"/>
      <c r="O23" s="23"/>
      <c r="P23" s="23"/>
      <c r="Q23" s="37"/>
      <c r="R23" s="19" t="s">
        <v>253</v>
      </c>
      <c r="S23" s="23"/>
      <c r="T23" s="23"/>
      <c r="U23" s="23"/>
      <c r="V23" s="23"/>
      <c r="W23" s="23"/>
      <c r="X23" s="24"/>
      <c r="Y23" s="440" t="s">
        <v>150</v>
      </c>
      <c r="Z23" s="441"/>
      <c r="AA23" s="442" t="s">
        <v>151</v>
      </c>
      <c r="AB23" s="443"/>
      <c r="AC23" s="444"/>
      <c r="AD23" s="27">
        <v>10</v>
      </c>
      <c r="AE23" s="29"/>
      <c r="AF23" s="29"/>
      <c r="AG23" s="29"/>
      <c r="AH23" s="28"/>
      <c r="AI23" s="28"/>
      <c r="AJ23" s="28"/>
      <c r="AK23" s="28"/>
      <c r="AL23" s="28"/>
      <c r="AM23" s="28"/>
      <c r="AN23" s="28"/>
      <c r="AO23" s="29"/>
      <c r="AP23" s="29"/>
      <c r="AQ23" s="29"/>
      <c r="AR23" s="29"/>
      <c r="AS23" s="31"/>
      <c r="AT23" s="67"/>
      <c r="AU23" s="67"/>
      <c r="AV23" s="67"/>
      <c r="AW23" s="67"/>
      <c r="AX23" s="67"/>
      <c r="AY23" s="67"/>
      <c r="AZ23" s="67"/>
      <c r="BA23" s="67"/>
      <c r="BB23" s="67"/>
      <c r="BC23" s="67"/>
      <c r="BD23" s="68"/>
    </row>
    <row r="24" spans="1:56" ht="14.4" customHeight="1">
      <c r="A24" s="70">
        <f>IF(B24="","",COUNTA($B$8:B24))</f>
        <v>17</v>
      </c>
      <c r="B24" s="19" t="s">
        <v>255</v>
      </c>
      <c r="C24" s="20"/>
      <c r="D24" s="20"/>
      <c r="E24" s="20"/>
      <c r="F24" s="20"/>
      <c r="G24" s="20"/>
      <c r="H24" s="24"/>
      <c r="I24" s="31" t="s">
        <v>256</v>
      </c>
      <c r="J24" s="23"/>
      <c r="K24" s="23"/>
      <c r="L24" s="23"/>
      <c r="M24" s="23"/>
      <c r="N24" s="23"/>
      <c r="O24" s="23"/>
      <c r="P24" s="23"/>
      <c r="Q24" s="37"/>
      <c r="R24" s="19" t="s">
        <v>255</v>
      </c>
      <c r="S24" s="23"/>
      <c r="T24" s="23"/>
      <c r="U24" s="23"/>
      <c r="V24" s="23"/>
      <c r="W24" s="23"/>
      <c r="X24" s="24"/>
      <c r="Y24" s="440" t="s">
        <v>150</v>
      </c>
      <c r="Z24" s="441"/>
      <c r="AA24" s="442" t="s">
        <v>151</v>
      </c>
      <c r="AB24" s="443"/>
      <c r="AC24" s="444"/>
      <c r="AD24" s="27">
        <v>10</v>
      </c>
      <c r="AE24" s="29"/>
      <c r="AF24" s="29"/>
      <c r="AG24" s="29"/>
      <c r="AH24" s="40"/>
      <c r="AI24" s="40"/>
      <c r="AJ24" s="28"/>
      <c r="AK24" s="28"/>
      <c r="AL24" s="28"/>
      <c r="AM24" s="28"/>
      <c r="AN24" s="28"/>
      <c r="AO24" s="29"/>
      <c r="AP24" s="29"/>
      <c r="AQ24" s="29"/>
      <c r="AR24" s="29"/>
      <c r="AS24" s="31"/>
      <c r="AT24" s="67"/>
      <c r="AU24" s="32"/>
      <c r="AV24" s="32"/>
      <c r="AW24" s="32"/>
      <c r="AX24" s="32"/>
      <c r="AY24" s="67"/>
      <c r="AZ24" s="67"/>
      <c r="BA24" s="67"/>
      <c r="BB24" s="67"/>
      <c r="BC24" s="67"/>
      <c r="BD24" s="68"/>
    </row>
    <row r="25" spans="1:56" ht="14.4" customHeight="1">
      <c r="A25" s="70">
        <f>IF(B25="","",COUNTA($B$8:B25))</f>
        <v>18</v>
      </c>
      <c r="B25" s="19" t="s">
        <v>257</v>
      </c>
      <c r="C25" s="20"/>
      <c r="D25" s="20"/>
      <c r="E25" s="20"/>
      <c r="F25" s="20"/>
      <c r="G25" s="20"/>
      <c r="H25" s="24"/>
      <c r="I25" s="31" t="s">
        <v>258</v>
      </c>
      <c r="J25" s="23"/>
      <c r="K25" s="23"/>
      <c r="L25" s="23"/>
      <c r="M25" s="23"/>
      <c r="N25" s="23"/>
      <c r="O25" s="23"/>
      <c r="P25" s="23"/>
      <c r="Q25" s="37"/>
      <c r="R25" s="19" t="s">
        <v>257</v>
      </c>
      <c r="S25" s="23"/>
      <c r="T25" s="23"/>
      <c r="U25" s="23"/>
      <c r="V25" s="23"/>
      <c r="W25" s="23"/>
      <c r="X25" s="24"/>
      <c r="Y25" s="440" t="s">
        <v>169</v>
      </c>
      <c r="Z25" s="441"/>
      <c r="AA25" s="442" t="s">
        <v>243</v>
      </c>
      <c r="AB25" s="443"/>
      <c r="AC25" s="444"/>
      <c r="AD25" s="51"/>
      <c r="AE25" s="29"/>
      <c r="AF25" s="29"/>
      <c r="AG25" s="29"/>
      <c r="AH25" s="28"/>
      <c r="AI25" s="28"/>
      <c r="AJ25" s="28"/>
      <c r="AK25" s="28"/>
      <c r="AL25" s="40"/>
      <c r="AM25" s="40"/>
      <c r="AN25" s="40"/>
      <c r="AO25" s="41"/>
      <c r="AP25" s="41"/>
      <c r="AQ25" s="41"/>
      <c r="AR25" s="41"/>
      <c r="AS25" s="42"/>
      <c r="AT25" s="43"/>
      <c r="AU25" s="32"/>
      <c r="AV25" s="32"/>
      <c r="AW25" s="32"/>
      <c r="AX25" s="32"/>
      <c r="AY25" s="32"/>
      <c r="AZ25" s="32"/>
      <c r="BA25" s="32"/>
      <c r="BB25" s="32"/>
      <c r="BC25" s="32"/>
      <c r="BD25" s="33"/>
    </row>
    <row r="26" spans="1:56" ht="14.4" customHeight="1">
      <c r="A26" s="70">
        <f>IF(B26="","",COUNTA($B$8:B26))</f>
        <v>19</v>
      </c>
      <c r="B26" s="19" t="s">
        <v>259</v>
      </c>
      <c r="C26" s="20"/>
      <c r="D26" s="20"/>
      <c r="E26" s="20"/>
      <c r="F26" s="20"/>
      <c r="G26" s="20"/>
      <c r="H26" s="24"/>
      <c r="I26" s="31" t="s">
        <v>260</v>
      </c>
      <c r="J26" s="23"/>
      <c r="K26" s="23"/>
      <c r="L26" s="23"/>
      <c r="M26" s="23"/>
      <c r="N26" s="23"/>
      <c r="O26" s="23"/>
      <c r="P26" s="23"/>
      <c r="Q26" s="37"/>
      <c r="R26" s="19" t="s">
        <v>259</v>
      </c>
      <c r="S26" s="23"/>
      <c r="T26" s="23"/>
      <c r="U26" s="23"/>
      <c r="V26" s="23"/>
      <c r="W26" s="23"/>
      <c r="X26" s="24"/>
      <c r="Y26" s="440" t="s">
        <v>150</v>
      </c>
      <c r="Z26" s="441"/>
      <c r="AA26" s="442" t="s">
        <v>151</v>
      </c>
      <c r="AB26" s="443"/>
      <c r="AC26" s="444"/>
      <c r="AD26" s="27">
        <v>10</v>
      </c>
      <c r="AE26" s="29"/>
      <c r="AF26" s="29"/>
      <c r="AG26" s="29"/>
      <c r="AH26" s="40"/>
      <c r="AI26" s="40"/>
      <c r="AJ26" s="40"/>
      <c r="AK26" s="40"/>
      <c r="AL26" s="40"/>
      <c r="AM26" s="40"/>
      <c r="AN26" s="40"/>
      <c r="AO26" s="41"/>
      <c r="AP26" s="41"/>
      <c r="AQ26" s="41"/>
      <c r="AR26" s="41"/>
      <c r="AS26" s="42"/>
      <c r="AT26" s="43"/>
      <c r="AU26" s="67"/>
      <c r="AV26" s="67"/>
      <c r="AW26" s="67"/>
      <c r="AX26" s="67"/>
      <c r="AY26" s="32"/>
      <c r="AZ26" s="32"/>
      <c r="BA26" s="32"/>
      <c r="BB26" s="32"/>
      <c r="BC26" s="32"/>
      <c r="BD26" s="33"/>
    </row>
    <row r="27" spans="1:56" ht="14.4" customHeight="1">
      <c r="A27" s="70">
        <f>IF(B27="","",COUNTA($B$8:B27))</f>
        <v>20</v>
      </c>
      <c r="B27" s="19" t="s">
        <v>261</v>
      </c>
      <c r="C27" s="20"/>
      <c r="D27" s="20"/>
      <c r="E27" s="20"/>
      <c r="F27" s="20"/>
      <c r="G27" s="20"/>
      <c r="H27" s="24"/>
      <c r="I27" s="31" t="s">
        <v>262</v>
      </c>
      <c r="J27" s="23"/>
      <c r="K27" s="23"/>
      <c r="L27" s="23"/>
      <c r="M27" s="23"/>
      <c r="N27" s="23"/>
      <c r="O27" s="23"/>
      <c r="P27" s="23"/>
      <c r="Q27" s="37"/>
      <c r="R27" s="19" t="s">
        <v>261</v>
      </c>
      <c r="S27" s="23"/>
      <c r="T27" s="23"/>
      <c r="U27" s="23"/>
      <c r="V27" s="23"/>
      <c r="W27" s="23"/>
      <c r="X27" s="24"/>
      <c r="Y27" s="440" t="s">
        <v>150</v>
      </c>
      <c r="Z27" s="441"/>
      <c r="AA27" s="442" t="s">
        <v>151</v>
      </c>
      <c r="AB27" s="443"/>
      <c r="AC27" s="444"/>
      <c r="AD27" s="51">
        <v>10</v>
      </c>
      <c r="AE27" s="29"/>
      <c r="AF27" s="29"/>
      <c r="AG27" s="29"/>
      <c r="AH27" s="40"/>
      <c r="AI27" s="40"/>
      <c r="AJ27" s="40"/>
      <c r="AK27" s="40"/>
      <c r="AL27" s="40"/>
      <c r="AM27" s="40"/>
      <c r="AN27" s="40"/>
      <c r="AO27" s="41"/>
      <c r="AP27" s="41"/>
      <c r="AQ27" s="41"/>
      <c r="AR27" s="41"/>
      <c r="AS27" s="42"/>
      <c r="AT27" s="43"/>
      <c r="AU27" s="67"/>
      <c r="AV27" s="67"/>
      <c r="AW27" s="67"/>
      <c r="AX27" s="67"/>
      <c r="AY27" s="67"/>
      <c r="AZ27" s="67"/>
      <c r="BA27" s="67"/>
      <c r="BB27" s="67"/>
      <c r="BC27" s="67"/>
      <c r="BD27" s="68"/>
    </row>
    <row r="28" spans="1:56" ht="14.4" customHeight="1">
      <c r="A28" s="70">
        <f>IF(B28="","",COUNTA($B$8:B28))</f>
        <v>21</v>
      </c>
      <c r="B28" s="19" t="s">
        <v>263</v>
      </c>
      <c r="C28" s="20"/>
      <c r="D28" s="20"/>
      <c r="E28" s="20"/>
      <c r="F28" s="20"/>
      <c r="G28" s="20"/>
      <c r="H28" s="24"/>
      <c r="I28" s="31" t="s">
        <v>264</v>
      </c>
      <c r="J28" s="23"/>
      <c r="K28" s="23"/>
      <c r="L28" s="23"/>
      <c r="M28" s="23"/>
      <c r="N28" s="23"/>
      <c r="O28" s="23"/>
      <c r="P28" s="23"/>
      <c r="Q28" s="37"/>
      <c r="R28" s="22" t="s">
        <v>263</v>
      </c>
      <c r="S28" s="23"/>
      <c r="T28" s="23"/>
      <c r="U28" s="23"/>
      <c r="V28" s="23"/>
      <c r="W28" s="23"/>
      <c r="X28" s="24"/>
      <c r="Y28" s="440" t="s">
        <v>169</v>
      </c>
      <c r="Z28" s="441"/>
      <c r="AA28" s="442" t="s">
        <v>243</v>
      </c>
      <c r="AB28" s="443"/>
      <c r="AC28" s="444"/>
      <c r="AD28" s="51"/>
      <c r="AE28" s="29"/>
      <c r="AF28" s="29"/>
      <c r="AG28" s="29"/>
      <c r="AH28" s="28"/>
      <c r="AI28" s="28"/>
      <c r="AJ28" s="28"/>
      <c r="AK28" s="28"/>
      <c r="AL28" s="28"/>
      <c r="AM28" s="28"/>
      <c r="AN28" s="28"/>
      <c r="AO28" s="29"/>
      <c r="AP28" s="29"/>
      <c r="AQ28" s="29"/>
      <c r="AR28" s="29"/>
      <c r="AS28" s="31"/>
      <c r="AT28" s="67"/>
      <c r="AU28" s="67"/>
      <c r="AV28" s="67"/>
      <c r="AW28" s="67"/>
      <c r="AX28" s="67"/>
      <c r="AY28" s="67"/>
      <c r="AZ28" s="67"/>
      <c r="BA28" s="67"/>
      <c r="BB28" s="67"/>
      <c r="BC28" s="67"/>
      <c r="BD28" s="68"/>
    </row>
    <row r="29" spans="1:56" ht="14.4" customHeight="1">
      <c r="A29" s="70" t="str">
        <f>IF(B29="","",COUNTA($B$8:B29))</f>
        <v/>
      </c>
      <c r="B29" s="25"/>
      <c r="C29" s="26"/>
      <c r="D29" s="26"/>
      <c r="E29" s="26"/>
      <c r="F29" s="26"/>
      <c r="G29" s="26"/>
      <c r="H29" s="39"/>
      <c r="I29" s="31"/>
      <c r="J29" s="23"/>
      <c r="K29" s="23"/>
      <c r="L29" s="23"/>
      <c r="M29" s="23"/>
      <c r="N29" s="23"/>
      <c r="O29" s="23"/>
      <c r="P29" s="23"/>
      <c r="Q29" s="24"/>
      <c r="R29" s="22"/>
      <c r="S29" s="23"/>
      <c r="T29" s="23"/>
      <c r="U29" s="23"/>
      <c r="V29" s="23"/>
      <c r="W29" s="23"/>
      <c r="X29" s="24"/>
      <c r="Y29" s="440"/>
      <c r="Z29" s="441"/>
      <c r="AA29" s="442"/>
      <c r="AB29" s="443"/>
      <c r="AC29" s="444"/>
      <c r="AD29" s="27"/>
      <c r="AE29" s="29"/>
      <c r="AF29" s="29"/>
      <c r="AG29" s="29"/>
      <c r="AH29" s="28"/>
      <c r="AI29" s="28"/>
      <c r="AJ29" s="28"/>
      <c r="AK29" s="28"/>
      <c r="AL29" s="28"/>
      <c r="AM29" s="28"/>
      <c r="AN29" s="28"/>
      <c r="AO29" s="29"/>
      <c r="AP29" s="29"/>
      <c r="AQ29" s="29"/>
      <c r="AR29" s="29"/>
      <c r="AS29" s="31"/>
      <c r="AT29" s="67"/>
      <c r="AU29" s="67"/>
      <c r="AV29" s="67"/>
      <c r="AW29" s="67"/>
      <c r="AX29" s="67"/>
      <c r="AY29" s="67"/>
      <c r="AZ29" s="67"/>
      <c r="BA29" s="67"/>
      <c r="BB29" s="67"/>
      <c r="BC29" s="67"/>
      <c r="BD29" s="68"/>
    </row>
    <row r="30" spans="1:56" ht="14.4" customHeight="1">
      <c r="A30" s="70" t="str">
        <f>IF(B30="","",COUNTA($B$8:B30))</f>
        <v/>
      </c>
      <c r="B30" s="19"/>
      <c r="C30" s="20" t="s">
        <v>395</v>
      </c>
      <c r="D30" s="20"/>
      <c r="E30" s="20" t="s">
        <v>442</v>
      </c>
      <c r="F30" s="20"/>
      <c r="G30" s="20"/>
      <c r="H30" s="24"/>
      <c r="I30" s="31"/>
      <c r="J30" s="23"/>
      <c r="K30" s="23"/>
      <c r="L30" s="23"/>
      <c r="M30" s="23"/>
      <c r="N30" s="23"/>
      <c r="O30" s="23"/>
      <c r="P30" s="23"/>
      <c r="Q30" s="24"/>
      <c r="R30" s="22"/>
      <c r="S30" s="23"/>
      <c r="T30" s="23"/>
      <c r="U30" s="23"/>
      <c r="V30" s="23"/>
      <c r="W30" s="23"/>
      <c r="X30" s="24"/>
      <c r="Y30" s="440"/>
      <c r="Z30" s="441"/>
      <c r="AA30" s="442"/>
      <c r="AB30" s="443"/>
      <c r="AC30" s="444"/>
      <c r="AD30" s="27"/>
      <c r="AE30" s="29"/>
      <c r="AF30" s="29"/>
      <c r="AG30" s="29"/>
      <c r="AH30" s="28"/>
      <c r="AI30" s="28"/>
      <c r="AJ30" s="28"/>
      <c r="AK30" s="28"/>
      <c r="AL30" s="28"/>
      <c r="AM30" s="28"/>
      <c r="AN30" s="28"/>
      <c r="AO30" s="29"/>
      <c r="AP30" s="29"/>
      <c r="AQ30" s="29"/>
      <c r="AR30" s="29"/>
      <c r="AS30" s="31"/>
      <c r="AT30" s="67"/>
      <c r="AU30" s="67"/>
      <c r="AV30" s="67"/>
      <c r="AW30" s="67"/>
      <c r="AX30" s="67"/>
      <c r="AY30" s="67"/>
      <c r="AZ30" s="67"/>
      <c r="BA30" s="67"/>
      <c r="BB30" s="67"/>
      <c r="BC30" s="67"/>
      <c r="BD30" s="68"/>
    </row>
    <row r="31" spans="1:56" ht="14.4" customHeight="1">
      <c r="A31" s="70" t="str">
        <f>IF(B31="","",COUNTA($B$8:B31))</f>
        <v/>
      </c>
      <c r="B31" s="19"/>
      <c r="C31" s="20"/>
      <c r="D31" s="20"/>
      <c r="E31" s="20"/>
      <c r="F31" s="20"/>
      <c r="G31" s="20"/>
      <c r="H31" s="24"/>
      <c r="I31" s="31"/>
      <c r="J31" s="23"/>
      <c r="K31" s="23"/>
      <c r="L31" s="23"/>
      <c r="M31" s="23"/>
      <c r="N31" s="23"/>
      <c r="O31" s="23"/>
      <c r="P31" s="23"/>
      <c r="Q31" s="24"/>
      <c r="R31" s="22"/>
      <c r="S31" s="23"/>
      <c r="T31" s="23"/>
      <c r="U31" s="23"/>
      <c r="V31" s="23"/>
      <c r="W31" s="23"/>
      <c r="X31" s="24"/>
      <c r="Y31" s="440"/>
      <c r="Z31" s="441"/>
      <c r="AA31" s="442"/>
      <c r="AB31" s="443"/>
      <c r="AC31" s="444"/>
      <c r="AD31" s="69"/>
      <c r="AE31" s="29"/>
      <c r="AF31" s="29"/>
      <c r="AG31" s="29"/>
      <c r="AH31" s="28"/>
      <c r="AI31" s="28"/>
      <c r="AJ31" s="28"/>
      <c r="AK31" s="28"/>
      <c r="AL31" s="28"/>
      <c r="AM31" s="28"/>
      <c r="AN31" s="28"/>
      <c r="AO31" s="29"/>
      <c r="AP31" s="29"/>
      <c r="AQ31" s="29"/>
      <c r="AR31" s="29"/>
      <c r="AS31" s="31"/>
      <c r="AT31" s="67"/>
      <c r="AU31" s="67"/>
      <c r="AV31" s="67"/>
      <c r="AW31" s="67"/>
      <c r="AX31" s="67"/>
      <c r="AY31" s="67"/>
      <c r="AZ31" s="67"/>
      <c r="BA31" s="67"/>
      <c r="BB31" s="67"/>
      <c r="BC31" s="67"/>
      <c r="BD31" s="68"/>
    </row>
    <row r="32" spans="1:56" ht="14.4" customHeight="1">
      <c r="A32" s="70" t="str">
        <f>IF(B32="","",COUNTA($B$8:B32))</f>
        <v/>
      </c>
      <c r="B32" s="19"/>
      <c r="C32" s="20"/>
      <c r="D32" s="20"/>
      <c r="E32" s="20"/>
      <c r="F32" s="20"/>
      <c r="G32" s="20"/>
      <c r="H32" s="24"/>
      <c r="I32" s="31"/>
      <c r="J32" s="23"/>
      <c r="K32" s="23"/>
      <c r="L32" s="23"/>
      <c r="M32" s="23"/>
      <c r="N32" s="23"/>
      <c r="O32" s="23"/>
      <c r="P32" s="23"/>
      <c r="Q32" s="24"/>
      <c r="R32" s="22"/>
      <c r="S32" s="23"/>
      <c r="T32" s="23"/>
      <c r="U32" s="23"/>
      <c r="V32" s="23"/>
      <c r="W32" s="23"/>
      <c r="X32" s="24"/>
      <c r="Y32" s="440"/>
      <c r="Z32" s="441"/>
      <c r="AA32" s="442"/>
      <c r="AB32" s="443"/>
      <c r="AC32" s="444"/>
      <c r="AD32" s="69"/>
      <c r="AE32" s="29"/>
      <c r="AF32" s="29"/>
      <c r="AG32" s="29"/>
      <c r="AH32" s="28"/>
      <c r="AI32" s="28"/>
      <c r="AJ32" s="28"/>
      <c r="AK32" s="28"/>
      <c r="AL32" s="28"/>
      <c r="AM32" s="28"/>
      <c r="AN32" s="28"/>
      <c r="AO32" s="29"/>
      <c r="AP32" s="29"/>
      <c r="AQ32" s="29"/>
      <c r="AR32" s="29"/>
      <c r="AS32" s="31"/>
      <c r="AT32" s="67"/>
      <c r="AU32" s="67"/>
      <c r="AV32" s="67"/>
      <c r="AW32" s="67"/>
      <c r="AX32" s="67"/>
      <c r="AY32" s="67"/>
      <c r="AZ32" s="67"/>
      <c r="BA32" s="67"/>
      <c r="BB32" s="67"/>
      <c r="BC32" s="67"/>
      <c r="BD32" s="68"/>
    </row>
    <row r="33" spans="1:56" ht="14.4" customHeight="1">
      <c r="A33" s="70" t="str">
        <f>IF(B33="","",COUNTA($B$8:B33))</f>
        <v/>
      </c>
      <c r="B33" s="19"/>
      <c r="C33" s="20"/>
      <c r="D33" s="20"/>
      <c r="E33" s="20"/>
      <c r="F33" s="20"/>
      <c r="G33" s="20"/>
      <c r="H33" s="24"/>
      <c r="I33" s="31"/>
      <c r="J33" s="23"/>
      <c r="K33" s="23"/>
      <c r="L33" s="23"/>
      <c r="M33" s="23"/>
      <c r="N33" s="23"/>
      <c r="O33" s="23"/>
      <c r="P33" s="23"/>
      <c r="Q33" s="37"/>
      <c r="R33" s="22"/>
      <c r="S33" s="23"/>
      <c r="T33" s="23"/>
      <c r="U33" s="23"/>
      <c r="V33" s="23"/>
      <c r="W33" s="23"/>
      <c r="X33" s="37"/>
      <c r="Y33" s="440"/>
      <c r="Z33" s="441"/>
      <c r="AA33" s="442"/>
      <c r="AB33" s="443"/>
      <c r="AC33" s="444"/>
      <c r="AD33" s="51"/>
      <c r="AE33" s="29"/>
      <c r="AF33" s="29"/>
      <c r="AG33" s="29"/>
      <c r="AH33" s="28"/>
      <c r="AI33" s="28"/>
      <c r="AJ33" s="28"/>
      <c r="AK33" s="28"/>
      <c r="AL33" s="28"/>
      <c r="AM33" s="28"/>
      <c r="AN33" s="28"/>
      <c r="AO33" s="29"/>
      <c r="AP33" s="29"/>
      <c r="AQ33" s="29"/>
      <c r="AR33" s="29"/>
      <c r="AS33" s="31"/>
      <c r="AT33" s="67"/>
      <c r="AU33" s="67"/>
      <c r="AV33" s="67"/>
      <c r="AW33" s="67"/>
      <c r="AX33" s="67"/>
      <c r="AY33" s="67"/>
      <c r="AZ33" s="67"/>
      <c r="BA33" s="67"/>
      <c r="BB33" s="67"/>
      <c r="BC33" s="67"/>
      <c r="BD33" s="68"/>
    </row>
    <row r="34" spans="1:56" ht="14.4" customHeight="1">
      <c r="A34" s="70" t="str">
        <f>IF(B34="","",COUNTA($B$8:B34))</f>
        <v/>
      </c>
      <c r="B34" s="19"/>
      <c r="C34" s="20"/>
      <c r="D34" s="20"/>
      <c r="E34" s="20"/>
      <c r="F34" s="20"/>
      <c r="G34" s="20"/>
      <c r="H34" s="24"/>
      <c r="I34" s="31"/>
      <c r="J34" s="23"/>
      <c r="K34" s="23"/>
      <c r="L34" s="23"/>
      <c r="M34" s="23"/>
      <c r="N34" s="23"/>
      <c r="O34" s="23"/>
      <c r="P34" s="23"/>
      <c r="Q34" s="24"/>
      <c r="R34" s="22"/>
      <c r="S34" s="23"/>
      <c r="T34" s="23"/>
      <c r="U34" s="23"/>
      <c r="V34" s="23"/>
      <c r="W34" s="23"/>
      <c r="X34" s="24"/>
      <c r="Y34" s="440"/>
      <c r="Z34" s="441"/>
      <c r="AA34" s="442"/>
      <c r="AB34" s="443"/>
      <c r="AC34" s="444"/>
      <c r="AD34" s="27"/>
      <c r="AE34" s="29"/>
      <c r="AF34" s="29"/>
      <c r="AG34" s="29"/>
      <c r="AH34" s="28"/>
      <c r="AI34" s="28"/>
      <c r="AJ34" s="28"/>
      <c r="AK34" s="28"/>
      <c r="AL34" s="28"/>
      <c r="AM34" s="28"/>
      <c r="AN34" s="28"/>
      <c r="AO34" s="29"/>
      <c r="AP34" s="29"/>
      <c r="AQ34" s="29"/>
      <c r="AR34" s="29"/>
      <c r="AS34" s="31"/>
      <c r="AT34" s="67"/>
      <c r="AU34" s="67"/>
      <c r="AV34" s="67"/>
      <c r="AW34" s="67"/>
      <c r="AX34" s="67"/>
      <c r="AY34" s="67"/>
      <c r="AZ34" s="67"/>
      <c r="BA34" s="67"/>
      <c r="BB34" s="67"/>
      <c r="BC34" s="67"/>
      <c r="BD34" s="68"/>
    </row>
    <row r="35" spans="1:56" ht="14.4" customHeight="1">
      <c r="A35" s="70" t="str">
        <f>IF(B35="","",COUNTA($B$8:B35))</f>
        <v/>
      </c>
      <c r="B35" s="19"/>
      <c r="C35" s="20"/>
      <c r="D35" s="20"/>
      <c r="E35" s="20"/>
      <c r="F35" s="20"/>
      <c r="G35" s="20"/>
      <c r="H35" s="24"/>
      <c r="I35" s="31"/>
      <c r="J35" s="23"/>
      <c r="K35" s="23"/>
      <c r="L35" s="23"/>
      <c r="M35" s="23"/>
      <c r="N35" s="23"/>
      <c r="O35" s="23"/>
      <c r="P35" s="23"/>
      <c r="Q35" s="24"/>
      <c r="R35" s="22"/>
      <c r="S35" s="23"/>
      <c r="T35" s="23"/>
      <c r="U35" s="23"/>
      <c r="V35" s="23"/>
      <c r="W35" s="23"/>
      <c r="X35" s="24"/>
      <c r="Y35" s="440"/>
      <c r="Z35" s="441"/>
      <c r="AA35" s="442"/>
      <c r="AB35" s="443"/>
      <c r="AC35" s="444"/>
      <c r="AD35" s="27"/>
      <c r="AE35" s="29"/>
      <c r="AF35" s="29"/>
      <c r="AG35" s="29"/>
      <c r="AH35" s="28"/>
      <c r="AI35" s="28"/>
      <c r="AJ35" s="28"/>
      <c r="AK35" s="28"/>
      <c r="AL35" s="28"/>
      <c r="AM35" s="28"/>
      <c r="AN35" s="28"/>
      <c r="AO35" s="29"/>
      <c r="AP35" s="29"/>
      <c r="AQ35" s="29"/>
      <c r="AR35" s="29"/>
      <c r="AS35" s="31"/>
      <c r="AT35" s="67"/>
      <c r="AU35" s="67"/>
      <c r="AV35" s="67"/>
      <c r="AW35" s="67"/>
      <c r="AX35" s="67"/>
      <c r="AY35" s="67"/>
      <c r="AZ35" s="67"/>
      <c r="BA35" s="67"/>
      <c r="BB35" s="67"/>
      <c r="BC35" s="67"/>
      <c r="BD35" s="68"/>
    </row>
    <row r="36" spans="1:56" ht="14.4" customHeight="1">
      <c r="A36" s="70" t="str">
        <f>IF(B36="","",COUNTA($B$8:B36))</f>
        <v/>
      </c>
      <c r="B36" s="19"/>
      <c r="C36" s="20"/>
      <c r="D36" s="20"/>
      <c r="E36" s="20"/>
      <c r="F36" s="20"/>
      <c r="G36" s="20"/>
      <c r="H36" s="24"/>
      <c r="I36" s="31"/>
      <c r="J36" s="23"/>
      <c r="K36" s="23"/>
      <c r="L36" s="23"/>
      <c r="M36" s="23"/>
      <c r="N36" s="23"/>
      <c r="O36" s="23"/>
      <c r="P36" s="23"/>
      <c r="Q36" s="24"/>
      <c r="R36" s="22"/>
      <c r="S36" s="23"/>
      <c r="T36" s="23"/>
      <c r="U36" s="23"/>
      <c r="V36" s="23"/>
      <c r="W36" s="23"/>
      <c r="X36" s="24"/>
      <c r="Y36" s="440"/>
      <c r="Z36" s="441"/>
      <c r="AA36" s="442"/>
      <c r="AB36" s="443"/>
      <c r="AC36" s="444"/>
      <c r="AD36" s="27"/>
      <c r="AE36" s="29"/>
      <c r="AF36" s="29"/>
      <c r="AG36" s="29"/>
      <c r="AH36" s="28"/>
      <c r="AI36" s="28"/>
      <c r="AJ36" s="28"/>
      <c r="AK36" s="28"/>
      <c r="AL36" s="28"/>
      <c r="AM36" s="28"/>
      <c r="AN36" s="28"/>
      <c r="AO36" s="29"/>
      <c r="AP36" s="29"/>
      <c r="AQ36" s="29"/>
      <c r="AR36" s="29"/>
      <c r="AS36" s="31"/>
      <c r="AT36" s="67"/>
      <c r="AU36" s="67"/>
      <c r="AV36" s="67"/>
      <c r="AW36" s="67"/>
      <c r="AX36" s="67"/>
      <c r="AY36" s="67"/>
      <c r="AZ36" s="67"/>
      <c r="BA36" s="67"/>
      <c r="BB36" s="67"/>
      <c r="BC36" s="67"/>
      <c r="BD36" s="68"/>
    </row>
    <row r="37" spans="1:56" ht="14.4" customHeight="1">
      <c r="A37" s="70" t="str">
        <f>IF(B37="","",COUNTA($B$8:B37))</f>
        <v/>
      </c>
      <c r="B37" s="19"/>
      <c r="C37" s="20"/>
      <c r="D37" s="20"/>
      <c r="E37" s="20"/>
      <c r="F37" s="20"/>
      <c r="G37" s="20"/>
      <c r="H37" s="24"/>
      <c r="I37" s="31"/>
      <c r="J37" s="23"/>
      <c r="K37" s="23"/>
      <c r="L37" s="23"/>
      <c r="M37" s="23"/>
      <c r="N37" s="23"/>
      <c r="O37" s="23"/>
      <c r="P37" s="23"/>
      <c r="Q37" s="24"/>
      <c r="R37" s="22"/>
      <c r="S37" s="23"/>
      <c r="T37" s="23"/>
      <c r="U37" s="23"/>
      <c r="V37" s="23"/>
      <c r="W37" s="23"/>
      <c r="X37" s="24"/>
      <c r="Y37" s="440"/>
      <c r="Z37" s="441"/>
      <c r="AA37" s="442"/>
      <c r="AB37" s="443"/>
      <c r="AC37" s="444"/>
      <c r="AD37" s="27"/>
      <c r="AE37" s="29"/>
      <c r="AF37" s="29"/>
      <c r="AG37" s="29"/>
      <c r="AH37" s="28"/>
      <c r="AI37" s="28"/>
      <c r="AJ37" s="28"/>
      <c r="AK37" s="28"/>
      <c r="AL37" s="28"/>
      <c r="AM37" s="28"/>
      <c r="AN37" s="28"/>
      <c r="AO37" s="29"/>
      <c r="AP37" s="29"/>
      <c r="AQ37" s="29"/>
      <c r="AR37" s="29"/>
      <c r="AS37" s="31"/>
      <c r="AT37" s="67"/>
      <c r="AU37" s="67"/>
      <c r="AV37" s="67"/>
      <c r="AW37" s="67"/>
      <c r="AX37" s="67"/>
      <c r="AY37" s="67"/>
      <c r="AZ37" s="67"/>
      <c r="BA37" s="67"/>
      <c r="BB37" s="67"/>
      <c r="BC37" s="67"/>
      <c r="BD37" s="68"/>
    </row>
    <row r="38" spans="1:56" ht="14.4" customHeight="1">
      <c r="A38" s="70" t="str">
        <f>IF(B38="","",COUNTA($B$8:B38))</f>
        <v/>
      </c>
      <c r="B38" s="19"/>
      <c r="C38" s="20"/>
      <c r="D38" s="20"/>
      <c r="E38" s="20"/>
      <c r="F38" s="20"/>
      <c r="G38" s="20"/>
      <c r="H38" s="24"/>
      <c r="I38" s="31"/>
      <c r="J38" s="23"/>
      <c r="K38" s="23"/>
      <c r="L38" s="23"/>
      <c r="M38" s="23"/>
      <c r="N38" s="23"/>
      <c r="O38" s="23"/>
      <c r="P38" s="23"/>
      <c r="Q38" s="24"/>
      <c r="R38" s="22"/>
      <c r="S38" s="23"/>
      <c r="T38" s="23"/>
      <c r="U38" s="23"/>
      <c r="V38" s="23"/>
      <c r="W38" s="23"/>
      <c r="X38" s="24"/>
      <c r="Y38" s="440"/>
      <c r="Z38" s="441"/>
      <c r="AA38" s="442"/>
      <c r="AB38" s="443"/>
      <c r="AC38" s="444"/>
      <c r="AD38" s="27"/>
      <c r="AE38" s="29"/>
      <c r="AF38" s="29"/>
      <c r="AG38" s="29"/>
      <c r="AH38" s="28"/>
      <c r="AI38" s="28"/>
      <c r="AJ38" s="28"/>
      <c r="AK38" s="28"/>
      <c r="AL38" s="28"/>
      <c r="AM38" s="28"/>
      <c r="AN38" s="28"/>
      <c r="AO38" s="29"/>
      <c r="AP38" s="29"/>
      <c r="AQ38" s="29"/>
      <c r="AR38" s="29"/>
      <c r="AS38" s="47"/>
      <c r="AT38" s="48"/>
      <c r="AU38" s="48"/>
      <c r="AV38" s="48"/>
      <c r="AW38" s="48"/>
      <c r="AX38" s="48"/>
      <c r="AY38" s="48"/>
      <c r="AZ38" s="48"/>
      <c r="BA38" s="48"/>
      <c r="BB38" s="48"/>
      <c r="BC38" s="48"/>
      <c r="BD38" s="66"/>
    </row>
    <row r="39" spans="1:56" ht="14.4" customHeight="1">
      <c r="A39" s="70" t="str">
        <f>IF(B39="","",COUNTA($B$8:B39))</f>
        <v/>
      </c>
      <c r="B39" s="19"/>
      <c r="C39" s="20"/>
      <c r="D39" s="20"/>
      <c r="E39" s="20"/>
      <c r="F39" s="20"/>
      <c r="G39" s="20"/>
      <c r="H39" s="24"/>
      <c r="I39" s="31"/>
      <c r="J39" s="23"/>
      <c r="K39" s="23"/>
      <c r="L39" s="23"/>
      <c r="M39" s="23"/>
      <c r="N39" s="23"/>
      <c r="O39" s="23"/>
      <c r="P39" s="23"/>
      <c r="Q39" s="24"/>
      <c r="R39" s="22"/>
      <c r="S39" s="23"/>
      <c r="T39" s="23"/>
      <c r="U39" s="23"/>
      <c r="V39" s="23"/>
      <c r="W39" s="23"/>
      <c r="X39" s="24"/>
      <c r="Y39" s="440"/>
      <c r="Z39" s="441"/>
      <c r="AA39" s="442"/>
      <c r="AB39" s="443"/>
      <c r="AC39" s="444"/>
      <c r="AD39" s="27"/>
      <c r="AE39" s="29"/>
      <c r="AF39" s="29"/>
      <c r="AG39" s="29"/>
      <c r="AH39" s="28"/>
      <c r="AI39" s="28"/>
      <c r="AJ39" s="28"/>
      <c r="AK39" s="28"/>
      <c r="AL39" s="28"/>
      <c r="AM39" s="28"/>
      <c r="AN39" s="28"/>
      <c r="AO39" s="29"/>
      <c r="AP39" s="29"/>
      <c r="AQ39" s="29"/>
      <c r="AR39" s="29"/>
      <c r="AS39" s="31"/>
      <c r="AT39" s="67"/>
      <c r="AU39" s="67"/>
      <c r="AV39" s="67"/>
      <c r="AW39" s="67"/>
      <c r="AX39" s="67"/>
      <c r="AY39" s="67"/>
      <c r="AZ39" s="67"/>
      <c r="BA39" s="67"/>
      <c r="BB39" s="67"/>
      <c r="BC39" s="67"/>
      <c r="BD39" s="68"/>
    </row>
    <row r="40" spans="1:56" ht="14.4" customHeight="1">
      <c r="A40" s="70" t="str">
        <f>IF(B40="","",COUNTA($B$8:B40))</f>
        <v/>
      </c>
      <c r="B40" s="19"/>
      <c r="C40" s="20"/>
      <c r="D40" s="20"/>
      <c r="E40" s="20"/>
      <c r="F40" s="20"/>
      <c r="G40" s="20"/>
      <c r="H40" s="24"/>
      <c r="I40" s="31"/>
      <c r="J40" s="23"/>
      <c r="K40" s="23"/>
      <c r="L40" s="23"/>
      <c r="M40" s="23"/>
      <c r="N40" s="23"/>
      <c r="O40" s="23"/>
      <c r="P40" s="23"/>
      <c r="Q40" s="24"/>
      <c r="R40" s="22"/>
      <c r="S40" s="23"/>
      <c r="T40" s="23"/>
      <c r="U40" s="23"/>
      <c r="V40" s="23"/>
      <c r="W40" s="23"/>
      <c r="X40" s="24"/>
      <c r="Y40" s="440"/>
      <c r="Z40" s="441"/>
      <c r="AA40" s="442"/>
      <c r="AB40" s="443"/>
      <c r="AC40" s="444"/>
      <c r="AD40" s="27"/>
      <c r="AE40" s="29"/>
      <c r="AF40" s="29"/>
      <c r="AG40" s="29"/>
      <c r="AH40" s="28"/>
      <c r="AI40" s="28"/>
      <c r="AJ40" s="28"/>
      <c r="AK40" s="28"/>
      <c r="AL40" s="28"/>
      <c r="AM40" s="28"/>
      <c r="AN40" s="28"/>
      <c r="AO40" s="29"/>
      <c r="AP40" s="29"/>
      <c r="AQ40" s="29"/>
      <c r="AR40" s="29"/>
      <c r="AS40" s="31"/>
      <c r="AT40" s="67"/>
      <c r="AU40" s="67"/>
      <c r="AV40" s="67"/>
      <c r="AW40" s="67"/>
      <c r="AX40" s="67"/>
      <c r="AY40" s="67"/>
      <c r="AZ40" s="67"/>
      <c r="BA40" s="67"/>
      <c r="BB40" s="67"/>
      <c r="BC40" s="67"/>
      <c r="BD40" s="68"/>
    </row>
    <row r="41" spans="1:56" ht="14.4" customHeight="1">
      <c r="A41" s="70" t="str">
        <f>IF(B41="","",COUNTA($B$8:B41))</f>
        <v/>
      </c>
      <c r="B41" s="19"/>
      <c r="C41" s="20"/>
      <c r="D41" s="20"/>
      <c r="E41" s="20"/>
      <c r="F41" s="20"/>
      <c r="G41" s="20"/>
      <c r="H41" s="24"/>
      <c r="I41" s="31"/>
      <c r="J41" s="23"/>
      <c r="K41" s="23"/>
      <c r="L41" s="23"/>
      <c r="M41" s="23"/>
      <c r="N41" s="23"/>
      <c r="O41" s="23"/>
      <c r="P41" s="23"/>
      <c r="Q41" s="37"/>
      <c r="R41" s="22"/>
      <c r="S41" s="23"/>
      <c r="T41" s="23"/>
      <c r="U41" s="23"/>
      <c r="V41" s="23"/>
      <c r="W41" s="23"/>
      <c r="X41" s="37"/>
      <c r="Y41" s="440"/>
      <c r="Z41" s="441"/>
      <c r="AA41" s="442"/>
      <c r="AB41" s="443"/>
      <c r="AC41" s="444"/>
      <c r="AD41" s="51"/>
      <c r="AE41" s="29"/>
      <c r="AF41" s="29"/>
      <c r="AG41" s="29"/>
      <c r="AH41" s="40"/>
      <c r="AI41" s="40"/>
      <c r="AJ41" s="40"/>
      <c r="AK41" s="40"/>
      <c r="AL41" s="40"/>
      <c r="AM41" s="40"/>
      <c r="AN41" s="40"/>
      <c r="AO41" s="41"/>
      <c r="AP41" s="41"/>
      <c r="AQ41" s="41"/>
      <c r="AR41" s="41"/>
      <c r="AS41" s="42"/>
      <c r="AT41" s="43"/>
      <c r="AU41" s="67"/>
      <c r="AV41" s="67"/>
      <c r="AW41" s="67"/>
      <c r="AX41" s="67"/>
      <c r="AY41" s="67"/>
      <c r="AZ41" s="67"/>
      <c r="BA41" s="67"/>
      <c r="BB41" s="67"/>
      <c r="BC41" s="67"/>
      <c r="BD41" s="68"/>
    </row>
    <row r="42" spans="1:56" ht="14.4" customHeight="1">
      <c r="A42" s="70" t="str">
        <f>IF(B42="","",COUNTA($B$8:B42))</f>
        <v/>
      </c>
      <c r="B42" s="19"/>
      <c r="C42" s="20"/>
      <c r="D42" s="20"/>
      <c r="E42" s="20"/>
      <c r="F42" s="20"/>
      <c r="G42" s="20"/>
      <c r="H42" s="24"/>
      <c r="I42" s="31"/>
      <c r="J42" s="23"/>
      <c r="K42" s="23"/>
      <c r="L42" s="23"/>
      <c r="M42" s="23"/>
      <c r="N42" s="23"/>
      <c r="O42" s="23"/>
      <c r="P42" s="23"/>
      <c r="Q42" s="37"/>
      <c r="R42" s="22"/>
      <c r="S42" s="23"/>
      <c r="T42" s="23"/>
      <c r="U42" s="23"/>
      <c r="V42" s="23"/>
      <c r="W42" s="23"/>
      <c r="X42" s="37"/>
      <c r="Y42" s="440"/>
      <c r="Z42" s="441"/>
      <c r="AA42" s="442"/>
      <c r="AB42" s="443"/>
      <c r="AC42" s="444"/>
      <c r="AD42" s="51"/>
      <c r="AE42" s="29"/>
      <c r="AF42" s="29"/>
      <c r="AG42" s="29"/>
      <c r="AH42" s="40"/>
      <c r="AI42" s="40"/>
      <c r="AJ42" s="40"/>
      <c r="AK42" s="40"/>
      <c r="AL42" s="40"/>
      <c r="AM42" s="40"/>
      <c r="AN42" s="40"/>
      <c r="AO42" s="41"/>
      <c r="AP42" s="41"/>
      <c r="AQ42" s="41"/>
      <c r="AR42" s="41"/>
      <c r="AS42" s="42"/>
      <c r="AT42" s="43"/>
      <c r="AU42" s="67"/>
      <c r="AV42" s="67"/>
      <c r="AW42" s="67"/>
      <c r="AX42" s="67"/>
      <c r="AY42" s="67"/>
      <c r="AZ42" s="67"/>
      <c r="BA42" s="67"/>
      <c r="BB42" s="67"/>
      <c r="BC42" s="67"/>
      <c r="BD42" s="68"/>
    </row>
    <row r="43" spans="1:56" ht="14.4" customHeight="1">
      <c r="A43" s="70" t="str">
        <f>IF(B43="","",COUNTA($B$8:B43))</f>
        <v/>
      </c>
      <c r="B43" s="19"/>
      <c r="C43" s="20"/>
      <c r="D43" s="20"/>
      <c r="E43" s="20"/>
      <c r="F43" s="20"/>
      <c r="G43" s="20"/>
      <c r="H43" s="24"/>
      <c r="I43" s="31"/>
      <c r="J43" s="23"/>
      <c r="K43" s="23"/>
      <c r="L43" s="23"/>
      <c r="M43" s="23"/>
      <c r="N43" s="23"/>
      <c r="O43" s="23"/>
      <c r="P43" s="23"/>
      <c r="Q43" s="37"/>
      <c r="R43" s="22"/>
      <c r="S43" s="23"/>
      <c r="T43" s="23"/>
      <c r="U43" s="23"/>
      <c r="V43" s="23"/>
      <c r="W43" s="23"/>
      <c r="X43" s="37"/>
      <c r="Y43" s="440"/>
      <c r="Z43" s="441"/>
      <c r="AA43" s="442"/>
      <c r="AB43" s="443"/>
      <c r="AC43" s="444"/>
      <c r="AD43" s="51"/>
      <c r="AE43" s="29"/>
      <c r="AF43" s="29"/>
      <c r="AG43" s="29"/>
      <c r="AH43" s="40"/>
      <c r="AI43" s="40"/>
      <c r="AJ43" s="40"/>
      <c r="AK43" s="40"/>
      <c r="AL43" s="40"/>
      <c r="AM43" s="40"/>
      <c r="AN43" s="40"/>
      <c r="AO43" s="41"/>
      <c r="AP43" s="41"/>
      <c r="AQ43" s="41"/>
      <c r="AR43" s="41"/>
      <c r="AS43" s="42"/>
      <c r="AT43" s="43"/>
      <c r="AU43" s="67"/>
      <c r="AV43" s="67"/>
      <c r="AW43" s="67"/>
      <c r="AX43" s="67"/>
      <c r="AY43" s="67"/>
      <c r="AZ43" s="67"/>
      <c r="BA43" s="67"/>
      <c r="BB43" s="67"/>
      <c r="BC43" s="67"/>
      <c r="BD43" s="68"/>
    </row>
    <row r="44" spans="1:56" ht="14.4" customHeight="1">
      <c r="A44" s="70" t="str">
        <f>IF(B44="","",COUNTA($B$8:B44))</f>
        <v/>
      </c>
      <c r="B44" s="19"/>
      <c r="C44" s="20"/>
      <c r="D44" s="20"/>
      <c r="E44" s="20"/>
      <c r="F44" s="20"/>
      <c r="G44" s="20"/>
      <c r="H44" s="24"/>
      <c r="I44" s="31"/>
      <c r="J44" s="23"/>
      <c r="K44" s="23"/>
      <c r="L44" s="23"/>
      <c r="M44" s="23"/>
      <c r="N44" s="23"/>
      <c r="O44" s="23"/>
      <c r="P44" s="23"/>
      <c r="Q44" s="37"/>
      <c r="R44" s="22"/>
      <c r="S44" s="23"/>
      <c r="T44" s="23"/>
      <c r="U44" s="23"/>
      <c r="V44" s="23"/>
      <c r="W44" s="23"/>
      <c r="X44" s="37"/>
      <c r="Y44" s="440"/>
      <c r="Z44" s="441"/>
      <c r="AA44" s="442"/>
      <c r="AB44" s="443"/>
      <c r="AC44" s="444"/>
      <c r="AD44" s="51"/>
      <c r="AE44" s="29"/>
      <c r="AF44" s="29"/>
      <c r="AG44" s="29"/>
      <c r="AH44" s="40"/>
      <c r="AI44" s="40"/>
      <c r="AJ44" s="40"/>
      <c r="AK44" s="40"/>
      <c r="AL44" s="40"/>
      <c r="AM44" s="40"/>
      <c r="AN44" s="40"/>
      <c r="AO44" s="41"/>
      <c r="AP44" s="41"/>
      <c r="AQ44" s="41"/>
      <c r="AR44" s="41"/>
      <c r="AS44" s="42"/>
      <c r="AT44" s="43"/>
      <c r="AU44" s="67"/>
      <c r="AV44" s="67"/>
      <c r="AW44" s="67"/>
      <c r="AX44" s="67"/>
      <c r="AY44" s="67"/>
      <c r="AZ44" s="67"/>
      <c r="BA44" s="67"/>
      <c r="BB44" s="67"/>
      <c r="BC44" s="67"/>
      <c r="BD44" s="68"/>
    </row>
    <row r="45" spans="1:56" ht="14.4" customHeight="1">
      <c r="A45" s="70" t="str">
        <f>IF(B45="","",COUNTA($B$8:B45))</f>
        <v/>
      </c>
      <c r="B45" s="19"/>
      <c r="C45" s="20"/>
      <c r="D45" s="20"/>
      <c r="E45" s="20"/>
      <c r="F45" s="20"/>
      <c r="G45" s="20"/>
      <c r="H45" s="24"/>
      <c r="I45" s="31"/>
      <c r="J45" s="23"/>
      <c r="K45" s="23"/>
      <c r="L45" s="23"/>
      <c r="M45" s="23"/>
      <c r="N45" s="23"/>
      <c r="O45" s="23"/>
      <c r="P45" s="23"/>
      <c r="Q45" s="37"/>
      <c r="R45" s="22"/>
      <c r="S45" s="23"/>
      <c r="T45" s="23"/>
      <c r="U45" s="23"/>
      <c r="V45" s="23"/>
      <c r="W45" s="23"/>
      <c r="X45" s="37"/>
      <c r="Y45" s="440"/>
      <c r="Z45" s="441"/>
      <c r="AA45" s="442"/>
      <c r="AB45" s="443"/>
      <c r="AC45" s="444"/>
      <c r="AD45" s="51"/>
      <c r="AE45" s="29"/>
      <c r="AF45" s="29"/>
      <c r="AG45" s="29"/>
      <c r="AH45" s="40"/>
      <c r="AI45" s="40"/>
      <c r="AJ45" s="40"/>
      <c r="AK45" s="40"/>
      <c r="AL45" s="40"/>
      <c r="AM45" s="40"/>
      <c r="AN45" s="40"/>
      <c r="AO45" s="41"/>
      <c r="AP45" s="41"/>
      <c r="AQ45" s="41"/>
      <c r="AR45" s="41"/>
      <c r="AS45" s="42"/>
      <c r="AT45" s="43"/>
      <c r="AU45" s="67"/>
      <c r="AV45" s="67"/>
      <c r="AW45" s="67"/>
      <c r="AX45" s="67"/>
      <c r="AY45" s="67"/>
      <c r="AZ45" s="67"/>
      <c r="BA45" s="67"/>
      <c r="BB45" s="67"/>
      <c r="BC45" s="67"/>
      <c r="BD45" s="68"/>
    </row>
    <row r="46" spans="1:56" ht="14.4" customHeight="1">
      <c r="A46" s="70" t="str">
        <f>IF(B46="","",COUNTA($B$8:B46))</f>
        <v/>
      </c>
      <c r="B46" s="19"/>
      <c r="C46" s="20"/>
      <c r="D46" s="20"/>
      <c r="E46" s="20"/>
      <c r="F46" s="20"/>
      <c r="G46" s="20"/>
      <c r="H46" s="24"/>
      <c r="I46" s="31"/>
      <c r="J46" s="23"/>
      <c r="K46" s="23"/>
      <c r="L46" s="23"/>
      <c r="M46" s="23"/>
      <c r="N46" s="23"/>
      <c r="O46" s="23"/>
      <c r="P46" s="23"/>
      <c r="Q46" s="37"/>
      <c r="R46" s="22"/>
      <c r="S46" s="23"/>
      <c r="T46" s="23"/>
      <c r="U46" s="23"/>
      <c r="V46" s="23"/>
      <c r="W46" s="23"/>
      <c r="X46" s="37"/>
      <c r="Y46" s="440"/>
      <c r="Z46" s="441"/>
      <c r="AA46" s="442"/>
      <c r="AB46" s="443"/>
      <c r="AC46" s="444"/>
      <c r="AD46" s="51"/>
      <c r="AE46" s="29"/>
      <c r="AF46" s="29"/>
      <c r="AG46" s="29"/>
      <c r="AH46" s="40"/>
      <c r="AI46" s="40"/>
      <c r="AJ46" s="40"/>
      <c r="AK46" s="40"/>
      <c r="AL46" s="40"/>
      <c r="AM46" s="40"/>
      <c r="AN46" s="40"/>
      <c r="AO46" s="41"/>
      <c r="AP46" s="41"/>
      <c r="AQ46" s="41"/>
      <c r="AR46" s="41"/>
      <c r="AS46" s="42"/>
      <c r="AT46" s="43"/>
      <c r="AU46" s="67"/>
      <c r="AV46" s="67"/>
      <c r="AW46" s="67"/>
      <c r="AX46" s="67"/>
      <c r="AY46" s="67"/>
      <c r="AZ46" s="67"/>
      <c r="BA46" s="67"/>
      <c r="BB46" s="67"/>
      <c r="BC46" s="67"/>
      <c r="BD46" s="68"/>
    </row>
  </sheetData>
  <mergeCells count="110">
    <mergeCell ref="Y44:Z44"/>
    <mergeCell ref="AA44:AC44"/>
    <mergeCell ref="Y45:Z45"/>
    <mergeCell ref="AA45:AC45"/>
    <mergeCell ref="Y46:Z46"/>
    <mergeCell ref="AA46:AC46"/>
    <mergeCell ref="Y20:Z20"/>
    <mergeCell ref="AA20:AC20"/>
    <mergeCell ref="Y42:Z42"/>
    <mergeCell ref="AA42:AC42"/>
    <mergeCell ref="Y43:Z43"/>
    <mergeCell ref="AA43:AC43"/>
    <mergeCell ref="Y41:Z41"/>
    <mergeCell ref="AA41:AC41"/>
    <mergeCell ref="Y32:Z32"/>
    <mergeCell ref="AA32:AC32"/>
    <mergeCell ref="Y33:Z33"/>
    <mergeCell ref="AA33:AC33"/>
    <mergeCell ref="Y28:Z28"/>
    <mergeCell ref="AA28:AC28"/>
    <mergeCell ref="Y29:Z29"/>
    <mergeCell ref="AA29:AC29"/>
    <mergeCell ref="Y31:Z31"/>
    <mergeCell ref="AA31:AC31"/>
    <mergeCell ref="Y25:Z25"/>
    <mergeCell ref="AA25:AC25"/>
    <mergeCell ref="Y26:Z26"/>
    <mergeCell ref="AA26:AC26"/>
    <mergeCell ref="Y27:Z27"/>
    <mergeCell ref="AA27:AC27"/>
    <mergeCell ref="Y22:Z22"/>
    <mergeCell ref="AA22:AC22"/>
    <mergeCell ref="Y23:Z23"/>
    <mergeCell ref="AA23:AC23"/>
    <mergeCell ref="Y24:Z24"/>
    <mergeCell ref="AA24:AC24"/>
    <mergeCell ref="AG6:AG7"/>
    <mergeCell ref="AH6:AH7"/>
    <mergeCell ref="AI6:AR6"/>
    <mergeCell ref="Y13:Z13"/>
    <mergeCell ref="AA13:AC13"/>
    <mergeCell ref="AS6:BD7"/>
    <mergeCell ref="Y8:Z8"/>
    <mergeCell ref="AA8:AC8"/>
    <mergeCell ref="Y40:Z40"/>
    <mergeCell ref="AA40:AC40"/>
    <mergeCell ref="Y37:Z37"/>
    <mergeCell ref="AA37:AC37"/>
    <mergeCell ref="Y38:Z38"/>
    <mergeCell ref="AA38:AC38"/>
    <mergeCell ref="Y39:Z39"/>
    <mergeCell ref="AA39:AC39"/>
    <mergeCell ref="Y34:Z34"/>
    <mergeCell ref="AA34:AC34"/>
    <mergeCell ref="Y35:Z35"/>
    <mergeCell ref="AA35:AC35"/>
    <mergeCell ref="Y36:Z36"/>
    <mergeCell ref="AA36:AC36"/>
    <mergeCell ref="Y30:Z30"/>
    <mergeCell ref="AA30:AC30"/>
    <mergeCell ref="Y10:Z10"/>
    <mergeCell ref="AA10:AC10"/>
    <mergeCell ref="Y11:Z11"/>
    <mergeCell ref="AA11:AC11"/>
    <mergeCell ref="Y12:Z12"/>
    <mergeCell ref="AA12:AC12"/>
    <mergeCell ref="Y9:Z9"/>
    <mergeCell ref="AA9:AC9"/>
    <mergeCell ref="Y21:Z21"/>
    <mergeCell ref="AA21:AC21"/>
    <mergeCell ref="Y17:Z17"/>
    <mergeCell ref="AA17:AC17"/>
    <mergeCell ref="Y18:Z18"/>
    <mergeCell ref="AA18:AC18"/>
    <mergeCell ref="Y19:Z19"/>
    <mergeCell ref="AA19:AC19"/>
    <mergeCell ref="Y14:Z14"/>
    <mergeCell ref="AA14:AC14"/>
    <mergeCell ref="Y15:Z15"/>
    <mergeCell ref="AA15:AC15"/>
    <mergeCell ref="Y16:Z16"/>
    <mergeCell ref="AA16:AC16"/>
    <mergeCell ref="A6:A7"/>
    <mergeCell ref="B6:H7"/>
    <mergeCell ref="I6:Q7"/>
    <mergeCell ref="R6:X7"/>
    <mergeCell ref="Y6:Z7"/>
    <mergeCell ref="AA6:AC7"/>
    <mergeCell ref="AD6:AD7"/>
    <mergeCell ref="AE6:AE7"/>
    <mergeCell ref="AF6:AF7"/>
    <mergeCell ref="A1:H4"/>
    <mergeCell ref="I1:Q1"/>
    <mergeCell ref="R1:X1"/>
    <mergeCell ref="Y1:AO1"/>
    <mergeCell ref="AP1:AT1"/>
    <mergeCell ref="AU1:AY1"/>
    <mergeCell ref="AP4:AT4"/>
    <mergeCell ref="AU4:AY4"/>
    <mergeCell ref="AZ1:BD1"/>
    <mergeCell ref="I2:Q4"/>
    <mergeCell ref="R2:X4"/>
    <mergeCell ref="Y2:AO3"/>
    <mergeCell ref="AP2:AT2"/>
    <mergeCell ref="AZ2:BD2"/>
    <mergeCell ref="AP3:AT3"/>
    <mergeCell ref="AU3:AY3"/>
    <mergeCell ref="AZ3:BD3"/>
    <mergeCell ref="Y4:AO4"/>
    <mergeCell ref="AZ4:BD4"/>
  </mergeCells>
  <phoneticPr fontId="5"/>
  <dataValidations count="3">
    <dataValidation imeMode="hiragana" allowBlank="1" showInputMessage="1" showErrorMessage="1" sqref="JO65536:JZ65538 TK65536:TV65538 ADG65536:ADR65538 ANC65536:ANN65538 AWY65536:AXJ65538 BGU65536:BHF65538 BQQ65536:BRB65538 CAM65536:CAX65538 CKI65536:CKT65538 CUE65536:CUP65538 DEA65536:DEL65538 DNW65536:DOH65538 DXS65536:DYD65538 EHO65536:EHZ65538 ERK65536:ERV65538 FBG65536:FBR65538 FLC65536:FLN65538 FUY65536:FVJ65538 GEU65536:GFF65538 GOQ65536:GPB65538 GYM65536:GYX65538 HII65536:HIT65538 HSE65536:HSP65538 ICA65536:ICL65538 ILW65536:IMH65538 IVS65536:IWD65538 JFO65536:JFZ65538 JPK65536:JPV65538 JZG65536:JZR65538 KJC65536:KJN65538 KSY65536:KTJ65538 LCU65536:LDF65538 LMQ65536:LNB65538 LWM65536:LWX65538 MGI65536:MGT65538 MQE65536:MQP65538 NAA65536:NAL65538 NJW65536:NKH65538 NTS65536:NUD65538 ODO65536:ODZ65538 ONK65536:ONV65538 OXG65536:OXR65538 PHC65536:PHN65538 PQY65536:PRJ65538 QAU65536:QBF65538 QKQ65536:QLB65538 QUM65536:QUX65538 REI65536:RET65538 ROE65536:ROP65538 RYA65536:RYL65538 SHW65536:SIH65538 SRS65536:SSD65538 TBO65536:TBZ65538 TLK65536:TLV65538 TVG65536:TVR65538 UFC65536:UFN65538 UOY65536:UPJ65538 UYU65536:UZF65538 VIQ65536:VJB65538 VSM65536:VSX65538 WCI65536:WCT65538 WME65536:WMP65538 WWA65536:WWL65538 JO131072:JZ131074 TK131072:TV131074 ADG131072:ADR131074 ANC131072:ANN131074 AWY131072:AXJ131074 BGU131072:BHF131074 BQQ131072:BRB131074 CAM131072:CAX131074 CKI131072:CKT131074 CUE131072:CUP131074 DEA131072:DEL131074 DNW131072:DOH131074 DXS131072:DYD131074 EHO131072:EHZ131074 ERK131072:ERV131074 FBG131072:FBR131074 FLC131072:FLN131074 FUY131072:FVJ131074 GEU131072:GFF131074 GOQ131072:GPB131074 GYM131072:GYX131074 HII131072:HIT131074 HSE131072:HSP131074 ICA131072:ICL131074 ILW131072:IMH131074 IVS131072:IWD131074 JFO131072:JFZ131074 JPK131072:JPV131074 JZG131072:JZR131074 KJC131072:KJN131074 KSY131072:KTJ131074 LCU131072:LDF131074 LMQ131072:LNB131074 LWM131072:LWX131074 MGI131072:MGT131074 MQE131072:MQP131074 NAA131072:NAL131074 NJW131072:NKH131074 NTS131072:NUD131074 ODO131072:ODZ131074 ONK131072:ONV131074 OXG131072:OXR131074 PHC131072:PHN131074 PQY131072:PRJ131074 QAU131072:QBF131074 QKQ131072:QLB131074 QUM131072:QUX131074 REI131072:RET131074 ROE131072:ROP131074 RYA131072:RYL131074 SHW131072:SIH131074 SRS131072:SSD131074 TBO131072:TBZ131074 TLK131072:TLV131074 TVG131072:TVR131074 UFC131072:UFN131074 UOY131072:UPJ131074 UYU131072:UZF131074 VIQ131072:VJB131074 VSM131072:VSX131074 WCI131072:WCT131074 WME131072:WMP131074 WWA131072:WWL131074 JO196608:JZ196610 TK196608:TV196610 ADG196608:ADR196610 ANC196608:ANN196610 AWY196608:AXJ196610 BGU196608:BHF196610 BQQ196608:BRB196610 CAM196608:CAX196610 CKI196608:CKT196610 CUE196608:CUP196610 DEA196608:DEL196610 DNW196608:DOH196610 DXS196608:DYD196610 EHO196608:EHZ196610 ERK196608:ERV196610 FBG196608:FBR196610 FLC196608:FLN196610 FUY196608:FVJ196610 GEU196608:GFF196610 GOQ196608:GPB196610 GYM196608:GYX196610 HII196608:HIT196610 HSE196608:HSP196610 ICA196608:ICL196610 ILW196608:IMH196610 IVS196608:IWD196610 JFO196608:JFZ196610 JPK196608:JPV196610 JZG196608:JZR196610 KJC196608:KJN196610 KSY196608:KTJ196610 LCU196608:LDF196610 LMQ196608:LNB196610 LWM196608:LWX196610 MGI196608:MGT196610 MQE196608:MQP196610 NAA196608:NAL196610 NJW196608:NKH196610 NTS196608:NUD196610 ODO196608:ODZ196610 ONK196608:ONV196610 OXG196608:OXR196610 PHC196608:PHN196610 PQY196608:PRJ196610 QAU196608:QBF196610 QKQ196608:QLB196610 QUM196608:QUX196610 REI196608:RET196610 ROE196608:ROP196610 RYA196608:RYL196610 SHW196608:SIH196610 SRS196608:SSD196610 TBO196608:TBZ196610 TLK196608:TLV196610 TVG196608:TVR196610 UFC196608:UFN196610 UOY196608:UPJ196610 UYU196608:UZF196610 VIQ196608:VJB196610 VSM196608:VSX196610 WCI196608:WCT196610 WME196608:WMP196610 WWA196608:WWL196610 JO262144:JZ262146 TK262144:TV262146 ADG262144:ADR262146 ANC262144:ANN262146 AWY262144:AXJ262146 BGU262144:BHF262146 BQQ262144:BRB262146 CAM262144:CAX262146 CKI262144:CKT262146 CUE262144:CUP262146 DEA262144:DEL262146 DNW262144:DOH262146 DXS262144:DYD262146 EHO262144:EHZ262146 ERK262144:ERV262146 FBG262144:FBR262146 FLC262144:FLN262146 FUY262144:FVJ262146 GEU262144:GFF262146 GOQ262144:GPB262146 GYM262144:GYX262146 HII262144:HIT262146 HSE262144:HSP262146 ICA262144:ICL262146 ILW262144:IMH262146 IVS262144:IWD262146 JFO262144:JFZ262146 JPK262144:JPV262146 JZG262144:JZR262146 KJC262144:KJN262146 KSY262144:KTJ262146 LCU262144:LDF262146 LMQ262144:LNB262146 LWM262144:LWX262146 MGI262144:MGT262146 MQE262144:MQP262146 NAA262144:NAL262146 NJW262144:NKH262146 NTS262144:NUD262146 ODO262144:ODZ262146 ONK262144:ONV262146 OXG262144:OXR262146 PHC262144:PHN262146 PQY262144:PRJ262146 QAU262144:QBF262146 QKQ262144:QLB262146 QUM262144:QUX262146 REI262144:RET262146 ROE262144:ROP262146 RYA262144:RYL262146 SHW262144:SIH262146 SRS262144:SSD262146 TBO262144:TBZ262146 TLK262144:TLV262146 TVG262144:TVR262146 UFC262144:UFN262146 UOY262144:UPJ262146 UYU262144:UZF262146 VIQ262144:VJB262146 VSM262144:VSX262146 WCI262144:WCT262146 WME262144:WMP262146 WWA262144:WWL262146 JO327680:JZ327682 TK327680:TV327682 ADG327680:ADR327682 ANC327680:ANN327682 AWY327680:AXJ327682 BGU327680:BHF327682 BQQ327680:BRB327682 CAM327680:CAX327682 CKI327680:CKT327682 CUE327680:CUP327682 DEA327680:DEL327682 DNW327680:DOH327682 DXS327680:DYD327682 EHO327680:EHZ327682 ERK327680:ERV327682 FBG327680:FBR327682 FLC327680:FLN327682 FUY327680:FVJ327682 GEU327680:GFF327682 GOQ327680:GPB327682 GYM327680:GYX327682 HII327680:HIT327682 HSE327680:HSP327682 ICA327680:ICL327682 ILW327680:IMH327682 IVS327680:IWD327682 JFO327680:JFZ327682 JPK327680:JPV327682 JZG327680:JZR327682 KJC327680:KJN327682 KSY327680:KTJ327682 LCU327680:LDF327682 LMQ327680:LNB327682 LWM327680:LWX327682 MGI327680:MGT327682 MQE327680:MQP327682 NAA327680:NAL327682 NJW327680:NKH327682 NTS327680:NUD327682 ODO327680:ODZ327682 ONK327680:ONV327682 OXG327680:OXR327682 PHC327680:PHN327682 PQY327680:PRJ327682 QAU327680:QBF327682 QKQ327680:QLB327682 QUM327680:QUX327682 REI327680:RET327682 ROE327680:ROP327682 RYA327680:RYL327682 SHW327680:SIH327682 SRS327680:SSD327682 TBO327680:TBZ327682 TLK327680:TLV327682 TVG327680:TVR327682 UFC327680:UFN327682 UOY327680:UPJ327682 UYU327680:UZF327682 VIQ327680:VJB327682 VSM327680:VSX327682 WCI327680:WCT327682 WME327680:WMP327682 WWA327680:WWL327682 JO393216:JZ393218 TK393216:TV393218 ADG393216:ADR393218 ANC393216:ANN393218 AWY393216:AXJ393218 BGU393216:BHF393218 BQQ393216:BRB393218 CAM393216:CAX393218 CKI393216:CKT393218 CUE393216:CUP393218 DEA393216:DEL393218 DNW393216:DOH393218 DXS393216:DYD393218 EHO393216:EHZ393218 ERK393216:ERV393218 FBG393216:FBR393218 FLC393216:FLN393218 FUY393216:FVJ393218 GEU393216:GFF393218 GOQ393216:GPB393218 GYM393216:GYX393218 HII393216:HIT393218 HSE393216:HSP393218 ICA393216:ICL393218 ILW393216:IMH393218 IVS393216:IWD393218 JFO393216:JFZ393218 JPK393216:JPV393218 JZG393216:JZR393218 KJC393216:KJN393218 KSY393216:KTJ393218 LCU393216:LDF393218 LMQ393216:LNB393218 LWM393216:LWX393218 MGI393216:MGT393218 MQE393216:MQP393218 NAA393216:NAL393218 NJW393216:NKH393218 NTS393216:NUD393218 ODO393216:ODZ393218 ONK393216:ONV393218 OXG393216:OXR393218 PHC393216:PHN393218 PQY393216:PRJ393218 QAU393216:QBF393218 QKQ393216:QLB393218 QUM393216:QUX393218 REI393216:RET393218 ROE393216:ROP393218 RYA393216:RYL393218 SHW393216:SIH393218 SRS393216:SSD393218 TBO393216:TBZ393218 TLK393216:TLV393218 TVG393216:TVR393218 UFC393216:UFN393218 UOY393216:UPJ393218 UYU393216:UZF393218 VIQ393216:VJB393218 VSM393216:VSX393218 WCI393216:WCT393218 WME393216:WMP393218 WWA393216:WWL393218 JO458752:JZ458754 TK458752:TV458754 ADG458752:ADR458754 ANC458752:ANN458754 AWY458752:AXJ458754 BGU458752:BHF458754 BQQ458752:BRB458754 CAM458752:CAX458754 CKI458752:CKT458754 CUE458752:CUP458754 DEA458752:DEL458754 DNW458752:DOH458754 DXS458752:DYD458754 EHO458752:EHZ458754 ERK458752:ERV458754 FBG458752:FBR458754 FLC458752:FLN458754 FUY458752:FVJ458754 GEU458752:GFF458754 GOQ458752:GPB458754 GYM458752:GYX458754 HII458752:HIT458754 HSE458752:HSP458754 ICA458752:ICL458754 ILW458752:IMH458754 IVS458752:IWD458754 JFO458752:JFZ458754 JPK458752:JPV458754 JZG458752:JZR458754 KJC458752:KJN458754 KSY458752:KTJ458754 LCU458752:LDF458754 LMQ458752:LNB458754 LWM458752:LWX458754 MGI458752:MGT458754 MQE458752:MQP458754 NAA458752:NAL458754 NJW458752:NKH458754 NTS458752:NUD458754 ODO458752:ODZ458754 ONK458752:ONV458754 OXG458752:OXR458754 PHC458752:PHN458754 PQY458752:PRJ458754 QAU458752:QBF458754 QKQ458752:QLB458754 QUM458752:QUX458754 REI458752:RET458754 ROE458752:ROP458754 RYA458752:RYL458754 SHW458752:SIH458754 SRS458752:SSD458754 TBO458752:TBZ458754 TLK458752:TLV458754 TVG458752:TVR458754 UFC458752:UFN458754 UOY458752:UPJ458754 UYU458752:UZF458754 VIQ458752:VJB458754 VSM458752:VSX458754 WCI458752:WCT458754 WME458752:WMP458754 WWA458752:WWL458754 JO524288:JZ524290 TK524288:TV524290 ADG524288:ADR524290 ANC524288:ANN524290 AWY524288:AXJ524290 BGU524288:BHF524290 BQQ524288:BRB524290 CAM524288:CAX524290 CKI524288:CKT524290 CUE524288:CUP524290 DEA524288:DEL524290 DNW524288:DOH524290 DXS524288:DYD524290 EHO524288:EHZ524290 ERK524288:ERV524290 FBG524288:FBR524290 FLC524288:FLN524290 FUY524288:FVJ524290 GEU524288:GFF524290 GOQ524288:GPB524290 GYM524288:GYX524290 HII524288:HIT524290 HSE524288:HSP524290 ICA524288:ICL524290 ILW524288:IMH524290 IVS524288:IWD524290 JFO524288:JFZ524290 JPK524288:JPV524290 JZG524288:JZR524290 KJC524288:KJN524290 KSY524288:KTJ524290 LCU524288:LDF524290 LMQ524288:LNB524290 LWM524288:LWX524290 MGI524288:MGT524290 MQE524288:MQP524290 NAA524288:NAL524290 NJW524288:NKH524290 NTS524288:NUD524290 ODO524288:ODZ524290 ONK524288:ONV524290 OXG524288:OXR524290 PHC524288:PHN524290 PQY524288:PRJ524290 QAU524288:QBF524290 QKQ524288:QLB524290 QUM524288:QUX524290 REI524288:RET524290 ROE524288:ROP524290 RYA524288:RYL524290 SHW524288:SIH524290 SRS524288:SSD524290 TBO524288:TBZ524290 TLK524288:TLV524290 TVG524288:TVR524290 UFC524288:UFN524290 UOY524288:UPJ524290 UYU524288:UZF524290 VIQ524288:VJB524290 VSM524288:VSX524290 WCI524288:WCT524290 WME524288:WMP524290 WWA524288:WWL524290 JO589824:JZ589826 TK589824:TV589826 ADG589824:ADR589826 ANC589824:ANN589826 AWY589824:AXJ589826 BGU589824:BHF589826 BQQ589824:BRB589826 CAM589824:CAX589826 CKI589824:CKT589826 CUE589824:CUP589826 DEA589824:DEL589826 DNW589824:DOH589826 DXS589824:DYD589826 EHO589824:EHZ589826 ERK589824:ERV589826 FBG589824:FBR589826 FLC589824:FLN589826 FUY589824:FVJ589826 GEU589824:GFF589826 GOQ589824:GPB589826 GYM589824:GYX589826 HII589824:HIT589826 HSE589824:HSP589826 ICA589824:ICL589826 ILW589824:IMH589826 IVS589824:IWD589826 JFO589824:JFZ589826 JPK589824:JPV589826 JZG589824:JZR589826 KJC589824:KJN589826 KSY589824:KTJ589826 LCU589824:LDF589826 LMQ589824:LNB589826 LWM589824:LWX589826 MGI589824:MGT589826 MQE589824:MQP589826 NAA589824:NAL589826 NJW589824:NKH589826 NTS589824:NUD589826 ODO589824:ODZ589826 ONK589824:ONV589826 OXG589824:OXR589826 PHC589824:PHN589826 PQY589824:PRJ589826 QAU589824:QBF589826 QKQ589824:QLB589826 QUM589824:QUX589826 REI589824:RET589826 ROE589824:ROP589826 RYA589824:RYL589826 SHW589824:SIH589826 SRS589824:SSD589826 TBO589824:TBZ589826 TLK589824:TLV589826 TVG589824:TVR589826 UFC589824:UFN589826 UOY589824:UPJ589826 UYU589824:UZF589826 VIQ589824:VJB589826 VSM589824:VSX589826 WCI589824:WCT589826 WME589824:WMP589826 WWA589824:WWL589826 JO655360:JZ655362 TK655360:TV655362 ADG655360:ADR655362 ANC655360:ANN655362 AWY655360:AXJ655362 BGU655360:BHF655362 BQQ655360:BRB655362 CAM655360:CAX655362 CKI655360:CKT655362 CUE655360:CUP655362 DEA655360:DEL655362 DNW655360:DOH655362 DXS655360:DYD655362 EHO655360:EHZ655362 ERK655360:ERV655362 FBG655360:FBR655362 FLC655360:FLN655362 FUY655360:FVJ655362 GEU655360:GFF655362 GOQ655360:GPB655362 GYM655360:GYX655362 HII655360:HIT655362 HSE655360:HSP655362 ICA655360:ICL655362 ILW655360:IMH655362 IVS655360:IWD655362 JFO655360:JFZ655362 JPK655360:JPV655362 JZG655360:JZR655362 KJC655360:KJN655362 KSY655360:KTJ655362 LCU655360:LDF655362 LMQ655360:LNB655362 LWM655360:LWX655362 MGI655360:MGT655362 MQE655360:MQP655362 NAA655360:NAL655362 NJW655360:NKH655362 NTS655360:NUD655362 ODO655360:ODZ655362 ONK655360:ONV655362 OXG655360:OXR655362 PHC655360:PHN655362 PQY655360:PRJ655362 QAU655360:QBF655362 QKQ655360:QLB655362 QUM655360:QUX655362 REI655360:RET655362 ROE655360:ROP655362 RYA655360:RYL655362 SHW655360:SIH655362 SRS655360:SSD655362 TBO655360:TBZ655362 TLK655360:TLV655362 TVG655360:TVR655362 UFC655360:UFN655362 UOY655360:UPJ655362 UYU655360:UZF655362 VIQ655360:VJB655362 VSM655360:VSX655362 WCI655360:WCT655362 WME655360:WMP655362 WWA655360:WWL655362 JO720896:JZ720898 TK720896:TV720898 ADG720896:ADR720898 ANC720896:ANN720898 AWY720896:AXJ720898 BGU720896:BHF720898 BQQ720896:BRB720898 CAM720896:CAX720898 CKI720896:CKT720898 CUE720896:CUP720898 DEA720896:DEL720898 DNW720896:DOH720898 DXS720896:DYD720898 EHO720896:EHZ720898 ERK720896:ERV720898 FBG720896:FBR720898 FLC720896:FLN720898 FUY720896:FVJ720898 GEU720896:GFF720898 GOQ720896:GPB720898 GYM720896:GYX720898 HII720896:HIT720898 HSE720896:HSP720898 ICA720896:ICL720898 ILW720896:IMH720898 IVS720896:IWD720898 JFO720896:JFZ720898 JPK720896:JPV720898 JZG720896:JZR720898 KJC720896:KJN720898 KSY720896:KTJ720898 LCU720896:LDF720898 LMQ720896:LNB720898 LWM720896:LWX720898 MGI720896:MGT720898 MQE720896:MQP720898 NAA720896:NAL720898 NJW720896:NKH720898 NTS720896:NUD720898 ODO720896:ODZ720898 ONK720896:ONV720898 OXG720896:OXR720898 PHC720896:PHN720898 PQY720896:PRJ720898 QAU720896:QBF720898 QKQ720896:QLB720898 QUM720896:QUX720898 REI720896:RET720898 ROE720896:ROP720898 RYA720896:RYL720898 SHW720896:SIH720898 SRS720896:SSD720898 TBO720896:TBZ720898 TLK720896:TLV720898 TVG720896:TVR720898 UFC720896:UFN720898 UOY720896:UPJ720898 UYU720896:UZF720898 VIQ720896:VJB720898 VSM720896:VSX720898 WCI720896:WCT720898 WME720896:WMP720898 WWA720896:WWL720898 JO786432:JZ786434 TK786432:TV786434 ADG786432:ADR786434 ANC786432:ANN786434 AWY786432:AXJ786434 BGU786432:BHF786434 BQQ786432:BRB786434 CAM786432:CAX786434 CKI786432:CKT786434 CUE786432:CUP786434 DEA786432:DEL786434 DNW786432:DOH786434 DXS786432:DYD786434 EHO786432:EHZ786434 ERK786432:ERV786434 FBG786432:FBR786434 FLC786432:FLN786434 FUY786432:FVJ786434 GEU786432:GFF786434 GOQ786432:GPB786434 GYM786432:GYX786434 HII786432:HIT786434 HSE786432:HSP786434 ICA786432:ICL786434 ILW786432:IMH786434 IVS786432:IWD786434 JFO786432:JFZ786434 JPK786432:JPV786434 JZG786432:JZR786434 KJC786432:KJN786434 KSY786432:KTJ786434 LCU786432:LDF786434 LMQ786432:LNB786434 LWM786432:LWX786434 MGI786432:MGT786434 MQE786432:MQP786434 NAA786432:NAL786434 NJW786432:NKH786434 NTS786432:NUD786434 ODO786432:ODZ786434 ONK786432:ONV786434 OXG786432:OXR786434 PHC786432:PHN786434 PQY786432:PRJ786434 QAU786432:QBF786434 QKQ786432:QLB786434 QUM786432:QUX786434 REI786432:RET786434 ROE786432:ROP786434 RYA786432:RYL786434 SHW786432:SIH786434 SRS786432:SSD786434 TBO786432:TBZ786434 TLK786432:TLV786434 TVG786432:TVR786434 UFC786432:UFN786434 UOY786432:UPJ786434 UYU786432:UZF786434 VIQ786432:VJB786434 VSM786432:VSX786434 WCI786432:WCT786434 WME786432:WMP786434 WWA786432:WWL786434 JO851968:JZ851970 TK851968:TV851970 ADG851968:ADR851970 ANC851968:ANN851970 AWY851968:AXJ851970 BGU851968:BHF851970 BQQ851968:BRB851970 CAM851968:CAX851970 CKI851968:CKT851970 CUE851968:CUP851970 DEA851968:DEL851970 DNW851968:DOH851970 DXS851968:DYD851970 EHO851968:EHZ851970 ERK851968:ERV851970 FBG851968:FBR851970 FLC851968:FLN851970 FUY851968:FVJ851970 GEU851968:GFF851970 GOQ851968:GPB851970 GYM851968:GYX851970 HII851968:HIT851970 HSE851968:HSP851970 ICA851968:ICL851970 ILW851968:IMH851970 IVS851968:IWD851970 JFO851968:JFZ851970 JPK851968:JPV851970 JZG851968:JZR851970 KJC851968:KJN851970 KSY851968:KTJ851970 LCU851968:LDF851970 LMQ851968:LNB851970 LWM851968:LWX851970 MGI851968:MGT851970 MQE851968:MQP851970 NAA851968:NAL851970 NJW851968:NKH851970 NTS851968:NUD851970 ODO851968:ODZ851970 ONK851968:ONV851970 OXG851968:OXR851970 PHC851968:PHN851970 PQY851968:PRJ851970 QAU851968:QBF851970 QKQ851968:QLB851970 QUM851968:QUX851970 REI851968:RET851970 ROE851968:ROP851970 RYA851968:RYL851970 SHW851968:SIH851970 SRS851968:SSD851970 TBO851968:TBZ851970 TLK851968:TLV851970 TVG851968:TVR851970 UFC851968:UFN851970 UOY851968:UPJ851970 UYU851968:UZF851970 VIQ851968:VJB851970 VSM851968:VSX851970 WCI851968:WCT851970 WME851968:WMP851970 WWA851968:WWL851970 JO917504:JZ917506 TK917504:TV917506 ADG917504:ADR917506 ANC917504:ANN917506 AWY917504:AXJ917506 BGU917504:BHF917506 BQQ917504:BRB917506 CAM917504:CAX917506 CKI917504:CKT917506 CUE917504:CUP917506 DEA917504:DEL917506 DNW917504:DOH917506 DXS917504:DYD917506 EHO917504:EHZ917506 ERK917504:ERV917506 FBG917504:FBR917506 FLC917504:FLN917506 FUY917504:FVJ917506 GEU917504:GFF917506 GOQ917504:GPB917506 GYM917504:GYX917506 HII917504:HIT917506 HSE917504:HSP917506 ICA917504:ICL917506 ILW917504:IMH917506 IVS917504:IWD917506 JFO917504:JFZ917506 JPK917504:JPV917506 JZG917504:JZR917506 KJC917504:KJN917506 KSY917504:KTJ917506 LCU917504:LDF917506 LMQ917504:LNB917506 LWM917504:LWX917506 MGI917504:MGT917506 MQE917504:MQP917506 NAA917504:NAL917506 NJW917504:NKH917506 NTS917504:NUD917506 ODO917504:ODZ917506 ONK917504:ONV917506 OXG917504:OXR917506 PHC917504:PHN917506 PQY917504:PRJ917506 QAU917504:QBF917506 QKQ917504:QLB917506 QUM917504:QUX917506 REI917504:RET917506 ROE917504:ROP917506 RYA917504:RYL917506 SHW917504:SIH917506 SRS917504:SSD917506 TBO917504:TBZ917506 TLK917504:TLV917506 TVG917504:TVR917506 UFC917504:UFN917506 UOY917504:UPJ917506 UYU917504:UZF917506 VIQ917504:VJB917506 VSM917504:VSX917506 WCI917504:WCT917506 WME917504:WMP917506 WWA917504:WWL917506 JO983040:JZ983042 TK983040:TV983042 ADG983040:ADR983042 ANC983040:ANN983042 AWY983040:AXJ983042 BGU983040:BHF983042 BQQ983040:BRB983042 CAM983040:CAX983042 CKI983040:CKT983042 CUE983040:CUP983042 DEA983040:DEL983042 DNW983040:DOH983042 DXS983040:DYD983042 EHO983040:EHZ983042 ERK983040:ERV983042 FBG983040:FBR983042 FLC983040:FLN983042 FUY983040:FVJ983042 GEU983040:GFF983042 GOQ983040:GPB983042 GYM983040:GYX983042 HII983040:HIT983042 HSE983040:HSP983042 ICA983040:ICL983042 ILW983040:IMH983042 IVS983040:IWD983042 JFO983040:JFZ983042 JPK983040:JPV983042 JZG983040:JZR983042 KJC983040:KJN983042 KSY983040:KTJ983042 LCU983040:LDF983042 LMQ983040:LNB983042 LWM983040:LWX983042 MGI983040:MGT983042 MQE983040:MQP983042 NAA983040:NAL983042 NJW983040:NKH983042 NTS983040:NUD983042 ODO983040:ODZ983042 ONK983040:ONV983042 OXG983040:OXR983042 PHC983040:PHN983042 PQY983040:PRJ983042 QAU983040:QBF983042 QKQ983040:QLB983042 QUM983040:QUX983042 REI983040:RET983042 ROE983040:ROP983042 RYA983040:RYL983042 SHW983040:SIH983042 SRS983040:SSD983042 TBO983040:TBZ983042 TLK983040:TLV983042 TVG983040:TVR983042 UFC983040:UFN983042 UOY983040:UPJ983042 UYU983040:UZF983042 VIQ983040:VJB983042 VSM983040:VSX983042 WCI983040:WCT983042 WME983040:WMP983042 WWA983040:WWL983042 Z262144:AJ262146 Z196608:AJ196610 Z131072:AJ131074 Z65536:AJ65538 Z983040:AJ983042 Z917504:AJ917506 Z851968:AJ851970 Z786432:AJ786434 Z720896:AJ720898 Z655360:AJ655362 Z589824:AJ589826 Z524288:AJ524290 Z458752:AJ458754 Z393216:AJ393218 Z327680:AJ327682 JP2:KA4 TL2:TW4 ADH2:ADS4 AND2:ANO4 AWZ2:AXK4 BGV2:BHG4 BQR2:BRC4 CAN2:CAY4 CKJ2:CKU4 CUF2:CUQ4 DEB2:DEM4 DNX2:DOI4 DXT2:DYE4 EHP2:EIA4 ERL2:ERW4 FBH2:FBS4 FLD2:FLO4 FUZ2:FVK4 GEV2:GFG4 GOR2:GPC4 GYN2:GYY4 HIJ2:HIU4 HSF2:HSQ4 ICB2:ICM4 ILX2:IMI4 IVT2:IWE4 JFP2:JGA4 JPL2:JPW4 JZH2:JZS4 KJD2:KJO4 KSZ2:KTK4 LCV2:LDG4 LMR2:LNC4 LWN2:LWY4 MGJ2:MGU4 MQF2:MQQ4 NAB2:NAM4 NJX2:NKI4 NTT2:NUE4 ODP2:OEA4 ONL2:ONW4 OXH2:OXS4 PHD2:PHO4 PQZ2:PRK4 QAV2:QBG4 QKR2:QLC4 QUN2:QUY4 REJ2:REU4 ROF2:ROQ4 RYB2:RYM4 SHX2:SII4 SRT2:SSE4 TBP2:TCA4 TLL2:TLW4 TVH2:TVS4 UFD2:UFO4 UOZ2:UPK4 UYV2:UZG4 VIR2:VJC4 VSN2:VSY4 WCJ2:WCU4 WMF2:WMQ4 WWB2:WWM4 R2"/>
    <dataValidation type="list" allowBlank="1" showInputMessage="1" showErrorMessage="1" sqref="Y8:Z46">
      <formula1>"文字,数値,日付,時間"</formula1>
    </dataValidation>
    <dataValidation type="list" allowBlank="1" showInputMessage="1" showErrorMessage="1" sqref="AA8:AC46">
      <formula1>"int,numeric,varchar,date,datetime2(0),datetime2,varbinary(max)"</formula1>
    </dataValidation>
  </dataValidations>
  <pageMargins left="0.39370078740157483" right="0.39370078740157483" top="0.59055118110236227" bottom="0.39370078740157483" header="0.39370078740157483" footer="0.19685039370078741"/>
  <pageSetup paperSize="9" scale="80" fitToHeight="0" orientation="landscape" useFirstPageNumber="1" verticalDpi="300" r:id="rId1"/>
  <headerFooter alignWithMargins="0">
    <oddFooter>&amp;R&amp;A - &amp;P</oddFooter>
  </headerFooter>
  <legacyDrawing r:id="rId2"/>
</worksheet>
</file>

<file path=xl/worksheets/sheet2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58"/>
  <dimension ref="A1:BE46"/>
  <sheetViews>
    <sheetView showGridLines="0" zoomScaleNormal="100" zoomScaleSheetLayoutView="100" workbookViewId="0">
      <pane ySplit="7" topLeftCell="A8" activePane="bottomLeft" state="frozen"/>
      <selection sqref="A1:K4"/>
      <selection pane="bottomLeft" sqref="A1:H4"/>
    </sheetView>
  </sheetViews>
  <sheetFormatPr defaultColWidth="2.6328125" defaultRowHeight="14.4" customHeight="1"/>
  <cols>
    <col min="1" max="1" width="4.6328125" style="18" customWidth="1"/>
    <col min="2" max="26" width="2.6328125" style="18"/>
    <col min="27" max="27" width="2.6328125" style="18" customWidth="1"/>
    <col min="28" max="29" width="2.6328125" style="18"/>
    <col min="30" max="30" width="4.6328125" style="18" customWidth="1"/>
    <col min="31" max="31" width="2.6328125" style="18" customWidth="1"/>
    <col min="32" max="33" width="2.6328125" style="18"/>
    <col min="34" max="34" width="6.6328125" style="18" customWidth="1"/>
    <col min="35" max="41" width="2.6328125" style="18"/>
    <col min="42" max="56" width="2.6328125" style="46"/>
    <col min="57" max="16384" width="2.6328125" style="18"/>
  </cols>
  <sheetData>
    <row r="1" spans="1:57" s="17" customFormat="1" ht="14.4" customHeight="1">
      <c r="A1" s="417" t="s">
        <v>78</v>
      </c>
      <c r="B1" s="418"/>
      <c r="C1" s="418"/>
      <c r="D1" s="418"/>
      <c r="E1" s="418"/>
      <c r="F1" s="418"/>
      <c r="G1" s="418"/>
      <c r="H1" s="419"/>
      <c r="I1" s="354" t="s">
        <v>79</v>
      </c>
      <c r="J1" s="355"/>
      <c r="K1" s="355"/>
      <c r="L1" s="355"/>
      <c r="M1" s="355"/>
      <c r="N1" s="355"/>
      <c r="O1" s="355"/>
      <c r="P1" s="355"/>
      <c r="Q1" s="356"/>
      <c r="R1" s="354" t="s">
        <v>80</v>
      </c>
      <c r="S1" s="355"/>
      <c r="T1" s="355"/>
      <c r="U1" s="355"/>
      <c r="V1" s="355"/>
      <c r="W1" s="355"/>
      <c r="X1" s="356"/>
      <c r="Y1" s="354" t="s">
        <v>135</v>
      </c>
      <c r="Z1" s="355"/>
      <c r="AA1" s="355"/>
      <c r="AB1" s="355"/>
      <c r="AC1" s="355"/>
      <c r="AD1" s="355"/>
      <c r="AE1" s="355"/>
      <c r="AF1" s="355"/>
      <c r="AG1" s="355"/>
      <c r="AH1" s="355"/>
      <c r="AI1" s="355"/>
      <c r="AJ1" s="355"/>
      <c r="AK1" s="355"/>
      <c r="AL1" s="355"/>
      <c r="AM1" s="355"/>
      <c r="AN1" s="355"/>
      <c r="AO1" s="356"/>
      <c r="AP1" s="428" t="s">
        <v>82</v>
      </c>
      <c r="AQ1" s="429"/>
      <c r="AR1" s="429"/>
      <c r="AS1" s="429"/>
      <c r="AT1" s="430"/>
      <c r="AU1" s="428" t="s">
        <v>83</v>
      </c>
      <c r="AV1" s="429"/>
      <c r="AW1" s="429"/>
      <c r="AX1" s="429"/>
      <c r="AY1" s="430"/>
      <c r="AZ1" s="428" t="s">
        <v>84</v>
      </c>
      <c r="BA1" s="429"/>
      <c r="BB1" s="429"/>
      <c r="BC1" s="429"/>
      <c r="BD1" s="430"/>
    </row>
    <row r="2" spans="1:57" s="17" customFormat="1" ht="14.4" customHeight="1">
      <c r="A2" s="420"/>
      <c r="B2" s="421"/>
      <c r="C2" s="421"/>
      <c r="D2" s="421"/>
      <c r="E2" s="421"/>
      <c r="F2" s="421"/>
      <c r="G2" s="421"/>
      <c r="H2" s="422"/>
      <c r="I2" s="384" t="s">
        <v>85</v>
      </c>
      <c r="J2" s="385"/>
      <c r="K2" s="385"/>
      <c r="L2" s="385"/>
      <c r="M2" s="385"/>
      <c r="N2" s="385"/>
      <c r="O2" s="385"/>
      <c r="P2" s="385"/>
      <c r="Q2" s="386"/>
      <c r="R2" s="384" t="str">
        <f ca="1">VLOOKUP(RIGHT(CELL("filename",A2),LEN(CELL("filename",A2))-FIND("]",CELL("filename",A2))),テーブル一覧!B:AD,22,FALSE)</f>
        <v>B.生産計画</v>
      </c>
      <c r="S2" s="385"/>
      <c r="T2" s="385"/>
      <c r="U2" s="385"/>
      <c r="V2" s="385"/>
      <c r="W2" s="385"/>
      <c r="X2" s="386"/>
      <c r="Y2" s="384" t="str">
        <f ca="1">VLOOKUP(RIGHT(CELL("filename",A2),LEN(CELL("filename",A2))-FIND("]",CELL("filename",A2))),テーブル一覧!B:AD,1,FALSE)</f>
        <v>加工依頼明細情報</v>
      </c>
      <c r="Z2" s="385"/>
      <c r="AA2" s="385"/>
      <c r="AB2" s="385"/>
      <c r="AC2" s="385"/>
      <c r="AD2" s="385"/>
      <c r="AE2" s="385"/>
      <c r="AF2" s="385"/>
      <c r="AG2" s="385"/>
      <c r="AH2" s="385"/>
      <c r="AI2" s="385"/>
      <c r="AJ2" s="385"/>
      <c r="AK2" s="385"/>
      <c r="AL2" s="385"/>
      <c r="AM2" s="385"/>
      <c r="AN2" s="385"/>
      <c r="AO2" s="386"/>
      <c r="AP2" s="357"/>
      <c r="AQ2" s="358"/>
      <c r="AR2" s="358"/>
      <c r="AS2" s="358"/>
      <c r="AT2" s="359"/>
      <c r="AU2" s="58" t="s">
        <v>88</v>
      </c>
      <c r="AV2" s="59"/>
      <c r="AW2" s="59"/>
      <c r="AX2" s="59"/>
      <c r="AY2" s="60"/>
      <c r="AZ2" s="434" t="s">
        <v>89</v>
      </c>
      <c r="BA2" s="435"/>
      <c r="BB2" s="435"/>
      <c r="BC2" s="435"/>
      <c r="BD2" s="436"/>
    </row>
    <row r="3" spans="1:57" s="17" customFormat="1" ht="14.4" customHeight="1">
      <c r="A3" s="420"/>
      <c r="B3" s="421"/>
      <c r="C3" s="421"/>
      <c r="D3" s="421"/>
      <c r="E3" s="421"/>
      <c r="F3" s="421"/>
      <c r="G3" s="421"/>
      <c r="H3" s="422"/>
      <c r="I3" s="387"/>
      <c r="J3" s="388"/>
      <c r="K3" s="388"/>
      <c r="L3" s="388"/>
      <c r="M3" s="388"/>
      <c r="N3" s="388"/>
      <c r="O3" s="388"/>
      <c r="P3" s="388"/>
      <c r="Q3" s="389"/>
      <c r="R3" s="387"/>
      <c r="S3" s="388"/>
      <c r="T3" s="388"/>
      <c r="U3" s="388"/>
      <c r="V3" s="388"/>
      <c r="W3" s="388"/>
      <c r="X3" s="389"/>
      <c r="Y3" s="390"/>
      <c r="Z3" s="391"/>
      <c r="AA3" s="391"/>
      <c r="AB3" s="391"/>
      <c r="AC3" s="391"/>
      <c r="AD3" s="391"/>
      <c r="AE3" s="391"/>
      <c r="AF3" s="391"/>
      <c r="AG3" s="391"/>
      <c r="AH3" s="391"/>
      <c r="AI3" s="391"/>
      <c r="AJ3" s="391"/>
      <c r="AK3" s="391"/>
      <c r="AL3" s="391"/>
      <c r="AM3" s="391"/>
      <c r="AN3" s="391"/>
      <c r="AO3" s="392"/>
      <c r="AP3" s="360"/>
      <c r="AQ3" s="361"/>
      <c r="AR3" s="361"/>
      <c r="AS3" s="361"/>
      <c r="AT3" s="362"/>
      <c r="AU3" s="431"/>
      <c r="AV3" s="432"/>
      <c r="AW3" s="432"/>
      <c r="AX3" s="432"/>
      <c r="AY3" s="433"/>
      <c r="AZ3" s="434"/>
      <c r="BA3" s="435"/>
      <c r="BB3" s="435"/>
      <c r="BC3" s="435"/>
      <c r="BD3" s="436"/>
    </row>
    <row r="4" spans="1:57" s="17" customFormat="1" ht="14.4" customHeight="1">
      <c r="A4" s="423"/>
      <c r="B4" s="424"/>
      <c r="C4" s="424"/>
      <c r="D4" s="424"/>
      <c r="E4" s="424"/>
      <c r="F4" s="424"/>
      <c r="G4" s="424"/>
      <c r="H4" s="425"/>
      <c r="I4" s="390"/>
      <c r="J4" s="391"/>
      <c r="K4" s="391"/>
      <c r="L4" s="391"/>
      <c r="M4" s="391"/>
      <c r="N4" s="391"/>
      <c r="O4" s="391"/>
      <c r="P4" s="391"/>
      <c r="Q4" s="392"/>
      <c r="R4" s="390"/>
      <c r="S4" s="391"/>
      <c r="T4" s="391"/>
      <c r="U4" s="391"/>
      <c r="V4" s="391"/>
      <c r="W4" s="391"/>
      <c r="X4" s="392"/>
      <c r="Y4" s="437" t="str">
        <f ca="1">IF(VLOOKUP(RIGHT(CELL("filename",A2),LEN(CELL("filename",A2))-FIND("]",CELL("filename",A2))),テーブル一覧!B:AD,11,FALSE)=0,"",VLOOKUP(RIGHT(CELL("filename",A2),LEN(CELL("filename",A2))-FIND("]",CELL("filename",A2))),テーブル一覧!B:AD,11,FALSE))</f>
        <v>t_kako_irai_m</v>
      </c>
      <c r="Z4" s="438"/>
      <c r="AA4" s="438"/>
      <c r="AB4" s="438"/>
      <c r="AC4" s="438"/>
      <c r="AD4" s="438"/>
      <c r="AE4" s="438"/>
      <c r="AF4" s="438"/>
      <c r="AG4" s="438"/>
      <c r="AH4" s="438"/>
      <c r="AI4" s="438"/>
      <c r="AJ4" s="438"/>
      <c r="AK4" s="438"/>
      <c r="AL4" s="438"/>
      <c r="AM4" s="438"/>
      <c r="AN4" s="438"/>
      <c r="AO4" s="439"/>
      <c r="AP4" s="360"/>
      <c r="AQ4" s="361"/>
      <c r="AR4" s="361"/>
      <c r="AS4" s="361"/>
      <c r="AT4" s="362"/>
      <c r="AU4" s="431"/>
      <c r="AV4" s="432"/>
      <c r="AW4" s="432"/>
      <c r="AX4" s="432"/>
      <c r="AY4" s="433"/>
      <c r="AZ4" s="434"/>
      <c r="BA4" s="435"/>
      <c r="BB4" s="435"/>
      <c r="BC4" s="435"/>
      <c r="BD4" s="436"/>
    </row>
    <row r="6" spans="1:57" ht="14.4" customHeight="1">
      <c r="A6" s="426" t="s">
        <v>90</v>
      </c>
      <c r="B6" s="407" t="s">
        <v>136</v>
      </c>
      <c r="C6" s="415"/>
      <c r="D6" s="415"/>
      <c r="E6" s="415"/>
      <c r="F6" s="415"/>
      <c r="G6" s="415"/>
      <c r="H6" s="408"/>
      <c r="I6" s="407" t="s">
        <v>137</v>
      </c>
      <c r="J6" s="415"/>
      <c r="K6" s="415"/>
      <c r="L6" s="415"/>
      <c r="M6" s="415"/>
      <c r="N6" s="415"/>
      <c r="O6" s="415"/>
      <c r="P6" s="415"/>
      <c r="Q6" s="408"/>
      <c r="R6" s="407" t="s">
        <v>138</v>
      </c>
      <c r="S6" s="415"/>
      <c r="T6" s="415"/>
      <c r="U6" s="415"/>
      <c r="V6" s="415"/>
      <c r="W6" s="415"/>
      <c r="X6" s="408"/>
      <c r="Y6" s="407" t="s">
        <v>139</v>
      </c>
      <c r="Z6" s="408"/>
      <c r="AA6" s="407" t="s">
        <v>140</v>
      </c>
      <c r="AB6" s="415"/>
      <c r="AC6" s="408"/>
      <c r="AD6" s="411" t="s">
        <v>141</v>
      </c>
      <c r="AE6" s="413" t="s">
        <v>142</v>
      </c>
      <c r="AF6" s="411" t="s">
        <v>143</v>
      </c>
      <c r="AG6" s="411" t="s">
        <v>144</v>
      </c>
      <c r="AH6" s="411" t="s">
        <v>145</v>
      </c>
      <c r="AI6" s="404" t="s">
        <v>146</v>
      </c>
      <c r="AJ6" s="405"/>
      <c r="AK6" s="405"/>
      <c r="AL6" s="405"/>
      <c r="AM6" s="405"/>
      <c r="AN6" s="405"/>
      <c r="AO6" s="405"/>
      <c r="AP6" s="405"/>
      <c r="AQ6" s="405"/>
      <c r="AR6" s="406"/>
      <c r="AS6" s="407" t="s">
        <v>147</v>
      </c>
      <c r="AT6" s="415"/>
      <c r="AU6" s="415"/>
      <c r="AV6" s="415"/>
      <c r="AW6" s="415"/>
      <c r="AX6" s="415"/>
      <c r="AY6" s="415"/>
      <c r="AZ6" s="415"/>
      <c r="BA6" s="415"/>
      <c r="BB6" s="415"/>
      <c r="BC6" s="415"/>
      <c r="BD6" s="408"/>
    </row>
    <row r="7" spans="1:57" ht="14.4" customHeight="1">
      <c r="A7" s="427"/>
      <c r="B7" s="409"/>
      <c r="C7" s="416"/>
      <c r="D7" s="416"/>
      <c r="E7" s="416"/>
      <c r="F7" s="416"/>
      <c r="G7" s="416"/>
      <c r="H7" s="410"/>
      <c r="I7" s="409"/>
      <c r="J7" s="416"/>
      <c r="K7" s="416"/>
      <c r="L7" s="416"/>
      <c r="M7" s="416"/>
      <c r="N7" s="416"/>
      <c r="O7" s="416"/>
      <c r="P7" s="416"/>
      <c r="Q7" s="410"/>
      <c r="R7" s="409"/>
      <c r="S7" s="416"/>
      <c r="T7" s="416"/>
      <c r="U7" s="416"/>
      <c r="V7" s="416"/>
      <c r="W7" s="416"/>
      <c r="X7" s="410"/>
      <c r="Y7" s="409"/>
      <c r="Z7" s="410"/>
      <c r="AA7" s="409"/>
      <c r="AB7" s="416"/>
      <c r="AC7" s="410"/>
      <c r="AD7" s="412"/>
      <c r="AE7" s="414"/>
      <c r="AF7" s="412"/>
      <c r="AG7" s="412"/>
      <c r="AH7" s="412"/>
      <c r="AI7" s="52">
        <v>1</v>
      </c>
      <c r="AJ7" s="52">
        <v>2</v>
      </c>
      <c r="AK7" s="52">
        <v>3</v>
      </c>
      <c r="AL7" s="52">
        <v>4</v>
      </c>
      <c r="AM7" s="52">
        <v>5</v>
      </c>
      <c r="AN7" s="52">
        <v>6</v>
      </c>
      <c r="AO7" s="52">
        <v>7</v>
      </c>
      <c r="AP7" s="52">
        <v>8</v>
      </c>
      <c r="AQ7" s="52">
        <v>9</v>
      </c>
      <c r="AR7" s="52">
        <v>10</v>
      </c>
      <c r="AS7" s="409"/>
      <c r="AT7" s="416"/>
      <c r="AU7" s="416"/>
      <c r="AV7" s="416"/>
      <c r="AW7" s="416"/>
      <c r="AX7" s="416"/>
      <c r="AY7" s="416"/>
      <c r="AZ7" s="416"/>
      <c r="BA7" s="416"/>
      <c r="BB7" s="416"/>
      <c r="BC7" s="416"/>
      <c r="BD7" s="410"/>
    </row>
    <row r="8" spans="1:57" ht="14.4" customHeight="1">
      <c r="A8" s="70">
        <f>IF(B8="","",COUNTA($B$8:B8))</f>
        <v>1</v>
      </c>
      <c r="B8" s="19" t="s">
        <v>148</v>
      </c>
      <c r="C8" s="20"/>
      <c r="D8" s="20"/>
      <c r="E8" s="20"/>
      <c r="F8" s="20"/>
      <c r="G8" s="20"/>
      <c r="H8" s="24"/>
      <c r="I8" s="31" t="s">
        <v>149</v>
      </c>
      <c r="J8" s="23"/>
      <c r="K8" s="23"/>
      <c r="L8" s="23"/>
      <c r="M8" s="23"/>
      <c r="N8" s="23"/>
      <c r="O8" s="38"/>
      <c r="P8" s="23"/>
      <c r="Q8" s="24"/>
      <c r="R8" s="19" t="s">
        <v>148</v>
      </c>
      <c r="S8" s="23"/>
      <c r="T8" s="23"/>
      <c r="U8" s="23"/>
      <c r="V8" s="23"/>
      <c r="W8" s="23"/>
      <c r="X8" s="24"/>
      <c r="Y8" s="440" t="s">
        <v>150</v>
      </c>
      <c r="Z8" s="441"/>
      <c r="AA8" s="442" t="s">
        <v>151</v>
      </c>
      <c r="AB8" s="443"/>
      <c r="AC8" s="444"/>
      <c r="AD8" s="27">
        <v>15</v>
      </c>
      <c r="AE8" s="29"/>
      <c r="AF8" s="29">
        <v>1</v>
      </c>
      <c r="AG8" s="28" t="s">
        <v>152</v>
      </c>
      <c r="AH8" s="28"/>
      <c r="AI8" s="28"/>
      <c r="AJ8" s="28"/>
      <c r="AK8" s="28"/>
      <c r="AL8" s="28"/>
      <c r="AM8" s="28"/>
      <c r="AN8" s="28"/>
      <c r="AO8" s="29"/>
      <c r="AP8" s="29"/>
      <c r="AQ8" s="29"/>
      <c r="AR8" s="29"/>
      <c r="AS8" s="47"/>
      <c r="AT8" s="48"/>
      <c r="AU8" s="48"/>
      <c r="AV8" s="48"/>
      <c r="AW8" s="48"/>
      <c r="AX8" s="48"/>
      <c r="AY8" s="48"/>
      <c r="AZ8" s="48"/>
      <c r="BA8" s="48"/>
      <c r="BB8" s="48"/>
      <c r="BC8" s="48"/>
      <c r="BD8" s="66"/>
    </row>
    <row r="9" spans="1:57">
      <c r="A9" s="70">
        <f>IF(B9="","",COUNTA($B$8:B9))</f>
        <v>2</v>
      </c>
      <c r="B9" s="321" t="s">
        <v>1572</v>
      </c>
      <c r="C9" s="322"/>
      <c r="D9" s="322"/>
      <c r="E9" s="322"/>
      <c r="F9" s="322"/>
      <c r="G9" s="322"/>
      <c r="H9" s="323"/>
      <c r="I9" s="324" t="s">
        <v>1455</v>
      </c>
      <c r="J9" s="322"/>
      <c r="K9" s="322"/>
      <c r="L9" s="322"/>
      <c r="M9" s="322"/>
      <c r="N9" s="322"/>
      <c r="O9" s="322"/>
      <c r="P9" s="322"/>
      <c r="Q9" s="323"/>
      <c r="R9" s="321" t="s">
        <v>1572</v>
      </c>
      <c r="S9" s="322"/>
      <c r="T9" s="322"/>
      <c r="U9" s="322"/>
      <c r="V9" s="322"/>
      <c r="W9" s="322"/>
      <c r="X9" s="325"/>
      <c r="Y9" s="494" t="s">
        <v>421</v>
      </c>
      <c r="Z9" s="495"/>
      <c r="AA9" s="496" t="s">
        <v>422</v>
      </c>
      <c r="AB9" s="497"/>
      <c r="AC9" s="498"/>
      <c r="AD9" s="329">
        <v>5</v>
      </c>
      <c r="AE9" s="330"/>
      <c r="AF9" s="330">
        <v>2</v>
      </c>
      <c r="AG9" s="330" t="s">
        <v>1575</v>
      </c>
      <c r="AH9" s="331"/>
      <c r="AI9" s="331"/>
      <c r="AJ9" s="331"/>
      <c r="AK9" s="331"/>
      <c r="AL9" s="331"/>
      <c r="AM9" s="331"/>
      <c r="AN9" s="331"/>
      <c r="AO9" s="330"/>
      <c r="AP9" s="330"/>
      <c r="AQ9" s="330"/>
      <c r="AR9" s="330"/>
      <c r="AS9" s="332" t="s">
        <v>1573</v>
      </c>
      <c r="AT9" s="333"/>
      <c r="AU9" s="333"/>
      <c r="AV9" s="333"/>
      <c r="AW9" s="333"/>
      <c r="AX9" s="333"/>
      <c r="AY9" s="333"/>
      <c r="AZ9" s="333"/>
      <c r="BA9" s="333"/>
      <c r="BB9" s="333"/>
      <c r="BC9" s="333"/>
      <c r="BD9" s="334"/>
      <c r="BE9" s="123" t="s">
        <v>1574</v>
      </c>
    </row>
    <row r="10" spans="1:57">
      <c r="A10" s="70">
        <f>IF(B10="","",COUNTA($B$8:B10))</f>
        <v>3</v>
      </c>
      <c r="B10" s="335" t="s">
        <v>347</v>
      </c>
      <c r="C10" s="336"/>
      <c r="D10" s="336"/>
      <c r="E10" s="336"/>
      <c r="F10" s="336"/>
      <c r="G10" s="336"/>
      <c r="H10" s="325"/>
      <c r="I10" s="332" t="s">
        <v>1576</v>
      </c>
      <c r="J10" s="322"/>
      <c r="K10" s="322"/>
      <c r="L10" s="322"/>
      <c r="M10" s="322"/>
      <c r="N10" s="322"/>
      <c r="O10" s="337"/>
      <c r="P10" s="322"/>
      <c r="Q10" s="325"/>
      <c r="R10" s="335" t="s">
        <v>347</v>
      </c>
      <c r="S10" s="322"/>
      <c r="T10" s="322"/>
      <c r="U10" s="322"/>
      <c r="V10" s="322"/>
      <c r="W10" s="322"/>
      <c r="X10" s="325"/>
      <c r="Y10" s="494" t="s">
        <v>421</v>
      </c>
      <c r="Z10" s="495"/>
      <c r="AA10" s="496" t="s">
        <v>422</v>
      </c>
      <c r="AB10" s="497"/>
      <c r="AC10" s="498"/>
      <c r="AD10" s="329">
        <v>3</v>
      </c>
      <c r="AE10" s="330"/>
      <c r="AF10" s="330">
        <v>3</v>
      </c>
      <c r="AG10" s="330" t="s">
        <v>152</v>
      </c>
      <c r="AH10" s="331"/>
      <c r="AI10" s="331"/>
      <c r="AJ10" s="331"/>
      <c r="AK10" s="331"/>
      <c r="AL10" s="331"/>
      <c r="AM10" s="331"/>
      <c r="AN10" s="331"/>
      <c r="AO10" s="330"/>
      <c r="AP10" s="330"/>
      <c r="AQ10" s="330"/>
      <c r="AR10" s="330"/>
      <c r="AS10" s="332"/>
      <c r="AT10" s="333"/>
      <c r="AU10" s="333"/>
      <c r="AV10" s="333"/>
      <c r="AW10" s="333"/>
      <c r="AX10" s="333"/>
      <c r="AY10" s="333"/>
      <c r="AZ10" s="333"/>
      <c r="BA10" s="333"/>
      <c r="BB10" s="333"/>
      <c r="BC10" s="333"/>
      <c r="BD10" s="334"/>
      <c r="BE10" s="123" t="s">
        <v>1574</v>
      </c>
    </row>
    <row r="11" spans="1:57" ht="14.4" customHeight="1">
      <c r="A11" s="70">
        <f>IF(B11="","",COUNTA($B$8:B11))</f>
        <v>4</v>
      </c>
      <c r="B11" s="19" t="s">
        <v>443</v>
      </c>
      <c r="C11" s="20"/>
      <c r="D11" s="20"/>
      <c r="E11" s="20"/>
      <c r="F11" s="20"/>
      <c r="G11" s="20"/>
      <c r="H11" s="24"/>
      <c r="I11" s="31" t="s">
        <v>444</v>
      </c>
      <c r="J11" s="23"/>
      <c r="K11" s="23"/>
      <c r="L11" s="23"/>
      <c r="M11" s="23"/>
      <c r="N11" s="23"/>
      <c r="O11" s="38"/>
      <c r="P11" s="23"/>
      <c r="Q11" s="24"/>
      <c r="R11" s="19" t="s">
        <v>443</v>
      </c>
      <c r="S11" s="23"/>
      <c r="T11" s="23"/>
      <c r="U11" s="23"/>
      <c r="V11" s="23"/>
      <c r="W11" s="23"/>
      <c r="X11" s="24"/>
      <c r="Y11" s="440" t="s">
        <v>421</v>
      </c>
      <c r="Z11" s="441"/>
      <c r="AA11" s="442" t="s">
        <v>422</v>
      </c>
      <c r="AB11" s="443"/>
      <c r="AC11" s="444"/>
      <c r="AD11" s="27">
        <v>1</v>
      </c>
      <c r="AE11" s="29"/>
      <c r="AF11" s="330"/>
      <c r="AG11" s="330"/>
      <c r="AH11" s="28"/>
      <c r="AI11" s="28"/>
      <c r="AJ11" s="28"/>
      <c r="AK11" s="28"/>
      <c r="AL11" s="28"/>
      <c r="AM11" s="28"/>
      <c r="AN11" s="28"/>
      <c r="AO11" s="29"/>
      <c r="AP11" s="29"/>
      <c r="AQ11" s="29"/>
      <c r="AR11" s="29"/>
      <c r="AS11" s="31" t="s">
        <v>445</v>
      </c>
      <c r="AT11" s="67"/>
      <c r="AU11" s="67"/>
      <c r="AV11" s="67"/>
      <c r="AW11" s="67"/>
      <c r="AX11" s="67"/>
      <c r="AY11" s="67"/>
      <c r="AZ11" s="67"/>
      <c r="BA11" s="67"/>
      <c r="BB11" s="67"/>
      <c r="BC11" s="67"/>
      <c r="BD11" s="68"/>
    </row>
    <row r="12" spans="1:57">
      <c r="A12" s="70">
        <f>IF(B12="","",COUNTA($B$8:B12))</f>
        <v>5</v>
      </c>
      <c r="B12" s="335" t="s">
        <v>1530</v>
      </c>
      <c r="C12" s="336"/>
      <c r="D12" s="336"/>
      <c r="E12" s="336"/>
      <c r="F12" s="336"/>
      <c r="G12" s="336"/>
      <c r="H12" s="325"/>
      <c r="I12" s="335" t="s">
        <v>1578</v>
      </c>
      <c r="J12" s="322"/>
      <c r="K12" s="322"/>
      <c r="L12" s="322"/>
      <c r="M12" s="322"/>
      <c r="N12" s="322"/>
      <c r="O12" s="337"/>
      <c r="P12" s="322"/>
      <c r="Q12" s="325"/>
      <c r="R12" s="335" t="s">
        <v>1530</v>
      </c>
      <c r="S12" s="322"/>
      <c r="T12" s="322"/>
      <c r="U12" s="322"/>
      <c r="V12" s="322"/>
      <c r="W12" s="322"/>
      <c r="X12" s="325"/>
      <c r="Y12" s="494" t="s">
        <v>150</v>
      </c>
      <c r="Z12" s="495"/>
      <c r="AA12" s="496" t="s">
        <v>151</v>
      </c>
      <c r="AB12" s="497"/>
      <c r="AC12" s="498"/>
      <c r="AD12" s="339">
        <v>2</v>
      </c>
      <c r="AE12" s="330"/>
      <c r="AF12" s="330"/>
      <c r="AG12" s="330"/>
      <c r="AH12" s="331"/>
      <c r="AI12" s="331"/>
      <c r="AJ12" s="331"/>
      <c r="AK12" s="331"/>
      <c r="AL12" s="331"/>
      <c r="AM12" s="331"/>
      <c r="AN12" s="331"/>
      <c r="AO12" s="330"/>
      <c r="AP12" s="330"/>
      <c r="AQ12" s="330"/>
      <c r="AR12" s="330"/>
      <c r="AS12" s="332" t="s">
        <v>1579</v>
      </c>
      <c r="AT12" s="333"/>
      <c r="AU12" s="333"/>
      <c r="AV12" s="333"/>
      <c r="AW12" s="333"/>
      <c r="AX12" s="333"/>
      <c r="AY12" s="333"/>
      <c r="AZ12" s="333"/>
      <c r="BA12" s="333"/>
      <c r="BB12" s="333"/>
      <c r="BC12" s="333"/>
      <c r="BD12" s="334"/>
    </row>
    <row r="13" spans="1:57">
      <c r="A13" s="70">
        <f>IF(B13="","",COUNTA($B$8:B13))</f>
        <v>6</v>
      </c>
      <c r="B13" s="335" t="s">
        <v>1322</v>
      </c>
      <c r="C13" s="336"/>
      <c r="D13" s="336"/>
      <c r="E13" s="336"/>
      <c r="F13" s="336"/>
      <c r="G13" s="336"/>
      <c r="H13" s="325"/>
      <c r="I13" s="332" t="s">
        <v>1323</v>
      </c>
      <c r="J13" s="322"/>
      <c r="K13" s="322"/>
      <c r="L13" s="322"/>
      <c r="M13" s="322"/>
      <c r="N13" s="322"/>
      <c r="O13" s="337"/>
      <c r="P13" s="322"/>
      <c r="Q13" s="325"/>
      <c r="R13" s="335" t="s">
        <v>1322</v>
      </c>
      <c r="S13" s="322"/>
      <c r="T13" s="322"/>
      <c r="U13" s="322"/>
      <c r="V13" s="322"/>
      <c r="W13" s="322"/>
      <c r="X13" s="325"/>
      <c r="Y13" s="494" t="s">
        <v>155</v>
      </c>
      <c r="Z13" s="495"/>
      <c r="AA13" s="496" t="s">
        <v>156</v>
      </c>
      <c r="AB13" s="497"/>
      <c r="AC13" s="498"/>
      <c r="AD13" s="329">
        <v>1</v>
      </c>
      <c r="AE13" s="330"/>
      <c r="AF13" s="330"/>
      <c r="AG13" s="330"/>
      <c r="AH13" s="331"/>
      <c r="AI13" s="331"/>
      <c r="AJ13" s="331"/>
      <c r="AK13" s="331"/>
      <c r="AL13" s="331"/>
      <c r="AM13" s="331"/>
      <c r="AN13" s="331"/>
      <c r="AO13" s="330"/>
      <c r="AP13" s="330"/>
      <c r="AQ13" s="330"/>
      <c r="AR13" s="330"/>
      <c r="AS13" s="332" t="s">
        <v>1577</v>
      </c>
      <c r="AT13" s="333"/>
      <c r="AU13" s="333"/>
      <c r="AV13" s="333"/>
      <c r="AW13" s="333"/>
      <c r="AX13" s="333"/>
      <c r="AY13" s="333"/>
      <c r="AZ13" s="333"/>
      <c r="BA13" s="333"/>
      <c r="BB13" s="333"/>
      <c r="BC13" s="333"/>
      <c r="BD13" s="334"/>
    </row>
    <row r="14" spans="1:57">
      <c r="A14" s="70">
        <f>IF(B14="","",COUNTA($B$8:B14))</f>
        <v>7</v>
      </c>
      <c r="B14" s="326" t="s">
        <v>1580</v>
      </c>
      <c r="C14" s="327"/>
      <c r="D14" s="327"/>
      <c r="E14" s="327"/>
      <c r="F14" s="327"/>
      <c r="G14" s="327"/>
      <c r="H14" s="328"/>
      <c r="I14" s="332" t="s">
        <v>1581</v>
      </c>
      <c r="J14" s="322"/>
      <c r="K14" s="322"/>
      <c r="L14" s="322"/>
      <c r="M14" s="322"/>
      <c r="N14" s="322"/>
      <c r="O14" s="327"/>
      <c r="P14" s="322"/>
      <c r="Q14" s="325"/>
      <c r="R14" s="326" t="s">
        <v>1580</v>
      </c>
      <c r="S14" s="322"/>
      <c r="T14" s="322"/>
      <c r="U14" s="322"/>
      <c r="V14" s="322"/>
      <c r="W14" s="322"/>
      <c r="X14" s="325"/>
      <c r="Y14" s="494" t="s">
        <v>150</v>
      </c>
      <c r="Z14" s="495"/>
      <c r="AA14" s="496" t="s">
        <v>151</v>
      </c>
      <c r="AB14" s="497"/>
      <c r="AC14" s="498"/>
      <c r="AD14" s="329">
        <v>15</v>
      </c>
      <c r="AE14" s="330"/>
      <c r="AF14" s="330"/>
      <c r="AG14" s="330"/>
      <c r="AH14" s="331"/>
      <c r="AI14" s="331"/>
      <c r="AJ14" s="331"/>
      <c r="AK14" s="331"/>
      <c r="AL14" s="331"/>
      <c r="AM14" s="331"/>
      <c r="AN14" s="331"/>
      <c r="AO14" s="330"/>
      <c r="AP14" s="330"/>
      <c r="AQ14" s="330"/>
      <c r="AR14" s="330"/>
      <c r="AS14" s="332"/>
      <c r="AT14" s="333"/>
      <c r="AU14" s="333"/>
      <c r="AV14" s="333"/>
      <c r="AW14" s="333"/>
      <c r="AX14" s="333"/>
      <c r="AY14" s="333"/>
      <c r="AZ14" s="333"/>
      <c r="BA14" s="333"/>
      <c r="BB14" s="333"/>
      <c r="BC14" s="333"/>
      <c r="BD14" s="334"/>
      <c r="BE14" s="18" t="s">
        <v>1582</v>
      </c>
    </row>
    <row r="15" spans="1:57" ht="14.4" customHeight="1">
      <c r="A15" s="70">
        <f>IF(B15="","",COUNTA($B$8:B15))</f>
        <v>8</v>
      </c>
      <c r="B15" s="19" t="s">
        <v>446</v>
      </c>
      <c r="C15" s="20"/>
      <c r="D15" s="20"/>
      <c r="E15" s="20"/>
      <c r="F15" s="20"/>
      <c r="G15" s="20"/>
      <c r="H15" s="24"/>
      <c r="I15" s="31" t="s">
        <v>346</v>
      </c>
      <c r="J15" s="23"/>
      <c r="K15" s="23"/>
      <c r="L15" s="23"/>
      <c r="M15" s="23"/>
      <c r="N15" s="23"/>
      <c r="O15" s="23"/>
      <c r="P15" s="23"/>
      <c r="Q15" s="37"/>
      <c r="R15" s="19" t="s">
        <v>446</v>
      </c>
      <c r="S15" s="23"/>
      <c r="T15" s="23"/>
      <c r="U15" s="23"/>
      <c r="V15" s="23"/>
      <c r="W15" s="23"/>
      <c r="X15" s="24"/>
      <c r="Y15" s="440" t="s">
        <v>150</v>
      </c>
      <c r="Z15" s="441"/>
      <c r="AA15" s="442" t="s">
        <v>151</v>
      </c>
      <c r="AB15" s="443"/>
      <c r="AC15" s="444"/>
      <c r="AD15" s="27">
        <v>15</v>
      </c>
      <c r="AE15" s="29"/>
      <c r="AF15" s="330"/>
      <c r="AG15" s="330"/>
      <c r="AH15" s="28"/>
      <c r="AI15" s="28"/>
      <c r="AJ15" s="28"/>
      <c r="AK15" s="28"/>
      <c r="AL15" s="28"/>
      <c r="AM15" s="28"/>
      <c r="AN15" s="28"/>
      <c r="AO15" s="29"/>
      <c r="AP15" s="29"/>
      <c r="AQ15" s="29"/>
      <c r="AR15" s="29"/>
      <c r="AS15" s="47"/>
      <c r="AT15" s="48"/>
      <c r="AU15" s="48"/>
      <c r="AV15" s="48"/>
      <c r="AW15" s="48"/>
      <c r="AX15" s="48"/>
      <c r="AY15" s="48"/>
      <c r="AZ15" s="48"/>
      <c r="BA15" s="48"/>
      <c r="BB15" s="48"/>
      <c r="BC15" s="48"/>
      <c r="BD15" s="66"/>
    </row>
    <row r="16" spans="1:57" ht="14.4" customHeight="1">
      <c r="A16" s="70">
        <f>IF(B16="","",COUNTA($B$8:B16))</f>
        <v>9</v>
      </c>
      <c r="B16" s="19" t="s">
        <v>159</v>
      </c>
      <c r="C16" s="20"/>
      <c r="D16" s="20"/>
      <c r="E16" s="20"/>
      <c r="F16" s="20"/>
      <c r="G16" s="20"/>
      <c r="H16" s="24"/>
      <c r="I16" s="31" t="s">
        <v>160</v>
      </c>
      <c r="J16" s="23"/>
      <c r="K16" s="23"/>
      <c r="L16" s="23"/>
      <c r="M16" s="23"/>
      <c r="N16" s="23"/>
      <c r="O16" s="38"/>
      <c r="P16" s="23"/>
      <c r="Q16" s="24"/>
      <c r="R16" s="19" t="s">
        <v>159</v>
      </c>
      <c r="S16" s="23"/>
      <c r="T16" s="23"/>
      <c r="U16" s="23"/>
      <c r="V16" s="23"/>
      <c r="W16" s="23"/>
      <c r="X16" s="24"/>
      <c r="Y16" s="440" t="s">
        <v>150</v>
      </c>
      <c r="Z16" s="441"/>
      <c r="AA16" s="442" t="s">
        <v>151</v>
      </c>
      <c r="AB16" s="443"/>
      <c r="AC16" s="444"/>
      <c r="AD16" s="27">
        <v>4</v>
      </c>
      <c r="AE16" s="29"/>
      <c r="AF16" s="29"/>
      <c r="AG16" s="29"/>
      <c r="AH16" s="28"/>
      <c r="AI16" s="28"/>
      <c r="AJ16" s="28"/>
      <c r="AK16" s="28"/>
      <c r="AL16" s="28"/>
      <c r="AM16" s="28"/>
      <c r="AN16" s="28"/>
      <c r="AO16" s="29"/>
      <c r="AP16" s="29"/>
      <c r="AQ16" s="29"/>
      <c r="AR16" s="29"/>
      <c r="AS16" s="31"/>
      <c r="AT16" s="67"/>
      <c r="AU16" s="67"/>
      <c r="AV16" s="67"/>
      <c r="AW16" s="67"/>
      <c r="AX16" s="67"/>
      <c r="AY16" s="67"/>
      <c r="AZ16" s="67"/>
      <c r="BA16" s="67"/>
      <c r="BB16" s="67"/>
      <c r="BC16" s="67"/>
      <c r="BD16" s="68"/>
    </row>
    <row r="17" spans="1:57" ht="14.4" customHeight="1">
      <c r="A17" s="70">
        <f>IF(B17="","",COUNTA($B$8:B17))</f>
        <v>10</v>
      </c>
      <c r="B17" s="19" t="s">
        <v>162</v>
      </c>
      <c r="C17" s="20"/>
      <c r="D17" s="20"/>
      <c r="E17" s="20"/>
      <c r="F17" s="20"/>
      <c r="G17" s="20"/>
      <c r="H17" s="24"/>
      <c r="I17" s="31" t="s">
        <v>163</v>
      </c>
      <c r="J17" s="23"/>
      <c r="K17" s="23"/>
      <c r="L17" s="23"/>
      <c r="M17" s="23"/>
      <c r="N17" s="23"/>
      <c r="O17" s="38"/>
      <c r="P17" s="23"/>
      <c r="Q17" s="24"/>
      <c r="R17" s="19" t="s">
        <v>164</v>
      </c>
      <c r="S17" s="23"/>
      <c r="T17" s="23"/>
      <c r="U17" s="23"/>
      <c r="V17" s="23"/>
      <c r="W17" s="23"/>
      <c r="X17" s="24"/>
      <c r="Y17" s="440" t="s">
        <v>150</v>
      </c>
      <c r="Z17" s="441"/>
      <c r="AA17" s="442" t="s">
        <v>151</v>
      </c>
      <c r="AB17" s="443"/>
      <c r="AC17" s="444"/>
      <c r="AD17" s="27">
        <v>4</v>
      </c>
      <c r="AE17" s="29"/>
      <c r="AF17" s="29"/>
      <c r="AG17" s="29"/>
      <c r="AH17" s="28"/>
      <c r="AI17" s="28"/>
      <c r="AJ17" s="28"/>
      <c r="AK17" s="28"/>
      <c r="AL17" s="28"/>
      <c r="AM17" s="28"/>
      <c r="AN17" s="28"/>
      <c r="AO17" s="29"/>
      <c r="AP17" s="29"/>
      <c r="AQ17" s="29"/>
      <c r="AR17" s="29"/>
      <c r="AS17" s="31"/>
      <c r="AT17" s="67"/>
      <c r="AU17" s="67"/>
      <c r="AV17" s="67"/>
      <c r="AW17" s="67"/>
      <c r="AX17" s="67"/>
      <c r="AY17" s="67"/>
      <c r="AZ17" s="67"/>
      <c r="BA17" s="67"/>
      <c r="BB17" s="67"/>
      <c r="BC17" s="67"/>
      <c r="BD17" s="68"/>
    </row>
    <row r="18" spans="1:57" ht="14.4" customHeight="1">
      <c r="A18" s="70">
        <f>IF(B18="","",COUNTA($B$8:B18))</f>
        <v>11</v>
      </c>
      <c r="B18" s="320" t="s">
        <v>447</v>
      </c>
      <c r="C18" s="86"/>
      <c r="D18" s="86"/>
      <c r="E18" s="86"/>
      <c r="F18" s="86"/>
      <c r="G18" s="86"/>
      <c r="H18" s="87"/>
      <c r="I18" s="340" t="s">
        <v>448</v>
      </c>
      <c r="J18" s="89"/>
      <c r="K18" s="89"/>
      <c r="L18" s="89"/>
      <c r="M18" s="89"/>
      <c r="N18" s="89"/>
      <c r="O18" s="341"/>
      <c r="P18" s="89"/>
      <c r="Q18" s="87"/>
      <c r="R18" s="320" t="s">
        <v>447</v>
      </c>
      <c r="S18" s="89"/>
      <c r="T18" s="89"/>
      <c r="U18" s="89"/>
      <c r="V18" s="89"/>
      <c r="W18" s="89"/>
      <c r="X18" s="87"/>
      <c r="Y18" s="466" t="s">
        <v>421</v>
      </c>
      <c r="Z18" s="467"/>
      <c r="AA18" s="468" t="s">
        <v>422</v>
      </c>
      <c r="AB18" s="469"/>
      <c r="AC18" s="470"/>
      <c r="AD18" s="91">
        <v>1</v>
      </c>
      <c r="AE18" s="93"/>
      <c r="AF18" s="93"/>
      <c r="AG18" s="93"/>
      <c r="AH18" s="92" t="s">
        <v>449</v>
      </c>
      <c r="AI18" s="92"/>
      <c r="AJ18" s="92"/>
      <c r="AK18" s="92"/>
      <c r="AL18" s="92"/>
      <c r="AM18" s="92"/>
      <c r="AN18" s="92"/>
      <c r="AO18" s="93"/>
      <c r="AP18" s="93"/>
      <c r="AQ18" s="93"/>
      <c r="AR18" s="93"/>
      <c r="AS18" s="340" t="s">
        <v>450</v>
      </c>
      <c r="AT18" s="94"/>
      <c r="AU18" s="94"/>
      <c r="AV18" s="94"/>
      <c r="AW18" s="94"/>
      <c r="AX18" s="94"/>
      <c r="AY18" s="94"/>
      <c r="AZ18" s="94"/>
      <c r="BA18" s="94"/>
      <c r="BB18" s="94"/>
      <c r="BC18" s="94"/>
      <c r="BD18" s="95"/>
    </row>
    <row r="19" spans="1:57" ht="14.4" customHeight="1">
      <c r="A19" s="70">
        <f>IF(B19="","",COUNTA($B$8:B19))</f>
        <v>12</v>
      </c>
      <c r="B19" s="320" t="s">
        <v>451</v>
      </c>
      <c r="C19" s="86"/>
      <c r="D19" s="86"/>
      <c r="E19" s="86"/>
      <c r="F19" s="86"/>
      <c r="G19" s="86"/>
      <c r="H19" s="87"/>
      <c r="I19" s="340" t="s">
        <v>452</v>
      </c>
      <c r="J19" s="89"/>
      <c r="K19" s="89"/>
      <c r="L19" s="89"/>
      <c r="M19" s="89"/>
      <c r="N19" s="89"/>
      <c r="O19" s="341"/>
      <c r="P19" s="89"/>
      <c r="Q19" s="87"/>
      <c r="R19" s="320" t="s">
        <v>451</v>
      </c>
      <c r="S19" s="89"/>
      <c r="T19" s="89"/>
      <c r="U19" s="89"/>
      <c r="V19" s="89"/>
      <c r="W19" s="89"/>
      <c r="X19" s="87"/>
      <c r="Y19" s="466" t="s">
        <v>421</v>
      </c>
      <c r="Z19" s="467"/>
      <c r="AA19" s="468" t="s">
        <v>422</v>
      </c>
      <c r="AB19" s="469"/>
      <c r="AC19" s="470"/>
      <c r="AD19" s="91">
        <v>1</v>
      </c>
      <c r="AE19" s="93"/>
      <c r="AF19" s="93"/>
      <c r="AG19" s="93"/>
      <c r="AH19" s="92" t="s">
        <v>449</v>
      </c>
      <c r="AI19" s="92"/>
      <c r="AJ19" s="92"/>
      <c r="AK19" s="92"/>
      <c r="AL19" s="92"/>
      <c r="AM19" s="92"/>
      <c r="AN19" s="92"/>
      <c r="AO19" s="93"/>
      <c r="AP19" s="93"/>
      <c r="AQ19" s="93"/>
      <c r="AR19" s="93"/>
      <c r="AS19" s="340" t="s">
        <v>453</v>
      </c>
      <c r="AT19" s="94"/>
      <c r="AU19" s="94"/>
      <c r="AV19" s="94"/>
      <c r="AW19" s="94"/>
      <c r="AX19" s="94"/>
      <c r="AY19" s="94"/>
      <c r="AZ19" s="94"/>
      <c r="BA19" s="94"/>
      <c r="BB19" s="94"/>
      <c r="BC19" s="94"/>
      <c r="BD19" s="95"/>
    </row>
    <row r="20" spans="1:57">
      <c r="A20" s="70">
        <f>IF(B20="","",COUNTA($B$8:B20))</f>
        <v>13</v>
      </c>
      <c r="B20" s="335" t="s">
        <v>197</v>
      </c>
      <c r="C20" s="336"/>
      <c r="D20" s="336"/>
      <c r="E20" s="336"/>
      <c r="F20" s="336"/>
      <c r="G20" s="336"/>
      <c r="H20" s="325"/>
      <c r="I20" s="335" t="s">
        <v>198</v>
      </c>
      <c r="J20" s="322"/>
      <c r="K20" s="322"/>
      <c r="L20" s="322"/>
      <c r="M20" s="322"/>
      <c r="N20" s="322"/>
      <c r="O20" s="337"/>
      <c r="P20" s="322"/>
      <c r="Q20" s="325"/>
      <c r="R20" s="335" t="s">
        <v>197</v>
      </c>
      <c r="S20" s="322"/>
      <c r="T20" s="322"/>
      <c r="U20" s="322"/>
      <c r="V20" s="322"/>
      <c r="W20" s="322"/>
      <c r="X20" s="325"/>
      <c r="Y20" s="494" t="s">
        <v>150</v>
      </c>
      <c r="Z20" s="495"/>
      <c r="AA20" s="496" t="s">
        <v>151</v>
      </c>
      <c r="AB20" s="497"/>
      <c r="AC20" s="498"/>
      <c r="AD20" s="329">
        <v>5</v>
      </c>
      <c r="AE20" s="330"/>
      <c r="AF20" s="330"/>
      <c r="AG20" s="330"/>
      <c r="AH20" s="331"/>
      <c r="AI20" s="331"/>
      <c r="AJ20" s="331"/>
      <c r="AK20" s="331"/>
      <c r="AL20" s="331"/>
      <c r="AM20" s="331"/>
      <c r="AN20" s="331"/>
      <c r="AO20" s="330"/>
      <c r="AP20" s="330"/>
      <c r="AQ20" s="330"/>
      <c r="AR20" s="330"/>
      <c r="AS20" s="332"/>
      <c r="AT20" s="333"/>
      <c r="AU20" s="333"/>
      <c r="AV20" s="333"/>
      <c r="AW20" s="333"/>
      <c r="AX20" s="333"/>
      <c r="AY20" s="333"/>
      <c r="AZ20" s="333"/>
      <c r="BA20" s="333"/>
      <c r="BB20" s="333"/>
      <c r="BC20" s="333"/>
      <c r="BD20" s="334"/>
      <c r="BE20" s="18" t="s">
        <v>1582</v>
      </c>
    </row>
    <row r="21" spans="1:57">
      <c r="A21" s="70">
        <f>IF(B21="","",COUNTA($B$8:B21))</f>
        <v>14</v>
      </c>
      <c r="B21" s="335" t="s">
        <v>199</v>
      </c>
      <c r="C21" s="336"/>
      <c r="D21" s="336"/>
      <c r="E21" s="336"/>
      <c r="F21" s="336"/>
      <c r="G21" s="336"/>
      <c r="H21" s="325"/>
      <c r="I21" s="335" t="s">
        <v>200</v>
      </c>
      <c r="J21" s="322"/>
      <c r="K21" s="322"/>
      <c r="L21" s="322"/>
      <c r="M21" s="322"/>
      <c r="N21" s="322"/>
      <c r="O21" s="337"/>
      <c r="P21" s="322"/>
      <c r="Q21" s="325"/>
      <c r="R21" s="335" t="s">
        <v>199</v>
      </c>
      <c r="S21" s="322"/>
      <c r="T21" s="322"/>
      <c r="U21" s="322"/>
      <c r="V21" s="322"/>
      <c r="W21" s="322"/>
      <c r="X21" s="325"/>
      <c r="Y21" s="494" t="s">
        <v>150</v>
      </c>
      <c r="Z21" s="495"/>
      <c r="AA21" s="496" t="s">
        <v>151</v>
      </c>
      <c r="AB21" s="497"/>
      <c r="AC21" s="498"/>
      <c r="AD21" s="342">
        <v>20</v>
      </c>
      <c r="AE21" s="330"/>
      <c r="AF21" s="330"/>
      <c r="AG21" s="330"/>
      <c r="AH21" s="331"/>
      <c r="AI21" s="331"/>
      <c r="AJ21" s="331"/>
      <c r="AK21" s="331"/>
      <c r="AL21" s="331"/>
      <c r="AM21" s="331"/>
      <c r="AN21" s="331"/>
      <c r="AO21" s="330"/>
      <c r="AP21" s="330"/>
      <c r="AQ21" s="330"/>
      <c r="AR21" s="330"/>
      <c r="AS21" s="332"/>
      <c r="AT21" s="333"/>
      <c r="AU21" s="333"/>
      <c r="AV21" s="333"/>
      <c r="AW21" s="333"/>
      <c r="AX21" s="333"/>
      <c r="AY21" s="333"/>
      <c r="AZ21" s="333"/>
      <c r="BA21" s="333"/>
      <c r="BB21" s="333"/>
      <c r="BC21" s="333"/>
      <c r="BD21" s="334"/>
      <c r="BE21" s="18" t="s">
        <v>1582</v>
      </c>
    </row>
    <row r="22" spans="1:57">
      <c r="A22" s="70">
        <f>IF(B22="","",COUNTA($B$8:B22))</f>
        <v>15</v>
      </c>
      <c r="B22" s="335" t="s">
        <v>201</v>
      </c>
      <c r="C22" s="336"/>
      <c r="D22" s="336"/>
      <c r="E22" s="336"/>
      <c r="F22" s="336"/>
      <c r="G22" s="336"/>
      <c r="H22" s="325"/>
      <c r="I22" s="335" t="s">
        <v>202</v>
      </c>
      <c r="J22" s="322"/>
      <c r="K22" s="322"/>
      <c r="L22" s="322"/>
      <c r="M22" s="322"/>
      <c r="N22" s="322"/>
      <c r="O22" s="337"/>
      <c r="P22" s="322"/>
      <c r="Q22" s="325"/>
      <c r="R22" s="335" t="s">
        <v>201</v>
      </c>
      <c r="S22" s="322"/>
      <c r="T22" s="322"/>
      <c r="U22" s="322"/>
      <c r="V22" s="322"/>
      <c r="W22" s="322"/>
      <c r="X22" s="325"/>
      <c r="Y22" s="494" t="s">
        <v>150</v>
      </c>
      <c r="Z22" s="495"/>
      <c r="AA22" s="496" t="s">
        <v>151</v>
      </c>
      <c r="AB22" s="497"/>
      <c r="AC22" s="498"/>
      <c r="AD22" s="342">
        <v>30</v>
      </c>
      <c r="AE22" s="330"/>
      <c r="AF22" s="330"/>
      <c r="AG22" s="330"/>
      <c r="AH22" s="331"/>
      <c r="AI22" s="331"/>
      <c r="AJ22" s="331"/>
      <c r="AK22" s="331"/>
      <c r="AL22" s="331"/>
      <c r="AM22" s="331"/>
      <c r="AN22" s="331"/>
      <c r="AO22" s="330"/>
      <c r="AP22" s="330"/>
      <c r="AQ22" s="330"/>
      <c r="AR22" s="330"/>
      <c r="AS22" s="332"/>
      <c r="AT22" s="333"/>
      <c r="AU22" s="333"/>
      <c r="AV22" s="333"/>
      <c r="AW22" s="333"/>
      <c r="AX22" s="333"/>
      <c r="AY22" s="333"/>
      <c r="AZ22" s="333"/>
      <c r="BA22" s="333"/>
      <c r="BB22" s="333"/>
      <c r="BC22" s="333"/>
      <c r="BD22" s="334"/>
      <c r="BE22" s="18" t="s">
        <v>1582</v>
      </c>
    </row>
    <row r="23" spans="1:57">
      <c r="A23" s="70">
        <f>IF(B23="","",COUNTA($B$8:B23))</f>
        <v>16</v>
      </c>
      <c r="B23" s="335" t="s">
        <v>1583</v>
      </c>
      <c r="C23" s="336"/>
      <c r="D23" s="336"/>
      <c r="E23" s="336"/>
      <c r="F23" s="336"/>
      <c r="G23" s="336"/>
      <c r="H23" s="325"/>
      <c r="I23" s="335" t="s">
        <v>204</v>
      </c>
      <c r="J23" s="322"/>
      <c r="K23" s="322"/>
      <c r="L23" s="322"/>
      <c r="M23" s="322"/>
      <c r="N23" s="322"/>
      <c r="O23" s="337"/>
      <c r="P23" s="322"/>
      <c r="Q23" s="325"/>
      <c r="R23" s="335" t="s">
        <v>1583</v>
      </c>
      <c r="S23" s="322"/>
      <c r="T23" s="322"/>
      <c r="U23" s="322"/>
      <c r="V23" s="322"/>
      <c r="W23" s="322"/>
      <c r="X23" s="325"/>
      <c r="Y23" s="494" t="s">
        <v>155</v>
      </c>
      <c r="Z23" s="495"/>
      <c r="AA23" s="496" t="s">
        <v>156</v>
      </c>
      <c r="AB23" s="497"/>
      <c r="AC23" s="498"/>
      <c r="AD23" s="342">
        <v>5</v>
      </c>
      <c r="AE23" s="330">
        <v>2</v>
      </c>
      <c r="AF23" s="330"/>
      <c r="AG23" s="330"/>
      <c r="AH23" s="331"/>
      <c r="AI23" s="331"/>
      <c r="AJ23" s="331"/>
      <c r="AK23" s="331"/>
      <c r="AL23" s="331"/>
      <c r="AM23" s="331"/>
      <c r="AN23" s="331"/>
      <c r="AO23" s="330"/>
      <c r="AP23" s="330"/>
      <c r="AQ23" s="330"/>
      <c r="AR23" s="330"/>
      <c r="AS23" s="332"/>
      <c r="AT23" s="333"/>
      <c r="AU23" s="333"/>
      <c r="AV23" s="333"/>
      <c r="AW23" s="333"/>
      <c r="AX23" s="333"/>
      <c r="AY23" s="333"/>
      <c r="AZ23" s="333"/>
      <c r="BA23" s="333"/>
      <c r="BB23" s="333"/>
      <c r="BC23" s="333"/>
      <c r="BD23" s="334"/>
      <c r="BE23" s="18" t="s">
        <v>1582</v>
      </c>
    </row>
    <row r="24" spans="1:57">
      <c r="A24" s="70">
        <f>IF(B24="","",COUNTA($B$8:B24))</f>
        <v>17</v>
      </c>
      <c r="B24" s="335" t="s">
        <v>205</v>
      </c>
      <c r="C24" s="336"/>
      <c r="D24" s="336"/>
      <c r="E24" s="336"/>
      <c r="F24" s="336"/>
      <c r="G24" s="336"/>
      <c r="H24" s="325"/>
      <c r="I24" s="335" t="s">
        <v>206</v>
      </c>
      <c r="J24" s="322"/>
      <c r="K24" s="322"/>
      <c r="L24" s="322"/>
      <c r="M24" s="322"/>
      <c r="N24" s="322"/>
      <c r="O24" s="337"/>
      <c r="P24" s="322"/>
      <c r="Q24" s="325"/>
      <c r="R24" s="335" t="s">
        <v>205</v>
      </c>
      <c r="S24" s="322"/>
      <c r="T24" s="322"/>
      <c r="U24" s="322"/>
      <c r="V24" s="322"/>
      <c r="W24" s="322"/>
      <c r="X24" s="325"/>
      <c r="Y24" s="494" t="s">
        <v>155</v>
      </c>
      <c r="Z24" s="495"/>
      <c r="AA24" s="496" t="s">
        <v>156</v>
      </c>
      <c r="AB24" s="497"/>
      <c r="AC24" s="498"/>
      <c r="AD24" s="342">
        <v>4</v>
      </c>
      <c r="AE24" s="330"/>
      <c r="AF24" s="330"/>
      <c r="AG24" s="330"/>
      <c r="AH24" s="343"/>
      <c r="AI24" s="343"/>
      <c r="AJ24" s="331"/>
      <c r="AK24" s="331"/>
      <c r="AL24" s="331"/>
      <c r="AM24" s="331"/>
      <c r="AN24" s="331"/>
      <c r="AO24" s="330"/>
      <c r="AP24" s="330"/>
      <c r="AQ24" s="330"/>
      <c r="AR24" s="330"/>
      <c r="AS24" s="332"/>
      <c r="AT24" s="333"/>
      <c r="AU24" s="344"/>
      <c r="AV24" s="344"/>
      <c r="AW24" s="344"/>
      <c r="AX24" s="344"/>
      <c r="AY24" s="333"/>
      <c r="AZ24" s="333"/>
      <c r="BA24" s="333"/>
      <c r="BB24" s="333"/>
      <c r="BC24" s="333"/>
      <c r="BD24" s="334"/>
      <c r="BE24" s="18" t="s">
        <v>1582</v>
      </c>
    </row>
    <row r="25" spans="1:57">
      <c r="A25" s="70">
        <f>IF(B25="","",COUNTA($B$8:B25))</f>
        <v>18</v>
      </c>
      <c r="B25" s="335" t="s">
        <v>208</v>
      </c>
      <c r="C25" s="336"/>
      <c r="D25" s="336"/>
      <c r="E25" s="336"/>
      <c r="F25" s="336"/>
      <c r="G25" s="336"/>
      <c r="H25" s="325"/>
      <c r="I25" s="335" t="s">
        <v>209</v>
      </c>
      <c r="J25" s="322"/>
      <c r="K25" s="322"/>
      <c r="L25" s="322"/>
      <c r="M25" s="322"/>
      <c r="N25" s="322"/>
      <c r="O25" s="337"/>
      <c r="P25" s="322"/>
      <c r="Q25" s="325"/>
      <c r="R25" s="335" t="s">
        <v>208</v>
      </c>
      <c r="S25" s="322"/>
      <c r="T25" s="322"/>
      <c r="U25" s="322"/>
      <c r="V25" s="322"/>
      <c r="W25" s="322"/>
      <c r="X25" s="325"/>
      <c r="Y25" s="494" t="s">
        <v>155</v>
      </c>
      <c r="Z25" s="495"/>
      <c r="AA25" s="496" t="s">
        <v>156</v>
      </c>
      <c r="AB25" s="497"/>
      <c r="AC25" s="498"/>
      <c r="AD25" s="342">
        <v>5</v>
      </c>
      <c r="AE25" s="330"/>
      <c r="AF25" s="330"/>
      <c r="AG25" s="330"/>
      <c r="AH25" s="331"/>
      <c r="AI25" s="331"/>
      <c r="AJ25" s="331"/>
      <c r="AK25" s="331"/>
      <c r="AL25" s="343"/>
      <c r="AM25" s="343"/>
      <c r="AN25" s="343"/>
      <c r="AO25" s="345"/>
      <c r="AP25" s="345"/>
      <c r="AQ25" s="345"/>
      <c r="AR25" s="345"/>
      <c r="AS25" s="346"/>
      <c r="AT25" s="347"/>
      <c r="AU25" s="344"/>
      <c r="AV25" s="344"/>
      <c r="AW25" s="344"/>
      <c r="AX25" s="344"/>
      <c r="AY25" s="344"/>
      <c r="AZ25" s="344"/>
      <c r="BA25" s="344"/>
      <c r="BB25" s="344"/>
      <c r="BC25" s="344"/>
      <c r="BD25" s="348"/>
      <c r="BE25" s="18" t="s">
        <v>1582</v>
      </c>
    </row>
    <row r="26" spans="1:57" ht="14.4" customHeight="1">
      <c r="A26" s="70">
        <f>IF(B26="","",COUNTA($B$8:B26))</f>
        <v>19</v>
      </c>
      <c r="B26" s="22" t="s">
        <v>454</v>
      </c>
      <c r="C26" s="20"/>
      <c r="D26" s="20"/>
      <c r="E26" s="20"/>
      <c r="F26" s="20"/>
      <c r="G26" s="20"/>
      <c r="H26" s="24"/>
      <c r="I26" s="31" t="s">
        <v>1026</v>
      </c>
      <c r="J26" s="23"/>
      <c r="K26" s="23"/>
      <c r="L26" s="23"/>
      <c r="M26" s="23"/>
      <c r="N26" s="23"/>
      <c r="O26" s="23"/>
      <c r="P26" s="23"/>
      <c r="Q26" s="37"/>
      <c r="R26" s="22" t="s">
        <v>455</v>
      </c>
      <c r="S26" s="23"/>
      <c r="T26" s="23"/>
      <c r="U26" s="23"/>
      <c r="V26" s="23"/>
      <c r="W26" s="23"/>
      <c r="X26" s="24"/>
      <c r="Y26" s="440" t="s">
        <v>421</v>
      </c>
      <c r="Z26" s="441"/>
      <c r="AA26" s="442" t="s">
        <v>422</v>
      </c>
      <c r="AB26" s="443"/>
      <c r="AC26" s="444"/>
      <c r="AD26" s="27">
        <v>5</v>
      </c>
      <c r="AE26" s="29"/>
      <c r="AF26" s="29"/>
      <c r="AG26" s="29"/>
      <c r="AH26" s="28"/>
      <c r="AI26" s="28"/>
      <c r="AJ26" s="28"/>
      <c r="AK26" s="28"/>
      <c r="AL26" s="28"/>
      <c r="AM26" s="28"/>
      <c r="AN26" s="28"/>
      <c r="AO26" s="29"/>
      <c r="AP26" s="29"/>
      <c r="AQ26" s="29"/>
      <c r="AR26" s="29"/>
      <c r="AS26" s="31"/>
      <c r="AT26" s="67"/>
      <c r="AU26" s="67"/>
      <c r="AV26" s="67"/>
      <c r="AW26" s="67"/>
      <c r="AX26" s="67"/>
      <c r="AY26" s="67"/>
      <c r="AZ26" s="67"/>
      <c r="BA26" s="67"/>
      <c r="BB26" s="67"/>
      <c r="BC26" s="67"/>
      <c r="BD26" s="68"/>
    </row>
    <row r="27" spans="1:57" ht="14.4" customHeight="1">
      <c r="A27" s="70">
        <f>IF(B27="","",COUNTA($B$8:B27))</f>
        <v>20</v>
      </c>
      <c r="B27" s="19" t="s">
        <v>249</v>
      </c>
      <c r="C27" s="20"/>
      <c r="D27" s="20"/>
      <c r="E27" s="20"/>
      <c r="F27" s="20"/>
      <c r="G27" s="20"/>
      <c r="H27" s="24"/>
      <c r="I27" s="31" t="s">
        <v>250</v>
      </c>
      <c r="J27" s="23"/>
      <c r="K27" s="23"/>
      <c r="L27" s="23"/>
      <c r="M27" s="23"/>
      <c r="N27" s="23"/>
      <c r="O27" s="23"/>
      <c r="P27" s="23"/>
      <c r="Q27" s="37"/>
      <c r="R27" s="19" t="s">
        <v>249</v>
      </c>
      <c r="S27" s="23"/>
      <c r="T27" s="23"/>
      <c r="U27" s="23"/>
      <c r="V27" s="23"/>
      <c r="W27" s="23"/>
      <c r="X27" s="24"/>
      <c r="Y27" s="440" t="s">
        <v>150</v>
      </c>
      <c r="Z27" s="441"/>
      <c r="AA27" s="442" t="s">
        <v>151</v>
      </c>
      <c r="AB27" s="443"/>
      <c r="AC27" s="444"/>
      <c r="AD27" s="27">
        <v>4</v>
      </c>
      <c r="AE27" s="29"/>
      <c r="AF27" s="29"/>
      <c r="AG27" s="29"/>
      <c r="AH27" s="28"/>
      <c r="AI27" s="28"/>
      <c r="AJ27" s="28"/>
      <c r="AK27" s="28"/>
      <c r="AL27" s="28"/>
      <c r="AM27" s="28"/>
      <c r="AN27" s="28"/>
      <c r="AO27" s="29"/>
      <c r="AP27" s="29"/>
      <c r="AQ27" s="29"/>
      <c r="AR27" s="29"/>
      <c r="AS27" s="31"/>
      <c r="AT27" s="67"/>
      <c r="AU27" s="67"/>
      <c r="AV27" s="67"/>
      <c r="AW27" s="67"/>
      <c r="AX27" s="67"/>
      <c r="AY27" s="67"/>
      <c r="AZ27" s="67"/>
      <c r="BA27" s="67"/>
      <c r="BB27" s="67"/>
      <c r="BC27" s="67"/>
      <c r="BD27" s="68"/>
    </row>
    <row r="28" spans="1:57" ht="14.4" customHeight="1">
      <c r="A28" s="70">
        <f>IF(B28="","",COUNTA($B$8:B28))</f>
        <v>21</v>
      </c>
      <c r="B28" s="19" t="s">
        <v>251</v>
      </c>
      <c r="C28" s="20"/>
      <c r="D28" s="20"/>
      <c r="E28" s="20"/>
      <c r="F28" s="20"/>
      <c r="G28" s="20"/>
      <c r="H28" s="24"/>
      <c r="I28" s="31" t="s">
        <v>252</v>
      </c>
      <c r="J28" s="23"/>
      <c r="K28" s="23"/>
      <c r="L28" s="23"/>
      <c r="M28" s="23"/>
      <c r="N28" s="23"/>
      <c r="O28" s="23"/>
      <c r="P28" s="23"/>
      <c r="Q28" s="37"/>
      <c r="R28" s="19" t="s">
        <v>251</v>
      </c>
      <c r="S28" s="23"/>
      <c r="T28" s="23"/>
      <c r="U28" s="23"/>
      <c r="V28" s="23"/>
      <c r="W28" s="23"/>
      <c r="X28" s="24"/>
      <c r="Y28" s="440" t="s">
        <v>150</v>
      </c>
      <c r="Z28" s="441"/>
      <c r="AA28" s="442" t="s">
        <v>151</v>
      </c>
      <c r="AB28" s="443"/>
      <c r="AC28" s="444"/>
      <c r="AD28" s="27">
        <v>4</v>
      </c>
      <c r="AE28" s="29"/>
      <c r="AF28" s="29"/>
      <c r="AG28" s="29"/>
      <c r="AH28" s="28"/>
      <c r="AI28" s="28"/>
      <c r="AJ28" s="28"/>
      <c r="AK28" s="28"/>
      <c r="AL28" s="28"/>
      <c r="AM28" s="28"/>
      <c r="AN28" s="28"/>
      <c r="AO28" s="29"/>
      <c r="AP28" s="29"/>
      <c r="AQ28" s="29"/>
      <c r="AR28" s="29"/>
      <c r="AS28" s="31"/>
      <c r="AT28" s="67"/>
      <c r="AU28" s="67"/>
      <c r="AV28" s="67"/>
      <c r="AW28" s="67"/>
      <c r="AX28" s="67"/>
      <c r="AY28" s="67"/>
      <c r="AZ28" s="67"/>
      <c r="BA28" s="67"/>
      <c r="BB28" s="67"/>
      <c r="BC28" s="67"/>
      <c r="BD28" s="68"/>
    </row>
    <row r="29" spans="1:57" ht="14.4" customHeight="1">
      <c r="A29" s="70">
        <f>IF(B29="","",COUNTA($B$8:B29))</f>
        <v>22</v>
      </c>
      <c r="B29" s="19" t="s">
        <v>253</v>
      </c>
      <c r="C29" s="20"/>
      <c r="D29" s="20"/>
      <c r="E29" s="20"/>
      <c r="F29" s="20"/>
      <c r="G29" s="20"/>
      <c r="H29" s="24"/>
      <c r="I29" s="31" t="s">
        <v>254</v>
      </c>
      <c r="J29" s="23"/>
      <c r="K29" s="23"/>
      <c r="L29" s="23"/>
      <c r="M29" s="23"/>
      <c r="N29" s="23"/>
      <c r="O29" s="23"/>
      <c r="P29" s="23"/>
      <c r="Q29" s="37"/>
      <c r="R29" s="19" t="s">
        <v>253</v>
      </c>
      <c r="S29" s="23"/>
      <c r="T29" s="23"/>
      <c r="U29" s="23"/>
      <c r="V29" s="23"/>
      <c r="W29" s="23"/>
      <c r="X29" s="24"/>
      <c r="Y29" s="440" t="s">
        <v>150</v>
      </c>
      <c r="Z29" s="441"/>
      <c r="AA29" s="442" t="s">
        <v>151</v>
      </c>
      <c r="AB29" s="443"/>
      <c r="AC29" s="444"/>
      <c r="AD29" s="27">
        <v>10</v>
      </c>
      <c r="AE29" s="29"/>
      <c r="AF29" s="29"/>
      <c r="AG29" s="29"/>
      <c r="AH29" s="28"/>
      <c r="AI29" s="28"/>
      <c r="AJ29" s="28"/>
      <c r="AK29" s="28"/>
      <c r="AL29" s="28"/>
      <c r="AM29" s="28"/>
      <c r="AN29" s="28"/>
      <c r="AO29" s="29"/>
      <c r="AP29" s="29"/>
      <c r="AQ29" s="29"/>
      <c r="AR29" s="29"/>
      <c r="AS29" s="31"/>
      <c r="AT29" s="67"/>
      <c r="AU29" s="67"/>
      <c r="AV29" s="67"/>
      <c r="AW29" s="67"/>
      <c r="AX29" s="67"/>
      <c r="AY29" s="67"/>
      <c r="AZ29" s="67"/>
      <c r="BA29" s="67"/>
      <c r="BB29" s="67"/>
      <c r="BC29" s="67"/>
      <c r="BD29" s="68"/>
    </row>
    <row r="30" spans="1:57" ht="14.4" customHeight="1">
      <c r="A30" s="70">
        <f>IF(B30="","",COUNTA($B$8:B30))</f>
        <v>23</v>
      </c>
      <c r="B30" s="19" t="s">
        <v>255</v>
      </c>
      <c r="C30" s="20"/>
      <c r="D30" s="20"/>
      <c r="E30" s="20"/>
      <c r="F30" s="20"/>
      <c r="G30" s="20"/>
      <c r="H30" s="24"/>
      <c r="I30" s="31" t="s">
        <v>256</v>
      </c>
      <c r="J30" s="23"/>
      <c r="K30" s="23"/>
      <c r="L30" s="23"/>
      <c r="M30" s="23"/>
      <c r="N30" s="23"/>
      <c r="O30" s="23"/>
      <c r="P30" s="23"/>
      <c r="Q30" s="37"/>
      <c r="R30" s="19" t="s">
        <v>255</v>
      </c>
      <c r="S30" s="23"/>
      <c r="T30" s="23"/>
      <c r="U30" s="23"/>
      <c r="V30" s="23"/>
      <c r="W30" s="23"/>
      <c r="X30" s="24"/>
      <c r="Y30" s="440" t="s">
        <v>150</v>
      </c>
      <c r="Z30" s="441"/>
      <c r="AA30" s="442" t="s">
        <v>151</v>
      </c>
      <c r="AB30" s="443"/>
      <c r="AC30" s="444"/>
      <c r="AD30" s="27">
        <v>10</v>
      </c>
      <c r="AE30" s="29"/>
      <c r="AF30" s="29"/>
      <c r="AG30" s="29"/>
      <c r="AH30" s="40"/>
      <c r="AI30" s="40"/>
      <c r="AJ30" s="28"/>
      <c r="AK30" s="28"/>
      <c r="AL30" s="28"/>
      <c r="AM30" s="28"/>
      <c r="AN30" s="28"/>
      <c r="AO30" s="29"/>
      <c r="AP30" s="29"/>
      <c r="AQ30" s="29"/>
      <c r="AR30" s="29"/>
      <c r="AS30" s="31"/>
      <c r="AT30" s="67"/>
      <c r="AU30" s="67"/>
      <c r="AV30" s="67"/>
      <c r="AW30" s="67"/>
      <c r="AX30" s="67"/>
      <c r="AY30" s="67"/>
      <c r="AZ30" s="67"/>
      <c r="BA30" s="67"/>
      <c r="BB30" s="67"/>
      <c r="BC30" s="67"/>
      <c r="BD30" s="68"/>
    </row>
    <row r="31" spans="1:57" ht="14.4" customHeight="1">
      <c r="A31" s="70">
        <f>IF(B31="","",COUNTA($B$8:B31))</f>
        <v>24</v>
      </c>
      <c r="B31" s="19" t="s">
        <v>257</v>
      </c>
      <c r="C31" s="20"/>
      <c r="D31" s="20"/>
      <c r="E31" s="20"/>
      <c r="F31" s="20"/>
      <c r="G31" s="20"/>
      <c r="H31" s="24"/>
      <c r="I31" s="31" t="s">
        <v>258</v>
      </c>
      <c r="J31" s="23"/>
      <c r="K31" s="23"/>
      <c r="L31" s="23"/>
      <c r="M31" s="23"/>
      <c r="N31" s="23"/>
      <c r="O31" s="23"/>
      <c r="P31" s="23"/>
      <c r="Q31" s="37"/>
      <c r="R31" s="19" t="s">
        <v>257</v>
      </c>
      <c r="S31" s="23"/>
      <c r="T31" s="23"/>
      <c r="U31" s="23"/>
      <c r="V31" s="23"/>
      <c r="W31" s="23"/>
      <c r="X31" s="24"/>
      <c r="Y31" s="440" t="s">
        <v>169</v>
      </c>
      <c r="Z31" s="441"/>
      <c r="AA31" s="442" t="s">
        <v>243</v>
      </c>
      <c r="AB31" s="443"/>
      <c r="AC31" s="444"/>
      <c r="AD31" s="51"/>
      <c r="AE31" s="29"/>
      <c r="AF31" s="29"/>
      <c r="AG31" s="29"/>
      <c r="AH31" s="28"/>
      <c r="AI31" s="28"/>
      <c r="AJ31" s="28"/>
      <c r="AK31" s="28"/>
      <c r="AL31" s="40"/>
      <c r="AM31" s="40"/>
      <c r="AN31" s="40"/>
      <c r="AO31" s="41"/>
      <c r="AP31" s="41"/>
      <c r="AQ31" s="41"/>
      <c r="AR31" s="41"/>
      <c r="AS31" s="42"/>
      <c r="AT31" s="43"/>
      <c r="AU31" s="67"/>
      <c r="AV31" s="67"/>
      <c r="AW31" s="67"/>
      <c r="AX31" s="67"/>
      <c r="AY31" s="67"/>
      <c r="AZ31" s="67"/>
      <c r="BA31" s="67"/>
      <c r="BB31" s="67"/>
      <c r="BC31" s="67"/>
      <c r="BD31" s="68"/>
    </row>
    <row r="32" spans="1:57" ht="14.4" customHeight="1">
      <c r="A32" s="70">
        <f>IF(B32="","",COUNTA($B$8:B32))</f>
        <v>25</v>
      </c>
      <c r="B32" s="19" t="s">
        <v>259</v>
      </c>
      <c r="C32" s="20"/>
      <c r="D32" s="20"/>
      <c r="E32" s="20"/>
      <c r="F32" s="20"/>
      <c r="G32" s="20"/>
      <c r="H32" s="24"/>
      <c r="I32" s="31" t="s">
        <v>260</v>
      </c>
      <c r="J32" s="23"/>
      <c r="K32" s="23"/>
      <c r="L32" s="23"/>
      <c r="M32" s="23"/>
      <c r="N32" s="23"/>
      <c r="O32" s="23"/>
      <c r="P32" s="23"/>
      <c r="Q32" s="37"/>
      <c r="R32" s="19" t="s">
        <v>259</v>
      </c>
      <c r="S32" s="23"/>
      <c r="T32" s="23"/>
      <c r="U32" s="23"/>
      <c r="V32" s="23"/>
      <c r="W32" s="23"/>
      <c r="X32" s="24"/>
      <c r="Y32" s="440" t="s">
        <v>150</v>
      </c>
      <c r="Z32" s="441"/>
      <c r="AA32" s="442" t="s">
        <v>151</v>
      </c>
      <c r="AB32" s="443"/>
      <c r="AC32" s="444"/>
      <c r="AD32" s="27">
        <v>10</v>
      </c>
      <c r="AE32" s="29"/>
      <c r="AF32" s="29"/>
      <c r="AG32" s="29"/>
      <c r="AH32" s="40"/>
      <c r="AI32" s="40"/>
      <c r="AJ32" s="40"/>
      <c r="AK32" s="40"/>
      <c r="AL32" s="40"/>
      <c r="AM32" s="40"/>
      <c r="AN32" s="40"/>
      <c r="AO32" s="41"/>
      <c r="AP32" s="41"/>
      <c r="AQ32" s="41"/>
      <c r="AR32" s="41"/>
      <c r="AS32" s="42"/>
      <c r="AT32" s="43"/>
      <c r="AU32" s="48"/>
      <c r="AV32" s="67"/>
      <c r="AW32" s="67"/>
      <c r="AX32" s="67"/>
      <c r="AY32" s="67"/>
      <c r="AZ32" s="67"/>
      <c r="BA32" s="67"/>
      <c r="BB32" s="67"/>
      <c r="BC32" s="67"/>
      <c r="BD32" s="68"/>
    </row>
    <row r="33" spans="1:56" ht="14.4" customHeight="1">
      <c r="A33" s="70">
        <f>IF(B33="","",COUNTA($B$8:B33))</f>
        <v>26</v>
      </c>
      <c r="B33" s="19" t="s">
        <v>261</v>
      </c>
      <c r="C33" s="20"/>
      <c r="D33" s="20"/>
      <c r="E33" s="20"/>
      <c r="F33" s="20"/>
      <c r="G33" s="20"/>
      <c r="H33" s="24"/>
      <c r="I33" s="31" t="s">
        <v>262</v>
      </c>
      <c r="J33" s="23"/>
      <c r="K33" s="23"/>
      <c r="L33" s="23"/>
      <c r="M33" s="23"/>
      <c r="N33" s="23"/>
      <c r="O33" s="23"/>
      <c r="P33" s="23"/>
      <c r="Q33" s="37"/>
      <c r="R33" s="19" t="s">
        <v>261</v>
      </c>
      <c r="S33" s="23"/>
      <c r="T33" s="23"/>
      <c r="U33" s="23"/>
      <c r="V33" s="23"/>
      <c r="W33" s="23"/>
      <c r="X33" s="24"/>
      <c r="Y33" s="440" t="s">
        <v>150</v>
      </c>
      <c r="Z33" s="441"/>
      <c r="AA33" s="442" t="s">
        <v>151</v>
      </c>
      <c r="AB33" s="443"/>
      <c r="AC33" s="444"/>
      <c r="AD33" s="51">
        <v>10</v>
      </c>
      <c r="AE33" s="29"/>
      <c r="AF33" s="29"/>
      <c r="AG33" s="29"/>
      <c r="AH33" s="40"/>
      <c r="AI33" s="40"/>
      <c r="AJ33" s="40"/>
      <c r="AK33" s="40"/>
      <c r="AL33" s="40"/>
      <c r="AM33" s="40"/>
      <c r="AN33" s="40"/>
      <c r="AO33" s="41"/>
      <c r="AP33" s="41"/>
      <c r="AQ33" s="41"/>
      <c r="AR33" s="41"/>
      <c r="AS33" s="42"/>
      <c r="AT33" s="43"/>
      <c r="AU33" s="48"/>
      <c r="AV33" s="67"/>
      <c r="AW33" s="67"/>
      <c r="AX33" s="67"/>
      <c r="AY33" s="67"/>
      <c r="AZ33" s="67"/>
      <c r="BA33" s="67"/>
      <c r="BB33" s="67"/>
      <c r="BC33" s="67"/>
      <c r="BD33" s="68"/>
    </row>
    <row r="34" spans="1:56" ht="14.4" customHeight="1">
      <c r="A34" s="70">
        <f>IF(B34="","",COUNTA($B$8:B34))</f>
        <v>27</v>
      </c>
      <c r="B34" s="19" t="s">
        <v>263</v>
      </c>
      <c r="C34" s="20"/>
      <c r="D34" s="20"/>
      <c r="E34" s="20"/>
      <c r="F34" s="20"/>
      <c r="G34" s="20"/>
      <c r="H34" s="24"/>
      <c r="I34" s="31" t="s">
        <v>264</v>
      </c>
      <c r="J34" s="23"/>
      <c r="K34" s="23"/>
      <c r="L34" s="23"/>
      <c r="M34" s="23"/>
      <c r="N34" s="23"/>
      <c r="O34" s="23"/>
      <c r="P34" s="23"/>
      <c r="Q34" s="37"/>
      <c r="R34" s="22" t="s">
        <v>263</v>
      </c>
      <c r="S34" s="23"/>
      <c r="T34" s="23"/>
      <c r="U34" s="23"/>
      <c r="V34" s="23"/>
      <c r="W34" s="23"/>
      <c r="X34" s="24"/>
      <c r="Y34" s="440" t="s">
        <v>169</v>
      </c>
      <c r="Z34" s="441"/>
      <c r="AA34" s="442" t="s">
        <v>243</v>
      </c>
      <c r="AB34" s="443"/>
      <c r="AC34" s="444"/>
      <c r="AD34" s="51"/>
      <c r="AE34" s="29"/>
      <c r="AF34" s="29"/>
      <c r="AG34" s="29"/>
      <c r="AH34" s="28"/>
      <c r="AI34" s="28"/>
      <c r="AJ34" s="28"/>
      <c r="AK34" s="28"/>
      <c r="AL34" s="28"/>
      <c r="AM34" s="28"/>
      <c r="AN34" s="28"/>
      <c r="AO34" s="29"/>
      <c r="AP34" s="29"/>
      <c r="AQ34" s="29"/>
      <c r="AR34" s="29"/>
      <c r="AS34" s="31"/>
      <c r="AT34" s="67"/>
      <c r="AU34" s="67"/>
      <c r="AV34" s="67"/>
      <c r="AW34" s="67"/>
      <c r="AX34" s="67"/>
      <c r="AY34" s="67"/>
      <c r="AZ34" s="67"/>
      <c r="BA34" s="67"/>
      <c r="BB34" s="67"/>
      <c r="BC34" s="67"/>
      <c r="BD34" s="68"/>
    </row>
    <row r="35" spans="1:56" ht="14.4" customHeight="1">
      <c r="A35" s="70" t="str">
        <f>IF(B35="","",COUNTA($B$8:B35))</f>
        <v/>
      </c>
      <c r="B35" s="19"/>
      <c r="C35" s="20"/>
      <c r="D35" s="20"/>
      <c r="E35" s="20"/>
      <c r="F35" s="20"/>
      <c r="G35" s="20"/>
      <c r="H35" s="24"/>
      <c r="I35" s="31"/>
      <c r="J35" s="23"/>
      <c r="K35" s="23"/>
      <c r="L35" s="23"/>
      <c r="M35" s="23"/>
      <c r="N35" s="23"/>
      <c r="O35" s="23"/>
      <c r="P35" s="23"/>
      <c r="Q35" s="37"/>
      <c r="R35" s="22"/>
      <c r="S35" s="23"/>
      <c r="T35" s="23"/>
      <c r="U35" s="23"/>
      <c r="V35" s="23"/>
      <c r="W35" s="23"/>
      <c r="X35" s="24"/>
      <c r="Y35" s="440"/>
      <c r="Z35" s="441"/>
      <c r="AA35" s="442"/>
      <c r="AB35" s="443"/>
      <c r="AC35" s="444"/>
      <c r="AD35" s="27"/>
      <c r="AE35" s="29"/>
      <c r="AF35" s="29"/>
      <c r="AG35" s="29"/>
      <c r="AH35" s="28"/>
      <c r="AI35" s="28"/>
      <c r="AJ35" s="28"/>
      <c r="AK35" s="28"/>
      <c r="AL35" s="28"/>
      <c r="AM35" s="28"/>
      <c r="AN35" s="28"/>
      <c r="AO35" s="29"/>
      <c r="AP35" s="29"/>
      <c r="AQ35" s="29"/>
      <c r="AR35" s="29"/>
      <c r="AS35" s="31"/>
      <c r="AT35" s="48"/>
      <c r="AU35" s="67"/>
      <c r="AV35" s="67"/>
      <c r="AW35" s="67"/>
      <c r="AX35" s="67"/>
      <c r="AY35" s="67"/>
      <c r="AZ35" s="67"/>
      <c r="BA35" s="67"/>
      <c r="BB35" s="67"/>
      <c r="BC35" s="67"/>
      <c r="BD35" s="68"/>
    </row>
    <row r="36" spans="1:56" ht="14.4" customHeight="1">
      <c r="A36" s="70" t="str">
        <f>IF(B36="","",COUNTA($B$8:B36))</f>
        <v/>
      </c>
      <c r="B36" s="19"/>
      <c r="C36" s="20"/>
      <c r="D36" s="20"/>
      <c r="E36" s="20"/>
      <c r="F36" s="20"/>
      <c r="G36" s="20"/>
      <c r="H36" s="24"/>
      <c r="I36" s="31"/>
      <c r="J36" s="23"/>
      <c r="K36" s="23"/>
      <c r="L36" s="23"/>
      <c r="M36" s="23"/>
      <c r="N36" s="23"/>
      <c r="O36" s="23"/>
      <c r="P36" s="23"/>
      <c r="Q36" s="37"/>
      <c r="R36" s="22"/>
      <c r="S36" s="23"/>
      <c r="T36" s="23"/>
      <c r="U36" s="23"/>
      <c r="V36" s="23"/>
      <c r="W36" s="23"/>
      <c r="X36" s="24"/>
      <c r="Y36" s="440"/>
      <c r="Z36" s="441"/>
      <c r="AA36" s="442"/>
      <c r="AB36" s="443"/>
      <c r="AC36" s="444"/>
      <c r="AD36" s="27"/>
      <c r="AE36" s="29"/>
      <c r="AF36" s="29"/>
      <c r="AG36" s="29"/>
      <c r="AH36" s="28"/>
      <c r="AI36" s="28"/>
      <c r="AJ36" s="28"/>
      <c r="AK36" s="28"/>
      <c r="AL36" s="28"/>
      <c r="AM36" s="28"/>
      <c r="AN36" s="28"/>
      <c r="AO36" s="29"/>
      <c r="AP36" s="29"/>
      <c r="AQ36" s="29"/>
      <c r="AR36" s="29"/>
      <c r="AS36" s="31"/>
      <c r="AT36" s="67"/>
      <c r="AU36" s="67"/>
      <c r="AV36" s="67"/>
      <c r="AW36" s="67"/>
      <c r="AX36" s="67"/>
      <c r="AY36" s="67"/>
      <c r="AZ36" s="67"/>
      <c r="BA36" s="67"/>
      <c r="BB36" s="67"/>
      <c r="BC36" s="67"/>
      <c r="BD36" s="68"/>
    </row>
    <row r="37" spans="1:56" ht="14.4" customHeight="1">
      <c r="A37" s="70" t="str">
        <f>IF(B37="","",COUNTA($B$8:B37))</f>
        <v/>
      </c>
      <c r="B37" s="19"/>
      <c r="C37" s="20"/>
      <c r="D37" s="20"/>
      <c r="E37" s="20"/>
      <c r="F37" s="20"/>
      <c r="G37" s="20"/>
      <c r="H37" s="24"/>
      <c r="I37" s="31"/>
      <c r="J37" s="23"/>
      <c r="K37" s="23"/>
      <c r="L37" s="23"/>
      <c r="M37" s="23"/>
      <c r="N37" s="23"/>
      <c r="O37" s="23"/>
      <c r="P37" s="23"/>
      <c r="Q37" s="37"/>
      <c r="R37" s="22"/>
      <c r="S37" s="23"/>
      <c r="T37" s="23"/>
      <c r="U37" s="23"/>
      <c r="V37" s="23"/>
      <c r="W37" s="23"/>
      <c r="X37" s="24"/>
      <c r="Y37" s="440"/>
      <c r="Z37" s="441"/>
      <c r="AA37" s="442"/>
      <c r="AB37" s="443"/>
      <c r="AC37" s="444"/>
      <c r="AD37" s="51"/>
      <c r="AE37" s="29"/>
      <c r="AF37" s="29"/>
      <c r="AG37" s="29"/>
      <c r="AH37" s="40"/>
      <c r="AI37" s="40"/>
      <c r="AJ37" s="28"/>
      <c r="AK37" s="28"/>
      <c r="AL37" s="28"/>
      <c r="AM37" s="28"/>
      <c r="AN37" s="28"/>
      <c r="AO37" s="29"/>
      <c r="AP37" s="29"/>
      <c r="AQ37" s="29"/>
      <c r="AR37" s="29"/>
      <c r="AS37" s="31"/>
      <c r="AT37" s="67"/>
      <c r="AU37" s="67"/>
      <c r="AV37" s="67"/>
      <c r="AW37" s="67"/>
      <c r="AX37" s="67"/>
      <c r="AY37" s="67"/>
      <c r="AZ37" s="67"/>
      <c r="BA37" s="67"/>
      <c r="BB37" s="67"/>
      <c r="BC37" s="67"/>
      <c r="BD37" s="68"/>
    </row>
    <row r="38" spans="1:56" ht="14.4" customHeight="1">
      <c r="A38" s="50" t="str">
        <f>IF(B38="","",COUNTA($B$15:B38))</f>
        <v/>
      </c>
      <c r="B38" s="19"/>
      <c r="C38" s="20"/>
      <c r="D38" s="20"/>
      <c r="E38" s="20"/>
      <c r="F38" s="20"/>
      <c r="G38" s="20"/>
      <c r="H38" s="24"/>
      <c r="I38" s="31"/>
      <c r="J38" s="23"/>
      <c r="K38" s="23"/>
      <c r="L38" s="23"/>
      <c r="M38" s="23"/>
      <c r="N38" s="23"/>
      <c r="O38" s="23"/>
      <c r="P38" s="23"/>
      <c r="Q38" s="37"/>
      <c r="R38" s="22"/>
      <c r="S38" s="23"/>
      <c r="T38" s="23"/>
      <c r="U38" s="23"/>
      <c r="V38" s="23"/>
      <c r="W38" s="23"/>
      <c r="X38" s="24"/>
      <c r="Y38" s="440"/>
      <c r="Z38" s="441"/>
      <c r="AA38" s="442"/>
      <c r="AB38" s="443"/>
      <c r="AC38" s="444"/>
      <c r="AD38" s="51"/>
      <c r="AE38" s="29"/>
      <c r="AF38" s="29"/>
      <c r="AG38" s="29"/>
      <c r="AH38" s="28"/>
      <c r="AI38" s="28"/>
      <c r="AJ38" s="28"/>
      <c r="AK38" s="28"/>
      <c r="AL38" s="40"/>
      <c r="AM38" s="40"/>
      <c r="AN38" s="40"/>
      <c r="AO38" s="41"/>
      <c r="AP38" s="41"/>
      <c r="AQ38" s="41"/>
      <c r="AR38" s="41"/>
      <c r="AS38" s="42"/>
      <c r="AT38" s="43"/>
      <c r="AU38" s="67"/>
      <c r="AV38" s="67"/>
      <c r="AW38" s="67"/>
      <c r="AX38" s="67"/>
      <c r="AY38" s="67"/>
      <c r="AZ38" s="67"/>
      <c r="BA38" s="67"/>
      <c r="BB38" s="67"/>
      <c r="BC38" s="67"/>
      <c r="BD38" s="68"/>
    </row>
    <row r="39" spans="1:56" ht="14.4" customHeight="1">
      <c r="A39" s="50" t="str">
        <f>IF(B39="","",COUNTA($B$15:B39))</f>
        <v/>
      </c>
      <c r="B39" s="19"/>
      <c r="C39" s="20"/>
      <c r="D39" s="20"/>
      <c r="E39" s="20"/>
      <c r="F39" s="20"/>
      <c r="G39" s="20"/>
      <c r="H39" s="24"/>
      <c r="I39" s="31"/>
      <c r="J39" s="23"/>
      <c r="K39" s="23"/>
      <c r="L39" s="23"/>
      <c r="M39" s="23"/>
      <c r="N39" s="23"/>
      <c r="O39" s="23"/>
      <c r="P39" s="23"/>
      <c r="Q39" s="37"/>
      <c r="R39" s="22"/>
      <c r="S39" s="23"/>
      <c r="T39" s="23"/>
      <c r="U39" s="23"/>
      <c r="V39" s="23"/>
      <c r="W39" s="23"/>
      <c r="X39" s="24"/>
      <c r="Y39" s="440"/>
      <c r="Z39" s="441"/>
      <c r="AA39" s="442"/>
      <c r="AB39" s="443"/>
      <c r="AC39" s="444"/>
      <c r="AD39" s="51"/>
      <c r="AE39" s="29"/>
      <c r="AF39" s="29"/>
      <c r="AG39" s="29"/>
      <c r="AH39" s="40"/>
      <c r="AI39" s="40"/>
      <c r="AJ39" s="40"/>
      <c r="AK39" s="40"/>
      <c r="AL39" s="40"/>
      <c r="AM39" s="40"/>
      <c r="AN39" s="40"/>
      <c r="AO39" s="41"/>
      <c r="AP39" s="41"/>
      <c r="AQ39" s="41"/>
      <c r="AR39" s="41"/>
      <c r="AS39" s="42"/>
      <c r="AT39" s="43"/>
      <c r="AU39" s="48"/>
      <c r="AV39" s="48"/>
      <c r="AW39" s="48"/>
      <c r="AX39" s="48"/>
      <c r="AY39" s="48"/>
      <c r="AZ39" s="48"/>
      <c r="BA39" s="48"/>
      <c r="BB39" s="48"/>
      <c r="BC39" s="48"/>
      <c r="BD39" s="66"/>
    </row>
    <row r="40" spans="1:56" ht="14.4" customHeight="1">
      <c r="A40" s="50" t="str">
        <f>IF(B40="","",COUNTA($B$15:B40))</f>
        <v/>
      </c>
      <c r="B40" s="19"/>
      <c r="C40" s="20"/>
      <c r="D40" s="20"/>
      <c r="E40" s="20"/>
      <c r="F40" s="20"/>
      <c r="G40" s="20"/>
      <c r="H40" s="24"/>
      <c r="I40" s="31"/>
      <c r="J40" s="23"/>
      <c r="K40" s="23"/>
      <c r="L40" s="23"/>
      <c r="M40" s="23"/>
      <c r="N40" s="23"/>
      <c r="O40" s="23"/>
      <c r="P40" s="23"/>
      <c r="Q40" s="37"/>
      <c r="R40" s="22"/>
      <c r="S40" s="23"/>
      <c r="T40" s="23"/>
      <c r="U40" s="23"/>
      <c r="V40" s="23"/>
      <c r="W40" s="23"/>
      <c r="X40" s="24"/>
      <c r="Y40" s="440"/>
      <c r="Z40" s="441"/>
      <c r="AA40" s="442"/>
      <c r="AB40" s="443"/>
      <c r="AC40" s="444"/>
      <c r="AD40" s="27"/>
      <c r="AE40" s="29"/>
      <c r="AF40" s="29"/>
      <c r="AG40" s="29"/>
      <c r="AH40" s="28"/>
      <c r="AI40" s="28"/>
      <c r="AJ40" s="28"/>
      <c r="AK40" s="28"/>
      <c r="AL40" s="28"/>
      <c r="AM40" s="28"/>
      <c r="AN40" s="28"/>
      <c r="AO40" s="29"/>
      <c r="AP40" s="29"/>
      <c r="AQ40" s="29"/>
      <c r="AR40" s="29"/>
      <c r="AS40" s="31"/>
      <c r="AT40" s="67"/>
      <c r="AU40" s="67"/>
      <c r="AV40" s="67"/>
      <c r="AW40" s="67"/>
      <c r="AX40" s="67"/>
      <c r="AY40" s="67"/>
      <c r="AZ40" s="67"/>
      <c r="BA40" s="67"/>
      <c r="BB40" s="67"/>
      <c r="BC40" s="67"/>
      <c r="BD40" s="68"/>
    </row>
    <row r="41" spans="1:56" ht="14.4" customHeight="1">
      <c r="A41" s="50" t="str">
        <f>IF(B41="","",COUNTA($B$15:B41))</f>
        <v/>
      </c>
      <c r="B41" s="19"/>
      <c r="C41" s="20"/>
      <c r="D41" s="20"/>
      <c r="E41" s="20"/>
      <c r="F41" s="20"/>
      <c r="G41" s="20"/>
      <c r="H41" s="24"/>
      <c r="I41" s="31"/>
      <c r="J41" s="23"/>
      <c r="K41" s="23"/>
      <c r="L41" s="23"/>
      <c r="M41" s="23"/>
      <c r="N41" s="23"/>
      <c r="O41" s="23"/>
      <c r="P41" s="23"/>
      <c r="Q41" s="37"/>
      <c r="R41" s="22"/>
      <c r="S41" s="23"/>
      <c r="T41" s="23"/>
      <c r="U41" s="23"/>
      <c r="V41" s="23"/>
      <c r="W41" s="23"/>
      <c r="X41" s="37"/>
      <c r="Y41" s="440"/>
      <c r="Z41" s="441"/>
      <c r="AA41" s="442"/>
      <c r="AB41" s="443"/>
      <c r="AC41" s="444"/>
      <c r="AD41" s="51"/>
      <c r="AE41" s="29"/>
      <c r="AF41" s="29"/>
      <c r="AG41" s="29"/>
      <c r="AH41" s="40"/>
      <c r="AI41" s="40"/>
      <c r="AJ41" s="40"/>
      <c r="AK41" s="40"/>
      <c r="AL41" s="40"/>
      <c r="AM41" s="40"/>
      <c r="AN41" s="40"/>
      <c r="AO41" s="41"/>
      <c r="AP41" s="41"/>
      <c r="AQ41" s="41"/>
      <c r="AR41" s="41"/>
      <c r="AS41" s="42"/>
      <c r="AT41" s="43"/>
      <c r="AU41" s="67"/>
      <c r="AV41" s="67"/>
      <c r="AW41" s="67"/>
      <c r="AX41" s="67"/>
      <c r="AY41" s="67"/>
      <c r="AZ41" s="67"/>
      <c r="BA41" s="67"/>
      <c r="BB41" s="67"/>
      <c r="BC41" s="67"/>
      <c r="BD41" s="68"/>
    </row>
    <row r="42" spans="1:56" ht="14.4" customHeight="1">
      <c r="A42" s="50" t="str">
        <f>IF(B42="","",COUNTA($B$15:B42))</f>
        <v/>
      </c>
      <c r="B42" s="19"/>
      <c r="C42" s="20"/>
      <c r="D42" s="20"/>
      <c r="E42" s="20"/>
      <c r="F42" s="20"/>
      <c r="G42" s="20"/>
      <c r="H42" s="24"/>
      <c r="I42" s="31"/>
      <c r="J42" s="23"/>
      <c r="K42" s="23"/>
      <c r="L42" s="23"/>
      <c r="M42" s="23"/>
      <c r="N42" s="23"/>
      <c r="O42" s="23"/>
      <c r="P42" s="23"/>
      <c r="Q42" s="37"/>
      <c r="R42" s="22"/>
      <c r="S42" s="23"/>
      <c r="T42" s="23"/>
      <c r="U42" s="23"/>
      <c r="V42" s="23"/>
      <c r="W42" s="23"/>
      <c r="X42" s="37"/>
      <c r="Y42" s="440"/>
      <c r="Z42" s="441"/>
      <c r="AA42" s="442"/>
      <c r="AB42" s="443"/>
      <c r="AC42" s="444"/>
      <c r="AD42" s="51"/>
      <c r="AE42" s="29"/>
      <c r="AF42" s="29"/>
      <c r="AG42" s="29"/>
      <c r="AH42" s="40"/>
      <c r="AI42" s="40"/>
      <c r="AJ42" s="40"/>
      <c r="AK42" s="40"/>
      <c r="AL42" s="40"/>
      <c r="AM42" s="40"/>
      <c r="AN42" s="40"/>
      <c r="AO42" s="41"/>
      <c r="AP42" s="41"/>
      <c r="AQ42" s="41"/>
      <c r="AR42" s="41"/>
      <c r="AS42" s="42"/>
      <c r="AT42" s="43"/>
      <c r="AU42" s="67"/>
      <c r="AV42" s="67"/>
      <c r="AW42" s="67"/>
      <c r="AX42" s="67"/>
      <c r="AY42" s="67"/>
      <c r="AZ42" s="67"/>
      <c r="BA42" s="67"/>
      <c r="BB42" s="67"/>
      <c r="BC42" s="67"/>
      <c r="BD42" s="68"/>
    </row>
    <row r="43" spans="1:56" ht="14.4" customHeight="1">
      <c r="A43" s="50" t="str">
        <f>IF(B43="","",COUNTA($B$15:B43))</f>
        <v/>
      </c>
      <c r="B43" s="31"/>
      <c r="C43" s="44"/>
      <c r="D43" s="44"/>
      <c r="E43" s="44"/>
      <c r="F43" s="44"/>
      <c r="G43" s="44"/>
      <c r="H43" s="45"/>
      <c r="I43" s="31"/>
      <c r="J43" s="35"/>
      <c r="K43" s="35"/>
      <c r="L43" s="35"/>
      <c r="M43" s="35"/>
      <c r="N43" s="35"/>
      <c r="O43" s="35"/>
      <c r="P43" s="35"/>
      <c r="Q43" s="36"/>
      <c r="R43" s="34"/>
      <c r="S43" s="35"/>
      <c r="T43" s="35"/>
      <c r="U43" s="35"/>
      <c r="V43" s="35"/>
      <c r="W43" s="35"/>
      <c r="X43" s="36"/>
      <c r="Y43" s="440"/>
      <c r="Z43" s="441"/>
      <c r="AA43" s="442"/>
      <c r="AB43" s="443"/>
      <c r="AC43" s="444"/>
      <c r="AD43" s="51"/>
      <c r="AE43" s="29"/>
      <c r="AF43" s="29"/>
      <c r="AG43" s="29"/>
      <c r="AH43" s="28"/>
      <c r="AI43" s="28"/>
      <c r="AJ43" s="28"/>
      <c r="AK43" s="28"/>
      <c r="AL43" s="28"/>
      <c r="AM43" s="28"/>
      <c r="AN43" s="28"/>
      <c r="AO43" s="29"/>
      <c r="AP43" s="29"/>
      <c r="AQ43" s="29"/>
      <c r="AR43" s="29"/>
      <c r="AS43" s="42"/>
      <c r="AT43" s="49"/>
      <c r="AU43" s="48"/>
      <c r="AV43" s="48"/>
      <c r="AW43" s="48"/>
      <c r="AX43" s="48"/>
      <c r="AY43" s="48"/>
      <c r="AZ43" s="48"/>
      <c r="BA43" s="48"/>
      <c r="BB43" s="48"/>
      <c r="BC43" s="48"/>
      <c r="BD43" s="66"/>
    </row>
    <row r="44" spans="1:56" ht="14.4" customHeight="1">
      <c r="A44" s="50" t="str">
        <f>IF(B44="","",COUNTA($B$15:B44))</f>
        <v/>
      </c>
      <c r="B44" s="31"/>
      <c r="C44" s="44"/>
      <c r="D44" s="44"/>
      <c r="E44" s="44"/>
      <c r="F44" s="44"/>
      <c r="G44" s="44"/>
      <c r="H44" s="45"/>
      <c r="I44" s="31"/>
      <c r="J44" s="35"/>
      <c r="K44" s="35"/>
      <c r="L44" s="35"/>
      <c r="M44" s="35"/>
      <c r="N44" s="35"/>
      <c r="O44" s="35"/>
      <c r="P44" s="35"/>
      <c r="Q44" s="36"/>
      <c r="R44" s="34"/>
      <c r="S44" s="35"/>
      <c r="T44" s="35"/>
      <c r="U44" s="35"/>
      <c r="V44" s="35"/>
      <c r="W44" s="35"/>
      <c r="X44" s="36"/>
      <c r="Y44" s="440"/>
      <c r="Z44" s="441"/>
      <c r="AA44" s="442"/>
      <c r="AB44" s="443"/>
      <c r="AC44" s="444"/>
      <c r="AD44" s="51"/>
      <c r="AE44" s="29"/>
      <c r="AF44" s="29"/>
      <c r="AG44" s="29"/>
      <c r="AH44" s="28"/>
      <c r="AI44" s="28"/>
      <c r="AJ44" s="28"/>
      <c r="AK44" s="28"/>
      <c r="AL44" s="28"/>
      <c r="AM44" s="28"/>
      <c r="AN44" s="28"/>
      <c r="AO44" s="29"/>
      <c r="AP44" s="29"/>
      <c r="AQ44" s="29"/>
      <c r="AR44" s="29"/>
      <c r="AS44" s="42"/>
      <c r="AT44" s="49"/>
      <c r="AU44" s="48"/>
      <c r="AV44" s="48"/>
      <c r="AW44" s="48"/>
      <c r="AX44" s="48"/>
      <c r="AY44" s="48"/>
      <c r="AZ44" s="48"/>
      <c r="BA44" s="48"/>
      <c r="BB44" s="48"/>
      <c r="BC44" s="48"/>
      <c r="BD44" s="66"/>
    </row>
    <row r="45" spans="1:56" ht="14.4" customHeight="1">
      <c r="A45" s="50" t="str">
        <f>IF(B45="","",COUNTA($B$15:B45))</f>
        <v/>
      </c>
      <c r="B45" s="19"/>
      <c r="C45" s="20"/>
      <c r="D45" s="20"/>
      <c r="E45" s="20"/>
      <c r="F45" s="20"/>
      <c r="G45" s="20"/>
      <c r="H45" s="24"/>
      <c r="I45" s="31"/>
      <c r="J45" s="23"/>
      <c r="K45" s="23"/>
      <c r="L45" s="23"/>
      <c r="M45" s="23"/>
      <c r="N45" s="23"/>
      <c r="O45" s="23"/>
      <c r="P45" s="23"/>
      <c r="Q45" s="37"/>
      <c r="R45" s="22"/>
      <c r="S45" s="23"/>
      <c r="T45" s="23"/>
      <c r="U45" s="23"/>
      <c r="V45" s="23"/>
      <c r="W45" s="23"/>
      <c r="X45" s="37"/>
      <c r="Y45" s="440"/>
      <c r="Z45" s="441"/>
      <c r="AA45" s="442"/>
      <c r="AB45" s="443"/>
      <c r="AC45" s="444"/>
      <c r="AD45" s="51"/>
      <c r="AE45" s="29"/>
      <c r="AF45" s="29"/>
      <c r="AG45" s="29"/>
      <c r="AH45" s="40"/>
      <c r="AI45" s="40"/>
      <c r="AJ45" s="40"/>
      <c r="AK45" s="40"/>
      <c r="AL45" s="40"/>
      <c r="AM45" s="40"/>
      <c r="AN45" s="40"/>
      <c r="AO45" s="41"/>
      <c r="AP45" s="41"/>
      <c r="AQ45" s="41"/>
      <c r="AR45" s="41"/>
      <c r="AS45" s="42"/>
      <c r="AT45" s="43"/>
      <c r="AU45" s="67"/>
      <c r="AV45" s="67"/>
      <c r="AW45" s="67"/>
      <c r="AX45" s="67"/>
      <c r="AY45" s="67"/>
      <c r="AZ45" s="67"/>
      <c r="BA45" s="67"/>
      <c r="BB45" s="67"/>
      <c r="BC45" s="67"/>
      <c r="BD45" s="68"/>
    </row>
    <row r="46" spans="1:56" ht="14.4" customHeight="1">
      <c r="A46" s="50" t="str">
        <f>IF(B46="","",COUNTA($B$15:B46))</f>
        <v/>
      </c>
      <c r="B46" s="19"/>
      <c r="C46" s="20"/>
      <c r="D46" s="20"/>
      <c r="E46" s="20"/>
      <c r="F46" s="20"/>
      <c r="G46" s="20"/>
      <c r="H46" s="24"/>
      <c r="I46" s="31"/>
      <c r="J46" s="23"/>
      <c r="K46" s="23"/>
      <c r="L46" s="23"/>
      <c r="M46" s="23"/>
      <c r="N46" s="23"/>
      <c r="O46" s="23"/>
      <c r="P46" s="23"/>
      <c r="Q46" s="37"/>
      <c r="R46" s="22"/>
      <c r="S46" s="23"/>
      <c r="T46" s="23"/>
      <c r="U46" s="23"/>
      <c r="V46" s="23"/>
      <c r="W46" s="23"/>
      <c r="X46" s="37"/>
      <c r="Y46" s="440"/>
      <c r="Z46" s="441"/>
      <c r="AA46" s="442"/>
      <c r="AB46" s="443"/>
      <c r="AC46" s="444"/>
      <c r="AD46" s="51"/>
      <c r="AE46" s="29"/>
      <c r="AF46" s="29"/>
      <c r="AG46" s="29"/>
      <c r="AH46" s="40"/>
      <c r="AI46" s="40"/>
      <c r="AJ46" s="40"/>
      <c r="AK46" s="40"/>
      <c r="AL46" s="40"/>
      <c r="AM46" s="40"/>
      <c r="AN46" s="40"/>
      <c r="AO46" s="41"/>
      <c r="AP46" s="41"/>
      <c r="AQ46" s="41"/>
      <c r="AR46" s="41"/>
      <c r="AS46" s="42"/>
      <c r="AT46" s="43"/>
      <c r="AU46" s="67"/>
      <c r="AV46" s="67"/>
      <c r="AW46" s="67"/>
      <c r="AX46" s="67"/>
      <c r="AY46" s="67"/>
      <c r="AZ46" s="67"/>
      <c r="BA46" s="67"/>
      <c r="BB46" s="67"/>
      <c r="BC46" s="67"/>
      <c r="BD46" s="68"/>
    </row>
  </sheetData>
  <mergeCells count="110">
    <mergeCell ref="Y25:Z25"/>
    <mergeCell ref="AA25:AC25"/>
    <mergeCell ref="Y20:Z20"/>
    <mergeCell ref="AA20:AC20"/>
    <mergeCell ref="Y21:Z21"/>
    <mergeCell ref="AA21:AC21"/>
    <mergeCell ref="Y22:Z22"/>
    <mergeCell ref="AA22:AC22"/>
    <mergeCell ref="Y23:Z23"/>
    <mergeCell ref="AA23:AC23"/>
    <mergeCell ref="Y24:Z24"/>
    <mergeCell ref="AA24:AC24"/>
    <mergeCell ref="Y38:Z38"/>
    <mergeCell ref="AA38:AC38"/>
    <mergeCell ref="Y39:Z39"/>
    <mergeCell ref="AA39:AC39"/>
    <mergeCell ref="Y40:Z40"/>
    <mergeCell ref="AA40:AC40"/>
    <mergeCell ref="Y35:Z35"/>
    <mergeCell ref="AA35:AC35"/>
    <mergeCell ref="Y44:Z44"/>
    <mergeCell ref="AA44:AC44"/>
    <mergeCell ref="Y36:Z36"/>
    <mergeCell ref="AA36:AC36"/>
    <mergeCell ref="Y37:Z37"/>
    <mergeCell ref="AA37:AC37"/>
    <mergeCell ref="Y45:Z45"/>
    <mergeCell ref="AA45:AC45"/>
    <mergeCell ref="Y46:Z46"/>
    <mergeCell ref="AA46:AC46"/>
    <mergeCell ref="Y41:Z41"/>
    <mergeCell ref="AA41:AC41"/>
    <mergeCell ref="Y42:Z42"/>
    <mergeCell ref="AA42:AC42"/>
    <mergeCell ref="Y43:Z43"/>
    <mergeCell ref="AA43:AC43"/>
    <mergeCell ref="Y32:Z32"/>
    <mergeCell ref="AA32:AC32"/>
    <mergeCell ref="Y33:Z33"/>
    <mergeCell ref="AA33:AC33"/>
    <mergeCell ref="Y34:Z34"/>
    <mergeCell ref="AA34:AC34"/>
    <mergeCell ref="Y17:Z17"/>
    <mergeCell ref="AA17:AC17"/>
    <mergeCell ref="Y29:Z29"/>
    <mergeCell ref="AA29:AC29"/>
    <mergeCell ref="Y30:Z30"/>
    <mergeCell ref="AA30:AC30"/>
    <mergeCell ref="Y31:Z31"/>
    <mergeCell ref="AA31:AC31"/>
    <mergeCell ref="Y19:Z19"/>
    <mergeCell ref="AA19:AC19"/>
    <mergeCell ref="Y27:Z27"/>
    <mergeCell ref="AA27:AC27"/>
    <mergeCell ref="Y28:Z28"/>
    <mergeCell ref="AA28:AC28"/>
    <mergeCell ref="Y26:Z26"/>
    <mergeCell ref="AA26:AC26"/>
    <mergeCell ref="Y18:Z18"/>
    <mergeCell ref="AA18:AC18"/>
    <mergeCell ref="Y15:Z15"/>
    <mergeCell ref="AA15:AC15"/>
    <mergeCell ref="Y16:Z16"/>
    <mergeCell ref="AA16:AC16"/>
    <mergeCell ref="Y8:Z8"/>
    <mergeCell ref="AA8:AC8"/>
    <mergeCell ref="Y11:Z11"/>
    <mergeCell ref="AA11:AC11"/>
    <mergeCell ref="A6:A7"/>
    <mergeCell ref="B6:H7"/>
    <mergeCell ref="I6:Q7"/>
    <mergeCell ref="R6:X7"/>
    <mergeCell ref="Y6:Z7"/>
    <mergeCell ref="AA6:AC7"/>
    <mergeCell ref="Y13:Z13"/>
    <mergeCell ref="AA13:AC13"/>
    <mergeCell ref="Y12:Z12"/>
    <mergeCell ref="AA12:AC12"/>
    <mergeCell ref="Y14:Z14"/>
    <mergeCell ref="AA14:AC14"/>
    <mergeCell ref="Y9:Z9"/>
    <mergeCell ref="AA9:AC9"/>
    <mergeCell ref="Y10:Z10"/>
    <mergeCell ref="AA10:AC10"/>
    <mergeCell ref="A1:H4"/>
    <mergeCell ref="AZ1:BD1"/>
    <mergeCell ref="I2:Q4"/>
    <mergeCell ref="R2:X4"/>
    <mergeCell ref="Y2:AO3"/>
    <mergeCell ref="AP2:AT2"/>
    <mergeCell ref="AZ2:BD2"/>
    <mergeCell ref="AP3:AT3"/>
    <mergeCell ref="AU3:AY3"/>
    <mergeCell ref="AZ3:BD3"/>
    <mergeCell ref="Y4:AO4"/>
    <mergeCell ref="AG6:AG7"/>
    <mergeCell ref="AH6:AH7"/>
    <mergeCell ref="AI6:AR6"/>
    <mergeCell ref="AS6:BD7"/>
    <mergeCell ref="AD6:AD7"/>
    <mergeCell ref="AE6:AE7"/>
    <mergeCell ref="AF6:AF7"/>
    <mergeCell ref="I1:Q1"/>
    <mergeCell ref="R1:X1"/>
    <mergeCell ref="Y1:AO1"/>
    <mergeCell ref="AP1:AT1"/>
    <mergeCell ref="AU1:AY1"/>
    <mergeCell ref="AP4:AT4"/>
    <mergeCell ref="AU4:AY4"/>
    <mergeCell ref="AZ4:BD4"/>
  </mergeCells>
  <phoneticPr fontId="5"/>
  <dataValidations count="3">
    <dataValidation imeMode="hiragana" allowBlank="1" showInputMessage="1" showErrorMessage="1" sqref="JI65527:JT65529 TE65527:TP65529 ADA65527:ADL65529 AMW65527:ANH65529 AWS65527:AXD65529 BGO65527:BGZ65529 BQK65527:BQV65529 CAG65527:CAR65529 CKC65527:CKN65529 CTY65527:CUJ65529 DDU65527:DEF65529 DNQ65527:DOB65529 DXM65527:DXX65529 EHI65527:EHT65529 ERE65527:ERP65529 FBA65527:FBL65529 FKW65527:FLH65529 FUS65527:FVD65529 GEO65527:GEZ65529 GOK65527:GOV65529 GYG65527:GYR65529 HIC65527:HIN65529 HRY65527:HSJ65529 IBU65527:ICF65529 ILQ65527:IMB65529 IVM65527:IVX65529 JFI65527:JFT65529 JPE65527:JPP65529 JZA65527:JZL65529 KIW65527:KJH65529 KSS65527:KTD65529 LCO65527:LCZ65529 LMK65527:LMV65529 LWG65527:LWR65529 MGC65527:MGN65529 MPY65527:MQJ65529 MZU65527:NAF65529 NJQ65527:NKB65529 NTM65527:NTX65529 ODI65527:ODT65529 ONE65527:ONP65529 OXA65527:OXL65529 PGW65527:PHH65529 PQS65527:PRD65529 QAO65527:QAZ65529 QKK65527:QKV65529 QUG65527:QUR65529 REC65527:REN65529 RNY65527:ROJ65529 RXU65527:RYF65529 SHQ65527:SIB65529 SRM65527:SRX65529 TBI65527:TBT65529 TLE65527:TLP65529 TVA65527:TVL65529 UEW65527:UFH65529 UOS65527:UPD65529 UYO65527:UYZ65529 VIK65527:VIV65529 VSG65527:VSR65529 WCC65527:WCN65529 WLY65527:WMJ65529 WVU65527:WWF65529 JI131063:JT131065 TE131063:TP131065 ADA131063:ADL131065 AMW131063:ANH131065 AWS131063:AXD131065 BGO131063:BGZ131065 BQK131063:BQV131065 CAG131063:CAR131065 CKC131063:CKN131065 CTY131063:CUJ131065 DDU131063:DEF131065 DNQ131063:DOB131065 DXM131063:DXX131065 EHI131063:EHT131065 ERE131063:ERP131065 FBA131063:FBL131065 FKW131063:FLH131065 FUS131063:FVD131065 GEO131063:GEZ131065 GOK131063:GOV131065 GYG131063:GYR131065 HIC131063:HIN131065 HRY131063:HSJ131065 IBU131063:ICF131065 ILQ131063:IMB131065 IVM131063:IVX131065 JFI131063:JFT131065 JPE131063:JPP131065 JZA131063:JZL131065 KIW131063:KJH131065 KSS131063:KTD131065 LCO131063:LCZ131065 LMK131063:LMV131065 LWG131063:LWR131065 MGC131063:MGN131065 MPY131063:MQJ131065 MZU131063:NAF131065 NJQ131063:NKB131065 NTM131063:NTX131065 ODI131063:ODT131065 ONE131063:ONP131065 OXA131063:OXL131065 PGW131063:PHH131065 PQS131063:PRD131065 QAO131063:QAZ131065 QKK131063:QKV131065 QUG131063:QUR131065 REC131063:REN131065 RNY131063:ROJ131065 RXU131063:RYF131065 SHQ131063:SIB131065 SRM131063:SRX131065 TBI131063:TBT131065 TLE131063:TLP131065 TVA131063:TVL131065 UEW131063:UFH131065 UOS131063:UPD131065 UYO131063:UYZ131065 VIK131063:VIV131065 VSG131063:VSR131065 WCC131063:WCN131065 WLY131063:WMJ131065 WVU131063:WWF131065 JI196599:JT196601 TE196599:TP196601 ADA196599:ADL196601 AMW196599:ANH196601 AWS196599:AXD196601 BGO196599:BGZ196601 BQK196599:BQV196601 CAG196599:CAR196601 CKC196599:CKN196601 CTY196599:CUJ196601 DDU196599:DEF196601 DNQ196599:DOB196601 DXM196599:DXX196601 EHI196599:EHT196601 ERE196599:ERP196601 FBA196599:FBL196601 FKW196599:FLH196601 FUS196599:FVD196601 GEO196599:GEZ196601 GOK196599:GOV196601 GYG196599:GYR196601 HIC196599:HIN196601 HRY196599:HSJ196601 IBU196599:ICF196601 ILQ196599:IMB196601 IVM196599:IVX196601 JFI196599:JFT196601 JPE196599:JPP196601 JZA196599:JZL196601 KIW196599:KJH196601 KSS196599:KTD196601 LCO196599:LCZ196601 LMK196599:LMV196601 LWG196599:LWR196601 MGC196599:MGN196601 MPY196599:MQJ196601 MZU196599:NAF196601 NJQ196599:NKB196601 NTM196599:NTX196601 ODI196599:ODT196601 ONE196599:ONP196601 OXA196599:OXL196601 PGW196599:PHH196601 PQS196599:PRD196601 QAO196599:QAZ196601 QKK196599:QKV196601 QUG196599:QUR196601 REC196599:REN196601 RNY196599:ROJ196601 RXU196599:RYF196601 SHQ196599:SIB196601 SRM196599:SRX196601 TBI196599:TBT196601 TLE196599:TLP196601 TVA196599:TVL196601 UEW196599:UFH196601 UOS196599:UPD196601 UYO196599:UYZ196601 VIK196599:VIV196601 VSG196599:VSR196601 WCC196599:WCN196601 WLY196599:WMJ196601 WVU196599:WWF196601 JI262135:JT262137 TE262135:TP262137 ADA262135:ADL262137 AMW262135:ANH262137 AWS262135:AXD262137 BGO262135:BGZ262137 BQK262135:BQV262137 CAG262135:CAR262137 CKC262135:CKN262137 CTY262135:CUJ262137 DDU262135:DEF262137 DNQ262135:DOB262137 DXM262135:DXX262137 EHI262135:EHT262137 ERE262135:ERP262137 FBA262135:FBL262137 FKW262135:FLH262137 FUS262135:FVD262137 GEO262135:GEZ262137 GOK262135:GOV262137 GYG262135:GYR262137 HIC262135:HIN262137 HRY262135:HSJ262137 IBU262135:ICF262137 ILQ262135:IMB262137 IVM262135:IVX262137 JFI262135:JFT262137 JPE262135:JPP262137 JZA262135:JZL262137 KIW262135:KJH262137 KSS262135:KTD262137 LCO262135:LCZ262137 LMK262135:LMV262137 LWG262135:LWR262137 MGC262135:MGN262137 MPY262135:MQJ262137 MZU262135:NAF262137 NJQ262135:NKB262137 NTM262135:NTX262137 ODI262135:ODT262137 ONE262135:ONP262137 OXA262135:OXL262137 PGW262135:PHH262137 PQS262135:PRD262137 QAO262135:QAZ262137 QKK262135:QKV262137 QUG262135:QUR262137 REC262135:REN262137 RNY262135:ROJ262137 RXU262135:RYF262137 SHQ262135:SIB262137 SRM262135:SRX262137 TBI262135:TBT262137 TLE262135:TLP262137 TVA262135:TVL262137 UEW262135:UFH262137 UOS262135:UPD262137 UYO262135:UYZ262137 VIK262135:VIV262137 VSG262135:VSR262137 WCC262135:WCN262137 WLY262135:WMJ262137 WVU262135:WWF262137 JI327671:JT327673 TE327671:TP327673 ADA327671:ADL327673 AMW327671:ANH327673 AWS327671:AXD327673 BGO327671:BGZ327673 BQK327671:BQV327673 CAG327671:CAR327673 CKC327671:CKN327673 CTY327671:CUJ327673 DDU327671:DEF327673 DNQ327671:DOB327673 DXM327671:DXX327673 EHI327671:EHT327673 ERE327671:ERP327673 FBA327671:FBL327673 FKW327671:FLH327673 FUS327671:FVD327673 GEO327671:GEZ327673 GOK327671:GOV327673 GYG327671:GYR327673 HIC327671:HIN327673 HRY327671:HSJ327673 IBU327671:ICF327673 ILQ327671:IMB327673 IVM327671:IVX327673 JFI327671:JFT327673 JPE327671:JPP327673 JZA327671:JZL327673 KIW327671:KJH327673 KSS327671:KTD327673 LCO327671:LCZ327673 LMK327671:LMV327673 LWG327671:LWR327673 MGC327671:MGN327673 MPY327671:MQJ327673 MZU327671:NAF327673 NJQ327671:NKB327673 NTM327671:NTX327673 ODI327671:ODT327673 ONE327671:ONP327673 OXA327671:OXL327673 PGW327671:PHH327673 PQS327671:PRD327673 QAO327671:QAZ327673 QKK327671:QKV327673 QUG327671:QUR327673 REC327671:REN327673 RNY327671:ROJ327673 RXU327671:RYF327673 SHQ327671:SIB327673 SRM327671:SRX327673 TBI327671:TBT327673 TLE327671:TLP327673 TVA327671:TVL327673 UEW327671:UFH327673 UOS327671:UPD327673 UYO327671:UYZ327673 VIK327671:VIV327673 VSG327671:VSR327673 WCC327671:WCN327673 WLY327671:WMJ327673 WVU327671:WWF327673 JI393207:JT393209 TE393207:TP393209 ADA393207:ADL393209 AMW393207:ANH393209 AWS393207:AXD393209 BGO393207:BGZ393209 BQK393207:BQV393209 CAG393207:CAR393209 CKC393207:CKN393209 CTY393207:CUJ393209 DDU393207:DEF393209 DNQ393207:DOB393209 DXM393207:DXX393209 EHI393207:EHT393209 ERE393207:ERP393209 FBA393207:FBL393209 FKW393207:FLH393209 FUS393207:FVD393209 GEO393207:GEZ393209 GOK393207:GOV393209 GYG393207:GYR393209 HIC393207:HIN393209 HRY393207:HSJ393209 IBU393207:ICF393209 ILQ393207:IMB393209 IVM393207:IVX393209 JFI393207:JFT393209 JPE393207:JPP393209 JZA393207:JZL393209 KIW393207:KJH393209 KSS393207:KTD393209 LCO393207:LCZ393209 LMK393207:LMV393209 LWG393207:LWR393209 MGC393207:MGN393209 MPY393207:MQJ393209 MZU393207:NAF393209 NJQ393207:NKB393209 NTM393207:NTX393209 ODI393207:ODT393209 ONE393207:ONP393209 OXA393207:OXL393209 PGW393207:PHH393209 PQS393207:PRD393209 QAO393207:QAZ393209 QKK393207:QKV393209 QUG393207:QUR393209 REC393207:REN393209 RNY393207:ROJ393209 RXU393207:RYF393209 SHQ393207:SIB393209 SRM393207:SRX393209 TBI393207:TBT393209 TLE393207:TLP393209 TVA393207:TVL393209 UEW393207:UFH393209 UOS393207:UPD393209 UYO393207:UYZ393209 VIK393207:VIV393209 VSG393207:VSR393209 WCC393207:WCN393209 WLY393207:WMJ393209 WVU393207:WWF393209 JI458743:JT458745 TE458743:TP458745 ADA458743:ADL458745 AMW458743:ANH458745 AWS458743:AXD458745 BGO458743:BGZ458745 BQK458743:BQV458745 CAG458743:CAR458745 CKC458743:CKN458745 CTY458743:CUJ458745 DDU458743:DEF458745 DNQ458743:DOB458745 DXM458743:DXX458745 EHI458743:EHT458745 ERE458743:ERP458745 FBA458743:FBL458745 FKW458743:FLH458745 FUS458743:FVD458745 GEO458743:GEZ458745 GOK458743:GOV458745 GYG458743:GYR458745 HIC458743:HIN458745 HRY458743:HSJ458745 IBU458743:ICF458745 ILQ458743:IMB458745 IVM458743:IVX458745 JFI458743:JFT458745 JPE458743:JPP458745 JZA458743:JZL458745 KIW458743:KJH458745 KSS458743:KTD458745 LCO458743:LCZ458745 LMK458743:LMV458745 LWG458743:LWR458745 MGC458743:MGN458745 MPY458743:MQJ458745 MZU458743:NAF458745 NJQ458743:NKB458745 NTM458743:NTX458745 ODI458743:ODT458745 ONE458743:ONP458745 OXA458743:OXL458745 PGW458743:PHH458745 PQS458743:PRD458745 QAO458743:QAZ458745 QKK458743:QKV458745 QUG458743:QUR458745 REC458743:REN458745 RNY458743:ROJ458745 RXU458743:RYF458745 SHQ458743:SIB458745 SRM458743:SRX458745 TBI458743:TBT458745 TLE458743:TLP458745 TVA458743:TVL458745 UEW458743:UFH458745 UOS458743:UPD458745 UYO458743:UYZ458745 VIK458743:VIV458745 VSG458743:VSR458745 WCC458743:WCN458745 WLY458743:WMJ458745 WVU458743:WWF458745 JI524279:JT524281 TE524279:TP524281 ADA524279:ADL524281 AMW524279:ANH524281 AWS524279:AXD524281 BGO524279:BGZ524281 BQK524279:BQV524281 CAG524279:CAR524281 CKC524279:CKN524281 CTY524279:CUJ524281 DDU524279:DEF524281 DNQ524279:DOB524281 DXM524279:DXX524281 EHI524279:EHT524281 ERE524279:ERP524281 FBA524279:FBL524281 FKW524279:FLH524281 FUS524279:FVD524281 GEO524279:GEZ524281 GOK524279:GOV524281 GYG524279:GYR524281 HIC524279:HIN524281 HRY524279:HSJ524281 IBU524279:ICF524281 ILQ524279:IMB524281 IVM524279:IVX524281 JFI524279:JFT524281 JPE524279:JPP524281 JZA524279:JZL524281 KIW524279:KJH524281 KSS524279:KTD524281 LCO524279:LCZ524281 LMK524279:LMV524281 LWG524279:LWR524281 MGC524279:MGN524281 MPY524279:MQJ524281 MZU524279:NAF524281 NJQ524279:NKB524281 NTM524279:NTX524281 ODI524279:ODT524281 ONE524279:ONP524281 OXA524279:OXL524281 PGW524279:PHH524281 PQS524279:PRD524281 QAO524279:QAZ524281 QKK524279:QKV524281 QUG524279:QUR524281 REC524279:REN524281 RNY524279:ROJ524281 RXU524279:RYF524281 SHQ524279:SIB524281 SRM524279:SRX524281 TBI524279:TBT524281 TLE524279:TLP524281 TVA524279:TVL524281 UEW524279:UFH524281 UOS524279:UPD524281 UYO524279:UYZ524281 VIK524279:VIV524281 VSG524279:VSR524281 WCC524279:WCN524281 WLY524279:WMJ524281 WVU524279:WWF524281 JI589815:JT589817 TE589815:TP589817 ADA589815:ADL589817 AMW589815:ANH589817 AWS589815:AXD589817 BGO589815:BGZ589817 BQK589815:BQV589817 CAG589815:CAR589817 CKC589815:CKN589817 CTY589815:CUJ589817 DDU589815:DEF589817 DNQ589815:DOB589817 DXM589815:DXX589817 EHI589815:EHT589817 ERE589815:ERP589817 FBA589815:FBL589817 FKW589815:FLH589817 FUS589815:FVD589817 GEO589815:GEZ589817 GOK589815:GOV589817 GYG589815:GYR589817 HIC589815:HIN589817 HRY589815:HSJ589817 IBU589815:ICF589817 ILQ589815:IMB589817 IVM589815:IVX589817 JFI589815:JFT589817 JPE589815:JPP589817 JZA589815:JZL589817 KIW589815:KJH589817 KSS589815:KTD589817 LCO589815:LCZ589817 LMK589815:LMV589817 LWG589815:LWR589817 MGC589815:MGN589817 MPY589815:MQJ589817 MZU589815:NAF589817 NJQ589815:NKB589817 NTM589815:NTX589817 ODI589815:ODT589817 ONE589815:ONP589817 OXA589815:OXL589817 PGW589815:PHH589817 PQS589815:PRD589817 QAO589815:QAZ589817 QKK589815:QKV589817 QUG589815:QUR589817 REC589815:REN589817 RNY589815:ROJ589817 RXU589815:RYF589817 SHQ589815:SIB589817 SRM589815:SRX589817 TBI589815:TBT589817 TLE589815:TLP589817 TVA589815:TVL589817 UEW589815:UFH589817 UOS589815:UPD589817 UYO589815:UYZ589817 VIK589815:VIV589817 VSG589815:VSR589817 WCC589815:WCN589817 WLY589815:WMJ589817 WVU589815:WWF589817 JI655351:JT655353 TE655351:TP655353 ADA655351:ADL655353 AMW655351:ANH655353 AWS655351:AXD655353 BGO655351:BGZ655353 BQK655351:BQV655353 CAG655351:CAR655353 CKC655351:CKN655353 CTY655351:CUJ655353 DDU655351:DEF655353 DNQ655351:DOB655353 DXM655351:DXX655353 EHI655351:EHT655353 ERE655351:ERP655353 FBA655351:FBL655353 FKW655351:FLH655353 FUS655351:FVD655353 GEO655351:GEZ655353 GOK655351:GOV655353 GYG655351:GYR655353 HIC655351:HIN655353 HRY655351:HSJ655353 IBU655351:ICF655353 ILQ655351:IMB655353 IVM655351:IVX655353 JFI655351:JFT655353 JPE655351:JPP655353 JZA655351:JZL655353 KIW655351:KJH655353 KSS655351:KTD655353 LCO655351:LCZ655353 LMK655351:LMV655353 LWG655351:LWR655353 MGC655351:MGN655353 MPY655351:MQJ655353 MZU655351:NAF655353 NJQ655351:NKB655353 NTM655351:NTX655353 ODI655351:ODT655353 ONE655351:ONP655353 OXA655351:OXL655353 PGW655351:PHH655353 PQS655351:PRD655353 QAO655351:QAZ655353 QKK655351:QKV655353 QUG655351:QUR655353 REC655351:REN655353 RNY655351:ROJ655353 RXU655351:RYF655353 SHQ655351:SIB655353 SRM655351:SRX655353 TBI655351:TBT655353 TLE655351:TLP655353 TVA655351:TVL655353 UEW655351:UFH655353 UOS655351:UPD655353 UYO655351:UYZ655353 VIK655351:VIV655353 VSG655351:VSR655353 WCC655351:WCN655353 WLY655351:WMJ655353 WVU655351:WWF655353 JI720887:JT720889 TE720887:TP720889 ADA720887:ADL720889 AMW720887:ANH720889 AWS720887:AXD720889 BGO720887:BGZ720889 BQK720887:BQV720889 CAG720887:CAR720889 CKC720887:CKN720889 CTY720887:CUJ720889 DDU720887:DEF720889 DNQ720887:DOB720889 DXM720887:DXX720889 EHI720887:EHT720889 ERE720887:ERP720889 FBA720887:FBL720889 FKW720887:FLH720889 FUS720887:FVD720889 GEO720887:GEZ720889 GOK720887:GOV720889 GYG720887:GYR720889 HIC720887:HIN720889 HRY720887:HSJ720889 IBU720887:ICF720889 ILQ720887:IMB720889 IVM720887:IVX720889 JFI720887:JFT720889 JPE720887:JPP720889 JZA720887:JZL720889 KIW720887:KJH720889 KSS720887:KTD720889 LCO720887:LCZ720889 LMK720887:LMV720889 LWG720887:LWR720889 MGC720887:MGN720889 MPY720887:MQJ720889 MZU720887:NAF720889 NJQ720887:NKB720889 NTM720887:NTX720889 ODI720887:ODT720889 ONE720887:ONP720889 OXA720887:OXL720889 PGW720887:PHH720889 PQS720887:PRD720889 QAO720887:QAZ720889 QKK720887:QKV720889 QUG720887:QUR720889 REC720887:REN720889 RNY720887:ROJ720889 RXU720887:RYF720889 SHQ720887:SIB720889 SRM720887:SRX720889 TBI720887:TBT720889 TLE720887:TLP720889 TVA720887:TVL720889 UEW720887:UFH720889 UOS720887:UPD720889 UYO720887:UYZ720889 VIK720887:VIV720889 VSG720887:VSR720889 WCC720887:WCN720889 WLY720887:WMJ720889 WVU720887:WWF720889 JI786423:JT786425 TE786423:TP786425 ADA786423:ADL786425 AMW786423:ANH786425 AWS786423:AXD786425 BGO786423:BGZ786425 BQK786423:BQV786425 CAG786423:CAR786425 CKC786423:CKN786425 CTY786423:CUJ786425 DDU786423:DEF786425 DNQ786423:DOB786425 DXM786423:DXX786425 EHI786423:EHT786425 ERE786423:ERP786425 FBA786423:FBL786425 FKW786423:FLH786425 FUS786423:FVD786425 GEO786423:GEZ786425 GOK786423:GOV786425 GYG786423:GYR786425 HIC786423:HIN786425 HRY786423:HSJ786425 IBU786423:ICF786425 ILQ786423:IMB786425 IVM786423:IVX786425 JFI786423:JFT786425 JPE786423:JPP786425 JZA786423:JZL786425 KIW786423:KJH786425 KSS786423:KTD786425 LCO786423:LCZ786425 LMK786423:LMV786425 LWG786423:LWR786425 MGC786423:MGN786425 MPY786423:MQJ786425 MZU786423:NAF786425 NJQ786423:NKB786425 NTM786423:NTX786425 ODI786423:ODT786425 ONE786423:ONP786425 OXA786423:OXL786425 PGW786423:PHH786425 PQS786423:PRD786425 QAO786423:QAZ786425 QKK786423:QKV786425 QUG786423:QUR786425 REC786423:REN786425 RNY786423:ROJ786425 RXU786423:RYF786425 SHQ786423:SIB786425 SRM786423:SRX786425 TBI786423:TBT786425 TLE786423:TLP786425 TVA786423:TVL786425 UEW786423:UFH786425 UOS786423:UPD786425 UYO786423:UYZ786425 VIK786423:VIV786425 VSG786423:VSR786425 WCC786423:WCN786425 WLY786423:WMJ786425 WVU786423:WWF786425 JI851959:JT851961 TE851959:TP851961 ADA851959:ADL851961 AMW851959:ANH851961 AWS851959:AXD851961 BGO851959:BGZ851961 BQK851959:BQV851961 CAG851959:CAR851961 CKC851959:CKN851961 CTY851959:CUJ851961 DDU851959:DEF851961 DNQ851959:DOB851961 DXM851959:DXX851961 EHI851959:EHT851961 ERE851959:ERP851961 FBA851959:FBL851961 FKW851959:FLH851961 FUS851959:FVD851961 GEO851959:GEZ851961 GOK851959:GOV851961 GYG851959:GYR851961 HIC851959:HIN851961 HRY851959:HSJ851961 IBU851959:ICF851961 ILQ851959:IMB851961 IVM851959:IVX851961 JFI851959:JFT851961 JPE851959:JPP851961 JZA851959:JZL851961 KIW851959:KJH851961 KSS851959:KTD851961 LCO851959:LCZ851961 LMK851959:LMV851961 LWG851959:LWR851961 MGC851959:MGN851961 MPY851959:MQJ851961 MZU851959:NAF851961 NJQ851959:NKB851961 NTM851959:NTX851961 ODI851959:ODT851961 ONE851959:ONP851961 OXA851959:OXL851961 PGW851959:PHH851961 PQS851959:PRD851961 QAO851959:QAZ851961 QKK851959:QKV851961 QUG851959:QUR851961 REC851959:REN851961 RNY851959:ROJ851961 RXU851959:RYF851961 SHQ851959:SIB851961 SRM851959:SRX851961 TBI851959:TBT851961 TLE851959:TLP851961 TVA851959:TVL851961 UEW851959:UFH851961 UOS851959:UPD851961 UYO851959:UYZ851961 VIK851959:VIV851961 VSG851959:VSR851961 WCC851959:WCN851961 WLY851959:WMJ851961 WVU851959:WWF851961 JI917495:JT917497 TE917495:TP917497 ADA917495:ADL917497 AMW917495:ANH917497 AWS917495:AXD917497 BGO917495:BGZ917497 BQK917495:BQV917497 CAG917495:CAR917497 CKC917495:CKN917497 CTY917495:CUJ917497 DDU917495:DEF917497 DNQ917495:DOB917497 DXM917495:DXX917497 EHI917495:EHT917497 ERE917495:ERP917497 FBA917495:FBL917497 FKW917495:FLH917497 FUS917495:FVD917497 GEO917495:GEZ917497 GOK917495:GOV917497 GYG917495:GYR917497 HIC917495:HIN917497 HRY917495:HSJ917497 IBU917495:ICF917497 ILQ917495:IMB917497 IVM917495:IVX917497 JFI917495:JFT917497 JPE917495:JPP917497 JZA917495:JZL917497 KIW917495:KJH917497 KSS917495:KTD917497 LCO917495:LCZ917497 LMK917495:LMV917497 LWG917495:LWR917497 MGC917495:MGN917497 MPY917495:MQJ917497 MZU917495:NAF917497 NJQ917495:NKB917497 NTM917495:NTX917497 ODI917495:ODT917497 ONE917495:ONP917497 OXA917495:OXL917497 PGW917495:PHH917497 PQS917495:PRD917497 QAO917495:QAZ917497 QKK917495:QKV917497 QUG917495:QUR917497 REC917495:REN917497 RNY917495:ROJ917497 RXU917495:RYF917497 SHQ917495:SIB917497 SRM917495:SRX917497 TBI917495:TBT917497 TLE917495:TLP917497 TVA917495:TVL917497 UEW917495:UFH917497 UOS917495:UPD917497 UYO917495:UYZ917497 VIK917495:VIV917497 VSG917495:VSR917497 WCC917495:WCN917497 WLY917495:WMJ917497 WVU917495:WWF917497 JI983031:JT983033 TE983031:TP983033 ADA983031:ADL983033 AMW983031:ANH983033 AWS983031:AXD983033 BGO983031:BGZ983033 BQK983031:BQV983033 CAG983031:CAR983033 CKC983031:CKN983033 CTY983031:CUJ983033 DDU983031:DEF983033 DNQ983031:DOB983033 DXM983031:DXX983033 EHI983031:EHT983033 ERE983031:ERP983033 FBA983031:FBL983033 FKW983031:FLH983033 FUS983031:FVD983033 GEO983031:GEZ983033 GOK983031:GOV983033 GYG983031:GYR983033 HIC983031:HIN983033 HRY983031:HSJ983033 IBU983031:ICF983033 ILQ983031:IMB983033 IVM983031:IVX983033 JFI983031:JFT983033 JPE983031:JPP983033 JZA983031:JZL983033 KIW983031:KJH983033 KSS983031:KTD983033 LCO983031:LCZ983033 LMK983031:LMV983033 LWG983031:LWR983033 MGC983031:MGN983033 MPY983031:MQJ983033 MZU983031:NAF983033 NJQ983031:NKB983033 NTM983031:NTX983033 ODI983031:ODT983033 ONE983031:ONP983033 OXA983031:OXL983033 PGW983031:PHH983033 PQS983031:PRD983033 QAO983031:QAZ983033 QKK983031:QKV983033 QUG983031:QUR983033 REC983031:REN983033 RNY983031:ROJ983033 RXU983031:RYF983033 SHQ983031:SIB983033 SRM983031:SRX983033 TBI983031:TBT983033 TLE983031:TLP983033 TVA983031:TVL983033 UEW983031:UFH983033 UOS983031:UPD983033 UYO983031:UYZ983033 VIK983031:VIV983033 VSG983031:VSR983033 WCC983031:WCN983033 WLY983031:WMJ983033 WVU983031:WWF983033 Z262135:AJ262137 Z196599:AJ196601 Z131063:AJ131065 Z65527:AJ65529 Z983031:AJ983033 Z917495:AJ917497 Z851959:AJ851961 Z786423:AJ786425 Z720887:AJ720889 Z655351:AJ655353 Z589815:AJ589817 Z524279:AJ524281 Z458743:AJ458745 Z393207:AJ393209 Z327671:AJ327673 JJ2:JU4 TF2:TQ4 ADB2:ADM4 AMX2:ANI4 AWT2:AXE4 BGP2:BHA4 BQL2:BQW4 CAH2:CAS4 CKD2:CKO4 CTZ2:CUK4 DDV2:DEG4 DNR2:DOC4 DXN2:DXY4 EHJ2:EHU4 ERF2:ERQ4 FBB2:FBM4 FKX2:FLI4 FUT2:FVE4 GEP2:GFA4 GOL2:GOW4 GYH2:GYS4 HID2:HIO4 HRZ2:HSK4 IBV2:ICG4 ILR2:IMC4 IVN2:IVY4 JFJ2:JFU4 JPF2:JPQ4 JZB2:JZM4 KIX2:KJI4 KST2:KTE4 LCP2:LDA4 LML2:LMW4 LWH2:LWS4 MGD2:MGO4 MPZ2:MQK4 MZV2:NAG4 NJR2:NKC4 NTN2:NTY4 ODJ2:ODU4 ONF2:ONQ4 OXB2:OXM4 PGX2:PHI4 PQT2:PRE4 QAP2:QBA4 QKL2:QKW4 QUH2:QUS4 RED2:REO4 RNZ2:ROK4 RXV2:RYG4 SHR2:SIC4 SRN2:SRY4 TBJ2:TBU4 TLF2:TLQ4 TVB2:TVM4 UEX2:UFI4 UOT2:UPE4 UYP2:UZA4 VIL2:VIW4 VSH2:VSS4 WCD2:WCO4 WLZ2:WMK4 WVV2:WWG4 R2"/>
    <dataValidation type="list" allowBlank="1" showInputMessage="1" showErrorMessage="1" sqref="AA8:AC46">
      <formula1>"int,numeric,varchar,date,datetime2(0),datetime2,varbinary(max)"</formula1>
    </dataValidation>
    <dataValidation type="list" allowBlank="1" showInputMessage="1" showErrorMessage="1" sqref="Y8:Z46">
      <formula1>"文字,数値,日付,時間"</formula1>
    </dataValidation>
  </dataValidations>
  <pageMargins left="0.39370078740157483" right="0.39370078740157483" top="0.59055118110236227" bottom="0.39370078740157483" header="0.39370078740157483" footer="0.19685039370078741"/>
  <pageSetup paperSize="9" scale="80" fitToHeight="0" orientation="landscape" useFirstPageNumber="1" verticalDpi="300" r:id="rId1"/>
  <headerFooter alignWithMargins="0">
    <oddFooter>&amp;R&amp;A - &amp;P</oddFooter>
  </headerFooter>
  <legacyDrawing r:id="rId2"/>
</worksheet>
</file>

<file path=xl/worksheets/sheet2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59"/>
  <dimension ref="A1:BD46"/>
  <sheetViews>
    <sheetView showGridLines="0" zoomScaleNormal="100" zoomScaleSheetLayoutView="100" workbookViewId="0">
      <pane ySplit="7" topLeftCell="A8" activePane="bottomLeft" state="frozen"/>
      <selection pane="bottomLeft" activeCell="H9" sqref="H9"/>
    </sheetView>
  </sheetViews>
  <sheetFormatPr defaultColWidth="2.6328125" defaultRowHeight="14.4" customHeight="1"/>
  <cols>
    <col min="1" max="1" width="4.6328125" style="18" customWidth="1"/>
    <col min="2" max="26" width="2.6328125" style="18"/>
    <col min="27" max="27" width="2.6328125" style="18" customWidth="1"/>
    <col min="28" max="29" width="2.6328125" style="18"/>
    <col min="30" max="30" width="4.6328125" style="18" customWidth="1"/>
    <col min="31" max="31" width="2.6328125" style="18" customWidth="1"/>
    <col min="32" max="33" width="2.6328125" style="18"/>
    <col min="34" max="34" width="6.6328125" style="18" customWidth="1"/>
    <col min="35" max="41" width="2.6328125" style="18"/>
    <col min="42" max="56" width="2.6328125" style="46"/>
    <col min="57" max="16384" width="2.6328125" style="18"/>
  </cols>
  <sheetData>
    <row r="1" spans="1:56" s="17" customFormat="1" ht="14.4" customHeight="1">
      <c r="A1" s="417" t="s">
        <v>78</v>
      </c>
      <c r="B1" s="418"/>
      <c r="C1" s="418"/>
      <c r="D1" s="418"/>
      <c r="E1" s="418"/>
      <c r="F1" s="418"/>
      <c r="G1" s="418"/>
      <c r="H1" s="419"/>
      <c r="I1" s="354" t="s">
        <v>79</v>
      </c>
      <c r="J1" s="355"/>
      <c r="K1" s="355"/>
      <c r="L1" s="355"/>
      <c r="M1" s="355"/>
      <c r="N1" s="355"/>
      <c r="O1" s="355"/>
      <c r="P1" s="355"/>
      <c r="Q1" s="356"/>
      <c r="R1" s="354" t="s">
        <v>80</v>
      </c>
      <c r="S1" s="355"/>
      <c r="T1" s="355"/>
      <c r="U1" s="355"/>
      <c r="V1" s="355"/>
      <c r="W1" s="355"/>
      <c r="X1" s="356"/>
      <c r="Y1" s="354" t="s">
        <v>135</v>
      </c>
      <c r="Z1" s="355"/>
      <c r="AA1" s="355"/>
      <c r="AB1" s="355"/>
      <c r="AC1" s="355"/>
      <c r="AD1" s="355"/>
      <c r="AE1" s="355"/>
      <c r="AF1" s="355"/>
      <c r="AG1" s="355"/>
      <c r="AH1" s="355"/>
      <c r="AI1" s="355"/>
      <c r="AJ1" s="355"/>
      <c r="AK1" s="355"/>
      <c r="AL1" s="355"/>
      <c r="AM1" s="355"/>
      <c r="AN1" s="355"/>
      <c r="AO1" s="356"/>
      <c r="AP1" s="428" t="s">
        <v>82</v>
      </c>
      <c r="AQ1" s="429"/>
      <c r="AR1" s="429"/>
      <c r="AS1" s="429"/>
      <c r="AT1" s="430"/>
      <c r="AU1" s="428" t="s">
        <v>83</v>
      </c>
      <c r="AV1" s="429"/>
      <c r="AW1" s="429"/>
      <c r="AX1" s="429"/>
      <c r="AY1" s="430"/>
      <c r="AZ1" s="428" t="s">
        <v>84</v>
      </c>
      <c r="BA1" s="429"/>
      <c r="BB1" s="429"/>
      <c r="BC1" s="429"/>
      <c r="BD1" s="430"/>
    </row>
    <row r="2" spans="1:56" s="17" customFormat="1" ht="14.4" customHeight="1">
      <c r="A2" s="420"/>
      <c r="B2" s="421"/>
      <c r="C2" s="421"/>
      <c r="D2" s="421"/>
      <c r="E2" s="421"/>
      <c r="F2" s="421"/>
      <c r="G2" s="421"/>
      <c r="H2" s="422"/>
      <c r="I2" s="384" t="s">
        <v>85</v>
      </c>
      <c r="J2" s="385"/>
      <c r="K2" s="385"/>
      <c r="L2" s="385"/>
      <c r="M2" s="385"/>
      <c r="N2" s="385"/>
      <c r="O2" s="385"/>
      <c r="P2" s="385"/>
      <c r="Q2" s="386"/>
      <c r="R2" s="384" t="str">
        <f ca="1">VLOOKUP(RIGHT(CELL("filename",A2),LEN(CELL("filename",A2))-FIND("]",CELL("filename",A2))),テーブル一覧!B:AD,22,FALSE)</f>
        <v>B.生産計画</v>
      </c>
      <c r="S2" s="385"/>
      <c r="T2" s="385"/>
      <c r="U2" s="385"/>
      <c r="V2" s="385"/>
      <c r="W2" s="385"/>
      <c r="X2" s="386"/>
      <c r="Y2" s="384" t="str">
        <f ca="1">VLOOKUP(RIGHT(CELL("filename",A2),LEN(CELL("filename",A2))-FIND("]",CELL("filename",A2))),テーブル一覧!B:AD,1,FALSE)</f>
        <v>加工依頼明細情報（ロット指定）</v>
      </c>
      <c r="Z2" s="385"/>
      <c r="AA2" s="385"/>
      <c r="AB2" s="385"/>
      <c r="AC2" s="385"/>
      <c r="AD2" s="385"/>
      <c r="AE2" s="385"/>
      <c r="AF2" s="385"/>
      <c r="AG2" s="385"/>
      <c r="AH2" s="385"/>
      <c r="AI2" s="385"/>
      <c r="AJ2" s="385"/>
      <c r="AK2" s="385"/>
      <c r="AL2" s="385"/>
      <c r="AM2" s="385"/>
      <c r="AN2" s="385"/>
      <c r="AO2" s="386"/>
      <c r="AP2" s="357"/>
      <c r="AQ2" s="358"/>
      <c r="AR2" s="358"/>
      <c r="AS2" s="358"/>
      <c r="AT2" s="359"/>
      <c r="AU2" s="58" t="s">
        <v>88</v>
      </c>
      <c r="AV2" s="59"/>
      <c r="AW2" s="59"/>
      <c r="AX2" s="59"/>
      <c r="AY2" s="60"/>
      <c r="AZ2" s="434" t="s">
        <v>89</v>
      </c>
      <c r="BA2" s="435"/>
      <c r="BB2" s="435"/>
      <c r="BC2" s="435"/>
      <c r="BD2" s="436"/>
    </row>
    <row r="3" spans="1:56" s="17" customFormat="1" ht="14.4" customHeight="1">
      <c r="A3" s="420"/>
      <c r="B3" s="421"/>
      <c r="C3" s="421"/>
      <c r="D3" s="421"/>
      <c r="E3" s="421"/>
      <c r="F3" s="421"/>
      <c r="G3" s="421"/>
      <c r="H3" s="422"/>
      <c r="I3" s="387"/>
      <c r="J3" s="388"/>
      <c r="K3" s="388"/>
      <c r="L3" s="388"/>
      <c r="M3" s="388"/>
      <c r="N3" s="388"/>
      <c r="O3" s="388"/>
      <c r="P3" s="388"/>
      <c r="Q3" s="389"/>
      <c r="R3" s="387"/>
      <c r="S3" s="388"/>
      <c r="T3" s="388"/>
      <c r="U3" s="388"/>
      <c r="V3" s="388"/>
      <c r="W3" s="388"/>
      <c r="X3" s="389"/>
      <c r="Y3" s="390"/>
      <c r="Z3" s="391"/>
      <c r="AA3" s="391"/>
      <c r="AB3" s="391"/>
      <c r="AC3" s="391"/>
      <c r="AD3" s="391"/>
      <c r="AE3" s="391"/>
      <c r="AF3" s="391"/>
      <c r="AG3" s="391"/>
      <c r="AH3" s="391"/>
      <c r="AI3" s="391"/>
      <c r="AJ3" s="391"/>
      <c r="AK3" s="391"/>
      <c r="AL3" s="391"/>
      <c r="AM3" s="391"/>
      <c r="AN3" s="391"/>
      <c r="AO3" s="392"/>
      <c r="AP3" s="360"/>
      <c r="AQ3" s="361"/>
      <c r="AR3" s="361"/>
      <c r="AS3" s="361"/>
      <c r="AT3" s="362"/>
      <c r="AU3" s="431"/>
      <c r="AV3" s="432"/>
      <c r="AW3" s="432"/>
      <c r="AX3" s="432"/>
      <c r="AY3" s="433"/>
      <c r="AZ3" s="434"/>
      <c r="BA3" s="435"/>
      <c r="BB3" s="435"/>
      <c r="BC3" s="435"/>
      <c r="BD3" s="436"/>
    </row>
    <row r="4" spans="1:56" s="17" customFormat="1" ht="14.4" customHeight="1">
      <c r="A4" s="423"/>
      <c r="B4" s="424"/>
      <c r="C4" s="424"/>
      <c r="D4" s="424"/>
      <c r="E4" s="424"/>
      <c r="F4" s="424"/>
      <c r="G4" s="424"/>
      <c r="H4" s="425"/>
      <c r="I4" s="390"/>
      <c r="J4" s="391"/>
      <c r="K4" s="391"/>
      <c r="L4" s="391"/>
      <c r="M4" s="391"/>
      <c r="N4" s="391"/>
      <c r="O4" s="391"/>
      <c r="P4" s="391"/>
      <c r="Q4" s="392"/>
      <c r="R4" s="390"/>
      <c r="S4" s="391"/>
      <c r="T4" s="391"/>
      <c r="U4" s="391"/>
      <c r="V4" s="391"/>
      <c r="W4" s="391"/>
      <c r="X4" s="392"/>
      <c r="Y4" s="437" t="str">
        <f ca="1">IF(VLOOKUP(RIGHT(CELL("filename",A2),LEN(CELL("filename",A2))-FIND("]",CELL("filename",A2))),テーブル一覧!B:AD,11,FALSE)=0,"",VLOOKUP(RIGHT(CELL("filename",A2),LEN(CELL("filename",A2))-FIND("]",CELL("filename",A2))),テーブル一覧!B:AD,11,FALSE))</f>
        <v>t_kako_irai_lot</v>
      </c>
      <c r="Z4" s="438"/>
      <c r="AA4" s="438"/>
      <c r="AB4" s="438"/>
      <c r="AC4" s="438"/>
      <c r="AD4" s="438"/>
      <c r="AE4" s="438"/>
      <c r="AF4" s="438"/>
      <c r="AG4" s="438"/>
      <c r="AH4" s="438"/>
      <c r="AI4" s="438"/>
      <c r="AJ4" s="438"/>
      <c r="AK4" s="438"/>
      <c r="AL4" s="438"/>
      <c r="AM4" s="438"/>
      <c r="AN4" s="438"/>
      <c r="AO4" s="439"/>
      <c r="AP4" s="360"/>
      <c r="AQ4" s="361"/>
      <c r="AR4" s="361"/>
      <c r="AS4" s="361"/>
      <c r="AT4" s="362"/>
      <c r="AU4" s="431"/>
      <c r="AV4" s="432"/>
      <c r="AW4" s="432"/>
      <c r="AX4" s="432"/>
      <c r="AY4" s="433"/>
      <c r="AZ4" s="434"/>
      <c r="BA4" s="435"/>
      <c r="BB4" s="435"/>
      <c r="BC4" s="435"/>
      <c r="BD4" s="436"/>
    </row>
    <row r="6" spans="1:56" ht="14.4" customHeight="1">
      <c r="A6" s="426" t="s">
        <v>90</v>
      </c>
      <c r="B6" s="407" t="s">
        <v>136</v>
      </c>
      <c r="C6" s="415"/>
      <c r="D6" s="415"/>
      <c r="E6" s="415"/>
      <c r="F6" s="415"/>
      <c r="G6" s="415"/>
      <c r="H6" s="408"/>
      <c r="I6" s="407" t="s">
        <v>137</v>
      </c>
      <c r="J6" s="415"/>
      <c r="K6" s="415"/>
      <c r="L6" s="415"/>
      <c r="M6" s="415"/>
      <c r="N6" s="415"/>
      <c r="O6" s="415"/>
      <c r="P6" s="415"/>
      <c r="Q6" s="408"/>
      <c r="R6" s="407" t="s">
        <v>138</v>
      </c>
      <c r="S6" s="415"/>
      <c r="T6" s="415"/>
      <c r="U6" s="415"/>
      <c r="V6" s="415"/>
      <c r="W6" s="415"/>
      <c r="X6" s="408"/>
      <c r="Y6" s="407" t="s">
        <v>139</v>
      </c>
      <c r="Z6" s="408"/>
      <c r="AA6" s="407" t="s">
        <v>140</v>
      </c>
      <c r="AB6" s="415"/>
      <c r="AC6" s="408"/>
      <c r="AD6" s="411" t="s">
        <v>141</v>
      </c>
      <c r="AE6" s="413" t="s">
        <v>142</v>
      </c>
      <c r="AF6" s="411" t="s">
        <v>143</v>
      </c>
      <c r="AG6" s="411" t="s">
        <v>144</v>
      </c>
      <c r="AH6" s="411" t="s">
        <v>145</v>
      </c>
      <c r="AI6" s="404" t="s">
        <v>146</v>
      </c>
      <c r="AJ6" s="405"/>
      <c r="AK6" s="405"/>
      <c r="AL6" s="405"/>
      <c r="AM6" s="405"/>
      <c r="AN6" s="405"/>
      <c r="AO6" s="405"/>
      <c r="AP6" s="405"/>
      <c r="AQ6" s="405"/>
      <c r="AR6" s="406"/>
      <c r="AS6" s="407" t="s">
        <v>147</v>
      </c>
      <c r="AT6" s="415"/>
      <c r="AU6" s="415"/>
      <c r="AV6" s="415"/>
      <c r="AW6" s="415"/>
      <c r="AX6" s="415"/>
      <c r="AY6" s="415"/>
      <c r="AZ6" s="415"/>
      <c r="BA6" s="415"/>
      <c r="BB6" s="415"/>
      <c r="BC6" s="415"/>
      <c r="BD6" s="408"/>
    </row>
    <row r="7" spans="1:56" ht="14.4" customHeight="1">
      <c r="A7" s="427"/>
      <c r="B7" s="409"/>
      <c r="C7" s="416"/>
      <c r="D7" s="416"/>
      <c r="E7" s="416"/>
      <c r="F7" s="416"/>
      <c r="G7" s="416"/>
      <c r="H7" s="410"/>
      <c r="I7" s="409"/>
      <c r="J7" s="416"/>
      <c r="K7" s="416"/>
      <c r="L7" s="416"/>
      <c r="M7" s="416"/>
      <c r="N7" s="416"/>
      <c r="O7" s="416"/>
      <c r="P7" s="416"/>
      <c r="Q7" s="410"/>
      <c r="R7" s="409"/>
      <c r="S7" s="416"/>
      <c r="T7" s="416"/>
      <c r="U7" s="416"/>
      <c r="V7" s="416"/>
      <c r="W7" s="416"/>
      <c r="X7" s="410"/>
      <c r="Y7" s="409"/>
      <c r="Z7" s="410"/>
      <c r="AA7" s="409"/>
      <c r="AB7" s="416"/>
      <c r="AC7" s="410"/>
      <c r="AD7" s="412"/>
      <c r="AE7" s="414"/>
      <c r="AF7" s="412"/>
      <c r="AG7" s="412"/>
      <c r="AH7" s="412"/>
      <c r="AI7" s="52">
        <v>1</v>
      </c>
      <c r="AJ7" s="52">
        <v>2</v>
      </c>
      <c r="AK7" s="52">
        <v>3</v>
      </c>
      <c r="AL7" s="52">
        <v>4</v>
      </c>
      <c r="AM7" s="52">
        <v>5</v>
      </c>
      <c r="AN7" s="52">
        <v>6</v>
      </c>
      <c r="AO7" s="52">
        <v>7</v>
      </c>
      <c r="AP7" s="52">
        <v>8</v>
      </c>
      <c r="AQ7" s="52">
        <v>9</v>
      </c>
      <c r="AR7" s="52">
        <v>10</v>
      </c>
      <c r="AS7" s="409"/>
      <c r="AT7" s="416"/>
      <c r="AU7" s="416"/>
      <c r="AV7" s="416"/>
      <c r="AW7" s="416"/>
      <c r="AX7" s="416"/>
      <c r="AY7" s="416"/>
      <c r="AZ7" s="416"/>
      <c r="BA7" s="416"/>
      <c r="BB7" s="416"/>
      <c r="BC7" s="416"/>
      <c r="BD7" s="410"/>
    </row>
    <row r="8" spans="1:56" ht="14.4" customHeight="1">
      <c r="A8" s="70">
        <f>IF(B8="","",COUNTA($B$8:B8))</f>
        <v>1</v>
      </c>
      <c r="B8" s="19" t="s">
        <v>148</v>
      </c>
      <c r="C8" s="20"/>
      <c r="D8" s="20"/>
      <c r="E8" s="20"/>
      <c r="F8" s="20"/>
      <c r="G8" s="20"/>
      <c r="H8" s="24"/>
      <c r="I8" s="31" t="s">
        <v>149</v>
      </c>
      <c r="J8" s="23"/>
      <c r="K8" s="23"/>
      <c r="L8" s="23"/>
      <c r="M8" s="23"/>
      <c r="N8" s="23"/>
      <c r="O8" s="38"/>
      <c r="P8" s="23"/>
      <c r="Q8" s="24"/>
      <c r="R8" s="19" t="s">
        <v>148</v>
      </c>
      <c r="S8" s="23"/>
      <c r="T8" s="23"/>
      <c r="U8" s="23"/>
      <c r="V8" s="23"/>
      <c r="W8" s="23"/>
      <c r="X8" s="24"/>
      <c r="Y8" s="440" t="s">
        <v>150</v>
      </c>
      <c r="Z8" s="441"/>
      <c r="AA8" s="442" t="s">
        <v>151</v>
      </c>
      <c r="AB8" s="443"/>
      <c r="AC8" s="444"/>
      <c r="AD8" s="27">
        <v>15</v>
      </c>
      <c r="AE8" s="29"/>
      <c r="AF8" s="29">
        <v>1</v>
      </c>
      <c r="AG8" s="28" t="s">
        <v>152</v>
      </c>
      <c r="AH8" s="28"/>
      <c r="AI8" s="28"/>
      <c r="AJ8" s="28"/>
      <c r="AK8" s="28"/>
      <c r="AL8" s="28"/>
      <c r="AM8" s="28"/>
      <c r="AN8" s="28"/>
      <c r="AO8" s="29"/>
      <c r="AP8" s="29"/>
      <c r="AQ8" s="29"/>
      <c r="AR8" s="29"/>
      <c r="AS8" s="47"/>
      <c r="AT8" s="48"/>
      <c r="AU8" s="48"/>
      <c r="AV8" s="48"/>
      <c r="AW8" s="48"/>
      <c r="AX8" s="48"/>
      <c r="AY8" s="48"/>
      <c r="AZ8" s="48"/>
      <c r="BA8" s="48"/>
      <c r="BB8" s="48"/>
      <c r="BC8" s="48"/>
      <c r="BD8" s="66"/>
    </row>
    <row r="9" spans="1:56" ht="14.4" customHeight="1">
      <c r="A9" s="70">
        <f>IF(B9="","",COUNTA($B$8:B9))</f>
        <v>2</v>
      </c>
      <c r="B9" s="19" t="s">
        <v>443</v>
      </c>
      <c r="C9" s="20"/>
      <c r="D9" s="20"/>
      <c r="E9" s="20"/>
      <c r="F9" s="20"/>
      <c r="G9" s="20"/>
      <c r="H9" s="24"/>
      <c r="I9" s="31" t="s">
        <v>444</v>
      </c>
      <c r="J9" s="23"/>
      <c r="K9" s="23"/>
      <c r="L9" s="23"/>
      <c r="M9" s="23"/>
      <c r="N9" s="23"/>
      <c r="O9" s="38"/>
      <c r="P9" s="23"/>
      <c r="Q9" s="24"/>
      <c r="R9" s="19" t="s">
        <v>443</v>
      </c>
      <c r="S9" s="23"/>
      <c r="T9" s="23"/>
      <c r="U9" s="23"/>
      <c r="V9" s="23"/>
      <c r="W9" s="23"/>
      <c r="X9" s="24"/>
      <c r="Y9" s="440" t="s">
        <v>421</v>
      </c>
      <c r="Z9" s="441"/>
      <c r="AA9" s="442" t="s">
        <v>422</v>
      </c>
      <c r="AB9" s="443"/>
      <c r="AC9" s="444"/>
      <c r="AD9" s="27">
        <v>1</v>
      </c>
      <c r="AE9" s="29"/>
      <c r="AF9" s="29">
        <v>2</v>
      </c>
      <c r="AG9" s="29" t="s">
        <v>152</v>
      </c>
      <c r="AH9" s="28"/>
      <c r="AI9" s="28"/>
      <c r="AJ9" s="28"/>
      <c r="AK9" s="28"/>
      <c r="AL9" s="28"/>
      <c r="AM9" s="28"/>
      <c r="AN9" s="28"/>
      <c r="AO9" s="29"/>
      <c r="AP9" s="29"/>
      <c r="AQ9" s="29"/>
      <c r="AR9" s="29"/>
      <c r="AS9" s="31" t="s">
        <v>445</v>
      </c>
      <c r="AT9" s="67"/>
      <c r="AU9" s="67"/>
      <c r="AV9" s="67"/>
      <c r="AW9" s="67"/>
      <c r="AX9" s="67"/>
      <c r="AY9" s="67"/>
      <c r="AZ9" s="67"/>
      <c r="BA9" s="67"/>
      <c r="BB9" s="67"/>
      <c r="BC9" s="67"/>
      <c r="BD9" s="68"/>
    </row>
    <row r="10" spans="1:56" ht="14.4" customHeight="1">
      <c r="A10" s="70">
        <f>IF(B10="","",COUNTA($B$8:B10))</f>
        <v>3</v>
      </c>
      <c r="B10" s="19" t="s">
        <v>446</v>
      </c>
      <c r="C10" s="20"/>
      <c r="D10" s="20"/>
      <c r="E10" s="20"/>
      <c r="F10" s="20"/>
      <c r="G10" s="20"/>
      <c r="H10" s="24"/>
      <c r="I10" s="31" t="s">
        <v>346</v>
      </c>
      <c r="J10" s="23"/>
      <c r="K10" s="23"/>
      <c r="L10" s="23"/>
      <c r="M10" s="23"/>
      <c r="N10" s="23"/>
      <c r="O10" s="23"/>
      <c r="P10" s="23"/>
      <c r="Q10" s="37"/>
      <c r="R10" s="19" t="s">
        <v>446</v>
      </c>
      <c r="S10" s="23"/>
      <c r="T10" s="23"/>
      <c r="U10" s="23"/>
      <c r="V10" s="23"/>
      <c r="W10" s="23"/>
      <c r="X10" s="24"/>
      <c r="Y10" s="440" t="s">
        <v>150</v>
      </c>
      <c r="Z10" s="441"/>
      <c r="AA10" s="442" t="s">
        <v>151</v>
      </c>
      <c r="AB10" s="443"/>
      <c r="AC10" s="444"/>
      <c r="AD10" s="27">
        <v>15</v>
      </c>
      <c r="AE10" s="29"/>
      <c r="AF10" s="29">
        <v>3</v>
      </c>
      <c r="AG10" s="29" t="s">
        <v>152</v>
      </c>
      <c r="AH10" s="28"/>
      <c r="AI10" s="28"/>
      <c r="AJ10" s="28"/>
      <c r="AK10" s="28"/>
      <c r="AL10" s="28"/>
      <c r="AM10" s="28"/>
      <c r="AN10" s="28"/>
      <c r="AO10" s="29"/>
      <c r="AP10" s="29"/>
      <c r="AQ10" s="29"/>
      <c r="AR10" s="29"/>
      <c r="AS10" s="47" t="s">
        <v>456</v>
      </c>
      <c r="AT10" s="48"/>
      <c r="AU10" s="48"/>
      <c r="AV10" s="48"/>
      <c r="AW10" s="48"/>
      <c r="AX10" s="48"/>
      <c r="AY10" s="48"/>
      <c r="AZ10" s="48"/>
      <c r="BA10" s="48"/>
      <c r="BB10" s="48"/>
      <c r="BC10" s="48"/>
      <c r="BD10" s="66"/>
    </row>
    <row r="11" spans="1:56" ht="14.4" customHeight="1">
      <c r="A11" s="70">
        <f>IF(B11="","",COUNTA($B$8:B11))</f>
        <v>4</v>
      </c>
      <c r="B11" s="19" t="s">
        <v>457</v>
      </c>
      <c r="C11" s="20"/>
      <c r="D11" s="20"/>
      <c r="E11" s="20"/>
      <c r="F11" s="20"/>
      <c r="G11" s="20"/>
      <c r="H11" s="24"/>
      <c r="I11" s="31" t="s">
        <v>458</v>
      </c>
      <c r="J11" s="23"/>
      <c r="K11" s="23"/>
      <c r="L11" s="23"/>
      <c r="M11" s="23"/>
      <c r="N11" s="23"/>
      <c r="O11" s="23"/>
      <c r="P11" s="23"/>
      <c r="Q11" s="37"/>
      <c r="R11" s="19" t="s">
        <v>459</v>
      </c>
      <c r="S11" s="23"/>
      <c r="T11" s="23"/>
      <c r="U11" s="23"/>
      <c r="V11" s="23"/>
      <c r="W11" s="23"/>
      <c r="X11" s="24"/>
      <c r="Y11" s="440" t="s">
        <v>150</v>
      </c>
      <c r="Z11" s="441"/>
      <c r="AA11" s="442" t="s">
        <v>151</v>
      </c>
      <c r="AB11" s="443"/>
      <c r="AC11" s="444"/>
      <c r="AD11" s="27">
        <v>15</v>
      </c>
      <c r="AE11" s="29"/>
      <c r="AF11" s="29">
        <v>4</v>
      </c>
      <c r="AG11" s="29" t="s">
        <v>152</v>
      </c>
      <c r="AH11" s="28"/>
      <c r="AI11" s="28"/>
      <c r="AJ11" s="28"/>
      <c r="AK11" s="28"/>
      <c r="AL11" s="28"/>
      <c r="AM11" s="28"/>
      <c r="AN11" s="28"/>
      <c r="AO11" s="29"/>
      <c r="AP11" s="29"/>
      <c r="AQ11" s="29"/>
      <c r="AR11" s="29"/>
      <c r="AS11" s="47" t="s">
        <v>446</v>
      </c>
      <c r="AT11" s="48"/>
      <c r="AU11" s="48"/>
      <c r="AV11" s="48"/>
      <c r="AW11" s="48"/>
      <c r="AX11" s="48"/>
      <c r="AY11" s="48"/>
      <c r="AZ11" s="48"/>
      <c r="BA11" s="48"/>
      <c r="BB11" s="48"/>
      <c r="BC11" s="48"/>
      <c r="BD11" s="66"/>
    </row>
    <row r="12" spans="1:56" ht="14.4" customHeight="1">
      <c r="A12" s="70">
        <f>IF(B12="","",COUNTA($B$8:B12))</f>
        <v>5</v>
      </c>
      <c r="B12" s="19" t="s">
        <v>159</v>
      </c>
      <c r="C12" s="20"/>
      <c r="D12" s="20"/>
      <c r="E12" s="20"/>
      <c r="F12" s="20"/>
      <c r="G12" s="20"/>
      <c r="H12" s="24"/>
      <c r="I12" s="31" t="s">
        <v>160</v>
      </c>
      <c r="J12" s="23"/>
      <c r="K12" s="23"/>
      <c r="L12" s="23"/>
      <c r="M12" s="23"/>
      <c r="N12" s="23"/>
      <c r="O12" s="38"/>
      <c r="P12" s="23"/>
      <c r="Q12" s="24"/>
      <c r="R12" s="19" t="s">
        <v>159</v>
      </c>
      <c r="S12" s="23"/>
      <c r="T12" s="23"/>
      <c r="U12" s="23"/>
      <c r="V12" s="23"/>
      <c r="W12" s="23"/>
      <c r="X12" s="24"/>
      <c r="Y12" s="440" t="s">
        <v>150</v>
      </c>
      <c r="Z12" s="441"/>
      <c r="AA12" s="442" t="s">
        <v>151</v>
      </c>
      <c r="AB12" s="443"/>
      <c r="AC12" s="444"/>
      <c r="AD12" s="27">
        <v>4</v>
      </c>
      <c r="AE12" s="29"/>
      <c r="AF12" s="29"/>
      <c r="AG12" s="29"/>
      <c r="AH12" s="28"/>
      <c r="AI12" s="28"/>
      <c r="AJ12" s="28"/>
      <c r="AK12" s="28"/>
      <c r="AL12" s="28"/>
      <c r="AM12" s="28"/>
      <c r="AN12" s="28"/>
      <c r="AO12" s="29"/>
      <c r="AP12" s="29"/>
      <c r="AQ12" s="29"/>
      <c r="AR12" s="29"/>
      <c r="AS12" s="31"/>
      <c r="AT12" s="67"/>
      <c r="AU12" s="67"/>
      <c r="AV12" s="67"/>
      <c r="AW12" s="67"/>
      <c r="AX12" s="67"/>
      <c r="AY12" s="67"/>
      <c r="AZ12" s="67"/>
      <c r="BA12" s="67"/>
      <c r="BB12" s="67"/>
      <c r="BC12" s="67"/>
      <c r="BD12" s="68"/>
    </row>
    <row r="13" spans="1:56" ht="14.4" customHeight="1">
      <c r="A13" s="70">
        <f>IF(B13="","",COUNTA($B$8:B13))</f>
        <v>6</v>
      </c>
      <c r="B13" s="19" t="s">
        <v>162</v>
      </c>
      <c r="C13" s="20"/>
      <c r="D13" s="20"/>
      <c r="E13" s="20"/>
      <c r="F13" s="20"/>
      <c r="G13" s="20"/>
      <c r="H13" s="24"/>
      <c r="I13" s="31" t="s">
        <v>163</v>
      </c>
      <c r="J13" s="23"/>
      <c r="K13" s="23"/>
      <c r="L13" s="23"/>
      <c r="M13" s="23"/>
      <c r="N13" s="23"/>
      <c r="O13" s="38"/>
      <c r="P13" s="23"/>
      <c r="Q13" s="24"/>
      <c r="R13" s="19" t="s">
        <v>164</v>
      </c>
      <c r="S13" s="23"/>
      <c r="T13" s="23"/>
      <c r="U13" s="23"/>
      <c r="V13" s="23"/>
      <c r="W13" s="23"/>
      <c r="X13" s="24"/>
      <c r="Y13" s="440" t="s">
        <v>150</v>
      </c>
      <c r="Z13" s="441"/>
      <c r="AA13" s="442" t="s">
        <v>151</v>
      </c>
      <c r="AB13" s="443"/>
      <c r="AC13" s="444"/>
      <c r="AD13" s="27">
        <v>4</v>
      </c>
      <c r="AE13" s="29"/>
      <c r="AF13" s="29"/>
      <c r="AG13" s="29"/>
      <c r="AH13" s="28"/>
      <c r="AI13" s="28"/>
      <c r="AJ13" s="28"/>
      <c r="AK13" s="28"/>
      <c r="AL13" s="28"/>
      <c r="AM13" s="28"/>
      <c r="AN13" s="28"/>
      <c r="AO13" s="29"/>
      <c r="AP13" s="29"/>
      <c r="AQ13" s="29"/>
      <c r="AR13" s="29"/>
      <c r="AS13" s="31"/>
      <c r="AT13" s="67"/>
      <c r="AU13" s="67"/>
      <c r="AV13" s="67"/>
      <c r="AW13" s="67"/>
      <c r="AX13" s="67"/>
      <c r="AY13" s="67"/>
      <c r="AZ13" s="67"/>
      <c r="BA13" s="67"/>
      <c r="BB13" s="67"/>
      <c r="BC13" s="67"/>
      <c r="BD13" s="68"/>
    </row>
    <row r="14" spans="1:56" ht="14.4" customHeight="1">
      <c r="A14" s="70">
        <f>IF(B14="","",COUNTA($B$8:B14))</f>
        <v>7</v>
      </c>
      <c r="B14" s="19" t="s">
        <v>249</v>
      </c>
      <c r="C14" s="20"/>
      <c r="D14" s="20"/>
      <c r="E14" s="20"/>
      <c r="F14" s="20"/>
      <c r="G14" s="20"/>
      <c r="H14" s="24"/>
      <c r="I14" s="31" t="s">
        <v>250</v>
      </c>
      <c r="J14" s="23"/>
      <c r="K14" s="23"/>
      <c r="L14" s="23"/>
      <c r="M14" s="23"/>
      <c r="N14" s="23"/>
      <c r="O14" s="23"/>
      <c r="P14" s="23"/>
      <c r="Q14" s="37"/>
      <c r="R14" s="19" t="s">
        <v>249</v>
      </c>
      <c r="S14" s="23"/>
      <c r="T14" s="23"/>
      <c r="U14" s="23"/>
      <c r="V14" s="23"/>
      <c r="W14" s="23"/>
      <c r="X14" s="24"/>
      <c r="Y14" s="440" t="s">
        <v>150</v>
      </c>
      <c r="Z14" s="441"/>
      <c r="AA14" s="442" t="s">
        <v>151</v>
      </c>
      <c r="AB14" s="443"/>
      <c r="AC14" s="444"/>
      <c r="AD14" s="27">
        <v>4</v>
      </c>
      <c r="AE14" s="29"/>
      <c r="AF14" s="29"/>
      <c r="AG14" s="29"/>
      <c r="AH14" s="28"/>
      <c r="AI14" s="28"/>
      <c r="AJ14" s="28"/>
      <c r="AK14" s="28"/>
      <c r="AL14" s="28"/>
      <c r="AM14" s="28"/>
      <c r="AN14" s="28"/>
      <c r="AO14" s="29"/>
      <c r="AP14" s="29"/>
      <c r="AQ14" s="29"/>
      <c r="AR14" s="29"/>
      <c r="AS14" s="31"/>
      <c r="AT14" s="67"/>
      <c r="AU14" s="67"/>
      <c r="AV14" s="67"/>
      <c r="AW14" s="67"/>
      <c r="AX14" s="67"/>
      <c r="AY14" s="67"/>
      <c r="AZ14" s="67"/>
      <c r="BA14" s="67"/>
      <c r="BB14" s="67"/>
      <c r="BC14" s="67"/>
      <c r="BD14" s="68"/>
    </row>
    <row r="15" spans="1:56" ht="14.4" customHeight="1">
      <c r="A15" s="70">
        <f>IF(B15="","",COUNTA($B$8:B15))</f>
        <v>8</v>
      </c>
      <c r="B15" s="19" t="s">
        <v>251</v>
      </c>
      <c r="C15" s="20"/>
      <c r="D15" s="20"/>
      <c r="E15" s="20"/>
      <c r="F15" s="20"/>
      <c r="G15" s="20"/>
      <c r="H15" s="24"/>
      <c r="I15" s="31" t="s">
        <v>252</v>
      </c>
      <c r="J15" s="23"/>
      <c r="K15" s="23"/>
      <c r="L15" s="23"/>
      <c r="M15" s="23"/>
      <c r="N15" s="23"/>
      <c r="O15" s="23"/>
      <c r="P15" s="23"/>
      <c r="Q15" s="37"/>
      <c r="R15" s="19" t="s">
        <v>251</v>
      </c>
      <c r="S15" s="23"/>
      <c r="T15" s="23"/>
      <c r="U15" s="23"/>
      <c r="V15" s="23"/>
      <c r="W15" s="23"/>
      <c r="X15" s="24"/>
      <c r="Y15" s="440" t="s">
        <v>150</v>
      </c>
      <c r="Z15" s="441"/>
      <c r="AA15" s="442" t="s">
        <v>151</v>
      </c>
      <c r="AB15" s="443"/>
      <c r="AC15" s="444"/>
      <c r="AD15" s="27">
        <v>4</v>
      </c>
      <c r="AE15" s="29"/>
      <c r="AF15" s="29"/>
      <c r="AG15" s="29"/>
      <c r="AH15" s="28"/>
      <c r="AI15" s="28"/>
      <c r="AJ15" s="28"/>
      <c r="AK15" s="28"/>
      <c r="AL15" s="28"/>
      <c r="AM15" s="28"/>
      <c r="AN15" s="28"/>
      <c r="AO15" s="29"/>
      <c r="AP15" s="29"/>
      <c r="AQ15" s="29"/>
      <c r="AR15" s="29"/>
      <c r="AS15" s="31"/>
      <c r="AT15" s="67"/>
      <c r="AU15" s="67"/>
      <c r="AV15" s="67"/>
      <c r="AW15" s="67"/>
      <c r="AX15" s="67"/>
      <c r="AY15" s="67"/>
      <c r="AZ15" s="67"/>
      <c r="BA15" s="67"/>
      <c r="BB15" s="67"/>
      <c r="BC15" s="67"/>
      <c r="BD15" s="68"/>
    </row>
    <row r="16" spans="1:56" ht="14.4" customHeight="1">
      <c r="A16" s="70">
        <f>IF(B16="","",COUNTA($B$8:B16))</f>
        <v>9</v>
      </c>
      <c r="B16" s="19" t="s">
        <v>253</v>
      </c>
      <c r="C16" s="20"/>
      <c r="D16" s="20"/>
      <c r="E16" s="20"/>
      <c r="F16" s="20"/>
      <c r="G16" s="20"/>
      <c r="H16" s="24"/>
      <c r="I16" s="31" t="s">
        <v>254</v>
      </c>
      <c r="J16" s="23"/>
      <c r="K16" s="23"/>
      <c r="L16" s="23"/>
      <c r="M16" s="23"/>
      <c r="N16" s="23"/>
      <c r="O16" s="23"/>
      <c r="P16" s="23"/>
      <c r="Q16" s="37"/>
      <c r="R16" s="19" t="s">
        <v>253</v>
      </c>
      <c r="S16" s="23"/>
      <c r="T16" s="23"/>
      <c r="U16" s="23"/>
      <c r="V16" s="23"/>
      <c r="W16" s="23"/>
      <c r="X16" s="24"/>
      <c r="Y16" s="440" t="s">
        <v>150</v>
      </c>
      <c r="Z16" s="441"/>
      <c r="AA16" s="442" t="s">
        <v>151</v>
      </c>
      <c r="AB16" s="443"/>
      <c r="AC16" s="444"/>
      <c r="AD16" s="27">
        <v>10</v>
      </c>
      <c r="AE16" s="29"/>
      <c r="AF16" s="29"/>
      <c r="AG16" s="29"/>
      <c r="AH16" s="28"/>
      <c r="AI16" s="28"/>
      <c r="AJ16" s="28"/>
      <c r="AK16" s="28"/>
      <c r="AL16" s="28"/>
      <c r="AM16" s="28"/>
      <c r="AN16" s="28"/>
      <c r="AO16" s="29"/>
      <c r="AP16" s="29"/>
      <c r="AQ16" s="29"/>
      <c r="AR16" s="29"/>
      <c r="AS16" s="31"/>
      <c r="AT16" s="67"/>
      <c r="AU16" s="67"/>
      <c r="AV16" s="67"/>
      <c r="AW16" s="67"/>
      <c r="AX16" s="67"/>
      <c r="AY16" s="67"/>
      <c r="AZ16" s="67"/>
      <c r="BA16" s="67"/>
      <c r="BB16" s="67"/>
      <c r="BC16" s="67"/>
      <c r="BD16" s="68"/>
    </row>
    <row r="17" spans="1:56" ht="14.4" customHeight="1">
      <c r="A17" s="70">
        <f>IF(B17="","",COUNTA($B$8:B17))</f>
        <v>10</v>
      </c>
      <c r="B17" s="19" t="s">
        <v>255</v>
      </c>
      <c r="C17" s="20"/>
      <c r="D17" s="20"/>
      <c r="E17" s="20"/>
      <c r="F17" s="20"/>
      <c r="G17" s="20"/>
      <c r="H17" s="24"/>
      <c r="I17" s="31" t="s">
        <v>256</v>
      </c>
      <c r="J17" s="23"/>
      <c r="K17" s="23"/>
      <c r="L17" s="23"/>
      <c r="M17" s="23"/>
      <c r="N17" s="23"/>
      <c r="O17" s="23"/>
      <c r="P17" s="23"/>
      <c r="Q17" s="37"/>
      <c r="R17" s="19" t="s">
        <v>255</v>
      </c>
      <c r="S17" s="23"/>
      <c r="T17" s="23"/>
      <c r="U17" s="23"/>
      <c r="V17" s="23"/>
      <c r="W17" s="23"/>
      <c r="X17" s="24"/>
      <c r="Y17" s="440" t="s">
        <v>150</v>
      </c>
      <c r="Z17" s="441"/>
      <c r="AA17" s="442" t="s">
        <v>151</v>
      </c>
      <c r="AB17" s="443"/>
      <c r="AC17" s="444"/>
      <c r="AD17" s="27">
        <v>10</v>
      </c>
      <c r="AE17" s="29"/>
      <c r="AF17" s="29"/>
      <c r="AG17" s="29"/>
      <c r="AH17" s="40"/>
      <c r="AI17" s="40"/>
      <c r="AJ17" s="28"/>
      <c r="AK17" s="28"/>
      <c r="AL17" s="28"/>
      <c r="AM17" s="28"/>
      <c r="AN17" s="28"/>
      <c r="AO17" s="29"/>
      <c r="AP17" s="29"/>
      <c r="AQ17" s="29"/>
      <c r="AR17" s="29"/>
      <c r="AS17" s="31"/>
      <c r="AT17" s="67"/>
      <c r="AU17" s="67"/>
      <c r="AV17" s="67"/>
      <c r="AW17" s="67"/>
      <c r="AX17" s="67"/>
      <c r="AY17" s="67"/>
      <c r="AZ17" s="67"/>
      <c r="BA17" s="67"/>
      <c r="BB17" s="67"/>
      <c r="BC17" s="67"/>
      <c r="BD17" s="68"/>
    </row>
    <row r="18" spans="1:56" ht="14.4" customHeight="1">
      <c r="A18" s="70">
        <f>IF(B18="","",COUNTA($B$8:B18))</f>
        <v>11</v>
      </c>
      <c r="B18" s="19" t="s">
        <v>257</v>
      </c>
      <c r="C18" s="20"/>
      <c r="D18" s="20"/>
      <c r="E18" s="20"/>
      <c r="F18" s="20"/>
      <c r="G18" s="20"/>
      <c r="H18" s="24"/>
      <c r="I18" s="31" t="s">
        <v>258</v>
      </c>
      <c r="J18" s="23"/>
      <c r="K18" s="23"/>
      <c r="L18" s="23"/>
      <c r="M18" s="23"/>
      <c r="N18" s="23"/>
      <c r="O18" s="23"/>
      <c r="P18" s="23"/>
      <c r="Q18" s="37"/>
      <c r="R18" s="19" t="s">
        <v>257</v>
      </c>
      <c r="S18" s="23"/>
      <c r="T18" s="23"/>
      <c r="U18" s="23"/>
      <c r="V18" s="23"/>
      <c r="W18" s="23"/>
      <c r="X18" s="24"/>
      <c r="Y18" s="440" t="s">
        <v>169</v>
      </c>
      <c r="Z18" s="441"/>
      <c r="AA18" s="442" t="s">
        <v>243</v>
      </c>
      <c r="AB18" s="443"/>
      <c r="AC18" s="444"/>
      <c r="AD18" s="51"/>
      <c r="AE18" s="29"/>
      <c r="AF18" s="29"/>
      <c r="AG18" s="29"/>
      <c r="AH18" s="28"/>
      <c r="AI18" s="28"/>
      <c r="AJ18" s="28"/>
      <c r="AK18" s="28"/>
      <c r="AL18" s="40"/>
      <c r="AM18" s="40"/>
      <c r="AN18" s="40"/>
      <c r="AO18" s="41"/>
      <c r="AP18" s="41"/>
      <c r="AQ18" s="41"/>
      <c r="AR18" s="41"/>
      <c r="AS18" s="42"/>
      <c r="AT18" s="43"/>
      <c r="AU18" s="67"/>
      <c r="AV18" s="67"/>
      <c r="AW18" s="67"/>
      <c r="AX18" s="67"/>
      <c r="AY18" s="67"/>
      <c r="AZ18" s="67"/>
      <c r="BA18" s="67"/>
      <c r="BB18" s="67"/>
      <c r="BC18" s="67"/>
      <c r="BD18" s="68"/>
    </row>
    <row r="19" spans="1:56" ht="14.4" customHeight="1">
      <c r="A19" s="70">
        <f>IF(B19="","",COUNTA($B$8:B19))</f>
        <v>12</v>
      </c>
      <c r="B19" s="19" t="s">
        <v>259</v>
      </c>
      <c r="C19" s="20"/>
      <c r="D19" s="20"/>
      <c r="E19" s="20"/>
      <c r="F19" s="20"/>
      <c r="G19" s="20"/>
      <c r="H19" s="24"/>
      <c r="I19" s="31" t="s">
        <v>260</v>
      </c>
      <c r="J19" s="23"/>
      <c r="K19" s="23"/>
      <c r="L19" s="23"/>
      <c r="M19" s="23"/>
      <c r="N19" s="23"/>
      <c r="O19" s="23"/>
      <c r="P19" s="23"/>
      <c r="Q19" s="37"/>
      <c r="R19" s="19" t="s">
        <v>259</v>
      </c>
      <c r="S19" s="23"/>
      <c r="T19" s="23"/>
      <c r="U19" s="23"/>
      <c r="V19" s="23"/>
      <c r="W19" s="23"/>
      <c r="X19" s="24"/>
      <c r="Y19" s="440" t="s">
        <v>150</v>
      </c>
      <c r="Z19" s="441"/>
      <c r="AA19" s="442" t="s">
        <v>151</v>
      </c>
      <c r="AB19" s="443"/>
      <c r="AC19" s="444"/>
      <c r="AD19" s="27">
        <v>10</v>
      </c>
      <c r="AE19" s="29"/>
      <c r="AF19" s="29"/>
      <c r="AG19" s="29"/>
      <c r="AH19" s="40"/>
      <c r="AI19" s="40"/>
      <c r="AJ19" s="40"/>
      <c r="AK19" s="40"/>
      <c r="AL19" s="40"/>
      <c r="AM19" s="40"/>
      <c r="AN19" s="40"/>
      <c r="AO19" s="41"/>
      <c r="AP19" s="41"/>
      <c r="AQ19" s="41"/>
      <c r="AR19" s="41"/>
      <c r="AS19" s="42"/>
      <c r="AT19" s="43"/>
      <c r="AU19" s="48"/>
      <c r="AV19" s="67"/>
      <c r="AW19" s="67"/>
      <c r="AX19" s="67"/>
      <c r="AY19" s="67"/>
      <c r="AZ19" s="67"/>
      <c r="BA19" s="67"/>
      <c r="BB19" s="67"/>
      <c r="BC19" s="67"/>
      <c r="BD19" s="68"/>
    </row>
    <row r="20" spans="1:56" ht="14.4" customHeight="1">
      <c r="A20" s="70">
        <f>IF(B20="","",COUNTA($B$8:B20))</f>
        <v>13</v>
      </c>
      <c r="B20" s="19" t="s">
        <v>261</v>
      </c>
      <c r="C20" s="20"/>
      <c r="D20" s="20"/>
      <c r="E20" s="20"/>
      <c r="F20" s="20"/>
      <c r="G20" s="20"/>
      <c r="H20" s="24"/>
      <c r="I20" s="31" t="s">
        <v>262</v>
      </c>
      <c r="J20" s="23"/>
      <c r="K20" s="23"/>
      <c r="L20" s="23"/>
      <c r="M20" s="23"/>
      <c r="N20" s="23"/>
      <c r="O20" s="23"/>
      <c r="P20" s="23"/>
      <c r="Q20" s="37"/>
      <c r="R20" s="19" t="s">
        <v>261</v>
      </c>
      <c r="S20" s="23"/>
      <c r="T20" s="23"/>
      <c r="U20" s="23"/>
      <c r="V20" s="23"/>
      <c r="W20" s="23"/>
      <c r="X20" s="24"/>
      <c r="Y20" s="440" t="s">
        <v>150</v>
      </c>
      <c r="Z20" s="441"/>
      <c r="AA20" s="442" t="s">
        <v>151</v>
      </c>
      <c r="AB20" s="443"/>
      <c r="AC20" s="444"/>
      <c r="AD20" s="51">
        <v>10</v>
      </c>
      <c r="AE20" s="29"/>
      <c r="AF20" s="29"/>
      <c r="AG20" s="29"/>
      <c r="AH20" s="40"/>
      <c r="AI20" s="40"/>
      <c r="AJ20" s="40"/>
      <c r="AK20" s="40"/>
      <c r="AL20" s="40"/>
      <c r="AM20" s="40"/>
      <c r="AN20" s="40"/>
      <c r="AO20" s="41"/>
      <c r="AP20" s="41"/>
      <c r="AQ20" s="41"/>
      <c r="AR20" s="41"/>
      <c r="AS20" s="42"/>
      <c r="AT20" s="43"/>
      <c r="AU20" s="48"/>
      <c r="AV20" s="67"/>
      <c r="AW20" s="67"/>
      <c r="AX20" s="67"/>
      <c r="AY20" s="67"/>
      <c r="AZ20" s="67"/>
      <c r="BA20" s="67"/>
      <c r="BB20" s="67"/>
      <c r="BC20" s="67"/>
      <c r="BD20" s="68"/>
    </row>
    <row r="21" spans="1:56" ht="14.4" customHeight="1">
      <c r="A21" s="70">
        <f>IF(B21="","",COUNTA($B$8:B21))</f>
        <v>14</v>
      </c>
      <c r="B21" s="19" t="s">
        <v>263</v>
      </c>
      <c r="C21" s="20"/>
      <c r="D21" s="20"/>
      <c r="E21" s="20"/>
      <c r="F21" s="20"/>
      <c r="G21" s="20"/>
      <c r="H21" s="24"/>
      <c r="I21" s="31" t="s">
        <v>264</v>
      </c>
      <c r="J21" s="23"/>
      <c r="K21" s="23"/>
      <c r="L21" s="23"/>
      <c r="M21" s="23"/>
      <c r="N21" s="23"/>
      <c r="O21" s="23"/>
      <c r="P21" s="23"/>
      <c r="Q21" s="37"/>
      <c r="R21" s="22" t="s">
        <v>263</v>
      </c>
      <c r="S21" s="23"/>
      <c r="T21" s="23"/>
      <c r="U21" s="23"/>
      <c r="V21" s="23"/>
      <c r="W21" s="23"/>
      <c r="X21" s="24"/>
      <c r="Y21" s="440" t="s">
        <v>169</v>
      </c>
      <c r="Z21" s="441"/>
      <c r="AA21" s="442" t="s">
        <v>243</v>
      </c>
      <c r="AB21" s="443"/>
      <c r="AC21" s="444"/>
      <c r="AD21" s="51"/>
      <c r="AE21" s="29"/>
      <c r="AF21" s="29"/>
      <c r="AG21" s="29"/>
      <c r="AH21" s="28"/>
      <c r="AI21" s="28"/>
      <c r="AJ21" s="28"/>
      <c r="AK21" s="28"/>
      <c r="AL21" s="28"/>
      <c r="AM21" s="28"/>
      <c r="AN21" s="28"/>
      <c r="AO21" s="29"/>
      <c r="AP21" s="29"/>
      <c r="AQ21" s="29"/>
      <c r="AR21" s="29"/>
      <c r="AS21" s="31"/>
      <c r="AT21" s="67"/>
      <c r="AU21" s="67"/>
      <c r="AV21" s="67"/>
      <c r="AW21" s="67"/>
      <c r="AX21" s="67"/>
      <c r="AY21" s="67"/>
      <c r="AZ21" s="67"/>
      <c r="BA21" s="67"/>
      <c r="BB21" s="67"/>
      <c r="BC21" s="67"/>
      <c r="BD21" s="68"/>
    </row>
    <row r="22" spans="1:56" ht="14.4" customHeight="1">
      <c r="A22" s="70" t="str">
        <f>IF(B22="","",COUNTA($B$8:B22))</f>
        <v/>
      </c>
      <c r="B22" s="19"/>
      <c r="C22" s="20"/>
      <c r="D22" s="20"/>
      <c r="E22" s="20"/>
      <c r="F22" s="20"/>
      <c r="G22" s="20"/>
      <c r="H22" s="24"/>
      <c r="I22" s="31"/>
      <c r="J22" s="23"/>
      <c r="K22" s="23"/>
      <c r="L22" s="23"/>
      <c r="M22" s="23"/>
      <c r="N22" s="23"/>
      <c r="O22" s="23"/>
      <c r="P22" s="23"/>
      <c r="Q22" s="37"/>
      <c r="R22" s="22"/>
      <c r="S22" s="23"/>
      <c r="T22" s="23"/>
      <c r="U22" s="23"/>
      <c r="V22" s="23"/>
      <c r="W22" s="23"/>
      <c r="X22" s="24"/>
      <c r="Y22" s="440"/>
      <c r="Z22" s="441"/>
      <c r="AA22" s="442"/>
      <c r="AB22" s="443"/>
      <c r="AC22" s="444"/>
      <c r="AD22" s="27"/>
      <c r="AE22" s="29"/>
      <c r="AF22" s="29"/>
      <c r="AG22" s="29"/>
      <c r="AH22" s="28"/>
      <c r="AI22" s="28"/>
      <c r="AJ22" s="28"/>
      <c r="AK22" s="28"/>
      <c r="AL22" s="28"/>
      <c r="AM22" s="28"/>
      <c r="AN22" s="28"/>
      <c r="AO22" s="29"/>
      <c r="AP22" s="29"/>
      <c r="AQ22" s="29"/>
      <c r="AR22" s="29"/>
      <c r="AS22" s="31"/>
      <c r="AT22" s="48"/>
      <c r="AU22" s="67"/>
      <c r="AV22" s="67"/>
      <c r="AW22" s="67"/>
      <c r="AX22" s="67"/>
      <c r="AY22" s="67"/>
      <c r="AZ22" s="67"/>
      <c r="BA22" s="67"/>
      <c r="BB22" s="67"/>
      <c r="BC22" s="67"/>
      <c r="BD22" s="68"/>
    </row>
    <row r="23" spans="1:56" ht="14.4" customHeight="1">
      <c r="A23" s="70" t="str">
        <f>IF(B23="","",COUNTA($B$8:B23))</f>
        <v/>
      </c>
      <c r="B23" s="19"/>
      <c r="C23" s="20"/>
      <c r="D23" s="20"/>
      <c r="E23" s="20"/>
      <c r="F23" s="20"/>
      <c r="G23" s="20"/>
      <c r="H23" s="24"/>
      <c r="I23" s="31"/>
      <c r="J23" s="23"/>
      <c r="K23" s="23"/>
      <c r="L23" s="23"/>
      <c r="M23" s="23"/>
      <c r="N23" s="23"/>
      <c r="O23" s="23"/>
      <c r="P23" s="23"/>
      <c r="Q23" s="37"/>
      <c r="R23" s="22"/>
      <c r="S23" s="23"/>
      <c r="T23" s="23"/>
      <c r="U23" s="23"/>
      <c r="V23" s="23"/>
      <c r="W23" s="23"/>
      <c r="X23" s="24"/>
      <c r="Y23" s="440"/>
      <c r="Z23" s="441"/>
      <c r="AA23" s="442"/>
      <c r="AB23" s="443"/>
      <c r="AC23" s="444"/>
      <c r="AD23" s="27"/>
      <c r="AE23" s="29"/>
      <c r="AF23" s="29"/>
      <c r="AG23" s="29"/>
      <c r="AH23" s="28"/>
      <c r="AI23" s="28"/>
      <c r="AJ23" s="28"/>
      <c r="AK23" s="28"/>
      <c r="AL23" s="28"/>
      <c r="AM23" s="28"/>
      <c r="AN23" s="28"/>
      <c r="AO23" s="29"/>
      <c r="AP23" s="29"/>
      <c r="AQ23" s="29"/>
      <c r="AR23" s="29"/>
      <c r="AS23" s="31"/>
      <c r="AT23" s="67"/>
      <c r="AU23" s="67"/>
      <c r="AV23" s="67"/>
      <c r="AW23" s="67"/>
      <c r="AX23" s="67"/>
      <c r="AY23" s="67"/>
      <c r="AZ23" s="67"/>
      <c r="BA23" s="67"/>
      <c r="BB23" s="67"/>
      <c r="BC23" s="67"/>
      <c r="BD23" s="68"/>
    </row>
    <row r="24" spans="1:56" ht="14.4" customHeight="1">
      <c r="A24" s="70" t="str">
        <f>IF(B24="","",COUNTA($B$8:B24))</f>
        <v/>
      </c>
      <c r="B24" s="19"/>
      <c r="C24" s="20"/>
      <c r="D24" s="20"/>
      <c r="E24" s="20"/>
      <c r="F24" s="20"/>
      <c r="G24" s="20"/>
      <c r="H24" s="24"/>
      <c r="I24" s="31"/>
      <c r="J24" s="23"/>
      <c r="K24" s="23"/>
      <c r="L24" s="23"/>
      <c r="M24" s="23"/>
      <c r="N24" s="23"/>
      <c r="O24" s="23"/>
      <c r="P24" s="23"/>
      <c r="Q24" s="37"/>
      <c r="R24" s="22"/>
      <c r="S24" s="23"/>
      <c r="T24" s="23"/>
      <c r="U24" s="23"/>
      <c r="V24" s="23"/>
      <c r="W24" s="23"/>
      <c r="X24" s="24"/>
      <c r="Y24" s="440"/>
      <c r="Z24" s="441"/>
      <c r="AA24" s="442"/>
      <c r="AB24" s="443"/>
      <c r="AC24" s="444"/>
      <c r="AD24" s="51"/>
      <c r="AE24" s="29"/>
      <c r="AF24" s="29"/>
      <c r="AG24" s="29"/>
      <c r="AH24" s="40"/>
      <c r="AI24" s="40"/>
      <c r="AJ24" s="28"/>
      <c r="AK24" s="28"/>
      <c r="AL24" s="28"/>
      <c r="AM24" s="28"/>
      <c r="AN24" s="28"/>
      <c r="AO24" s="29"/>
      <c r="AP24" s="29"/>
      <c r="AQ24" s="29"/>
      <c r="AR24" s="29"/>
      <c r="AS24" s="31"/>
      <c r="AT24" s="67"/>
      <c r="AU24" s="67"/>
      <c r="AV24" s="67"/>
      <c r="AW24" s="67"/>
      <c r="AX24" s="67"/>
      <c r="AY24" s="67"/>
      <c r="AZ24" s="67"/>
      <c r="BA24" s="67"/>
      <c r="BB24" s="67"/>
      <c r="BC24" s="67"/>
      <c r="BD24" s="68"/>
    </row>
    <row r="25" spans="1:56" ht="14.4" customHeight="1">
      <c r="A25" s="50" t="str">
        <f>IF(B25="","",COUNTA($B$10:B25))</f>
        <v/>
      </c>
      <c r="B25" s="19"/>
      <c r="C25" s="20"/>
      <c r="D25" s="20"/>
      <c r="E25" s="20"/>
      <c r="F25" s="20"/>
      <c r="G25" s="20"/>
      <c r="H25" s="24"/>
      <c r="I25" s="31"/>
      <c r="J25" s="23"/>
      <c r="K25" s="23"/>
      <c r="L25" s="23"/>
      <c r="M25" s="23"/>
      <c r="N25" s="23"/>
      <c r="O25" s="23"/>
      <c r="P25" s="23"/>
      <c r="Q25" s="37"/>
      <c r="R25" s="22"/>
      <c r="S25" s="23"/>
      <c r="T25" s="23"/>
      <c r="U25" s="23"/>
      <c r="V25" s="23"/>
      <c r="W25" s="23"/>
      <c r="X25" s="24"/>
      <c r="Y25" s="440"/>
      <c r="Z25" s="441"/>
      <c r="AA25" s="442"/>
      <c r="AB25" s="443"/>
      <c r="AC25" s="444"/>
      <c r="AD25" s="51"/>
      <c r="AE25" s="29"/>
      <c r="AF25" s="29"/>
      <c r="AG25" s="29"/>
      <c r="AH25" s="28"/>
      <c r="AI25" s="28"/>
      <c r="AJ25" s="28"/>
      <c r="AK25" s="28"/>
      <c r="AL25" s="40"/>
      <c r="AM25" s="40"/>
      <c r="AN25" s="40"/>
      <c r="AO25" s="41"/>
      <c r="AP25" s="41"/>
      <c r="AQ25" s="41"/>
      <c r="AR25" s="41"/>
      <c r="AS25" s="42"/>
      <c r="AT25" s="43"/>
      <c r="AU25" s="67"/>
      <c r="AV25" s="67"/>
      <c r="AW25" s="67"/>
      <c r="AX25" s="67"/>
      <c r="AY25" s="67"/>
      <c r="AZ25" s="67"/>
      <c r="BA25" s="67"/>
      <c r="BB25" s="67"/>
      <c r="BC25" s="67"/>
      <c r="BD25" s="68"/>
    </row>
    <row r="26" spans="1:56" ht="14.4" customHeight="1">
      <c r="A26" s="50" t="str">
        <f>IF(B26="","",COUNTA($B$10:B26))</f>
        <v/>
      </c>
      <c r="B26" s="19"/>
      <c r="C26" s="20"/>
      <c r="D26" s="20"/>
      <c r="E26" s="20"/>
      <c r="F26" s="20"/>
      <c r="G26" s="20"/>
      <c r="H26" s="24"/>
      <c r="I26" s="31"/>
      <c r="J26" s="23"/>
      <c r="K26" s="23"/>
      <c r="L26" s="23"/>
      <c r="M26" s="23"/>
      <c r="N26" s="23"/>
      <c r="O26" s="23"/>
      <c r="P26" s="23"/>
      <c r="Q26" s="37"/>
      <c r="R26" s="22"/>
      <c r="S26" s="23"/>
      <c r="T26" s="23"/>
      <c r="U26" s="23"/>
      <c r="V26" s="23"/>
      <c r="W26" s="23"/>
      <c r="X26" s="24"/>
      <c r="Y26" s="440"/>
      <c r="Z26" s="441"/>
      <c r="AA26" s="442"/>
      <c r="AB26" s="443"/>
      <c r="AC26" s="444"/>
      <c r="AD26" s="51"/>
      <c r="AE26" s="29"/>
      <c r="AF26" s="29"/>
      <c r="AG26" s="29"/>
      <c r="AH26" s="40"/>
      <c r="AI26" s="40"/>
      <c r="AJ26" s="40"/>
      <c r="AK26" s="40"/>
      <c r="AL26" s="40"/>
      <c r="AM26" s="40"/>
      <c r="AN26" s="40"/>
      <c r="AO26" s="41"/>
      <c r="AP26" s="41"/>
      <c r="AQ26" s="41"/>
      <c r="AR26" s="41"/>
      <c r="AS26" s="42"/>
      <c r="AT26" s="43"/>
      <c r="AU26" s="48"/>
      <c r="AV26" s="48"/>
      <c r="AW26" s="48"/>
      <c r="AX26" s="48"/>
      <c r="AY26" s="48"/>
      <c r="AZ26" s="48"/>
      <c r="BA26" s="48"/>
      <c r="BB26" s="48"/>
      <c r="BC26" s="48"/>
      <c r="BD26" s="66"/>
    </row>
    <row r="27" spans="1:56" ht="14.4" customHeight="1">
      <c r="A27" s="50" t="str">
        <f>IF(B27="","",COUNTA($B$10:B27))</f>
        <v/>
      </c>
      <c r="B27" s="19"/>
      <c r="C27" s="20"/>
      <c r="D27" s="20"/>
      <c r="E27" s="20"/>
      <c r="F27" s="20"/>
      <c r="G27" s="20"/>
      <c r="H27" s="24"/>
      <c r="I27" s="31"/>
      <c r="J27" s="23"/>
      <c r="K27" s="23"/>
      <c r="L27" s="23"/>
      <c r="M27" s="23"/>
      <c r="N27" s="23"/>
      <c r="O27" s="23"/>
      <c r="P27" s="23"/>
      <c r="Q27" s="37"/>
      <c r="R27" s="22"/>
      <c r="S27" s="23"/>
      <c r="T27" s="23"/>
      <c r="U27" s="23"/>
      <c r="V27" s="23"/>
      <c r="W27" s="23"/>
      <c r="X27" s="24"/>
      <c r="Y27" s="440"/>
      <c r="Z27" s="441"/>
      <c r="AA27" s="442"/>
      <c r="AB27" s="443"/>
      <c r="AC27" s="444"/>
      <c r="AD27" s="27"/>
      <c r="AE27" s="29"/>
      <c r="AF27" s="29"/>
      <c r="AG27" s="29"/>
      <c r="AH27" s="28"/>
      <c r="AI27" s="28"/>
      <c r="AJ27" s="28"/>
      <c r="AK27" s="28"/>
      <c r="AL27" s="28"/>
      <c r="AM27" s="28"/>
      <c r="AN27" s="28"/>
      <c r="AO27" s="29"/>
      <c r="AP27" s="29"/>
      <c r="AQ27" s="29"/>
      <c r="AR27" s="29"/>
      <c r="AS27" s="31"/>
      <c r="AT27" s="67"/>
      <c r="AU27" s="67"/>
      <c r="AV27" s="67"/>
      <c r="AW27" s="67"/>
      <c r="AX27" s="67"/>
      <c r="AY27" s="67"/>
      <c r="AZ27" s="67"/>
      <c r="BA27" s="67"/>
      <c r="BB27" s="67"/>
      <c r="BC27" s="67"/>
      <c r="BD27" s="68"/>
    </row>
    <row r="28" spans="1:56" ht="14.4" customHeight="1">
      <c r="A28" s="50" t="str">
        <f>IF(B28="","",COUNTA($B$10:B28))</f>
        <v/>
      </c>
      <c r="B28" s="19"/>
      <c r="C28" s="20"/>
      <c r="D28" s="20"/>
      <c r="E28" s="20"/>
      <c r="F28" s="20"/>
      <c r="G28" s="20"/>
      <c r="H28" s="24"/>
      <c r="I28" s="31"/>
      <c r="J28" s="23"/>
      <c r="K28" s="23"/>
      <c r="L28" s="23"/>
      <c r="M28" s="23"/>
      <c r="N28" s="23"/>
      <c r="O28" s="23"/>
      <c r="P28" s="23"/>
      <c r="Q28" s="37"/>
      <c r="R28" s="22"/>
      <c r="S28" s="23"/>
      <c r="T28" s="23"/>
      <c r="U28" s="23"/>
      <c r="V28" s="23"/>
      <c r="W28" s="23"/>
      <c r="X28" s="37"/>
      <c r="Y28" s="440"/>
      <c r="Z28" s="441"/>
      <c r="AA28" s="442"/>
      <c r="AB28" s="443"/>
      <c r="AC28" s="444"/>
      <c r="AD28" s="51"/>
      <c r="AE28" s="29"/>
      <c r="AF28" s="29"/>
      <c r="AG28" s="29"/>
      <c r="AH28" s="40"/>
      <c r="AI28" s="40"/>
      <c r="AJ28" s="40"/>
      <c r="AK28" s="40"/>
      <c r="AL28" s="40"/>
      <c r="AM28" s="40"/>
      <c r="AN28" s="40"/>
      <c r="AO28" s="41"/>
      <c r="AP28" s="41"/>
      <c r="AQ28" s="41"/>
      <c r="AR28" s="41"/>
      <c r="AS28" s="42"/>
      <c r="AT28" s="43"/>
      <c r="AU28" s="67"/>
      <c r="AV28" s="67"/>
      <c r="AW28" s="67"/>
      <c r="AX28" s="67"/>
      <c r="AY28" s="67"/>
      <c r="AZ28" s="67"/>
      <c r="BA28" s="67"/>
      <c r="BB28" s="67"/>
      <c r="BC28" s="67"/>
      <c r="BD28" s="68"/>
    </row>
    <row r="29" spans="1:56" ht="14.4" customHeight="1">
      <c r="A29" s="50" t="str">
        <f>IF(B29="","",COUNTA($B$10:B29))</f>
        <v/>
      </c>
      <c r="B29" s="19"/>
      <c r="C29" s="20"/>
      <c r="D29" s="20"/>
      <c r="E29" s="20"/>
      <c r="F29" s="20"/>
      <c r="G29" s="20"/>
      <c r="H29" s="24"/>
      <c r="I29" s="31"/>
      <c r="J29" s="23"/>
      <c r="K29" s="23"/>
      <c r="L29" s="23"/>
      <c r="M29" s="23"/>
      <c r="N29" s="23"/>
      <c r="O29" s="23"/>
      <c r="P29" s="23"/>
      <c r="Q29" s="37"/>
      <c r="R29" s="22"/>
      <c r="S29" s="23"/>
      <c r="T29" s="23"/>
      <c r="U29" s="23"/>
      <c r="V29" s="23"/>
      <c r="W29" s="23"/>
      <c r="X29" s="37"/>
      <c r="Y29" s="440"/>
      <c r="Z29" s="441"/>
      <c r="AA29" s="442"/>
      <c r="AB29" s="443"/>
      <c r="AC29" s="444"/>
      <c r="AD29" s="51"/>
      <c r="AE29" s="29"/>
      <c r="AF29" s="29"/>
      <c r="AG29" s="29"/>
      <c r="AH29" s="40"/>
      <c r="AI29" s="40"/>
      <c r="AJ29" s="40"/>
      <c r="AK29" s="40"/>
      <c r="AL29" s="40"/>
      <c r="AM29" s="40"/>
      <c r="AN29" s="40"/>
      <c r="AO29" s="41"/>
      <c r="AP29" s="41"/>
      <c r="AQ29" s="41"/>
      <c r="AR29" s="41"/>
      <c r="AS29" s="42"/>
      <c r="AT29" s="43"/>
      <c r="AU29" s="67"/>
      <c r="AV29" s="67"/>
      <c r="AW29" s="67"/>
      <c r="AX29" s="67"/>
      <c r="AY29" s="67"/>
      <c r="AZ29" s="67"/>
      <c r="BA29" s="67"/>
      <c r="BB29" s="67"/>
      <c r="BC29" s="67"/>
      <c r="BD29" s="68"/>
    </row>
    <row r="30" spans="1:56" ht="14.4" customHeight="1">
      <c r="A30" s="50" t="str">
        <f>IF(B30="","",COUNTA($B$10:B30))</f>
        <v/>
      </c>
      <c r="B30" s="31"/>
      <c r="C30" s="44"/>
      <c r="D30" s="44"/>
      <c r="E30" s="44"/>
      <c r="F30" s="44"/>
      <c r="G30" s="44"/>
      <c r="H30" s="45"/>
      <c r="I30" s="31"/>
      <c r="J30" s="35"/>
      <c r="K30" s="35"/>
      <c r="L30" s="35"/>
      <c r="M30" s="35"/>
      <c r="N30" s="35"/>
      <c r="O30" s="35"/>
      <c r="P30" s="35"/>
      <c r="Q30" s="36"/>
      <c r="R30" s="34"/>
      <c r="S30" s="35"/>
      <c r="T30" s="35"/>
      <c r="U30" s="35"/>
      <c r="V30" s="35"/>
      <c r="W30" s="35"/>
      <c r="X30" s="36"/>
      <c r="Y30" s="440"/>
      <c r="Z30" s="441"/>
      <c r="AA30" s="442"/>
      <c r="AB30" s="443"/>
      <c r="AC30" s="444"/>
      <c r="AD30" s="51"/>
      <c r="AE30" s="29"/>
      <c r="AF30" s="29"/>
      <c r="AG30" s="29"/>
      <c r="AH30" s="28"/>
      <c r="AI30" s="28"/>
      <c r="AJ30" s="28"/>
      <c r="AK30" s="28"/>
      <c r="AL30" s="28"/>
      <c r="AM30" s="28"/>
      <c r="AN30" s="28"/>
      <c r="AO30" s="29"/>
      <c r="AP30" s="29"/>
      <c r="AQ30" s="29"/>
      <c r="AR30" s="29"/>
      <c r="AS30" s="42"/>
      <c r="AT30" s="49"/>
      <c r="AU30" s="48"/>
      <c r="AV30" s="48"/>
      <c r="AW30" s="48"/>
      <c r="AX30" s="48"/>
      <c r="AY30" s="48"/>
      <c r="AZ30" s="48"/>
      <c r="BA30" s="48"/>
      <c r="BB30" s="48"/>
      <c r="BC30" s="48"/>
      <c r="BD30" s="66"/>
    </row>
    <row r="31" spans="1:56" ht="14.4" customHeight="1">
      <c r="A31" s="50" t="str">
        <f>IF(B31="","",COUNTA($B$10:B31))</f>
        <v/>
      </c>
      <c r="B31" s="31"/>
      <c r="C31" s="44"/>
      <c r="D31" s="44"/>
      <c r="E31" s="44"/>
      <c r="F31" s="44"/>
      <c r="G31" s="44"/>
      <c r="H31" s="45"/>
      <c r="I31" s="31"/>
      <c r="J31" s="35"/>
      <c r="K31" s="35"/>
      <c r="L31" s="35"/>
      <c r="M31" s="35"/>
      <c r="N31" s="35"/>
      <c r="O31" s="35"/>
      <c r="P31" s="35"/>
      <c r="Q31" s="36"/>
      <c r="R31" s="34"/>
      <c r="S31" s="35"/>
      <c r="T31" s="35"/>
      <c r="U31" s="35"/>
      <c r="V31" s="35"/>
      <c r="W31" s="35"/>
      <c r="X31" s="36"/>
      <c r="Y31" s="440"/>
      <c r="Z31" s="441"/>
      <c r="AA31" s="442"/>
      <c r="AB31" s="443"/>
      <c r="AC31" s="444"/>
      <c r="AD31" s="51"/>
      <c r="AE31" s="29"/>
      <c r="AF31" s="29"/>
      <c r="AG31" s="29"/>
      <c r="AH31" s="28"/>
      <c r="AI31" s="28"/>
      <c r="AJ31" s="28"/>
      <c r="AK31" s="28"/>
      <c r="AL31" s="28"/>
      <c r="AM31" s="28"/>
      <c r="AN31" s="28"/>
      <c r="AO31" s="29"/>
      <c r="AP31" s="29"/>
      <c r="AQ31" s="29"/>
      <c r="AR31" s="29"/>
      <c r="AS31" s="42"/>
      <c r="AT31" s="49"/>
      <c r="AU31" s="48"/>
      <c r="AV31" s="48"/>
      <c r="AW31" s="48"/>
      <c r="AX31" s="48"/>
      <c r="AY31" s="48"/>
      <c r="AZ31" s="48"/>
      <c r="BA31" s="48"/>
      <c r="BB31" s="48"/>
      <c r="BC31" s="48"/>
      <c r="BD31" s="66"/>
    </row>
    <row r="32" spans="1:56" ht="14.4" customHeight="1">
      <c r="A32" s="50" t="str">
        <f>IF(B32="","",COUNTA($B$10:B32))</f>
        <v/>
      </c>
      <c r="B32" s="19"/>
      <c r="C32" s="20"/>
      <c r="D32" s="20"/>
      <c r="E32" s="20"/>
      <c r="F32" s="20"/>
      <c r="G32" s="20"/>
      <c r="H32" s="24"/>
      <c r="I32" s="31"/>
      <c r="J32" s="23"/>
      <c r="K32" s="23"/>
      <c r="L32" s="23"/>
      <c r="M32" s="23"/>
      <c r="N32" s="23"/>
      <c r="O32" s="23"/>
      <c r="P32" s="23"/>
      <c r="Q32" s="37"/>
      <c r="R32" s="22"/>
      <c r="S32" s="23"/>
      <c r="T32" s="23"/>
      <c r="U32" s="23"/>
      <c r="V32" s="23"/>
      <c r="W32" s="23"/>
      <c r="X32" s="37"/>
      <c r="Y32" s="440"/>
      <c r="Z32" s="441"/>
      <c r="AA32" s="442"/>
      <c r="AB32" s="443"/>
      <c r="AC32" s="444"/>
      <c r="AD32" s="51"/>
      <c r="AE32" s="29"/>
      <c r="AF32" s="29"/>
      <c r="AG32" s="29"/>
      <c r="AH32" s="40"/>
      <c r="AI32" s="40"/>
      <c r="AJ32" s="40"/>
      <c r="AK32" s="40"/>
      <c r="AL32" s="40"/>
      <c r="AM32" s="40"/>
      <c r="AN32" s="40"/>
      <c r="AO32" s="41"/>
      <c r="AP32" s="41"/>
      <c r="AQ32" s="41"/>
      <c r="AR32" s="41"/>
      <c r="AS32" s="42"/>
      <c r="AT32" s="43"/>
      <c r="AU32" s="67"/>
      <c r="AV32" s="67"/>
      <c r="AW32" s="67"/>
      <c r="AX32" s="67"/>
      <c r="AY32" s="67"/>
      <c r="AZ32" s="67"/>
      <c r="BA32" s="67"/>
      <c r="BB32" s="67"/>
      <c r="BC32" s="67"/>
      <c r="BD32" s="68"/>
    </row>
    <row r="33" spans="1:56" ht="14.4" customHeight="1">
      <c r="A33" s="50" t="str">
        <f>IF(B33="","",COUNTA($B$10:B33))</f>
        <v/>
      </c>
      <c r="B33" s="19"/>
      <c r="C33" s="20"/>
      <c r="D33" s="20"/>
      <c r="E33" s="20"/>
      <c r="F33" s="20"/>
      <c r="G33" s="20"/>
      <c r="H33" s="24"/>
      <c r="I33" s="31"/>
      <c r="J33" s="23"/>
      <c r="K33" s="23"/>
      <c r="L33" s="23"/>
      <c r="M33" s="23"/>
      <c r="N33" s="23"/>
      <c r="O33" s="23"/>
      <c r="P33" s="23"/>
      <c r="Q33" s="37"/>
      <c r="R33" s="22"/>
      <c r="S33" s="23"/>
      <c r="T33" s="23"/>
      <c r="U33" s="23"/>
      <c r="V33" s="23"/>
      <c r="W33" s="23"/>
      <c r="X33" s="37"/>
      <c r="Y33" s="440"/>
      <c r="Z33" s="441"/>
      <c r="AA33" s="442"/>
      <c r="AB33" s="443"/>
      <c r="AC33" s="444"/>
      <c r="AD33" s="51"/>
      <c r="AE33" s="29"/>
      <c r="AF33" s="29"/>
      <c r="AG33" s="29"/>
      <c r="AH33" s="40"/>
      <c r="AI33" s="40"/>
      <c r="AJ33" s="40"/>
      <c r="AK33" s="40"/>
      <c r="AL33" s="40"/>
      <c r="AM33" s="40"/>
      <c r="AN33" s="40"/>
      <c r="AO33" s="41"/>
      <c r="AP33" s="41"/>
      <c r="AQ33" s="41"/>
      <c r="AR33" s="41"/>
      <c r="AS33" s="42"/>
      <c r="AT33" s="43"/>
      <c r="AU33" s="67"/>
      <c r="AV33" s="67"/>
      <c r="AW33" s="67"/>
      <c r="AX33" s="67"/>
      <c r="AY33" s="67"/>
      <c r="AZ33" s="67"/>
      <c r="BA33" s="67"/>
      <c r="BB33" s="67"/>
      <c r="BC33" s="67"/>
      <c r="BD33" s="68"/>
    </row>
    <row r="34" spans="1:56" ht="14.4" customHeight="1">
      <c r="A34" s="50" t="str">
        <f>IF(B34="","",COUNTA($B$10:B34))</f>
        <v/>
      </c>
      <c r="B34" s="19"/>
      <c r="C34" s="20"/>
      <c r="D34" s="20"/>
      <c r="E34" s="20"/>
      <c r="F34" s="20"/>
      <c r="G34" s="20"/>
      <c r="H34" s="24"/>
      <c r="I34" s="31"/>
      <c r="J34" s="23"/>
      <c r="K34" s="23"/>
      <c r="L34" s="23"/>
      <c r="M34" s="23"/>
      <c r="N34" s="23"/>
      <c r="O34" s="23"/>
      <c r="P34" s="23"/>
      <c r="Q34" s="37"/>
      <c r="R34" s="22"/>
      <c r="S34" s="23"/>
      <c r="T34" s="23"/>
      <c r="U34" s="23"/>
      <c r="V34" s="23"/>
      <c r="W34" s="23"/>
      <c r="X34" s="37"/>
      <c r="Y34" s="440"/>
      <c r="Z34" s="441"/>
      <c r="AA34" s="442"/>
      <c r="AB34" s="443"/>
      <c r="AC34" s="444"/>
      <c r="AD34" s="51"/>
      <c r="AE34" s="29"/>
      <c r="AF34" s="29"/>
      <c r="AG34" s="29"/>
      <c r="AH34" s="40"/>
      <c r="AI34" s="40"/>
      <c r="AJ34" s="40"/>
      <c r="AK34" s="40"/>
      <c r="AL34" s="40"/>
      <c r="AM34" s="40"/>
      <c r="AN34" s="40"/>
      <c r="AO34" s="41"/>
      <c r="AP34" s="41"/>
      <c r="AQ34" s="41"/>
      <c r="AR34" s="41"/>
      <c r="AS34" s="42"/>
      <c r="AT34" s="43"/>
      <c r="AU34" s="67"/>
      <c r="AV34" s="67"/>
      <c r="AW34" s="67"/>
      <c r="AX34" s="67"/>
      <c r="AY34" s="67"/>
      <c r="AZ34" s="67"/>
      <c r="BA34" s="67"/>
      <c r="BB34" s="67"/>
      <c r="BC34" s="67"/>
      <c r="BD34" s="68"/>
    </row>
    <row r="35" spans="1:56" ht="14.4" customHeight="1">
      <c r="A35" s="50" t="str">
        <f>IF(B35="","",COUNTA($B$10:B35))</f>
        <v/>
      </c>
      <c r="B35" s="19"/>
      <c r="C35" s="20"/>
      <c r="D35" s="20"/>
      <c r="E35" s="20"/>
      <c r="F35" s="20"/>
      <c r="G35" s="20"/>
      <c r="H35" s="24"/>
      <c r="I35" s="31"/>
      <c r="J35" s="23"/>
      <c r="K35" s="23"/>
      <c r="L35" s="23"/>
      <c r="M35" s="23"/>
      <c r="N35" s="23"/>
      <c r="O35" s="23"/>
      <c r="P35" s="23"/>
      <c r="Q35" s="37"/>
      <c r="R35" s="22"/>
      <c r="S35" s="23"/>
      <c r="T35" s="23"/>
      <c r="U35" s="23"/>
      <c r="V35" s="23"/>
      <c r="W35" s="23"/>
      <c r="X35" s="37"/>
      <c r="Y35" s="440"/>
      <c r="Z35" s="441"/>
      <c r="AA35" s="442"/>
      <c r="AB35" s="443"/>
      <c r="AC35" s="444"/>
      <c r="AD35" s="51"/>
      <c r="AE35" s="29"/>
      <c r="AF35" s="29"/>
      <c r="AG35" s="29"/>
      <c r="AH35" s="40"/>
      <c r="AI35" s="40"/>
      <c r="AJ35" s="40"/>
      <c r="AK35" s="40"/>
      <c r="AL35" s="40"/>
      <c r="AM35" s="40"/>
      <c r="AN35" s="40"/>
      <c r="AO35" s="41"/>
      <c r="AP35" s="41"/>
      <c r="AQ35" s="41"/>
      <c r="AR35" s="41"/>
      <c r="AS35" s="42"/>
      <c r="AT35" s="43"/>
      <c r="AU35" s="67"/>
      <c r="AV35" s="67"/>
      <c r="AW35" s="67"/>
      <c r="AX35" s="67"/>
      <c r="AY35" s="67"/>
      <c r="AZ35" s="67"/>
      <c r="BA35" s="67"/>
      <c r="BB35" s="67"/>
      <c r="BC35" s="67"/>
      <c r="BD35" s="68"/>
    </row>
    <row r="36" spans="1:56" ht="14.4" customHeight="1">
      <c r="A36" s="50" t="str">
        <f>IF(B36="","",COUNTA($B$10:B36))</f>
        <v/>
      </c>
      <c r="B36" s="19"/>
      <c r="C36" s="20"/>
      <c r="D36" s="20"/>
      <c r="E36" s="20"/>
      <c r="F36" s="20"/>
      <c r="G36" s="20"/>
      <c r="H36" s="24"/>
      <c r="I36" s="31"/>
      <c r="J36" s="23"/>
      <c r="K36" s="23"/>
      <c r="L36" s="23"/>
      <c r="M36" s="23"/>
      <c r="N36" s="23"/>
      <c r="O36" s="23"/>
      <c r="P36" s="23"/>
      <c r="Q36" s="37"/>
      <c r="R36" s="22"/>
      <c r="S36" s="23"/>
      <c r="T36" s="23"/>
      <c r="U36" s="23"/>
      <c r="V36" s="23"/>
      <c r="W36" s="23"/>
      <c r="X36" s="37"/>
      <c r="Y36" s="440"/>
      <c r="Z36" s="441"/>
      <c r="AA36" s="442"/>
      <c r="AB36" s="443"/>
      <c r="AC36" s="444"/>
      <c r="AD36" s="51"/>
      <c r="AE36" s="29"/>
      <c r="AF36" s="29"/>
      <c r="AG36" s="29"/>
      <c r="AH36" s="40"/>
      <c r="AI36" s="40"/>
      <c r="AJ36" s="40"/>
      <c r="AK36" s="40"/>
      <c r="AL36" s="40"/>
      <c r="AM36" s="40"/>
      <c r="AN36" s="40"/>
      <c r="AO36" s="41"/>
      <c r="AP36" s="41"/>
      <c r="AQ36" s="41"/>
      <c r="AR36" s="41"/>
      <c r="AS36" s="42"/>
      <c r="AT36" s="43"/>
      <c r="AU36" s="67"/>
      <c r="AV36" s="67"/>
      <c r="AW36" s="67"/>
      <c r="AX36" s="67"/>
      <c r="AY36" s="67"/>
      <c r="AZ36" s="67"/>
      <c r="BA36" s="67"/>
      <c r="BB36" s="67"/>
      <c r="BC36" s="67"/>
      <c r="BD36" s="68"/>
    </row>
    <row r="37" spans="1:56" ht="14.4" customHeight="1">
      <c r="A37" s="50" t="str">
        <f>IF(B37="","",COUNTA($B$10:B37))</f>
        <v/>
      </c>
      <c r="B37" s="19"/>
      <c r="C37" s="20"/>
      <c r="D37" s="20"/>
      <c r="E37" s="20"/>
      <c r="F37" s="20"/>
      <c r="G37" s="20"/>
      <c r="H37" s="24"/>
      <c r="I37" s="31"/>
      <c r="J37" s="23"/>
      <c r="K37" s="23"/>
      <c r="L37" s="23"/>
      <c r="M37" s="23"/>
      <c r="N37" s="23"/>
      <c r="O37" s="23"/>
      <c r="P37" s="23"/>
      <c r="Q37" s="37"/>
      <c r="R37" s="22"/>
      <c r="S37" s="23"/>
      <c r="T37" s="23"/>
      <c r="U37" s="23"/>
      <c r="V37" s="23"/>
      <c r="W37" s="23"/>
      <c r="X37" s="37"/>
      <c r="Y37" s="440"/>
      <c r="Z37" s="441"/>
      <c r="AA37" s="442"/>
      <c r="AB37" s="443"/>
      <c r="AC37" s="444"/>
      <c r="AD37" s="51"/>
      <c r="AE37" s="29"/>
      <c r="AF37" s="29"/>
      <c r="AG37" s="29"/>
      <c r="AH37" s="40"/>
      <c r="AI37" s="40"/>
      <c r="AJ37" s="40"/>
      <c r="AK37" s="40"/>
      <c r="AL37" s="40"/>
      <c r="AM37" s="40"/>
      <c r="AN37" s="40"/>
      <c r="AO37" s="41"/>
      <c r="AP37" s="41"/>
      <c r="AQ37" s="41"/>
      <c r="AR37" s="41"/>
      <c r="AS37" s="42"/>
      <c r="AT37" s="43"/>
      <c r="AU37" s="67"/>
      <c r="AV37" s="67"/>
      <c r="AW37" s="67"/>
      <c r="AX37" s="67"/>
      <c r="AY37" s="67"/>
      <c r="AZ37" s="67"/>
      <c r="BA37" s="67"/>
      <c r="BB37" s="67"/>
      <c r="BC37" s="67"/>
      <c r="BD37" s="68"/>
    </row>
    <row r="38" spans="1:56" ht="14.4" customHeight="1">
      <c r="A38" s="50" t="str">
        <f>IF(B38="","",COUNTA($B$10:B38))</f>
        <v/>
      </c>
      <c r="B38" s="19"/>
      <c r="C38" s="20"/>
      <c r="D38" s="20"/>
      <c r="E38" s="20"/>
      <c r="F38" s="20"/>
      <c r="G38" s="20"/>
      <c r="H38" s="24"/>
      <c r="I38" s="31"/>
      <c r="J38" s="23"/>
      <c r="K38" s="23"/>
      <c r="L38" s="23"/>
      <c r="M38" s="23"/>
      <c r="N38" s="23"/>
      <c r="O38" s="23"/>
      <c r="P38" s="23"/>
      <c r="Q38" s="37"/>
      <c r="R38" s="22"/>
      <c r="S38" s="23"/>
      <c r="T38" s="23"/>
      <c r="U38" s="23"/>
      <c r="V38" s="23"/>
      <c r="W38" s="23"/>
      <c r="X38" s="37"/>
      <c r="Y38" s="440"/>
      <c r="Z38" s="441"/>
      <c r="AA38" s="442"/>
      <c r="AB38" s="443"/>
      <c r="AC38" s="444"/>
      <c r="AD38" s="51"/>
      <c r="AE38" s="29"/>
      <c r="AF38" s="29"/>
      <c r="AG38" s="29"/>
      <c r="AH38" s="40"/>
      <c r="AI38" s="40"/>
      <c r="AJ38" s="40"/>
      <c r="AK38" s="40"/>
      <c r="AL38" s="40"/>
      <c r="AM38" s="40"/>
      <c r="AN38" s="40"/>
      <c r="AO38" s="41"/>
      <c r="AP38" s="41"/>
      <c r="AQ38" s="41"/>
      <c r="AR38" s="41"/>
      <c r="AS38" s="42"/>
      <c r="AT38" s="43"/>
      <c r="AU38" s="67"/>
      <c r="AV38" s="67"/>
      <c r="AW38" s="67"/>
      <c r="AX38" s="67"/>
      <c r="AY38" s="67"/>
      <c r="AZ38" s="67"/>
      <c r="BA38" s="67"/>
      <c r="BB38" s="67"/>
      <c r="BC38" s="67"/>
      <c r="BD38" s="68"/>
    </row>
    <row r="39" spans="1:56" ht="14.4" customHeight="1">
      <c r="A39" s="50" t="str">
        <f>IF(B39="","",COUNTA($B$10:B39))</f>
        <v/>
      </c>
      <c r="B39" s="19"/>
      <c r="C39" s="20"/>
      <c r="D39" s="20"/>
      <c r="E39" s="20"/>
      <c r="F39" s="20"/>
      <c r="G39" s="20"/>
      <c r="H39" s="24"/>
      <c r="I39" s="31"/>
      <c r="J39" s="23"/>
      <c r="K39" s="23"/>
      <c r="L39" s="23"/>
      <c r="M39" s="23"/>
      <c r="N39" s="23"/>
      <c r="O39" s="23"/>
      <c r="P39" s="23"/>
      <c r="Q39" s="37"/>
      <c r="R39" s="22"/>
      <c r="S39" s="23"/>
      <c r="T39" s="23"/>
      <c r="U39" s="23"/>
      <c r="V39" s="23"/>
      <c r="W39" s="23"/>
      <c r="X39" s="37"/>
      <c r="Y39" s="440"/>
      <c r="Z39" s="441"/>
      <c r="AA39" s="442"/>
      <c r="AB39" s="443"/>
      <c r="AC39" s="444"/>
      <c r="AD39" s="51"/>
      <c r="AE39" s="29"/>
      <c r="AF39" s="29"/>
      <c r="AG39" s="29"/>
      <c r="AH39" s="40"/>
      <c r="AI39" s="40"/>
      <c r="AJ39" s="40"/>
      <c r="AK39" s="40"/>
      <c r="AL39" s="40"/>
      <c r="AM39" s="40"/>
      <c r="AN39" s="40"/>
      <c r="AO39" s="41"/>
      <c r="AP39" s="41"/>
      <c r="AQ39" s="41"/>
      <c r="AR39" s="41"/>
      <c r="AS39" s="42"/>
      <c r="AT39" s="43"/>
      <c r="AU39" s="67"/>
      <c r="AV39" s="67"/>
      <c r="AW39" s="67"/>
      <c r="AX39" s="67"/>
      <c r="AY39" s="67"/>
      <c r="AZ39" s="67"/>
      <c r="BA39" s="67"/>
      <c r="BB39" s="67"/>
      <c r="BC39" s="67"/>
      <c r="BD39" s="68"/>
    </row>
    <row r="40" spans="1:56" ht="14.4" customHeight="1">
      <c r="A40" s="50" t="str">
        <f>IF(B40="","",COUNTA($B$10:B40))</f>
        <v/>
      </c>
      <c r="B40" s="19"/>
      <c r="C40" s="20"/>
      <c r="D40" s="20"/>
      <c r="E40" s="20"/>
      <c r="F40" s="20"/>
      <c r="G40" s="20"/>
      <c r="H40" s="24"/>
      <c r="I40" s="31"/>
      <c r="J40" s="23"/>
      <c r="K40" s="23"/>
      <c r="L40" s="23"/>
      <c r="M40" s="23"/>
      <c r="N40" s="23"/>
      <c r="O40" s="23"/>
      <c r="P40" s="23"/>
      <c r="Q40" s="37"/>
      <c r="R40" s="22"/>
      <c r="S40" s="23"/>
      <c r="T40" s="23"/>
      <c r="U40" s="23"/>
      <c r="V40" s="23"/>
      <c r="W40" s="23"/>
      <c r="X40" s="37"/>
      <c r="Y40" s="440"/>
      <c r="Z40" s="441"/>
      <c r="AA40" s="442"/>
      <c r="AB40" s="443"/>
      <c r="AC40" s="444"/>
      <c r="AD40" s="51"/>
      <c r="AE40" s="29"/>
      <c r="AF40" s="29"/>
      <c r="AG40" s="29"/>
      <c r="AH40" s="40"/>
      <c r="AI40" s="40"/>
      <c r="AJ40" s="40"/>
      <c r="AK40" s="40"/>
      <c r="AL40" s="40"/>
      <c r="AM40" s="40"/>
      <c r="AN40" s="40"/>
      <c r="AO40" s="41"/>
      <c r="AP40" s="41"/>
      <c r="AQ40" s="41"/>
      <c r="AR40" s="41"/>
      <c r="AS40" s="42"/>
      <c r="AT40" s="43"/>
      <c r="AU40" s="67"/>
      <c r="AV40" s="67"/>
      <c r="AW40" s="67"/>
      <c r="AX40" s="67"/>
      <c r="AY40" s="67"/>
      <c r="AZ40" s="67"/>
      <c r="BA40" s="67"/>
      <c r="BB40" s="67"/>
      <c r="BC40" s="67"/>
      <c r="BD40" s="68"/>
    </row>
    <row r="41" spans="1:56" ht="14.4" customHeight="1">
      <c r="A41" s="50" t="str">
        <f>IF(B41="","",COUNTA($B$10:B41))</f>
        <v/>
      </c>
      <c r="B41" s="19"/>
      <c r="C41" s="20"/>
      <c r="D41" s="20"/>
      <c r="E41" s="20"/>
      <c r="F41" s="20"/>
      <c r="G41" s="20"/>
      <c r="H41" s="24"/>
      <c r="I41" s="31"/>
      <c r="J41" s="23"/>
      <c r="K41" s="23"/>
      <c r="L41" s="23"/>
      <c r="M41" s="23"/>
      <c r="N41" s="23"/>
      <c r="O41" s="23"/>
      <c r="P41" s="23"/>
      <c r="Q41" s="37"/>
      <c r="R41" s="22"/>
      <c r="S41" s="23"/>
      <c r="T41" s="23"/>
      <c r="U41" s="23"/>
      <c r="V41" s="23"/>
      <c r="W41" s="23"/>
      <c r="X41" s="37"/>
      <c r="Y41" s="440"/>
      <c r="Z41" s="441"/>
      <c r="AA41" s="442"/>
      <c r="AB41" s="443"/>
      <c r="AC41" s="444"/>
      <c r="AD41" s="51"/>
      <c r="AE41" s="29"/>
      <c r="AF41" s="29"/>
      <c r="AG41" s="29"/>
      <c r="AH41" s="40"/>
      <c r="AI41" s="40"/>
      <c r="AJ41" s="40"/>
      <c r="AK41" s="40"/>
      <c r="AL41" s="40"/>
      <c r="AM41" s="40"/>
      <c r="AN41" s="40"/>
      <c r="AO41" s="41"/>
      <c r="AP41" s="41"/>
      <c r="AQ41" s="41"/>
      <c r="AR41" s="41"/>
      <c r="AS41" s="42"/>
      <c r="AT41" s="43"/>
      <c r="AU41" s="67"/>
      <c r="AV41" s="67"/>
      <c r="AW41" s="67"/>
      <c r="AX41" s="67"/>
      <c r="AY41" s="67"/>
      <c r="AZ41" s="67"/>
      <c r="BA41" s="67"/>
      <c r="BB41" s="67"/>
      <c r="BC41" s="67"/>
      <c r="BD41" s="68"/>
    </row>
    <row r="42" spans="1:56" ht="14.4" customHeight="1">
      <c r="A42" s="50" t="str">
        <f>IF(B42="","",COUNTA($B$10:B42))</f>
        <v/>
      </c>
      <c r="B42" s="19"/>
      <c r="C42" s="20"/>
      <c r="D42" s="20"/>
      <c r="E42" s="20"/>
      <c r="F42" s="20"/>
      <c r="G42" s="20"/>
      <c r="H42" s="24"/>
      <c r="I42" s="31"/>
      <c r="J42" s="23"/>
      <c r="K42" s="23"/>
      <c r="L42" s="23"/>
      <c r="M42" s="23"/>
      <c r="N42" s="23"/>
      <c r="O42" s="23"/>
      <c r="P42" s="23"/>
      <c r="Q42" s="37"/>
      <c r="R42" s="22"/>
      <c r="S42" s="23"/>
      <c r="T42" s="23"/>
      <c r="U42" s="23"/>
      <c r="V42" s="23"/>
      <c r="W42" s="23"/>
      <c r="X42" s="37"/>
      <c r="Y42" s="440"/>
      <c r="Z42" s="441"/>
      <c r="AA42" s="442"/>
      <c r="AB42" s="443"/>
      <c r="AC42" s="444"/>
      <c r="AD42" s="51"/>
      <c r="AE42" s="29"/>
      <c r="AF42" s="29"/>
      <c r="AG42" s="29"/>
      <c r="AH42" s="40"/>
      <c r="AI42" s="40"/>
      <c r="AJ42" s="40"/>
      <c r="AK42" s="40"/>
      <c r="AL42" s="40"/>
      <c r="AM42" s="40"/>
      <c r="AN42" s="40"/>
      <c r="AO42" s="41"/>
      <c r="AP42" s="41"/>
      <c r="AQ42" s="41"/>
      <c r="AR42" s="41"/>
      <c r="AS42" s="42"/>
      <c r="AT42" s="43"/>
      <c r="AU42" s="67"/>
      <c r="AV42" s="67"/>
      <c r="AW42" s="67"/>
      <c r="AX42" s="67"/>
      <c r="AY42" s="67"/>
      <c r="AZ42" s="67"/>
      <c r="BA42" s="67"/>
      <c r="BB42" s="67"/>
      <c r="BC42" s="67"/>
      <c r="BD42" s="68"/>
    </row>
    <row r="43" spans="1:56" ht="14.4" customHeight="1">
      <c r="A43" s="50" t="str">
        <f>IF(B43="","",COUNTA($B$10:B43))</f>
        <v/>
      </c>
      <c r="B43" s="19"/>
      <c r="C43" s="20"/>
      <c r="D43" s="20"/>
      <c r="E43" s="20"/>
      <c r="F43" s="20"/>
      <c r="G43" s="20"/>
      <c r="H43" s="24"/>
      <c r="I43" s="31"/>
      <c r="J43" s="23"/>
      <c r="K43" s="23"/>
      <c r="L43" s="23"/>
      <c r="M43" s="23"/>
      <c r="N43" s="23"/>
      <c r="O43" s="23"/>
      <c r="P43" s="23"/>
      <c r="Q43" s="37"/>
      <c r="R43" s="22"/>
      <c r="S43" s="23"/>
      <c r="T43" s="23"/>
      <c r="U43" s="23"/>
      <c r="V43" s="23"/>
      <c r="W43" s="23"/>
      <c r="X43" s="37"/>
      <c r="Y43" s="440"/>
      <c r="Z43" s="441"/>
      <c r="AA43" s="442"/>
      <c r="AB43" s="443"/>
      <c r="AC43" s="444"/>
      <c r="AD43" s="51"/>
      <c r="AE43" s="29"/>
      <c r="AF43" s="29"/>
      <c r="AG43" s="29"/>
      <c r="AH43" s="40"/>
      <c r="AI43" s="40"/>
      <c r="AJ43" s="40"/>
      <c r="AK43" s="40"/>
      <c r="AL43" s="40"/>
      <c r="AM43" s="40"/>
      <c r="AN43" s="40"/>
      <c r="AO43" s="41"/>
      <c r="AP43" s="41"/>
      <c r="AQ43" s="41"/>
      <c r="AR43" s="41"/>
      <c r="AS43" s="42"/>
      <c r="AT43" s="43"/>
      <c r="AU43" s="67"/>
      <c r="AV43" s="67"/>
      <c r="AW43" s="67"/>
      <c r="AX43" s="67"/>
      <c r="AY43" s="67"/>
      <c r="AZ43" s="67"/>
      <c r="BA43" s="67"/>
      <c r="BB43" s="67"/>
      <c r="BC43" s="67"/>
      <c r="BD43" s="68"/>
    </row>
    <row r="44" spans="1:56" ht="14.4" customHeight="1">
      <c r="A44" s="50" t="str">
        <f>IF(B44="","",COUNTA($B$10:B44))</f>
        <v/>
      </c>
      <c r="B44" s="19"/>
      <c r="C44" s="20"/>
      <c r="D44" s="20"/>
      <c r="E44" s="20"/>
      <c r="F44" s="20"/>
      <c r="G44" s="20"/>
      <c r="H44" s="24"/>
      <c r="I44" s="31"/>
      <c r="J44" s="23"/>
      <c r="K44" s="23"/>
      <c r="L44" s="23"/>
      <c r="M44" s="23"/>
      <c r="N44" s="23"/>
      <c r="O44" s="23"/>
      <c r="P44" s="23"/>
      <c r="Q44" s="37"/>
      <c r="R44" s="22"/>
      <c r="S44" s="23"/>
      <c r="T44" s="23"/>
      <c r="U44" s="23"/>
      <c r="V44" s="23"/>
      <c r="W44" s="23"/>
      <c r="X44" s="37"/>
      <c r="Y44" s="440"/>
      <c r="Z44" s="441"/>
      <c r="AA44" s="442"/>
      <c r="AB44" s="443"/>
      <c r="AC44" s="444"/>
      <c r="AD44" s="51"/>
      <c r="AE44" s="29"/>
      <c r="AF44" s="29"/>
      <c r="AG44" s="29"/>
      <c r="AH44" s="40"/>
      <c r="AI44" s="40"/>
      <c r="AJ44" s="40"/>
      <c r="AK44" s="40"/>
      <c r="AL44" s="40"/>
      <c r="AM44" s="40"/>
      <c r="AN44" s="40"/>
      <c r="AO44" s="41"/>
      <c r="AP44" s="41"/>
      <c r="AQ44" s="41"/>
      <c r="AR44" s="41"/>
      <c r="AS44" s="42"/>
      <c r="AT44" s="43"/>
      <c r="AU44" s="67"/>
      <c r="AV44" s="67"/>
      <c r="AW44" s="67"/>
      <c r="AX44" s="67"/>
      <c r="AY44" s="67"/>
      <c r="AZ44" s="67"/>
      <c r="BA44" s="67"/>
      <c r="BB44" s="67"/>
      <c r="BC44" s="67"/>
      <c r="BD44" s="68"/>
    </row>
    <row r="45" spans="1:56" ht="14.4" customHeight="1">
      <c r="A45" s="50" t="str">
        <f>IF(B45="","",COUNTA($B$10:B45))</f>
        <v/>
      </c>
      <c r="B45" s="19"/>
      <c r="C45" s="20"/>
      <c r="D45" s="20"/>
      <c r="E45" s="20"/>
      <c r="F45" s="20"/>
      <c r="G45" s="20"/>
      <c r="H45" s="24"/>
      <c r="I45" s="31"/>
      <c r="J45" s="23"/>
      <c r="K45" s="23"/>
      <c r="L45" s="23"/>
      <c r="M45" s="23"/>
      <c r="N45" s="23"/>
      <c r="O45" s="23"/>
      <c r="P45" s="23"/>
      <c r="Q45" s="37"/>
      <c r="R45" s="22"/>
      <c r="S45" s="23"/>
      <c r="T45" s="23"/>
      <c r="U45" s="23"/>
      <c r="V45" s="23"/>
      <c r="W45" s="23"/>
      <c r="X45" s="37"/>
      <c r="Y45" s="440"/>
      <c r="Z45" s="441"/>
      <c r="AA45" s="442"/>
      <c r="AB45" s="443"/>
      <c r="AC45" s="444"/>
      <c r="AD45" s="51"/>
      <c r="AE45" s="29"/>
      <c r="AF45" s="29"/>
      <c r="AG45" s="29"/>
      <c r="AH45" s="40"/>
      <c r="AI45" s="40"/>
      <c r="AJ45" s="40"/>
      <c r="AK45" s="40"/>
      <c r="AL45" s="40"/>
      <c r="AM45" s="40"/>
      <c r="AN45" s="40"/>
      <c r="AO45" s="41"/>
      <c r="AP45" s="41"/>
      <c r="AQ45" s="41"/>
      <c r="AR45" s="41"/>
      <c r="AS45" s="42"/>
      <c r="AT45" s="43"/>
      <c r="AU45" s="67"/>
      <c r="AV45" s="67"/>
      <c r="AW45" s="67"/>
      <c r="AX45" s="67"/>
      <c r="AY45" s="67"/>
      <c r="AZ45" s="67"/>
      <c r="BA45" s="67"/>
      <c r="BB45" s="67"/>
      <c r="BC45" s="67"/>
      <c r="BD45" s="68"/>
    </row>
    <row r="46" spans="1:56" ht="14.4" customHeight="1">
      <c r="A46" s="50" t="str">
        <f>IF(B46="","",COUNTA($B$10:B46))</f>
        <v/>
      </c>
      <c r="B46" s="19"/>
      <c r="C46" s="20"/>
      <c r="D46" s="20"/>
      <c r="E46" s="20"/>
      <c r="F46" s="20"/>
      <c r="G46" s="20"/>
      <c r="H46" s="24"/>
      <c r="I46" s="31"/>
      <c r="J46" s="23"/>
      <c r="K46" s="23"/>
      <c r="L46" s="23"/>
      <c r="M46" s="23"/>
      <c r="N46" s="23"/>
      <c r="O46" s="23"/>
      <c r="P46" s="23"/>
      <c r="Q46" s="37"/>
      <c r="R46" s="22"/>
      <c r="S46" s="23"/>
      <c r="T46" s="23"/>
      <c r="U46" s="23"/>
      <c r="V46" s="23"/>
      <c r="W46" s="23"/>
      <c r="X46" s="37"/>
      <c r="Y46" s="440"/>
      <c r="Z46" s="441"/>
      <c r="AA46" s="442"/>
      <c r="AB46" s="443"/>
      <c r="AC46" s="444"/>
      <c r="AD46" s="51"/>
      <c r="AE46" s="29"/>
      <c r="AF46" s="29"/>
      <c r="AG46" s="29"/>
      <c r="AH46" s="40"/>
      <c r="AI46" s="40"/>
      <c r="AJ46" s="40"/>
      <c r="AK46" s="40"/>
      <c r="AL46" s="40"/>
      <c r="AM46" s="40"/>
      <c r="AN46" s="40"/>
      <c r="AO46" s="41"/>
      <c r="AP46" s="41"/>
      <c r="AQ46" s="41"/>
      <c r="AR46" s="41"/>
      <c r="AS46" s="42"/>
      <c r="AT46" s="43"/>
      <c r="AU46" s="67"/>
      <c r="AV46" s="67"/>
      <c r="AW46" s="67"/>
      <c r="AX46" s="67"/>
      <c r="AY46" s="67"/>
      <c r="AZ46" s="67"/>
      <c r="BA46" s="67"/>
      <c r="BB46" s="67"/>
      <c r="BC46" s="67"/>
      <c r="BD46" s="68"/>
    </row>
  </sheetData>
  <mergeCells count="110">
    <mergeCell ref="Y43:Z43"/>
    <mergeCell ref="AA43:AC43"/>
    <mergeCell ref="Y44:Z44"/>
    <mergeCell ref="AA44:AC44"/>
    <mergeCell ref="Y11:Z11"/>
    <mergeCell ref="AA11:AC11"/>
    <mergeCell ref="Y40:Z40"/>
    <mergeCell ref="AA40:AC40"/>
    <mergeCell ref="Y41:Z41"/>
    <mergeCell ref="AA41:AC41"/>
    <mergeCell ref="Y42:Z42"/>
    <mergeCell ref="AA42:AC42"/>
    <mergeCell ref="Y37:Z37"/>
    <mergeCell ref="AA37:AC37"/>
    <mergeCell ref="Y38:Z38"/>
    <mergeCell ref="AA38:AC38"/>
    <mergeCell ref="Y39:Z39"/>
    <mergeCell ref="AA39:AC39"/>
    <mergeCell ref="Y34:Z34"/>
    <mergeCell ref="AA34:AC34"/>
    <mergeCell ref="Y35:Z35"/>
    <mergeCell ref="AA35:AC35"/>
    <mergeCell ref="Y36:Z36"/>
    <mergeCell ref="AA36:AC36"/>
    <mergeCell ref="Y31:Z31"/>
    <mergeCell ref="AA31:AC31"/>
    <mergeCell ref="Y32:Z32"/>
    <mergeCell ref="AA32:AC32"/>
    <mergeCell ref="Y33:Z33"/>
    <mergeCell ref="AA33:AC33"/>
    <mergeCell ref="Y28:Z28"/>
    <mergeCell ref="AA28:AC28"/>
    <mergeCell ref="Y29:Z29"/>
    <mergeCell ref="AA29:AC29"/>
    <mergeCell ref="Y30:Z30"/>
    <mergeCell ref="AA30:AC30"/>
    <mergeCell ref="Y25:Z25"/>
    <mergeCell ref="AA25:AC25"/>
    <mergeCell ref="Y26:Z26"/>
    <mergeCell ref="AA26:AC26"/>
    <mergeCell ref="Y27:Z27"/>
    <mergeCell ref="AA27:AC27"/>
    <mergeCell ref="Y22:Z22"/>
    <mergeCell ref="AA22:AC22"/>
    <mergeCell ref="Y23:Z23"/>
    <mergeCell ref="AA23:AC23"/>
    <mergeCell ref="Y24:Z24"/>
    <mergeCell ref="AA24:AC24"/>
    <mergeCell ref="Y19:Z19"/>
    <mergeCell ref="AA19:AC19"/>
    <mergeCell ref="Y20:Z20"/>
    <mergeCell ref="AA20:AC20"/>
    <mergeCell ref="Y21:Z21"/>
    <mergeCell ref="AA21:AC21"/>
    <mergeCell ref="Y16:Z16"/>
    <mergeCell ref="AA16:AC16"/>
    <mergeCell ref="Y17:Z17"/>
    <mergeCell ref="AA17:AC17"/>
    <mergeCell ref="Y18:Z18"/>
    <mergeCell ref="AA18:AC18"/>
    <mergeCell ref="Y14:Z14"/>
    <mergeCell ref="AA14:AC14"/>
    <mergeCell ref="Y15:Z15"/>
    <mergeCell ref="AA15:AC15"/>
    <mergeCell ref="Y13:Z13"/>
    <mergeCell ref="AA13:AC13"/>
    <mergeCell ref="Y9:Z9"/>
    <mergeCell ref="AA9:AC9"/>
    <mergeCell ref="Y10:Z10"/>
    <mergeCell ref="AA10:AC10"/>
    <mergeCell ref="Y12:Z12"/>
    <mergeCell ref="AA12:AC12"/>
    <mergeCell ref="AS6:BD7"/>
    <mergeCell ref="Y8:Z8"/>
    <mergeCell ref="AA8:AC8"/>
    <mergeCell ref="AZ4:BD4"/>
    <mergeCell ref="A6:A7"/>
    <mergeCell ref="B6:H7"/>
    <mergeCell ref="I6:Q7"/>
    <mergeCell ref="R6:X7"/>
    <mergeCell ref="Y6:Z7"/>
    <mergeCell ref="AA6:AC7"/>
    <mergeCell ref="AD6:AD7"/>
    <mergeCell ref="AE6:AE7"/>
    <mergeCell ref="AF6:AF7"/>
    <mergeCell ref="A1:H4"/>
    <mergeCell ref="Y45:Z45"/>
    <mergeCell ref="AA45:AC45"/>
    <mergeCell ref="Y46:Z46"/>
    <mergeCell ref="AA46:AC46"/>
    <mergeCell ref="AZ1:BD1"/>
    <mergeCell ref="I2:Q4"/>
    <mergeCell ref="R2:X4"/>
    <mergeCell ref="Y2:AO3"/>
    <mergeCell ref="AP2:AT2"/>
    <mergeCell ref="AZ2:BD2"/>
    <mergeCell ref="AP3:AT3"/>
    <mergeCell ref="AU3:AY3"/>
    <mergeCell ref="AZ3:BD3"/>
    <mergeCell ref="Y4:AO4"/>
    <mergeCell ref="I1:Q1"/>
    <mergeCell ref="R1:X1"/>
    <mergeCell ref="Y1:AO1"/>
    <mergeCell ref="AP1:AT1"/>
    <mergeCell ref="AU1:AY1"/>
    <mergeCell ref="AP4:AT4"/>
    <mergeCell ref="AU4:AY4"/>
    <mergeCell ref="AG6:AG7"/>
    <mergeCell ref="AH6:AH7"/>
    <mergeCell ref="AI6:AR6"/>
  </mergeCells>
  <phoneticPr fontId="5"/>
  <dataValidations count="3">
    <dataValidation imeMode="hiragana" allowBlank="1" showInputMessage="1" showErrorMessage="1" sqref="JI65527:JT65529 TE65527:TP65529 ADA65527:ADL65529 AMW65527:ANH65529 AWS65527:AXD65529 BGO65527:BGZ65529 BQK65527:BQV65529 CAG65527:CAR65529 CKC65527:CKN65529 CTY65527:CUJ65529 DDU65527:DEF65529 DNQ65527:DOB65529 DXM65527:DXX65529 EHI65527:EHT65529 ERE65527:ERP65529 FBA65527:FBL65529 FKW65527:FLH65529 FUS65527:FVD65529 GEO65527:GEZ65529 GOK65527:GOV65529 GYG65527:GYR65529 HIC65527:HIN65529 HRY65527:HSJ65529 IBU65527:ICF65529 ILQ65527:IMB65529 IVM65527:IVX65529 JFI65527:JFT65529 JPE65527:JPP65529 JZA65527:JZL65529 KIW65527:KJH65529 KSS65527:KTD65529 LCO65527:LCZ65529 LMK65527:LMV65529 LWG65527:LWR65529 MGC65527:MGN65529 MPY65527:MQJ65529 MZU65527:NAF65529 NJQ65527:NKB65529 NTM65527:NTX65529 ODI65527:ODT65529 ONE65527:ONP65529 OXA65527:OXL65529 PGW65527:PHH65529 PQS65527:PRD65529 QAO65527:QAZ65529 QKK65527:QKV65529 QUG65527:QUR65529 REC65527:REN65529 RNY65527:ROJ65529 RXU65527:RYF65529 SHQ65527:SIB65529 SRM65527:SRX65529 TBI65527:TBT65529 TLE65527:TLP65529 TVA65527:TVL65529 UEW65527:UFH65529 UOS65527:UPD65529 UYO65527:UYZ65529 VIK65527:VIV65529 VSG65527:VSR65529 WCC65527:WCN65529 WLY65527:WMJ65529 WVU65527:WWF65529 JI131063:JT131065 TE131063:TP131065 ADA131063:ADL131065 AMW131063:ANH131065 AWS131063:AXD131065 BGO131063:BGZ131065 BQK131063:BQV131065 CAG131063:CAR131065 CKC131063:CKN131065 CTY131063:CUJ131065 DDU131063:DEF131065 DNQ131063:DOB131065 DXM131063:DXX131065 EHI131063:EHT131065 ERE131063:ERP131065 FBA131063:FBL131065 FKW131063:FLH131065 FUS131063:FVD131065 GEO131063:GEZ131065 GOK131063:GOV131065 GYG131063:GYR131065 HIC131063:HIN131065 HRY131063:HSJ131065 IBU131063:ICF131065 ILQ131063:IMB131065 IVM131063:IVX131065 JFI131063:JFT131065 JPE131063:JPP131065 JZA131063:JZL131065 KIW131063:KJH131065 KSS131063:KTD131065 LCO131063:LCZ131065 LMK131063:LMV131065 LWG131063:LWR131065 MGC131063:MGN131065 MPY131063:MQJ131065 MZU131063:NAF131065 NJQ131063:NKB131065 NTM131063:NTX131065 ODI131063:ODT131065 ONE131063:ONP131065 OXA131063:OXL131065 PGW131063:PHH131065 PQS131063:PRD131065 QAO131063:QAZ131065 QKK131063:QKV131065 QUG131063:QUR131065 REC131063:REN131065 RNY131063:ROJ131065 RXU131063:RYF131065 SHQ131063:SIB131065 SRM131063:SRX131065 TBI131063:TBT131065 TLE131063:TLP131065 TVA131063:TVL131065 UEW131063:UFH131065 UOS131063:UPD131065 UYO131063:UYZ131065 VIK131063:VIV131065 VSG131063:VSR131065 WCC131063:WCN131065 WLY131063:WMJ131065 WVU131063:WWF131065 JI196599:JT196601 TE196599:TP196601 ADA196599:ADL196601 AMW196599:ANH196601 AWS196599:AXD196601 BGO196599:BGZ196601 BQK196599:BQV196601 CAG196599:CAR196601 CKC196599:CKN196601 CTY196599:CUJ196601 DDU196599:DEF196601 DNQ196599:DOB196601 DXM196599:DXX196601 EHI196599:EHT196601 ERE196599:ERP196601 FBA196599:FBL196601 FKW196599:FLH196601 FUS196599:FVD196601 GEO196599:GEZ196601 GOK196599:GOV196601 GYG196599:GYR196601 HIC196599:HIN196601 HRY196599:HSJ196601 IBU196599:ICF196601 ILQ196599:IMB196601 IVM196599:IVX196601 JFI196599:JFT196601 JPE196599:JPP196601 JZA196599:JZL196601 KIW196599:KJH196601 KSS196599:KTD196601 LCO196599:LCZ196601 LMK196599:LMV196601 LWG196599:LWR196601 MGC196599:MGN196601 MPY196599:MQJ196601 MZU196599:NAF196601 NJQ196599:NKB196601 NTM196599:NTX196601 ODI196599:ODT196601 ONE196599:ONP196601 OXA196599:OXL196601 PGW196599:PHH196601 PQS196599:PRD196601 QAO196599:QAZ196601 QKK196599:QKV196601 QUG196599:QUR196601 REC196599:REN196601 RNY196599:ROJ196601 RXU196599:RYF196601 SHQ196599:SIB196601 SRM196599:SRX196601 TBI196599:TBT196601 TLE196599:TLP196601 TVA196599:TVL196601 UEW196599:UFH196601 UOS196599:UPD196601 UYO196599:UYZ196601 VIK196599:VIV196601 VSG196599:VSR196601 WCC196599:WCN196601 WLY196599:WMJ196601 WVU196599:WWF196601 JI262135:JT262137 TE262135:TP262137 ADA262135:ADL262137 AMW262135:ANH262137 AWS262135:AXD262137 BGO262135:BGZ262137 BQK262135:BQV262137 CAG262135:CAR262137 CKC262135:CKN262137 CTY262135:CUJ262137 DDU262135:DEF262137 DNQ262135:DOB262137 DXM262135:DXX262137 EHI262135:EHT262137 ERE262135:ERP262137 FBA262135:FBL262137 FKW262135:FLH262137 FUS262135:FVD262137 GEO262135:GEZ262137 GOK262135:GOV262137 GYG262135:GYR262137 HIC262135:HIN262137 HRY262135:HSJ262137 IBU262135:ICF262137 ILQ262135:IMB262137 IVM262135:IVX262137 JFI262135:JFT262137 JPE262135:JPP262137 JZA262135:JZL262137 KIW262135:KJH262137 KSS262135:KTD262137 LCO262135:LCZ262137 LMK262135:LMV262137 LWG262135:LWR262137 MGC262135:MGN262137 MPY262135:MQJ262137 MZU262135:NAF262137 NJQ262135:NKB262137 NTM262135:NTX262137 ODI262135:ODT262137 ONE262135:ONP262137 OXA262135:OXL262137 PGW262135:PHH262137 PQS262135:PRD262137 QAO262135:QAZ262137 QKK262135:QKV262137 QUG262135:QUR262137 REC262135:REN262137 RNY262135:ROJ262137 RXU262135:RYF262137 SHQ262135:SIB262137 SRM262135:SRX262137 TBI262135:TBT262137 TLE262135:TLP262137 TVA262135:TVL262137 UEW262135:UFH262137 UOS262135:UPD262137 UYO262135:UYZ262137 VIK262135:VIV262137 VSG262135:VSR262137 WCC262135:WCN262137 WLY262135:WMJ262137 WVU262135:WWF262137 JI327671:JT327673 TE327671:TP327673 ADA327671:ADL327673 AMW327671:ANH327673 AWS327671:AXD327673 BGO327671:BGZ327673 BQK327671:BQV327673 CAG327671:CAR327673 CKC327671:CKN327673 CTY327671:CUJ327673 DDU327671:DEF327673 DNQ327671:DOB327673 DXM327671:DXX327673 EHI327671:EHT327673 ERE327671:ERP327673 FBA327671:FBL327673 FKW327671:FLH327673 FUS327671:FVD327673 GEO327671:GEZ327673 GOK327671:GOV327673 GYG327671:GYR327673 HIC327671:HIN327673 HRY327671:HSJ327673 IBU327671:ICF327673 ILQ327671:IMB327673 IVM327671:IVX327673 JFI327671:JFT327673 JPE327671:JPP327673 JZA327671:JZL327673 KIW327671:KJH327673 KSS327671:KTD327673 LCO327671:LCZ327673 LMK327671:LMV327673 LWG327671:LWR327673 MGC327671:MGN327673 MPY327671:MQJ327673 MZU327671:NAF327673 NJQ327671:NKB327673 NTM327671:NTX327673 ODI327671:ODT327673 ONE327671:ONP327673 OXA327671:OXL327673 PGW327671:PHH327673 PQS327671:PRD327673 QAO327671:QAZ327673 QKK327671:QKV327673 QUG327671:QUR327673 REC327671:REN327673 RNY327671:ROJ327673 RXU327671:RYF327673 SHQ327671:SIB327673 SRM327671:SRX327673 TBI327671:TBT327673 TLE327671:TLP327673 TVA327671:TVL327673 UEW327671:UFH327673 UOS327671:UPD327673 UYO327671:UYZ327673 VIK327671:VIV327673 VSG327671:VSR327673 WCC327671:WCN327673 WLY327671:WMJ327673 WVU327671:WWF327673 JI393207:JT393209 TE393207:TP393209 ADA393207:ADL393209 AMW393207:ANH393209 AWS393207:AXD393209 BGO393207:BGZ393209 BQK393207:BQV393209 CAG393207:CAR393209 CKC393207:CKN393209 CTY393207:CUJ393209 DDU393207:DEF393209 DNQ393207:DOB393209 DXM393207:DXX393209 EHI393207:EHT393209 ERE393207:ERP393209 FBA393207:FBL393209 FKW393207:FLH393209 FUS393207:FVD393209 GEO393207:GEZ393209 GOK393207:GOV393209 GYG393207:GYR393209 HIC393207:HIN393209 HRY393207:HSJ393209 IBU393207:ICF393209 ILQ393207:IMB393209 IVM393207:IVX393209 JFI393207:JFT393209 JPE393207:JPP393209 JZA393207:JZL393209 KIW393207:KJH393209 KSS393207:KTD393209 LCO393207:LCZ393209 LMK393207:LMV393209 LWG393207:LWR393209 MGC393207:MGN393209 MPY393207:MQJ393209 MZU393207:NAF393209 NJQ393207:NKB393209 NTM393207:NTX393209 ODI393207:ODT393209 ONE393207:ONP393209 OXA393207:OXL393209 PGW393207:PHH393209 PQS393207:PRD393209 QAO393207:QAZ393209 QKK393207:QKV393209 QUG393207:QUR393209 REC393207:REN393209 RNY393207:ROJ393209 RXU393207:RYF393209 SHQ393207:SIB393209 SRM393207:SRX393209 TBI393207:TBT393209 TLE393207:TLP393209 TVA393207:TVL393209 UEW393207:UFH393209 UOS393207:UPD393209 UYO393207:UYZ393209 VIK393207:VIV393209 VSG393207:VSR393209 WCC393207:WCN393209 WLY393207:WMJ393209 WVU393207:WWF393209 JI458743:JT458745 TE458743:TP458745 ADA458743:ADL458745 AMW458743:ANH458745 AWS458743:AXD458745 BGO458743:BGZ458745 BQK458743:BQV458745 CAG458743:CAR458745 CKC458743:CKN458745 CTY458743:CUJ458745 DDU458743:DEF458745 DNQ458743:DOB458745 DXM458743:DXX458745 EHI458743:EHT458745 ERE458743:ERP458745 FBA458743:FBL458745 FKW458743:FLH458745 FUS458743:FVD458745 GEO458743:GEZ458745 GOK458743:GOV458745 GYG458743:GYR458745 HIC458743:HIN458745 HRY458743:HSJ458745 IBU458743:ICF458745 ILQ458743:IMB458745 IVM458743:IVX458745 JFI458743:JFT458745 JPE458743:JPP458745 JZA458743:JZL458745 KIW458743:KJH458745 KSS458743:KTD458745 LCO458743:LCZ458745 LMK458743:LMV458745 LWG458743:LWR458745 MGC458743:MGN458745 MPY458743:MQJ458745 MZU458743:NAF458745 NJQ458743:NKB458745 NTM458743:NTX458745 ODI458743:ODT458745 ONE458743:ONP458745 OXA458743:OXL458745 PGW458743:PHH458745 PQS458743:PRD458745 QAO458743:QAZ458745 QKK458743:QKV458745 QUG458743:QUR458745 REC458743:REN458745 RNY458743:ROJ458745 RXU458743:RYF458745 SHQ458743:SIB458745 SRM458743:SRX458745 TBI458743:TBT458745 TLE458743:TLP458745 TVA458743:TVL458745 UEW458743:UFH458745 UOS458743:UPD458745 UYO458743:UYZ458745 VIK458743:VIV458745 VSG458743:VSR458745 WCC458743:WCN458745 WLY458743:WMJ458745 WVU458743:WWF458745 JI524279:JT524281 TE524279:TP524281 ADA524279:ADL524281 AMW524279:ANH524281 AWS524279:AXD524281 BGO524279:BGZ524281 BQK524279:BQV524281 CAG524279:CAR524281 CKC524279:CKN524281 CTY524279:CUJ524281 DDU524279:DEF524281 DNQ524279:DOB524281 DXM524279:DXX524281 EHI524279:EHT524281 ERE524279:ERP524281 FBA524279:FBL524281 FKW524279:FLH524281 FUS524279:FVD524281 GEO524279:GEZ524281 GOK524279:GOV524281 GYG524279:GYR524281 HIC524279:HIN524281 HRY524279:HSJ524281 IBU524279:ICF524281 ILQ524279:IMB524281 IVM524279:IVX524281 JFI524279:JFT524281 JPE524279:JPP524281 JZA524279:JZL524281 KIW524279:KJH524281 KSS524279:KTD524281 LCO524279:LCZ524281 LMK524279:LMV524281 LWG524279:LWR524281 MGC524279:MGN524281 MPY524279:MQJ524281 MZU524279:NAF524281 NJQ524279:NKB524281 NTM524279:NTX524281 ODI524279:ODT524281 ONE524279:ONP524281 OXA524279:OXL524281 PGW524279:PHH524281 PQS524279:PRD524281 QAO524279:QAZ524281 QKK524279:QKV524281 QUG524279:QUR524281 REC524279:REN524281 RNY524279:ROJ524281 RXU524279:RYF524281 SHQ524279:SIB524281 SRM524279:SRX524281 TBI524279:TBT524281 TLE524279:TLP524281 TVA524279:TVL524281 UEW524279:UFH524281 UOS524279:UPD524281 UYO524279:UYZ524281 VIK524279:VIV524281 VSG524279:VSR524281 WCC524279:WCN524281 WLY524279:WMJ524281 WVU524279:WWF524281 JI589815:JT589817 TE589815:TP589817 ADA589815:ADL589817 AMW589815:ANH589817 AWS589815:AXD589817 BGO589815:BGZ589817 BQK589815:BQV589817 CAG589815:CAR589817 CKC589815:CKN589817 CTY589815:CUJ589817 DDU589815:DEF589817 DNQ589815:DOB589817 DXM589815:DXX589817 EHI589815:EHT589817 ERE589815:ERP589817 FBA589815:FBL589817 FKW589815:FLH589817 FUS589815:FVD589817 GEO589815:GEZ589817 GOK589815:GOV589817 GYG589815:GYR589817 HIC589815:HIN589817 HRY589815:HSJ589817 IBU589815:ICF589817 ILQ589815:IMB589817 IVM589815:IVX589817 JFI589815:JFT589817 JPE589815:JPP589817 JZA589815:JZL589817 KIW589815:KJH589817 KSS589815:KTD589817 LCO589815:LCZ589817 LMK589815:LMV589817 LWG589815:LWR589817 MGC589815:MGN589817 MPY589815:MQJ589817 MZU589815:NAF589817 NJQ589815:NKB589817 NTM589815:NTX589817 ODI589815:ODT589817 ONE589815:ONP589817 OXA589815:OXL589817 PGW589815:PHH589817 PQS589815:PRD589817 QAO589815:QAZ589817 QKK589815:QKV589817 QUG589815:QUR589817 REC589815:REN589817 RNY589815:ROJ589817 RXU589815:RYF589817 SHQ589815:SIB589817 SRM589815:SRX589817 TBI589815:TBT589817 TLE589815:TLP589817 TVA589815:TVL589817 UEW589815:UFH589817 UOS589815:UPD589817 UYO589815:UYZ589817 VIK589815:VIV589817 VSG589815:VSR589817 WCC589815:WCN589817 WLY589815:WMJ589817 WVU589815:WWF589817 JI655351:JT655353 TE655351:TP655353 ADA655351:ADL655353 AMW655351:ANH655353 AWS655351:AXD655353 BGO655351:BGZ655353 BQK655351:BQV655353 CAG655351:CAR655353 CKC655351:CKN655353 CTY655351:CUJ655353 DDU655351:DEF655353 DNQ655351:DOB655353 DXM655351:DXX655353 EHI655351:EHT655353 ERE655351:ERP655353 FBA655351:FBL655353 FKW655351:FLH655353 FUS655351:FVD655353 GEO655351:GEZ655353 GOK655351:GOV655353 GYG655351:GYR655353 HIC655351:HIN655353 HRY655351:HSJ655353 IBU655351:ICF655353 ILQ655351:IMB655353 IVM655351:IVX655353 JFI655351:JFT655353 JPE655351:JPP655353 JZA655351:JZL655353 KIW655351:KJH655353 KSS655351:KTD655353 LCO655351:LCZ655353 LMK655351:LMV655353 LWG655351:LWR655353 MGC655351:MGN655353 MPY655351:MQJ655353 MZU655351:NAF655353 NJQ655351:NKB655353 NTM655351:NTX655353 ODI655351:ODT655353 ONE655351:ONP655353 OXA655351:OXL655353 PGW655351:PHH655353 PQS655351:PRD655353 QAO655351:QAZ655353 QKK655351:QKV655353 QUG655351:QUR655353 REC655351:REN655353 RNY655351:ROJ655353 RXU655351:RYF655353 SHQ655351:SIB655353 SRM655351:SRX655353 TBI655351:TBT655353 TLE655351:TLP655353 TVA655351:TVL655353 UEW655351:UFH655353 UOS655351:UPD655353 UYO655351:UYZ655353 VIK655351:VIV655353 VSG655351:VSR655353 WCC655351:WCN655353 WLY655351:WMJ655353 WVU655351:WWF655353 JI720887:JT720889 TE720887:TP720889 ADA720887:ADL720889 AMW720887:ANH720889 AWS720887:AXD720889 BGO720887:BGZ720889 BQK720887:BQV720889 CAG720887:CAR720889 CKC720887:CKN720889 CTY720887:CUJ720889 DDU720887:DEF720889 DNQ720887:DOB720889 DXM720887:DXX720889 EHI720887:EHT720889 ERE720887:ERP720889 FBA720887:FBL720889 FKW720887:FLH720889 FUS720887:FVD720889 GEO720887:GEZ720889 GOK720887:GOV720889 GYG720887:GYR720889 HIC720887:HIN720889 HRY720887:HSJ720889 IBU720887:ICF720889 ILQ720887:IMB720889 IVM720887:IVX720889 JFI720887:JFT720889 JPE720887:JPP720889 JZA720887:JZL720889 KIW720887:KJH720889 KSS720887:KTD720889 LCO720887:LCZ720889 LMK720887:LMV720889 LWG720887:LWR720889 MGC720887:MGN720889 MPY720887:MQJ720889 MZU720887:NAF720889 NJQ720887:NKB720889 NTM720887:NTX720889 ODI720887:ODT720889 ONE720887:ONP720889 OXA720887:OXL720889 PGW720887:PHH720889 PQS720887:PRD720889 QAO720887:QAZ720889 QKK720887:QKV720889 QUG720887:QUR720889 REC720887:REN720889 RNY720887:ROJ720889 RXU720887:RYF720889 SHQ720887:SIB720889 SRM720887:SRX720889 TBI720887:TBT720889 TLE720887:TLP720889 TVA720887:TVL720889 UEW720887:UFH720889 UOS720887:UPD720889 UYO720887:UYZ720889 VIK720887:VIV720889 VSG720887:VSR720889 WCC720887:WCN720889 WLY720887:WMJ720889 WVU720887:WWF720889 JI786423:JT786425 TE786423:TP786425 ADA786423:ADL786425 AMW786423:ANH786425 AWS786423:AXD786425 BGO786423:BGZ786425 BQK786423:BQV786425 CAG786423:CAR786425 CKC786423:CKN786425 CTY786423:CUJ786425 DDU786423:DEF786425 DNQ786423:DOB786425 DXM786423:DXX786425 EHI786423:EHT786425 ERE786423:ERP786425 FBA786423:FBL786425 FKW786423:FLH786425 FUS786423:FVD786425 GEO786423:GEZ786425 GOK786423:GOV786425 GYG786423:GYR786425 HIC786423:HIN786425 HRY786423:HSJ786425 IBU786423:ICF786425 ILQ786423:IMB786425 IVM786423:IVX786425 JFI786423:JFT786425 JPE786423:JPP786425 JZA786423:JZL786425 KIW786423:KJH786425 KSS786423:KTD786425 LCO786423:LCZ786425 LMK786423:LMV786425 LWG786423:LWR786425 MGC786423:MGN786425 MPY786423:MQJ786425 MZU786423:NAF786425 NJQ786423:NKB786425 NTM786423:NTX786425 ODI786423:ODT786425 ONE786423:ONP786425 OXA786423:OXL786425 PGW786423:PHH786425 PQS786423:PRD786425 QAO786423:QAZ786425 QKK786423:QKV786425 QUG786423:QUR786425 REC786423:REN786425 RNY786423:ROJ786425 RXU786423:RYF786425 SHQ786423:SIB786425 SRM786423:SRX786425 TBI786423:TBT786425 TLE786423:TLP786425 TVA786423:TVL786425 UEW786423:UFH786425 UOS786423:UPD786425 UYO786423:UYZ786425 VIK786423:VIV786425 VSG786423:VSR786425 WCC786423:WCN786425 WLY786423:WMJ786425 WVU786423:WWF786425 JI851959:JT851961 TE851959:TP851961 ADA851959:ADL851961 AMW851959:ANH851961 AWS851959:AXD851961 BGO851959:BGZ851961 BQK851959:BQV851961 CAG851959:CAR851961 CKC851959:CKN851961 CTY851959:CUJ851961 DDU851959:DEF851961 DNQ851959:DOB851961 DXM851959:DXX851961 EHI851959:EHT851961 ERE851959:ERP851961 FBA851959:FBL851961 FKW851959:FLH851961 FUS851959:FVD851961 GEO851959:GEZ851961 GOK851959:GOV851961 GYG851959:GYR851961 HIC851959:HIN851961 HRY851959:HSJ851961 IBU851959:ICF851961 ILQ851959:IMB851961 IVM851959:IVX851961 JFI851959:JFT851961 JPE851959:JPP851961 JZA851959:JZL851961 KIW851959:KJH851961 KSS851959:KTD851961 LCO851959:LCZ851961 LMK851959:LMV851961 LWG851959:LWR851961 MGC851959:MGN851961 MPY851959:MQJ851961 MZU851959:NAF851961 NJQ851959:NKB851961 NTM851959:NTX851961 ODI851959:ODT851961 ONE851959:ONP851961 OXA851959:OXL851961 PGW851959:PHH851961 PQS851959:PRD851961 QAO851959:QAZ851961 QKK851959:QKV851961 QUG851959:QUR851961 REC851959:REN851961 RNY851959:ROJ851961 RXU851959:RYF851961 SHQ851959:SIB851961 SRM851959:SRX851961 TBI851959:TBT851961 TLE851959:TLP851961 TVA851959:TVL851961 UEW851959:UFH851961 UOS851959:UPD851961 UYO851959:UYZ851961 VIK851959:VIV851961 VSG851959:VSR851961 WCC851959:WCN851961 WLY851959:WMJ851961 WVU851959:WWF851961 JI917495:JT917497 TE917495:TP917497 ADA917495:ADL917497 AMW917495:ANH917497 AWS917495:AXD917497 BGO917495:BGZ917497 BQK917495:BQV917497 CAG917495:CAR917497 CKC917495:CKN917497 CTY917495:CUJ917497 DDU917495:DEF917497 DNQ917495:DOB917497 DXM917495:DXX917497 EHI917495:EHT917497 ERE917495:ERP917497 FBA917495:FBL917497 FKW917495:FLH917497 FUS917495:FVD917497 GEO917495:GEZ917497 GOK917495:GOV917497 GYG917495:GYR917497 HIC917495:HIN917497 HRY917495:HSJ917497 IBU917495:ICF917497 ILQ917495:IMB917497 IVM917495:IVX917497 JFI917495:JFT917497 JPE917495:JPP917497 JZA917495:JZL917497 KIW917495:KJH917497 KSS917495:KTD917497 LCO917495:LCZ917497 LMK917495:LMV917497 LWG917495:LWR917497 MGC917495:MGN917497 MPY917495:MQJ917497 MZU917495:NAF917497 NJQ917495:NKB917497 NTM917495:NTX917497 ODI917495:ODT917497 ONE917495:ONP917497 OXA917495:OXL917497 PGW917495:PHH917497 PQS917495:PRD917497 QAO917495:QAZ917497 QKK917495:QKV917497 QUG917495:QUR917497 REC917495:REN917497 RNY917495:ROJ917497 RXU917495:RYF917497 SHQ917495:SIB917497 SRM917495:SRX917497 TBI917495:TBT917497 TLE917495:TLP917497 TVA917495:TVL917497 UEW917495:UFH917497 UOS917495:UPD917497 UYO917495:UYZ917497 VIK917495:VIV917497 VSG917495:VSR917497 WCC917495:WCN917497 WLY917495:WMJ917497 WVU917495:WWF917497 JI983031:JT983033 TE983031:TP983033 ADA983031:ADL983033 AMW983031:ANH983033 AWS983031:AXD983033 BGO983031:BGZ983033 BQK983031:BQV983033 CAG983031:CAR983033 CKC983031:CKN983033 CTY983031:CUJ983033 DDU983031:DEF983033 DNQ983031:DOB983033 DXM983031:DXX983033 EHI983031:EHT983033 ERE983031:ERP983033 FBA983031:FBL983033 FKW983031:FLH983033 FUS983031:FVD983033 GEO983031:GEZ983033 GOK983031:GOV983033 GYG983031:GYR983033 HIC983031:HIN983033 HRY983031:HSJ983033 IBU983031:ICF983033 ILQ983031:IMB983033 IVM983031:IVX983033 JFI983031:JFT983033 JPE983031:JPP983033 JZA983031:JZL983033 KIW983031:KJH983033 KSS983031:KTD983033 LCO983031:LCZ983033 LMK983031:LMV983033 LWG983031:LWR983033 MGC983031:MGN983033 MPY983031:MQJ983033 MZU983031:NAF983033 NJQ983031:NKB983033 NTM983031:NTX983033 ODI983031:ODT983033 ONE983031:ONP983033 OXA983031:OXL983033 PGW983031:PHH983033 PQS983031:PRD983033 QAO983031:QAZ983033 QKK983031:QKV983033 QUG983031:QUR983033 REC983031:REN983033 RNY983031:ROJ983033 RXU983031:RYF983033 SHQ983031:SIB983033 SRM983031:SRX983033 TBI983031:TBT983033 TLE983031:TLP983033 TVA983031:TVL983033 UEW983031:UFH983033 UOS983031:UPD983033 UYO983031:UYZ983033 VIK983031:VIV983033 VSG983031:VSR983033 WCC983031:WCN983033 WLY983031:WMJ983033 WVU983031:WWF983033 Z262135:AJ262137 Z196599:AJ196601 Z131063:AJ131065 Z65527:AJ65529 Z983031:AJ983033 Z917495:AJ917497 Z851959:AJ851961 Z786423:AJ786425 Z720887:AJ720889 Z655351:AJ655353 Z589815:AJ589817 Z524279:AJ524281 Z458743:AJ458745 Z393207:AJ393209 Z327671:AJ327673 JJ2:JU4 TF2:TQ4 ADB2:ADM4 AMX2:ANI4 AWT2:AXE4 BGP2:BHA4 BQL2:BQW4 CAH2:CAS4 CKD2:CKO4 CTZ2:CUK4 DDV2:DEG4 DNR2:DOC4 DXN2:DXY4 EHJ2:EHU4 ERF2:ERQ4 FBB2:FBM4 FKX2:FLI4 FUT2:FVE4 GEP2:GFA4 GOL2:GOW4 GYH2:GYS4 HID2:HIO4 HRZ2:HSK4 IBV2:ICG4 ILR2:IMC4 IVN2:IVY4 JFJ2:JFU4 JPF2:JPQ4 JZB2:JZM4 KIX2:KJI4 KST2:KTE4 LCP2:LDA4 LML2:LMW4 LWH2:LWS4 MGD2:MGO4 MPZ2:MQK4 MZV2:NAG4 NJR2:NKC4 NTN2:NTY4 ODJ2:ODU4 ONF2:ONQ4 OXB2:OXM4 PGX2:PHI4 PQT2:PRE4 QAP2:QBA4 QKL2:QKW4 QUH2:QUS4 RED2:REO4 RNZ2:ROK4 RXV2:RYG4 SHR2:SIC4 SRN2:SRY4 TBJ2:TBU4 TLF2:TLQ4 TVB2:TVM4 UEX2:UFI4 UOT2:UPE4 UYP2:UZA4 VIL2:VIW4 VSH2:VSS4 WCD2:WCO4 WLZ2:WMK4 WVV2:WWG4 R2"/>
    <dataValidation type="list" allowBlank="1" showInputMessage="1" showErrorMessage="1" sqref="Y8:Z46">
      <formula1>"文字,数値,日付,時間"</formula1>
    </dataValidation>
    <dataValidation type="list" allowBlank="1" showInputMessage="1" showErrorMessage="1" sqref="AA8:AC46">
      <formula1>"int,numeric,varchar,date,datetime2(0),datetime2,varbinary(max)"</formula1>
    </dataValidation>
  </dataValidations>
  <pageMargins left="0.39370078740157483" right="0.39370078740157483" top="0.59055118110236227" bottom="0.39370078740157483" header="0.39370078740157483" footer="0.19685039370078741"/>
  <pageSetup paperSize="9" scale="80" fitToHeight="0" orientation="landscape" useFirstPageNumber="1" verticalDpi="300" r:id="rId1"/>
  <headerFooter alignWithMargins="0">
    <oddFooter>&amp;R&amp;A - &amp;P</oddFooter>
  </headerFooter>
  <drawing r:id="rId2"/>
  <legacyDrawing r:id="rId3"/>
</worksheet>
</file>

<file path=xl/worksheets/sheet2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49"/>
  <dimension ref="A1:BE46"/>
  <sheetViews>
    <sheetView showGridLines="0" zoomScaleNormal="100" zoomScaleSheetLayoutView="100" workbookViewId="0">
      <pane ySplit="7" topLeftCell="A8" activePane="bottomLeft" state="frozen"/>
      <selection sqref="A1:K4"/>
      <selection pane="bottomLeft" sqref="A1:H4"/>
    </sheetView>
  </sheetViews>
  <sheetFormatPr defaultColWidth="2.6328125" defaultRowHeight="14.4" customHeight="1"/>
  <cols>
    <col min="1" max="1" width="4.6328125" style="18" customWidth="1"/>
    <col min="2" max="26" width="2.6328125" style="18"/>
    <col min="27" max="27" width="2.6328125" style="18" customWidth="1"/>
    <col min="28" max="29" width="2.6328125" style="18"/>
    <col min="30" max="30" width="4.6328125" style="18" customWidth="1"/>
    <col min="31" max="31" width="2.6328125" style="18" customWidth="1"/>
    <col min="32" max="33" width="2.6328125" style="18"/>
    <col min="34" max="34" width="6.6328125" style="18" customWidth="1"/>
    <col min="35" max="41" width="2.6328125" style="18"/>
    <col min="42" max="56" width="2.6328125" style="46"/>
    <col min="57" max="16384" width="2.6328125" style="18"/>
  </cols>
  <sheetData>
    <row r="1" spans="1:56" s="17" customFormat="1" ht="14.4" customHeight="1">
      <c r="A1" s="417" t="s">
        <v>78</v>
      </c>
      <c r="B1" s="418"/>
      <c r="C1" s="418"/>
      <c r="D1" s="418"/>
      <c r="E1" s="418"/>
      <c r="F1" s="418"/>
      <c r="G1" s="418"/>
      <c r="H1" s="419"/>
      <c r="I1" s="354" t="s">
        <v>79</v>
      </c>
      <c r="J1" s="355"/>
      <c r="K1" s="355"/>
      <c r="L1" s="355"/>
      <c r="M1" s="355"/>
      <c r="N1" s="355"/>
      <c r="O1" s="355"/>
      <c r="P1" s="355"/>
      <c r="Q1" s="356"/>
      <c r="R1" s="354" t="s">
        <v>80</v>
      </c>
      <c r="S1" s="355"/>
      <c r="T1" s="355"/>
      <c r="U1" s="355"/>
      <c r="V1" s="355"/>
      <c r="W1" s="355"/>
      <c r="X1" s="356"/>
      <c r="Y1" s="354" t="s">
        <v>135</v>
      </c>
      <c r="Z1" s="355"/>
      <c r="AA1" s="355"/>
      <c r="AB1" s="355"/>
      <c r="AC1" s="355"/>
      <c r="AD1" s="355"/>
      <c r="AE1" s="355"/>
      <c r="AF1" s="355"/>
      <c r="AG1" s="355"/>
      <c r="AH1" s="355"/>
      <c r="AI1" s="355"/>
      <c r="AJ1" s="355"/>
      <c r="AK1" s="355"/>
      <c r="AL1" s="355"/>
      <c r="AM1" s="355"/>
      <c r="AN1" s="355"/>
      <c r="AO1" s="356"/>
      <c r="AP1" s="428" t="s">
        <v>82</v>
      </c>
      <c r="AQ1" s="429"/>
      <c r="AR1" s="429"/>
      <c r="AS1" s="429"/>
      <c r="AT1" s="430"/>
      <c r="AU1" s="428" t="s">
        <v>83</v>
      </c>
      <c r="AV1" s="429"/>
      <c r="AW1" s="429"/>
      <c r="AX1" s="429"/>
      <c r="AY1" s="430"/>
      <c r="AZ1" s="428" t="s">
        <v>84</v>
      </c>
      <c r="BA1" s="429"/>
      <c r="BB1" s="429"/>
      <c r="BC1" s="429"/>
      <c r="BD1" s="430"/>
    </row>
    <row r="2" spans="1:56" s="17" customFormat="1" ht="14.4" customHeight="1">
      <c r="A2" s="420"/>
      <c r="B2" s="421"/>
      <c r="C2" s="421"/>
      <c r="D2" s="421"/>
      <c r="E2" s="421"/>
      <c r="F2" s="421"/>
      <c r="G2" s="421"/>
      <c r="H2" s="422"/>
      <c r="I2" s="384" t="s">
        <v>85</v>
      </c>
      <c r="J2" s="385"/>
      <c r="K2" s="385"/>
      <c r="L2" s="385"/>
      <c r="M2" s="385"/>
      <c r="N2" s="385"/>
      <c r="O2" s="385"/>
      <c r="P2" s="385"/>
      <c r="Q2" s="386"/>
      <c r="R2" s="384" t="str">
        <f ca="1">VLOOKUP(RIGHT(CELL("filename",A2),LEN(CELL("filename",A2))-FIND("]",CELL("filename",A2))),テーブル一覧!B:AD,22,FALSE)</f>
        <v>B.生産計画</v>
      </c>
      <c r="S2" s="385"/>
      <c r="T2" s="385"/>
      <c r="U2" s="385"/>
      <c r="V2" s="385"/>
      <c r="W2" s="385"/>
      <c r="X2" s="386"/>
      <c r="Y2" s="384" t="str">
        <f ca="1">VLOOKUP(RIGHT(CELL("filename",A2),LEN(CELL("filename",A2))-FIND("]",CELL("filename",A2))),テーブル一覧!B:AD,1,FALSE)</f>
        <v>生産計画項目制御情報</v>
      </c>
      <c r="Z2" s="385"/>
      <c r="AA2" s="385"/>
      <c r="AB2" s="385"/>
      <c r="AC2" s="385"/>
      <c r="AD2" s="385"/>
      <c r="AE2" s="385"/>
      <c r="AF2" s="385"/>
      <c r="AG2" s="385"/>
      <c r="AH2" s="385"/>
      <c r="AI2" s="385"/>
      <c r="AJ2" s="385"/>
      <c r="AK2" s="385"/>
      <c r="AL2" s="385"/>
      <c r="AM2" s="385"/>
      <c r="AN2" s="385"/>
      <c r="AO2" s="386"/>
      <c r="AP2" s="357"/>
      <c r="AQ2" s="358"/>
      <c r="AR2" s="358"/>
      <c r="AS2" s="358"/>
      <c r="AT2" s="359"/>
      <c r="AU2" s="58" t="s">
        <v>88</v>
      </c>
      <c r="AV2" s="59"/>
      <c r="AW2" s="59"/>
      <c r="AX2" s="59"/>
      <c r="AY2" s="60"/>
      <c r="AZ2" s="434" t="s">
        <v>89</v>
      </c>
      <c r="BA2" s="435"/>
      <c r="BB2" s="435"/>
      <c r="BC2" s="435"/>
      <c r="BD2" s="436"/>
    </row>
    <row r="3" spans="1:56" s="17" customFormat="1" ht="14.4" customHeight="1">
      <c r="A3" s="420"/>
      <c r="B3" s="421"/>
      <c r="C3" s="421"/>
      <c r="D3" s="421"/>
      <c r="E3" s="421"/>
      <c r="F3" s="421"/>
      <c r="G3" s="421"/>
      <c r="H3" s="422"/>
      <c r="I3" s="387"/>
      <c r="J3" s="388"/>
      <c r="K3" s="388"/>
      <c r="L3" s="388"/>
      <c r="M3" s="388"/>
      <c r="N3" s="388"/>
      <c r="O3" s="388"/>
      <c r="P3" s="388"/>
      <c r="Q3" s="389"/>
      <c r="R3" s="387"/>
      <c r="S3" s="388"/>
      <c r="T3" s="388"/>
      <c r="U3" s="388"/>
      <c r="V3" s="388"/>
      <c r="W3" s="388"/>
      <c r="X3" s="389"/>
      <c r="Y3" s="390"/>
      <c r="Z3" s="391"/>
      <c r="AA3" s="391"/>
      <c r="AB3" s="391"/>
      <c r="AC3" s="391"/>
      <c r="AD3" s="391"/>
      <c r="AE3" s="391"/>
      <c r="AF3" s="391"/>
      <c r="AG3" s="391"/>
      <c r="AH3" s="391"/>
      <c r="AI3" s="391"/>
      <c r="AJ3" s="391"/>
      <c r="AK3" s="391"/>
      <c r="AL3" s="391"/>
      <c r="AM3" s="391"/>
      <c r="AN3" s="391"/>
      <c r="AO3" s="392"/>
      <c r="AP3" s="360"/>
      <c r="AQ3" s="361"/>
      <c r="AR3" s="361"/>
      <c r="AS3" s="361"/>
      <c r="AT3" s="362"/>
      <c r="AU3" s="431"/>
      <c r="AV3" s="432"/>
      <c r="AW3" s="432"/>
      <c r="AX3" s="432"/>
      <c r="AY3" s="433"/>
      <c r="AZ3" s="434"/>
      <c r="BA3" s="435"/>
      <c r="BB3" s="435"/>
      <c r="BC3" s="435"/>
      <c r="BD3" s="436"/>
    </row>
    <row r="4" spans="1:56" s="17" customFormat="1" ht="14.4" customHeight="1">
      <c r="A4" s="423"/>
      <c r="B4" s="424"/>
      <c r="C4" s="424"/>
      <c r="D4" s="424"/>
      <c r="E4" s="424"/>
      <c r="F4" s="424"/>
      <c r="G4" s="424"/>
      <c r="H4" s="425"/>
      <c r="I4" s="390"/>
      <c r="J4" s="391"/>
      <c r="K4" s="391"/>
      <c r="L4" s="391"/>
      <c r="M4" s="391"/>
      <c r="N4" s="391"/>
      <c r="O4" s="391"/>
      <c r="P4" s="391"/>
      <c r="Q4" s="392"/>
      <c r="R4" s="390"/>
      <c r="S4" s="391"/>
      <c r="T4" s="391"/>
      <c r="U4" s="391"/>
      <c r="V4" s="391"/>
      <c r="W4" s="391"/>
      <c r="X4" s="392"/>
      <c r="Y4" s="437" t="str">
        <f ca="1">IF(VLOOKUP(RIGHT(CELL("filename",A2),LEN(CELL("filename",A2))-FIND("]",CELL("filename",A2))),テーブル一覧!B:AD,11,FALSE)=0,"",VLOOKUP(RIGHT(CELL("filename",A2),LEN(CELL("filename",A2))-FIND("]",CELL("filename",A2))),テーブル一覧!B:AD,11,FALSE))</f>
        <v>t_seisan_itemcontrol</v>
      </c>
      <c r="Z4" s="438"/>
      <c r="AA4" s="438"/>
      <c r="AB4" s="438"/>
      <c r="AC4" s="438"/>
      <c r="AD4" s="438"/>
      <c r="AE4" s="438"/>
      <c r="AF4" s="438"/>
      <c r="AG4" s="438"/>
      <c r="AH4" s="438"/>
      <c r="AI4" s="438"/>
      <c r="AJ4" s="438"/>
      <c r="AK4" s="438"/>
      <c r="AL4" s="438"/>
      <c r="AM4" s="438"/>
      <c r="AN4" s="438"/>
      <c r="AO4" s="439"/>
      <c r="AP4" s="360"/>
      <c r="AQ4" s="361"/>
      <c r="AR4" s="361"/>
      <c r="AS4" s="361"/>
      <c r="AT4" s="362"/>
      <c r="AU4" s="431"/>
      <c r="AV4" s="432"/>
      <c r="AW4" s="432"/>
      <c r="AX4" s="432"/>
      <c r="AY4" s="433"/>
      <c r="AZ4" s="434"/>
      <c r="BA4" s="435"/>
      <c r="BB4" s="435"/>
      <c r="BC4" s="435"/>
      <c r="BD4" s="436"/>
    </row>
    <row r="6" spans="1:56" ht="14.4" customHeight="1">
      <c r="A6" s="426" t="s">
        <v>90</v>
      </c>
      <c r="B6" s="407" t="s">
        <v>136</v>
      </c>
      <c r="C6" s="415"/>
      <c r="D6" s="415"/>
      <c r="E6" s="415"/>
      <c r="F6" s="415"/>
      <c r="G6" s="415"/>
      <c r="H6" s="408"/>
      <c r="I6" s="407" t="s">
        <v>137</v>
      </c>
      <c r="J6" s="415"/>
      <c r="K6" s="415"/>
      <c r="L6" s="415"/>
      <c r="M6" s="415"/>
      <c r="N6" s="415"/>
      <c r="O6" s="415"/>
      <c r="P6" s="415"/>
      <c r="Q6" s="408"/>
      <c r="R6" s="407" t="s">
        <v>138</v>
      </c>
      <c r="S6" s="415"/>
      <c r="T6" s="415"/>
      <c r="U6" s="415"/>
      <c r="V6" s="415"/>
      <c r="W6" s="415"/>
      <c r="X6" s="408"/>
      <c r="Y6" s="407" t="s">
        <v>139</v>
      </c>
      <c r="Z6" s="408"/>
      <c r="AA6" s="407" t="s">
        <v>140</v>
      </c>
      <c r="AB6" s="415"/>
      <c r="AC6" s="408"/>
      <c r="AD6" s="411" t="s">
        <v>141</v>
      </c>
      <c r="AE6" s="413" t="s">
        <v>142</v>
      </c>
      <c r="AF6" s="411" t="s">
        <v>143</v>
      </c>
      <c r="AG6" s="411" t="s">
        <v>144</v>
      </c>
      <c r="AH6" s="411" t="s">
        <v>145</v>
      </c>
      <c r="AI6" s="404" t="s">
        <v>146</v>
      </c>
      <c r="AJ6" s="405"/>
      <c r="AK6" s="405"/>
      <c r="AL6" s="405"/>
      <c r="AM6" s="405"/>
      <c r="AN6" s="405"/>
      <c r="AO6" s="405"/>
      <c r="AP6" s="405"/>
      <c r="AQ6" s="405"/>
      <c r="AR6" s="406"/>
      <c r="AS6" s="407" t="s">
        <v>147</v>
      </c>
      <c r="AT6" s="415"/>
      <c r="AU6" s="415"/>
      <c r="AV6" s="415"/>
      <c r="AW6" s="415"/>
      <c r="AX6" s="415"/>
      <c r="AY6" s="415"/>
      <c r="AZ6" s="415"/>
      <c r="BA6" s="415"/>
      <c r="BB6" s="415"/>
      <c r="BC6" s="415"/>
      <c r="BD6" s="408"/>
    </row>
    <row r="7" spans="1:56" ht="14.4" customHeight="1">
      <c r="A7" s="427"/>
      <c r="B7" s="409"/>
      <c r="C7" s="416"/>
      <c r="D7" s="416"/>
      <c r="E7" s="416"/>
      <c r="F7" s="416"/>
      <c r="G7" s="416"/>
      <c r="H7" s="410"/>
      <c r="I7" s="409"/>
      <c r="J7" s="416"/>
      <c r="K7" s="416"/>
      <c r="L7" s="416"/>
      <c r="M7" s="416"/>
      <c r="N7" s="416"/>
      <c r="O7" s="416"/>
      <c r="P7" s="416"/>
      <c r="Q7" s="410"/>
      <c r="R7" s="409"/>
      <c r="S7" s="416"/>
      <c r="T7" s="416"/>
      <c r="U7" s="416"/>
      <c r="V7" s="416"/>
      <c r="W7" s="416"/>
      <c r="X7" s="410"/>
      <c r="Y7" s="409"/>
      <c r="Z7" s="410"/>
      <c r="AA7" s="409"/>
      <c r="AB7" s="416"/>
      <c r="AC7" s="410"/>
      <c r="AD7" s="412"/>
      <c r="AE7" s="414"/>
      <c r="AF7" s="412"/>
      <c r="AG7" s="412"/>
      <c r="AH7" s="412"/>
      <c r="AI7" s="52">
        <v>1</v>
      </c>
      <c r="AJ7" s="52">
        <v>2</v>
      </c>
      <c r="AK7" s="52">
        <v>3</v>
      </c>
      <c r="AL7" s="52">
        <v>4</v>
      </c>
      <c r="AM7" s="52">
        <v>5</v>
      </c>
      <c r="AN7" s="52">
        <v>6</v>
      </c>
      <c r="AO7" s="52">
        <v>7</v>
      </c>
      <c r="AP7" s="52">
        <v>8</v>
      </c>
      <c r="AQ7" s="52">
        <v>9</v>
      </c>
      <c r="AR7" s="52">
        <v>10</v>
      </c>
      <c r="AS7" s="409"/>
      <c r="AT7" s="416"/>
      <c r="AU7" s="416"/>
      <c r="AV7" s="416"/>
      <c r="AW7" s="416"/>
      <c r="AX7" s="416"/>
      <c r="AY7" s="416"/>
      <c r="AZ7" s="416"/>
      <c r="BA7" s="416"/>
      <c r="BB7" s="416"/>
      <c r="BC7" s="416"/>
      <c r="BD7" s="410"/>
    </row>
    <row r="8" spans="1:56" ht="14.4" customHeight="1">
      <c r="A8" s="70">
        <f>IF(B8="","",COUNTA($B$8:B8))</f>
        <v>1</v>
      </c>
      <c r="B8" s="19" t="s">
        <v>159</v>
      </c>
      <c r="C8" s="20"/>
      <c r="D8" s="20"/>
      <c r="E8" s="20"/>
      <c r="F8" s="20"/>
      <c r="G8" s="20"/>
      <c r="H8" s="24"/>
      <c r="I8" s="31" t="s">
        <v>160</v>
      </c>
      <c r="J8" s="23"/>
      <c r="K8" s="23"/>
      <c r="L8" s="23"/>
      <c r="M8" s="23"/>
      <c r="N8" s="23"/>
      <c r="O8" s="38"/>
      <c r="P8" s="23"/>
      <c r="Q8" s="24"/>
      <c r="R8" s="19" t="s">
        <v>159</v>
      </c>
      <c r="S8" s="23"/>
      <c r="T8" s="23"/>
      <c r="U8" s="23"/>
      <c r="V8" s="23"/>
      <c r="W8" s="23"/>
      <c r="X8" s="24"/>
      <c r="Y8" s="440" t="s">
        <v>150</v>
      </c>
      <c r="Z8" s="441"/>
      <c r="AA8" s="442" t="s">
        <v>151</v>
      </c>
      <c r="AB8" s="443"/>
      <c r="AC8" s="444"/>
      <c r="AD8" s="27">
        <v>4</v>
      </c>
      <c r="AE8" s="29"/>
      <c r="AF8" s="29">
        <v>1</v>
      </c>
      <c r="AG8" s="29" t="s">
        <v>152</v>
      </c>
      <c r="AH8" s="28"/>
      <c r="AI8" s="28"/>
      <c r="AJ8" s="28"/>
      <c r="AK8" s="28"/>
      <c r="AL8" s="28"/>
      <c r="AM8" s="28"/>
      <c r="AN8" s="28"/>
      <c r="AO8" s="29"/>
      <c r="AP8" s="29"/>
      <c r="AQ8" s="29"/>
      <c r="AR8" s="29"/>
      <c r="AS8" s="31"/>
      <c r="AT8" s="67"/>
      <c r="AU8" s="67"/>
      <c r="AV8" s="67"/>
      <c r="AW8" s="67"/>
      <c r="AX8" s="67"/>
      <c r="AY8" s="67"/>
      <c r="AZ8" s="67"/>
      <c r="BA8" s="67"/>
      <c r="BB8" s="67"/>
      <c r="BC8" s="67"/>
      <c r="BD8" s="68"/>
    </row>
    <row r="9" spans="1:56" ht="14.4" customHeight="1">
      <c r="A9" s="70">
        <f>IF(B9="","",COUNTA($B$8:B9))</f>
        <v>2</v>
      </c>
      <c r="B9" s="8" t="s">
        <v>460</v>
      </c>
      <c r="C9" s="127"/>
      <c r="D9" s="127"/>
      <c r="E9" s="127"/>
      <c r="F9" s="127"/>
      <c r="G9" s="127"/>
      <c r="H9" s="127"/>
      <c r="I9" s="128" t="s">
        <v>461</v>
      </c>
      <c r="J9" s="129"/>
      <c r="K9" s="129"/>
      <c r="L9" s="129"/>
      <c r="M9" s="129"/>
      <c r="N9" s="129"/>
      <c r="O9" s="129"/>
      <c r="P9" s="129"/>
      <c r="Q9" s="129"/>
      <c r="R9" s="128" t="s">
        <v>460</v>
      </c>
      <c r="S9" s="127"/>
      <c r="T9" s="5"/>
      <c r="U9" s="5"/>
      <c r="V9" s="5"/>
      <c r="W9" s="5"/>
      <c r="X9" s="5"/>
      <c r="Y9" s="451" t="s">
        <v>150</v>
      </c>
      <c r="Z9" s="452"/>
      <c r="AA9" s="448" t="s">
        <v>151</v>
      </c>
      <c r="AB9" s="449"/>
      <c r="AC9" s="450"/>
      <c r="AD9" s="130">
        <v>8</v>
      </c>
      <c r="AE9" s="29"/>
      <c r="AF9" s="29">
        <v>2</v>
      </c>
      <c r="AG9" s="29" t="s">
        <v>152</v>
      </c>
      <c r="AH9" s="28"/>
      <c r="AI9" s="28"/>
      <c r="AJ9" s="28"/>
      <c r="AK9" s="28"/>
      <c r="AL9" s="28"/>
      <c r="AM9" s="28"/>
      <c r="AN9" s="28"/>
      <c r="AO9" s="29"/>
      <c r="AP9" s="29"/>
      <c r="AQ9" s="29"/>
      <c r="AR9" s="29"/>
      <c r="AS9" s="31"/>
      <c r="AT9" s="67"/>
      <c r="AU9" s="67"/>
      <c r="AV9" s="67"/>
      <c r="AW9" s="67"/>
      <c r="AX9" s="67"/>
      <c r="AY9" s="67"/>
      <c r="AZ9" s="67"/>
      <c r="BA9" s="67"/>
      <c r="BB9" s="67"/>
      <c r="BC9" s="67"/>
      <c r="BD9" s="68"/>
    </row>
    <row r="10" spans="1:56" ht="14.4" customHeight="1">
      <c r="A10" s="70">
        <f>IF(B10="","",COUNTA($B$8:B10))</f>
        <v>3</v>
      </c>
      <c r="B10" s="4" t="s">
        <v>462</v>
      </c>
      <c r="C10" s="127"/>
      <c r="D10" s="127"/>
      <c r="E10" s="127"/>
      <c r="F10" s="127"/>
      <c r="G10" s="127"/>
      <c r="H10" s="127"/>
      <c r="I10" s="128" t="s">
        <v>463</v>
      </c>
      <c r="J10" s="129"/>
      <c r="K10" s="129"/>
      <c r="L10" s="129"/>
      <c r="M10" s="129"/>
      <c r="N10" s="129"/>
      <c r="O10" s="129"/>
      <c r="P10" s="129"/>
      <c r="Q10" s="129"/>
      <c r="R10" s="128" t="s">
        <v>462</v>
      </c>
      <c r="S10" s="127"/>
      <c r="T10" s="5"/>
      <c r="U10" s="5"/>
      <c r="V10" s="5"/>
      <c r="W10" s="5"/>
      <c r="X10" s="5"/>
      <c r="Y10" s="451" t="s">
        <v>150</v>
      </c>
      <c r="Z10" s="452"/>
      <c r="AA10" s="448" t="s">
        <v>151</v>
      </c>
      <c r="AB10" s="449"/>
      <c r="AC10" s="450"/>
      <c r="AD10" s="130">
        <v>30</v>
      </c>
      <c r="AE10" s="29"/>
      <c r="AF10" s="29">
        <v>3</v>
      </c>
      <c r="AG10" s="29" t="s">
        <v>152</v>
      </c>
      <c r="AH10" s="28"/>
      <c r="AI10" s="28"/>
      <c r="AJ10" s="28"/>
      <c r="AK10" s="28"/>
      <c r="AL10" s="28"/>
      <c r="AM10" s="28"/>
      <c r="AN10" s="28"/>
      <c r="AO10" s="29"/>
      <c r="AP10" s="29"/>
      <c r="AQ10" s="29"/>
      <c r="AR10" s="29"/>
      <c r="AS10" s="31"/>
      <c r="AT10" s="48"/>
      <c r="AU10" s="67"/>
      <c r="AV10" s="67"/>
      <c r="AW10" s="67"/>
      <c r="AX10" s="67"/>
      <c r="AY10" s="67"/>
      <c r="AZ10" s="67"/>
      <c r="BA10" s="67"/>
      <c r="BB10" s="67"/>
      <c r="BC10" s="67"/>
      <c r="BD10" s="68"/>
    </row>
    <row r="11" spans="1:56" ht="14.4" customHeight="1">
      <c r="A11" s="70">
        <f>IF(B11="","",COUNTA($B$8:B11))</f>
        <v>4</v>
      </c>
      <c r="B11" s="25" t="s">
        <v>464</v>
      </c>
      <c r="C11" s="26"/>
      <c r="D11" s="26"/>
      <c r="E11" s="26"/>
      <c r="F11" s="26"/>
      <c r="G11" s="26"/>
      <c r="H11" s="39"/>
      <c r="I11" s="31" t="s">
        <v>465</v>
      </c>
      <c r="J11" s="23"/>
      <c r="K11" s="23"/>
      <c r="L11" s="23"/>
      <c r="M11" s="23"/>
      <c r="N11" s="23"/>
      <c r="O11" s="23"/>
      <c r="P11" s="23"/>
      <c r="Q11" s="37"/>
      <c r="R11" s="25" t="s">
        <v>464</v>
      </c>
      <c r="S11" s="23"/>
      <c r="T11" s="23"/>
      <c r="U11" s="23"/>
      <c r="V11" s="23"/>
      <c r="W11" s="23"/>
      <c r="X11" s="24"/>
      <c r="Y11" s="451" t="s">
        <v>150</v>
      </c>
      <c r="Z11" s="452"/>
      <c r="AA11" s="442" t="s">
        <v>151</v>
      </c>
      <c r="AB11" s="443"/>
      <c r="AC11" s="444"/>
      <c r="AD11" s="27">
        <v>1</v>
      </c>
      <c r="AE11" s="29"/>
      <c r="AF11" s="29"/>
      <c r="AG11" s="29"/>
      <c r="AH11" s="28"/>
      <c r="AI11" s="28"/>
      <c r="AJ11" s="28"/>
      <c r="AK11" s="28"/>
      <c r="AL11" s="28"/>
      <c r="AM11" s="28"/>
      <c r="AN11" s="28"/>
      <c r="AO11" s="29"/>
      <c r="AP11" s="29"/>
      <c r="AQ11" s="29"/>
      <c r="AR11" s="29"/>
      <c r="AS11" s="31" t="s">
        <v>466</v>
      </c>
      <c r="AT11" s="67"/>
      <c r="AU11" s="67"/>
      <c r="AV11" s="67"/>
      <c r="AW11" s="67"/>
      <c r="AX11" s="67"/>
      <c r="AY11" s="67"/>
      <c r="AZ11" s="67"/>
      <c r="BA11" s="67"/>
      <c r="BB11" s="67"/>
      <c r="BC11" s="67"/>
      <c r="BD11" s="68"/>
    </row>
    <row r="12" spans="1:56" ht="14.4" customHeight="1">
      <c r="A12" s="70" t="str">
        <f>IF(B12="","",COUNTA($B$8:B12))</f>
        <v/>
      </c>
      <c r="B12" s="25"/>
      <c r="C12" s="26"/>
      <c r="D12" s="26"/>
      <c r="E12" s="26"/>
      <c r="F12" s="26"/>
      <c r="G12" s="26"/>
      <c r="H12" s="39"/>
      <c r="I12" s="31"/>
      <c r="J12" s="23"/>
      <c r="K12" s="23"/>
      <c r="L12" s="23"/>
      <c r="M12" s="23"/>
      <c r="N12" s="23"/>
      <c r="O12" s="23"/>
      <c r="P12" s="23"/>
      <c r="Q12" s="37"/>
      <c r="R12" s="25"/>
      <c r="S12" s="23"/>
      <c r="T12" s="23"/>
      <c r="U12" s="23"/>
      <c r="V12" s="23"/>
      <c r="W12" s="23"/>
      <c r="X12" s="24"/>
      <c r="Y12" s="451"/>
      <c r="Z12" s="452"/>
      <c r="AA12" s="442"/>
      <c r="AB12" s="443"/>
      <c r="AC12" s="444"/>
      <c r="AD12" s="27"/>
      <c r="AE12" s="29"/>
      <c r="AF12" s="29"/>
      <c r="AG12" s="29"/>
      <c r="AH12" s="28"/>
      <c r="AI12" s="28"/>
      <c r="AJ12" s="28"/>
      <c r="AK12" s="28"/>
      <c r="AL12" s="28"/>
      <c r="AM12" s="28"/>
      <c r="AN12" s="28"/>
      <c r="AO12" s="29"/>
      <c r="AP12" s="29"/>
      <c r="AQ12" s="29"/>
      <c r="AR12" s="29"/>
      <c r="AS12" s="31" t="s">
        <v>467</v>
      </c>
      <c r="AT12" s="67"/>
      <c r="AU12" s="67"/>
      <c r="AV12" s="67"/>
      <c r="AW12" s="67"/>
      <c r="AX12" s="67"/>
      <c r="AY12" s="67"/>
      <c r="AZ12" s="67"/>
      <c r="BA12" s="67"/>
      <c r="BB12" s="67"/>
      <c r="BC12" s="67"/>
      <c r="BD12" s="68"/>
    </row>
    <row r="13" spans="1:56" ht="14.4" customHeight="1">
      <c r="A13" s="70">
        <f>IF(B13="","",COUNTA($B$8:B13))</f>
        <v>5</v>
      </c>
      <c r="B13" s="25" t="s">
        <v>468</v>
      </c>
      <c r="C13" s="26"/>
      <c r="D13" s="26"/>
      <c r="E13" s="26"/>
      <c r="F13" s="26"/>
      <c r="G13" s="26"/>
      <c r="H13" s="39"/>
      <c r="I13" s="31" t="s">
        <v>469</v>
      </c>
      <c r="J13" s="23"/>
      <c r="K13" s="23"/>
      <c r="L13" s="23"/>
      <c r="M13" s="23"/>
      <c r="N13" s="23"/>
      <c r="O13" s="23"/>
      <c r="P13" s="23"/>
      <c r="Q13" s="37"/>
      <c r="R13" s="25" t="s">
        <v>468</v>
      </c>
      <c r="S13" s="23"/>
      <c r="T13" s="23"/>
      <c r="U13" s="23"/>
      <c r="V13" s="23"/>
      <c r="W13" s="23"/>
      <c r="X13" s="24"/>
      <c r="Y13" s="451" t="s">
        <v>150</v>
      </c>
      <c r="Z13" s="452"/>
      <c r="AA13" s="442" t="s">
        <v>151</v>
      </c>
      <c r="AB13" s="443"/>
      <c r="AC13" s="444"/>
      <c r="AD13" s="27">
        <v>1</v>
      </c>
      <c r="AE13" s="29"/>
      <c r="AF13" s="29"/>
      <c r="AG13" s="29"/>
      <c r="AH13" s="28"/>
      <c r="AI13" s="28"/>
      <c r="AJ13" s="28"/>
      <c r="AK13" s="28"/>
      <c r="AL13" s="28"/>
      <c r="AM13" s="28"/>
      <c r="AN13" s="28"/>
      <c r="AO13" s="29"/>
      <c r="AP13" s="29"/>
      <c r="AQ13" s="29"/>
      <c r="AR13" s="29"/>
      <c r="AS13" s="31" t="s">
        <v>470</v>
      </c>
      <c r="AT13" s="67"/>
      <c r="AU13" s="67"/>
      <c r="AV13" s="67"/>
      <c r="AW13" s="67"/>
      <c r="AX13" s="67"/>
      <c r="AY13" s="67"/>
      <c r="AZ13" s="67"/>
      <c r="BA13" s="67"/>
      <c r="BB13" s="67"/>
      <c r="BC13" s="67"/>
      <c r="BD13" s="68"/>
    </row>
    <row r="14" spans="1:56" ht="14.4" customHeight="1">
      <c r="A14" s="70" t="str">
        <f>IF(B14="","",COUNTA($B$8:B14))</f>
        <v/>
      </c>
      <c r="B14" s="25"/>
      <c r="C14" s="26"/>
      <c r="D14" s="26"/>
      <c r="E14" s="26"/>
      <c r="F14" s="26"/>
      <c r="G14" s="26"/>
      <c r="H14" s="39"/>
      <c r="I14" s="31"/>
      <c r="J14" s="23"/>
      <c r="K14" s="23"/>
      <c r="L14" s="23"/>
      <c r="M14" s="23"/>
      <c r="N14" s="23"/>
      <c r="O14" s="23"/>
      <c r="P14" s="23"/>
      <c r="Q14" s="37"/>
      <c r="R14" s="25"/>
      <c r="S14" s="23"/>
      <c r="T14" s="23"/>
      <c r="U14" s="23"/>
      <c r="V14" s="23"/>
      <c r="W14" s="23"/>
      <c r="X14" s="24"/>
      <c r="Y14" s="451"/>
      <c r="Z14" s="452"/>
      <c r="AA14" s="442"/>
      <c r="AB14" s="443"/>
      <c r="AC14" s="444"/>
      <c r="AD14" s="27"/>
      <c r="AE14" s="29"/>
      <c r="AF14" s="29"/>
      <c r="AG14" s="29"/>
      <c r="AH14" s="28"/>
      <c r="AI14" s="28"/>
      <c r="AJ14" s="28"/>
      <c r="AK14" s="28"/>
      <c r="AL14" s="28"/>
      <c r="AM14" s="28"/>
      <c r="AN14" s="28"/>
      <c r="AO14" s="29"/>
      <c r="AP14" s="29"/>
      <c r="AQ14" s="29"/>
      <c r="AR14" s="29"/>
      <c r="AS14" s="31" t="s">
        <v>471</v>
      </c>
      <c r="AT14" s="67"/>
      <c r="AU14" s="67"/>
      <c r="AV14" s="67"/>
      <c r="AW14" s="67"/>
      <c r="AX14" s="67"/>
      <c r="AY14" s="67"/>
      <c r="AZ14" s="67"/>
      <c r="BA14" s="67"/>
      <c r="BB14" s="67"/>
      <c r="BC14" s="67"/>
      <c r="BD14" s="68"/>
    </row>
    <row r="15" spans="1:56" ht="14.4" customHeight="1">
      <c r="A15" s="70">
        <f>IF(B15="","",COUNTA($B$8:B15))</f>
        <v>6</v>
      </c>
      <c r="B15" s="25" t="s">
        <v>472</v>
      </c>
      <c r="C15" s="26"/>
      <c r="D15" s="26"/>
      <c r="E15" s="26"/>
      <c r="F15" s="26"/>
      <c r="G15" s="26"/>
      <c r="H15" s="39"/>
      <c r="I15" s="31" t="s">
        <v>473</v>
      </c>
      <c r="J15" s="23"/>
      <c r="K15" s="23"/>
      <c r="L15" s="23"/>
      <c r="M15" s="23"/>
      <c r="N15" s="23"/>
      <c r="O15" s="23"/>
      <c r="P15" s="23"/>
      <c r="Q15" s="37"/>
      <c r="R15" s="25" t="s">
        <v>472</v>
      </c>
      <c r="S15" s="23"/>
      <c r="T15" s="23"/>
      <c r="U15" s="23"/>
      <c r="V15" s="23"/>
      <c r="W15" s="23"/>
      <c r="X15" s="24"/>
      <c r="Y15" s="451" t="s">
        <v>150</v>
      </c>
      <c r="Z15" s="452"/>
      <c r="AA15" s="442" t="s">
        <v>151</v>
      </c>
      <c r="AB15" s="443"/>
      <c r="AC15" s="444"/>
      <c r="AD15" s="27">
        <v>1</v>
      </c>
      <c r="AE15" s="29"/>
      <c r="AF15" s="29"/>
      <c r="AG15" s="29"/>
      <c r="AH15" s="28"/>
      <c r="AI15" s="28"/>
      <c r="AJ15" s="28"/>
      <c r="AK15" s="28"/>
      <c r="AL15" s="28"/>
      <c r="AM15" s="28"/>
      <c r="AN15" s="28"/>
      <c r="AO15" s="29"/>
      <c r="AP15" s="29"/>
      <c r="AQ15" s="29"/>
      <c r="AR15" s="29"/>
      <c r="AS15" s="31" t="s">
        <v>474</v>
      </c>
      <c r="AT15" s="67"/>
      <c r="AU15" s="67"/>
      <c r="AV15" s="67"/>
      <c r="AW15" s="67"/>
      <c r="AX15" s="67"/>
      <c r="AY15" s="67"/>
      <c r="AZ15" s="67"/>
      <c r="BA15" s="67"/>
      <c r="BB15" s="67"/>
      <c r="BC15" s="67"/>
      <c r="BD15" s="68"/>
    </row>
    <row r="16" spans="1:56" ht="14.4" customHeight="1">
      <c r="A16" s="70" t="str">
        <f>IF(B16="","",COUNTA($B$8:B16))</f>
        <v/>
      </c>
      <c r="B16" s="25"/>
      <c r="C16" s="26"/>
      <c r="D16" s="26"/>
      <c r="E16" s="26"/>
      <c r="F16" s="26"/>
      <c r="G16" s="26"/>
      <c r="H16" s="39"/>
      <c r="I16" s="31"/>
      <c r="J16" s="23"/>
      <c r="K16" s="23"/>
      <c r="L16" s="23"/>
      <c r="M16" s="23"/>
      <c r="N16" s="23"/>
      <c r="O16" s="23"/>
      <c r="P16" s="23"/>
      <c r="Q16" s="37"/>
      <c r="R16" s="25"/>
      <c r="S16" s="23"/>
      <c r="T16" s="23"/>
      <c r="U16" s="23"/>
      <c r="V16" s="23"/>
      <c r="W16" s="23"/>
      <c r="X16" s="24"/>
      <c r="Y16" s="451"/>
      <c r="Z16" s="452"/>
      <c r="AA16" s="442"/>
      <c r="AB16" s="443"/>
      <c r="AC16" s="444"/>
      <c r="AD16" s="27"/>
      <c r="AE16" s="29"/>
      <c r="AF16" s="29"/>
      <c r="AG16" s="29"/>
      <c r="AH16" s="28"/>
      <c r="AI16" s="28"/>
      <c r="AJ16" s="28"/>
      <c r="AK16" s="28"/>
      <c r="AL16" s="28"/>
      <c r="AM16" s="28"/>
      <c r="AN16" s="28"/>
      <c r="AO16" s="29"/>
      <c r="AP16" s="29"/>
      <c r="AQ16" s="29"/>
      <c r="AR16" s="29"/>
      <c r="AS16" s="31" t="s">
        <v>471</v>
      </c>
      <c r="AT16" s="67"/>
      <c r="AU16" s="67"/>
      <c r="AV16" s="67"/>
      <c r="AW16" s="67"/>
      <c r="AX16" s="67"/>
      <c r="AY16" s="67"/>
      <c r="AZ16" s="67"/>
      <c r="BA16" s="67"/>
      <c r="BB16" s="67"/>
      <c r="BC16" s="67"/>
      <c r="BD16" s="68"/>
    </row>
    <row r="17" spans="1:57" ht="14.4" customHeight="1">
      <c r="A17" s="70">
        <f>IF(B17="","",COUNTA($B$8:B17))</f>
        <v>7</v>
      </c>
      <c r="B17" s="25" t="s">
        <v>475</v>
      </c>
      <c r="C17" s="26"/>
      <c r="D17" s="26"/>
      <c r="E17" s="26"/>
      <c r="F17" s="26"/>
      <c r="G17" s="26"/>
      <c r="H17" s="39"/>
      <c r="I17" s="98" t="s">
        <v>1481</v>
      </c>
      <c r="J17" s="23"/>
      <c r="K17" s="23"/>
      <c r="L17" s="23"/>
      <c r="M17" s="23"/>
      <c r="N17" s="23"/>
      <c r="O17" s="23"/>
      <c r="P17" s="23"/>
      <c r="Q17" s="37"/>
      <c r="R17" s="181" t="s">
        <v>475</v>
      </c>
      <c r="S17" s="23"/>
      <c r="T17" s="23"/>
      <c r="U17" s="23"/>
      <c r="V17" s="23"/>
      <c r="W17" s="23"/>
      <c r="X17" s="24"/>
      <c r="Y17" s="451" t="s">
        <v>150</v>
      </c>
      <c r="Z17" s="452"/>
      <c r="AA17" s="442" t="s">
        <v>151</v>
      </c>
      <c r="AB17" s="443"/>
      <c r="AC17" s="444"/>
      <c r="AD17" s="27">
        <v>1</v>
      </c>
      <c r="AE17" s="29"/>
      <c r="AF17" s="29"/>
      <c r="AG17" s="29"/>
      <c r="AH17" s="28"/>
      <c r="AI17" s="28"/>
      <c r="AJ17" s="28"/>
      <c r="AK17" s="28"/>
      <c r="AL17" s="28"/>
      <c r="AM17" s="28"/>
      <c r="AN17" s="28"/>
      <c r="AO17" s="29"/>
      <c r="AP17" s="29"/>
      <c r="AQ17" s="29"/>
      <c r="AR17" s="29"/>
      <c r="AS17" s="98" t="s">
        <v>1482</v>
      </c>
      <c r="AT17" s="67"/>
      <c r="AU17" s="67"/>
      <c r="AV17" s="67"/>
      <c r="AW17" s="67"/>
      <c r="AX17" s="67"/>
      <c r="AY17" s="67"/>
      <c r="AZ17" s="67"/>
      <c r="BA17" s="67"/>
      <c r="BB17" s="67"/>
      <c r="BC17" s="67"/>
      <c r="BD17" s="68"/>
    </row>
    <row r="18" spans="1:57" ht="14.4" customHeight="1">
      <c r="A18" s="70" t="str">
        <f>IF(B18="","",COUNTA($B$8:B18))</f>
        <v/>
      </c>
      <c r="B18" s="25"/>
      <c r="C18" s="26"/>
      <c r="D18" s="26"/>
      <c r="E18" s="26"/>
      <c r="F18" s="26"/>
      <c r="G18" s="26"/>
      <c r="H18" s="39"/>
      <c r="I18" s="31"/>
      <c r="J18" s="23"/>
      <c r="K18" s="23"/>
      <c r="L18" s="23"/>
      <c r="M18" s="23"/>
      <c r="N18" s="23"/>
      <c r="O18" s="23"/>
      <c r="P18" s="23"/>
      <c r="Q18" s="37"/>
      <c r="R18" s="25"/>
      <c r="S18" s="23"/>
      <c r="T18" s="23"/>
      <c r="U18" s="23"/>
      <c r="V18" s="23"/>
      <c r="W18" s="23"/>
      <c r="X18" s="24"/>
      <c r="Y18" s="451"/>
      <c r="Z18" s="452"/>
      <c r="AA18" s="442"/>
      <c r="AB18" s="443"/>
      <c r="AC18" s="444"/>
      <c r="AD18" s="27"/>
      <c r="AE18" s="29"/>
      <c r="AF18" s="29"/>
      <c r="AG18" s="29"/>
      <c r="AH18" s="28"/>
      <c r="AI18" s="28"/>
      <c r="AJ18" s="28"/>
      <c r="AK18" s="28"/>
      <c r="AL18" s="28"/>
      <c r="AM18" s="28"/>
      <c r="AN18" s="28"/>
      <c r="AO18" s="29"/>
      <c r="AP18" s="29"/>
      <c r="AQ18" s="29"/>
      <c r="AR18" s="29"/>
      <c r="AS18" s="31" t="s">
        <v>478</v>
      </c>
      <c r="AT18" s="67"/>
      <c r="AU18" s="67"/>
      <c r="AV18" s="67"/>
      <c r="AW18" s="67"/>
      <c r="AX18" s="67"/>
      <c r="AY18" s="67"/>
      <c r="AZ18" s="67"/>
      <c r="BA18" s="67"/>
      <c r="BB18" s="67"/>
      <c r="BC18" s="67"/>
      <c r="BD18" s="68"/>
    </row>
    <row r="19" spans="1:57" ht="14.4" customHeight="1">
      <c r="A19" s="70">
        <f>IF(B19="","",COUNTA($B$8:B19))</f>
        <v>8</v>
      </c>
      <c r="B19" s="25" t="s">
        <v>477</v>
      </c>
      <c r="C19" s="26"/>
      <c r="D19" s="26"/>
      <c r="E19" s="26"/>
      <c r="F19" s="26"/>
      <c r="G19" s="26"/>
      <c r="H19" s="39"/>
      <c r="I19" s="31" t="s">
        <v>476</v>
      </c>
      <c r="J19" s="23"/>
      <c r="K19" s="23"/>
      <c r="L19" s="23"/>
      <c r="M19" s="23"/>
      <c r="N19" s="23"/>
      <c r="O19" s="23"/>
      <c r="P19" s="23"/>
      <c r="Q19" s="37"/>
      <c r="R19" s="25" t="s">
        <v>477</v>
      </c>
      <c r="S19" s="23"/>
      <c r="T19" s="23"/>
      <c r="U19" s="23"/>
      <c r="V19" s="23"/>
      <c r="W19" s="23"/>
      <c r="X19" s="24"/>
      <c r="Y19" s="451" t="s">
        <v>150</v>
      </c>
      <c r="Z19" s="452"/>
      <c r="AA19" s="442" t="s">
        <v>151</v>
      </c>
      <c r="AB19" s="443"/>
      <c r="AC19" s="444"/>
      <c r="AD19" s="27">
        <v>1</v>
      </c>
      <c r="AE19" s="29"/>
      <c r="AF19" s="29"/>
      <c r="AG19" s="29"/>
      <c r="AH19" s="28"/>
      <c r="AI19" s="28"/>
      <c r="AJ19" s="28"/>
      <c r="AK19" s="28"/>
      <c r="AL19" s="28"/>
      <c r="AM19" s="28"/>
      <c r="AN19" s="28"/>
      <c r="AO19" s="29"/>
      <c r="AP19" s="29"/>
      <c r="AQ19" s="29"/>
      <c r="AR19" s="29"/>
      <c r="AS19" s="31" t="s">
        <v>479</v>
      </c>
      <c r="AT19" s="67"/>
      <c r="AU19" s="67"/>
      <c r="AV19" s="67"/>
      <c r="AW19" s="67"/>
      <c r="AX19" s="67"/>
      <c r="AY19" s="67"/>
      <c r="AZ19" s="67"/>
      <c r="BA19" s="67"/>
      <c r="BB19" s="67"/>
      <c r="BC19" s="67"/>
      <c r="BD19" s="68"/>
    </row>
    <row r="20" spans="1:57" ht="14.4" customHeight="1">
      <c r="A20" s="70" t="str">
        <f>IF(B20="","",COUNTA($B$8:B20))</f>
        <v/>
      </c>
      <c r="B20" s="25"/>
      <c r="C20" s="26"/>
      <c r="D20" s="26"/>
      <c r="E20" s="26"/>
      <c r="F20" s="26"/>
      <c r="G20" s="26"/>
      <c r="H20" s="39"/>
      <c r="I20" s="31"/>
      <c r="J20" s="23"/>
      <c r="K20" s="23"/>
      <c r="L20" s="23"/>
      <c r="M20" s="23"/>
      <c r="N20" s="23"/>
      <c r="O20" s="23"/>
      <c r="P20" s="23"/>
      <c r="Q20" s="37"/>
      <c r="R20" s="25"/>
      <c r="S20" s="23"/>
      <c r="T20" s="23"/>
      <c r="U20" s="23"/>
      <c r="V20" s="23"/>
      <c r="W20" s="23"/>
      <c r="X20" s="24"/>
      <c r="Y20" s="451"/>
      <c r="Z20" s="452"/>
      <c r="AA20" s="442"/>
      <c r="AB20" s="443"/>
      <c r="AC20" s="444"/>
      <c r="AD20" s="27"/>
      <c r="AE20" s="29"/>
      <c r="AF20" s="29"/>
      <c r="AG20" s="29"/>
      <c r="AH20" s="28"/>
      <c r="AI20" s="28"/>
      <c r="AJ20" s="28"/>
      <c r="AK20" s="28"/>
      <c r="AL20" s="28"/>
      <c r="AM20" s="28"/>
      <c r="AN20" s="28"/>
      <c r="AO20" s="29"/>
      <c r="AP20" s="29"/>
      <c r="AQ20" s="29"/>
      <c r="AR20" s="29"/>
      <c r="AS20" s="31" t="s">
        <v>480</v>
      </c>
      <c r="AT20" s="67"/>
      <c r="AU20" s="67"/>
      <c r="AV20" s="67"/>
      <c r="AW20" s="67"/>
      <c r="AX20" s="67"/>
      <c r="AY20" s="67"/>
      <c r="AZ20" s="67"/>
      <c r="BA20" s="67"/>
      <c r="BB20" s="67"/>
      <c r="BC20" s="67"/>
      <c r="BD20" s="68"/>
    </row>
    <row r="21" spans="1:57" ht="14.4" customHeight="1">
      <c r="A21" s="70">
        <f>IF(B21="","",COUNTA($B$8:B21))</f>
        <v>9</v>
      </c>
      <c r="B21" s="214" t="s">
        <v>1556</v>
      </c>
      <c r="C21" s="215"/>
      <c r="D21" s="215"/>
      <c r="E21" s="215"/>
      <c r="F21" s="215"/>
      <c r="G21" s="215"/>
      <c r="H21" s="216"/>
      <c r="I21" s="98" t="s">
        <v>1557</v>
      </c>
      <c r="J21" s="201"/>
      <c r="K21" s="201"/>
      <c r="L21" s="201"/>
      <c r="M21" s="201"/>
      <c r="N21" s="201"/>
      <c r="O21" s="201"/>
      <c r="P21" s="201"/>
      <c r="Q21" s="202"/>
      <c r="R21" s="214" t="s">
        <v>1558</v>
      </c>
      <c r="S21" s="201"/>
      <c r="T21" s="201"/>
      <c r="U21" s="201"/>
      <c r="V21" s="201"/>
      <c r="W21" s="201"/>
      <c r="X21" s="203"/>
      <c r="Y21" s="499" t="s">
        <v>150</v>
      </c>
      <c r="Z21" s="500"/>
      <c r="AA21" s="501" t="s">
        <v>151</v>
      </c>
      <c r="AB21" s="502"/>
      <c r="AC21" s="503"/>
      <c r="AD21" s="96">
        <v>1</v>
      </c>
      <c r="AE21" s="97"/>
      <c r="AF21" s="97"/>
      <c r="AG21" s="97"/>
      <c r="AH21" s="204"/>
      <c r="AI21" s="204"/>
      <c r="AJ21" s="204"/>
      <c r="AK21" s="204"/>
      <c r="AL21" s="204"/>
      <c r="AM21" s="204"/>
      <c r="AN21" s="204"/>
      <c r="AO21" s="97"/>
      <c r="AP21" s="97"/>
      <c r="AQ21" s="97"/>
      <c r="AR21" s="97"/>
      <c r="AS21" s="98" t="s">
        <v>1559</v>
      </c>
      <c r="AT21" s="205"/>
      <c r="AU21" s="205"/>
      <c r="AV21" s="205"/>
      <c r="AW21" s="205"/>
      <c r="AX21" s="205"/>
      <c r="AY21" s="205"/>
      <c r="AZ21" s="205"/>
      <c r="BA21" s="205"/>
      <c r="BB21" s="205"/>
      <c r="BC21" s="205"/>
      <c r="BD21" s="206"/>
      <c r="BE21" s="18" t="s">
        <v>1566</v>
      </c>
    </row>
    <row r="22" spans="1:57" ht="14.4" customHeight="1">
      <c r="A22" s="70" t="str">
        <f>IF(B22="","",COUNTA($B$8:B22))</f>
        <v/>
      </c>
      <c r="B22" s="214"/>
      <c r="C22" s="215"/>
      <c r="D22" s="215"/>
      <c r="E22" s="215"/>
      <c r="F22" s="215"/>
      <c r="G22" s="215"/>
      <c r="H22" s="216"/>
      <c r="I22" s="98"/>
      <c r="J22" s="201"/>
      <c r="K22" s="201"/>
      <c r="L22" s="201"/>
      <c r="M22" s="201"/>
      <c r="N22" s="201"/>
      <c r="O22" s="201"/>
      <c r="P22" s="201"/>
      <c r="Q22" s="202"/>
      <c r="R22" s="214"/>
      <c r="S22" s="201"/>
      <c r="T22" s="201"/>
      <c r="U22" s="201"/>
      <c r="V22" s="201"/>
      <c r="W22" s="201"/>
      <c r="X22" s="203"/>
      <c r="Y22" s="499"/>
      <c r="Z22" s="500"/>
      <c r="AA22" s="501"/>
      <c r="AB22" s="502"/>
      <c r="AC22" s="503"/>
      <c r="AD22" s="96"/>
      <c r="AE22" s="97"/>
      <c r="AF22" s="97"/>
      <c r="AG22" s="97"/>
      <c r="AH22" s="204"/>
      <c r="AI22" s="204"/>
      <c r="AJ22" s="204"/>
      <c r="AK22" s="204"/>
      <c r="AL22" s="204"/>
      <c r="AM22" s="204"/>
      <c r="AN22" s="204"/>
      <c r="AO22" s="97"/>
      <c r="AP22" s="97"/>
      <c r="AQ22" s="97"/>
      <c r="AR22" s="97"/>
      <c r="AS22" s="98" t="s">
        <v>1560</v>
      </c>
      <c r="AT22" s="205"/>
      <c r="AU22" s="205"/>
      <c r="AV22" s="205"/>
      <c r="AW22" s="205"/>
      <c r="AX22" s="205"/>
      <c r="AY22" s="205"/>
      <c r="AZ22" s="205"/>
      <c r="BA22" s="205"/>
      <c r="BB22" s="205"/>
      <c r="BC22" s="205"/>
      <c r="BD22" s="206"/>
      <c r="BE22" s="18" t="s">
        <v>1567</v>
      </c>
    </row>
    <row r="23" spans="1:57" ht="14.4" customHeight="1">
      <c r="A23" s="70">
        <f>IF(B23="","",COUNTA($B$8:B23))</f>
        <v>10</v>
      </c>
      <c r="B23" s="214" t="s">
        <v>1561</v>
      </c>
      <c r="C23" s="215"/>
      <c r="D23" s="215"/>
      <c r="E23" s="215"/>
      <c r="F23" s="215"/>
      <c r="G23" s="215"/>
      <c r="H23" s="216"/>
      <c r="I23" s="98" t="s">
        <v>1562</v>
      </c>
      <c r="J23" s="201"/>
      <c r="K23" s="201"/>
      <c r="L23" s="201"/>
      <c r="M23" s="201"/>
      <c r="N23" s="201"/>
      <c r="O23" s="201"/>
      <c r="P23" s="201"/>
      <c r="Q23" s="202"/>
      <c r="R23" s="214" t="s">
        <v>1563</v>
      </c>
      <c r="S23" s="201"/>
      <c r="T23" s="201"/>
      <c r="U23" s="201"/>
      <c r="V23" s="201"/>
      <c r="W23" s="201"/>
      <c r="X23" s="203"/>
      <c r="Y23" s="499" t="s">
        <v>150</v>
      </c>
      <c r="Z23" s="500"/>
      <c r="AA23" s="501" t="s">
        <v>151</v>
      </c>
      <c r="AB23" s="502"/>
      <c r="AC23" s="503"/>
      <c r="AD23" s="96">
        <v>1</v>
      </c>
      <c r="AE23" s="97"/>
      <c r="AF23" s="97"/>
      <c r="AG23" s="97"/>
      <c r="AH23" s="204"/>
      <c r="AI23" s="204"/>
      <c r="AJ23" s="204"/>
      <c r="AK23" s="204"/>
      <c r="AL23" s="204"/>
      <c r="AM23" s="204"/>
      <c r="AN23" s="204"/>
      <c r="AO23" s="97"/>
      <c r="AP23" s="97"/>
      <c r="AQ23" s="97"/>
      <c r="AR23" s="97"/>
      <c r="AS23" s="98" t="s">
        <v>1564</v>
      </c>
      <c r="AT23" s="205"/>
      <c r="AU23" s="205"/>
      <c r="AV23" s="205"/>
      <c r="AW23" s="205"/>
      <c r="AX23" s="205"/>
      <c r="AY23" s="205"/>
      <c r="AZ23" s="205"/>
      <c r="BA23" s="205"/>
      <c r="BB23" s="205"/>
      <c r="BC23" s="205"/>
      <c r="BD23" s="206"/>
      <c r="BE23" s="18" t="s">
        <v>1567</v>
      </c>
    </row>
    <row r="24" spans="1:57" ht="14.4" customHeight="1">
      <c r="A24" s="70" t="str">
        <f>IF(B24="","",COUNTA($B$8:B24))</f>
        <v/>
      </c>
      <c r="B24" s="214"/>
      <c r="C24" s="215"/>
      <c r="D24" s="215"/>
      <c r="E24" s="215"/>
      <c r="F24" s="215"/>
      <c r="G24" s="215"/>
      <c r="H24" s="216"/>
      <c r="I24" s="98"/>
      <c r="J24" s="201"/>
      <c r="K24" s="201"/>
      <c r="L24" s="201"/>
      <c r="M24" s="201"/>
      <c r="N24" s="201"/>
      <c r="O24" s="201"/>
      <c r="P24" s="201"/>
      <c r="Q24" s="202"/>
      <c r="R24" s="214"/>
      <c r="S24" s="201"/>
      <c r="T24" s="201"/>
      <c r="U24" s="201"/>
      <c r="V24" s="201"/>
      <c r="W24" s="201"/>
      <c r="X24" s="203"/>
      <c r="Y24" s="499"/>
      <c r="Z24" s="500"/>
      <c r="AA24" s="501"/>
      <c r="AB24" s="502"/>
      <c r="AC24" s="503"/>
      <c r="AD24" s="96"/>
      <c r="AE24" s="97"/>
      <c r="AF24" s="97"/>
      <c r="AG24" s="97"/>
      <c r="AH24" s="204"/>
      <c r="AI24" s="204"/>
      <c r="AJ24" s="204"/>
      <c r="AK24" s="204"/>
      <c r="AL24" s="204"/>
      <c r="AM24" s="204"/>
      <c r="AN24" s="204"/>
      <c r="AO24" s="97"/>
      <c r="AP24" s="97"/>
      <c r="AQ24" s="97"/>
      <c r="AR24" s="97"/>
      <c r="AS24" s="98" t="s">
        <v>1565</v>
      </c>
      <c r="AT24" s="205"/>
      <c r="AU24" s="205"/>
      <c r="AV24" s="205"/>
      <c r="AW24" s="205"/>
      <c r="AX24" s="205"/>
      <c r="AY24" s="205"/>
      <c r="AZ24" s="205"/>
      <c r="BA24" s="205"/>
      <c r="BB24" s="205"/>
      <c r="BC24" s="205"/>
      <c r="BD24" s="206"/>
      <c r="BE24" s="18" t="s">
        <v>1567</v>
      </c>
    </row>
    <row r="25" spans="1:57" ht="14.4" customHeight="1">
      <c r="A25" s="70">
        <f>IF(B25="","",COUNTA($B$8:B25))</f>
        <v>11</v>
      </c>
      <c r="B25" s="25" t="s">
        <v>481</v>
      </c>
      <c r="C25" s="26"/>
      <c r="D25" s="26"/>
      <c r="E25" s="26"/>
      <c r="F25" s="26"/>
      <c r="G25" s="26"/>
      <c r="H25" s="39"/>
      <c r="I25" s="31" t="s">
        <v>482</v>
      </c>
      <c r="J25" s="23"/>
      <c r="K25" s="23"/>
      <c r="L25" s="23"/>
      <c r="M25" s="23"/>
      <c r="N25" s="23"/>
      <c r="O25" s="23"/>
      <c r="P25" s="23"/>
      <c r="Q25" s="37"/>
      <c r="R25" s="25" t="s">
        <v>481</v>
      </c>
      <c r="S25" s="23"/>
      <c r="T25" s="23"/>
      <c r="U25" s="23"/>
      <c r="V25" s="23"/>
      <c r="W25" s="23"/>
      <c r="X25" s="24"/>
      <c r="Y25" s="451" t="s">
        <v>150</v>
      </c>
      <c r="Z25" s="452"/>
      <c r="AA25" s="442" t="s">
        <v>151</v>
      </c>
      <c r="AB25" s="443"/>
      <c r="AC25" s="444"/>
      <c r="AD25" s="27">
        <v>1</v>
      </c>
      <c r="AE25" s="29"/>
      <c r="AF25" s="29"/>
      <c r="AG25" s="29"/>
      <c r="AH25" s="28"/>
      <c r="AI25" s="28"/>
      <c r="AJ25" s="28"/>
      <c r="AK25" s="28"/>
      <c r="AL25" s="28"/>
      <c r="AM25" s="28"/>
      <c r="AN25" s="28"/>
      <c r="AO25" s="29"/>
      <c r="AP25" s="29"/>
      <c r="AQ25" s="29"/>
      <c r="AR25" s="29"/>
      <c r="AS25" s="31" t="s">
        <v>483</v>
      </c>
      <c r="AT25" s="67"/>
      <c r="AU25" s="67"/>
      <c r="AV25" s="67"/>
      <c r="AW25" s="67"/>
      <c r="AX25" s="67"/>
      <c r="AY25" s="67"/>
      <c r="AZ25" s="67"/>
      <c r="BA25" s="67"/>
      <c r="BB25" s="67"/>
      <c r="BC25" s="67"/>
      <c r="BD25" s="68"/>
    </row>
    <row r="26" spans="1:57" ht="14.4" customHeight="1">
      <c r="A26" s="70">
        <f>IF(B26="","",COUNTA($B$8:B26))</f>
        <v>12</v>
      </c>
      <c r="B26" s="181" t="s">
        <v>1542</v>
      </c>
      <c r="C26" s="199"/>
      <c r="D26" s="199"/>
      <c r="E26" s="199"/>
      <c r="F26" s="199"/>
      <c r="G26" s="199"/>
      <c r="H26" s="200"/>
      <c r="I26" s="98" t="s">
        <v>1543</v>
      </c>
      <c r="J26" s="201"/>
      <c r="K26" s="201"/>
      <c r="L26" s="201"/>
      <c r="M26" s="201"/>
      <c r="N26" s="201"/>
      <c r="O26" s="201"/>
      <c r="P26" s="201"/>
      <c r="Q26" s="202"/>
      <c r="R26" s="181" t="s">
        <v>1542</v>
      </c>
      <c r="S26" s="201"/>
      <c r="T26" s="201"/>
      <c r="U26" s="201"/>
      <c r="V26" s="201"/>
      <c r="W26" s="201"/>
      <c r="X26" s="203"/>
      <c r="Y26" s="499" t="s">
        <v>150</v>
      </c>
      <c r="Z26" s="500"/>
      <c r="AA26" s="501" t="s">
        <v>151</v>
      </c>
      <c r="AB26" s="502"/>
      <c r="AC26" s="503"/>
      <c r="AD26" s="96">
        <v>4</v>
      </c>
      <c r="AE26" s="97"/>
      <c r="AF26" s="97"/>
      <c r="AG26" s="97"/>
      <c r="AH26" s="204"/>
      <c r="AI26" s="204"/>
      <c r="AJ26" s="204"/>
      <c r="AK26" s="204"/>
      <c r="AL26" s="204"/>
      <c r="AM26" s="204"/>
      <c r="AN26" s="204"/>
      <c r="AO26" s="97"/>
      <c r="AP26" s="97"/>
      <c r="AQ26" s="97"/>
      <c r="AR26" s="97"/>
      <c r="AS26" s="98" t="s">
        <v>1544</v>
      </c>
      <c r="AT26" s="205"/>
      <c r="AU26" s="205"/>
      <c r="AV26" s="205"/>
      <c r="AW26" s="205"/>
      <c r="AX26" s="205"/>
      <c r="AY26" s="205"/>
      <c r="AZ26" s="205"/>
      <c r="BA26" s="205"/>
      <c r="BB26" s="205"/>
      <c r="BC26" s="205"/>
      <c r="BD26" s="206"/>
      <c r="BE26" s="18" t="s">
        <v>1545</v>
      </c>
    </row>
    <row r="27" spans="1:57" ht="14.4" customHeight="1">
      <c r="A27" s="70" t="str">
        <f>IF(B27="","",COUNTA($B$8:B27))</f>
        <v/>
      </c>
      <c r="B27" s="181"/>
      <c r="C27" s="199"/>
      <c r="D27" s="199"/>
      <c r="E27" s="199"/>
      <c r="F27" s="199"/>
      <c r="G27" s="199"/>
      <c r="H27" s="200"/>
      <c r="I27" s="98"/>
      <c r="J27" s="201"/>
      <c r="K27" s="201"/>
      <c r="L27" s="201"/>
      <c r="M27" s="201"/>
      <c r="N27" s="201"/>
      <c r="O27" s="201"/>
      <c r="P27" s="201"/>
      <c r="Q27" s="202"/>
      <c r="R27" s="181"/>
      <c r="S27" s="201"/>
      <c r="T27" s="201"/>
      <c r="U27" s="201"/>
      <c r="V27" s="201"/>
      <c r="W27" s="201"/>
      <c r="X27" s="203"/>
      <c r="Y27" s="499"/>
      <c r="Z27" s="500"/>
      <c r="AA27" s="501"/>
      <c r="AB27" s="502"/>
      <c r="AC27" s="503"/>
      <c r="AD27" s="96"/>
      <c r="AE27" s="97"/>
      <c r="AF27" s="97"/>
      <c r="AG27" s="97"/>
      <c r="AH27" s="204"/>
      <c r="AI27" s="204"/>
      <c r="AJ27" s="204"/>
      <c r="AK27" s="204"/>
      <c r="AL27" s="204"/>
      <c r="AM27" s="204"/>
      <c r="AN27" s="204"/>
      <c r="AO27" s="97"/>
      <c r="AP27" s="97"/>
      <c r="AQ27" s="97"/>
      <c r="AR27" s="97"/>
      <c r="AS27" s="98" t="s">
        <v>1547</v>
      </c>
      <c r="AT27" s="205"/>
      <c r="AU27" s="205"/>
      <c r="AV27" s="205"/>
      <c r="AW27" s="205"/>
      <c r="AX27" s="205"/>
      <c r="AY27" s="205"/>
      <c r="AZ27" s="205"/>
      <c r="BA27" s="205"/>
      <c r="BB27" s="205"/>
      <c r="BC27" s="205"/>
      <c r="BD27" s="206"/>
      <c r="BE27" s="18" t="s">
        <v>1545</v>
      </c>
    </row>
    <row r="28" spans="1:57" ht="14.4" customHeight="1">
      <c r="A28" s="70">
        <f>IF(B28="","",COUNTA($B$8:B28))</f>
        <v>13</v>
      </c>
      <c r="B28" s="181" t="s">
        <v>1546</v>
      </c>
      <c r="C28" s="199"/>
      <c r="D28" s="199"/>
      <c r="E28" s="199"/>
      <c r="F28" s="199"/>
      <c r="G28" s="199"/>
      <c r="H28" s="200"/>
      <c r="I28" s="98" t="s">
        <v>1549</v>
      </c>
      <c r="J28" s="201"/>
      <c r="K28" s="201"/>
      <c r="L28" s="201"/>
      <c r="M28" s="201"/>
      <c r="N28" s="201"/>
      <c r="O28" s="201"/>
      <c r="P28" s="201"/>
      <c r="Q28" s="202"/>
      <c r="R28" s="181" t="s">
        <v>1546</v>
      </c>
      <c r="S28" s="201"/>
      <c r="T28" s="201"/>
      <c r="U28" s="201"/>
      <c r="V28" s="201"/>
      <c r="W28" s="201"/>
      <c r="X28" s="203"/>
      <c r="Y28" s="499" t="s">
        <v>150</v>
      </c>
      <c r="Z28" s="500"/>
      <c r="AA28" s="501" t="s">
        <v>151</v>
      </c>
      <c r="AB28" s="502"/>
      <c r="AC28" s="503"/>
      <c r="AD28" s="96">
        <v>4</v>
      </c>
      <c r="AE28" s="97"/>
      <c r="AF28" s="97"/>
      <c r="AG28" s="97"/>
      <c r="AH28" s="204"/>
      <c r="AI28" s="204"/>
      <c r="AJ28" s="204"/>
      <c r="AK28" s="204"/>
      <c r="AL28" s="204"/>
      <c r="AM28" s="204"/>
      <c r="AN28" s="204"/>
      <c r="AO28" s="97"/>
      <c r="AP28" s="97"/>
      <c r="AQ28" s="97"/>
      <c r="AR28" s="97"/>
      <c r="AS28" s="98" t="s">
        <v>1548</v>
      </c>
      <c r="AT28" s="205"/>
      <c r="AU28" s="205"/>
      <c r="AV28" s="205"/>
      <c r="AW28" s="205"/>
      <c r="AX28" s="205"/>
      <c r="AY28" s="205"/>
      <c r="AZ28" s="205"/>
      <c r="BA28" s="205"/>
      <c r="BB28" s="205"/>
      <c r="BC28" s="205"/>
      <c r="BD28" s="206"/>
      <c r="BE28" s="18" t="s">
        <v>1545</v>
      </c>
    </row>
    <row r="29" spans="1:57" ht="14.4" customHeight="1">
      <c r="A29" s="70" t="str">
        <f>IF(B29="","",COUNTA($B$8:B29))</f>
        <v/>
      </c>
      <c r="B29" s="181"/>
      <c r="C29" s="199"/>
      <c r="D29" s="199"/>
      <c r="E29" s="199"/>
      <c r="F29" s="199"/>
      <c r="G29" s="199"/>
      <c r="H29" s="200"/>
      <c r="I29" s="98"/>
      <c r="J29" s="201"/>
      <c r="K29" s="201"/>
      <c r="L29" s="201"/>
      <c r="M29" s="201"/>
      <c r="N29" s="201"/>
      <c r="O29" s="201"/>
      <c r="P29" s="201"/>
      <c r="Q29" s="202"/>
      <c r="R29" s="181"/>
      <c r="S29" s="201"/>
      <c r="T29" s="201"/>
      <c r="U29" s="201"/>
      <c r="V29" s="201"/>
      <c r="W29" s="201"/>
      <c r="X29" s="203"/>
      <c r="Y29" s="499"/>
      <c r="Z29" s="500"/>
      <c r="AA29" s="501"/>
      <c r="AB29" s="502"/>
      <c r="AC29" s="503"/>
      <c r="AD29" s="96"/>
      <c r="AE29" s="97"/>
      <c r="AF29" s="97"/>
      <c r="AG29" s="97"/>
      <c r="AH29" s="204"/>
      <c r="AI29" s="204"/>
      <c r="AJ29" s="204"/>
      <c r="AK29" s="204"/>
      <c r="AL29" s="204"/>
      <c r="AM29" s="204"/>
      <c r="AN29" s="204"/>
      <c r="AO29" s="97"/>
      <c r="AP29" s="97"/>
      <c r="AQ29" s="97"/>
      <c r="AR29" s="97"/>
      <c r="AS29" s="98" t="s">
        <v>1539</v>
      </c>
      <c r="AT29" s="205"/>
      <c r="AU29" s="205"/>
      <c r="AV29" s="205"/>
      <c r="AW29" s="205"/>
      <c r="AX29" s="205"/>
      <c r="AY29" s="205"/>
      <c r="AZ29" s="205"/>
      <c r="BA29" s="205"/>
      <c r="BB29" s="205"/>
      <c r="BC29" s="205"/>
      <c r="BD29" s="206"/>
      <c r="BE29" s="18" t="s">
        <v>1545</v>
      </c>
    </row>
    <row r="30" spans="1:57" ht="14.4" customHeight="1">
      <c r="A30" s="70">
        <f>IF(B30="","",COUNTA($B$8:B30))</f>
        <v>14</v>
      </c>
      <c r="B30" s="181" t="s">
        <v>1537</v>
      </c>
      <c r="C30" s="199"/>
      <c r="D30" s="199"/>
      <c r="E30" s="199"/>
      <c r="F30" s="199"/>
      <c r="G30" s="199"/>
      <c r="H30" s="200"/>
      <c r="I30" s="98" t="s">
        <v>1538</v>
      </c>
      <c r="J30" s="201"/>
      <c r="K30" s="201"/>
      <c r="L30" s="201"/>
      <c r="M30" s="201"/>
      <c r="N30" s="201"/>
      <c r="O30" s="201"/>
      <c r="P30" s="201"/>
      <c r="Q30" s="202"/>
      <c r="R30" s="181" t="s">
        <v>1537</v>
      </c>
      <c r="S30" s="201"/>
      <c r="T30" s="201"/>
      <c r="U30" s="201"/>
      <c r="V30" s="201"/>
      <c r="W30" s="201"/>
      <c r="X30" s="203"/>
      <c r="Y30" s="499" t="s">
        <v>150</v>
      </c>
      <c r="Z30" s="500"/>
      <c r="AA30" s="501" t="s">
        <v>151</v>
      </c>
      <c r="AB30" s="502"/>
      <c r="AC30" s="503"/>
      <c r="AD30" s="96">
        <v>1</v>
      </c>
      <c r="AE30" s="97"/>
      <c r="AF30" s="97"/>
      <c r="AG30" s="97"/>
      <c r="AH30" s="204"/>
      <c r="AI30" s="204"/>
      <c r="AJ30" s="204"/>
      <c r="AK30" s="204"/>
      <c r="AL30" s="204"/>
      <c r="AM30" s="204"/>
      <c r="AN30" s="204"/>
      <c r="AO30" s="97"/>
      <c r="AP30" s="97"/>
      <c r="AQ30" s="97"/>
      <c r="AR30" s="97"/>
      <c r="AS30" s="98" t="s">
        <v>1540</v>
      </c>
      <c r="AT30" s="205"/>
      <c r="AU30" s="205"/>
      <c r="AV30" s="205"/>
      <c r="AW30" s="205"/>
      <c r="AX30" s="205"/>
      <c r="AY30" s="205"/>
      <c r="AZ30" s="205"/>
      <c r="BA30" s="205"/>
      <c r="BB30" s="205"/>
      <c r="BC30" s="205"/>
      <c r="BD30" s="206"/>
      <c r="BE30" s="18" t="s">
        <v>1545</v>
      </c>
    </row>
    <row r="31" spans="1:57" ht="14.4" customHeight="1">
      <c r="A31" s="70" t="str">
        <f>IF(B31="","",COUNTA($B$8:B31))</f>
        <v/>
      </c>
      <c r="B31" s="181"/>
      <c r="C31" s="199"/>
      <c r="D31" s="199"/>
      <c r="E31" s="199"/>
      <c r="F31" s="199"/>
      <c r="G31" s="199"/>
      <c r="H31" s="200"/>
      <c r="I31" s="98"/>
      <c r="J31" s="201"/>
      <c r="K31" s="201"/>
      <c r="L31" s="201"/>
      <c r="M31" s="201"/>
      <c r="N31" s="201"/>
      <c r="O31" s="201"/>
      <c r="P31" s="201"/>
      <c r="Q31" s="202"/>
      <c r="R31" s="181"/>
      <c r="S31" s="201"/>
      <c r="T31" s="201"/>
      <c r="U31" s="201"/>
      <c r="V31" s="201"/>
      <c r="W31" s="201"/>
      <c r="X31" s="203"/>
      <c r="Y31" s="499"/>
      <c r="Z31" s="500"/>
      <c r="AA31" s="501"/>
      <c r="AB31" s="502"/>
      <c r="AC31" s="503"/>
      <c r="AD31" s="96"/>
      <c r="AE31" s="97"/>
      <c r="AF31" s="97"/>
      <c r="AG31" s="97"/>
      <c r="AH31" s="204"/>
      <c r="AI31" s="204"/>
      <c r="AJ31" s="204"/>
      <c r="AK31" s="204"/>
      <c r="AL31" s="204"/>
      <c r="AM31" s="204"/>
      <c r="AN31" s="204"/>
      <c r="AO31" s="97"/>
      <c r="AP31" s="97"/>
      <c r="AQ31" s="97"/>
      <c r="AR31" s="97"/>
      <c r="AS31" s="98" t="s">
        <v>1541</v>
      </c>
      <c r="AT31" s="205"/>
      <c r="AU31" s="205"/>
      <c r="AV31" s="205"/>
      <c r="AW31" s="205"/>
      <c r="AX31" s="205"/>
      <c r="AY31" s="205"/>
      <c r="AZ31" s="205"/>
      <c r="BA31" s="205"/>
      <c r="BB31" s="205"/>
      <c r="BC31" s="205"/>
      <c r="BD31" s="206"/>
      <c r="BE31" s="18" t="s">
        <v>1545</v>
      </c>
    </row>
    <row r="32" spans="1:57" s="1" customFormat="1" ht="14.4" customHeight="1">
      <c r="A32" s="70">
        <f>IF(B32="","",COUNTA($B$8:B32))</f>
        <v>15</v>
      </c>
      <c r="B32" s="131" t="s">
        <v>484</v>
      </c>
      <c r="C32" s="127"/>
      <c r="D32" s="127"/>
      <c r="E32" s="127"/>
      <c r="F32" s="127"/>
      <c r="G32" s="127"/>
      <c r="H32" s="127"/>
      <c r="I32" s="131" t="s">
        <v>485</v>
      </c>
      <c r="J32" s="129"/>
      <c r="K32" s="129"/>
      <c r="L32" s="129"/>
      <c r="M32" s="129"/>
      <c r="N32" s="129"/>
      <c r="O32" s="129"/>
      <c r="P32" s="129"/>
      <c r="Q32" s="129"/>
      <c r="R32" s="131" t="s">
        <v>484</v>
      </c>
      <c r="S32" s="127"/>
      <c r="T32" s="5"/>
      <c r="U32" s="5"/>
      <c r="V32" s="5"/>
      <c r="W32" s="5"/>
      <c r="X32" s="5"/>
      <c r="Y32" s="8" t="s">
        <v>150</v>
      </c>
      <c r="Z32" s="132"/>
      <c r="AA32" s="448" t="s">
        <v>151</v>
      </c>
      <c r="AB32" s="449"/>
      <c r="AC32" s="450"/>
      <c r="AD32" s="130">
        <v>1</v>
      </c>
      <c r="AE32" s="133" t="s">
        <v>244</v>
      </c>
      <c r="AF32" s="134"/>
      <c r="AG32" s="134"/>
      <c r="AH32" s="134"/>
      <c r="AI32" s="134"/>
      <c r="AJ32" s="134"/>
      <c r="AK32" s="134"/>
      <c r="AL32" s="134"/>
      <c r="AM32" s="134"/>
      <c r="AN32" s="134"/>
      <c r="AO32" s="135"/>
      <c r="AP32" s="135"/>
      <c r="AQ32" s="135"/>
      <c r="AR32" s="135"/>
      <c r="AS32" s="136" t="s">
        <v>486</v>
      </c>
      <c r="AT32" s="137"/>
      <c r="AU32" s="137"/>
      <c r="AV32" s="137"/>
      <c r="AW32" s="137"/>
      <c r="AX32" s="137"/>
      <c r="AY32" s="137"/>
      <c r="AZ32" s="137"/>
      <c r="BA32" s="137"/>
      <c r="BB32" s="137"/>
      <c r="BC32" s="137"/>
      <c r="BD32" s="138"/>
    </row>
    <row r="33" spans="1:56" ht="14.4" customHeight="1">
      <c r="A33" s="70">
        <f>IF(B33="","",COUNTA($B$8:B33))</f>
        <v>16</v>
      </c>
      <c r="B33" s="8" t="s">
        <v>255</v>
      </c>
      <c r="C33" s="127"/>
      <c r="D33" s="127"/>
      <c r="E33" s="127"/>
      <c r="F33" s="127"/>
      <c r="G33" s="127"/>
      <c r="H33" s="127"/>
      <c r="I33" s="131" t="s">
        <v>256</v>
      </c>
      <c r="J33" s="129"/>
      <c r="K33" s="129"/>
      <c r="L33" s="129"/>
      <c r="M33" s="129"/>
      <c r="N33" s="129"/>
      <c r="O33" s="129"/>
      <c r="P33" s="129"/>
      <c r="Q33" s="129"/>
      <c r="R33" s="8" t="s">
        <v>255</v>
      </c>
      <c r="S33" s="127"/>
      <c r="T33" s="5"/>
      <c r="U33" s="5"/>
      <c r="V33" s="5"/>
      <c r="W33" s="5"/>
      <c r="X33" s="5"/>
      <c r="Y33" s="8" t="s">
        <v>150</v>
      </c>
      <c r="Z33" s="132"/>
      <c r="AA33" s="448" t="s">
        <v>151</v>
      </c>
      <c r="AB33" s="449"/>
      <c r="AC33" s="450"/>
      <c r="AD33" s="139">
        <v>10</v>
      </c>
      <c r="AE33" s="29"/>
      <c r="AF33" s="29"/>
      <c r="AG33" s="29"/>
      <c r="AH33" s="28"/>
      <c r="AI33" s="28"/>
      <c r="AJ33" s="28"/>
      <c r="AK33" s="28"/>
      <c r="AL33" s="28"/>
      <c r="AM33" s="28"/>
      <c r="AN33" s="28"/>
      <c r="AO33" s="29"/>
      <c r="AP33" s="29"/>
      <c r="AQ33" s="29"/>
      <c r="AR33" s="29"/>
      <c r="AS33" s="31"/>
      <c r="AT33" s="67"/>
      <c r="AU33" s="67"/>
      <c r="AV33" s="67"/>
      <c r="AW33" s="67"/>
      <c r="AX33" s="67"/>
      <c r="AY33" s="67"/>
      <c r="AZ33" s="67"/>
      <c r="BA33" s="67"/>
      <c r="BB33" s="67"/>
      <c r="BC33" s="67"/>
      <c r="BD33" s="68"/>
    </row>
    <row r="34" spans="1:56" ht="14.4" customHeight="1">
      <c r="A34" s="70">
        <f>IF(B34="","",COUNTA($B$8:B34))</f>
        <v>17</v>
      </c>
      <c r="B34" s="8" t="s">
        <v>257</v>
      </c>
      <c r="C34" s="127"/>
      <c r="D34" s="127"/>
      <c r="E34" s="127"/>
      <c r="F34" s="127"/>
      <c r="G34" s="127"/>
      <c r="H34" s="127"/>
      <c r="I34" s="131" t="s">
        <v>258</v>
      </c>
      <c r="J34" s="129"/>
      <c r="K34" s="129"/>
      <c r="L34" s="129"/>
      <c r="M34" s="129"/>
      <c r="N34" s="129"/>
      <c r="O34" s="129"/>
      <c r="P34" s="129"/>
      <c r="Q34" s="129"/>
      <c r="R34" s="8" t="s">
        <v>257</v>
      </c>
      <c r="S34" s="127"/>
      <c r="T34" s="5"/>
      <c r="U34" s="5"/>
      <c r="V34" s="5"/>
      <c r="W34" s="5"/>
      <c r="X34" s="5"/>
      <c r="Y34" s="8" t="s">
        <v>169</v>
      </c>
      <c r="Z34" s="132"/>
      <c r="AA34" s="448" t="s">
        <v>243</v>
      </c>
      <c r="AB34" s="449"/>
      <c r="AC34" s="450"/>
      <c r="AD34" s="130"/>
      <c r="AE34" s="29"/>
      <c r="AF34" s="29"/>
      <c r="AG34" s="29"/>
      <c r="AH34" s="28"/>
      <c r="AI34" s="28"/>
      <c r="AJ34" s="28"/>
      <c r="AK34" s="28"/>
      <c r="AL34" s="40"/>
      <c r="AM34" s="40"/>
      <c r="AN34" s="40"/>
      <c r="AO34" s="41"/>
      <c r="AP34" s="41"/>
      <c r="AQ34" s="41"/>
      <c r="AR34" s="41"/>
      <c r="AS34" s="42"/>
      <c r="AT34" s="43"/>
      <c r="AU34" s="67"/>
      <c r="AV34" s="67"/>
      <c r="AW34" s="67"/>
      <c r="AX34" s="67"/>
      <c r="AY34" s="67"/>
      <c r="AZ34" s="67"/>
      <c r="BA34" s="67"/>
      <c r="BB34" s="67"/>
      <c r="BC34" s="67"/>
      <c r="BD34" s="68"/>
    </row>
    <row r="35" spans="1:56" ht="14.4" customHeight="1">
      <c r="A35" s="70">
        <f>IF(B35="","",COUNTA($B$8:B35))</f>
        <v>18</v>
      </c>
      <c r="B35" s="8" t="s">
        <v>261</v>
      </c>
      <c r="C35" s="127"/>
      <c r="D35" s="127"/>
      <c r="E35" s="127"/>
      <c r="F35" s="127"/>
      <c r="G35" s="127"/>
      <c r="H35" s="127"/>
      <c r="I35" s="131" t="s">
        <v>262</v>
      </c>
      <c r="J35" s="129"/>
      <c r="K35" s="129"/>
      <c r="L35" s="129"/>
      <c r="M35" s="129"/>
      <c r="N35" s="129"/>
      <c r="O35" s="129"/>
      <c r="P35" s="129"/>
      <c r="Q35" s="129"/>
      <c r="R35" s="8" t="s">
        <v>261</v>
      </c>
      <c r="S35" s="127"/>
      <c r="T35" s="5"/>
      <c r="U35" s="5"/>
      <c r="V35" s="5"/>
      <c r="W35" s="5"/>
      <c r="X35" s="5"/>
      <c r="Y35" s="8" t="s">
        <v>150</v>
      </c>
      <c r="Z35" s="132"/>
      <c r="AA35" s="448" t="s">
        <v>151</v>
      </c>
      <c r="AB35" s="449"/>
      <c r="AC35" s="450"/>
      <c r="AD35" s="139">
        <v>10</v>
      </c>
      <c r="AE35" s="29"/>
      <c r="AF35" s="29"/>
      <c r="AG35" s="29"/>
      <c r="AH35" s="40"/>
      <c r="AI35" s="40"/>
      <c r="AJ35" s="40"/>
      <c r="AK35" s="40"/>
      <c r="AL35" s="40"/>
      <c r="AM35" s="40"/>
      <c r="AN35" s="40"/>
      <c r="AO35" s="41"/>
      <c r="AP35" s="41"/>
      <c r="AQ35" s="41"/>
      <c r="AR35" s="41"/>
      <c r="AS35" s="42"/>
      <c r="AT35" s="43"/>
      <c r="AU35" s="48"/>
      <c r="AV35" s="67"/>
      <c r="AW35" s="67"/>
      <c r="AX35" s="67"/>
      <c r="AY35" s="67"/>
      <c r="AZ35" s="67"/>
      <c r="BA35" s="67"/>
      <c r="BB35" s="67"/>
      <c r="BC35" s="67"/>
      <c r="BD35" s="68"/>
    </row>
    <row r="36" spans="1:56" ht="14.4" customHeight="1">
      <c r="A36" s="70">
        <f>IF(B36="","",COUNTA($B$8:B36))</f>
        <v>19</v>
      </c>
      <c r="B36" s="8" t="s">
        <v>263</v>
      </c>
      <c r="C36" s="127"/>
      <c r="D36" s="127"/>
      <c r="E36" s="127"/>
      <c r="F36" s="127"/>
      <c r="G36" s="127"/>
      <c r="H36" s="127"/>
      <c r="I36" s="131" t="s">
        <v>264</v>
      </c>
      <c r="J36" s="129"/>
      <c r="K36" s="129"/>
      <c r="L36" s="129"/>
      <c r="M36" s="129"/>
      <c r="N36" s="129"/>
      <c r="O36" s="129"/>
      <c r="P36" s="129"/>
      <c r="Q36" s="129"/>
      <c r="R36" s="8" t="s">
        <v>263</v>
      </c>
      <c r="S36" s="129"/>
      <c r="T36" s="5"/>
      <c r="U36" s="5"/>
      <c r="V36" s="5"/>
      <c r="W36" s="5"/>
      <c r="X36" s="5"/>
      <c r="Y36" s="8" t="s">
        <v>169</v>
      </c>
      <c r="Z36" s="132"/>
      <c r="AA36" s="448" t="s">
        <v>243</v>
      </c>
      <c r="AB36" s="449"/>
      <c r="AC36" s="450"/>
      <c r="AD36" s="139"/>
      <c r="AE36" s="29"/>
      <c r="AF36" s="29"/>
      <c r="AG36" s="29"/>
      <c r="AH36" s="28"/>
      <c r="AI36" s="28"/>
      <c r="AJ36" s="28"/>
      <c r="AK36" s="28"/>
      <c r="AL36" s="28"/>
      <c r="AM36" s="28"/>
      <c r="AN36" s="28"/>
      <c r="AO36" s="29"/>
      <c r="AP36" s="29"/>
      <c r="AQ36" s="29"/>
      <c r="AR36" s="29"/>
      <c r="AS36" s="31"/>
      <c r="AT36" s="67"/>
      <c r="AU36" s="67"/>
      <c r="AV36" s="67"/>
      <c r="AW36" s="67"/>
      <c r="AX36" s="67"/>
      <c r="AY36" s="67"/>
      <c r="AZ36" s="67"/>
      <c r="BA36" s="67"/>
      <c r="BB36" s="67"/>
      <c r="BC36" s="67"/>
      <c r="BD36" s="68"/>
    </row>
    <row r="37" spans="1:56" ht="14.4" customHeight="1">
      <c r="A37" s="70" t="str">
        <f>IF(B37="","",COUNTA($B$8:B37))</f>
        <v/>
      </c>
      <c r="B37" s="19"/>
      <c r="C37" s="20"/>
      <c r="D37" s="20"/>
      <c r="E37" s="20"/>
      <c r="F37" s="20"/>
      <c r="G37" s="20"/>
      <c r="H37" s="24"/>
      <c r="I37" s="31"/>
      <c r="J37" s="23"/>
      <c r="K37" s="23"/>
      <c r="L37" s="23"/>
      <c r="M37" s="23"/>
      <c r="N37" s="23"/>
      <c r="O37" s="23"/>
      <c r="P37" s="23"/>
      <c r="Q37" s="37"/>
      <c r="R37" s="22"/>
      <c r="S37" s="23"/>
      <c r="T37" s="23"/>
      <c r="U37" s="23"/>
      <c r="V37" s="23"/>
      <c r="W37" s="23"/>
      <c r="X37" s="24"/>
      <c r="Y37" s="440"/>
      <c r="Z37" s="441"/>
      <c r="AA37" s="442"/>
      <c r="AB37" s="443"/>
      <c r="AC37" s="444"/>
      <c r="AD37" s="27"/>
      <c r="AE37" s="29"/>
      <c r="AF37" s="29"/>
      <c r="AG37" s="29"/>
      <c r="AH37" s="28"/>
      <c r="AI37" s="28"/>
      <c r="AJ37" s="28"/>
      <c r="AK37" s="28"/>
      <c r="AL37" s="28"/>
      <c r="AM37" s="28"/>
      <c r="AN37" s="28"/>
      <c r="AO37" s="29"/>
      <c r="AP37" s="29"/>
      <c r="AQ37" s="29"/>
      <c r="AR37" s="29"/>
      <c r="AS37" s="31"/>
      <c r="AT37" s="48"/>
      <c r="AU37" s="67"/>
      <c r="AV37" s="67"/>
      <c r="AW37" s="67"/>
      <c r="AX37" s="67"/>
      <c r="AY37" s="67"/>
      <c r="AZ37" s="67"/>
      <c r="BA37" s="67"/>
      <c r="BB37" s="67"/>
      <c r="BC37" s="67"/>
      <c r="BD37" s="68"/>
    </row>
    <row r="38" spans="1:56" ht="14.4" customHeight="1">
      <c r="A38" s="70" t="str">
        <f>IF(B38="","",COUNTA($B$8:B38))</f>
        <v/>
      </c>
      <c r="B38" s="19"/>
      <c r="C38" s="20"/>
      <c r="D38" s="20"/>
      <c r="E38" s="20"/>
      <c r="F38" s="20"/>
      <c r="G38" s="20"/>
      <c r="H38" s="24"/>
      <c r="I38" s="31"/>
      <c r="J38" s="23"/>
      <c r="K38" s="23"/>
      <c r="L38" s="23"/>
      <c r="M38" s="23"/>
      <c r="N38" s="23"/>
      <c r="O38" s="23"/>
      <c r="P38" s="23"/>
      <c r="Q38" s="37"/>
      <c r="R38" s="22"/>
      <c r="S38" s="23"/>
      <c r="T38" s="23"/>
      <c r="U38" s="23"/>
      <c r="V38" s="23"/>
      <c r="W38" s="23"/>
      <c r="X38" s="24"/>
      <c r="Y38" s="440"/>
      <c r="Z38" s="441"/>
      <c r="AA38" s="442"/>
      <c r="AB38" s="443"/>
      <c r="AC38" s="444"/>
      <c r="AD38" s="27"/>
      <c r="AE38" s="29"/>
      <c r="AF38" s="29"/>
      <c r="AG38" s="29"/>
      <c r="AH38" s="28"/>
      <c r="AI38" s="28"/>
      <c r="AJ38" s="28"/>
      <c r="AK38" s="28"/>
      <c r="AL38" s="28"/>
      <c r="AM38" s="28"/>
      <c r="AN38" s="28"/>
      <c r="AO38" s="29"/>
      <c r="AP38" s="29"/>
      <c r="AQ38" s="29"/>
      <c r="AR38" s="29"/>
      <c r="AS38" s="31"/>
      <c r="AT38" s="67"/>
      <c r="AU38" s="67"/>
      <c r="AV38" s="67"/>
      <c r="AW38" s="67"/>
      <c r="AX38" s="67"/>
      <c r="AY38" s="67"/>
      <c r="AZ38" s="67"/>
      <c r="BA38" s="67"/>
      <c r="BB38" s="67"/>
      <c r="BC38" s="67"/>
      <c r="BD38" s="68"/>
    </row>
    <row r="39" spans="1:56" ht="14.4" customHeight="1">
      <c r="A39" s="70" t="str">
        <f>IF(B39="","",COUNTA($B$8:B39))</f>
        <v/>
      </c>
      <c r="B39" s="19"/>
      <c r="C39" s="20"/>
      <c r="D39" s="20"/>
      <c r="E39" s="20"/>
      <c r="F39" s="20"/>
      <c r="G39" s="20"/>
      <c r="H39" s="24"/>
      <c r="I39" s="31"/>
      <c r="J39" s="23"/>
      <c r="K39" s="23"/>
      <c r="L39" s="23"/>
      <c r="M39" s="23"/>
      <c r="N39" s="23"/>
      <c r="O39" s="23"/>
      <c r="P39" s="23"/>
      <c r="Q39" s="37"/>
      <c r="R39" s="22"/>
      <c r="S39" s="23"/>
      <c r="T39" s="23"/>
      <c r="U39" s="23"/>
      <c r="V39" s="23"/>
      <c r="W39" s="23"/>
      <c r="X39" s="24"/>
      <c r="Y39" s="440"/>
      <c r="Z39" s="441"/>
      <c r="AA39" s="442"/>
      <c r="AB39" s="443"/>
      <c r="AC39" s="444"/>
      <c r="AD39" s="51"/>
      <c r="AE39" s="29"/>
      <c r="AF39" s="29"/>
      <c r="AG39" s="29"/>
      <c r="AH39" s="40"/>
      <c r="AI39" s="40"/>
      <c r="AJ39" s="28"/>
      <c r="AK39" s="28"/>
      <c r="AL39" s="28"/>
      <c r="AM39" s="28"/>
      <c r="AN39" s="28"/>
      <c r="AO39" s="29"/>
      <c r="AP39" s="29"/>
      <c r="AQ39" s="29"/>
      <c r="AR39" s="29"/>
      <c r="AS39" s="31"/>
      <c r="AT39" s="67"/>
      <c r="AU39" s="67"/>
      <c r="AV39" s="67"/>
      <c r="AW39" s="67"/>
      <c r="AX39" s="67"/>
      <c r="AY39" s="67"/>
      <c r="AZ39" s="67"/>
      <c r="BA39" s="67"/>
      <c r="BB39" s="67"/>
      <c r="BC39" s="67"/>
      <c r="BD39" s="68"/>
    </row>
    <row r="40" spans="1:56" ht="14.4" customHeight="1">
      <c r="A40" s="70" t="str">
        <f>IF(B40="","",COUNTA($B$8:B40))</f>
        <v/>
      </c>
      <c r="B40" s="19"/>
      <c r="C40" s="20"/>
      <c r="D40" s="20"/>
      <c r="E40" s="20"/>
      <c r="F40" s="20"/>
      <c r="G40" s="20"/>
      <c r="H40" s="24"/>
      <c r="I40" s="31"/>
      <c r="J40" s="23"/>
      <c r="K40" s="23"/>
      <c r="L40" s="23"/>
      <c r="M40" s="23"/>
      <c r="N40" s="23"/>
      <c r="O40" s="23"/>
      <c r="P40" s="23"/>
      <c r="Q40" s="37"/>
      <c r="R40" s="22"/>
      <c r="S40" s="23"/>
      <c r="T40" s="23"/>
      <c r="U40" s="23"/>
      <c r="V40" s="23"/>
      <c r="W40" s="23"/>
      <c r="X40" s="24"/>
      <c r="Y40" s="440"/>
      <c r="Z40" s="441"/>
      <c r="AA40" s="442"/>
      <c r="AB40" s="443"/>
      <c r="AC40" s="444"/>
      <c r="AD40" s="51"/>
      <c r="AE40" s="29"/>
      <c r="AF40" s="29"/>
      <c r="AG40" s="29"/>
      <c r="AH40" s="28"/>
      <c r="AI40" s="28"/>
      <c r="AJ40" s="28"/>
      <c r="AK40" s="28"/>
      <c r="AL40" s="40"/>
      <c r="AM40" s="40"/>
      <c r="AN40" s="40"/>
      <c r="AO40" s="41"/>
      <c r="AP40" s="41"/>
      <c r="AQ40" s="41"/>
      <c r="AR40" s="41"/>
      <c r="AS40" s="42"/>
      <c r="AT40" s="43"/>
      <c r="AU40" s="67"/>
      <c r="AV40" s="67"/>
      <c r="AW40" s="67"/>
      <c r="AX40" s="67"/>
      <c r="AY40" s="67"/>
      <c r="AZ40" s="67"/>
      <c r="BA40" s="67"/>
      <c r="BB40" s="67"/>
      <c r="BC40" s="67"/>
      <c r="BD40" s="68"/>
    </row>
    <row r="41" spans="1:56" ht="14.4" customHeight="1">
      <c r="A41" s="70" t="str">
        <f>IF(B41="","",COUNTA($B$8:B41))</f>
        <v/>
      </c>
      <c r="B41" s="19"/>
      <c r="C41" s="20"/>
      <c r="D41" s="20"/>
      <c r="E41" s="20"/>
      <c r="F41" s="20"/>
      <c r="G41" s="20"/>
      <c r="H41" s="24"/>
      <c r="I41" s="31"/>
      <c r="J41" s="23"/>
      <c r="K41" s="23"/>
      <c r="L41" s="23"/>
      <c r="M41" s="23"/>
      <c r="N41" s="23"/>
      <c r="O41" s="23"/>
      <c r="P41" s="23"/>
      <c r="Q41" s="37"/>
      <c r="R41" s="22"/>
      <c r="S41" s="23"/>
      <c r="T41" s="23"/>
      <c r="U41" s="23"/>
      <c r="V41" s="23"/>
      <c r="W41" s="23"/>
      <c r="X41" s="24"/>
      <c r="Y41" s="440"/>
      <c r="Z41" s="441"/>
      <c r="AA41" s="442"/>
      <c r="AB41" s="443"/>
      <c r="AC41" s="444"/>
      <c r="AD41" s="51"/>
      <c r="AE41" s="29"/>
      <c r="AF41" s="29"/>
      <c r="AG41" s="29"/>
      <c r="AH41" s="40"/>
      <c r="AI41" s="40"/>
      <c r="AJ41" s="40"/>
      <c r="AK41" s="40"/>
      <c r="AL41" s="40"/>
      <c r="AM41" s="40"/>
      <c r="AN41" s="40"/>
      <c r="AO41" s="41"/>
      <c r="AP41" s="41"/>
      <c r="AQ41" s="41"/>
      <c r="AR41" s="41"/>
      <c r="AS41" s="42"/>
      <c r="AT41" s="43"/>
      <c r="AU41" s="48"/>
      <c r="AV41" s="48"/>
      <c r="AW41" s="48"/>
      <c r="AX41" s="48"/>
      <c r="AY41" s="48"/>
      <c r="AZ41" s="48"/>
      <c r="BA41" s="48"/>
      <c r="BB41" s="48"/>
      <c r="BC41" s="48"/>
      <c r="BD41" s="66"/>
    </row>
    <row r="42" spans="1:56" ht="14.4" customHeight="1">
      <c r="A42" s="70" t="str">
        <f>IF(B42="","",COUNTA($B$8:B42))</f>
        <v/>
      </c>
      <c r="B42" s="19"/>
      <c r="C42" s="20"/>
      <c r="D42" s="20"/>
      <c r="E42" s="20"/>
      <c r="F42" s="20"/>
      <c r="G42" s="20"/>
      <c r="H42" s="24"/>
      <c r="I42" s="31"/>
      <c r="J42" s="23"/>
      <c r="K42" s="23"/>
      <c r="L42" s="23"/>
      <c r="M42" s="23"/>
      <c r="N42" s="23"/>
      <c r="O42" s="23"/>
      <c r="P42" s="23"/>
      <c r="Q42" s="37"/>
      <c r="R42" s="22"/>
      <c r="S42" s="23"/>
      <c r="T42" s="23"/>
      <c r="U42" s="23"/>
      <c r="V42" s="23"/>
      <c r="W42" s="23"/>
      <c r="X42" s="24"/>
      <c r="Y42" s="440"/>
      <c r="Z42" s="441"/>
      <c r="AA42" s="442"/>
      <c r="AB42" s="443"/>
      <c r="AC42" s="444"/>
      <c r="AD42" s="27"/>
      <c r="AE42" s="29"/>
      <c r="AF42" s="29"/>
      <c r="AG42" s="29"/>
      <c r="AH42" s="28"/>
      <c r="AI42" s="28"/>
      <c r="AJ42" s="28"/>
      <c r="AK42" s="28"/>
      <c r="AL42" s="28"/>
      <c r="AM42" s="28"/>
      <c r="AN42" s="28"/>
      <c r="AO42" s="29"/>
      <c r="AP42" s="29"/>
      <c r="AQ42" s="29"/>
      <c r="AR42" s="29"/>
      <c r="AS42" s="31"/>
      <c r="AT42" s="67"/>
      <c r="AU42" s="67"/>
      <c r="AV42" s="67"/>
      <c r="AW42" s="67"/>
      <c r="AX42" s="67"/>
      <c r="AY42" s="67"/>
      <c r="AZ42" s="67"/>
      <c r="BA42" s="67"/>
      <c r="BB42" s="67"/>
      <c r="BC42" s="67"/>
      <c r="BD42" s="68"/>
    </row>
    <row r="43" spans="1:56" ht="14.4" customHeight="1">
      <c r="A43" s="70" t="str">
        <f>IF(B43="","",COUNTA($B$8:B43))</f>
        <v/>
      </c>
      <c r="B43" s="19"/>
      <c r="C43" s="20"/>
      <c r="D43" s="20"/>
      <c r="E43" s="20"/>
      <c r="F43" s="20"/>
      <c r="G43" s="20"/>
      <c r="H43" s="24"/>
      <c r="I43" s="31"/>
      <c r="J43" s="23"/>
      <c r="K43" s="23"/>
      <c r="L43" s="23"/>
      <c r="M43" s="23"/>
      <c r="N43" s="23"/>
      <c r="O43" s="23"/>
      <c r="P43" s="23"/>
      <c r="Q43" s="37"/>
      <c r="R43" s="22"/>
      <c r="S43" s="23"/>
      <c r="T43" s="23"/>
      <c r="U43" s="23"/>
      <c r="V43" s="23"/>
      <c r="W43" s="23"/>
      <c r="X43" s="37"/>
      <c r="Y43" s="440"/>
      <c r="Z43" s="441"/>
      <c r="AA43" s="442"/>
      <c r="AB43" s="443"/>
      <c r="AC43" s="444"/>
      <c r="AD43" s="51"/>
      <c r="AE43" s="29"/>
      <c r="AF43" s="29"/>
      <c r="AG43" s="29"/>
      <c r="AH43" s="40"/>
      <c r="AI43" s="40"/>
      <c r="AJ43" s="40"/>
      <c r="AK43" s="40"/>
      <c r="AL43" s="40"/>
      <c r="AM43" s="40"/>
      <c r="AN43" s="40"/>
      <c r="AO43" s="41"/>
      <c r="AP43" s="41"/>
      <c r="AQ43" s="41"/>
      <c r="AR43" s="41"/>
      <c r="AS43" s="42"/>
      <c r="AT43" s="43"/>
      <c r="AU43" s="67"/>
      <c r="AV43" s="67"/>
      <c r="AW43" s="67"/>
      <c r="AX43" s="67"/>
      <c r="AY43" s="67"/>
      <c r="AZ43" s="67"/>
      <c r="BA43" s="67"/>
      <c r="BB43" s="67"/>
      <c r="BC43" s="67"/>
      <c r="BD43" s="68"/>
    </row>
    <row r="44" spans="1:56" ht="14.4" customHeight="1">
      <c r="A44" s="70" t="str">
        <f>IF(B44="","",COUNTA($B$8:B44))</f>
        <v/>
      </c>
      <c r="B44" s="19"/>
      <c r="C44" s="20"/>
      <c r="D44" s="20"/>
      <c r="E44" s="20"/>
      <c r="F44" s="20"/>
      <c r="G44" s="20"/>
      <c r="H44" s="24"/>
      <c r="I44" s="31"/>
      <c r="J44" s="23"/>
      <c r="K44" s="23"/>
      <c r="L44" s="23"/>
      <c r="M44" s="23"/>
      <c r="N44" s="23"/>
      <c r="O44" s="23"/>
      <c r="P44" s="23"/>
      <c r="Q44" s="37"/>
      <c r="R44" s="22"/>
      <c r="S44" s="23"/>
      <c r="T44" s="23"/>
      <c r="U44" s="23"/>
      <c r="V44" s="23"/>
      <c r="W44" s="23"/>
      <c r="X44" s="37"/>
      <c r="Y44" s="440"/>
      <c r="Z44" s="441"/>
      <c r="AA44" s="442"/>
      <c r="AB44" s="443"/>
      <c r="AC44" s="444"/>
      <c r="AD44" s="51"/>
      <c r="AE44" s="29"/>
      <c r="AF44" s="29"/>
      <c r="AG44" s="29"/>
      <c r="AH44" s="40"/>
      <c r="AI44" s="40"/>
      <c r="AJ44" s="40"/>
      <c r="AK44" s="40"/>
      <c r="AL44" s="40"/>
      <c r="AM44" s="40"/>
      <c r="AN44" s="40"/>
      <c r="AO44" s="41"/>
      <c r="AP44" s="41"/>
      <c r="AQ44" s="41"/>
      <c r="AR44" s="41"/>
      <c r="AS44" s="42"/>
      <c r="AT44" s="43"/>
      <c r="AU44" s="67"/>
      <c r="AV44" s="67"/>
      <c r="AW44" s="67"/>
      <c r="AX44" s="67"/>
      <c r="AY44" s="67"/>
      <c r="AZ44" s="67"/>
      <c r="BA44" s="67"/>
      <c r="BB44" s="67"/>
      <c r="BC44" s="67"/>
      <c r="BD44" s="68"/>
    </row>
    <row r="45" spans="1:56" ht="14.4" customHeight="1">
      <c r="A45" s="70" t="str">
        <f>IF(B45="","",COUNTA($B$8:B45))</f>
        <v/>
      </c>
      <c r="B45" s="31"/>
      <c r="C45" s="44"/>
      <c r="D45" s="44"/>
      <c r="E45" s="44"/>
      <c r="F45" s="44"/>
      <c r="G45" s="44"/>
      <c r="H45" s="45"/>
      <c r="I45" s="31"/>
      <c r="J45" s="35"/>
      <c r="K45" s="35"/>
      <c r="L45" s="35"/>
      <c r="M45" s="35"/>
      <c r="N45" s="35"/>
      <c r="O45" s="35"/>
      <c r="P45" s="35"/>
      <c r="Q45" s="36"/>
      <c r="R45" s="34"/>
      <c r="S45" s="35"/>
      <c r="T45" s="35"/>
      <c r="U45" s="35"/>
      <c r="V45" s="35"/>
      <c r="W45" s="35"/>
      <c r="X45" s="36"/>
      <c r="Y45" s="440"/>
      <c r="Z45" s="441"/>
      <c r="AA45" s="442"/>
      <c r="AB45" s="443"/>
      <c r="AC45" s="444"/>
      <c r="AD45" s="51"/>
      <c r="AE45" s="29"/>
      <c r="AF45" s="29"/>
      <c r="AG45" s="29"/>
      <c r="AH45" s="28"/>
      <c r="AI45" s="28"/>
      <c r="AJ45" s="28"/>
      <c r="AK45" s="28"/>
      <c r="AL45" s="28"/>
      <c r="AM45" s="28"/>
      <c r="AN45" s="28"/>
      <c r="AO45" s="29"/>
      <c r="AP45" s="29"/>
      <c r="AQ45" s="29"/>
      <c r="AR45" s="29"/>
      <c r="AS45" s="42"/>
      <c r="AT45" s="49"/>
      <c r="AU45" s="48"/>
      <c r="AV45" s="48"/>
      <c r="AW45" s="48"/>
      <c r="AX45" s="48"/>
      <c r="AY45" s="48"/>
      <c r="AZ45" s="48"/>
      <c r="BA45" s="48"/>
      <c r="BB45" s="48"/>
      <c r="BC45" s="48"/>
      <c r="BD45" s="66"/>
    </row>
    <row r="46" spans="1:56" ht="14.4" customHeight="1">
      <c r="A46" s="70" t="str">
        <f>IF(B46="","",COUNTA($B$8:B46))</f>
        <v/>
      </c>
      <c r="B46" s="31"/>
      <c r="C46" s="44"/>
      <c r="D46" s="44"/>
      <c r="E46" s="44"/>
      <c r="F46" s="44"/>
      <c r="G46" s="44"/>
      <c r="H46" s="45"/>
      <c r="I46" s="31"/>
      <c r="J46" s="35"/>
      <c r="K46" s="35"/>
      <c r="L46" s="35"/>
      <c r="M46" s="35"/>
      <c r="N46" s="35"/>
      <c r="O46" s="35"/>
      <c r="P46" s="35"/>
      <c r="Q46" s="36"/>
      <c r="R46" s="34"/>
      <c r="S46" s="35"/>
      <c r="T46" s="35"/>
      <c r="U46" s="35"/>
      <c r="V46" s="35"/>
      <c r="W46" s="35"/>
      <c r="X46" s="36"/>
      <c r="Y46" s="440"/>
      <c r="Z46" s="441"/>
      <c r="AA46" s="442"/>
      <c r="AB46" s="443"/>
      <c r="AC46" s="444"/>
      <c r="AD46" s="51"/>
      <c r="AE46" s="29"/>
      <c r="AF46" s="29"/>
      <c r="AG46" s="29"/>
      <c r="AH46" s="28"/>
      <c r="AI46" s="28"/>
      <c r="AJ46" s="28"/>
      <c r="AK46" s="28"/>
      <c r="AL46" s="28"/>
      <c r="AM46" s="28"/>
      <c r="AN46" s="28"/>
      <c r="AO46" s="29"/>
      <c r="AP46" s="29"/>
      <c r="AQ46" s="29"/>
      <c r="AR46" s="29"/>
      <c r="AS46" s="42"/>
      <c r="AT46" s="49"/>
      <c r="AU46" s="48"/>
      <c r="AV46" s="48"/>
      <c r="AW46" s="48"/>
      <c r="AX46" s="48"/>
      <c r="AY46" s="48"/>
      <c r="AZ46" s="48"/>
      <c r="BA46" s="48"/>
      <c r="BB46" s="48"/>
      <c r="BC46" s="48"/>
      <c r="BD46" s="66"/>
    </row>
  </sheetData>
  <mergeCells count="105">
    <mergeCell ref="Y10:Z10"/>
    <mergeCell ref="AA10:AC10"/>
    <mergeCell ref="Y11:Z11"/>
    <mergeCell ref="AZ2:BD2"/>
    <mergeCell ref="AP3:AT3"/>
    <mergeCell ref="AU3:AY3"/>
    <mergeCell ref="AZ3:BD3"/>
    <mergeCell ref="Y4:AO4"/>
    <mergeCell ref="I1:Q1"/>
    <mergeCell ref="R1:X1"/>
    <mergeCell ref="Y1:AO1"/>
    <mergeCell ref="AP1:AT1"/>
    <mergeCell ref="AU1:AY1"/>
    <mergeCell ref="AP4:AT4"/>
    <mergeCell ref="AZ4:BD4"/>
    <mergeCell ref="AA11:AC11"/>
    <mergeCell ref="A1:H4"/>
    <mergeCell ref="AU4:AY4"/>
    <mergeCell ref="AG6:AG7"/>
    <mergeCell ref="AH6:AH7"/>
    <mergeCell ref="AI6:AR6"/>
    <mergeCell ref="AS6:BD7"/>
    <mergeCell ref="Y8:Z8"/>
    <mergeCell ref="AA8:AC8"/>
    <mergeCell ref="Y9:Z9"/>
    <mergeCell ref="AA9:AC9"/>
    <mergeCell ref="A6:A7"/>
    <mergeCell ref="B6:H7"/>
    <mergeCell ref="I6:Q7"/>
    <mergeCell ref="R6:X7"/>
    <mergeCell ref="Y6:Z7"/>
    <mergeCell ref="AA6:AC7"/>
    <mergeCell ref="AD6:AD7"/>
    <mergeCell ref="AE6:AE7"/>
    <mergeCell ref="AF6:AF7"/>
    <mergeCell ref="AZ1:BD1"/>
    <mergeCell ref="I2:Q4"/>
    <mergeCell ref="R2:X4"/>
    <mergeCell ref="Y2:AO3"/>
    <mergeCell ref="AP2:AT2"/>
    <mergeCell ref="Y46:Z46"/>
    <mergeCell ref="AA46:AC46"/>
    <mergeCell ref="AA37:AC37"/>
    <mergeCell ref="Y38:Z38"/>
    <mergeCell ref="AA38:AC38"/>
    <mergeCell ref="Y39:Z39"/>
    <mergeCell ref="AA39:AC39"/>
    <mergeCell ref="Y42:Z42"/>
    <mergeCell ref="AA42:AC42"/>
    <mergeCell ref="Y43:Z43"/>
    <mergeCell ref="AA43:AC43"/>
    <mergeCell ref="Y44:Z44"/>
    <mergeCell ref="AA44:AC44"/>
    <mergeCell ref="Y40:Z40"/>
    <mergeCell ref="AA40:AC40"/>
    <mergeCell ref="Y41:Z41"/>
    <mergeCell ref="AA41:AC41"/>
    <mergeCell ref="Y12:Z12"/>
    <mergeCell ref="AA12:AC12"/>
    <mergeCell ref="Y14:Z14"/>
    <mergeCell ref="AA14:AC14"/>
    <mergeCell ref="Y16:Z16"/>
    <mergeCell ref="AA16:AC16"/>
    <mergeCell ref="Y20:Z20"/>
    <mergeCell ref="AA20:AC20"/>
    <mergeCell ref="Y45:Z45"/>
    <mergeCell ref="AA45:AC45"/>
    <mergeCell ref="AA32:AC32"/>
    <mergeCell ref="Y13:Z13"/>
    <mergeCell ref="AA13:AC13"/>
    <mergeCell ref="Y15:Z15"/>
    <mergeCell ref="AA15:AC15"/>
    <mergeCell ref="Y19:Z19"/>
    <mergeCell ref="AA19:AC19"/>
    <mergeCell ref="Y17:Z17"/>
    <mergeCell ref="AA17:AC17"/>
    <mergeCell ref="Y18:Z18"/>
    <mergeCell ref="AA18:AC18"/>
    <mergeCell ref="Y26:Z26"/>
    <mergeCell ref="AA26:AC26"/>
    <mergeCell ref="Y27:Z27"/>
    <mergeCell ref="AA35:AC35"/>
    <mergeCell ref="AA33:AC33"/>
    <mergeCell ref="AA36:AC36"/>
    <mergeCell ref="Y37:Z37"/>
    <mergeCell ref="AA25:AC25"/>
    <mergeCell ref="Y21:Z21"/>
    <mergeCell ref="AA21:AC21"/>
    <mergeCell ref="Y22:Z22"/>
    <mergeCell ref="AA22:AC22"/>
    <mergeCell ref="Y23:Z23"/>
    <mergeCell ref="AA23:AC23"/>
    <mergeCell ref="Y24:Z24"/>
    <mergeCell ref="AA24:AC24"/>
    <mergeCell ref="AA29:AC29"/>
    <mergeCell ref="Y25:Z25"/>
    <mergeCell ref="AA34:AC34"/>
    <mergeCell ref="AA27:AC27"/>
    <mergeCell ref="Y30:Z30"/>
    <mergeCell ref="AA30:AC30"/>
    <mergeCell ref="Y31:Z31"/>
    <mergeCell ref="AA31:AC31"/>
    <mergeCell ref="Y28:Z28"/>
    <mergeCell ref="AA28:AC28"/>
    <mergeCell ref="Y29:Z29"/>
  </mergeCells>
  <phoneticPr fontId="5"/>
  <dataValidations count="3">
    <dataValidation imeMode="hiragana" allowBlank="1" showInputMessage="1" showErrorMessage="1" sqref="JI65525:JT65527 TE65525:TP65527 ADA65525:ADL65527 AMW65525:ANH65527 AWS65525:AXD65527 BGO65525:BGZ65527 BQK65525:BQV65527 CAG65525:CAR65527 CKC65525:CKN65527 CTY65525:CUJ65527 DDU65525:DEF65527 DNQ65525:DOB65527 DXM65525:DXX65527 EHI65525:EHT65527 ERE65525:ERP65527 FBA65525:FBL65527 FKW65525:FLH65527 FUS65525:FVD65527 GEO65525:GEZ65527 GOK65525:GOV65527 GYG65525:GYR65527 HIC65525:HIN65527 HRY65525:HSJ65527 IBU65525:ICF65527 ILQ65525:IMB65527 IVM65525:IVX65527 JFI65525:JFT65527 JPE65525:JPP65527 JZA65525:JZL65527 KIW65525:KJH65527 KSS65525:KTD65527 LCO65525:LCZ65527 LMK65525:LMV65527 LWG65525:LWR65527 MGC65525:MGN65527 MPY65525:MQJ65527 MZU65525:NAF65527 NJQ65525:NKB65527 NTM65525:NTX65527 ODI65525:ODT65527 ONE65525:ONP65527 OXA65525:OXL65527 PGW65525:PHH65527 PQS65525:PRD65527 QAO65525:QAZ65527 QKK65525:QKV65527 QUG65525:QUR65527 REC65525:REN65527 RNY65525:ROJ65527 RXU65525:RYF65527 SHQ65525:SIB65527 SRM65525:SRX65527 TBI65525:TBT65527 TLE65525:TLP65527 TVA65525:TVL65527 UEW65525:UFH65527 UOS65525:UPD65527 UYO65525:UYZ65527 VIK65525:VIV65527 VSG65525:VSR65527 WCC65525:WCN65527 WLY65525:WMJ65527 WVU65525:WWF65527 JI131061:JT131063 TE131061:TP131063 ADA131061:ADL131063 AMW131061:ANH131063 AWS131061:AXD131063 BGO131061:BGZ131063 BQK131061:BQV131063 CAG131061:CAR131063 CKC131061:CKN131063 CTY131061:CUJ131063 DDU131061:DEF131063 DNQ131061:DOB131063 DXM131061:DXX131063 EHI131061:EHT131063 ERE131061:ERP131063 FBA131061:FBL131063 FKW131061:FLH131063 FUS131061:FVD131063 GEO131061:GEZ131063 GOK131061:GOV131063 GYG131061:GYR131063 HIC131061:HIN131063 HRY131061:HSJ131063 IBU131061:ICF131063 ILQ131061:IMB131063 IVM131061:IVX131063 JFI131061:JFT131063 JPE131061:JPP131063 JZA131061:JZL131063 KIW131061:KJH131063 KSS131061:KTD131063 LCO131061:LCZ131063 LMK131061:LMV131063 LWG131061:LWR131063 MGC131061:MGN131063 MPY131061:MQJ131063 MZU131061:NAF131063 NJQ131061:NKB131063 NTM131061:NTX131063 ODI131061:ODT131063 ONE131061:ONP131063 OXA131061:OXL131063 PGW131061:PHH131063 PQS131061:PRD131063 QAO131061:QAZ131063 QKK131061:QKV131063 QUG131061:QUR131063 REC131061:REN131063 RNY131061:ROJ131063 RXU131061:RYF131063 SHQ131061:SIB131063 SRM131061:SRX131063 TBI131061:TBT131063 TLE131061:TLP131063 TVA131061:TVL131063 UEW131061:UFH131063 UOS131061:UPD131063 UYO131061:UYZ131063 VIK131061:VIV131063 VSG131061:VSR131063 WCC131061:WCN131063 WLY131061:WMJ131063 WVU131061:WWF131063 JI196597:JT196599 TE196597:TP196599 ADA196597:ADL196599 AMW196597:ANH196599 AWS196597:AXD196599 BGO196597:BGZ196599 BQK196597:BQV196599 CAG196597:CAR196599 CKC196597:CKN196599 CTY196597:CUJ196599 DDU196597:DEF196599 DNQ196597:DOB196599 DXM196597:DXX196599 EHI196597:EHT196599 ERE196597:ERP196599 FBA196597:FBL196599 FKW196597:FLH196599 FUS196597:FVD196599 GEO196597:GEZ196599 GOK196597:GOV196599 GYG196597:GYR196599 HIC196597:HIN196599 HRY196597:HSJ196599 IBU196597:ICF196599 ILQ196597:IMB196599 IVM196597:IVX196599 JFI196597:JFT196599 JPE196597:JPP196599 JZA196597:JZL196599 KIW196597:KJH196599 KSS196597:KTD196599 LCO196597:LCZ196599 LMK196597:LMV196599 LWG196597:LWR196599 MGC196597:MGN196599 MPY196597:MQJ196599 MZU196597:NAF196599 NJQ196597:NKB196599 NTM196597:NTX196599 ODI196597:ODT196599 ONE196597:ONP196599 OXA196597:OXL196599 PGW196597:PHH196599 PQS196597:PRD196599 QAO196597:QAZ196599 QKK196597:QKV196599 QUG196597:QUR196599 REC196597:REN196599 RNY196597:ROJ196599 RXU196597:RYF196599 SHQ196597:SIB196599 SRM196597:SRX196599 TBI196597:TBT196599 TLE196597:TLP196599 TVA196597:TVL196599 UEW196597:UFH196599 UOS196597:UPD196599 UYO196597:UYZ196599 VIK196597:VIV196599 VSG196597:VSR196599 WCC196597:WCN196599 WLY196597:WMJ196599 WVU196597:WWF196599 JI262133:JT262135 TE262133:TP262135 ADA262133:ADL262135 AMW262133:ANH262135 AWS262133:AXD262135 BGO262133:BGZ262135 BQK262133:BQV262135 CAG262133:CAR262135 CKC262133:CKN262135 CTY262133:CUJ262135 DDU262133:DEF262135 DNQ262133:DOB262135 DXM262133:DXX262135 EHI262133:EHT262135 ERE262133:ERP262135 FBA262133:FBL262135 FKW262133:FLH262135 FUS262133:FVD262135 GEO262133:GEZ262135 GOK262133:GOV262135 GYG262133:GYR262135 HIC262133:HIN262135 HRY262133:HSJ262135 IBU262133:ICF262135 ILQ262133:IMB262135 IVM262133:IVX262135 JFI262133:JFT262135 JPE262133:JPP262135 JZA262133:JZL262135 KIW262133:KJH262135 KSS262133:KTD262135 LCO262133:LCZ262135 LMK262133:LMV262135 LWG262133:LWR262135 MGC262133:MGN262135 MPY262133:MQJ262135 MZU262133:NAF262135 NJQ262133:NKB262135 NTM262133:NTX262135 ODI262133:ODT262135 ONE262133:ONP262135 OXA262133:OXL262135 PGW262133:PHH262135 PQS262133:PRD262135 QAO262133:QAZ262135 QKK262133:QKV262135 QUG262133:QUR262135 REC262133:REN262135 RNY262133:ROJ262135 RXU262133:RYF262135 SHQ262133:SIB262135 SRM262133:SRX262135 TBI262133:TBT262135 TLE262133:TLP262135 TVA262133:TVL262135 UEW262133:UFH262135 UOS262133:UPD262135 UYO262133:UYZ262135 VIK262133:VIV262135 VSG262133:VSR262135 WCC262133:WCN262135 WLY262133:WMJ262135 WVU262133:WWF262135 JI327669:JT327671 TE327669:TP327671 ADA327669:ADL327671 AMW327669:ANH327671 AWS327669:AXD327671 BGO327669:BGZ327671 BQK327669:BQV327671 CAG327669:CAR327671 CKC327669:CKN327671 CTY327669:CUJ327671 DDU327669:DEF327671 DNQ327669:DOB327671 DXM327669:DXX327671 EHI327669:EHT327671 ERE327669:ERP327671 FBA327669:FBL327671 FKW327669:FLH327671 FUS327669:FVD327671 GEO327669:GEZ327671 GOK327669:GOV327671 GYG327669:GYR327671 HIC327669:HIN327671 HRY327669:HSJ327671 IBU327669:ICF327671 ILQ327669:IMB327671 IVM327669:IVX327671 JFI327669:JFT327671 JPE327669:JPP327671 JZA327669:JZL327671 KIW327669:KJH327671 KSS327669:KTD327671 LCO327669:LCZ327671 LMK327669:LMV327671 LWG327669:LWR327671 MGC327669:MGN327671 MPY327669:MQJ327671 MZU327669:NAF327671 NJQ327669:NKB327671 NTM327669:NTX327671 ODI327669:ODT327671 ONE327669:ONP327671 OXA327669:OXL327671 PGW327669:PHH327671 PQS327669:PRD327671 QAO327669:QAZ327671 QKK327669:QKV327671 QUG327669:QUR327671 REC327669:REN327671 RNY327669:ROJ327671 RXU327669:RYF327671 SHQ327669:SIB327671 SRM327669:SRX327671 TBI327669:TBT327671 TLE327669:TLP327671 TVA327669:TVL327671 UEW327669:UFH327671 UOS327669:UPD327671 UYO327669:UYZ327671 VIK327669:VIV327671 VSG327669:VSR327671 WCC327669:WCN327671 WLY327669:WMJ327671 WVU327669:WWF327671 JI393205:JT393207 TE393205:TP393207 ADA393205:ADL393207 AMW393205:ANH393207 AWS393205:AXD393207 BGO393205:BGZ393207 BQK393205:BQV393207 CAG393205:CAR393207 CKC393205:CKN393207 CTY393205:CUJ393207 DDU393205:DEF393207 DNQ393205:DOB393207 DXM393205:DXX393207 EHI393205:EHT393207 ERE393205:ERP393207 FBA393205:FBL393207 FKW393205:FLH393207 FUS393205:FVD393207 GEO393205:GEZ393207 GOK393205:GOV393207 GYG393205:GYR393207 HIC393205:HIN393207 HRY393205:HSJ393207 IBU393205:ICF393207 ILQ393205:IMB393207 IVM393205:IVX393207 JFI393205:JFT393207 JPE393205:JPP393207 JZA393205:JZL393207 KIW393205:KJH393207 KSS393205:KTD393207 LCO393205:LCZ393207 LMK393205:LMV393207 LWG393205:LWR393207 MGC393205:MGN393207 MPY393205:MQJ393207 MZU393205:NAF393207 NJQ393205:NKB393207 NTM393205:NTX393207 ODI393205:ODT393207 ONE393205:ONP393207 OXA393205:OXL393207 PGW393205:PHH393207 PQS393205:PRD393207 QAO393205:QAZ393207 QKK393205:QKV393207 QUG393205:QUR393207 REC393205:REN393207 RNY393205:ROJ393207 RXU393205:RYF393207 SHQ393205:SIB393207 SRM393205:SRX393207 TBI393205:TBT393207 TLE393205:TLP393207 TVA393205:TVL393207 UEW393205:UFH393207 UOS393205:UPD393207 UYO393205:UYZ393207 VIK393205:VIV393207 VSG393205:VSR393207 WCC393205:WCN393207 WLY393205:WMJ393207 WVU393205:WWF393207 JI458741:JT458743 TE458741:TP458743 ADA458741:ADL458743 AMW458741:ANH458743 AWS458741:AXD458743 BGO458741:BGZ458743 BQK458741:BQV458743 CAG458741:CAR458743 CKC458741:CKN458743 CTY458741:CUJ458743 DDU458741:DEF458743 DNQ458741:DOB458743 DXM458741:DXX458743 EHI458741:EHT458743 ERE458741:ERP458743 FBA458741:FBL458743 FKW458741:FLH458743 FUS458741:FVD458743 GEO458741:GEZ458743 GOK458741:GOV458743 GYG458741:GYR458743 HIC458741:HIN458743 HRY458741:HSJ458743 IBU458741:ICF458743 ILQ458741:IMB458743 IVM458741:IVX458743 JFI458741:JFT458743 JPE458741:JPP458743 JZA458741:JZL458743 KIW458741:KJH458743 KSS458741:KTD458743 LCO458741:LCZ458743 LMK458741:LMV458743 LWG458741:LWR458743 MGC458741:MGN458743 MPY458741:MQJ458743 MZU458741:NAF458743 NJQ458741:NKB458743 NTM458741:NTX458743 ODI458741:ODT458743 ONE458741:ONP458743 OXA458741:OXL458743 PGW458741:PHH458743 PQS458741:PRD458743 QAO458741:QAZ458743 QKK458741:QKV458743 QUG458741:QUR458743 REC458741:REN458743 RNY458741:ROJ458743 RXU458741:RYF458743 SHQ458741:SIB458743 SRM458741:SRX458743 TBI458741:TBT458743 TLE458741:TLP458743 TVA458741:TVL458743 UEW458741:UFH458743 UOS458741:UPD458743 UYO458741:UYZ458743 VIK458741:VIV458743 VSG458741:VSR458743 WCC458741:WCN458743 WLY458741:WMJ458743 WVU458741:WWF458743 JI524277:JT524279 TE524277:TP524279 ADA524277:ADL524279 AMW524277:ANH524279 AWS524277:AXD524279 BGO524277:BGZ524279 BQK524277:BQV524279 CAG524277:CAR524279 CKC524277:CKN524279 CTY524277:CUJ524279 DDU524277:DEF524279 DNQ524277:DOB524279 DXM524277:DXX524279 EHI524277:EHT524279 ERE524277:ERP524279 FBA524277:FBL524279 FKW524277:FLH524279 FUS524277:FVD524279 GEO524277:GEZ524279 GOK524277:GOV524279 GYG524277:GYR524279 HIC524277:HIN524279 HRY524277:HSJ524279 IBU524277:ICF524279 ILQ524277:IMB524279 IVM524277:IVX524279 JFI524277:JFT524279 JPE524277:JPP524279 JZA524277:JZL524279 KIW524277:KJH524279 KSS524277:KTD524279 LCO524277:LCZ524279 LMK524277:LMV524279 LWG524277:LWR524279 MGC524277:MGN524279 MPY524277:MQJ524279 MZU524277:NAF524279 NJQ524277:NKB524279 NTM524277:NTX524279 ODI524277:ODT524279 ONE524277:ONP524279 OXA524277:OXL524279 PGW524277:PHH524279 PQS524277:PRD524279 QAO524277:QAZ524279 QKK524277:QKV524279 QUG524277:QUR524279 REC524277:REN524279 RNY524277:ROJ524279 RXU524277:RYF524279 SHQ524277:SIB524279 SRM524277:SRX524279 TBI524277:TBT524279 TLE524277:TLP524279 TVA524277:TVL524279 UEW524277:UFH524279 UOS524277:UPD524279 UYO524277:UYZ524279 VIK524277:VIV524279 VSG524277:VSR524279 WCC524277:WCN524279 WLY524277:WMJ524279 WVU524277:WWF524279 JI589813:JT589815 TE589813:TP589815 ADA589813:ADL589815 AMW589813:ANH589815 AWS589813:AXD589815 BGO589813:BGZ589815 BQK589813:BQV589815 CAG589813:CAR589815 CKC589813:CKN589815 CTY589813:CUJ589815 DDU589813:DEF589815 DNQ589813:DOB589815 DXM589813:DXX589815 EHI589813:EHT589815 ERE589813:ERP589815 FBA589813:FBL589815 FKW589813:FLH589815 FUS589813:FVD589815 GEO589813:GEZ589815 GOK589813:GOV589815 GYG589813:GYR589815 HIC589813:HIN589815 HRY589813:HSJ589815 IBU589813:ICF589815 ILQ589813:IMB589815 IVM589813:IVX589815 JFI589813:JFT589815 JPE589813:JPP589815 JZA589813:JZL589815 KIW589813:KJH589815 KSS589813:KTD589815 LCO589813:LCZ589815 LMK589813:LMV589815 LWG589813:LWR589815 MGC589813:MGN589815 MPY589813:MQJ589815 MZU589813:NAF589815 NJQ589813:NKB589815 NTM589813:NTX589815 ODI589813:ODT589815 ONE589813:ONP589815 OXA589813:OXL589815 PGW589813:PHH589815 PQS589813:PRD589815 QAO589813:QAZ589815 QKK589813:QKV589815 QUG589813:QUR589815 REC589813:REN589815 RNY589813:ROJ589815 RXU589813:RYF589815 SHQ589813:SIB589815 SRM589813:SRX589815 TBI589813:TBT589815 TLE589813:TLP589815 TVA589813:TVL589815 UEW589813:UFH589815 UOS589813:UPD589815 UYO589813:UYZ589815 VIK589813:VIV589815 VSG589813:VSR589815 WCC589813:WCN589815 WLY589813:WMJ589815 WVU589813:WWF589815 JI655349:JT655351 TE655349:TP655351 ADA655349:ADL655351 AMW655349:ANH655351 AWS655349:AXD655351 BGO655349:BGZ655351 BQK655349:BQV655351 CAG655349:CAR655351 CKC655349:CKN655351 CTY655349:CUJ655351 DDU655349:DEF655351 DNQ655349:DOB655351 DXM655349:DXX655351 EHI655349:EHT655351 ERE655349:ERP655351 FBA655349:FBL655351 FKW655349:FLH655351 FUS655349:FVD655351 GEO655349:GEZ655351 GOK655349:GOV655351 GYG655349:GYR655351 HIC655349:HIN655351 HRY655349:HSJ655351 IBU655349:ICF655351 ILQ655349:IMB655351 IVM655349:IVX655351 JFI655349:JFT655351 JPE655349:JPP655351 JZA655349:JZL655351 KIW655349:KJH655351 KSS655349:KTD655351 LCO655349:LCZ655351 LMK655349:LMV655351 LWG655349:LWR655351 MGC655349:MGN655351 MPY655349:MQJ655351 MZU655349:NAF655351 NJQ655349:NKB655351 NTM655349:NTX655351 ODI655349:ODT655351 ONE655349:ONP655351 OXA655349:OXL655351 PGW655349:PHH655351 PQS655349:PRD655351 QAO655349:QAZ655351 QKK655349:QKV655351 QUG655349:QUR655351 REC655349:REN655351 RNY655349:ROJ655351 RXU655349:RYF655351 SHQ655349:SIB655351 SRM655349:SRX655351 TBI655349:TBT655351 TLE655349:TLP655351 TVA655349:TVL655351 UEW655349:UFH655351 UOS655349:UPD655351 UYO655349:UYZ655351 VIK655349:VIV655351 VSG655349:VSR655351 WCC655349:WCN655351 WLY655349:WMJ655351 WVU655349:WWF655351 JI720885:JT720887 TE720885:TP720887 ADA720885:ADL720887 AMW720885:ANH720887 AWS720885:AXD720887 BGO720885:BGZ720887 BQK720885:BQV720887 CAG720885:CAR720887 CKC720885:CKN720887 CTY720885:CUJ720887 DDU720885:DEF720887 DNQ720885:DOB720887 DXM720885:DXX720887 EHI720885:EHT720887 ERE720885:ERP720887 FBA720885:FBL720887 FKW720885:FLH720887 FUS720885:FVD720887 GEO720885:GEZ720887 GOK720885:GOV720887 GYG720885:GYR720887 HIC720885:HIN720887 HRY720885:HSJ720887 IBU720885:ICF720887 ILQ720885:IMB720887 IVM720885:IVX720887 JFI720885:JFT720887 JPE720885:JPP720887 JZA720885:JZL720887 KIW720885:KJH720887 KSS720885:KTD720887 LCO720885:LCZ720887 LMK720885:LMV720887 LWG720885:LWR720887 MGC720885:MGN720887 MPY720885:MQJ720887 MZU720885:NAF720887 NJQ720885:NKB720887 NTM720885:NTX720887 ODI720885:ODT720887 ONE720885:ONP720887 OXA720885:OXL720887 PGW720885:PHH720887 PQS720885:PRD720887 QAO720885:QAZ720887 QKK720885:QKV720887 QUG720885:QUR720887 REC720885:REN720887 RNY720885:ROJ720887 RXU720885:RYF720887 SHQ720885:SIB720887 SRM720885:SRX720887 TBI720885:TBT720887 TLE720885:TLP720887 TVA720885:TVL720887 UEW720885:UFH720887 UOS720885:UPD720887 UYO720885:UYZ720887 VIK720885:VIV720887 VSG720885:VSR720887 WCC720885:WCN720887 WLY720885:WMJ720887 WVU720885:WWF720887 JI786421:JT786423 TE786421:TP786423 ADA786421:ADL786423 AMW786421:ANH786423 AWS786421:AXD786423 BGO786421:BGZ786423 BQK786421:BQV786423 CAG786421:CAR786423 CKC786421:CKN786423 CTY786421:CUJ786423 DDU786421:DEF786423 DNQ786421:DOB786423 DXM786421:DXX786423 EHI786421:EHT786423 ERE786421:ERP786423 FBA786421:FBL786423 FKW786421:FLH786423 FUS786421:FVD786423 GEO786421:GEZ786423 GOK786421:GOV786423 GYG786421:GYR786423 HIC786421:HIN786423 HRY786421:HSJ786423 IBU786421:ICF786423 ILQ786421:IMB786423 IVM786421:IVX786423 JFI786421:JFT786423 JPE786421:JPP786423 JZA786421:JZL786423 KIW786421:KJH786423 KSS786421:KTD786423 LCO786421:LCZ786423 LMK786421:LMV786423 LWG786421:LWR786423 MGC786421:MGN786423 MPY786421:MQJ786423 MZU786421:NAF786423 NJQ786421:NKB786423 NTM786421:NTX786423 ODI786421:ODT786423 ONE786421:ONP786423 OXA786421:OXL786423 PGW786421:PHH786423 PQS786421:PRD786423 QAO786421:QAZ786423 QKK786421:QKV786423 QUG786421:QUR786423 REC786421:REN786423 RNY786421:ROJ786423 RXU786421:RYF786423 SHQ786421:SIB786423 SRM786421:SRX786423 TBI786421:TBT786423 TLE786421:TLP786423 TVA786421:TVL786423 UEW786421:UFH786423 UOS786421:UPD786423 UYO786421:UYZ786423 VIK786421:VIV786423 VSG786421:VSR786423 WCC786421:WCN786423 WLY786421:WMJ786423 WVU786421:WWF786423 JI851957:JT851959 TE851957:TP851959 ADA851957:ADL851959 AMW851957:ANH851959 AWS851957:AXD851959 BGO851957:BGZ851959 BQK851957:BQV851959 CAG851957:CAR851959 CKC851957:CKN851959 CTY851957:CUJ851959 DDU851957:DEF851959 DNQ851957:DOB851959 DXM851957:DXX851959 EHI851957:EHT851959 ERE851957:ERP851959 FBA851957:FBL851959 FKW851957:FLH851959 FUS851957:FVD851959 GEO851957:GEZ851959 GOK851957:GOV851959 GYG851957:GYR851959 HIC851957:HIN851959 HRY851957:HSJ851959 IBU851957:ICF851959 ILQ851957:IMB851959 IVM851957:IVX851959 JFI851957:JFT851959 JPE851957:JPP851959 JZA851957:JZL851959 KIW851957:KJH851959 KSS851957:KTD851959 LCO851957:LCZ851959 LMK851957:LMV851959 LWG851957:LWR851959 MGC851957:MGN851959 MPY851957:MQJ851959 MZU851957:NAF851959 NJQ851957:NKB851959 NTM851957:NTX851959 ODI851957:ODT851959 ONE851957:ONP851959 OXA851957:OXL851959 PGW851957:PHH851959 PQS851957:PRD851959 QAO851957:QAZ851959 QKK851957:QKV851959 QUG851957:QUR851959 REC851957:REN851959 RNY851957:ROJ851959 RXU851957:RYF851959 SHQ851957:SIB851959 SRM851957:SRX851959 TBI851957:TBT851959 TLE851957:TLP851959 TVA851957:TVL851959 UEW851957:UFH851959 UOS851957:UPD851959 UYO851957:UYZ851959 VIK851957:VIV851959 VSG851957:VSR851959 WCC851957:WCN851959 WLY851957:WMJ851959 WVU851957:WWF851959 JI917493:JT917495 TE917493:TP917495 ADA917493:ADL917495 AMW917493:ANH917495 AWS917493:AXD917495 BGO917493:BGZ917495 BQK917493:BQV917495 CAG917493:CAR917495 CKC917493:CKN917495 CTY917493:CUJ917495 DDU917493:DEF917495 DNQ917493:DOB917495 DXM917493:DXX917495 EHI917493:EHT917495 ERE917493:ERP917495 FBA917493:FBL917495 FKW917493:FLH917495 FUS917493:FVD917495 GEO917493:GEZ917495 GOK917493:GOV917495 GYG917493:GYR917495 HIC917493:HIN917495 HRY917493:HSJ917495 IBU917493:ICF917495 ILQ917493:IMB917495 IVM917493:IVX917495 JFI917493:JFT917495 JPE917493:JPP917495 JZA917493:JZL917495 KIW917493:KJH917495 KSS917493:KTD917495 LCO917493:LCZ917495 LMK917493:LMV917495 LWG917493:LWR917495 MGC917493:MGN917495 MPY917493:MQJ917495 MZU917493:NAF917495 NJQ917493:NKB917495 NTM917493:NTX917495 ODI917493:ODT917495 ONE917493:ONP917495 OXA917493:OXL917495 PGW917493:PHH917495 PQS917493:PRD917495 QAO917493:QAZ917495 QKK917493:QKV917495 QUG917493:QUR917495 REC917493:REN917495 RNY917493:ROJ917495 RXU917493:RYF917495 SHQ917493:SIB917495 SRM917493:SRX917495 TBI917493:TBT917495 TLE917493:TLP917495 TVA917493:TVL917495 UEW917493:UFH917495 UOS917493:UPD917495 UYO917493:UYZ917495 VIK917493:VIV917495 VSG917493:VSR917495 WCC917493:WCN917495 WLY917493:WMJ917495 WVU917493:WWF917495 JI983029:JT983031 TE983029:TP983031 ADA983029:ADL983031 AMW983029:ANH983031 AWS983029:AXD983031 BGO983029:BGZ983031 BQK983029:BQV983031 CAG983029:CAR983031 CKC983029:CKN983031 CTY983029:CUJ983031 DDU983029:DEF983031 DNQ983029:DOB983031 DXM983029:DXX983031 EHI983029:EHT983031 ERE983029:ERP983031 FBA983029:FBL983031 FKW983029:FLH983031 FUS983029:FVD983031 GEO983029:GEZ983031 GOK983029:GOV983031 GYG983029:GYR983031 HIC983029:HIN983031 HRY983029:HSJ983031 IBU983029:ICF983031 ILQ983029:IMB983031 IVM983029:IVX983031 JFI983029:JFT983031 JPE983029:JPP983031 JZA983029:JZL983031 KIW983029:KJH983031 KSS983029:KTD983031 LCO983029:LCZ983031 LMK983029:LMV983031 LWG983029:LWR983031 MGC983029:MGN983031 MPY983029:MQJ983031 MZU983029:NAF983031 NJQ983029:NKB983031 NTM983029:NTX983031 ODI983029:ODT983031 ONE983029:ONP983031 OXA983029:OXL983031 PGW983029:PHH983031 PQS983029:PRD983031 QAO983029:QAZ983031 QKK983029:QKV983031 QUG983029:QUR983031 REC983029:REN983031 RNY983029:ROJ983031 RXU983029:RYF983031 SHQ983029:SIB983031 SRM983029:SRX983031 TBI983029:TBT983031 TLE983029:TLP983031 TVA983029:TVL983031 UEW983029:UFH983031 UOS983029:UPD983031 UYO983029:UYZ983031 VIK983029:VIV983031 VSG983029:VSR983031 WCC983029:WCN983031 WLY983029:WMJ983031 WVU983029:WWF983031 Z262133:AJ262135 Z196597:AJ196599 Z131061:AJ131063 Z65525:AJ65527 Z983029:AJ983031 Z917493:AJ917495 Z851957:AJ851959 Z786421:AJ786423 Z720885:AJ720887 Z655349:AJ655351 Z589813:AJ589815 Z524277:AJ524279 Z458741:AJ458743 Z393205:AJ393207 Z327669:AJ327671 JJ2:JU4 TF2:TQ4 ADB2:ADM4 AMX2:ANI4 AWT2:AXE4 BGP2:BHA4 BQL2:BQW4 CAH2:CAS4 CKD2:CKO4 CTZ2:CUK4 DDV2:DEG4 DNR2:DOC4 DXN2:DXY4 EHJ2:EHU4 ERF2:ERQ4 FBB2:FBM4 FKX2:FLI4 FUT2:FVE4 GEP2:GFA4 GOL2:GOW4 GYH2:GYS4 HID2:HIO4 HRZ2:HSK4 IBV2:ICG4 ILR2:IMC4 IVN2:IVY4 JFJ2:JFU4 JPF2:JPQ4 JZB2:JZM4 KIX2:KJI4 KST2:KTE4 LCP2:LDA4 LML2:LMW4 LWH2:LWS4 MGD2:MGO4 MPZ2:MQK4 MZV2:NAG4 NJR2:NKC4 NTN2:NTY4 ODJ2:ODU4 ONF2:ONQ4 OXB2:OXM4 PGX2:PHI4 PQT2:PRE4 QAP2:QBA4 QKL2:QKW4 QUH2:QUS4 RED2:REO4 RNZ2:ROK4 RXV2:RYG4 SHR2:SIC4 SRN2:SRY4 TBJ2:TBU4 TLF2:TLQ4 TVB2:TVM4 UEX2:UFI4 UOT2:UPE4 UYP2:UZA4 VIL2:VIW4 VSH2:VSS4 WCD2:WCO4 WLZ2:WMK4 WVV2:WWG4 R2"/>
    <dataValidation type="list" allowBlank="1" showInputMessage="1" showErrorMessage="1" sqref="Y8:Z20 Y25:Z46 Y21:Y24">
      <formula1>"文字,数値,日付,時間"</formula1>
    </dataValidation>
    <dataValidation type="list" allowBlank="1" showInputMessage="1" showErrorMessage="1" sqref="AA8:AC46">
      <formula1>"int,numeric,varchar,date,datetime2(0),datetime2,varbinary(max)"</formula1>
    </dataValidation>
  </dataValidations>
  <pageMargins left="0.39370078740157483" right="0.39370078740157483" top="0.59055118110236227" bottom="0.39370078740157483" header="0.39370078740157483" footer="0.19685039370078741"/>
  <pageSetup paperSize="9" scale="80" fitToHeight="0" orientation="landscape" useFirstPageNumber="1" verticalDpi="300" r:id="rId1"/>
  <headerFooter alignWithMargins="0">
    <oddFooter>&amp;R&amp;A - &amp;P</oddFooter>
  </headerFooter>
  <legacyDrawing r:id="rId2"/>
</worksheet>
</file>

<file path=xl/worksheets/sheet2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60"/>
  <dimension ref="A1:BD46"/>
  <sheetViews>
    <sheetView showGridLines="0" zoomScaleNormal="100" zoomScaleSheetLayoutView="100" workbookViewId="0">
      <pane ySplit="7" topLeftCell="A8" activePane="bottomLeft" state="frozen"/>
      <selection sqref="A1:K4"/>
      <selection pane="bottomLeft" sqref="A1:H4"/>
    </sheetView>
  </sheetViews>
  <sheetFormatPr defaultColWidth="2.6328125" defaultRowHeight="14.4" customHeight="1"/>
  <cols>
    <col min="1" max="1" width="4.6328125" style="18" customWidth="1"/>
    <col min="2" max="26" width="2.6328125" style="18"/>
    <col min="27" max="27" width="2.6328125" style="18" customWidth="1"/>
    <col min="28" max="29" width="2.6328125" style="18"/>
    <col min="30" max="30" width="4.6328125" style="18" customWidth="1"/>
    <col min="31" max="31" width="2.6328125" style="18" customWidth="1"/>
    <col min="32" max="33" width="2.6328125" style="18"/>
    <col min="34" max="34" width="6.6328125" style="18" customWidth="1"/>
    <col min="35" max="41" width="2.6328125" style="18"/>
    <col min="42" max="56" width="2.6328125" style="46"/>
    <col min="57" max="16384" width="2.6328125" style="18"/>
  </cols>
  <sheetData>
    <row r="1" spans="1:56" s="17" customFormat="1" ht="14.4" customHeight="1">
      <c r="A1" s="417" t="s">
        <v>78</v>
      </c>
      <c r="B1" s="418"/>
      <c r="C1" s="418"/>
      <c r="D1" s="418"/>
      <c r="E1" s="418"/>
      <c r="F1" s="418"/>
      <c r="G1" s="418"/>
      <c r="H1" s="419"/>
      <c r="I1" s="354" t="s">
        <v>79</v>
      </c>
      <c r="J1" s="355"/>
      <c r="K1" s="355"/>
      <c r="L1" s="355"/>
      <c r="M1" s="355"/>
      <c r="N1" s="355"/>
      <c r="O1" s="355"/>
      <c r="P1" s="355"/>
      <c r="Q1" s="356"/>
      <c r="R1" s="354" t="s">
        <v>80</v>
      </c>
      <c r="S1" s="355"/>
      <c r="T1" s="355"/>
      <c r="U1" s="355"/>
      <c r="V1" s="355"/>
      <c r="W1" s="355"/>
      <c r="X1" s="356"/>
      <c r="Y1" s="354" t="s">
        <v>135</v>
      </c>
      <c r="Z1" s="355"/>
      <c r="AA1" s="355"/>
      <c r="AB1" s="355"/>
      <c r="AC1" s="355"/>
      <c r="AD1" s="355"/>
      <c r="AE1" s="355"/>
      <c r="AF1" s="355"/>
      <c r="AG1" s="355"/>
      <c r="AH1" s="355"/>
      <c r="AI1" s="355"/>
      <c r="AJ1" s="355"/>
      <c r="AK1" s="355"/>
      <c r="AL1" s="355"/>
      <c r="AM1" s="355"/>
      <c r="AN1" s="355"/>
      <c r="AO1" s="356"/>
      <c r="AP1" s="428" t="s">
        <v>82</v>
      </c>
      <c r="AQ1" s="429"/>
      <c r="AR1" s="429"/>
      <c r="AS1" s="429"/>
      <c r="AT1" s="430"/>
      <c r="AU1" s="428" t="s">
        <v>83</v>
      </c>
      <c r="AV1" s="429"/>
      <c r="AW1" s="429"/>
      <c r="AX1" s="429"/>
      <c r="AY1" s="430"/>
      <c r="AZ1" s="428" t="s">
        <v>84</v>
      </c>
      <c r="BA1" s="429"/>
      <c r="BB1" s="429"/>
      <c r="BC1" s="429"/>
      <c r="BD1" s="430"/>
    </row>
    <row r="2" spans="1:56" s="17" customFormat="1" ht="14.4" customHeight="1">
      <c r="A2" s="420"/>
      <c r="B2" s="421"/>
      <c r="C2" s="421"/>
      <c r="D2" s="421"/>
      <c r="E2" s="421"/>
      <c r="F2" s="421"/>
      <c r="G2" s="421"/>
      <c r="H2" s="422"/>
      <c r="I2" s="384" t="s">
        <v>85</v>
      </c>
      <c r="J2" s="385"/>
      <c r="K2" s="385"/>
      <c r="L2" s="385"/>
      <c r="M2" s="385"/>
      <c r="N2" s="385"/>
      <c r="O2" s="385"/>
      <c r="P2" s="385"/>
      <c r="Q2" s="386"/>
      <c r="R2" s="384" t="str">
        <f ca="1">VLOOKUP(RIGHT(CELL("filename",A2),LEN(CELL("filename",A2))-FIND("]",CELL("filename",A2))),テーブル一覧!B:AD,22,FALSE)</f>
        <v>B.生産計画</v>
      </c>
      <c r="S2" s="385"/>
      <c r="T2" s="385"/>
      <c r="U2" s="385"/>
      <c r="V2" s="385"/>
      <c r="W2" s="385"/>
      <c r="X2" s="386"/>
      <c r="Y2" s="384" t="str">
        <f ca="1">VLOOKUP(RIGHT(CELL("filename",A2),LEN(CELL("filename",A2))-FIND("]",CELL("filename",A2))),テーブル一覧!B:AD,1,FALSE)</f>
        <v>生産計画排他情報</v>
      </c>
      <c r="Z2" s="385"/>
      <c r="AA2" s="385"/>
      <c r="AB2" s="385"/>
      <c r="AC2" s="385"/>
      <c r="AD2" s="385"/>
      <c r="AE2" s="385"/>
      <c r="AF2" s="385"/>
      <c r="AG2" s="385"/>
      <c r="AH2" s="385"/>
      <c r="AI2" s="385"/>
      <c r="AJ2" s="385"/>
      <c r="AK2" s="385"/>
      <c r="AL2" s="385"/>
      <c r="AM2" s="385"/>
      <c r="AN2" s="385"/>
      <c r="AO2" s="386"/>
      <c r="AP2" s="357"/>
      <c r="AQ2" s="358"/>
      <c r="AR2" s="358"/>
      <c r="AS2" s="358"/>
      <c r="AT2" s="359"/>
      <c r="AU2" s="58" t="s">
        <v>88</v>
      </c>
      <c r="AV2" s="59"/>
      <c r="AW2" s="59"/>
      <c r="AX2" s="59"/>
      <c r="AY2" s="60"/>
      <c r="AZ2" s="434" t="s">
        <v>89</v>
      </c>
      <c r="BA2" s="435"/>
      <c r="BB2" s="435"/>
      <c r="BC2" s="435"/>
      <c r="BD2" s="436"/>
    </row>
    <row r="3" spans="1:56" s="17" customFormat="1" ht="14.4" customHeight="1">
      <c r="A3" s="420"/>
      <c r="B3" s="421"/>
      <c r="C3" s="421"/>
      <c r="D3" s="421"/>
      <c r="E3" s="421"/>
      <c r="F3" s="421"/>
      <c r="G3" s="421"/>
      <c r="H3" s="422"/>
      <c r="I3" s="387"/>
      <c r="J3" s="388"/>
      <c r="K3" s="388"/>
      <c r="L3" s="388"/>
      <c r="M3" s="388"/>
      <c r="N3" s="388"/>
      <c r="O3" s="388"/>
      <c r="P3" s="388"/>
      <c r="Q3" s="389"/>
      <c r="R3" s="387"/>
      <c r="S3" s="388"/>
      <c r="T3" s="388"/>
      <c r="U3" s="388"/>
      <c r="V3" s="388"/>
      <c r="W3" s="388"/>
      <c r="X3" s="389"/>
      <c r="Y3" s="390"/>
      <c r="Z3" s="391"/>
      <c r="AA3" s="391"/>
      <c r="AB3" s="391"/>
      <c r="AC3" s="391"/>
      <c r="AD3" s="391"/>
      <c r="AE3" s="391"/>
      <c r="AF3" s="391"/>
      <c r="AG3" s="391"/>
      <c r="AH3" s="391"/>
      <c r="AI3" s="391"/>
      <c r="AJ3" s="391"/>
      <c r="AK3" s="391"/>
      <c r="AL3" s="391"/>
      <c r="AM3" s="391"/>
      <c r="AN3" s="391"/>
      <c r="AO3" s="392"/>
      <c r="AP3" s="360"/>
      <c r="AQ3" s="361"/>
      <c r="AR3" s="361"/>
      <c r="AS3" s="361"/>
      <c r="AT3" s="362"/>
      <c r="AU3" s="431"/>
      <c r="AV3" s="432"/>
      <c r="AW3" s="432"/>
      <c r="AX3" s="432"/>
      <c r="AY3" s="433"/>
      <c r="AZ3" s="434"/>
      <c r="BA3" s="435"/>
      <c r="BB3" s="435"/>
      <c r="BC3" s="435"/>
      <c r="BD3" s="436"/>
    </row>
    <row r="4" spans="1:56" s="17" customFormat="1" ht="14.4" customHeight="1">
      <c r="A4" s="423"/>
      <c r="B4" s="424"/>
      <c r="C4" s="424"/>
      <c r="D4" s="424"/>
      <c r="E4" s="424"/>
      <c r="F4" s="424"/>
      <c r="G4" s="424"/>
      <c r="H4" s="425"/>
      <c r="I4" s="390"/>
      <c r="J4" s="391"/>
      <c r="K4" s="391"/>
      <c r="L4" s="391"/>
      <c r="M4" s="391"/>
      <c r="N4" s="391"/>
      <c r="O4" s="391"/>
      <c r="P4" s="391"/>
      <c r="Q4" s="392"/>
      <c r="R4" s="390"/>
      <c r="S4" s="391"/>
      <c r="T4" s="391"/>
      <c r="U4" s="391"/>
      <c r="V4" s="391"/>
      <c r="W4" s="391"/>
      <c r="X4" s="392"/>
      <c r="Y4" s="437" t="str">
        <f ca="1">IF(VLOOKUP(RIGHT(CELL("filename",A2),LEN(CELL("filename",A2))-FIND("]",CELL("filename",A2))),テーブル一覧!B:AD,11,FALSE)=0,"",VLOOKUP(RIGHT(CELL("filename",A2),LEN(CELL("filename",A2))-FIND("]",CELL("filename",A2))),テーブル一覧!B:AD,11,FALSE))</f>
        <v>t_seisan_haita</v>
      </c>
      <c r="Z4" s="438"/>
      <c r="AA4" s="438"/>
      <c r="AB4" s="438"/>
      <c r="AC4" s="438"/>
      <c r="AD4" s="438"/>
      <c r="AE4" s="438"/>
      <c r="AF4" s="438"/>
      <c r="AG4" s="438"/>
      <c r="AH4" s="438"/>
      <c r="AI4" s="438"/>
      <c r="AJ4" s="438"/>
      <c r="AK4" s="438"/>
      <c r="AL4" s="438"/>
      <c r="AM4" s="438"/>
      <c r="AN4" s="438"/>
      <c r="AO4" s="439"/>
      <c r="AP4" s="360"/>
      <c r="AQ4" s="361"/>
      <c r="AR4" s="361"/>
      <c r="AS4" s="361"/>
      <c r="AT4" s="362"/>
      <c r="AU4" s="431"/>
      <c r="AV4" s="432"/>
      <c r="AW4" s="432"/>
      <c r="AX4" s="432"/>
      <c r="AY4" s="433"/>
      <c r="AZ4" s="434"/>
      <c r="BA4" s="435"/>
      <c r="BB4" s="435"/>
      <c r="BC4" s="435"/>
      <c r="BD4" s="436"/>
    </row>
    <row r="6" spans="1:56" ht="14.4" customHeight="1">
      <c r="A6" s="426" t="s">
        <v>90</v>
      </c>
      <c r="B6" s="407" t="s">
        <v>136</v>
      </c>
      <c r="C6" s="415"/>
      <c r="D6" s="415"/>
      <c r="E6" s="415"/>
      <c r="F6" s="415"/>
      <c r="G6" s="415"/>
      <c r="H6" s="408"/>
      <c r="I6" s="407" t="s">
        <v>137</v>
      </c>
      <c r="J6" s="415"/>
      <c r="K6" s="415"/>
      <c r="L6" s="415"/>
      <c r="M6" s="415"/>
      <c r="N6" s="415"/>
      <c r="O6" s="415"/>
      <c r="P6" s="415"/>
      <c r="Q6" s="408"/>
      <c r="R6" s="407" t="s">
        <v>138</v>
      </c>
      <c r="S6" s="415"/>
      <c r="T6" s="415"/>
      <c r="U6" s="415"/>
      <c r="V6" s="415"/>
      <c r="W6" s="415"/>
      <c r="X6" s="408"/>
      <c r="Y6" s="407" t="s">
        <v>139</v>
      </c>
      <c r="Z6" s="408"/>
      <c r="AA6" s="407" t="s">
        <v>140</v>
      </c>
      <c r="AB6" s="415"/>
      <c r="AC6" s="408"/>
      <c r="AD6" s="411" t="s">
        <v>141</v>
      </c>
      <c r="AE6" s="413" t="s">
        <v>142</v>
      </c>
      <c r="AF6" s="411" t="s">
        <v>143</v>
      </c>
      <c r="AG6" s="411" t="s">
        <v>144</v>
      </c>
      <c r="AH6" s="411" t="s">
        <v>145</v>
      </c>
      <c r="AI6" s="404" t="s">
        <v>146</v>
      </c>
      <c r="AJ6" s="405"/>
      <c r="AK6" s="405"/>
      <c r="AL6" s="405"/>
      <c r="AM6" s="405"/>
      <c r="AN6" s="405"/>
      <c r="AO6" s="405"/>
      <c r="AP6" s="405"/>
      <c r="AQ6" s="405"/>
      <c r="AR6" s="406"/>
      <c r="AS6" s="407" t="s">
        <v>147</v>
      </c>
      <c r="AT6" s="415"/>
      <c r="AU6" s="415"/>
      <c r="AV6" s="415"/>
      <c r="AW6" s="415"/>
      <c r="AX6" s="415"/>
      <c r="AY6" s="415"/>
      <c r="AZ6" s="415"/>
      <c r="BA6" s="415"/>
      <c r="BB6" s="415"/>
      <c r="BC6" s="415"/>
      <c r="BD6" s="408"/>
    </row>
    <row r="7" spans="1:56" ht="14.4" customHeight="1">
      <c r="A7" s="427"/>
      <c r="B7" s="409"/>
      <c r="C7" s="416"/>
      <c r="D7" s="416"/>
      <c r="E7" s="416"/>
      <c r="F7" s="416"/>
      <c r="G7" s="416"/>
      <c r="H7" s="410"/>
      <c r="I7" s="409"/>
      <c r="J7" s="416"/>
      <c r="K7" s="416"/>
      <c r="L7" s="416"/>
      <c r="M7" s="416"/>
      <c r="N7" s="416"/>
      <c r="O7" s="416"/>
      <c r="P7" s="416"/>
      <c r="Q7" s="410"/>
      <c r="R7" s="409"/>
      <c r="S7" s="416"/>
      <c r="T7" s="416"/>
      <c r="U7" s="416"/>
      <c r="V7" s="416"/>
      <c r="W7" s="416"/>
      <c r="X7" s="410"/>
      <c r="Y7" s="409"/>
      <c r="Z7" s="410"/>
      <c r="AA7" s="409"/>
      <c r="AB7" s="416"/>
      <c r="AC7" s="410"/>
      <c r="AD7" s="412"/>
      <c r="AE7" s="414"/>
      <c r="AF7" s="412"/>
      <c r="AG7" s="412"/>
      <c r="AH7" s="412"/>
      <c r="AI7" s="52">
        <v>1</v>
      </c>
      <c r="AJ7" s="52">
        <v>2</v>
      </c>
      <c r="AK7" s="52">
        <v>3</v>
      </c>
      <c r="AL7" s="52">
        <v>4</v>
      </c>
      <c r="AM7" s="52">
        <v>5</v>
      </c>
      <c r="AN7" s="52">
        <v>6</v>
      </c>
      <c r="AO7" s="52">
        <v>7</v>
      </c>
      <c r="AP7" s="52">
        <v>8</v>
      </c>
      <c r="AQ7" s="52">
        <v>9</v>
      </c>
      <c r="AR7" s="52">
        <v>10</v>
      </c>
      <c r="AS7" s="409"/>
      <c r="AT7" s="416"/>
      <c r="AU7" s="416"/>
      <c r="AV7" s="416"/>
      <c r="AW7" s="416"/>
      <c r="AX7" s="416"/>
      <c r="AY7" s="416"/>
      <c r="AZ7" s="416"/>
      <c r="BA7" s="416"/>
      <c r="BB7" s="416"/>
      <c r="BC7" s="416"/>
      <c r="BD7" s="410"/>
    </row>
    <row r="8" spans="1:56" ht="14.4" customHeight="1">
      <c r="A8" s="70">
        <f>IF(B8="","",COUNTA($B$8:B8))</f>
        <v>1</v>
      </c>
      <c r="B8" s="19" t="s">
        <v>162</v>
      </c>
      <c r="C8" s="20"/>
      <c r="D8" s="20"/>
      <c r="E8" s="20"/>
      <c r="F8" s="20"/>
      <c r="G8" s="20"/>
      <c r="H8" s="24"/>
      <c r="I8" s="31" t="s">
        <v>163</v>
      </c>
      <c r="J8" s="23"/>
      <c r="K8" s="23"/>
      <c r="L8" s="23"/>
      <c r="M8" s="23"/>
      <c r="N8" s="23"/>
      <c r="O8" s="38"/>
      <c r="P8" s="23"/>
      <c r="Q8" s="24"/>
      <c r="R8" s="19" t="s">
        <v>164</v>
      </c>
      <c r="S8" s="23"/>
      <c r="T8" s="23"/>
      <c r="U8" s="23"/>
      <c r="V8" s="23"/>
      <c r="W8" s="23"/>
      <c r="X8" s="24"/>
      <c r="Y8" s="440" t="s">
        <v>150</v>
      </c>
      <c r="Z8" s="441"/>
      <c r="AA8" s="442" t="s">
        <v>151</v>
      </c>
      <c r="AB8" s="443"/>
      <c r="AC8" s="444"/>
      <c r="AD8" s="27">
        <v>4</v>
      </c>
      <c r="AE8" s="29"/>
      <c r="AF8" s="29">
        <v>1</v>
      </c>
      <c r="AG8" s="29"/>
      <c r="AH8" s="28"/>
      <c r="AI8" s="28"/>
      <c r="AJ8" s="28"/>
      <c r="AK8" s="28"/>
      <c r="AL8" s="28"/>
      <c r="AM8" s="28"/>
      <c r="AN8" s="28"/>
      <c r="AO8" s="29"/>
      <c r="AP8" s="29"/>
      <c r="AQ8" s="29"/>
      <c r="AR8" s="29"/>
      <c r="AS8" s="31"/>
      <c r="AT8" s="67"/>
      <c r="AU8" s="67"/>
      <c r="AV8" s="67"/>
      <c r="AW8" s="67"/>
      <c r="AX8" s="67"/>
      <c r="AY8" s="67"/>
      <c r="AZ8" s="67"/>
      <c r="BA8" s="67"/>
      <c r="BB8" s="67"/>
      <c r="BC8" s="67"/>
      <c r="BD8" s="68"/>
    </row>
    <row r="9" spans="1:56" ht="14.4" customHeight="1">
      <c r="A9" s="70">
        <f>IF(B9="","",COUNTA($B$8:B9))</f>
        <v>2</v>
      </c>
      <c r="B9" s="8" t="s">
        <v>1432</v>
      </c>
      <c r="C9" s="127"/>
      <c r="D9" s="127"/>
      <c r="E9" s="127"/>
      <c r="F9" s="127"/>
      <c r="G9" s="127"/>
      <c r="H9" s="127"/>
      <c r="I9" s="128" t="s">
        <v>1433</v>
      </c>
      <c r="J9" s="129"/>
      <c r="K9" s="129"/>
      <c r="L9" s="129"/>
      <c r="M9" s="129"/>
      <c r="N9" s="129"/>
      <c r="O9" s="129"/>
      <c r="P9" s="129"/>
      <c r="Q9" s="129"/>
      <c r="R9" s="8" t="s">
        <v>1432</v>
      </c>
      <c r="S9" s="127"/>
      <c r="T9" s="5"/>
      <c r="U9" s="5"/>
      <c r="V9" s="5"/>
      <c r="W9" s="5"/>
      <c r="X9" s="5"/>
      <c r="Y9" s="440" t="s">
        <v>150</v>
      </c>
      <c r="Z9" s="441"/>
      <c r="AA9" s="442" t="s">
        <v>151</v>
      </c>
      <c r="AB9" s="443"/>
      <c r="AC9" s="444"/>
      <c r="AD9" s="27">
        <v>10</v>
      </c>
      <c r="AE9" s="29"/>
      <c r="AF9" s="29"/>
      <c r="AG9" s="29"/>
      <c r="AH9" s="28"/>
      <c r="AI9" s="28"/>
      <c r="AJ9" s="28"/>
      <c r="AK9" s="28"/>
      <c r="AL9" s="28"/>
      <c r="AM9" s="28"/>
      <c r="AN9" s="28"/>
      <c r="AO9" s="29"/>
      <c r="AP9" s="29"/>
      <c r="AQ9" s="29"/>
      <c r="AR9" s="29"/>
      <c r="AS9" s="31"/>
      <c r="AT9" s="48"/>
      <c r="AU9" s="67"/>
      <c r="AV9" s="67"/>
      <c r="AW9" s="67"/>
      <c r="AX9" s="67"/>
      <c r="AY9" s="67"/>
      <c r="AZ9" s="67"/>
      <c r="BA9" s="67"/>
      <c r="BB9" s="67"/>
      <c r="BC9" s="67"/>
      <c r="BD9" s="68"/>
    </row>
    <row r="10" spans="1:56" ht="14.4" customHeight="1">
      <c r="A10" s="70">
        <f>IF(B10="","",COUNTA($B$8:B10))</f>
        <v>3</v>
      </c>
      <c r="B10" s="8" t="s">
        <v>1434</v>
      </c>
      <c r="C10" s="127"/>
      <c r="D10" s="127"/>
      <c r="E10" s="127"/>
      <c r="F10" s="127"/>
      <c r="G10" s="127"/>
      <c r="H10" s="127"/>
      <c r="I10" s="131" t="s">
        <v>567</v>
      </c>
      <c r="J10" s="5"/>
      <c r="K10" s="127"/>
      <c r="L10" s="127"/>
      <c r="M10" s="129"/>
      <c r="N10" s="129"/>
      <c r="O10" s="129"/>
      <c r="P10" s="129"/>
      <c r="Q10" s="129"/>
      <c r="R10" s="128" t="s">
        <v>1435</v>
      </c>
      <c r="S10" s="129"/>
      <c r="T10" s="127"/>
      <c r="U10" s="5"/>
      <c r="V10" s="5"/>
      <c r="W10" s="5"/>
      <c r="X10" s="5"/>
      <c r="Y10" s="8" t="s">
        <v>150</v>
      </c>
      <c r="Z10" s="169"/>
      <c r="AA10" s="64" t="s">
        <v>425</v>
      </c>
      <c r="AB10" s="2"/>
      <c r="AC10" s="3"/>
      <c r="AD10" s="130">
        <v>10</v>
      </c>
      <c r="AE10" s="29"/>
      <c r="AF10" s="29"/>
      <c r="AG10" s="29"/>
      <c r="AH10" s="28"/>
      <c r="AI10" s="28"/>
      <c r="AJ10" s="28"/>
      <c r="AK10" s="28"/>
      <c r="AL10" s="28"/>
      <c r="AM10" s="28"/>
      <c r="AN10" s="28"/>
      <c r="AO10" s="29"/>
      <c r="AP10" s="29"/>
      <c r="AQ10" s="29"/>
      <c r="AR10" s="29"/>
      <c r="AS10" s="31"/>
      <c r="AT10" s="67"/>
      <c r="AU10" s="67"/>
      <c r="AV10" s="67"/>
      <c r="AW10" s="67"/>
      <c r="AX10" s="67"/>
      <c r="AY10" s="67"/>
      <c r="AZ10" s="67"/>
      <c r="BA10" s="67"/>
      <c r="BB10" s="67"/>
      <c r="BC10" s="67"/>
      <c r="BD10" s="68"/>
    </row>
    <row r="11" spans="1:56" ht="14.4" customHeight="1">
      <c r="A11" s="70">
        <f>IF(B11="","",COUNTA($B$8:B11))</f>
        <v>4</v>
      </c>
      <c r="B11" s="8" t="s">
        <v>257</v>
      </c>
      <c r="C11" s="127"/>
      <c r="D11" s="127"/>
      <c r="E11" s="127"/>
      <c r="F11" s="127"/>
      <c r="G11" s="127"/>
      <c r="H11" s="127"/>
      <c r="I11" s="131" t="s">
        <v>258</v>
      </c>
      <c r="J11" s="129"/>
      <c r="K11" s="129"/>
      <c r="L11" s="129"/>
      <c r="M11" s="129"/>
      <c r="N11" s="129"/>
      <c r="O11" s="129"/>
      <c r="P11" s="129"/>
      <c r="Q11" s="129"/>
      <c r="R11" s="8" t="s">
        <v>257</v>
      </c>
      <c r="S11" s="127"/>
      <c r="T11" s="5"/>
      <c r="U11" s="5"/>
      <c r="V11" s="5"/>
      <c r="W11" s="5"/>
      <c r="X11" s="5"/>
      <c r="Y11" s="8" t="s">
        <v>169</v>
      </c>
      <c r="Z11" s="132"/>
      <c r="AA11" s="448" t="s">
        <v>243</v>
      </c>
      <c r="AB11" s="449"/>
      <c r="AC11" s="450"/>
      <c r="AD11" s="130"/>
      <c r="AE11" s="29"/>
      <c r="AF11" s="29"/>
      <c r="AG11" s="29"/>
      <c r="AH11" s="28"/>
      <c r="AI11" s="28"/>
      <c r="AJ11" s="28"/>
      <c r="AK11" s="28"/>
      <c r="AL11" s="28"/>
      <c r="AM11" s="28"/>
      <c r="AN11" s="28"/>
      <c r="AO11" s="29"/>
      <c r="AP11" s="29"/>
      <c r="AQ11" s="29"/>
      <c r="AR11" s="29"/>
      <c r="AS11" s="31"/>
      <c r="AT11" s="67"/>
      <c r="AU11" s="67"/>
      <c r="AV11" s="67"/>
      <c r="AW11" s="67"/>
      <c r="AX11" s="67"/>
      <c r="AY11" s="67"/>
      <c r="AZ11" s="67"/>
      <c r="BA11" s="67"/>
      <c r="BB11" s="67"/>
      <c r="BC11" s="67"/>
      <c r="BD11" s="68"/>
    </row>
    <row r="12" spans="1:56" ht="14.4" customHeight="1">
      <c r="A12" s="70" t="str">
        <f>IF(B12="","",COUNTA($B$8:B12))</f>
        <v/>
      </c>
      <c r="B12" s="25"/>
      <c r="C12" s="26"/>
      <c r="D12" s="26"/>
      <c r="E12" s="26"/>
      <c r="F12" s="26"/>
      <c r="G12" s="26"/>
      <c r="H12" s="39"/>
      <c r="I12" s="31"/>
      <c r="J12" s="23"/>
      <c r="K12" s="23"/>
      <c r="L12" s="23"/>
      <c r="M12" s="23"/>
      <c r="N12" s="23"/>
      <c r="O12" s="23"/>
      <c r="P12" s="23"/>
      <c r="Q12" s="37"/>
      <c r="R12" s="25"/>
      <c r="S12" s="23"/>
      <c r="T12" s="23"/>
      <c r="U12" s="23"/>
      <c r="V12" s="23"/>
      <c r="W12" s="23"/>
      <c r="X12" s="24"/>
      <c r="Y12" s="451"/>
      <c r="Z12" s="452"/>
      <c r="AA12" s="442"/>
      <c r="AB12" s="443"/>
      <c r="AC12" s="444"/>
      <c r="AD12" s="27"/>
      <c r="AE12" s="29"/>
      <c r="AF12" s="29"/>
      <c r="AG12" s="29"/>
      <c r="AH12" s="28"/>
      <c r="AI12" s="28"/>
      <c r="AJ12" s="28"/>
      <c r="AK12" s="28"/>
      <c r="AL12" s="28"/>
      <c r="AM12" s="28"/>
      <c r="AN12" s="28"/>
      <c r="AO12" s="29"/>
      <c r="AP12" s="29"/>
      <c r="AQ12" s="29"/>
      <c r="AR12" s="29"/>
      <c r="AS12" s="31"/>
      <c r="AT12" s="67"/>
      <c r="AU12" s="67"/>
      <c r="AV12" s="67"/>
      <c r="AW12" s="67"/>
      <c r="AX12" s="67"/>
      <c r="AY12" s="67"/>
      <c r="AZ12" s="67"/>
      <c r="BA12" s="67"/>
      <c r="BB12" s="67"/>
      <c r="BC12" s="67"/>
      <c r="BD12" s="68"/>
    </row>
    <row r="13" spans="1:56" ht="14.4" customHeight="1">
      <c r="A13" s="70" t="str">
        <f>IF(B13="","",COUNTA($B$8:B13))</f>
        <v/>
      </c>
      <c r="B13" s="25"/>
      <c r="C13" s="26"/>
      <c r="D13" s="26"/>
      <c r="E13" s="26"/>
      <c r="F13" s="26"/>
      <c r="G13" s="26"/>
      <c r="H13" s="39"/>
      <c r="I13" s="31"/>
      <c r="J13" s="23"/>
      <c r="K13" s="23"/>
      <c r="L13" s="23"/>
      <c r="M13" s="23"/>
      <c r="N13" s="23"/>
      <c r="O13" s="23"/>
      <c r="P13" s="23"/>
      <c r="Q13" s="37"/>
      <c r="R13" s="25"/>
      <c r="S13" s="23"/>
      <c r="T13" s="23"/>
      <c r="U13" s="23"/>
      <c r="V13" s="23"/>
      <c r="W13" s="23"/>
      <c r="X13" s="24"/>
      <c r="Y13" s="451"/>
      <c r="Z13" s="452"/>
      <c r="AA13" s="442"/>
      <c r="AB13" s="443"/>
      <c r="AC13" s="444"/>
      <c r="AD13" s="27"/>
      <c r="AE13" s="29"/>
      <c r="AF13" s="29"/>
      <c r="AG13" s="29"/>
      <c r="AH13" s="28"/>
      <c r="AI13" s="28"/>
      <c r="AJ13" s="28"/>
      <c r="AK13" s="28"/>
      <c r="AL13" s="28"/>
      <c r="AM13" s="28"/>
      <c r="AN13" s="28"/>
      <c r="AO13" s="29"/>
      <c r="AP13" s="29"/>
      <c r="AQ13" s="29"/>
      <c r="AR13" s="29"/>
      <c r="AS13" s="31"/>
      <c r="AT13" s="67"/>
      <c r="AU13" s="67"/>
      <c r="AV13" s="67"/>
      <c r="AW13" s="67"/>
      <c r="AX13" s="67"/>
      <c r="AY13" s="67"/>
      <c r="AZ13" s="67"/>
      <c r="BA13" s="67"/>
      <c r="BB13" s="67"/>
      <c r="BC13" s="67"/>
      <c r="BD13" s="68"/>
    </row>
    <row r="14" spans="1:56" ht="14.4" customHeight="1">
      <c r="A14" s="70" t="str">
        <f>IF(B14="","",COUNTA($B$8:B14))</f>
        <v/>
      </c>
      <c r="B14" s="25"/>
      <c r="C14" s="26"/>
      <c r="D14" s="26"/>
      <c r="E14" s="26"/>
      <c r="F14" s="26"/>
      <c r="G14" s="26"/>
      <c r="H14" s="39"/>
      <c r="I14" s="31"/>
      <c r="J14" s="23"/>
      <c r="K14" s="23"/>
      <c r="L14" s="23"/>
      <c r="M14" s="23"/>
      <c r="N14" s="23"/>
      <c r="O14" s="23"/>
      <c r="P14" s="23"/>
      <c r="Q14" s="37"/>
      <c r="R14" s="25"/>
      <c r="S14" s="23"/>
      <c r="T14" s="23"/>
      <c r="U14" s="23"/>
      <c r="V14" s="23"/>
      <c r="W14" s="23"/>
      <c r="X14" s="24"/>
      <c r="Y14" s="451"/>
      <c r="Z14" s="452"/>
      <c r="AA14" s="442"/>
      <c r="AB14" s="443"/>
      <c r="AC14" s="444"/>
      <c r="AD14" s="27"/>
      <c r="AE14" s="29"/>
      <c r="AF14" s="29"/>
      <c r="AG14" s="29"/>
      <c r="AH14" s="28"/>
      <c r="AI14" s="28"/>
      <c r="AJ14" s="28"/>
      <c r="AK14" s="28"/>
      <c r="AL14" s="28"/>
      <c r="AM14" s="28"/>
      <c r="AN14" s="28"/>
      <c r="AO14" s="29"/>
      <c r="AP14" s="29"/>
      <c r="AQ14" s="29"/>
      <c r="AR14" s="29"/>
      <c r="AS14" s="31"/>
      <c r="AT14" s="67"/>
      <c r="AU14" s="67"/>
      <c r="AV14" s="67"/>
      <c r="AW14" s="67"/>
      <c r="AX14" s="67"/>
      <c r="AY14" s="67"/>
      <c r="AZ14" s="67"/>
      <c r="BA14" s="67"/>
      <c r="BB14" s="67"/>
      <c r="BC14" s="67"/>
      <c r="BD14" s="68"/>
    </row>
    <row r="15" spans="1:56" ht="14.4" customHeight="1">
      <c r="A15" s="70" t="str">
        <f>IF(B15="","",COUNTA($B$8:B15))</f>
        <v/>
      </c>
      <c r="B15" s="25"/>
      <c r="C15" s="26"/>
      <c r="D15" s="26"/>
      <c r="E15" s="26"/>
      <c r="F15" s="26"/>
      <c r="G15" s="26"/>
      <c r="H15" s="39"/>
      <c r="I15" s="31"/>
      <c r="J15" s="23"/>
      <c r="K15" s="23"/>
      <c r="L15" s="23"/>
      <c r="M15" s="23"/>
      <c r="N15" s="23"/>
      <c r="O15" s="23"/>
      <c r="P15" s="23"/>
      <c r="Q15" s="37"/>
      <c r="R15" s="25"/>
      <c r="S15" s="23"/>
      <c r="T15" s="23"/>
      <c r="U15" s="23"/>
      <c r="V15" s="23"/>
      <c r="W15" s="23"/>
      <c r="X15" s="24"/>
      <c r="Y15" s="451"/>
      <c r="Z15" s="452"/>
      <c r="AA15" s="442"/>
      <c r="AB15" s="443"/>
      <c r="AC15" s="444"/>
      <c r="AD15" s="27"/>
      <c r="AE15" s="29"/>
      <c r="AF15" s="29"/>
      <c r="AG15" s="29"/>
      <c r="AH15" s="28"/>
      <c r="AI15" s="28"/>
      <c r="AJ15" s="28"/>
      <c r="AK15" s="28"/>
      <c r="AL15" s="28"/>
      <c r="AM15" s="28"/>
      <c r="AN15" s="28"/>
      <c r="AO15" s="29"/>
      <c r="AP15" s="29"/>
      <c r="AQ15" s="29"/>
      <c r="AR15" s="29"/>
      <c r="AS15" s="31"/>
      <c r="AT15" s="67"/>
      <c r="AU15" s="67"/>
      <c r="AV15" s="67"/>
      <c r="AW15" s="67"/>
      <c r="AX15" s="67"/>
      <c r="AY15" s="67"/>
      <c r="AZ15" s="67"/>
      <c r="BA15" s="67"/>
      <c r="BB15" s="67"/>
      <c r="BC15" s="67"/>
      <c r="BD15" s="68"/>
    </row>
    <row r="16" spans="1:56" ht="14.4" customHeight="1">
      <c r="A16" s="70" t="str">
        <f>IF(B16="","",COUNTA($B$8:B16))</f>
        <v/>
      </c>
      <c r="B16" s="25"/>
      <c r="C16" s="26"/>
      <c r="D16" s="26"/>
      <c r="E16" s="26"/>
      <c r="F16" s="26"/>
      <c r="G16" s="26"/>
      <c r="H16" s="39"/>
      <c r="I16" s="31"/>
      <c r="J16" s="23"/>
      <c r="K16" s="23"/>
      <c r="L16" s="23"/>
      <c r="M16" s="23"/>
      <c r="N16" s="23"/>
      <c r="O16" s="23"/>
      <c r="P16" s="23"/>
      <c r="Q16" s="37"/>
      <c r="R16" s="25"/>
      <c r="S16" s="23"/>
      <c r="T16" s="23"/>
      <c r="U16" s="23"/>
      <c r="V16" s="23"/>
      <c r="W16" s="23"/>
      <c r="X16" s="24"/>
      <c r="Y16" s="451"/>
      <c r="Z16" s="452"/>
      <c r="AA16" s="442"/>
      <c r="AB16" s="443"/>
      <c r="AC16" s="444"/>
      <c r="AD16" s="27"/>
      <c r="AE16" s="29"/>
      <c r="AF16" s="29"/>
      <c r="AG16" s="29"/>
      <c r="AH16" s="28"/>
      <c r="AI16" s="28"/>
      <c r="AJ16" s="28"/>
      <c r="AK16" s="28"/>
      <c r="AL16" s="28"/>
      <c r="AM16" s="28"/>
      <c r="AN16" s="28"/>
      <c r="AO16" s="29"/>
      <c r="AP16" s="29"/>
      <c r="AQ16" s="29"/>
      <c r="AR16" s="29"/>
      <c r="AS16" s="31"/>
      <c r="AT16" s="67"/>
      <c r="AU16" s="67"/>
      <c r="AV16" s="67"/>
      <c r="AW16" s="67"/>
      <c r="AX16" s="67"/>
      <c r="AY16" s="67"/>
      <c r="AZ16" s="67"/>
      <c r="BA16" s="67"/>
      <c r="BB16" s="67"/>
      <c r="BC16" s="67"/>
      <c r="BD16" s="68"/>
    </row>
    <row r="17" spans="1:56" ht="14.4" customHeight="1">
      <c r="A17" s="70" t="str">
        <f>IF(B17="","",COUNTA($B$8:B17))</f>
        <v/>
      </c>
      <c r="B17" s="25"/>
      <c r="C17" s="26"/>
      <c r="D17" s="26"/>
      <c r="E17" s="26"/>
      <c r="F17" s="26"/>
      <c r="G17" s="26"/>
      <c r="H17" s="39"/>
      <c r="I17" s="31"/>
      <c r="J17" s="23"/>
      <c r="K17" s="23"/>
      <c r="L17" s="23"/>
      <c r="M17" s="23"/>
      <c r="N17" s="23"/>
      <c r="O17" s="23"/>
      <c r="P17" s="23"/>
      <c r="Q17" s="37"/>
      <c r="R17" s="25"/>
      <c r="S17" s="23"/>
      <c r="T17" s="23"/>
      <c r="U17" s="23"/>
      <c r="V17" s="23"/>
      <c r="W17" s="23"/>
      <c r="X17" s="24"/>
      <c r="Y17" s="451"/>
      <c r="Z17" s="452"/>
      <c r="AA17" s="442"/>
      <c r="AB17" s="443"/>
      <c r="AC17" s="444"/>
      <c r="AD17" s="27"/>
      <c r="AE17" s="29"/>
      <c r="AF17" s="29"/>
      <c r="AG17" s="29"/>
      <c r="AH17" s="28"/>
      <c r="AI17" s="28"/>
      <c r="AJ17" s="28"/>
      <c r="AK17" s="28"/>
      <c r="AL17" s="28"/>
      <c r="AM17" s="28"/>
      <c r="AN17" s="28"/>
      <c r="AO17" s="29"/>
      <c r="AP17" s="29"/>
      <c r="AQ17" s="29"/>
      <c r="AR17" s="29"/>
      <c r="AS17" s="31"/>
      <c r="AT17" s="67"/>
      <c r="AU17" s="67"/>
      <c r="AV17" s="67"/>
      <c r="AW17" s="67"/>
      <c r="AX17" s="67"/>
      <c r="AY17" s="67"/>
      <c r="AZ17" s="67"/>
      <c r="BA17" s="67"/>
      <c r="BB17" s="67"/>
      <c r="BC17" s="67"/>
      <c r="BD17" s="68"/>
    </row>
    <row r="18" spans="1:56" ht="14.4" customHeight="1">
      <c r="A18" s="70" t="str">
        <f>IF(B18="","",COUNTA($B$8:B18))</f>
        <v/>
      </c>
      <c r="B18" s="25"/>
      <c r="C18" s="26"/>
      <c r="D18" s="26"/>
      <c r="E18" s="26"/>
      <c r="F18" s="26"/>
      <c r="G18" s="26"/>
      <c r="H18" s="39"/>
      <c r="I18" s="31"/>
      <c r="J18" s="23"/>
      <c r="K18" s="23"/>
      <c r="L18" s="23"/>
      <c r="M18" s="23"/>
      <c r="N18" s="23"/>
      <c r="O18" s="23"/>
      <c r="P18" s="23"/>
      <c r="Q18" s="37"/>
      <c r="R18" s="25"/>
      <c r="S18" s="23"/>
      <c r="T18" s="23"/>
      <c r="U18" s="23"/>
      <c r="V18" s="23"/>
      <c r="W18" s="23"/>
      <c r="X18" s="24"/>
      <c r="Y18" s="451"/>
      <c r="Z18" s="452"/>
      <c r="AA18" s="442"/>
      <c r="AB18" s="443"/>
      <c r="AC18" s="444"/>
      <c r="AD18" s="27"/>
      <c r="AE18" s="29"/>
      <c r="AF18" s="29"/>
      <c r="AG18" s="29"/>
      <c r="AH18" s="28"/>
      <c r="AI18" s="28"/>
      <c r="AJ18" s="28"/>
      <c r="AK18" s="28"/>
      <c r="AL18" s="28"/>
      <c r="AM18" s="28"/>
      <c r="AN18" s="28"/>
      <c r="AO18" s="29"/>
      <c r="AP18" s="29"/>
      <c r="AQ18" s="29"/>
      <c r="AR18" s="29"/>
      <c r="AS18" s="31"/>
      <c r="AT18" s="67"/>
      <c r="AU18" s="67"/>
      <c r="AV18" s="67"/>
      <c r="AW18" s="67"/>
      <c r="AX18" s="67"/>
      <c r="AY18" s="67"/>
      <c r="AZ18" s="67"/>
      <c r="BA18" s="67"/>
      <c r="BB18" s="67"/>
      <c r="BC18" s="67"/>
      <c r="BD18" s="68"/>
    </row>
    <row r="19" spans="1:56" ht="14.4" customHeight="1">
      <c r="A19" s="70" t="str">
        <f>IF(B19="","",COUNTA($B$8:B19))</f>
        <v/>
      </c>
      <c r="B19" s="25"/>
      <c r="C19" s="26"/>
      <c r="D19" s="26"/>
      <c r="E19" s="26"/>
      <c r="F19" s="26"/>
      <c r="G19" s="26"/>
      <c r="H19" s="39"/>
      <c r="I19" s="31"/>
      <c r="J19" s="23"/>
      <c r="K19" s="23"/>
      <c r="L19" s="23"/>
      <c r="M19" s="23"/>
      <c r="N19" s="23"/>
      <c r="O19" s="23"/>
      <c r="P19" s="23"/>
      <c r="Q19" s="37"/>
      <c r="R19" s="25"/>
      <c r="S19" s="23"/>
      <c r="T19" s="23"/>
      <c r="U19" s="23"/>
      <c r="V19" s="23"/>
      <c r="W19" s="23"/>
      <c r="X19" s="24"/>
      <c r="Y19" s="451"/>
      <c r="Z19" s="452"/>
      <c r="AA19" s="442"/>
      <c r="AB19" s="443"/>
      <c r="AC19" s="444"/>
      <c r="AD19" s="27"/>
      <c r="AE19" s="29"/>
      <c r="AF19" s="29"/>
      <c r="AG19" s="29"/>
      <c r="AH19" s="28"/>
      <c r="AI19" s="28"/>
      <c r="AJ19" s="28"/>
      <c r="AK19" s="28"/>
      <c r="AL19" s="28"/>
      <c r="AM19" s="28"/>
      <c r="AN19" s="28"/>
      <c r="AO19" s="29"/>
      <c r="AP19" s="29"/>
      <c r="AQ19" s="29"/>
      <c r="AR19" s="29"/>
      <c r="AS19" s="31"/>
      <c r="AT19" s="67"/>
      <c r="AU19" s="67"/>
      <c r="AV19" s="67"/>
      <c r="AW19" s="67"/>
      <c r="AX19" s="67"/>
      <c r="AY19" s="67"/>
      <c r="AZ19" s="67"/>
      <c r="BA19" s="67"/>
      <c r="BB19" s="67"/>
      <c r="BC19" s="67"/>
      <c r="BD19" s="68"/>
    </row>
    <row r="20" spans="1:56" s="1" customFormat="1" ht="14.4" customHeight="1">
      <c r="A20" s="70" t="str">
        <f>IF(B20="","",COUNTA($B$8:B20))</f>
        <v/>
      </c>
      <c r="B20" s="131"/>
      <c r="C20" s="127"/>
      <c r="D20" s="127"/>
      <c r="E20" s="127"/>
      <c r="F20" s="127"/>
      <c r="G20" s="127"/>
      <c r="H20" s="127"/>
      <c r="I20" s="131"/>
      <c r="J20" s="129"/>
      <c r="K20" s="129"/>
      <c r="L20" s="129"/>
      <c r="M20" s="129"/>
      <c r="N20" s="129"/>
      <c r="O20" s="129"/>
      <c r="P20" s="129"/>
      <c r="Q20" s="129"/>
      <c r="R20" s="131"/>
      <c r="S20" s="127"/>
      <c r="T20" s="5"/>
      <c r="U20" s="5"/>
      <c r="V20" s="5"/>
      <c r="W20" s="5"/>
      <c r="X20" s="5"/>
      <c r="Y20" s="8"/>
      <c r="Z20" s="132"/>
      <c r="AA20" s="448"/>
      <c r="AB20" s="449"/>
      <c r="AC20" s="450"/>
      <c r="AD20" s="130"/>
      <c r="AE20" s="133"/>
      <c r="AF20" s="134"/>
      <c r="AG20" s="134"/>
      <c r="AH20" s="134"/>
      <c r="AI20" s="134"/>
      <c r="AJ20" s="134"/>
      <c r="AK20" s="134"/>
      <c r="AL20" s="134"/>
      <c r="AM20" s="134"/>
      <c r="AN20" s="134"/>
      <c r="AO20" s="135"/>
      <c r="AP20" s="135"/>
      <c r="AQ20" s="135"/>
      <c r="AR20" s="135"/>
      <c r="AS20" s="136"/>
      <c r="AT20" s="137"/>
      <c r="AU20" s="137"/>
      <c r="AV20" s="137"/>
      <c r="AW20" s="137"/>
      <c r="AX20" s="137"/>
      <c r="AY20" s="137"/>
      <c r="AZ20" s="137"/>
      <c r="BA20" s="137"/>
      <c r="BB20" s="137"/>
      <c r="BC20" s="137"/>
      <c r="BD20" s="138"/>
    </row>
    <row r="21" spans="1:56" ht="14.4" customHeight="1">
      <c r="A21" s="70" t="str">
        <f>IF(B21="","",COUNTA($B$8:B21))</f>
        <v/>
      </c>
      <c r="B21" s="8"/>
      <c r="C21" s="127"/>
      <c r="D21" s="127"/>
      <c r="E21" s="127"/>
      <c r="F21" s="127"/>
      <c r="G21" s="127"/>
      <c r="H21" s="127"/>
      <c r="I21" s="131"/>
      <c r="J21" s="129"/>
      <c r="K21" s="129"/>
      <c r="L21" s="129"/>
      <c r="M21" s="129"/>
      <c r="N21" s="129"/>
      <c r="O21" s="129"/>
      <c r="P21" s="129"/>
      <c r="Q21" s="129"/>
      <c r="R21" s="8"/>
      <c r="S21" s="127"/>
      <c r="T21" s="5"/>
      <c r="U21" s="5"/>
      <c r="V21" s="5"/>
      <c r="W21" s="5"/>
      <c r="X21" s="5"/>
      <c r="Y21" s="8"/>
      <c r="Z21" s="132"/>
      <c r="AA21" s="448"/>
      <c r="AB21" s="449"/>
      <c r="AC21" s="450"/>
      <c r="AD21" s="130"/>
      <c r="AE21" s="29"/>
      <c r="AF21" s="29"/>
      <c r="AG21" s="29"/>
      <c r="AH21" s="28"/>
      <c r="AI21" s="28"/>
      <c r="AJ21" s="28"/>
      <c r="AK21" s="28"/>
      <c r="AL21" s="28"/>
      <c r="AM21" s="28"/>
      <c r="AN21" s="28"/>
      <c r="AO21" s="29"/>
      <c r="AP21" s="29"/>
      <c r="AQ21" s="29"/>
      <c r="AR21" s="29"/>
      <c r="AS21" s="31"/>
      <c r="AT21" s="67"/>
      <c r="AU21" s="67"/>
      <c r="AV21" s="67"/>
      <c r="AW21" s="67"/>
      <c r="AX21" s="67"/>
      <c r="AY21" s="67"/>
      <c r="AZ21" s="67"/>
      <c r="BA21" s="67"/>
      <c r="BB21" s="67"/>
      <c r="BC21" s="67"/>
      <c r="BD21" s="68"/>
    </row>
    <row r="22" spans="1:56" ht="14.4" customHeight="1">
      <c r="A22" s="70" t="str">
        <f>IF(B22="","",COUNTA($B$8:B22))</f>
        <v/>
      </c>
      <c r="B22" s="8"/>
      <c r="C22" s="127"/>
      <c r="D22" s="127"/>
      <c r="E22" s="127"/>
      <c r="F22" s="127"/>
      <c r="G22" s="127"/>
      <c r="H22" s="127"/>
      <c r="I22" s="131"/>
      <c r="J22" s="129"/>
      <c r="K22" s="129"/>
      <c r="L22" s="129"/>
      <c r="M22" s="129"/>
      <c r="N22" s="129"/>
      <c r="O22" s="129"/>
      <c r="P22" s="129"/>
      <c r="Q22" s="129"/>
      <c r="R22" s="8"/>
      <c r="S22" s="127"/>
      <c r="T22" s="5"/>
      <c r="U22" s="5"/>
      <c r="V22" s="5"/>
      <c r="W22" s="5"/>
      <c r="X22" s="5"/>
      <c r="Y22" s="8"/>
      <c r="Z22" s="132"/>
      <c r="AA22" s="448"/>
      <c r="AB22" s="449"/>
      <c r="AC22" s="450"/>
      <c r="AD22" s="130"/>
      <c r="AE22" s="29"/>
      <c r="AF22" s="29"/>
      <c r="AG22" s="29"/>
      <c r="AH22" s="28"/>
      <c r="AI22" s="28"/>
      <c r="AJ22" s="28"/>
      <c r="AK22" s="28"/>
      <c r="AL22" s="40"/>
      <c r="AM22" s="40"/>
      <c r="AN22" s="40"/>
      <c r="AO22" s="41"/>
      <c r="AP22" s="41"/>
      <c r="AQ22" s="41"/>
      <c r="AR22" s="41"/>
      <c r="AS22" s="42"/>
      <c r="AT22" s="43"/>
      <c r="AU22" s="67"/>
      <c r="AV22" s="67"/>
      <c r="AW22" s="67"/>
      <c r="AX22" s="67"/>
      <c r="AY22" s="67"/>
      <c r="AZ22" s="67"/>
      <c r="BA22" s="67"/>
      <c r="BB22" s="67"/>
      <c r="BC22" s="67"/>
      <c r="BD22" s="68"/>
    </row>
    <row r="23" spans="1:56" ht="14.4" customHeight="1">
      <c r="A23" s="70" t="str">
        <f>IF(B23="","",COUNTA($B$8:B23))</f>
        <v/>
      </c>
      <c r="B23" s="8"/>
      <c r="C23" s="127"/>
      <c r="D23" s="127"/>
      <c r="E23" s="127"/>
      <c r="F23" s="127"/>
      <c r="G23" s="127"/>
      <c r="H23" s="127"/>
      <c r="I23" s="131"/>
      <c r="J23" s="129"/>
      <c r="K23" s="129"/>
      <c r="L23" s="129"/>
      <c r="M23" s="129"/>
      <c r="N23" s="129"/>
      <c r="O23" s="129"/>
      <c r="P23" s="129"/>
      <c r="Q23" s="129"/>
      <c r="R23" s="8"/>
      <c r="S23" s="127"/>
      <c r="T23" s="5"/>
      <c r="U23" s="5"/>
      <c r="V23" s="5"/>
      <c r="W23" s="5"/>
      <c r="X23" s="5"/>
      <c r="Y23" s="8"/>
      <c r="Z23" s="132"/>
      <c r="AA23" s="448"/>
      <c r="AB23" s="449"/>
      <c r="AC23" s="450"/>
      <c r="AD23" s="139"/>
      <c r="AE23" s="29"/>
      <c r="AF23" s="29"/>
      <c r="AG23" s="29"/>
      <c r="AH23" s="40"/>
      <c r="AI23" s="40"/>
      <c r="AJ23" s="40"/>
      <c r="AK23" s="40"/>
      <c r="AL23" s="40"/>
      <c r="AM23" s="40"/>
      <c r="AN23" s="40"/>
      <c r="AO23" s="41"/>
      <c r="AP23" s="41"/>
      <c r="AQ23" s="41"/>
      <c r="AR23" s="41"/>
      <c r="AS23" s="42"/>
      <c r="AT23" s="43"/>
      <c r="AU23" s="48"/>
      <c r="AV23" s="67"/>
      <c r="AW23" s="67"/>
      <c r="AX23" s="67"/>
      <c r="AY23" s="67"/>
      <c r="AZ23" s="67"/>
      <c r="BA23" s="67"/>
      <c r="BB23" s="67"/>
      <c r="BC23" s="67"/>
      <c r="BD23" s="68"/>
    </row>
    <row r="24" spans="1:56" ht="14.4" customHeight="1">
      <c r="A24" s="70" t="str">
        <f>IF(B24="","",COUNTA($B$8:B24))</f>
        <v/>
      </c>
      <c r="B24" s="8"/>
      <c r="C24" s="127"/>
      <c r="D24" s="127"/>
      <c r="E24" s="127"/>
      <c r="F24" s="127"/>
      <c r="G24" s="127"/>
      <c r="H24" s="127"/>
      <c r="I24" s="131"/>
      <c r="J24" s="129"/>
      <c r="K24" s="129"/>
      <c r="L24" s="129"/>
      <c r="M24" s="129"/>
      <c r="N24" s="129"/>
      <c r="O24" s="129"/>
      <c r="P24" s="129"/>
      <c r="Q24" s="129"/>
      <c r="R24" s="8"/>
      <c r="S24" s="129"/>
      <c r="T24" s="5"/>
      <c r="U24" s="5"/>
      <c r="V24" s="5"/>
      <c r="W24" s="5"/>
      <c r="X24" s="5"/>
      <c r="Y24" s="8"/>
      <c r="Z24" s="132"/>
      <c r="AA24" s="448"/>
      <c r="AB24" s="449"/>
      <c r="AC24" s="450"/>
      <c r="AD24" s="139"/>
      <c r="AE24" s="29"/>
      <c r="AF24" s="29"/>
      <c r="AG24" s="29"/>
      <c r="AH24" s="28"/>
      <c r="AI24" s="28"/>
      <c r="AJ24" s="28"/>
      <c r="AK24" s="28"/>
      <c r="AL24" s="28"/>
      <c r="AM24" s="28"/>
      <c r="AN24" s="28"/>
      <c r="AO24" s="29"/>
      <c r="AP24" s="29"/>
      <c r="AQ24" s="29"/>
      <c r="AR24" s="29"/>
      <c r="AS24" s="31"/>
      <c r="AT24" s="67"/>
      <c r="AU24" s="67"/>
      <c r="AV24" s="67"/>
      <c r="AW24" s="67"/>
      <c r="AX24" s="67"/>
      <c r="AY24" s="67"/>
      <c r="AZ24" s="67"/>
      <c r="BA24" s="67"/>
      <c r="BB24" s="67"/>
      <c r="BC24" s="67"/>
      <c r="BD24" s="68"/>
    </row>
    <row r="25" spans="1:56" ht="14.4" customHeight="1">
      <c r="A25" s="70" t="str">
        <f>IF(B25="","",COUNTA($B$8:B25))</f>
        <v/>
      </c>
      <c r="B25" s="19"/>
      <c r="C25" s="20"/>
      <c r="D25" s="20"/>
      <c r="E25" s="20"/>
      <c r="F25" s="20"/>
      <c r="G25" s="20"/>
      <c r="H25" s="24"/>
      <c r="I25" s="31"/>
      <c r="J25" s="23"/>
      <c r="K25" s="23"/>
      <c r="L25" s="23"/>
      <c r="M25" s="23"/>
      <c r="N25" s="23"/>
      <c r="O25" s="23"/>
      <c r="P25" s="23"/>
      <c r="Q25" s="37"/>
      <c r="R25" s="22"/>
      <c r="S25" s="23"/>
      <c r="T25" s="23"/>
      <c r="U25" s="23"/>
      <c r="V25" s="23"/>
      <c r="W25" s="23"/>
      <c r="X25" s="24"/>
      <c r="Y25" s="440"/>
      <c r="Z25" s="441"/>
      <c r="AA25" s="442"/>
      <c r="AB25" s="443"/>
      <c r="AC25" s="444"/>
      <c r="AD25" s="27"/>
      <c r="AE25" s="29"/>
      <c r="AF25" s="29"/>
      <c r="AG25" s="29"/>
      <c r="AH25" s="28"/>
      <c r="AI25" s="28"/>
      <c r="AJ25" s="28"/>
      <c r="AK25" s="28"/>
      <c r="AL25" s="28"/>
      <c r="AM25" s="28"/>
      <c r="AN25" s="28"/>
      <c r="AO25" s="29"/>
      <c r="AP25" s="29"/>
      <c r="AQ25" s="29"/>
      <c r="AR25" s="29"/>
      <c r="AS25" s="31"/>
      <c r="AT25" s="48"/>
      <c r="AU25" s="67"/>
      <c r="AV25" s="67"/>
      <c r="AW25" s="67"/>
      <c r="AX25" s="67"/>
      <c r="AY25" s="67"/>
      <c r="AZ25" s="67"/>
      <c r="BA25" s="67"/>
      <c r="BB25" s="67"/>
      <c r="BC25" s="67"/>
      <c r="BD25" s="68"/>
    </row>
    <row r="26" spans="1:56" ht="14.4" customHeight="1">
      <c r="A26" s="70" t="str">
        <f>IF(B26="","",COUNTA($B$8:B26))</f>
        <v/>
      </c>
      <c r="B26" s="19"/>
      <c r="C26" s="20"/>
      <c r="D26" s="20"/>
      <c r="E26" s="20"/>
      <c r="F26" s="20"/>
      <c r="G26" s="20"/>
      <c r="H26" s="24"/>
      <c r="I26" s="31"/>
      <c r="J26" s="23"/>
      <c r="K26" s="23"/>
      <c r="L26" s="23"/>
      <c r="M26" s="23"/>
      <c r="N26" s="23"/>
      <c r="O26" s="23"/>
      <c r="P26" s="23"/>
      <c r="Q26" s="37"/>
      <c r="R26" s="22"/>
      <c r="S26" s="23"/>
      <c r="T26" s="23"/>
      <c r="U26" s="23"/>
      <c r="V26" s="23"/>
      <c r="W26" s="23"/>
      <c r="X26" s="24"/>
      <c r="Y26" s="440"/>
      <c r="Z26" s="441"/>
      <c r="AA26" s="442"/>
      <c r="AB26" s="443"/>
      <c r="AC26" s="444"/>
      <c r="AD26" s="27"/>
      <c r="AE26" s="29"/>
      <c r="AF26" s="29"/>
      <c r="AG26" s="29"/>
      <c r="AH26" s="28"/>
      <c r="AI26" s="28"/>
      <c r="AJ26" s="28"/>
      <c r="AK26" s="28"/>
      <c r="AL26" s="28"/>
      <c r="AM26" s="28"/>
      <c r="AN26" s="28"/>
      <c r="AO26" s="29"/>
      <c r="AP26" s="29"/>
      <c r="AQ26" s="29"/>
      <c r="AR26" s="29"/>
      <c r="AS26" s="31"/>
      <c r="AT26" s="67"/>
      <c r="AU26" s="67"/>
      <c r="AV26" s="67"/>
      <c r="AW26" s="67"/>
      <c r="AX26" s="67"/>
      <c r="AY26" s="67"/>
      <c r="AZ26" s="67"/>
      <c r="BA26" s="67"/>
      <c r="BB26" s="67"/>
      <c r="BC26" s="67"/>
      <c r="BD26" s="68"/>
    </row>
    <row r="27" spans="1:56" ht="14.4" customHeight="1">
      <c r="A27" s="70" t="str">
        <f>IF(B27="","",COUNTA($B$8:B27))</f>
        <v/>
      </c>
      <c r="B27" s="19"/>
      <c r="C27" s="20"/>
      <c r="D27" s="20"/>
      <c r="E27" s="20"/>
      <c r="F27" s="20"/>
      <c r="G27" s="20"/>
      <c r="H27" s="24"/>
      <c r="I27" s="31"/>
      <c r="J27" s="23"/>
      <c r="K27" s="23"/>
      <c r="L27" s="23"/>
      <c r="M27" s="23"/>
      <c r="N27" s="23"/>
      <c r="O27" s="23"/>
      <c r="P27" s="23"/>
      <c r="Q27" s="37"/>
      <c r="R27" s="22"/>
      <c r="S27" s="23"/>
      <c r="T27" s="23"/>
      <c r="U27" s="23"/>
      <c r="V27" s="23"/>
      <c r="W27" s="23"/>
      <c r="X27" s="24"/>
      <c r="Y27" s="440"/>
      <c r="Z27" s="441"/>
      <c r="AA27" s="442"/>
      <c r="AB27" s="443"/>
      <c r="AC27" s="444"/>
      <c r="AD27" s="51"/>
      <c r="AE27" s="29"/>
      <c r="AF27" s="29"/>
      <c r="AG27" s="29"/>
      <c r="AH27" s="40"/>
      <c r="AI27" s="40"/>
      <c r="AJ27" s="28"/>
      <c r="AK27" s="28"/>
      <c r="AL27" s="28"/>
      <c r="AM27" s="28"/>
      <c r="AN27" s="28"/>
      <c r="AO27" s="29"/>
      <c r="AP27" s="29"/>
      <c r="AQ27" s="29"/>
      <c r="AR27" s="29"/>
      <c r="AS27" s="31"/>
      <c r="AT27" s="67"/>
      <c r="AU27" s="67"/>
      <c r="AV27" s="67"/>
      <c r="AW27" s="67"/>
      <c r="AX27" s="67"/>
      <c r="AY27" s="67"/>
      <c r="AZ27" s="67"/>
      <c r="BA27" s="67"/>
      <c r="BB27" s="67"/>
      <c r="BC27" s="67"/>
      <c r="BD27" s="68"/>
    </row>
    <row r="28" spans="1:56" ht="14.4" customHeight="1">
      <c r="A28" s="70" t="str">
        <f>IF(B28="","",COUNTA($B$8:B28))</f>
        <v/>
      </c>
      <c r="B28" s="19"/>
      <c r="C28" s="20"/>
      <c r="D28" s="20"/>
      <c r="E28" s="20"/>
      <c r="F28" s="20"/>
      <c r="G28" s="20"/>
      <c r="H28" s="24"/>
      <c r="I28" s="31"/>
      <c r="J28" s="23"/>
      <c r="K28" s="23"/>
      <c r="L28" s="23"/>
      <c r="M28" s="23"/>
      <c r="N28" s="23"/>
      <c r="O28" s="23"/>
      <c r="P28" s="23"/>
      <c r="Q28" s="37"/>
      <c r="R28" s="22"/>
      <c r="S28" s="23"/>
      <c r="T28" s="23"/>
      <c r="U28" s="23"/>
      <c r="V28" s="23"/>
      <c r="W28" s="23"/>
      <c r="X28" s="24"/>
      <c r="Y28" s="440"/>
      <c r="Z28" s="441"/>
      <c r="AA28" s="442"/>
      <c r="AB28" s="443"/>
      <c r="AC28" s="444"/>
      <c r="AD28" s="51"/>
      <c r="AE28" s="29"/>
      <c r="AF28" s="29"/>
      <c r="AG28" s="29"/>
      <c r="AH28" s="28"/>
      <c r="AI28" s="28"/>
      <c r="AJ28" s="28"/>
      <c r="AK28" s="28"/>
      <c r="AL28" s="40"/>
      <c r="AM28" s="40"/>
      <c r="AN28" s="40"/>
      <c r="AO28" s="41"/>
      <c r="AP28" s="41"/>
      <c r="AQ28" s="41"/>
      <c r="AR28" s="41"/>
      <c r="AS28" s="42"/>
      <c r="AT28" s="43"/>
      <c r="AU28" s="67"/>
      <c r="AV28" s="67"/>
      <c r="AW28" s="67"/>
      <c r="AX28" s="67"/>
      <c r="AY28" s="67"/>
      <c r="AZ28" s="67"/>
      <c r="BA28" s="67"/>
      <c r="BB28" s="67"/>
      <c r="BC28" s="67"/>
      <c r="BD28" s="68"/>
    </row>
    <row r="29" spans="1:56" ht="14.4" customHeight="1">
      <c r="A29" s="70" t="str">
        <f>IF(B29="","",COUNTA($B$8:B29))</f>
        <v/>
      </c>
      <c r="B29" s="19"/>
      <c r="C29" s="20"/>
      <c r="D29" s="20"/>
      <c r="E29" s="20"/>
      <c r="F29" s="20"/>
      <c r="G29" s="20"/>
      <c r="H29" s="24"/>
      <c r="I29" s="31"/>
      <c r="J29" s="23"/>
      <c r="K29" s="23"/>
      <c r="L29" s="23"/>
      <c r="M29" s="23"/>
      <c r="N29" s="23"/>
      <c r="O29" s="23"/>
      <c r="P29" s="23"/>
      <c r="Q29" s="37"/>
      <c r="R29" s="22"/>
      <c r="S29" s="23"/>
      <c r="T29" s="23"/>
      <c r="U29" s="23"/>
      <c r="V29" s="23"/>
      <c r="W29" s="23"/>
      <c r="X29" s="24"/>
      <c r="Y29" s="440"/>
      <c r="Z29" s="441"/>
      <c r="AA29" s="442"/>
      <c r="AB29" s="443"/>
      <c r="AC29" s="444"/>
      <c r="AD29" s="51"/>
      <c r="AE29" s="29"/>
      <c r="AF29" s="29"/>
      <c r="AG29" s="29"/>
      <c r="AH29" s="40"/>
      <c r="AI29" s="40"/>
      <c r="AJ29" s="40"/>
      <c r="AK29" s="40"/>
      <c r="AL29" s="40"/>
      <c r="AM29" s="40"/>
      <c r="AN29" s="40"/>
      <c r="AO29" s="41"/>
      <c r="AP29" s="41"/>
      <c r="AQ29" s="41"/>
      <c r="AR29" s="41"/>
      <c r="AS29" s="42"/>
      <c r="AT29" s="43"/>
      <c r="AU29" s="48"/>
      <c r="AV29" s="48"/>
      <c r="AW29" s="48"/>
      <c r="AX29" s="48"/>
      <c r="AY29" s="48"/>
      <c r="AZ29" s="48"/>
      <c r="BA29" s="48"/>
      <c r="BB29" s="48"/>
      <c r="BC29" s="48"/>
      <c r="BD29" s="66"/>
    </row>
    <row r="30" spans="1:56" ht="14.4" customHeight="1">
      <c r="A30" s="70" t="str">
        <f>IF(B30="","",COUNTA($B$8:B30))</f>
        <v/>
      </c>
      <c r="B30" s="19"/>
      <c r="C30" s="20"/>
      <c r="D30" s="20"/>
      <c r="E30" s="20"/>
      <c r="F30" s="20"/>
      <c r="G30" s="20"/>
      <c r="H30" s="24"/>
      <c r="I30" s="31"/>
      <c r="J30" s="23"/>
      <c r="K30" s="23"/>
      <c r="L30" s="23"/>
      <c r="M30" s="23"/>
      <c r="N30" s="23"/>
      <c r="O30" s="23"/>
      <c r="P30" s="23"/>
      <c r="Q30" s="37"/>
      <c r="R30" s="22"/>
      <c r="S30" s="23"/>
      <c r="T30" s="23"/>
      <c r="U30" s="23"/>
      <c r="V30" s="23"/>
      <c r="W30" s="23"/>
      <c r="X30" s="24"/>
      <c r="Y30" s="440"/>
      <c r="Z30" s="441"/>
      <c r="AA30" s="442"/>
      <c r="AB30" s="443"/>
      <c r="AC30" s="444"/>
      <c r="AD30" s="27"/>
      <c r="AE30" s="29"/>
      <c r="AF30" s="29"/>
      <c r="AG30" s="29"/>
      <c r="AH30" s="28"/>
      <c r="AI30" s="28"/>
      <c r="AJ30" s="28"/>
      <c r="AK30" s="28"/>
      <c r="AL30" s="28"/>
      <c r="AM30" s="28"/>
      <c r="AN30" s="28"/>
      <c r="AO30" s="29"/>
      <c r="AP30" s="29"/>
      <c r="AQ30" s="29"/>
      <c r="AR30" s="29"/>
      <c r="AS30" s="31"/>
      <c r="AT30" s="67"/>
      <c r="AU30" s="67"/>
      <c r="AV30" s="67"/>
      <c r="AW30" s="67"/>
      <c r="AX30" s="67"/>
      <c r="AY30" s="67"/>
      <c r="AZ30" s="67"/>
      <c r="BA30" s="67"/>
      <c r="BB30" s="67"/>
      <c r="BC30" s="67"/>
      <c r="BD30" s="68"/>
    </row>
    <row r="31" spans="1:56" ht="14.4" customHeight="1">
      <c r="A31" s="70" t="str">
        <f>IF(B31="","",COUNTA($B$8:B31))</f>
        <v/>
      </c>
      <c r="B31" s="19"/>
      <c r="C31" s="20"/>
      <c r="D31" s="20"/>
      <c r="E31" s="20"/>
      <c r="F31" s="20"/>
      <c r="G31" s="20"/>
      <c r="H31" s="24"/>
      <c r="I31" s="31"/>
      <c r="J31" s="23"/>
      <c r="K31" s="23"/>
      <c r="L31" s="23"/>
      <c r="M31" s="23"/>
      <c r="N31" s="23"/>
      <c r="O31" s="23"/>
      <c r="P31" s="23"/>
      <c r="Q31" s="37"/>
      <c r="R31" s="22"/>
      <c r="S31" s="23"/>
      <c r="T31" s="23"/>
      <c r="U31" s="23"/>
      <c r="V31" s="23"/>
      <c r="W31" s="23"/>
      <c r="X31" s="37"/>
      <c r="Y31" s="440"/>
      <c r="Z31" s="441"/>
      <c r="AA31" s="442"/>
      <c r="AB31" s="443"/>
      <c r="AC31" s="444"/>
      <c r="AD31" s="51"/>
      <c r="AE31" s="29"/>
      <c r="AF31" s="29"/>
      <c r="AG31" s="29"/>
      <c r="AH31" s="40"/>
      <c r="AI31" s="40"/>
      <c r="AJ31" s="40"/>
      <c r="AK31" s="40"/>
      <c r="AL31" s="40"/>
      <c r="AM31" s="40"/>
      <c r="AN31" s="40"/>
      <c r="AO31" s="41"/>
      <c r="AP31" s="41"/>
      <c r="AQ31" s="41"/>
      <c r="AR31" s="41"/>
      <c r="AS31" s="42"/>
      <c r="AT31" s="43"/>
      <c r="AU31" s="67"/>
      <c r="AV31" s="67"/>
      <c r="AW31" s="67"/>
      <c r="AX31" s="67"/>
      <c r="AY31" s="67"/>
      <c r="AZ31" s="67"/>
      <c r="BA31" s="67"/>
      <c r="BB31" s="67"/>
      <c r="BC31" s="67"/>
      <c r="BD31" s="68"/>
    </row>
    <row r="32" spans="1:56" ht="14.4" customHeight="1">
      <c r="A32" s="70" t="str">
        <f>IF(B32="","",COUNTA($B$8:B32))</f>
        <v/>
      </c>
      <c r="B32" s="19"/>
      <c r="C32" s="20"/>
      <c r="D32" s="20"/>
      <c r="E32" s="20"/>
      <c r="F32" s="20"/>
      <c r="G32" s="20"/>
      <c r="H32" s="24"/>
      <c r="I32" s="31"/>
      <c r="J32" s="23"/>
      <c r="K32" s="23"/>
      <c r="L32" s="23"/>
      <c r="M32" s="23"/>
      <c r="N32" s="23"/>
      <c r="O32" s="23"/>
      <c r="P32" s="23"/>
      <c r="Q32" s="37"/>
      <c r="R32" s="22"/>
      <c r="S32" s="23"/>
      <c r="T32" s="23"/>
      <c r="U32" s="23"/>
      <c r="V32" s="23"/>
      <c r="W32" s="23"/>
      <c r="X32" s="37"/>
      <c r="Y32" s="440"/>
      <c r="Z32" s="441"/>
      <c r="AA32" s="442"/>
      <c r="AB32" s="443"/>
      <c r="AC32" s="444"/>
      <c r="AD32" s="51"/>
      <c r="AE32" s="29"/>
      <c r="AF32" s="29"/>
      <c r="AG32" s="29"/>
      <c r="AH32" s="40"/>
      <c r="AI32" s="40"/>
      <c r="AJ32" s="40"/>
      <c r="AK32" s="40"/>
      <c r="AL32" s="40"/>
      <c r="AM32" s="40"/>
      <c r="AN32" s="40"/>
      <c r="AO32" s="41"/>
      <c r="AP32" s="41"/>
      <c r="AQ32" s="41"/>
      <c r="AR32" s="41"/>
      <c r="AS32" s="42"/>
      <c r="AT32" s="43"/>
      <c r="AU32" s="67"/>
      <c r="AV32" s="67"/>
      <c r="AW32" s="67"/>
      <c r="AX32" s="67"/>
      <c r="AY32" s="67"/>
      <c r="AZ32" s="67"/>
      <c r="BA32" s="67"/>
      <c r="BB32" s="67"/>
      <c r="BC32" s="67"/>
      <c r="BD32" s="68"/>
    </row>
    <row r="33" spans="1:56" ht="14.4" customHeight="1">
      <c r="A33" s="70" t="str">
        <f>IF(B33="","",COUNTA($B$8:B33))</f>
        <v/>
      </c>
      <c r="B33" s="31"/>
      <c r="C33" s="44"/>
      <c r="D33" s="44"/>
      <c r="E33" s="44"/>
      <c r="F33" s="44"/>
      <c r="G33" s="44"/>
      <c r="H33" s="45"/>
      <c r="I33" s="31"/>
      <c r="J33" s="35"/>
      <c r="K33" s="35"/>
      <c r="L33" s="35"/>
      <c r="M33" s="35"/>
      <c r="N33" s="35"/>
      <c r="O33" s="35"/>
      <c r="P33" s="35"/>
      <c r="Q33" s="36"/>
      <c r="R33" s="34"/>
      <c r="S33" s="35"/>
      <c r="T33" s="35"/>
      <c r="U33" s="35"/>
      <c r="V33" s="35"/>
      <c r="W33" s="35"/>
      <c r="X33" s="36"/>
      <c r="Y33" s="440"/>
      <c r="Z33" s="441"/>
      <c r="AA33" s="442"/>
      <c r="AB33" s="443"/>
      <c r="AC33" s="444"/>
      <c r="AD33" s="51"/>
      <c r="AE33" s="29"/>
      <c r="AF33" s="29"/>
      <c r="AG33" s="29"/>
      <c r="AH33" s="28"/>
      <c r="AI33" s="28"/>
      <c r="AJ33" s="28"/>
      <c r="AK33" s="28"/>
      <c r="AL33" s="28"/>
      <c r="AM33" s="28"/>
      <c r="AN33" s="28"/>
      <c r="AO33" s="29"/>
      <c r="AP33" s="29"/>
      <c r="AQ33" s="29"/>
      <c r="AR33" s="29"/>
      <c r="AS33" s="42"/>
      <c r="AT33" s="49"/>
      <c r="AU33" s="48"/>
      <c r="AV33" s="48"/>
      <c r="AW33" s="48"/>
      <c r="AX33" s="48"/>
      <c r="AY33" s="48"/>
      <c r="AZ33" s="48"/>
      <c r="BA33" s="48"/>
      <c r="BB33" s="48"/>
      <c r="BC33" s="48"/>
      <c r="BD33" s="66"/>
    </row>
    <row r="34" spans="1:56" ht="14.4" customHeight="1">
      <c r="A34" s="70" t="str">
        <f>IF(B34="","",COUNTA($B$8:B34))</f>
        <v/>
      </c>
      <c r="B34" s="31"/>
      <c r="C34" s="44"/>
      <c r="D34" s="44"/>
      <c r="E34" s="44"/>
      <c r="F34" s="44"/>
      <c r="G34" s="44"/>
      <c r="H34" s="45"/>
      <c r="I34" s="31"/>
      <c r="J34" s="35"/>
      <c r="K34" s="35"/>
      <c r="L34" s="35"/>
      <c r="M34" s="35"/>
      <c r="N34" s="35"/>
      <c r="O34" s="35"/>
      <c r="P34" s="35"/>
      <c r="Q34" s="36"/>
      <c r="R34" s="34"/>
      <c r="S34" s="35"/>
      <c r="T34" s="35"/>
      <c r="U34" s="35"/>
      <c r="V34" s="35"/>
      <c r="W34" s="35"/>
      <c r="X34" s="36"/>
      <c r="Y34" s="440"/>
      <c r="Z34" s="441"/>
      <c r="AA34" s="442"/>
      <c r="AB34" s="443"/>
      <c r="AC34" s="444"/>
      <c r="AD34" s="51"/>
      <c r="AE34" s="29"/>
      <c r="AF34" s="29"/>
      <c r="AG34" s="29"/>
      <c r="AH34" s="28"/>
      <c r="AI34" s="28"/>
      <c r="AJ34" s="28"/>
      <c r="AK34" s="28"/>
      <c r="AL34" s="28"/>
      <c r="AM34" s="28"/>
      <c r="AN34" s="28"/>
      <c r="AO34" s="29"/>
      <c r="AP34" s="29"/>
      <c r="AQ34" s="29"/>
      <c r="AR34" s="29"/>
      <c r="AS34" s="42"/>
      <c r="AT34" s="49"/>
      <c r="AU34" s="48"/>
      <c r="AV34" s="48"/>
      <c r="AW34" s="48"/>
      <c r="AX34" s="48"/>
      <c r="AY34" s="48"/>
      <c r="AZ34" s="48"/>
      <c r="BA34" s="48"/>
      <c r="BB34" s="48"/>
      <c r="BC34" s="48"/>
      <c r="BD34" s="66"/>
    </row>
    <row r="35" spans="1:56" ht="14.4" customHeight="1">
      <c r="A35" s="70" t="str">
        <f>IF(B35="","",COUNTA($B$8:B35))</f>
        <v/>
      </c>
      <c r="B35" s="19"/>
      <c r="C35" s="20"/>
      <c r="D35" s="20"/>
      <c r="E35" s="20"/>
      <c r="F35" s="20"/>
      <c r="G35" s="20"/>
      <c r="H35" s="24"/>
      <c r="I35" s="31"/>
      <c r="J35" s="23"/>
      <c r="K35" s="23"/>
      <c r="L35" s="23"/>
      <c r="M35" s="23"/>
      <c r="N35" s="23"/>
      <c r="O35" s="23"/>
      <c r="P35" s="23"/>
      <c r="Q35" s="37"/>
      <c r="R35" s="22"/>
      <c r="S35" s="23"/>
      <c r="T35" s="23"/>
      <c r="U35" s="23"/>
      <c r="V35" s="23"/>
      <c r="W35" s="23"/>
      <c r="X35" s="37"/>
      <c r="Y35" s="440"/>
      <c r="Z35" s="441"/>
      <c r="AA35" s="442"/>
      <c r="AB35" s="443"/>
      <c r="AC35" s="444"/>
      <c r="AD35" s="51"/>
      <c r="AE35" s="29"/>
      <c r="AF35" s="29"/>
      <c r="AG35" s="29"/>
      <c r="AH35" s="40"/>
      <c r="AI35" s="40"/>
      <c r="AJ35" s="40"/>
      <c r="AK35" s="40"/>
      <c r="AL35" s="40"/>
      <c r="AM35" s="40"/>
      <c r="AN35" s="40"/>
      <c r="AO35" s="41"/>
      <c r="AP35" s="41"/>
      <c r="AQ35" s="41"/>
      <c r="AR35" s="41"/>
      <c r="AS35" s="42"/>
      <c r="AT35" s="43"/>
      <c r="AU35" s="67"/>
      <c r="AV35" s="67"/>
      <c r="AW35" s="67"/>
      <c r="AX35" s="67"/>
      <c r="AY35" s="67"/>
      <c r="AZ35" s="67"/>
      <c r="BA35" s="67"/>
      <c r="BB35" s="67"/>
      <c r="BC35" s="67"/>
      <c r="BD35" s="68"/>
    </row>
    <row r="36" spans="1:56" ht="14.4" customHeight="1">
      <c r="A36" s="70" t="str">
        <f>IF(B36="","",COUNTA($B$8:B36))</f>
        <v/>
      </c>
      <c r="B36" s="19"/>
      <c r="C36" s="20"/>
      <c r="D36" s="20"/>
      <c r="E36" s="20"/>
      <c r="F36" s="20"/>
      <c r="G36" s="20"/>
      <c r="H36" s="24"/>
      <c r="I36" s="31"/>
      <c r="J36" s="23"/>
      <c r="K36" s="23"/>
      <c r="L36" s="23"/>
      <c r="M36" s="23"/>
      <c r="N36" s="23"/>
      <c r="O36" s="23"/>
      <c r="P36" s="23"/>
      <c r="Q36" s="37"/>
      <c r="R36" s="22"/>
      <c r="S36" s="23"/>
      <c r="T36" s="23"/>
      <c r="U36" s="23"/>
      <c r="V36" s="23"/>
      <c r="W36" s="23"/>
      <c r="X36" s="37"/>
      <c r="Y36" s="440"/>
      <c r="Z36" s="441"/>
      <c r="AA36" s="442"/>
      <c r="AB36" s="443"/>
      <c r="AC36" s="444"/>
      <c r="AD36" s="51"/>
      <c r="AE36" s="29"/>
      <c r="AF36" s="29"/>
      <c r="AG36" s="29"/>
      <c r="AH36" s="40"/>
      <c r="AI36" s="40"/>
      <c r="AJ36" s="40"/>
      <c r="AK36" s="40"/>
      <c r="AL36" s="40"/>
      <c r="AM36" s="40"/>
      <c r="AN36" s="40"/>
      <c r="AO36" s="41"/>
      <c r="AP36" s="41"/>
      <c r="AQ36" s="41"/>
      <c r="AR36" s="41"/>
      <c r="AS36" s="42"/>
      <c r="AT36" s="43"/>
      <c r="AU36" s="67"/>
      <c r="AV36" s="67"/>
      <c r="AW36" s="67"/>
      <c r="AX36" s="67"/>
      <c r="AY36" s="67"/>
      <c r="AZ36" s="67"/>
      <c r="BA36" s="67"/>
      <c r="BB36" s="67"/>
      <c r="BC36" s="67"/>
      <c r="BD36" s="68"/>
    </row>
    <row r="37" spans="1:56" ht="14.4" customHeight="1">
      <c r="A37" s="70" t="str">
        <f>IF(B37="","",COUNTA($B$8:B37))</f>
        <v/>
      </c>
      <c r="B37" s="19"/>
      <c r="C37" s="20"/>
      <c r="D37" s="20"/>
      <c r="E37" s="20"/>
      <c r="F37" s="20"/>
      <c r="G37" s="20"/>
      <c r="H37" s="24"/>
      <c r="I37" s="31"/>
      <c r="J37" s="23"/>
      <c r="K37" s="23"/>
      <c r="L37" s="23"/>
      <c r="M37" s="23"/>
      <c r="N37" s="23"/>
      <c r="O37" s="23"/>
      <c r="P37" s="23"/>
      <c r="Q37" s="37"/>
      <c r="R37" s="22"/>
      <c r="S37" s="23"/>
      <c r="T37" s="23"/>
      <c r="U37" s="23"/>
      <c r="V37" s="23"/>
      <c r="W37" s="23"/>
      <c r="X37" s="37"/>
      <c r="Y37" s="440"/>
      <c r="Z37" s="441"/>
      <c r="AA37" s="442"/>
      <c r="AB37" s="443"/>
      <c r="AC37" s="444"/>
      <c r="AD37" s="51"/>
      <c r="AE37" s="29"/>
      <c r="AF37" s="29"/>
      <c r="AG37" s="29"/>
      <c r="AH37" s="40"/>
      <c r="AI37" s="40"/>
      <c r="AJ37" s="40"/>
      <c r="AK37" s="40"/>
      <c r="AL37" s="40"/>
      <c r="AM37" s="40"/>
      <c r="AN37" s="40"/>
      <c r="AO37" s="41"/>
      <c r="AP37" s="41"/>
      <c r="AQ37" s="41"/>
      <c r="AR37" s="41"/>
      <c r="AS37" s="42"/>
      <c r="AT37" s="43"/>
      <c r="AU37" s="67"/>
      <c r="AV37" s="67"/>
      <c r="AW37" s="67"/>
      <c r="AX37" s="67"/>
      <c r="AY37" s="67"/>
      <c r="AZ37" s="67"/>
      <c r="BA37" s="67"/>
      <c r="BB37" s="67"/>
      <c r="BC37" s="67"/>
      <c r="BD37" s="68"/>
    </row>
    <row r="38" spans="1:56" ht="14.4" customHeight="1">
      <c r="A38" s="70" t="str">
        <f>IF(B38="","",COUNTA($B$8:B38))</f>
        <v/>
      </c>
      <c r="B38" s="19"/>
      <c r="C38" s="20"/>
      <c r="D38" s="20"/>
      <c r="E38" s="20"/>
      <c r="F38" s="20"/>
      <c r="G38" s="20"/>
      <c r="H38" s="24"/>
      <c r="I38" s="31"/>
      <c r="J38" s="23"/>
      <c r="K38" s="23"/>
      <c r="L38" s="23"/>
      <c r="M38" s="23"/>
      <c r="N38" s="23"/>
      <c r="O38" s="23"/>
      <c r="P38" s="23"/>
      <c r="Q38" s="37"/>
      <c r="R38" s="22"/>
      <c r="S38" s="23"/>
      <c r="T38" s="23"/>
      <c r="U38" s="23"/>
      <c r="V38" s="23"/>
      <c r="W38" s="23"/>
      <c r="X38" s="37"/>
      <c r="Y38" s="440"/>
      <c r="Z38" s="441"/>
      <c r="AA38" s="442"/>
      <c r="AB38" s="443"/>
      <c r="AC38" s="444"/>
      <c r="AD38" s="51"/>
      <c r="AE38" s="29"/>
      <c r="AF38" s="29"/>
      <c r="AG38" s="29"/>
      <c r="AH38" s="40"/>
      <c r="AI38" s="40"/>
      <c r="AJ38" s="40"/>
      <c r="AK38" s="40"/>
      <c r="AL38" s="40"/>
      <c r="AM38" s="40"/>
      <c r="AN38" s="40"/>
      <c r="AO38" s="41"/>
      <c r="AP38" s="41"/>
      <c r="AQ38" s="41"/>
      <c r="AR38" s="41"/>
      <c r="AS38" s="42"/>
      <c r="AT38" s="43"/>
      <c r="AU38" s="67"/>
      <c r="AV38" s="67"/>
      <c r="AW38" s="67"/>
      <c r="AX38" s="67"/>
      <c r="AY38" s="67"/>
      <c r="AZ38" s="67"/>
      <c r="BA38" s="67"/>
      <c r="BB38" s="67"/>
      <c r="BC38" s="67"/>
      <c r="BD38" s="68"/>
    </row>
    <row r="39" spans="1:56" ht="14.4" customHeight="1">
      <c r="A39" s="70" t="str">
        <f>IF(B39="","",COUNTA($B$8:B39))</f>
        <v/>
      </c>
      <c r="B39" s="19"/>
      <c r="C39" s="20"/>
      <c r="D39" s="20"/>
      <c r="E39" s="20"/>
      <c r="F39" s="20"/>
      <c r="G39" s="20"/>
      <c r="H39" s="24"/>
      <c r="I39" s="31"/>
      <c r="J39" s="23"/>
      <c r="K39" s="23"/>
      <c r="L39" s="23"/>
      <c r="M39" s="23"/>
      <c r="N39" s="23"/>
      <c r="O39" s="23"/>
      <c r="P39" s="23"/>
      <c r="Q39" s="37"/>
      <c r="R39" s="22"/>
      <c r="S39" s="23"/>
      <c r="T39" s="23"/>
      <c r="U39" s="23"/>
      <c r="V39" s="23"/>
      <c r="W39" s="23"/>
      <c r="X39" s="37"/>
      <c r="Y39" s="440"/>
      <c r="Z39" s="441"/>
      <c r="AA39" s="442"/>
      <c r="AB39" s="443"/>
      <c r="AC39" s="444"/>
      <c r="AD39" s="51"/>
      <c r="AE39" s="29"/>
      <c r="AF39" s="29"/>
      <c r="AG39" s="29"/>
      <c r="AH39" s="40"/>
      <c r="AI39" s="40"/>
      <c r="AJ39" s="40"/>
      <c r="AK39" s="40"/>
      <c r="AL39" s="40"/>
      <c r="AM39" s="40"/>
      <c r="AN39" s="40"/>
      <c r="AO39" s="41"/>
      <c r="AP39" s="41"/>
      <c r="AQ39" s="41"/>
      <c r="AR39" s="41"/>
      <c r="AS39" s="42"/>
      <c r="AT39" s="43"/>
      <c r="AU39" s="67"/>
      <c r="AV39" s="67"/>
      <c r="AW39" s="67"/>
      <c r="AX39" s="67"/>
      <c r="AY39" s="67"/>
      <c r="AZ39" s="67"/>
      <c r="BA39" s="67"/>
      <c r="BB39" s="67"/>
      <c r="BC39" s="67"/>
      <c r="BD39" s="68"/>
    </row>
    <row r="40" spans="1:56" ht="14.4" customHeight="1">
      <c r="A40" s="70" t="str">
        <f>IF(B40="","",COUNTA($B$8:B40))</f>
        <v/>
      </c>
      <c r="B40" s="19"/>
      <c r="C40" s="20"/>
      <c r="D40" s="20"/>
      <c r="E40" s="20"/>
      <c r="F40" s="20"/>
      <c r="G40" s="20"/>
      <c r="H40" s="24"/>
      <c r="I40" s="31"/>
      <c r="J40" s="23"/>
      <c r="K40" s="23"/>
      <c r="L40" s="23"/>
      <c r="M40" s="23"/>
      <c r="N40" s="23"/>
      <c r="O40" s="23"/>
      <c r="P40" s="23"/>
      <c r="Q40" s="37"/>
      <c r="R40" s="22"/>
      <c r="S40" s="23"/>
      <c r="T40" s="23"/>
      <c r="U40" s="23"/>
      <c r="V40" s="23"/>
      <c r="W40" s="23"/>
      <c r="X40" s="37"/>
      <c r="Y40" s="440"/>
      <c r="Z40" s="441"/>
      <c r="AA40" s="442"/>
      <c r="AB40" s="443"/>
      <c r="AC40" s="444"/>
      <c r="AD40" s="51"/>
      <c r="AE40" s="29"/>
      <c r="AF40" s="29"/>
      <c r="AG40" s="29"/>
      <c r="AH40" s="40"/>
      <c r="AI40" s="40"/>
      <c r="AJ40" s="40"/>
      <c r="AK40" s="40"/>
      <c r="AL40" s="40"/>
      <c r="AM40" s="40"/>
      <c r="AN40" s="40"/>
      <c r="AO40" s="41"/>
      <c r="AP40" s="41"/>
      <c r="AQ40" s="41"/>
      <c r="AR40" s="41"/>
      <c r="AS40" s="42"/>
      <c r="AT40" s="43"/>
      <c r="AU40" s="67"/>
      <c r="AV40" s="67"/>
      <c r="AW40" s="67"/>
      <c r="AX40" s="67"/>
      <c r="AY40" s="67"/>
      <c r="AZ40" s="67"/>
      <c r="BA40" s="67"/>
      <c r="BB40" s="67"/>
      <c r="BC40" s="67"/>
      <c r="BD40" s="68"/>
    </row>
    <row r="41" spans="1:56" ht="14.4" customHeight="1">
      <c r="A41" s="70" t="str">
        <f>IF(B41="","",COUNTA($B$8:B41))</f>
        <v/>
      </c>
      <c r="B41" s="19"/>
      <c r="C41" s="20"/>
      <c r="D41" s="20"/>
      <c r="E41" s="20"/>
      <c r="F41" s="20"/>
      <c r="G41" s="20"/>
      <c r="H41" s="24"/>
      <c r="I41" s="31"/>
      <c r="J41" s="23"/>
      <c r="K41" s="23"/>
      <c r="L41" s="23"/>
      <c r="M41" s="23"/>
      <c r="N41" s="23"/>
      <c r="O41" s="23"/>
      <c r="P41" s="23"/>
      <c r="Q41" s="37"/>
      <c r="R41" s="22"/>
      <c r="S41" s="23"/>
      <c r="T41" s="23"/>
      <c r="U41" s="23"/>
      <c r="V41" s="23"/>
      <c r="W41" s="23"/>
      <c r="X41" s="37"/>
      <c r="Y41" s="440"/>
      <c r="Z41" s="441"/>
      <c r="AA41" s="442"/>
      <c r="AB41" s="443"/>
      <c r="AC41" s="444"/>
      <c r="AD41" s="51"/>
      <c r="AE41" s="29"/>
      <c r="AF41" s="29"/>
      <c r="AG41" s="29"/>
      <c r="AH41" s="40"/>
      <c r="AI41" s="40"/>
      <c r="AJ41" s="40"/>
      <c r="AK41" s="40"/>
      <c r="AL41" s="40"/>
      <c r="AM41" s="40"/>
      <c r="AN41" s="40"/>
      <c r="AO41" s="41"/>
      <c r="AP41" s="41"/>
      <c r="AQ41" s="41"/>
      <c r="AR41" s="41"/>
      <c r="AS41" s="42"/>
      <c r="AT41" s="43"/>
      <c r="AU41" s="67"/>
      <c r="AV41" s="67"/>
      <c r="AW41" s="67"/>
      <c r="AX41" s="67"/>
      <c r="AY41" s="67"/>
      <c r="AZ41" s="67"/>
      <c r="BA41" s="67"/>
      <c r="BB41" s="67"/>
      <c r="BC41" s="67"/>
      <c r="BD41" s="68"/>
    </row>
    <row r="42" spans="1:56" ht="14.4" customHeight="1">
      <c r="A42" s="70" t="str">
        <f>IF(B42="","",COUNTA($B$8:B42))</f>
        <v/>
      </c>
      <c r="B42" s="19"/>
      <c r="C42" s="20"/>
      <c r="D42" s="20"/>
      <c r="E42" s="20"/>
      <c r="F42" s="20"/>
      <c r="G42" s="20"/>
      <c r="H42" s="24"/>
      <c r="I42" s="31"/>
      <c r="J42" s="23"/>
      <c r="K42" s="23"/>
      <c r="L42" s="23"/>
      <c r="M42" s="23"/>
      <c r="N42" s="23"/>
      <c r="O42" s="23"/>
      <c r="P42" s="23"/>
      <c r="Q42" s="37"/>
      <c r="R42" s="22"/>
      <c r="S42" s="23"/>
      <c r="T42" s="23"/>
      <c r="U42" s="23"/>
      <c r="V42" s="23"/>
      <c r="W42" s="23"/>
      <c r="X42" s="37"/>
      <c r="Y42" s="440"/>
      <c r="Z42" s="441"/>
      <c r="AA42" s="442"/>
      <c r="AB42" s="443"/>
      <c r="AC42" s="444"/>
      <c r="AD42" s="51"/>
      <c r="AE42" s="29"/>
      <c r="AF42" s="29"/>
      <c r="AG42" s="29"/>
      <c r="AH42" s="40"/>
      <c r="AI42" s="40"/>
      <c r="AJ42" s="40"/>
      <c r="AK42" s="40"/>
      <c r="AL42" s="40"/>
      <c r="AM42" s="40"/>
      <c r="AN42" s="40"/>
      <c r="AO42" s="41"/>
      <c r="AP42" s="41"/>
      <c r="AQ42" s="41"/>
      <c r="AR42" s="41"/>
      <c r="AS42" s="42"/>
      <c r="AT42" s="43"/>
      <c r="AU42" s="67"/>
      <c r="AV42" s="67"/>
      <c r="AW42" s="67"/>
      <c r="AX42" s="67"/>
      <c r="AY42" s="67"/>
      <c r="AZ42" s="67"/>
      <c r="BA42" s="67"/>
      <c r="BB42" s="67"/>
      <c r="BC42" s="67"/>
      <c r="BD42" s="68"/>
    </row>
    <row r="43" spans="1:56" ht="14.4" customHeight="1">
      <c r="A43" s="70" t="str">
        <f>IF(B43="","",COUNTA($B$8:B43))</f>
        <v/>
      </c>
      <c r="B43" s="19"/>
      <c r="C43" s="20"/>
      <c r="D43" s="20"/>
      <c r="E43" s="20"/>
      <c r="F43" s="20"/>
      <c r="G43" s="20"/>
      <c r="H43" s="24"/>
      <c r="I43" s="31"/>
      <c r="J43" s="23"/>
      <c r="K43" s="23"/>
      <c r="L43" s="23"/>
      <c r="M43" s="23"/>
      <c r="N43" s="23"/>
      <c r="O43" s="23"/>
      <c r="P43" s="23"/>
      <c r="Q43" s="37"/>
      <c r="R43" s="22"/>
      <c r="S43" s="23"/>
      <c r="T43" s="23"/>
      <c r="U43" s="23"/>
      <c r="V43" s="23"/>
      <c r="W43" s="23"/>
      <c r="X43" s="37"/>
      <c r="Y43" s="440"/>
      <c r="Z43" s="441"/>
      <c r="AA43" s="442"/>
      <c r="AB43" s="443"/>
      <c r="AC43" s="444"/>
      <c r="AD43" s="51"/>
      <c r="AE43" s="29"/>
      <c r="AF43" s="29"/>
      <c r="AG43" s="29"/>
      <c r="AH43" s="40"/>
      <c r="AI43" s="40"/>
      <c r="AJ43" s="40"/>
      <c r="AK43" s="40"/>
      <c r="AL43" s="40"/>
      <c r="AM43" s="40"/>
      <c r="AN43" s="40"/>
      <c r="AO43" s="41"/>
      <c r="AP43" s="41"/>
      <c r="AQ43" s="41"/>
      <c r="AR43" s="41"/>
      <c r="AS43" s="42"/>
      <c r="AT43" s="43"/>
      <c r="AU43" s="67"/>
      <c r="AV43" s="67"/>
      <c r="AW43" s="67"/>
      <c r="AX43" s="67"/>
      <c r="AY43" s="67"/>
      <c r="AZ43" s="67"/>
      <c r="BA43" s="67"/>
      <c r="BB43" s="67"/>
      <c r="BC43" s="67"/>
      <c r="BD43" s="68"/>
    </row>
    <row r="44" spans="1:56" ht="14.4" customHeight="1">
      <c r="A44" s="70" t="str">
        <f>IF(B44="","",COUNTA($B$8:B44))</f>
        <v/>
      </c>
      <c r="B44" s="19"/>
      <c r="C44" s="20"/>
      <c r="D44" s="20"/>
      <c r="E44" s="20"/>
      <c r="F44" s="20"/>
      <c r="G44" s="20"/>
      <c r="H44" s="24"/>
      <c r="I44" s="31"/>
      <c r="J44" s="23"/>
      <c r="K44" s="23"/>
      <c r="L44" s="23"/>
      <c r="M44" s="23"/>
      <c r="N44" s="23"/>
      <c r="O44" s="23"/>
      <c r="P44" s="23"/>
      <c r="Q44" s="37"/>
      <c r="R44" s="22"/>
      <c r="S44" s="23"/>
      <c r="T44" s="23"/>
      <c r="U44" s="23"/>
      <c r="V44" s="23"/>
      <c r="W44" s="23"/>
      <c r="X44" s="37"/>
      <c r="Y44" s="440"/>
      <c r="Z44" s="441"/>
      <c r="AA44" s="442"/>
      <c r="AB44" s="443"/>
      <c r="AC44" s="444"/>
      <c r="AD44" s="51"/>
      <c r="AE44" s="29"/>
      <c r="AF44" s="29"/>
      <c r="AG44" s="29"/>
      <c r="AH44" s="40"/>
      <c r="AI44" s="40"/>
      <c r="AJ44" s="40"/>
      <c r="AK44" s="40"/>
      <c r="AL44" s="40"/>
      <c r="AM44" s="40"/>
      <c r="AN44" s="40"/>
      <c r="AO44" s="41"/>
      <c r="AP44" s="41"/>
      <c r="AQ44" s="41"/>
      <c r="AR44" s="41"/>
      <c r="AS44" s="42"/>
      <c r="AT44" s="43"/>
      <c r="AU44" s="67"/>
      <c r="AV44" s="67"/>
      <c r="AW44" s="67"/>
      <c r="AX44" s="67"/>
      <c r="AY44" s="67"/>
      <c r="AZ44" s="67"/>
      <c r="BA44" s="67"/>
      <c r="BB44" s="67"/>
      <c r="BC44" s="67"/>
      <c r="BD44" s="68"/>
    </row>
    <row r="45" spans="1:56" ht="14.4" customHeight="1">
      <c r="A45" s="70" t="str">
        <f>IF(B45="","",COUNTA($B$8:B45))</f>
        <v/>
      </c>
      <c r="B45" s="19"/>
      <c r="C45" s="20"/>
      <c r="D45" s="20"/>
      <c r="E45" s="20"/>
      <c r="F45" s="20"/>
      <c r="G45" s="20"/>
      <c r="H45" s="24"/>
      <c r="I45" s="31"/>
      <c r="J45" s="23"/>
      <c r="K45" s="23"/>
      <c r="L45" s="23"/>
      <c r="M45" s="23"/>
      <c r="N45" s="23"/>
      <c r="O45" s="23"/>
      <c r="P45" s="23"/>
      <c r="Q45" s="37"/>
      <c r="R45" s="22"/>
      <c r="S45" s="23"/>
      <c r="T45" s="23"/>
      <c r="U45" s="23"/>
      <c r="V45" s="23"/>
      <c r="W45" s="23"/>
      <c r="X45" s="37"/>
      <c r="Y45" s="440"/>
      <c r="Z45" s="441"/>
      <c r="AA45" s="442"/>
      <c r="AB45" s="443"/>
      <c r="AC45" s="444"/>
      <c r="AD45" s="51"/>
      <c r="AE45" s="29"/>
      <c r="AF45" s="29"/>
      <c r="AG45" s="29"/>
      <c r="AH45" s="40"/>
      <c r="AI45" s="40"/>
      <c r="AJ45" s="40"/>
      <c r="AK45" s="40"/>
      <c r="AL45" s="40"/>
      <c r="AM45" s="40"/>
      <c r="AN45" s="40"/>
      <c r="AO45" s="41"/>
      <c r="AP45" s="41"/>
      <c r="AQ45" s="41"/>
      <c r="AR45" s="41"/>
      <c r="AS45" s="42"/>
      <c r="AT45" s="43"/>
      <c r="AU45" s="67"/>
      <c r="AV45" s="67"/>
      <c r="AW45" s="67"/>
      <c r="AX45" s="67"/>
      <c r="AY45" s="67"/>
      <c r="AZ45" s="67"/>
      <c r="BA45" s="67"/>
      <c r="BB45" s="67"/>
      <c r="BC45" s="67"/>
      <c r="BD45" s="68"/>
    </row>
    <row r="46" spans="1:56" ht="14.4" customHeight="1">
      <c r="A46" s="70" t="str">
        <f>IF(B46="","",COUNTA($B$8:B46))</f>
        <v/>
      </c>
      <c r="B46" s="19"/>
      <c r="C46" s="20"/>
      <c r="D46" s="20"/>
      <c r="E46" s="20"/>
      <c r="F46" s="20"/>
      <c r="G46" s="20"/>
      <c r="H46" s="24"/>
      <c r="I46" s="31"/>
      <c r="J46" s="23"/>
      <c r="K46" s="23"/>
      <c r="L46" s="23"/>
      <c r="M46" s="23"/>
      <c r="N46" s="23"/>
      <c r="O46" s="23"/>
      <c r="P46" s="23"/>
      <c r="Q46" s="37"/>
      <c r="R46" s="22"/>
      <c r="S46" s="23"/>
      <c r="T46" s="23"/>
      <c r="U46" s="23"/>
      <c r="V46" s="23"/>
      <c r="W46" s="23"/>
      <c r="X46" s="37"/>
      <c r="Y46" s="440"/>
      <c r="Z46" s="441"/>
      <c r="AA46" s="442"/>
      <c r="AB46" s="443"/>
      <c r="AC46" s="444"/>
      <c r="AD46" s="51"/>
      <c r="AE46" s="29"/>
      <c r="AF46" s="29"/>
      <c r="AG46" s="29"/>
      <c r="AH46" s="40"/>
      <c r="AI46" s="40"/>
      <c r="AJ46" s="40"/>
      <c r="AK46" s="40"/>
      <c r="AL46" s="40"/>
      <c r="AM46" s="40"/>
      <c r="AN46" s="40"/>
      <c r="AO46" s="41"/>
      <c r="AP46" s="41"/>
      <c r="AQ46" s="41"/>
      <c r="AR46" s="41"/>
      <c r="AS46" s="42"/>
      <c r="AT46" s="43"/>
      <c r="AU46" s="67"/>
      <c r="AV46" s="67"/>
      <c r="AW46" s="67"/>
      <c r="AX46" s="67"/>
      <c r="AY46" s="67"/>
      <c r="AZ46" s="67"/>
      <c r="BA46" s="67"/>
      <c r="BB46" s="67"/>
      <c r="BC46" s="67"/>
      <c r="BD46" s="68"/>
    </row>
  </sheetData>
  <mergeCells count="102">
    <mergeCell ref="Y44:Z44"/>
    <mergeCell ref="AA44:AC44"/>
    <mergeCell ref="Y45:Z45"/>
    <mergeCell ref="AA45:AC45"/>
    <mergeCell ref="Y46:Z46"/>
    <mergeCell ref="AA46:AC46"/>
    <mergeCell ref="Y41:Z41"/>
    <mergeCell ref="AA41:AC41"/>
    <mergeCell ref="Y42:Z42"/>
    <mergeCell ref="AA42:AC42"/>
    <mergeCell ref="Y43:Z43"/>
    <mergeCell ref="AA43:AC43"/>
    <mergeCell ref="Y38:Z38"/>
    <mergeCell ref="AA38:AC38"/>
    <mergeCell ref="Y39:Z39"/>
    <mergeCell ref="AA39:AC39"/>
    <mergeCell ref="Y40:Z40"/>
    <mergeCell ref="AA40:AC40"/>
    <mergeCell ref="Y35:Z35"/>
    <mergeCell ref="AA35:AC35"/>
    <mergeCell ref="Y36:Z36"/>
    <mergeCell ref="AA36:AC36"/>
    <mergeCell ref="Y37:Z37"/>
    <mergeCell ref="AA37:AC37"/>
    <mergeCell ref="Y32:Z32"/>
    <mergeCell ref="AA32:AC32"/>
    <mergeCell ref="Y33:Z33"/>
    <mergeCell ref="AA33:AC33"/>
    <mergeCell ref="Y34:Z34"/>
    <mergeCell ref="AA34:AC34"/>
    <mergeCell ref="Y29:Z29"/>
    <mergeCell ref="AA29:AC29"/>
    <mergeCell ref="Y30:Z30"/>
    <mergeCell ref="AA30:AC30"/>
    <mergeCell ref="Y31:Z31"/>
    <mergeCell ref="AA31:AC31"/>
    <mergeCell ref="Y26:Z26"/>
    <mergeCell ref="AA26:AC26"/>
    <mergeCell ref="Y27:Z27"/>
    <mergeCell ref="AA27:AC27"/>
    <mergeCell ref="Y28:Z28"/>
    <mergeCell ref="AA28:AC28"/>
    <mergeCell ref="AA20:AC20"/>
    <mergeCell ref="AA21:AC21"/>
    <mergeCell ref="AA22:AC22"/>
    <mergeCell ref="AA23:AC23"/>
    <mergeCell ref="AA24:AC24"/>
    <mergeCell ref="Y25:Z25"/>
    <mergeCell ref="AA25:AC25"/>
    <mergeCell ref="Y17:Z17"/>
    <mergeCell ref="AA17:AC17"/>
    <mergeCell ref="Y9:Z9"/>
    <mergeCell ref="AA9:AC9"/>
    <mergeCell ref="AA11:AC11"/>
    <mergeCell ref="Y18:Z18"/>
    <mergeCell ref="AA18:AC18"/>
    <mergeCell ref="Y19:Z19"/>
    <mergeCell ref="AA19:AC19"/>
    <mergeCell ref="Y14:Z14"/>
    <mergeCell ref="AA14:AC14"/>
    <mergeCell ref="Y15:Z15"/>
    <mergeCell ref="AA15:AC15"/>
    <mergeCell ref="Y16:Z16"/>
    <mergeCell ref="AA16:AC16"/>
    <mergeCell ref="Y12:Z12"/>
    <mergeCell ref="AA12:AC12"/>
    <mergeCell ref="Y13:Z13"/>
    <mergeCell ref="AA13:AC13"/>
    <mergeCell ref="AG6:AG7"/>
    <mergeCell ref="AH6:AH7"/>
    <mergeCell ref="Y8:Z8"/>
    <mergeCell ref="AA8:AC8"/>
    <mergeCell ref="AU1:AY1"/>
    <mergeCell ref="AP4:AT4"/>
    <mergeCell ref="AU4:AY4"/>
    <mergeCell ref="AI6:AR6"/>
    <mergeCell ref="AS6:BD7"/>
    <mergeCell ref="AZ4:BD4"/>
    <mergeCell ref="A1:H4"/>
    <mergeCell ref="AZ1:BD1"/>
    <mergeCell ref="I2:Q4"/>
    <mergeCell ref="R2:X4"/>
    <mergeCell ref="Y2:AO3"/>
    <mergeCell ref="AP2:AT2"/>
    <mergeCell ref="AZ2:BD2"/>
    <mergeCell ref="AP3:AT3"/>
    <mergeCell ref="A6:A7"/>
    <mergeCell ref="B6:H7"/>
    <mergeCell ref="I6:Q7"/>
    <mergeCell ref="R6:X7"/>
    <mergeCell ref="Y6:Z7"/>
    <mergeCell ref="AA6:AC7"/>
    <mergeCell ref="AD6:AD7"/>
    <mergeCell ref="AE6:AE7"/>
    <mergeCell ref="AF6:AF7"/>
    <mergeCell ref="AU3:AY3"/>
    <mergeCell ref="AZ3:BD3"/>
    <mergeCell ref="Y4:AO4"/>
    <mergeCell ref="I1:Q1"/>
    <mergeCell ref="R1:X1"/>
    <mergeCell ref="Y1:AO1"/>
    <mergeCell ref="AP1:AT1"/>
  </mergeCells>
  <phoneticPr fontId="5"/>
  <dataValidations count="3">
    <dataValidation imeMode="hiragana" allowBlank="1" showInputMessage="1" showErrorMessage="1" sqref="JI65528:JT65530 TE65528:TP65530 ADA65528:ADL65530 AMW65528:ANH65530 AWS65528:AXD65530 BGO65528:BGZ65530 BQK65528:BQV65530 CAG65528:CAR65530 CKC65528:CKN65530 CTY65528:CUJ65530 DDU65528:DEF65530 DNQ65528:DOB65530 DXM65528:DXX65530 EHI65528:EHT65530 ERE65528:ERP65530 FBA65528:FBL65530 FKW65528:FLH65530 FUS65528:FVD65530 GEO65528:GEZ65530 GOK65528:GOV65530 GYG65528:GYR65530 HIC65528:HIN65530 HRY65528:HSJ65530 IBU65528:ICF65530 ILQ65528:IMB65530 IVM65528:IVX65530 JFI65528:JFT65530 JPE65528:JPP65530 JZA65528:JZL65530 KIW65528:KJH65530 KSS65528:KTD65530 LCO65528:LCZ65530 LMK65528:LMV65530 LWG65528:LWR65530 MGC65528:MGN65530 MPY65528:MQJ65530 MZU65528:NAF65530 NJQ65528:NKB65530 NTM65528:NTX65530 ODI65528:ODT65530 ONE65528:ONP65530 OXA65528:OXL65530 PGW65528:PHH65530 PQS65528:PRD65530 QAO65528:QAZ65530 QKK65528:QKV65530 QUG65528:QUR65530 REC65528:REN65530 RNY65528:ROJ65530 RXU65528:RYF65530 SHQ65528:SIB65530 SRM65528:SRX65530 TBI65528:TBT65530 TLE65528:TLP65530 TVA65528:TVL65530 UEW65528:UFH65530 UOS65528:UPD65530 UYO65528:UYZ65530 VIK65528:VIV65530 VSG65528:VSR65530 WCC65528:WCN65530 WLY65528:WMJ65530 WVU65528:WWF65530 JI131064:JT131066 TE131064:TP131066 ADA131064:ADL131066 AMW131064:ANH131066 AWS131064:AXD131066 BGO131064:BGZ131066 BQK131064:BQV131066 CAG131064:CAR131066 CKC131064:CKN131066 CTY131064:CUJ131066 DDU131064:DEF131066 DNQ131064:DOB131066 DXM131064:DXX131066 EHI131064:EHT131066 ERE131064:ERP131066 FBA131064:FBL131066 FKW131064:FLH131066 FUS131064:FVD131066 GEO131064:GEZ131066 GOK131064:GOV131066 GYG131064:GYR131066 HIC131064:HIN131066 HRY131064:HSJ131066 IBU131064:ICF131066 ILQ131064:IMB131066 IVM131064:IVX131066 JFI131064:JFT131066 JPE131064:JPP131066 JZA131064:JZL131066 KIW131064:KJH131066 KSS131064:KTD131066 LCO131064:LCZ131066 LMK131064:LMV131066 LWG131064:LWR131066 MGC131064:MGN131066 MPY131064:MQJ131066 MZU131064:NAF131066 NJQ131064:NKB131066 NTM131064:NTX131066 ODI131064:ODT131066 ONE131064:ONP131066 OXA131064:OXL131066 PGW131064:PHH131066 PQS131064:PRD131066 QAO131064:QAZ131066 QKK131064:QKV131066 QUG131064:QUR131066 REC131064:REN131066 RNY131064:ROJ131066 RXU131064:RYF131066 SHQ131064:SIB131066 SRM131064:SRX131066 TBI131064:TBT131066 TLE131064:TLP131066 TVA131064:TVL131066 UEW131064:UFH131066 UOS131064:UPD131066 UYO131064:UYZ131066 VIK131064:VIV131066 VSG131064:VSR131066 WCC131064:WCN131066 WLY131064:WMJ131066 WVU131064:WWF131066 JI196600:JT196602 TE196600:TP196602 ADA196600:ADL196602 AMW196600:ANH196602 AWS196600:AXD196602 BGO196600:BGZ196602 BQK196600:BQV196602 CAG196600:CAR196602 CKC196600:CKN196602 CTY196600:CUJ196602 DDU196600:DEF196602 DNQ196600:DOB196602 DXM196600:DXX196602 EHI196600:EHT196602 ERE196600:ERP196602 FBA196600:FBL196602 FKW196600:FLH196602 FUS196600:FVD196602 GEO196600:GEZ196602 GOK196600:GOV196602 GYG196600:GYR196602 HIC196600:HIN196602 HRY196600:HSJ196602 IBU196600:ICF196602 ILQ196600:IMB196602 IVM196600:IVX196602 JFI196600:JFT196602 JPE196600:JPP196602 JZA196600:JZL196602 KIW196600:KJH196602 KSS196600:KTD196602 LCO196600:LCZ196602 LMK196600:LMV196602 LWG196600:LWR196602 MGC196600:MGN196602 MPY196600:MQJ196602 MZU196600:NAF196602 NJQ196600:NKB196602 NTM196600:NTX196602 ODI196600:ODT196602 ONE196600:ONP196602 OXA196600:OXL196602 PGW196600:PHH196602 PQS196600:PRD196602 QAO196600:QAZ196602 QKK196600:QKV196602 QUG196600:QUR196602 REC196600:REN196602 RNY196600:ROJ196602 RXU196600:RYF196602 SHQ196600:SIB196602 SRM196600:SRX196602 TBI196600:TBT196602 TLE196600:TLP196602 TVA196600:TVL196602 UEW196600:UFH196602 UOS196600:UPD196602 UYO196600:UYZ196602 VIK196600:VIV196602 VSG196600:VSR196602 WCC196600:WCN196602 WLY196600:WMJ196602 WVU196600:WWF196602 JI262136:JT262138 TE262136:TP262138 ADA262136:ADL262138 AMW262136:ANH262138 AWS262136:AXD262138 BGO262136:BGZ262138 BQK262136:BQV262138 CAG262136:CAR262138 CKC262136:CKN262138 CTY262136:CUJ262138 DDU262136:DEF262138 DNQ262136:DOB262138 DXM262136:DXX262138 EHI262136:EHT262138 ERE262136:ERP262138 FBA262136:FBL262138 FKW262136:FLH262138 FUS262136:FVD262138 GEO262136:GEZ262138 GOK262136:GOV262138 GYG262136:GYR262138 HIC262136:HIN262138 HRY262136:HSJ262138 IBU262136:ICF262138 ILQ262136:IMB262138 IVM262136:IVX262138 JFI262136:JFT262138 JPE262136:JPP262138 JZA262136:JZL262138 KIW262136:KJH262138 KSS262136:KTD262138 LCO262136:LCZ262138 LMK262136:LMV262138 LWG262136:LWR262138 MGC262136:MGN262138 MPY262136:MQJ262138 MZU262136:NAF262138 NJQ262136:NKB262138 NTM262136:NTX262138 ODI262136:ODT262138 ONE262136:ONP262138 OXA262136:OXL262138 PGW262136:PHH262138 PQS262136:PRD262138 QAO262136:QAZ262138 QKK262136:QKV262138 QUG262136:QUR262138 REC262136:REN262138 RNY262136:ROJ262138 RXU262136:RYF262138 SHQ262136:SIB262138 SRM262136:SRX262138 TBI262136:TBT262138 TLE262136:TLP262138 TVA262136:TVL262138 UEW262136:UFH262138 UOS262136:UPD262138 UYO262136:UYZ262138 VIK262136:VIV262138 VSG262136:VSR262138 WCC262136:WCN262138 WLY262136:WMJ262138 WVU262136:WWF262138 JI327672:JT327674 TE327672:TP327674 ADA327672:ADL327674 AMW327672:ANH327674 AWS327672:AXD327674 BGO327672:BGZ327674 BQK327672:BQV327674 CAG327672:CAR327674 CKC327672:CKN327674 CTY327672:CUJ327674 DDU327672:DEF327674 DNQ327672:DOB327674 DXM327672:DXX327674 EHI327672:EHT327674 ERE327672:ERP327674 FBA327672:FBL327674 FKW327672:FLH327674 FUS327672:FVD327674 GEO327672:GEZ327674 GOK327672:GOV327674 GYG327672:GYR327674 HIC327672:HIN327674 HRY327672:HSJ327674 IBU327672:ICF327674 ILQ327672:IMB327674 IVM327672:IVX327674 JFI327672:JFT327674 JPE327672:JPP327674 JZA327672:JZL327674 KIW327672:KJH327674 KSS327672:KTD327674 LCO327672:LCZ327674 LMK327672:LMV327674 LWG327672:LWR327674 MGC327672:MGN327674 MPY327672:MQJ327674 MZU327672:NAF327674 NJQ327672:NKB327674 NTM327672:NTX327674 ODI327672:ODT327674 ONE327672:ONP327674 OXA327672:OXL327674 PGW327672:PHH327674 PQS327672:PRD327674 QAO327672:QAZ327674 QKK327672:QKV327674 QUG327672:QUR327674 REC327672:REN327674 RNY327672:ROJ327674 RXU327672:RYF327674 SHQ327672:SIB327674 SRM327672:SRX327674 TBI327672:TBT327674 TLE327672:TLP327674 TVA327672:TVL327674 UEW327672:UFH327674 UOS327672:UPD327674 UYO327672:UYZ327674 VIK327672:VIV327674 VSG327672:VSR327674 WCC327672:WCN327674 WLY327672:WMJ327674 WVU327672:WWF327674 JI393208:JT393210 TE393208:TP393210 ADA393208:ADL393210 AMW393208:ANH393210 AWS393208:AXD393210 BGO393208:BGZ393210 BQK393208:BQV393210 CAG393208:CAR393210 CKC393208:CKN393210 CTY393208:CUJ393210 DDU393208:DEF393210 DNQ393208:DOB393210 DXM393208:DXX393210 EHI393208:EHT393210 ERE393208:ERP393210 FBA393208:FBL393210 FKW393208:FLH393210 FUS393208:FVD393210 GEO393208:GEZ393210 GOK393208:GOV393210 GYG393208:GYR393210 HIC393208:HIN393210 HRY393208:HSJ393210 IBU393208:ICF393210 ILQ393208:IMB393210 IVM393208:IVX393210 JFI393208:JFT393210 JPE393208:JPP393210 JZA393208:JZL393210 KIW393208:KJH393210 KSS393208:KTD393210 LCO393208:LCZ393210 LMK393208:LMV393210 LWG393208:LWR393210 MGC393208:MGN393210 MPY393208:MQJ393210 MZU393208:NAF393210 NJQ393208:NKB393210 NTM393208:NTX393210 ODI393208:ODT393210 ONE393208:ONP393210 OXA393208:OXL393210 PGW393208:PHH393210 PQS393208:PRD393210 QAO393208:QAZ393210 QKK393208:QKV393210 QUG393208:QUR393210 REC393208:REN393210 RNY393208:ROJ393210 RXU393208:RYF393210 SHQ393208:SIB393210 SRM393208:SRX393210 TBI393208:TBT393210 TLE393208:TLP393210 TVA393208:TVL393210 UEW393208:UFH393210 UOS393208:UPD393210 UYO393208:UYZ393210 VIK393208:VIV393210 VSG393208:VSR393210 WCC393208:WCN393210 WLY393208:WMJ393210 WVU393208:WWF393210 JI458744:JT458746 TE458744:TP458746 ADA458744:ADL458746 AMW458744:ANH458746 AWS458744:AXD458746 BGO458744:BGZ458746 BQK458744:BQV458746 CAG458744:CAR458746 CKC458744:CKN458746 CTY458744:CUJ458746 DDU458744:DEF458746 DNQ458744:DOB458746 DXM458744:DXX458746 EHI458744:EHT458746 ERE458744:ERP458746 FBA458744:FBL458746 FKW458744:FLH458746 FUS458744:FVD458746 GEO458744:GEZ458746 GOK458744:GOV458746 GYG458744:GYR458746 HIC458744:HIN458746 HRY458744:HSJ458746 IBU458744:ICF458746 ILQ458744:IMB458746 IVM458744:IVX458746 JFI458744:JFT458746 JPE458744:JPP458746 JZA458744:JZL458746 KIW458744:KJH458746 KSS458744:KTD458746 LCO458744:LCZ458746 LMK458744:LMV458746 LWG458744:LWR458746 MGC458744:MGN458746 MPY458744:MQJ458746 MZU458744:NAF458746 NJQ458744:NKB458746 NTM458744:NTX458746 ODI458744:ODT458746 ONE458744:ONP458746 OXA458744:OXL458746 PGW458744:PHH458746 PQS458744:PRD458746 QAO458744:QAZ458746 QKK458744:QKV458746 QUG458744:QUR458746 REC458744:REN458746 RNY458744:ROJ458746 RXU458744:RYF458746 SHQ458744:SIB458746 SRM458744:SRX458746 TBI458744:TBT458746 TLE458744:TLP458746 TVA458744:TVL458746 UEW458744:UFH458746 UOS458744:UPD458746 UYO458744:UYZ458746 VIK458744:VIV458746 VSG458744:VSR458746 WCC458744:WCN458746 WLY458744:WMJ458746 WVU458744:WWF458746 JI524280:JT524282 TE524280:TP524282 ADA524280:ADL524282 AMW524280:ANH524282 AWS524280:AXD524282 BGO524280:BGZ524282 BQK524280:BQV524282 CAG524280:CAR524282 CKC524280:CKN524282 CTY524280:CUJ524282 DDU524280:DEF524282 DNQ524280:DOB524282 DXM524280:DXX524282 EHI524280:EHT524282 ERE524280:ERP524282 FBA524280:FBL524282 FKW524280:FLH524282 FUS524280:FVD524282 GEO524280:GEZ524282 GOK524280:GOV524282 GYG524280:GYR524282 HIC524280:HIN524282 HRY524280:HSJ524282 IBU524280:ICF524282 ILQ524280:IMB524282 IVM524280:IVX524282 JFI524280:JFT524282 JPE524280:JPP524282 JZA524280:JZL524282 KIW524280:KJH524282 KSS524280:KTD524282 LCO524280:LCZ524282 LMK524280:LMV524282 LWG524280:LWR524282 MGC524280:MGN524282 MPY524280:MQJ524282 MZU524280:NAF524282 NJQ524280:NKB524282 NTM524280:NTX524282 ODI524280:ODT524282 ONE524280:ONP524282 OXA524280:OXL524282 PGW524280:PHH524282 PQS524280:PRD524282 QAO524280:QAZ524282 QKK524280:QKV524282 QUG524280:QUR524282 REC524280:REN524282 RNY524280:ROJ524282 RXU524280:RYF524282 SHQ524280:SIB524282 SRM524280:SRX524282 TBI524280:TBT524282 TLE524280:TLP524282 TVA524280:TVL524282 UEW524280:UFH524282 UOS524280:UPD524282 UYO524280:UYZ524282 VIK524280:VIV524282 VSG524280:VSR524282 WCC524280:WCN524282 WLY524280:WMJ524282 WVU524280:WWF524282 JI589816:JT589818 TE589816:TP589818 ADA589816:ADL589818 AMW589816:ANH589818 AWS589816:AXD589818 BGO589816:BGZ589818 BQK589816:BQV589818 CAG589816:CAR589818 CKC589816:CKN589818 CTY589816:CUJ589818 DDU589816:DEF589818 DNQ589816:DOB589818 DXM589816:DXX589818 EHI589816:EHT589818 ERE589816:ERP589818 FBA589816:FBL589818 FKW589816:FLH589818 FUS589816:FVD589818 GEO589816:GEZ589818 GOK589816:GOV589818 GYG589816:GYR589818 HIC589816:HIN589818 HRY589816:HSJ589818 IBU589816:ICF589818 ILQ589816:IMB589818 IVM589816:IVX589818 JFI589816:JFT589818 JPE589816:JPP589818 JZA589816:JZL589818 KIW589816:KJH589818 KSS589816:KTD589818 LCO589816:LCZ589818 LMK589816:LMV589818 LWG589816:LWR589818 MGC589816:MGN589818 MPY589816:MQJ589818 MZU589816:NAF589818 NJQ589816:NKB589818 NTM589816:NTX589818 ODI589816:ODT589818 ONE589816:ONP589818 OXA589816:OXL589818 PGW589816:PHH589818 PQS589816:PRD589818 QAO589816:QAZ589818 QKK589816:QKV589818 QUG589816:QUR589818 REC589816:REN589818 RNY589816:ROJ589818 RXU589816:RYF589818 SHQ589816:SIB589818 SRM589816:SRX589818 TBI589816:TBT589818 TLE589816:TLP589818 TVA589816:TVL589818 UEW589816:UFH589818 UOS589816:UPD589818 UYO589816:UYZ589818 VIK589816:VIV589818 VSG589816:VSR589818 WCC589816:WCN589818 WLY589816:WMJ589818 WVU589816:WWF589818 JI655352:JT655354 TE655352:TP655354 ADA655352:ADL655354 AMW655352:ANH655354 AWS655352:AXD655354 BGO655352:BGZ655354 BQK655352:BQV655354 CAG655352:CAR655354 CKC655352:CKN655354 CTY655352:CUJ655354 DDU655352:DEF655354 DNQ655352:DOB655354 DXM655352:DXX655354 EHI655352:EHT655354 ERE655352:ERP655354 FBA655352:FBL655354 FKW655352:FLH655354 FUS655352:FVD655354 GEO655352:GEZ655354 GOK655352:GOV655354 GYG655352:GYR655354 HIC655352:HIN655354 HRY655352:HSJ655354 IBU655352:ICF655354 ILQ655352:IMB655354 IVM655352:IVX655354 JFI655352:JFT655354 JPE655352:JPP655354 JZA655352:JZL655354 KIW655352:KJH655354 KSS655352:KTD655354 LCO655352:LCZ655354 LMK655352:LMV655354 LWG655352:LWR655354 MGC655352:MGN655354 MPY655352:MQJ655354 MZU655352:NAF655354 NJQ655352:NKB655354 NTM655352:NTX655354 ODI655352:ODT655354 ONE655352:ONP655354 OXA655352:OXL655354 PGW655352:PHH655354 PQS655352:PRD655354 QAO655352:QAZ655354 QKK655352:QKV655354 QUG655352:QUR655354 REC655352:REN655354 RNY655352:ROJ655354 RXU655352:RYF655354 SHQ655352:SIB655354 SRM655352:SRX655354 TBI655352:TBT655354 TLE655352:TLP655354 TVA655352:TVL655354 UEW655352:UFH655354 UOS655352:UPD655354 UYO655352:UYZ655354 VIK655352:VIV655354 VSG655352:VSR655354 WCC655352:WCN655354 WLY655352:WMJ655354 WVU655352:WWF655354 JI720888:JT720890 TE720888:TP720890 ADA720888:ADL720890 AMW720888:ANH720890 AWS720888:AXD720890 BGO720888:BGZ720890 BQK720888:BQV720890 CAG720888:CAR720890 CKC720888:CKN720890 CTY720888:CUJ720890 DDU720888:DEF720890 DNQ720888:DOB720890 DXM720888:DXX720890 EHI720888:EHT720890 ERE720888:ERP720890 FBA720888:FBL720890 FKW720888:FLH720890 FUS720888:FVD720890 GEO720888:GEZ720890 GOK720888:GOV720890 GYG720888:GYR720890 HIC720888:HIN720890 HRY720888:HSJ720890 IBU720888:ICF720890 ILQ720888:IMB720890 IVM720888:IVX720890 JFI720888:JFT720890 JPE720888:JPP720890 JZA720888:JZL720890 KIW720888:KJH720890 KSS720888:KTD720890 LCO720888:LCZ720890 LMK720888:LMV720890 LWG720888:LWR720890 MGC720888:MGN720890 MPY720888:MQJ720890 MZU720888:NAF720890 NJQ720888:NKB720890 NTM720888:NTX720890 ODI720888:ODT720890 ONE720888:ONP720890 OXA720888:OXL720890 PGW720888:PHH720890 PQS720888:PRD720890 QAO720888:QAZ720890 QKK720888:QKV720890 QUG720888:QUR720890 REC720888:REN720890 RNY720888:ROJ720890 RXU720888:RYF720890 SHQ720888:SIB720890 SRM720888:SRX720890 TBI720888:TBT720890 TLE720888:TLP720890 TVA720888:TVL720890 UEW720888:UFH720890 UOS720888:UPD720890 UYO720888:UYZ720890 VIK720888:VIV720890 VSG720888:VSR720890 WCC720888:WCN720890 WLY720888:WMJ720890 WVU720888:WWF720890 JI786424:JT786426 TE786424:TP786426 ADA786424:ADL786426 AMW786424:ANH786426 AWS786424:AXD786426 BGO786424:BGZ786426 BQK786424:BQV786426 CAG786424:CAR786426 CKC786424:CKN786426 CTY786424:CUJ786426 DDU786424:DEF786426 DNQ786424:DOB786426 DXM786424:DXX786426 EHI786424:EHT786426 ERE786424:ERP786426 FBA786424:FBL786426 FKW786424:FLH786426 FUS786424:FVD786426 GEO786424:GEZ786426 GOK786424:GOV786426 GYG786424:GYR786426 HIC786424:HIN786426 HRY786424:HSJ786426 IBU786424:ICF786426 ILQ786424:IMB786426 IVM786424:IVX786426 JFI786424:JFT786426 JPE786424:JPP786426 JZA786424:JZL786426 KIW786424:KJH786426 KSS786424:KTD786426 LCO786424:LCZ786426 LMK786424:LMV786426 LWG786424:LWR786426 MGC786424:MGN786426 MPY786424:MQJ786426 MZU786424:NAF786426 NJQ786424:NKB786426 NTM786424:NTX786426 ODI786424:ODT786426 ONE786424:ONP786426 OXA786424:OXL786426 PGW786424:PHH786426 PQS786424:PRD786426 QAO786424:QAZ786426 QKK786424:QKV786426 QUG786424:QUR786426 REC786424:REN786426 RNY786424:ROJ786426 RXU786424:RYF786426 SHQ786424:SIB786426 SRM786424:SRX786426 TBI786424:TBT786426 TLE786424:TLP786426 TVA786424:TVL786426 UEW786424:UFH786426 UOS786424:UPD786426 UYO786424:UYZ786426 VIK786424:VIV786426 VSG786424:VSR786426 WCC786424:WCN786426 WLY786424:WMJ786426 WVU786424:WWF786426 JI851960:JT851962 TE851960:TP851962 ADA851960:ADL851962 AMW851960:ANH851962 AWS851960:AXD851962 BGO851960:BGZ851962 BQK851960:BQV851962 CAG851960:CAR851962 CKC851960:CKN851962 CTY851960:CUJ851962 DDU851960:DEF851962 DNQ851960:DOB851962 DXM851960:DXX851962 EHI851960:EHT851962 ERE851960:ERP851962 FBA851960:FBL851962 FKW851960:FLH851962 FUS851960:FVD851962 GEO851960:GEZ851962 GOK851960:GOV851962 GYG851960:GYR851962 HIC851960:HIN851962 HRY851960:HSJ851962 IBU851960:ICF851962 ILQ851960:IMB851962 IVM851960:IVX851962 JFI851960:JFT851962 JPE851960:JPP851962 JZA851960:JZL851962 KIW851960:KJH851962 KSS851960:KTD851962 LCO851960:LCZ851962 LMK851960:LMV851962 LWG851960:LWR851962 MGC851960:MGN851962 MPY851960:MQJ851962 MZU851960:NAF851962 NJQ851960:NKB851962 NTM851960:NTX851962 ODI851960:ODT851962 ONE851960:ONP851962 OXA851960:OXL851962 PGW851960:PHH851962 PQS851960:PRD851962 QAO851960:QAZ851962 QKK851960:QKV851962 QUG851960:QUR851962 REC851960:REN851962 RNY851960:ROJ851962 RXU851960:RYF851962 SHQ851960:SIB851962 SRM851960:SRX851962 TBI851960:TBT851962 TLE851960:TLP851962 TVA851960:TVL851962 UEW851960:UFH851962 UOS851960:UPD851962 UYO851960:UYZ851962 VIK851960:VIV851962 VSG851960:VSR851962 WCC851960:WCN851962 WLY851960:WMJ851962 WVU851960:WWF851962 JI917496:JT917498 TE917496:TP917498 ADA917496:ADL917498 AMW917496:ANH917498 AWS917496:AXD917498 BGO917496:BGZ917498 BQK917496:BQV917498 CAG917496:CAR917498 CKC917496:CKN917498 CTY917496:CUJ917498 DDU917496:DEF917498 DNQ917496:DOB917498 DXM917496:DXX917498 EHI917496:EHT917498 ERE917496:ERP917498 FBA917496:FBL917498 FKW917496:FLH917498 FUS917496:FVD917498 GEO917496:GEZ917498 GOK917496:GOV917498 GYG917496:GYR917498 HIC917496:HIN917498 HRY917496:HSJ917498 IBU917496:ICF917498 ILQ917496:IMB917498 IVM917496:IVX917498 JFI917496:JFT917498 JPE917496:JPP917498 JZA917496:JZL917498 KIW917496:KJH917498 KSS917496:KTD917498 LCO917496:LCZ917498 LMK917496:LMV917498 LWG917496:LWR917498 MGC917496:MGN917498 MPY917496:MQJ917498 MZU917496:NAF917498 NJQ917496:NKB917498 NTM917496:NTX917498 ODI917496:ODT917498 ONE917496:ONP917498 OXA917496:OXL917498 PGW917496:PHH917498 PQS917496:PRD917498 QAO917496:QAZ917498 QKK917496:QKV917498 QUG917496:QUR917498 REC917496:REN917498 RNY917496:ROJ917498 RXU917496:RYF917498 SHQ917496:SIB917498 SRM917496:SRX917498 TBI917496:TBT917498 TLE917496:TLP917498 TVA917496:TVL917498 UEW917496:UFH917498 UOS917496:UPD917498 UYO917496:UYZ917498 VIK917496:VIV917498 VSG917496:VSR917498 WCC917496:WCN917498 WLY917496:WMJ917498 WVU917496:WWF917498 JI983032:JT983034 TE983032:TP983034 ADA983032:ADL983034 AMW983032:ANH983034 AWS983032:AXD983034 BGO983032:BGZ983034 BQK983032:BQV983034 CAG983032:CAR983034 CKC983032:CKN983034 CTY983032:CUJ983034 DDU983032:DEF983034 DNQ983032:DOB983034 DXM983032:DXX983034 EHI983032:EHT983034 ERE983032:ERP983034 FBA983032:FBL983034 FKW983032:FLH983034 FUS983032:FVD983034 GEO983032:GEZ983034 GOK983032:GOV983034 GYG983032:GYR983034 HIC983032:HIN983034 HRY983032:HSJ983034 IBU983032:ICF983034 ILQ983032:IMB983034 IVM983032:IVX983034 JFI983032:JFT983034 JPE983032:JPP983034 JZA983032:JZL983034 KIW983032:KJH983034 KSS983032:KTD983034 LCO983032:LCZ983034 LMK983032:LMV983034 LWG983032:LWR983034 MGC983032:MGN983034 MPY983032:MQJ983034 MZU983032:NAF983034 NJQ983032:NKB983034 NTM983032:NTX983034 ODI983032:ODT983034 ONE983032:ONP983034 OXA983032:OXL983034 PGW983032:PHH983034 PQS983032:PRD983034 QAO983032:QAZ983034 QKK983032:QKV983034 QUG983032:QUR983034 REC983032:REN983034 RNY983032:ROJ983034 RXU983032:RYF983034 SHQ983032:SIB983034 SRM983032:SRX983034 TBI983032:TBT983034 TLE983032:TLP983034 TVA983032:TVL983034 UEW983032:UFH983034 UOS983032:UPD983034 UYO983032:UYZ983034 VIK983032:VIV983034 VSG983032:VSR983034 WCC983032:WCN983034 WLY983032:WMJ983034 WVU983032:WWF983034 Z262136:AJ262138 Z196600:AJ196602 Z131064:AJ131066 Z65528:AJ65530 Z983032:AJ983034 Z917496:AJ917498 Z851960:AJ851962 Z786424:AJ786426 Z720888:AJ720890 Z655352:AJ655354 Z589816:AJ589818 Z524280:AJ524282 Z458744:AJ458746 Z393208:AJ393210 Z327672:AJ327674 JJ2:JU4 TF2:TQ4 ADB2:ADM4 AMX2:ANI4 AWT2:AXE4 BGP2:BHA4 BQL2:BQW4 CAH2:CAS4 CKD2:CKO4 CTZ2:CUK4 DDV2:DEG4 DNR2:DOC4 DXN2:DXY4 EHJ2:EHU4 ERF2:ERQ4 FBB2:FBM4 FKX2:FLI4 FUT2:FVE4 GEP2:GFA4 GOL2:GOW4 GYH2:GYS4 HID2:HIO4 HRZ2:HSK4 IBV2:ICG4 ILR2:IMC4 IVN2:IVY4 JFJ2:JFU4 JPF2:JPQ4 JZB2:JZM4 KIX2:KJI4 KST2:KTE4 LCP2:LDA4 LML2:LMW4 LWH2:LWS4 MGD2:MGO4 MPZ2:MQK4 MZV2:NAG4 NJR2:NKC4 NTN2:NTY4 ODJ2:ODU4 ONF2:ONQ4 OXB2:OXM4 PGX2:PHI4 PQT2:PRE4 QAP2:QBA4 QKL2:QKW4 QUH2:QUS4 RED2:REO4 RNZ2:ROK4 RXV2:RYG4 SHR2:SIC4 SRN2:SRY4 TBJ2:TBU4 TLF2:TLQ4 TVB2:TVM4 UEX2:UFI4 UOT2:UPE4 UYP2:UZA4 VIL2:VIW4 VSH2:VSS4 WCD2:WCO4 WLZ2:WMK4 WVV2:WWG4 R2"/>
    <dataValidation type="list" allowBlank="1" showInputMessage="1" showErrorMessage="1" sqref="Y8:Z46">
      <formula1>"文字,数値,日付,時間"</formula1>
    </dataValidation>
    <dataValidation type="list" allowBlank="1" showInputMessage="1" showErrorMessage="1" sqref="AA8:AC46">
      <formula1>"int,numeric,varchar,date,datetime2(0),datetime2,varbinary(max)"</formula1>
    </dataValidation>
  </dataValidations>
  <pageMargins left="0.39370078740157483" right="0.39370078740157483" top="0.59055118110236227" bottom="0.39370078740157483" header="0.39370078740157483" footer="0.19685039370078741"/>
  <pageSetup paperSize="9" scale="80" fitToHeight="0" orientation="landscape" useFirstPageNumber="1" verticalDpi="300" r:id="rId1"/>
  <headerFooter alignWithMargins="0">
    <oddFooter>&amp;R&amp;A - &amp;P</oddFooter>
  </headerFooter>
  <legacyDrawing r:id="rId2"/>
</worksheet>
</file>

<file path=xl/worksheets/sheet2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61"/>
  <dimension ref="A1:BD46"/>
  <sheetViews>
    <sheetView showGridLines="0" zoomScaleNormal="100" zoomScaleSheetLayoutView="100" workbookViewId="0">
      <pane ySplit="7" topLeftCell="A8" activePane="bottomLeft" state="frozen"/>
      <selection sqref="A1:K4"/>
      <selection pane="bottomLeft" sqref="A1:H4"/>
    </sheetView>
  </sheetViews>
  <sheetFormatPr defaultColWidth="2.6328125" defaultRowHeight="14.4" customHeight="1"/>
  <cols>
    <col min="1" max="1" width="4.6328125" style="18" customWidth="1"/>
    <col min="2" max="26" width="2.6328125" style="18"/>
    <col min="27" max="27" width="2.6328125" style="18" customWidth="1"/>
    <col min="28" max="29" width="2.6328125" style="18"/>
    <col min="30" max="30" width="4.6328125" style="18" customWidth="1"/>
    <col min="31" max="31" width="2.6328125" style="18" customWidth="1"/>
    <col min="32" max="33" width="2.6328125" style="18"/>
    <col min="34" max="34" width="6.6328125" style="18" customWidth="1"/>
    <col min="35" max="41" width="2.6328125" style="18"/>
    <col min="42" max="56" width="2.6328125" style="46"/>
    <col min="57" max="16384" width="2.6328125" style="18"/>
  </cols>
  <sheetData>
    <row r="1" spans="1:56" s="17" customFormat="1" ht="14.4" customHeight="1">
      <c r="A1" s="417" t="s">
        <v>78</v>
      </c>
      <c r="B1" s="418"/>
      <c r="C1" s="418"/>
      <c r="D1" s="418"/>
      <c r="E1" s="418"/>
      <c r="F1" s="418"/>
      <c r="G1" s="418"/>
      <c r="H1" s="419"/>
      <c r="I1" s="354" t="s">
        <v>79</v>
      </c>
      <c r="J1" s="355"/>
      <c r="K1" s="355"/>
      <c r="L1" s="355"/>
      <c r="M1" s="355"/>
      <c r="N1" s="355"/>
      <c r="O1" s="355"/>
      <c r="P1" s="355"/>
      <c r="Q1" s="356"/>
      <c r="R1" s="354" t="s">
        <v>80</v>
      </c>
      <c r="S1" s="355"/>
      <c r="T1" s="355"/>
      <c r="U1" s="355"/>
      <c r="V1" s="355"/>
      <c r="W1" s="355"/>
      <c r="X1" s="356"/>
      <c r="Y1" s="354" t="s">
        <v>135</v>
      </c>
      <c r="Z1" s="355"/>
      <c r="AA1" s="355"/>
      <c r="AB1" s="355"/>
      <c r="AC1" s="355"/>
      <c r="AD1" s="355"/>
      <c r="AE1" s="355"/>
      <c r="AF1" s="355"/>
      <c r="AG1" s="355"/>
      <c r="AH1" s="355"/>
      <c r="AI1" s="355"/>
      <c r="AJ1" s="355"/>
      <c r="AK1" s="355"/>
      <c r="AL1" s="355"/>
      <c r="AM1" s="355"/>
      <c r="AN1" s="355"/>
      <c r="AO1" s="356"/>
      <c r="AP1" s="428" t="s">
        <v>82</v>
      </c>
      <c r="AQ1" s="429"/>
      <c r="AR1" s="429"/>
      <c r="AS1" s="429"/>
      <c r="AT1" s="430"/>
      <c r="AU1" s="428" t="s">
        <v>83</v>
      </c>
      <c r="AV1" s="429"/>
      <c r="AW1" s="429"/>
      <c r="AX1" s="429"/>
      <c r="AY1" s="430"/>
      <c r="AZ1" s="428" t="s">
        <v>84</v>
      </c>
      <c r="BA1" s="429"/>
      <c r="BB1" s="429"/>
      <c r="BC1" s="429"/>
      <c r="BD1" s="430"/>
    </row>
    <row r="2" spans="1:56" s="17" customFormat="1" ht="14.4" customHeight="1">
      <c r="A2" s="420"/>
      <c r="B2" s="421"/>
      <c r="C2" s="421"/>
      <c r="D2" s="421"/>
      <c r="E2" s="421"/>
      <c r="F2" s="421"/>
      <c r="G2" s="421"/>
      <c r="H2" s="422"/>
      <c r="I2" s="384" t="s">
        <v>85</v>
      </c>
      <c r="J2" s="385"/>
      <c r="K2" s="385"/>
      <c r="L2" s="385"/>
      <c r="M2" s="385"/>
      <c r="N2" s="385"/>
      <c r="O2" s="385"/>
      <c r="P2" s="385"/>
      <c r="Q2" s="386"/>
      <c r="R2" s="384" t="s">
        <v>97</v>
      </c>
      <c r="S2" s="385"/>
      <c r="T2" s="385"/>
      <c r="U2" s="385"/>
      <c r="V2" s="385"/>
      <c r="W2" s="385"/>
      <c r="X2" s="386"/>
      <c r="Y2" s="384" t="s">
        <v>1465</v>
      </c>
      <c r="Z2" s="385"/>
      <c r="AA2" s="385"/>
      <c r="AB2" s="385"/>
      <c r="AC2" s="385"/>
      <c r="AD2" s="385"/>
      <c r="AE2" s="385"/>
      <c r="AF2" s="385"/>
      <c r="AG2" s="385"/>
      <c r="AH2" s="385"/>
      <c r="AI2" s="385"/>
      <c r="AJ2" s="385"/>
      <c r="AK2" s="385"/>
      <c r="AL2" s="385"/>
      <c r="AM2" s="385"/>
      <c r="AN2" s="385"/>
      <c r="AO2" s="386"/>
      <c r="AP2" s="357"/>
      <c r="AQ2" s="358"/>
      <c r="AR2" s="358"/>
      <c r="AS2" s="358"/>
      <c r="AT2" s="359"/>
      <c r="AU2" s="58" t="s">
        <v>88</v>
      </c>
      <c r="AV2" s="59"/>
      <c r="AW2" s="59"/>
      <c r="AX2" s="59"/>
      <c r="AY2" s="60"/>
      <c r="AZ2" s="434" t="s">
        <v>89</v>
      </c>
      <c r="BA2" s="435"/>
      <c r="BB2" s="435"/>
      <c r="BC2" s="435"/>
      <c r="BD2" s="436"/>
    </row>
    <row r="3" spans="1:56" s="17" customFormat="1" ht="14.4" customHeight="1">
      <c r="A3" s="420"/>
      <c r="B3" s="421"/>
      <c r="C3" s="421"/>
      <c r="D3" s="421"/>
      <c r="E3" s="421"/>
      <c r="F3" s="421"/>
      <c r="G3" s="421"/>
      <c r="H3" s="422"/>
      <c r="I3" s="387"/>
      <c r="J3" s="388"/>
      <c r="K3" s="388"/>
      <c r="L3" s="388"/>
      <c r="M3" s="388"/>
      <c r="N3" s="388"/>
      <c r="O3" s="388"/>
      <c r="P3" s="388"/>
      <c r="Q3" s="389"/>
      <c r="R3" s="387"/>
      <c r="S3" s="388"/>
      <c r="T3" s="388"/>
      <c r="U3" s="388"/>
      <c r="V3" s="388"/>
      <c r="W3" s="388"/>
      <c r="X3" s="389"/>
      <c r="Y3" s="390"/>
      <c r="Z3" s="391"/>
      <c r="AA3" s="391"/>
      <c r="AB3" s="391"/>
      <c r="AC3" s="391"/>
      <c r="AD3" s="391"/>
      <c r="AE3" s="391"/>
      <c r="AF3" s="391"/>
      <c r="AG3" s="391"/>
      <c r="AH3" s="391"/>
      <c r="AI3" s="391"/>
      <c r="AJ3" s="391"/>
      <c r="AK3" s="391"/>
      <c r="AL3" s="391"/>
      <c r="AM3" s="391"/>
      <c r="AN3" s="391"/>
      <c r="AO3" s="392"/>
      <c r="AP3" s="360"/>
      <c r="AQ3" s="361"/>
      <c r="AR3" s="361"/>
      <c r="AS3" s="361"/>
      <c r="AT3" s="362"/>
      <c r="AU3" s="431"/>
      <c r="AV3" s="432"/>
      <c r="AW3" s="432"/>
      <c r="AX3" s="432"/>
      <c r="AY3" s="433"/>
      <c r="AZ3" s="434"/>
      <c r="BA3" s="435"/>
      <c r="BB3" s="435"/>
      <c r="BC3" s="435"/>
      <c r="BD3" s="436"/>
    </row>
    <row r="4" spans="1:56" s="17" customFormat="1" ht="14.4" customHeight="1">
      <c r="A4" s="423"/>
      <c r="B4" s="424"/>
      <c r="C4" s="424"/>
      <c r="D4" s="424"/>
      <c r="E4" s="424"/>
      <c r="F4" s="424"/>
      <c r="G4" s="424"/>
      <c r="H4" s="425"/>
      <c r="I4" s="390"/>
      <c r="J4" s="391"/>
      <c r="K4" s="391"/>
      <c r="L4" s="391"/>
      <c r="M4" s="391"/>
      <c r="N4" s="391"/>
      <c r="O4" s="391"/>
      <c r="P4" s="391"/>
      <c r="Q4" s="392"/>
      <c r="R4" s="390"/>
      <c r="S4" s="391"/>
      <c r="T4" s="391"/>
      <c r="U4" s="391"/>
      <c r="V4" s="391"/>
      <c r="W4" s="391"/>
      <c r="X4" s="392"/>
      <c r="Y4" s="437" t="s">
        <v>1466</v>
      </c>
      <c r="Z4" s="438"/>
      <c r="AA4" s="438"/>
      <c r="AB4" s="438"/>
      <c r="AC4" s="438"/>
      <c r="AD4" s="438"/>
      <c r="AE4" s="438"/>
      <c r="AF4" s="438"/>
      <c r="AG4" s="438"/>
      <c r="AH4" s="438"/>
      <c r="AI4" s="438"/>
      <c r="AJ4" s="438"/>
      <c r="AK4" s="438"/>
      <c r="AL4" s="438"/>
      <c r="AM4" s="438"/>
      <c r="AN4" s="438"/>
      <c r="AO4" s="439"/>
      <c r="AP4" s="360"/>
      <c r="AQ4" s="361"/>
      <c r="AR4" s="361"/>
      <c r="AS4" s="361"/>
      <c r="AT4" s="362"/>
      <c r="AU4" s="431"/>
      <c r="AV4" s="432"/>
      <c r="AW4" s="432"/>
      <c r="AX4" s="432"/>
      <c r="AY4" s="433"/>
      <c r="AZ4" s="434"/>
      <c r="BA4" s="435"/>
      <c r="BB4" s="435"/>
      <c r="BC4" s="435"/>
      <c r="BD4" s="436"/>
    </row>
    <row r="6" spans="1:56" ht="14.4" customHeight="1">
      <c r="A6" s="426" t="s">
        <v>90</v>
      </c>
      <c r="B6" s="407" t="s">
        <v>136</v>
      </c>
      <c r="C6" s="415"/>
      <c r="D6" s="415"/>
      <c r="E6" s="415"/>
      <c r="F6" s="415"/>
      <c r="G6" s="415"/>
      <c r="H6" s="408"/>
      <c r="I6" s="407" t="s">
        <v>137</v>
      </c>
      <c r="J6" s="415"/>
      <c r="K6" s="415"/>
      <c r="L6" s="415"/>
      <c r="M6" s="415"/>
      <c r="N6" s="415"/>
      <c r="O6" s="415"/>
      <c r="P6" s="415"/>
      <c r="Q6" s="408"/>
      <c r="R6" s="407" t="s">
        <v>138</v>
      </c>
      <c r="S6" s="415"/>
      <c r="T6" s="415"/>
      <c r="U6" s="415"/>
      <c r="V6" s="415"/>
      <c r="W6" s="415"/>
      <c r="X6" s="408"/>
      <c r="Y6" s="407" t="s">
        <v>139</v>
      </c>
      <c r="Z6" s="408"/>
      <c r="AA6" s="407" t="s">
        <v>140</v>
      </c>
      <c r="AB6" s="415"/>
      <c r="AC6" s="408"/>
      <c r="AD6" s="411" t="s">
        <v>141</v>
      </c>
      <c r="AE6" s="413" t="s">
        <v>142</v>
      </c>
      <c r="AF6" s="411" t="s">
        <v>143</v>
      </c>
      <c r="AG6" s="411" t="s">
        <v>144</v>
      </c>
      <c r="AH6" s="411" t="s">
        <v>145</v>
      </c>
      <c r="AI6" s="404" t="s">
        <v>146</v>
      </c>
      <c r="AJ6" s="405"/>
      <c r="AK6" s="405"/>
      <c r="AL6" s="405"/>
      <c r="AM6" s="405"/>
      <c r="AN6" s="405"/>
      <c r="AO6" s="405"/>
      <c r="AP6" s="405"/>
      <c r="AQ6" s="405"/>
      <c r="AR6" s="406"/>
      <c r="AS6" s="407" t="s">
        <v>147</v>
      </c>
      <c r="AT6" s="415"/>
      <c r="AU6" s="415"/>
      <c r="AV6" s="415"/>
      <c r="AW6" s="415"/>
      <c r="AX6" s="415"/>
      <c r="AY6" s="415"/>
      <c r="AZ6" s="415"/>
      <c r="BA6" s="415"/>
      <c r="BB6" s="415"/>
      <c r="BC6" s="415"/>
      <c r="BD6" s="408"/>
    </row>
    <row r="7" spans="1:56" ht="14.4" customHeight="1">
      <c r="A7" s="427"/>
      <c r="B7" s="409"/>
      <c r="C7" s="416"/>
      <c r="D7" s="416"/>
      <c r="E7" s="416"/>
      <c r="F7" s="416"/>
      <c r="G7" s="416"/>
      <c r="H7" s="410"/>
      <c r="I7" s="409"/>
      <c r="J7" s="416"/>
      <c r="K7" s="416"/>
      <c r="L7" s="416"/>
      <c r="M7" s="416"/>
      <c r="N7" s="416"/>
      <c r="O7" s="416"/>
      <c r="P7" s="416"/>
      <c r="Q7" s="410"/>
      <c r="R7" s="409"/>
      <c r="S7" s="416"/>
      <c r="T7" s="416"/>
      <c r="U7" s="416"/>
      <c r="V7" s="416"/>
      <c r="W7" s="416"/>
      <c r="X7" s="410"/>
      <c r="Y7" s="409"/>
      <c r="Z7" s="410"/>
      <c r="AA7" s="409"/>
      <c r="AB7" s="416"/>
      <c r="AC7" s="410"/>
      <c r="AD7" s="412"/>
      <c r="AE7" s="414"/>
      <c r="AF7" s="412"/>
      <c r="AG7" s="412"/>
      <c r="AH7" s="412"/>
      <c r="AI7" s="52">
        <v>1</v>
      </c>
      <c r="AJ7" s="52">
        <v>2</v>
      </c>
      <c r="AK7" s="52">
        <v>3</v>
      </c>
      <c r="AL7" s="52">
        <v>4</v>
      </c>
      <c r="AM7" s="52">
        <v>5</v>
      </c>
      <c r="AN7" s="52">
        <v>6</v>
      </c>
      <c r="AO7" s="52">
        <v>7</v>
      </c>
      <c r="AP7" s="52">
        <v>8</v>
      </c>
      <c r="AQ7" s="52">
        <v>9</v>
      </c>
      <c r="AR7" s="52">
        <v>10</v>
      </c>
      <c r="AS7" s="409"/>
      <c r="AT7" s="416"/>
      <c r="AU7" s="416"/>
      <c r="AV7" s="416"/>
      <c r="AW7" s="416"/>
      <c r="AX7" s="416"/>
      <c r="AY7" s="416"/>
      <c r="AZ7" s="416"/>
      <c r="BA7" s="416"/>
      <c r="BB7" s="416"/>
      <c r="BC7" s="416"/>
      <c r="BD7" s="410"/>
    </row>
    <row r="8" spans="1:56" ht="14.4" customHeight="1">
      <c r="A8" s="70">
        <f>IF(B8="","",COUNTA($B$8:B8))</f>
        <v>1</v>
      </c>
      <c r="B8" s="19" t="s">
        <v>1451</v>
      </c>
      <c r="C8" s="20"/>
      <c r="D8" s="20"/>
      <c r="E8" s="20"/>
      <c r="F8" s="20"/>
      <c r="G8" s="20"/>
      <c r="H8" s="24"/>
      <c r="I8" s="31" t="s">
        <v>1452</v>
      </c>
      <c r="J8" s="23"/>
      <c r="K8" s="23"/>
      <c r="L8" s="23"/>
      <c r="M8" s="23"/>
      <c r="N8" s="23"/>
      <c r="O8" s="38"/>
      <c r="P8" s="23"/>
      <c r="Q8" s="24"/>
      <c r="R8" s="19" t="s">
        <v>1451</v>
      </c>
      <c r="S8" s="23"/>
      <c r="T8" s="23"/>
      <c r="U8" s="23"/>
      <c r="V8" s="23"/>
      <c r="W8" s="23"/>
      <c r="X8" s="24"/>
      <c r="Y8" s="451" t="s">
        <v>150</v>
      </c>
      <c r="Z8" s="452"/>
      <c r="AA8" s="448" t="s">
        <v>425</v>
      </c>
      <c r="AB8" s="449"/>
      <c r="AC8" s="450"/>
      <c r="AD8" s="139">
        <v>4</v>
      </c>
      <c r="AE8" s="29"/>
      <c r="AF8" s="29">
        <v>1</v>
      </c>
      <c r="AG8" s="28" t="s">
        <v>152</v>
      </c>
      <c r="AH8" s="28"/>
      <c r="AI8" s="28"/>
      <c r="AJ8" s="28"/>
      <c r="AK8" s="28"/>
      <c r="AL8" s="28"/>
      <c r="AM8" s="28"/>
      <c r="AN8" s="28"/>
      <c r="AO8" s="29"/>
      <c r="AP8" s="29"/>
      <c r="AQ8" s="29"/>
      <c r="AR8" s="29"/>
      <c r="AS8" s="47"/>
      <c r="AT8" s="48"/>
      <c r="AU8" s="48"/>
      <c r="AV8" s="48"/>
      <c r="AW8" s="48"/>
      <c r="AX8" s="48"/>
      <c r="AY8" s="48"/>
      <c r="AZ8" s="48"/>
      <c r="BA8" s="48"/>
      <c r="BB8" s="48"/>
      <c r="BC8" s="48"/>
      <c r="BD8" s="66"/>
    </row>
    <row r="9" spans="1:56" ht="14.4" customHeight="1">
      <c r="A9" s="70">
        <f>IF(B9="","",COUNTA($B$8:B9))</f>
        <v>2</v>
      </c>
      <c r="B9" s="19" t="s">
        <v>162</v>
      </c>
      <c r="C9" s="20"/>
      <c r="D9" s="20"/>
      <c r="E9" s="20"/>
      <c r="F9" s="20"/>
      <c r="G9" s="20"/>
      <c r="H9" s="24"/>
      <c r="I9" s="31" t="s">
        <v>163</v>
      </c>
      <c r="J9" s="23"/>
      <c r="K9" s="23"/>
      <c r="L9" s="23"/>
      <c r="M9" s="23"/>
      <c r="N9" s="23"/>
      <c r="O9" s="38"/>
      <c r="P9" s="23"/>
      <c r="Q9" s="24"/>
      <c r="R9" s="19" t="s">
        <v>162</v>
      </c>
      <c r="S9" s="23"/>
      <c r="T9" s="23"/>
      <c r="U9" s="23"/>
      <c r="V9" s="23"/>
      <c r="W9" s="23"/>
      <c r="X9" s="24"/>
      <c r="Y9" s="440" t="s">
        <v>150</v>
      </c>
      <c r="Z9" s="441"/>
      <c r="AA9" s="442" t="s">
        <v>151</v>
      </c>
      <c r="AB9" s="443"/>
      <c r="AC9" s="444"/>
      <c r="AD9" s="27">
        <v>4</v>
      </c>
      <c r="AE9" s="29"/>
      <c r="AF9" s="29">
        <v>2</v>
      </c>
      <c r="AG9" s="28" t="s">
        <v>152</v>
      </c>
      <c r="AH9" s="28"/>
      <c r="AI9" s="28"/>
      <c r="AJ9" s="28"/>
      <c r="AK9" s="28"/>
      <c r="AL9" s="28"/>
      <c r="AM9" s="28"/>
      <c r="AN9" s="28"/>
      <c r="AO9" s="29"/>
      <c r="AP9" s="29"/>
      <c r="AQ9" s="29"/>
      <c r="AR9" s="29"/>
      <c r="AS9" s="31"/>
      <c r="AT9" s="67"/>
      <c r="AU9" s="67"/>
      <c r="AV9" s="67"/>
      <c r="AW9" s="67"/>
      <c r="AX9" s="67"/>
      <c r="AY9" s="67"/>
      <c r="AZ9" s="67"/>
      <c r="BA9" s="67"/>
      <c r="BB9" s="67"/>
      <c r="BC9" s="67"/>
      <c r="BD9" s="68"/>
    </row>
    <row r="10" spans="1:56" ht="14.4" customHeight="1">
      <c r="A10" s="70">
        <f>IF(B10="","",COUNTA($B$8:B10))</f>
        <v>3</v>
      </c>
      <c r="B10" s="19" t="s">
        <v>1450</v>
      </c>
      <c r="C10" s="20"/>
      <c r="D10" s="20"/>
      <c r="E10" s="20"/>
      <c r="F10" s="20"/>
      <c r="G10" s="20"/>
      <c r="H10" s="24"/>
      <c r="I10" s="31" t="s">
        <v>774</v>
      </c>
      <c r="J10" s="23"/>
      <c r="K10" s="23"/>
      <c r="L10" s="23"/>
      <c r="M10" s="23"/>
      <c r="N10" s="23"/>
      <c r="O10" s="38"/>
      <c r="P10" s="23"/>
      <c r="Q10" s="24"/>
      <c r="R10" s="19" t="s">
        <v>1450</v>
      </c>
      <c r="S10" s="23"/>
      <c r="T10" s="23"/>
      <c r="U10" s="23"/>
      <c r="V10" s="23"/>
      <c r="W10" s="23"/>
      <c r="X10" s="24"/>
      <c r="Y10" s="451" t="s">
        <v>421</v>
      </c>
      <c r="Z10" s="452"/>
      <c r="AA10" s="448" t="s">
        <v>422</v>
      </c>
      <c r="AB10" s="449"/>
      <c r="AC10" s="450"/>
      <c r="AD10" s="130">
        <v>3</v>
      </c>
      <c r="AE10" s="29"/>
      <c r="AF10" s="29"/>
      <c r="AG10" s="29"/>
      <c r="AH10" s="28"/>
      <c r="AI10" s="28"/>
      <c r="AJ10" s="28"/>
      <c r="AK10" s="28"/>
      <c r="AL10" s="28"/>
      <c r="AM10" s="28"/>
      <c r="AN10" s="28"/>
      <c r="AO10" s="29"/>
      <c r="AP10" s="29"/>
      <c r="AQ10" s="29"/>
      <c r="AR10" s="29"/>
      <c r="AS10" s="136" t="s">
        <v>402</v>
      </c>
      <c r="AT10" s="67"/>
      <c r="AU10" s="67"/>
      <c r="AV10" s="67"/>
      <c r="AW10" s="67"/>
      <c r="AX10" s="67"/>
      <c r="AY10" s="67"/>
      <c r="AZ10" s="67"/>
      <c r="BA10" s="67"/>
      <c r="BB10" s="67"/>
      <c r="BC10" s="67"/>
      <c r="BD10" s="68"/>
    </row>
    <row r="11" spans="1:56" ht="14.4" customHeight="1">
      <c r="A11" s="70">
        <f>IF(B11="","",COUNTA($B$8:B11))</f>
        <v>4</v>
      </c>
      <c r="B11" s="19" t="s">
        <v>255</v>
      </c>
      <c r="C11" s="26"/>
      <c r="D11" s="26"/>
      <c r="E11" s="26"/>
      <c r="F11" s="26"/>
      <c r="G11" s="26"/>
      <c r="H11" s="39"/>
      <c r="I11" s="31" t="s">
        <v>256</v>
      </c>
      <c r="J11" s="23"/>
      <c r="K11" s="23"/>
      <c r="L11" s="23"/>
      <c r="M11" s="23"/>
      <c r="N11" s="23"/>
      <c r="O11" s="23"/>
      <c r="P11" s="23"/>
      <c r="Q11" s="37"/>
      <c r="R11" s="19" t="s">
        <v>255</v>
      </c>
      <c r="S11" s="23"/>
      <c r="T11" s="23"/>
      <c r="U11" s="23"/>
      <c r="V11" s="23"/>
      <c r="W11" s="23"/>
      <c r="X11" s="24"/>
      <c r="Y11" s="440" t="s">
        <v>150</v>
      </c>
      <c r="Z11" s="441"/>
      <c r="AA11" s="442" t="s">
        <v>151</v>
      </c>
      <c r="AB11" s="443"/>
      <c r="AC11" s="444"/>
      <c r="AD11" s="27">
        <v>10</v>
      </c>
      <c r="AE11" s="29"/>
      <c r="AF11" s="29"/>
      <c r="AG11" s="29"/>
      <c r="AH11" s="28"/>
      <c r="AI11" s="28"/>
      <c r="AJ11" s="28"/>
      <c r="AK11" s="28"/>
      <c r="AL11" s="28"/>
      <c r="AM11" s="28"/>
      <c r="AN11" s="28"/>
      <c r="AO11" s="29"/>
      <c r="AP11" s="29"/>
      <c r="AQ11" s="29"/>
      <c r="AR11" s="29"/>
      <c r="AS11" s="31"/>
      <c r="AT11" s="67"/>
      <c r="AU11" s="67"/>
      <c r="AV11" s="67"/>
      <c r="AW11" s="67"/>
      <c r="AX11" s="67"/>
      <c r="AY11" s="67"/>
      <c r="AZ11" s="67"/>
      <c r="BA11" s="67"/>
      <c r="BB11" s="67"/>
      <c r="BC11" s="67"/>
      <c r="BD11" s="68"/>
    </row>
    <row r="12" spans="1:56" ht="14.4" customHeight="1">
      <c r="A12" s="70">
        <f>IF(B12="","",COUNTA($B$8:B12))</f>
        <v>5</v>
      </c>
      <c r="B12" s="19" t="s">
        <v>257</v>
      </c>
      <c r="C12" s="26"/>
      <c r="D12" s="26"/>
      <c r="E12" s="26"/>
      <c r="F12" s="26"/>
      <c r="G12" s="26"/>
      <c r="H12" s="39"/>
      <c r="I12" s="31" t="s">
        <v>258</v>
      </c>
      <c r="J12" s="23"/>
      <c r="K12" s="23"/>
      <c r="L12" s="23"/>
      <c r="M12" s="23"/>
      <c r="N12" s="23"/>
      <c r="O12" s="23"/>
      <c r="P12" s="23"/>
      <c r="Q12" s="37"/>
      <c r="R12" s="19" t="s">
        <v>257</v>
      </c>
      <c r="S12" s="23"/>
      <c r="T12" s="23"/>
      <c r="U12" s="23"/>
      <c r="V12" s="23"/>
      <c r="W12" s="23"/>
      <c r="X12" s="24"/>
      <c r="Y12" s="440" t="s">
        <v>169</v>
      </c>
      <c r="Z12" s="441"/>
      <c r="AA12" s="442" t="s">
        <v>243</v>
      </c>
      <c r="AB12" s="443"/>
      <c r="AC12" s="444"/>
      <c r="AD12" s="51"/>
      <c r="AE12" s="29"/>
      <c r="AF12" s="29"/>
      <c r="AG12" s="29"/>
      <c r="AH12" s="28"/>
      <c r="AI12" s="28"/>
      <c r="AJ12" s="28"/>
      <c r="AK12" s="28"/>
      <c r="AL12" s="28"/>
      <c r="AM12" s="28"/>
      <c r="AN12" s="28"/>
      <c r="AO12" s="29"/>
      <c r="AP12" s="29"/>
      <c r="AQ12" s="29"/>
      <c r="AR12" s="29"/>
      <c r="AS12" s="31"/>
      <c r="AT12" s="67"/>
      <c r="AU12" s="67"/>
      <c r="AV12" s="67"/>
      <c r="AW12" s="67"/>
      <c r="AX12" s="67"/>
      <c r="AY12" s="67"/>
      <c r="AZ12" s="67"/>
      <c r="BA12" s="67"/>
      <c r="BB12" s="67"/>
      <c r="BC12" s="67"/>
      <c r="BD12" s="68"/>
    </row>
    <row r="13" spans="1:56" ht="14.4" customHeight="1">
      <c r="A13" s="70">
        <f>IF(B13="","",COUNTA($B$8:B13))</f>
        <v>6</v>
      </c>
      <c r="B13" s="19" t="s">
        <v>261</v>
      </c>
      <c r="C13" s="20"/>
      <c r="D13" s="20"/>
      <c r="E13" s="20"/>
      <c r="F13" s="20"/>
      <c r="G13" s="20"/>
      <c r="H13" s="39"/>
      <c r="I13" s="31" t="s">
        <v>262</v>
      </c>
      <c r="J13" s="23"/>
      <c r="K13" s="23"/>
      <c r="L13" s="23"/>
      <c r="M13" s="23"/>
      <c r="N13" s="23"/>
      <c r="O13" s="23"/>
      <c r="P13" s="23"/>
      <c r="Q13" s="37"/>
      <c r="R13" s="19" t="s">
        <v>261</v>
      </c>
      <c r="S13" s="23"/>
      <c r="T13" s="23"/>
      <c r="U13" s="23"/>
      <c r="V13" s="23"/>
      <c r="W13" s="23"/>
      <c r="X13" s="24"/>
      <c r="Y13" s="440" t="s">
        <v>150</v>
      </c>
      <c r="Z13" s="441"/>
      <c r="AA13" s="442" t="s">
        <v>151</v>
      </c>
      <c r="AB13" s="443"/>
      <c r="AC13" s="444"/>
      <c r="AD13" s="51">
        <v>10</v>
      </c>
      <c r="AE13" s="29"/>
      <c r="AF13" s="29"/>
      <c r="AG13" s="29"/>
      <c r="AH13" s="28"/>
      <c r="AI13" s="28"/>
      <c r="AJ13" s="28"/>
      <c r="AK13" s="28"/>
      <c r="AL13" s="28"/>
      <c r="AM13" s="28"/>
      <c r="AN13" s="28"/>
      <c r="AO13" s="29"/>
      <c r="AP13" s="29"/>
      <c r="AQ13" s="29"/>
      <c r="AR13" s="29"/>
      <c r="AS13" s="31"/>
      <c r="AT13" s="67"/>
      <c r="AU13" s="67"/>
      <c r="AV13" s="67"/>
      <c r="AW13" s="67"/>
      <c r="AX13" s="67"/>
      <c r="AY13" s="67"/>
      <c r="AZ13" s="67"/>
      <c r="BA13" s="67"/>
      <c r="BB13" s="67"/>
      <c r="BC13" s="67"/>
      <c r="BD13" s="68"/>
    </row>
    <row r="14" spans="1:56" ht="14.4" customHeight="1">
      <c r="A14" s="70">
        <f>IF(B14="","",COUNTA($B$8:B14))</f>
        <v>7</v>
      </c>
      <c r="B14" s="19" t="s">
        <v>263</v>
      </c>
      <c r="C14" s="20"/>
      <c r="D14" s="20"/>
      <c r="E14" s="20"/>
      <c r="F14" s="20"/>
      <c r="G14" s="20"/>
      <c r="H14" s="39"/>
      <c r="I14" s="31" t="s">
        <v>264</v>
      </c>
      <c r="J14" s="23"/>
      <c r="K14" s="23"/>
      <c r="L14" s="23"/>
      <c r="M14" s="23"/>
      <c r="N14" s="23"/>
      <c r="O14" s="23"/>
      <c r="P14" s="23"/>
      <c r="Q14" s="37"/>
      <c r="R14" s="22" t="s">
        <v>263</v>
      </c>
      <c r="S14" s="23"/>
      <c r="T14" s="23"/>
      <c r="U14" s="23"/>
      <c r="V14" s="23"/>
      <c r="W14" s="23"/>
      <c r="X14" s="24"/>
      <c r="Y14" s="440" t="s">
        <v>169</v>
      </c>
      <c r="Z14" s="441"/>
      <c r="AA14" s="442" t="s">
        <v>243</v>
      </c>
      <c r="AB14" s="443"/>
      <c r="AC14" s="444"/>
      <c r="AD14" s="51"/>
      <c r="AE14" s="29"/>
      <c r="AF14" s="29"/>
      <c r="AG14" s="29"/>
      <c r="AH14" s="28"/>
      <c r="AI14" s="28"/>
      <c r="AJ14" s="28"/>
      <c r="AK14" s="28"/>
      <c r="AL14" s="28"/>
      <c r="AM14" s="28"/>
      <c r="AN14" s="28"/>
      <c r="AO14" s="29"/>
      <c r="AP14" s="29"/>
      <c r="AQ14" s="29"/>
      <c r="AR14" s="29"/>
      <c r="AS14" s="31"/>
      <c r="AT14" s="67"/>
      <c r="AU14" s="67"/>
      <c r="AV14" s="67"/>
      <c r="AW14" s="67"/>
      <c r="AX14" s="67"/>
      <c r="AY14" s="67"/>
      <c r="AZ14" s="67"/>
      <c r="BA14" s="67"/>
      <c r="BB14" s="67"/>
      <c r="BC14" s="67"/>
      <c r="BD14" s="68"/>
    </row>
    <row r="15" spans="1:56" ht="14.4" customHeight="1">
      <c r="A15" s="70" t="str">
        <f>IF(B15="","",COUNTA($B$8:B15))</f>
        <v/>
      </c>
      <c r="B15" s="19"/>
      <c r="C15" s="20"/>
      <c r="D15" s="20"/>
      <c r="E15" s="20"/>
      <c r="F15" s="20"/>
      <c r="G15" s="20"/>
      <c r="H15" s="39"/>
      <c r="I15" s="31"/>
      <c r="J15" s="23"/>
      <c r="K15" s="23"/>
      <c r="L15" s="23"/>
      <c r="M15" s="23"/>
      <c r="N15" s="23"/>
      <c r="O15" s="23"/>
      <c r="P15" s="23"/>
      <c r="Q15" s="24"/>
      <c r="R15" s="19"/>
      <c r="S15" s="23"/>
      <c r="T15" s="23"/>
      <c r="U15" s="23"/>
      <c r="V15" s="23"/>
      <c r="W15" s="23"/>
      <c r="X15" s="24"/>
      <c r="Y15" s="440"/>
      <c r="Z15" s="441"/>
      <c r="AA15" s="442"/>
      <c r="AB15" s="443"/>
      <c r="AC15" s="444"/>
      <c r="AD15" s="27"/>
      <c r="AE15" s="29"/>
      <c r="AF15" s="29"/>
      <c r="AG15" s="29"/>
      <c r="AH15" s="28"/>
      <c r="AI15" s="28"/>
      <c r="AJ15" s="28"/>
      <c r="AK15" s="28"/>
      <c r="AL15" s="28"/>
      <c r="AM15" s="28"/>
      <c r="AN15" s="28"/>
      <c r="AO15" s="29"/>
      <c r="AP15" s="29"/>
      <c r="AQ15" s="29"/>
      <c r="AR15" s="29"/>
      <c r="AS15" s="31"/>
      <c r="AT15" s="67"/>
      <c r="AU15" s="67"/>
      <c r="AV15" s="67"/>
      <c r="AW15" s="67"/>
      <c r="AX15" s="67"/>
      <c r="AY15" s="67"/>
      <c r="AZ15" s="67"/>
      <c r="BA15" s="67"/>
      <c r="BB15" s="67"/>
      <c r="BC15" s="67"/>
      <c r="BD15" s="68"/>
    </row>
    <row r="16" spans="1:56" ht="14.4" customHeight="1">
      <c r="A16" s="70" t="str">
        <f>IF(B16="","",COUNTA($B$8:B16))</f>
        <v/>
      </c>
      <c r="B16" s="19"/>
      <c r="C16" s="20"/>
      <c r="D16" s="20"/>
      <c r="E16" s="20"/>
      <c r="F16" s="20"/>
      <c r="G16" s="20"/>
      <c r="H16" s="39"/>
      <c r="I16" s="31"/>
      <c r="J16" s="23"/>
      <c r="K16" s="23"/>
      <c r="L16" s="23"/>
      <c r="M16" s="23"/>
      <c r="N16" s="23"/>
      <c r="O16" s="38"/>
      <c r="P16" s="23"/>
      <c r="Q16" s="24"/>
      <c r="R16" s="19"/>
      <c r="S16" s="23"/>
      <c r="T16" s="23"/>
      <c r="U16" s="23"/>
      <c r="V16" s="23"/>
      <c r="W16" s="23"/>
      <c r="X16" s="24"/>
      <c r="Y16" s="440"/>
      <c r="Z16" s="441"/>
      <c r="AA16" s="442"/>
      <c r="AB16" s="443"/>
      <c r="AC16" s="444"/>
      <c r="AD16" s="27"/>
      <c r="AE16" s="29"/>
      <c r="AF16" s="29"/>
      <c r="AG16" s="29"/>
      <c r="AH16" s="28"/>
      <c r="AI16" s="28"/>
      <c r="AJ16" s="28"/>
      <c r="AK16" s="28"/>
      <c r="AL16" s="28"/>
      <c r="AM16" s="28"/>
      <c r="AN16" s="28"/>
      <c r="AO16" s="29"/>
      <c r="AP16" s="29"/>
      <c r="AQ16" s="29"/>
      <c r="AR16" s="29"/>
      <c r="AS16" s="31"/>
      <c r="AT16" s="67"/>
      <c r="AU16" s="67"/>
      <c r="AV16" s="67"/>
      <c r="AW16" s="67"/>
      <c r="AX16" s="67"/>
      <c r="AY16" s="67"/>
      <c r="AZ16" s="67"/>
      <c r="BA16" s="67"/>
      <c r="BB16" s="67"/>
      <c r="BC16" s="67"/>
      <c r="BD16" s="68"/>
    </row>
    <row r="17" spans="1:56" ht="14.4" customHeight="1">
      <c r="A17" s="70" t="str">
        <f>IF(B17="","",COUNTA($B$8:B17))</f>
        <v/>
      </c>
      <c r="B17" s="25"/>
      <c r="C17" s="26"/>
      <c r="D17" s="26"/>
      <c r="E17" s="26"/>
      <c r="F17" s="26"/>
      <c r="G17" s="26"/>
      <c r="H17" s="39"/>
      <c r="I17" s="31"/>
      <c r="J17" s="23"/>
      <c r="K17" s="23"/>
      <c r="L17" s="23"/>
      <c r="M17" s="23"/>
      <c r="N17" s="23"/>
      <c r="O17" s="26"/>
      <c r="P17" s="23"/>
      <c r="Q17" s="24"/>
      <c r="R17" s="25"/>
      <c r="S17" s="23"/>
      <c r="T17" s="23"/>
      <c r="U17" s="23"/>
      <c r="V17" s="23"/>
      <c r="W17" s="23"/>
      <c r="X17" s="24"/>
      <c r="Y17" s="440"/>
      <c r="Z17" s="441"/>
      <c r="AA17" s="442"/>
      <c r="AB17" s="443"/>
      <c r="AC17" s="444"/>
      <c r="AD17" s="27"/>
      <c r="AE17" s="29"/>
      <c r="AF17" s="29"/>
      <c r="AG17" s="29"/>
      <c r="AH17" s="28"/>
      <c r="AI17" s="28"/>
      <c r="AJ17" s="28"/>
      <c r="AK17" s="28"/>
      <c r="AL17" s="28"/>
      <c r="AM17" s="28"/>
      <c r="AN17" s="28"/>
      <c r="AO17" s="29"/>
      <c r="AP17" s="29"/>
      <c r="AQ17" s="29"/>
      <c r="AR17" s="29"/>
      <c r="AS17" s="31"/>
      <c r="AT17" s="67"/>
      <c r="AU17" s="67"/>
      <c r="AV17" s="67"/>
      <c r="AW17" s="67"/>
      <c r="AX17" s="67"/>
      <c r="AY17" s="67"/>
      <c r="AZ17" s="67"/>
      <c r="BA17" s="67"/>
      <c r="BB17" s="67"/>
      <c r="BC17" s="67"/>
      <c r="BD17" s="68"/>
    </row>
    <row r="18" spans="1:56" ht="14.4" customHeight="1">
      <c r="A18" s="70" t="str">
        <f>IF(B18="","",COUNTA($B$8:B18))</f>
        <v/>
      </c>
      <c r="B18" s="25"/>
      <c r="C18" s="26"/>
      <c r="D18" s="26"/>
      <c r="E18" s="26"/>
      <c r="F18" s="26"/>
      <c r="G18" s="26"/>
      <c r="H18" s="39"/>
      <c r="I18" s="31"/>
      <c r="J18" s="23"/>
      <c r="K18" s="23"/>
      <c r="L18" s="23"/>
      <c r="M18" s="23"/>
      <c r="N18" s="23"/>
      <c r="O18" s="26"/>
      <c r="P18" s="23"/>
      <c r="Q18" s="24"/>
      <c r="R18" s="25"/>
      <c r="S18" s="23"/>
      <c r="T18" s="23"/>
      <c r="U18" s="23"/>
      <c r="V18" s="23"/>
      <c r="W18" s="23"/>
      <c r="X18" s="24"/>
      <c r="Y18" s="440"/>
      <c r="Z18" s="441"/>
      <c r="AA18" s="442"/>
      <c r="AB18" s="443"/>
      <c r="AC18" s="444"/>
      <c r="AD18" s="27"/>
      <c r="AE18" s="29"/>
      <c r="AF18" s="29"/>
      <c r="AG18" s="29"/>
      <c r="AH18" s="28"/>
      <c r="AI18" s="28"/>
      <c r="AJ18" s="28"/>
      <c r="AK18" s="28"/>
      <c r="AL18" s="28"/>
      <c r="AM18" s="28"/>
      <c r="AN18" s="28"/>
      <c r="AO18" s="29"/>
      <c r="AP18" s="29"/>
      <c r="AQ18" s="29"/>
      <c r="AR18" s="29"/>
      <c r="AS18" s="31"/>
      <c r="AT18" s="67"/>
      <c r="AU18" s="67"/>
      <c r="AV18" s="67"/>
      <c r="AW18" s="67"/>
      <c r="AX18" s="67"/>
      <c r="AY18" s="67"/>
      <c r="AZ18" s="67"/>
      <c r="BA18" s="67"/>
      <c r="BB18" s="67"/>
      <c r="BC18" s="67"/>
      <c r="BD18" s="68"/>
    </row>
    <row r="19" spans="1:56" ht="14.4" customHeight="1">
      <c r="A19" s="70" t="str">
        <f>IF(B19="","",COUNTA($B$8:B19))</f>
        <v/>
      </c>
      <c r="B19" s="19"/>
      <c r="C19" s="20"/>
      <c r="D19" s="20"/>
      <c r="E19" s="20"/>
      <c r="F19" s="20"/>
      <c r="G19" s="20"/>
      <c r="H19" s="24"/>
      <c r="I19" s="31"/>
      <c r="J19" s="23"/>
      <c r="K19" s="23"/>
      <c r="L19" s="23"/>
      <c r="M19" s="23"/>
      <c r="N19" s="23"/>
      <c r="O19" s="38"/>
      <c r="P19" s="23"/>
      <c r="Q19" s="24"/>
      <c r="R19" s="19"/>
      <c r="S19" s="23"/>
      <c r="T19" s="23"/>
      <c r="U19" s="23"/>
      <c r="V19" s="23"/>
      <c r="W19" s="23"/>
      <c r="X19" s="24"/>
      <c r="Y19" s="440"/>
      <c r="Z19" s="441"/>
      <c r="AA19" s="442"/>
      <c r="AB19" s="443"/>
      <c r="AC19" s="444"/>
      <c r="AD19" s="27"/>
      <c r="AE19" s="29"/>
      <c r="AF19" s="29"/>
      <c r="AG19" s="29"/>
      <c r="AH19" s="28"/>
      <c r="AI19" s="28"/>
      <c r="AJ19" s="28"/>
      <c r="AK19" s="28"/>
      <c r="AL19" s="28"/>
      <c r="AM19" s="28"/>
      <c r="AN19" s="28"/>
      <c r="AO19" s="29"/>
      <c r="AP19" s="29"/>
      <c r="AQ19" s="29"/>
      <c r="AR19" s="29"/>
      <c r="AS19" s="31"/>
      <c r="AT19" s="67"/>
      <c r="AU19" s="67"/>
      <c r="AV19" s="67"/>
      <c r="AW19" s="67"/>
      <c r="AX19" s="67"/>
      <c r="AY19" s="67"/>
      <c r="AZ19" s="67"/>
      <c r="BA19" s="67"/>
      <c r="BB19" s="67"/>
      <c r="BC19" s="67"/>
      <c r="BD19" s="68"/>
    </row>
    <row r="20" spans="1:56" ht="14.4" customHeight="1">
      <c r="A20" s="70" t="str">
        <f>IF(B20="","",COUNTA($B$8:B20))</f>
        <v/>
      </c>
      <c r="B20" s="19"/>
      <c r="C20" s="20"/>
      <c r="D20" s="20"/>
      <c r="E20" s="20"/>
      <c r="F20" s="20"/>
      <c r="G20" s="20"/>
      <c r="H20" s="24"/>
      <c r="I20" s="31"/>
      <c r="J20" s="23"/>
      <c r="K20" s="23"/>
      <c r="L20" s="23"/>
      <c r="M20" s="23"/>
      <c r="N20" s="23"/>
      <c r="O20" s="38"/>
      <c r="P20" s="23"/>
      <c r="Q20" s="24"/>
      <c r="R20" s="19"/>
      <c r="S20" s="23"/>
      <c r="T20" s="23"/>
      <c r="U20" s="23"/>
      <c r="V20" s="23"/>
      <c r="W20" s="23"/>
      <c r="X20" s="24"/>
      <c r="Y20" s="440"/>
      <c r="Z20" s="441"/>
      <c r="AA20" s="442"/>
      <c r="AB20" s="443"/>
      <c r="AC20" s="444"/>
      <c r="AD20" s="27"/>
      <c r="AE20" s="29"/>
      <c r="AF20" s="29"/>
      <c r="AG20" s="29"/>
      <c r="AH20" s="28"/>
      <c r="AI20" s="28"/>
      <c r="AJ20" s="28"/>
      <c r="AK20" s="28"/>
      <c r="AL20" s="28"/>
      <c r="AM20" s="28"/>
      <c r="AN20" s="28"/>
      <c r="AO20" s="29"/>
      <c r="AP20" s="29"/>
      <c r="AQ20" s="29"/>
      <c r="AR20" s="29"/>
      <c r="AS20" s="31"/>
      <c r="AT20" s="67"/>
      <c r="AU20" s="67"/>
      <c r="AV20" s="67"/>
      <c r="AW20" s="67"/>
      <c r="AX20" s="67"/>
      <c r="AY20" s="67"/>
      <c r="AZ20" s="67"/>
      <c r="BA20" s="67"/>
      <c r="BB20" s="67"/>
      <c r="BC20" s="67"/>
      <c r="BD20" s="68"/>
    </row>
    <row r="21" spans="1:56" ht="14.4" customHeight="1">
      <c r="A21" s="70" t="str">
        <f>IF(B21="","",COUNTA($B$8:B21))</f>
        <v/>
      </c>
      <c r="B21" s="19"/>
      <c r="C21" s="20"/>
      <c r="D21" s="20"/>
      <c r="E21" s="20"/>
      <c r="F21" s="20"/>
      <c r="G21" s="20"/>
      <c r="H21" s="24"/>
      <c r="I21" s="31"/>
      <c r="J21" s="23"/>
      <c r="K21" s="23"/>
      <c r="L21" s="23"/>
      <c r="M21" s="23"/>
      <c r="N21" s="23"/>
      <c r="O21" s="38"/>
      <c r="P21" s="23"/>
      <c r="Q21" s="24"/>
      <c r="R21" s="22"/>
      <c r="S21" s="23"/>
      <c r="T21" s="23"/>
      <c r="U21" s="23"/>
      <c r="V21" s="23"/>
      <c r="W21" s="23"/>
      <c r="X21" s="24"/>
      <c r="Y21" s="440"/>
      <c r="Z21" s="441"/>
      <c r="AA21" s="442"/>
      <c r="AB21" s="443"/>
      <c r="AC21" s="444"/>
      <c r="AD21" s="51"/>
      <c r="AE21" s="29"/>
      <c r="AF21" s="29"/>
      <c r="AG21" s="29"/>
      <c r="AH21" s="28"/>
      <c r="AI21" s="28"/>
      <c r="AJ21" s="28"/>
      <c r="AK21" s="28"/>
      <c r="AL21" s="28"/>
      <c r="AM21" s="28"/>
      <c r="AN21" s="28"/>
      <c r="AO21" s="29"/>
      <c r="AP21" s="29"/>
      <c r="AQ21" s="29"/>
      <c r="AR21" s="29"/>
      <c r="AS21" s="31"/>
      <c r="AT21" s="67"/>
      <c r="AU21" s="67"/>
      <c r="AV21" s="67"/>
      <c r="AW21" s="67"/>
      <c r="AX21" s="67"/>
      <c r="AY21" s="67"/>
      <c r="AZ21" s="67"/>
      <c r="BA21" s="67"/>
      <c r="BB21" s="67"/>
      <c r="BC21" s="67"/>
      <c r="BD21" s="68"/>
    </row>
    <row r="22" spans="1:56" ht="14.4" customHeight="1">
      <c r="A22" s="70" t="str">
        <f>IF(B22="","",COUNTA($B$8:B22))</f>
        <v/>
      </c>
      <c r="B22" s="19"/>
      <c r="C22" s="20"/>
      <c r="D22" s="20"/>
      <c r="E22" s="20"/>
      <c r="F22" s="20"/>
      <c r="G22" s="20"/>
      <c r="H22" s="24"/>
      <c r="I22" s="31"/>
      <c r="J22" s="23"/>
      <c r="K22" s="23"/>
      <c r="L22" s="23"/>
      <c r="M22" s="23"/>
      <c r="N22" s="23"/>
      <c r="O22" s="23"/>
      <c r="P22" s="23"/>
      <c r="Q22" s="37"/>
      <c r="R22" s="19"/>
      <c r="S22" s="23"/>
      <c r="T22" s="23"/>
      <c r="U22" s="23"/>
      <c r="V22" s="23"/>
      <c r="W22" s="23"/>
      <c r="X22" s="24"/>
      <c r="Y22" s="440"/>
      <c r="Z22" s="441"/>
      <c r="AA22" s="442"/>
      <c r="AB22" s="443"/>
      <c r="AC22" s="444"/>
      <c r="AD22" s="27"/>
      <c r="AE22" s="29"/>
      <c r="AF22" s="29"/>
      <c r="AG22" s="29"/>
      <c r="AH22" s="28"/>
      <c r="AI22" s="28"/>
      <c r="AJ22" s="28"/>
      <c r="AK22" s="28"/>
      <c r="AL22" s="28"/>
      <c r="AM22" s="28"/>
      <c r="AN22" s="28"/>
      <c r="AO22" s="29"/>
      <c r="AP22" s="29"/>
      <c r="AQ22" s="29"/>
      <c r="AR22" s="29"/>
      <c r="AS22" s="31"/>
      <c r="AT22" s="67"/>
      <c r="AU22" s="67"/>
      <c r="AV22" s="67"/>
      <c r="AW22" s="67"/>
      <c r="AX22" s="67"/>
      <c r="AY22" s="67"/>
      <c r="AZ22" s="67"/>
      <c r="BA22" s="67"/>
      <c r="BB22" s="67"/>
      <c r="BC22" s="67"/>
      <c r="BD22" s="68"/>
    </row>
    <row r="23" spans="1:56" ht="14.4" customHeight="1">
      <c r="A23" s="70" t="str">
        <f>IF(B23="","",COUNTA($B$8:B23))</f>
        <v/>
      </c>
      <c r="B23" s="19"/>
      <c r="C23" s="20"/>
      <c r="D23" s="20"/>
      <c r="E23" s="20"/>
      <c r="F23" s="20"/>
      <c r="G23" s="20"/>
      <c r="H23" s="24"/>
      <c r="I23" s="31"/>
      <c r="J23" s="23"/>
      <c r="K23" s="23"/>
      <c r="L23" s="23"/>
      <c r="M23" s="23"/>
      <c r="N23" s="23"/>
      <c r="O23" s="23"/>
      <c r="P23" s="23"/>
      <c r="Q23" s="37"/>
      <c r="R23" s="19"/>
      <c r="S23" s="23"/>
      <c r="T23" s="23"/>
      <c r="U23" s="23"/>
      <c r="V23" s="23"/>
      <c r="W23" s="23"/>
      <c r="X23" s="24"/>
      <c r="Y23" s="440"/>
      <c r="Z23" s="441"/>
      <c r="AA23" s="442"/>
      <c r="AB23" s="443"/>
      <c r="AC23" s="444"/>
      <c r="AD23" s="27"/>
      <c r="AE23" s="29"/>
      <c r="AF23" s="29"/>
      <c r="AG23" s="29"/>
      <c r="AH23" s="28"/>
      <c r="AI23" s="28"/>
      <c r="AJ23" s="28"/>
      <c r="AK23" s="28"/>
      <c r="AL23" s="28"/>
      <c r="AM23" s="28"/>
      <c r="AN23" s="28"/>
      <c r="AO23" s="29"/>
      <c r="AP23" s="29"/>
      <c r="AQ23" s="29"/>
      <c r="AR23" s="29"/>
      <c r="AS23" s="31"/>
      <c r="AT23" s="67"/>
      <c r="AU23" s="67"/>
      <c r="AV23" s="67"/>
      <c r="AW23" s="67"/>
      <c r="AX23" s="67"/>
      <c r="AY23" s="67"/>
      <c r="AZ23" s="67"/>
      <c r="BA23" s="67"/>
      <c r="BB23" s="67"/>
      <c r="BC23" s="67"/>
      <c r="BD23" s="68"/>
    </row>
    <row r="24" spans="1:56" ht="14.4" customHeight="1">
      <c r="A24" s="70" t="str">
        <f>IF(B24="","",COUNTA($B$8:B24))</f>
        <v/>
      </c>
      <c r="B24" s="19"/>
      <c r="C24" s="20"/>
      <c r="D24" s="20"/>
      <c r="E24" s="20"/>
      <c r="F24" s="20"/>
      <c r="G24" s="20"/>
      <c r="H24" s="24"/>
      <c r="I24" s="31"/>
      <c r="J24" s="23"/>
      <c r="K24" s="23"/>
      <c r="L24" s="23"/>
      <c r="M24" s="23"/>
      <c r="N24" s="23"/>
      <c r="O24" s="23"/>
      <c r="P24" s="23"/>
      <c r="Q24" s="37"/>
      <c r="R24" s="19"/>
      <c r="S24" s="23"/>
      <c r="T24" s="23"/>
      <c r="U24" s="23"/>
      <c r="V24" s="23"/>
      <c r="W24" s="23"/>
      <c r="X24" s="24"/>
      <c r="Y24" s="440"/>
      <c r="Z24" s="441"/>
      <c r="AA24" s="442"/>
      <c r="AB24" s="443"/>
      <c r="AC24" s="444"/>
      <c r="AD24" s="27"/>
      <c r="AE24" s="29"/>
      <c r="AF24" s="29"/>
      <c r="AG24" s="29"/>
      <c r="AH24" s="28"/>
      <c r="AI24" s="28"/>
      <c r="AJ24" s="28"/>
      <c r="AK24" s="28"/>
      <c r="AL24" s="28"/>
      <c r="AM24" s="28"/>
      <c r="AN24" s="28"/>
      <c r="AO24" s="29"/>
      <c r="AP24" s="29"/>
      <c r="AQ24" s="29"/>
      <c r="AR24" s="29"/>
      <c r="AS24" s="31"/>
      <c r="AT24" s="67"/>
      <c r="AU24" s="67"/>
      <c r="AV24" s="67"/>
      <c r="AW24" s="67"/>
      <c r="AX24" s="67"/>
      <c r="AY24" s="67"/>
      <c r="AZ24" s="67"/>
      <c r="BA24" s="67"/>
      <c r="BB24" s="67"/>
      <c r="BC24" s="67"/>
      <c r="BD24" s="68"/>
    </row>
    <row r="25" spans="1:56" ht="14.4" customHeight="1">
      <c r="A25" s="70" t="str">
        <f>IF(B25="","",COUNTA($B$8:B25))</f>
        <v/>
      </c>
      <c r="B25" s="19"/>
      <c r="C25" s="20"/>
      <c r="D25" s="20"/>
      <c r="E25" s="20"/>
      <c r="F25" s="20"/>
      <c r="G25" s="20"/>
      <c r="H25" s="24"/>
      <c r="I25" s="31"/>
      <c r="J25" s="23"/>
      <c r="K25" s="23"/>
      <c r="L25" s="23"/>
      <c r="M25" s="23"/>
      <c r="N25" s="23"/>
      <c r="O25" s="23"/>
      <c r="P25" s="23"/>
      <c r="Q25" s="37"/>
      <c r="R25" s="19"/>
      <c r="S25" s="23"/>
      <c r="T25" s="23"/>
      <c r="U25" s="23"/>
      <c r="V25" s="23"/>
      <c r="W25" s="23"/>
      <c r="X25" s="24"/>
      <c r="Y25" s="440"/>
      <c r="Z25" s="441"/>
      <c r="AA25" s="442"/>
      <c r="AB25" s="443"/>
      <c r="AC25" s="444"/>
      <c r="AD25" s="27"/>
      <c r="AE25" s="29"/>
      <c r="AF25" s="29"/>
      <c r="AG25" s="29"/>
      <c r="AH25" s="40"/>
      <c r="AI25" s="40"/>
      <c r="AJ25" s="28"/>
      <c r="AK25" s="28"/>
      <c r="AL25" s="28"/>
      <c r="AM25" s="28"/>
      <c r="AN25" s="28"/>
      <c r="AO25" s="29"/>
      <c r="AP25" s="29"/>
      <c r="AQ25" s="29"/>
      <c r="AR25" s="29"/>
      <c r="AS25" s="31"/>
      <c r="AT25" s="67"/>
      <c r="AU25" s="32"/>
      <c r="AV25" s="32"/>
      <c r="AW25" s="32"/>
      <c r="AX25" s="32"/>
      <c r="AY25" s="67"/>
      <c r="AZ25" s="67"/>
      <c r="BA25" s="67"/>
      <c r="BB25" s="67"/>
      <c r="BC25" s="67"/>
      <c r="BD25" s="68"/>
    </row>
    <row r="26" spans="1:56" ht="14.4" customHeight="1">
      <c r="A26" s="70" t="str">
        <f>IF(B26="","",COUNTA($B$8:B26))</f>
        <v/>
      </c>
      <c r="B26" s="19"/>
      <c r="C26" s="20"/>
      <c r="D26" s="20"/>
      <c r="E26" s="20"/>
      <c r="F26" s="20"/>
      <c r="G26" s="20"/>
      <c r="H26" s="24"/>
      <c r="I26" s="31"/>
      <c r="J26" s="23"/>
      <c r="K26" s="23"/>
      <c r="L26" s="23"/>
      <c r="M26" s="23"/>
      <c r="N26" s="23"/>
      <c r="O26" s="23"/>
      <c r="P26" s="23"/>
      <c r="Q26" s="37"/>
      <c r="R26" s="19"/>
      <c r="S26" s="23"/>
      <c r="T26" s="23"/>
      <c r="U26" s="23"/>
      <c r="V26" s="23"/>
      <c r="W26" s="23"/>
      <c r="X26" s="24"/>
      <c r="Y26" s="440"/>
      <c r="Z26" s="441"/>
      <c r="AA26" s="442"/>
      <c r="AB26" s="443"/>
      <c r="AC26" s="444"/>
      <c r="AD26" s="51"/>
      <c r="AE26" s="29"/>
      <c r="AF26" s="29"/>
      <c r="AG26" s="29"/>
      <c r="AH26" s="28"/>
      <c r="AI26" s="28"/>
      <c r="AJ26" s="28"/>
      <c r="AK26" s="28"/>
      <c r="AL26" s="40"/>
      <c r="AM26" s="40"/>
      <c r="AN26" s="40"/>
      <c r="AO26" s="41"/>
      <c r="AP26" s="41"/>
      <c r="AQ26" s="41"/>
      <c r="AR26" s="41"/>
      <c r="AS26" s="42"/>
      <c r="AT26" s="43"/>
      <c r="AU26" s="32"/>
      <c r="AV26" s="32"/>
      <c r="AW26" s="32"/>
      <c r="AX26" s="32"/>
      <c r="AY26" s="32"/>
      <c r="AZ26" s="32"/>
      <c r="BA26" s="32"/>
      <c r="BB26" s="32"/>
      <c r="BC26" s="32"/>
      <c r="BD26" s="33"/>
    </row>
    <row r="27" spans="1:56" ht="14.4" customHeight="1">
      <c r="A27" s="70" t="str">
        <f>IF(B27="","",COUNTA($B$8:B27))</f>
        <v/>
      </c>
      <c r="B27" s="19"/>
      <c r="C27" s="20"/>
      <c r="D27" s="20"/>
      <c r="E27" s="20"/>
      <c r="F27" s="20"/>
      <c r="G27" s="20"/>
      <c r="H27" s="24"/>
      <c r="I27" s="31"/>
      <c r="J27" s="23"/>
      <c r="K27" s="23"/>
      <c r="L27" s="23"/>
      <c r="M27" s="23"/>
      <c r="N27" s="23"/>
      <c r="O27" s="23"/>
      <c r="P27" s="23"/>
      <c r="Q27" s="37"/>
      <c r="R27" s="19"/>
      <c r="S27" s="23"/>
      <c r="T27" s="23"/>
      <c r="U27" s="23"/>
      <c r="V27" s="23"/>
      <c r="W27" s="23"/>
      <c r="X27" s="24"/>
      <c r="Y27" s="440"/>
      <c r="Z27" s="441"/>
      <c r="AA27" s="442"/>
      <c r="AB27" s="443"/>
      <c r="AC27" s="444"/>
      <c r="AD27" s="27"/>
      <c r="AE27" s="29"/>
      <c r="AF27" s="29"/>
      <c r="AG27" s="29"/>
      <c r="AH27" s="40"/>
      <c r="AI27" s="40"/>
      <c r="AJ27" s="40"/>
      <c r="AK27" s="40"/>
      <c r="AL27" s="40"/>
      <c r="AM27" s="40"/>
      <c r="AN27" s="40"/>
      <c r="AO27" s="41"/>
      <c r="AP27" s="41"/>
      <c r="AQ27" s="41"/>
      <c r="AR27" s="41"/>
      <c r="AS27" s="42"/>
      <c r="AT27" s="43"/>
      <c r="AU27" s="67"/>
      <c r="AV27" s="67"/>
      <c r="AW27" s="67"/>
      <c r="AX27" s="67"/>
      <c r="AY27" s="32"/>
      <c r="AZ27" s="32"/>
      <c r="BA27" s="32"/>
      <c r="BB27" s="32"/>
      <c r="BC27" s="32"/>
      <c r="BD27" s="33"/>
    </row>
    <row r="28" spans="1:56" ht="14.4" customHeight="1">
      <c r="A28" s="70" t="str">
        <f>IF(B28="","",COUNTA($B$8:B28))</f>
        <v/>
      </c>
      <c r="B28" s="19"/>
      <c r="C28" s="20"/>
      <c r="D28" s="20"/>
      <c r="E28" s="20"/>
      <c r="F28" s="20"/>
      <c r="G28" s="20"/>
      <c r="H28" s="24"/>
      <c r="I28" s="31"/>
      <c r="J28" s="23"/>
      <c r="K28" s="23"/>
      <c r="L28" s="23"/>
      <c r="M28" s="23"/>
      <c r="N28" s="23"/>
      <c r="O28" s="23"/>
      <c r="P28" s="23"/>
      <c r="Q28" s="37"/>
      <c r="R28" s="19"/>
      <c r="S28" s="23"/>
      <c r="T28" s="23"/>
      <c r="U28" s="23"/>
      <c r="V28" s="23"/>
      <c r="W28" s="23"/>
      <c r="X28" s="24"/>
      <c r="Y28" s="440"/>
      <c r="Z28" s="441"/>
      <c r="AA28" s="442"/>
      <c r="AB28" s="443"/>
      <c r="AC28" s="444"/>
      <c r="AD28" s="51"/>
      <c r="AE28" s="29"/>
      <c r="AF28" s="29"/>
      <c r="AG28" s="29"/>
      <c r="AH28" s="40"/>
      <c r="AI28" s="40"/>
      <c r="AJ28" s="40"/>
      <c r="AK28" s="40"/>
      <c r="AL28" s="40"/>
      <c r="AM28" s="40"/>
      <c r="AN28" s="40"/>
      <c r="AO28" s="41"/>
      <c r="AP28" s="41"/>
      <c r="AQ28" s="41"/>
      <c r="AR28" s="41"/>
      <c r="AS28" s="42"/>
      <c r="AT28" s="43"/>
      <c r="AU28" s="67"/>
      <c r="AV28" s="67"/>
      <c r="AW28" s="67"/>
      <c r="AX28" s="67"/>
      <c r="AY28" s="67"/>
      <c r="AZ28" s="67"/>
      <c r="BA28" s="67"/>
      <c r="BB28" s="67"/>
      <c r="BC28" s="67"/>
      <c r="BD28" s="68"/>
    </row>
    <row r="29" spans="1:56" ht="14.4" customHeight="1">
      <c r="A29" s="70" t="str">
        <f>IF(B29="","",COUNTA($B$8:B29))</f>
        <v/>
      </c>
      <c r="B29" s="19"/>
      <c r="C29" s="20"/>
      <c r="D29" s="20"/>
      <c r="E29" s="20"/>
      <c r="F29" s="20"/>
      <c r="G29" s="20"/>
      <c r="H29" s="24"/>
      <c r="I29" s="31"/>
      <c r="J29" s="23"/>
      <c r="K29" s="23"/>
      <c r="L29" s="23"/>
      <c r="M29" s="23"/>
      <c r="N29" s="23"/>
      <c r="O29" s="23"/>
      <c r="P29" s="23"/>
      <c r="Q29" s="37"/>
      <c r="R29" s="22"/>
      <c r="S29" s="23"/>
      <c r="T29" s="23"/>
      <c r="U29" s="23"/>
      <c r="V29" s="23"/>
      <c r="W29" s="23"/>
      <c r="X29" s="24"/>
      <c r="Y29" s="440"/>
      <c r="Z29" s="441"/>
      <c r="AA29" s="442"/>
      <c r="AB29" s="443"/>
      <c r="AC29" s="444"/>
      <c r="AD29" s="51"/>
      <c r="AE29" s="29"/>
      <c r="AF29" s="29"/>
      <c r="AG29" s="29"/>
      <c r="AH29" s="28"/>
      <c r="AI29" s="28"/>
      <c r="AJ29" s="28"/>
      <c r="AK29" s="28"/>
      <c r="AL29" s="28"/>
      <c r="AM29" s="28"/>
      <c r="AN29" s="28"/>
      <c r="AO29" s="29"/>
      <c r="AP29" s="29"/>
      <c r="AQ29" s="29"/>
      <c r="AR29" s="29"/>
      <c r="AS29" s="31"/>
      <c r="AT29" s="67"/>
      <c r="AU29" s="67"/>
      <c r="AV29" s="67"/>
      <c r="AW29" s="67"/>
      <c r="AX29" s="67"/>
      <c r="AY29" s="67"/>
      <c r="AZ29" s="67"/>
      <c r="BA29" s="67"/>
      <c r="BB29" s="67"/>
      <c r="BC29" s="67"/>
      <c r="BD29" s="68"/>
    </row>
    <row r="30" spans="1:56" ht="14.4" customHeight="1">
      <c r="A30" s="70" t="str">
        <f>IF(B30="","",COUNTA($B$8:B30))</f>
        <v/>
      </c>
      <c r="B30" s="25"/>
      <c r="C30" s="26"/>
      <c r="D30" s="26"/>
      <c r="E30" s="26"/>
      <c r="F30" s="26"/>
      <c r="G30" s="26"/>
      <c r="H30" s="39"/>
      <c r="I30" s="31"/>
      <c r="J30" s="23"/>
      <c r="K30" s="23"/>
      <c r="L30" s="23"/>
      <c r="M30" s="23"/>
      <c r="N30" s="23"/>
      <c r="O30" s="23"/>
      <c r="P30" s="23"/>
      <c r="Q30" s="24"/>
      <c r="R30" s="22"/>
      <c r="S30" s="23"/>
      <c r="T30" s="23"/>
      <c r="U30" s="23"/>
      <c r="V30" s="23"/>
      <c r="W30" s="23"/>
      <c r="X30" s="24"/>
      <c r="Y30" s="440"/>
      <c r="Z30" s="441"/>
      <c r="AA30" s="442"/>
      <c r="AB30" s="443"/>
      <c r="AC30" s="444"/>
      <c r="AD30" s="27"/>
      <c r="AE30" s="29"/>
      <c r="AF30" s="29"/>
      <c r="AG30" s="29"/>
      <c r="AH30" s="28"/>
      <c r="AI30" s="28"/>
      <c r="AJ30" s="28"/>
      <c r="AK30" s="28"/>
      <c r="AL30" s="28"/>
      <c r="AM30" s="28"/>
      <c r="AN30" s="28"/>
      <c r="AO30" s="29"/>
      <c r="AP30" s="29"/>
      <c r="AQ30" s="29"/>
      <c r="AR30" s="29"/>
      <c r="AS30" s="31"/>
      <c r="AT30" s="67"/>
      <c r="AU30" s="67"/>
      <c r="AV30" s="67"/>
      <c r="AW30" s="67"/>
      <c r="AX30" s="67"/>
      <c r="AY30" s="67"/>
      <c r="AZ30" s="67"/>
      <c r="BA30" s="67"/>
      <c r="BB30" s="67"/>
      <c r="BC30" s="67"/>
      <c r="BD30" s="68"/>
    </row>
    <row r="31" spans="1:56" ht="14.4" customHeight="1">
      <c r="A31" s="70" t="str">
        <f>IF(B31="","",COUNTA($B$8:B31))</f>
        <v/>
      </c>
      <c r="B31" s="19"/>
      <c r="C31" s="20"/>
      <c r="D31" s="20"/>
      <c r="E31" s="20"/>
      <c r="F31" s="20"/>
      <c r="G31" s="20"/>
      <c r="H31" s="24"/>
      <c r="I31" s="31"/>
      <c r="J31" s="23"/>
      <c r="K31" s="23"/>
      <c r="L31" s="23"/>
      <c r="M31" s="23"/>
      <c r="N31" s="23"/>
      <c r="O31" s="23"/>
      <c r="P31" s="23"/>
      <c r="Q31" s="24"/>
      <c r="R31" s="22"/>
      <c r="S31" s="23"/>
      <c r="T31" s="23"/>
      <c r="U31" s="23"/>
      <c r="V31" s="23"/>
      <c r="W31" s="23"/>
      <c r="X31" s="24"/>
      <c r="Y31" s="440"/>
      <c r="Z31" s="441"/>
      <c r="AA31" s="442"/>
      <c r="AB31" s="443"/>
      <c r="AC31" s="444"/>
      <c r="AD31" s="27"/>
      <c r="AE31" s="29"/>
      <c r="AF31" s="29"/>
      <c r="AG31" s="29"/>
      <c r="AH31" s="28"/>
      <c r="AI31" s="28"/>
      <c r="AJ31" s="28"/>
      <c r="AK31" s="28"/>
      <c r="AL31" s="28"/>
      <c r="AM31" s="28"/>
      <c r="AN31" s="28"/>
      <c r="AO31" s="29"/>
      <c r="AP31" s="29"/>
      <c r="AQ31" s="29"/>
      <c r="AR31" s="29"/>
      <c r="AS31" s="31"/>
      <c r="AT31" s="67"/>
      <c r="AU31" s="67"/>
      <c r="AV31" s="67"/>
      <c r="AW31" s="67"/>
      <c r="AX31" s="67"/>
      <c r="AY31" s="67"/>
      <c r="AZ31" s="67"/>
      <c r="BA31" s="67"/>
      <c r="BB31" s="67"/>
      <c r="BC31" s="67"/>
      <c r="BD31" s="68"/>
    </row>
    <row r="32" spans="1:56" ht="14.4" customHeight="1">
      <c r="A32" s="70" t="str">
        <f>IF(B32="","",COUNTA($B$8:B32))</f>
        <v/>
      </c>
      <c r="B32" s="19"/>
      <c r="C32" s="20"/>
      <c r="D32" s="20"/>
      <c r="E32" s="20"/>
      <c r="F32" s="20"/>
      <c r="G32" s="20"/>
      <c r="H32" s="24"/>
      <c r="I32" s="31"/>
      <c r="J32" s="23"/>
      <c r="K32" s="23"/>
      <c r="L32" s="23"/>
      <c r="M32" s="23"/>
      <c r="N32" s="23"/>
      <c r="O32" s="23"/>
      <c r="P32" s="23"/>
      <c r="Q32" s="24"/>
      <c r="R32" s="22"/>
      <c r="S32" s="23"/>
      <c r="T32" s="23"/>
      <c r="U32" s="23"/>
      <c r="V32" s="23"/>
      <c r="W32" s="23"/>
      <c r="X32" s="24"/>
      <c r="Y32" s="440"/>
      <c r="Z32" s="441"/>
      <c r="AA32" s="442"/>
      <c r="AB32" s="443"/>
      <c r="AC32" s="444"/>
      <c r="AD32" s="69"/>
      <c r="AE32" s="29"/>
      <c r="AF32" s="29"/>
      <c r="AG32" s="29"/>
      <c r="AH32" s="28"/>
      <c r="AI32" s="28"/>
      <c r="AJ32" s="28"/>
      <c r="AK32" s="28"/>
      <c r="AL32" s="28"/>
      <c r="AM32" s="28"/>
      <c r="AN32" s="28"/>
      <c r="AO32" s="29"/>
      <c r="AP32" s="29"/>
      <c r="AQ32" s="29"/>
      <c r="AR32" s="29"/>
      <c r="AS32" s="31"/>
      <c r="AT32" s="67"/>
      <c r="AU32" s="67"/>
      <c r="AV32" s="67"/>
      <c r="AW32" s="67"/>
      <c r="AX32" s="67"/>
      <c r="AY32" s="67"/>
      <c r="AZ32" s="67"/>
      <c r="BA32" s="67"/>
      <c r="BB32" s="67"/>
      <c r="BC32" s="67"/>
      <c r="BD32" s="68"/>
    </row>
    <row r="33" spans="1:56" ht="14.4" customHeight="1">
      <c r="A33" s="70" t="str">
        <f>IF(B33="","",COUNTA($B$8:B33))</f>
        <v/>
      </c>
      <c r="B33" s="19"/>
      <c r="C33" s="20"/>
      <c r="D33" s="20"/>
      <c r="E33" s="20"/>
      <c r="F33" s="20"/>
      <c r="G33" s="20"/>
      <c r="H33" s="24"/>
      <c r="I33" s="31"/>
      <c r="J33" s="23"/>
      <c r="K33" s="23"/>
      <c r="L33" s="23"/>
      <c r="M33" s="23"/>
      <c r="N33" s="23"/>
      <c r="O33" s="23"/>
      <c r="P33" s="23"/>
      <c r="Q33" s="37"/>
      <c r="R33" s="22"/>
      <c r="S33" s="23"/>
      <c r="T33" s="23"/>
      <c r="U33" s="23"/>
      <c r="V33" s="23"/>
      <c r="W33" s="23"/>
      <c r="X33" s="37"/>
      <c r="Y33" s="440"/>
      <c r="Z33" s="441"/>
      <c r="AA33" s="442"/>
      <c r="AB33" s="443"/>
      <c r="AC33" s="444"/>
      <c r="AD33" s="51"/>
      <c r="AE33" s="29"/>
      <c r="AF33" s="29"/>
      <c r="AG33" s="29"/>
      <c r="AH33" s="28"/>
      <c r="AI33" s="28"/>
      <c r="AJ33" s="28"/>
      <c r="AK33" s="28"/>
      <c r="AL33" s="28"/>
      <c r="AM33" s="28"/>
      <c r="AN33" s="28"/>
      <c r="AO33" s="29"/>
      <c r="AP33" s="29"/>
      <c r="AQ33" s="29"/>
      <c r="AR33" s="29"/>
      <c r="AS33" s="31"/>
      <c r="AT33" s="67"/>
      <c r="AU33" s="67"/>
      <c r="AV33" s="67"/>
      <c r="AW33" s="67"/>
      <c r="AX33" s="67"/>
      <c r="AY33" s="67"/>
      <c r="AZ33" s="67"/>
      <c r="BA33" s="67"/>
      <c r="BB33" s="67"/>
      <c r="BC33" s="67"/>
      <c r="BD33" s="68"/>
    </row>
    <row r="34" spans="1:56" ht="14.4" customHeight="1">
      <c r="A34" s="70" t="str">
        <f>IF(B34="","",COUNTA($B$8:B34))</f>
        <v/>
      </c>
      <c r="B34" s="19"/>
      <c r="C34" s="20"/>
      <c r="D34" s="20"/>
      <c r="E34" s="20"/>
      <c r="F34" s="20"/>
      <c r="G34" s="20"/>
      <c r="H34" s="24"/>
      <c r="I34" s="31"/>
      <c r="J34" s="23"/>
      <c r="K34" s="23"/>
      <c r="L34" s="23"/>
      <c r="M34" s="23"/>
      <c r="N34" s="23"/>
      <c r="O34" s="23"/>
      <c r="P34" s="23"/>
      <c r="Q34" s="24"/>
      <c r="R34" s="22"/>
      <c r="S34" s="23"/>
      <c r="T34" s="23"/>
      <c r="U34" s="23"/>
      <c r="V34" s="23"/>
      <c r="W34" s="23"/>
      <c r="X34" s="24"/>
      <c r="Y34" s="440"/>
      <c r="Z34" s="441"/>
      <c r="AA34" s="442"/>
      <c r="AB34" s="443"/>
      <c r="AC34" s="444"/>
      <c r="AD34" s="27"/>
      <c r="AE34" s="29"/>
      <c r="AF34" s="29"/>
      <c r="AG34" s="29"/>
      <c r="AH34" s="28"/>
      <c r="AI34" s="28"/>
      <c r="AJ34" s="28"/>
      <c r="AK34" s="28"/>
      <c r="AL34" s="28"/>
      <c r="AM34" s="28"/>
      <c r="AN34" s="28"/>
      <c r="AO34" s="29"/>
      <c r="AP34" s="29"/>
      <c r="AQ34" s="29"/>
      <c r="AR34" s="29"/>
      <c r="AS34" s="31"/>
      <c r="AT34" s="67"/>
      <c r="AU34" s="67"/>
      <c r="AV34" s="67"/>
      <c r="AW34" s="67"/>
      <c r="AX34" s="67"/>
      <c r="AY34" s="67"/>
      <c r="AZ34" s="67"/>
      <c r="BA34" s="67"/>
      <c r="BB34" s="67"/>
      <c r="BC34" s="67"/>
      <c r="BD34" s="68"/>
    </row>
    <row r="35" spans="1:56" ht="14.4" customHeight="1">
      <c r="A35" s="70" t="str">
        <f>IF(B35="","",COUNTA($B$8:B35))</f>
        <v/>
      </c>
      <c r="B35" s="19"/>
      <c r="C35" s="20"/>
      <c r="D35" s="20"/>
      <c r="E35" s="20"/>
      <c r="F35" s="20"/>
      <c r="G35" s="20"/>
      <c r="H35" s="24"/>
      <c r="I35" s="31"/>
      <c r="J35" s="23"/>
      <c r="K35" s="23"/>
      <c r="L35" s="23"/>
      <c r="M35" s="23"/>
      <c r="N35" s="23"/>
      <c r="O35" s="23"/>
      <c r="P35" s="23"/>
      <c r="Q35" s="24"/>
      <c r="R35" s="22"/>
      <c r="S35" s="23"/>
      <c r="T35" s="23"/>
      <c r="U35" s="23"/>
      <c r="V35" s="23"/>
      <c r="W35" s="23"/>
      <c r="X35" s="24"/>
      <c r="Y35" s="440"/>
      <c r="Z35" s="441"/>
      <c r="AA35" s="442"/>
      <c r="AB35" s="443"/>
      <c r="AC35" s="444"/>
      <c r="AD35" s="27"/>
      <c r="AE35" s="29"/>
      <c r="AF35" s="29"/>
      <c r="AG35" s="29"/>
      <c r="AH35" s="28"/>
      <c r="AI35" s="28"/>
      <c r="AJ35" s="28"/>
      <c r="AK35" s="28"/>
      <c r="AL35" s="28"/>
      <c r="AM35" s="28"/>
      <c r="AN35" s="28"/>
      <c r="AO35" s="29"/>
      <c r="AP35" s="29"/>
      <c r="AQ35" s="29"/>
      <c r="AR35" s="29"/>
      <c r="AS35" s="31"/>
      <c r="AT35" s="67"/>
      <c r="AU35" s="67"/>
      <c r="AV35" s="67"/>
      <c r="AW35" s="67"/>
      <c r="AX35" s="67"/>
      <c r="AY35" s="67"/>
      <c r="AZ35" s="67"/>
      <c r="BA35" s="67"/>
      <c r="BB35" s="67"/>
      <c r="BC35" s="67"/>
      <c r="BD35" s="68"/>
    </row>
    <row r="36" spans="1:56" ht="14.4" customHeight="1">
      <c r="A36" s="70" t="str">
        <f>IF(B36="","",COUNTA($B$8:B36))</f>
        <v/>
      </c>
      <c r="B36" s="19"/>
      <c r="C36" s="20"/>
      <c r="D36" s="20"/>
      <c r="E36" s="20"/>
      <c r="F36" s="20"/>
      <c r="G36" s="20"/>
      <c r="H36" s="24"/>
      <c r="I36" s="31"/>
      <c r="J36" s="23"/>
      <c r="K36" s="23"/>
      <c r="L36" s="23"/>
      <c r="M36" s="23"/>
      <c r="N36" s="23"/>
      <c r="O36" s="23"/>
      <c r="P36" s="23"/>
      <c r="Q36" s="24"/>
      <c r="R36" s="22"/>
      <c r="S36" s="23"/>
      <c r="T36" s="23"/>
      <c r="U36" s="23"/>
      <c r="V36" s="23"/>
      <c r="W36" s="23"/>
      <c r="X36" s="24"/>
      <c r="Y36" s="440"/>
      <c r="Z36" s="441"/>
      <c r="AA36" s="442"/>
      <c r="AB36" s="443"/>
      <c r="AC36" s="444"/>
      <c r="AD36" s="27"/>
      <c r="AE36" s="29"/>
      <c r="AF36" s="29"/>
      <c r="AG36" s="29"/>
      <c r="AH36" s="28"/>
      <c r="AI36" s="28"/>
      <c r="AJ36" s="28"/>
      <c r="AK36" s="28"/>
      <c r="AL36" s="28"/>
      <c r="AM36" s="28"/>
      <c r="AN36" s="28"/>
      <c r="AO36" s="29"/>
      <c r="AP36" s="29"/>
      <c r="AQ36" s="29"/>
      <c r="AR36" s="29"/>
      <c r="AS36" s="31"/>
      <c r="AT36" s="67"/>
      <c r="AU36" s="67"/>
      <c r="AV36" s="67"/>
      <c r="AW36" s="67"/>
      <c r="AX36" s="67"/>
      <c r="AY36" s="67"/>
      <c r="AZ36" s="67"/>
      <c r="BA36" s="67"/>
      <c r="BB36" s="67"/>
      <c r="BC36" s="67"/>
      <c r="BD36" s="68"/>
    </row>
    <row r="37" spans="1:56" ht="14.4" customHeight="1">
      <c r="A37" s="70" t="str">
        <f>IF(B37="","",COUNTA($B$8:B37))</f>
        <v/>
      </c>
      <c r="B37" s="19"/>
      <c r="C37" s="20"/>
      <c r="D37" s="20"/>
      <c r="E37" s="20"/>
      <c r="F37" s="20"/>
      <c r="G37" s="20"/>
      <c r="H37" s="24"/>
      <c r="I37" s="31"/>
      <c r="J37" s="23"/>
      <c r="K37" s="23"/>
      <c r="L37" s="23"/>
      <c r="M37" s="23"/>
      <c r="N37" s="23"/>
      <c r="O37" s="23"/>
      <c r="P37" s="23"/>
      <c r="Q37" s="24"/>
      <c r="R37" s="22"/>
      <c r="S37" s="23"/>
      <c r="T37" s="23"/>
      <c r="U37" s="23"/>
      <c r="V37" s="23"/>
      <c r="W37" s="23"/>
      <c r="X37" s="24"/>
      <c r="Y37" s="440"/>
      <c r="Z37" s="441"/>
      <c r="AA37" s="442"/>
      <c r="AB37" s="443"/>
      <c r="AC37" s="444"/>
      <c r="AD37" s="27"/>
      <c r="AE37" s="29"/>
      <c r="AF37" s="29"/>
      <c r="AG37" s="29"/>
      <c r="AH37" s="28"/>
      <c r="AI37" s="28"/>
      <c r="AJ37" s="28"/>
      <c r="AK37" s="28"/>
      <c r="AL37" s="28"/>
      <c r="AM37" s="28"/>
      <c r="AN37" s="28"/>
      <c r="AO37" s="29"/>
      <c r="AP37" s="29"/>
      <c r="AQ37" s="29"/>
      <c r="AR37" s="29"/>
      <c r="AS37" s="31"/>
      <c r="AT37" s="67"/>
      <c r="AU37" s="67"/>
      <c r="AV37" s="67"/>
      <c r="AW37" s="67"/>
      <c r="AX37" s="67"/>
      <c r="AY37" s="67"/>
      <c r="AZ37" s="67"/>
      <c r="BA37" s="67"/>
      <c r="BB37" s="67"/>
      <c r="BC37" s="67"/>
      <c r="BD37" s="68"/>
    </row>
    <row r="38" spans="1:56" ht="14.4" customHeight="1">
      <c r="A38" s="70" t="str">
        <f>IF(B38="","",COUNTA($B$8:B38))</f>
        <v/>
      </c>
      <c r="B38" s="19"/>
      <c r="C38" s="20"/>
      <c r="D38" s="20"/>
      <c r="E38" s="20"/>
      <c r="F38" s="20"/>
      <c r="G38" s="20"/>
      <c r="H38" s="24"/>
      <c r="I38" s="31"/>
      <c r="J38" s="23"/>
      <c r="K38" s="23"/>
      <c r="L38" s="23"/>
      <c r="M38" s="23"/>
      <c r="N38" s="23"/>
      <c r="O38" s="23"/>
      <c r="P38" s="23"/>
      <c r="Q38" s="24"/>
      <c r="R38" s="22"/>
      <c r="S38" s="23"/>
      <c r="T38" s="23"/>
      <c r="U38" s="23"/>
      <c r="V38" s="23"/>
      <c r="W38" s="23"/>
      <c r="X38" s="24"/>
      <c r="Y38" s="440"/>
      <c r="Z38" s="441"/>
      <c r="AA38" s="442"/>
      <c r="AB38" s="443"/>
      <c r="AC38" s="444"/>
      <c r="AD38" s="27"/>
      <c r="AE38" s="29"/>
      <c r="AF38" s="29"/>
      <c r="AG38" s="29"/>
      <c r="AH38" s="28"/>
      <c r="AI38" s="28"/>
      <c r="AJ38" s="28"/>
      <c r="AK38" s="28"/>
      <c r="AL38" s="28"/>
      <c r="AM38" s="28"/>
      <c r="AN38" s="28"/>
      <c r="AO38" s="29"/>
      <c r="AP38" s="29"/>
      <c r="AQ38" s="29"/>
      <c r="AR38" s="29"/>
      <c r="AS38" s="47"/>
      <c r="AT38" s="48"/>
      <c r="AU38" s="48"/>
      <c r="AV38" s="48"/>
      <c r="AW38" s="48"/>
      <c r="AX38" s="48"/>
      <c r="AY38" s="48"/>
      <c r="AZ38" s="48"/>
      <c r="BA38" s="48"/>
      <c r="BB38" s="48"/>
      <c r="BC38" s="48"/>
      <c r="BD38" s="66"/>
    </row>
    <row r="39" spans="1:56" ht="14.4" customHeight="1">
      <c r="A39" s="70" t="str">
        <f>IF(B39="","",COUNTA($B$8:B39))</f>
        <v/>
      </c>
      <c r="B39" s="19"/>
      <c r="C39" s="20"/>
      <c r="D39" s="20"/>
      <c r="E39" s="20"/>
      <c r="F39" s="20"/>
      <c r="G39" s="20"/>
      <c r="H39" s="24"/>
      <c r="I39" s="31"/>
      <c r="J39" s="23"/>
      <c r="K39" s="23"/>
      <c r="L39" s="23"/>
      <c r="M39" s="23"/>
      <c r="N39" s="23"/>
      <c r="O39" s="23"/>
      <c r="P39" s="23"/>
      <c r="Q39" s="24"/>
      <c r="R39" s="22"/>
      <c r="S39" s="23"/>
      <c r="T39" s="23"/>
      <c r="U39" s="23"/>
      <c r="V39" s="23"/>
      <c r="W39" s="23"/>
      <c r="X39" s="24"/>
      <c r="Y39" s="440"/>
      <c r="Z39" s="441"/>
      <c r="AA39" s="442"/>
      <c r="AB39" s="443"/>
      <c r="AC39" s="444"/>
      <c r="AD39" s="27"/>
      <c r="AE39" s="29"/>
      <c r="AF39" s="29"/>
      <c r="AG39" s="29"/>
      <c r="AH39" s="28"/>
      <c r="AI39" s="28"/>
      <c r="AJ39" s="28"/>
      <c r="AK39" s="28"/>
      <c r="AL39" s="28"/>
      <c r="AM39" s="28"/>
      <c r="AN39" s="28"/>
      <c r="AO39" s="29"/>
      <c r="AP39" s="29"/>
      <c r="AQ39" s="29"/>
      <c r="AR39" s="29"/>
      <c r="AS39" s="31"/>
      <c r="AT39" s="67"/>
      <c r="AU39" s="67"/>
      <c r="AV39" s="67"/>
      <c r="AW39" s="67"/>
      <c r="AX39" s="67"/>
      <c r="AY39" s="67"/>
      <c r="AZ39" s="67"/>
      <c r="BA39" s="67"/>
      <c r="BB39" s="67"/>
      <c r="BC39" s="67"/>
      <c r="BD39" s="68"/>
    </row>
    <row r="40" spans="1:56" ht="14.4" customHeight="1">
      <c r="A40" s="70" t="str">
        <f>IF(B40="","",COUNTA($B$8:B40))</f>
        <v/>
      </c>
      <c r="B40" s="19"/>
      <c r="C40" s="20"/>
      <c r="D40" s="20"/>
      <c r="E40" s="20"/>
      <c r="F40" s="20"/>
      <c r="G40" s="20"/>
      <c r="H40" s="24"/>
      <c r="I40" s="31"/>
      <c r="J40" s="23"/>
      <c r="K40" s="23"/>
      <c r="L40" s="23"/>
      <c r="M40" s="23"/>
      <c r="N40" s="23"/>
      <c r="O40" s="23"/>
      <c r="P40" s="23"/>
      <c r="Q40" s="24"/>
      <c r="R40" s="22"/>
      <c r="S40" s="23"/>
      <c r="T40" s="23"/>
      <c r="U40" s="23"/>
      <c r="V40" s="23"/>
      <c r="W40" s="23"/>
      <c r="X40" s="24"/>
      <c r="Y40" s="440"/>
      <c r="Z40" s="441"/>
      <c r="AA40" s="442"/>
      <c r="AB40" s="443"/>
      <c r="AC40" s="444"/>
      <c r="AD40" s="27"/>
      <c r="AE40" s="29"/>
      <c r="AF40" s="29"/>
      <c r="AG40" s="29"/>
      <c r="AH40" s="28"/>
      <c r="AI40" s="28"/>
      <c r="AJ40" s="28"/>
      <c r="AK40" s="28"/>
      <c r="AL40" s="28"/>
      <c r="AM40" s="28"/>
      <c r="AN40" s="28"/>
      <c r="AO40" s="29"/>
      <c r="AP40" s="29"/>
      <c r="AQ40" s="29"/>
      <c r="AR40" s="29"/>
      <c r="AS40" s="31"/>
      <c r="AT40" s="67"/>
      <c r="AU40" s="67"/>
      <c r="AV40" s="67"/>
      <c r="AW40" s="67"/>
      <c r="AX40" s="67"/>
      <c r="AY40" s="67"/>
      <c r="AZ40" s="67"/>
      <c r="BA40" s="67"/>
      <c r="BB40" s="67"/>
      <c r="BC40" s="67"/>
      <c r="BD40" s="68"/>
    </row>
    <row r="41" spans="1:56" ht="14.4" customHeight="1">
      <c r="A41" s="70" t="str">
        <f>IF(B41="","",COUNTA($B$8:B41))</f>
        <v/>
      </c>
      <c r="B41" s="19"/>
      <c r="C41" s="20"/>
      <c r="D41" s="20"/>
      <c r="E41" s="20"/>
      <c r="F41" s="20"/>
      <c r="G41" s="20"/>
      <c r="H41" s="24"/>
      <c r="I41" s="31"/>
      <c r="J41" s="23"/>
      <c r="K41" s="23"/>
      <c r="L41" s="23"/>
      <c r="M41" s="23"/>
      <c r="N41" s="23"/>
      <c r="O41" s="23"/>
      <c r="P41" s="23"/>
      <c r="Q41" s="37"/>
      <c r="R41" s="22"/>
      <c r="S41" s="23"/>
      <c r="T41" s="23"/>
      <c r="U41" s="23"/>
      <c r="V41" s="23"/>
      <c r="W41" s="23"/>
      <c r="X41" s="37"/>
      <c r="Y41" s="440"/>
      <c r="Z41" s="441"/>
      <c r="AA41" s="442"/>
      <c r="AB41" s="443"/>
      <c r="AC41" s="444"/>
      <c r="AD41" s="51"/>
      <c r="AE41" s="29"/>
      <c r="AF41" s="29"/>
      <c r="AG41" s="29"/>
      <c r="AH41" s="40"/>
      <c r="AI41" s="40"/>
      <c r="AJ41" s="40"/>
      <c r="AK41" s="40"/>
      <c r="AL41" s="40"/>
      <c r="AM41" s="40"/>
      <c r="AN41" s="40"/>
      <c r="AO41" s="41"/>
      <c r="AP41" s="41"/>
      <c r="AQ41" s="41"/>
      <c r="AR41" s="41"/>
      <c r="AS41" s="42"/>
      <c r="AT41" s="43"/>
      <c r="AU41" s="67"/>
      <c r="AV41" s="67"/>
      <c r="AW41" s="67"/>
      <c r="AX41" s="67"/>
      <c r="AY41" s="67"/>
      <c r="AZ41" s="67"/>
      <c r="BA41" s="67"/>
      <c r="BB41" s="67"/>
      <c r="BC41" s="67"/>
      <c r="BD41" s="68"/>
    </row>
    <row r="42" spans="1:56" ht="14.4" customHeight="1">
      <c r="A42" s="70" t="str">
        <f>IF(B42="","",COUNTA($B$8:B42))</f>
        <v/>
      </c>
      <c r="B42" s="19"/>
      <c r="C42" s="20"/>
      <c r="D42" s="20"/>
      <c r="E42" s="20"/>
      <c r="F42" s="20"/>
      <c r="G42" s="20"/>
      <c r="H42" s="24"/>
      <c r="I42" s="31"/>
      <c r="J42" s="23"/>
      <c r="K42" s="23"/>
      <c r="L42" s="23"/>
      <c r="M42" s="23"/>
      <c r="N42" s="23"/>
      <c r="O42" s="23"/>
      <c r="P42" s="23"/>
      <c r="Q42" s="37"/>
      <c r="R42" s="22"/>
      <c r="S42" s="23"/>
      <c r="T42" s="23"/>
      <c r="U42" s="23"/>
      <c r="V42" s="23"/>
      <c r="W42" s="23"/>
      <c r="X42" s="37"/>
      <c r="Y42" s="440"/>
      <c r="Z42" s="441"/>
      <c r="AA42" s="442"/>
      <c r="AB42" s="443"/>
      <c r="AC42" s="444"/>
      <c r="AD42" s="51"/>
      <c r="AE42" s="29"/>
      <c r="AF42" s="29"/>
      <c r="AG42" s="29"/>
      <c r="AH42" s="40"/>
      <c r="AI42" s="40"/>
      <c r="AJ42" s="40"/>
      <c r="AK42" s="40"/>
      <c r="AL42" s="40"/>
      <c r="AM42" s="40"/>
      <c r="AN42" s="40"/>
      <c r="AO42" s="41"/>
      <c r="AP42" s="41"/>
      <c r="AQ42" s="41"/>
      <c r="AR42" s="41"/>
      <c r="AS42" s="42"/>
      <c r="AT42" s="43"/>
      <c r="AU42" s="67"/>
      <c r="AV42" s="67"/>
      <c r="AW42" s="67"/>
      <c r="AX42" s="67"/>
      <c r="AY42" s="67"/>
      <c r="AZ42" s="67"/>
      <c r="BA42" s="67"/>
      <c r="BB42" s="67"/>
      <c r="BC42" s="67"/>
      <c r="BD42" s="68"/>
    </row>
    <row r="43" spans="1:56" ht="14.4" customHeight="1">
      <c r="A43" s="70" t="str">
        <f>IF(B43="","",COUNTA($B$8:B43))</f>
        <v/>
      </c>
      <c r="B43" s="19"/>
      <c r="C43" s="20"/>
      <c r="D43" s="20"/>
      <c r="E43" s="20"/>
      <c r="F43" s="20"/>
      <c r="G43" s="20"/>
      <c r="H43" s="24"/>
      <c r="I43" s="31"/>
      <c r="J43" s="23"/>
      <c r="K43" s="23"/>
      <c r="L43" s="23"/>
      <c r="M43" s="23"/>
      <c r="N43" s="23"/>
      <c r="O43" s="23"/>
      <c r="P43" s="23"/>
      <c r="Q43" s="37"/>
      <c r="R43" s="22"/>
      <c r="S43" s="23"/>
      <c r="T43" s="23"/>
      <c r="U43" s="23"/>
      <c r="V43" s="23"/>
      <c r="W43" s="23"/>
      <c r="X43" s="37"/>
      <c r="Y43" s="440"/>
      <c r="Z43" s="441"/>
      <c r="AA43" s="442"/>
      <c r="AB43" s="443"/>
      <c r="AC43" s="444"/>
      <c r="AD43" s="51"/>
      <c r="AE43" s="29"/>
      <c r="AF43" s="29"/>
      <c r="AG43" s="29"/>
      <c r="AH43" s="40"/>
      <c r="AI43" s="40"/>
      <c r="AJ43" s="40"/>
      <c r="AK43" s="40"/>
      <c r="AL43" s="40"/>
      <c r="AM43" s="40"/>
      <c r="AN43" s="40"/>
      <c r="AO43" s="41"/>
      <c r="AP43" s="41"/>
      <c r="AQ43" s="41"/>
      <c r="AR43" s="41"/>
      <c r="AS43" s="42"/>
      <c r="AT43" s="43"/>
      <c r="AU43" s="67"/>
      <c r="AV43" s="67"/>
      <c r="AW43" s="67"/>
      <c r="AX43" s="67"/>
      <c r="AY43" s="67"/>
      <c r="AZ43" s="67"/>
      <c r="BA43" s="67"/>
      <c r="BB43" s="67"/>
      <c r="BC43" s="67"/>
      <c r="BD43" s="68"/>
    </row>
    <row r="44" spans="1:56" ht="14.4" customHeight="1">
      <c r="A44" s="70" t="str">
        <f>IF(B44="","",COUNTA($B$8:B44))</f>
        <v/>
      </c>
      <c r="B44" s="19"/>
      <c r="C44" s="20"/>
      <c r="D44" s="20"/>
      <c r="E44" s="20"/>
      <c r="F44" s="20"/>
      <c r="G44" s="20"/>
      <c r="H44" s="24"/>
      <c r="I44" s="31"/>
      <c r="J44" s="23"/>
      <c r="K44" s="23"/>
      <c r="L44" s="23"/>
      <c r="M44" s="23"/>
      <c r="N44" s="23"/>
      <c r="O44" s="23"/>
      <c r="P44" s="23"/>
      <c r="Q44" s="37"/>
      <c r="R44" s="22"/>
      <c r="S44" s="23"/>
      <c r="T44" s="23"/>
      <c r="U44" s="23"/>
      <c r="V44" s="23"/>
      <c r="W44" s="23"/>
      <c r="X44" s="37"/>
      <c r="Y44" s="440"/>
      <c r="Z44" s="441"/>
      <c r="AA44" s="442"/>
      <c r="AB44" s="443"/>
      <c r="AC44" s="444"/>
      <c r="AD44" s="51"/>
      <c r="AE44" s="29"/>
      <c r="AF44" s="29"/>
      <c r="AG44" s="29"/>
      <c r="AH44" s="40"/>
      <c r="AI44" s="40"/>
      <c r="AJ44" s="40"/>
      <c r="AK44" s="40"/>
      <c r="AL44" s="40"/>
      <c r="AM44" s="40"/>
      <c r="AN44" s="40"/>
      <c r="AO44" s="41"/>
      <c r="AP44" s="41"/>
      <c r="AQ44" s="41"/>
      <c r="AR44" s="41"/>
      <c r="AS44" s="42"/>
      <c r="AT44" s="43"/>
      <c r="AU44" s="67"/>
      <c r="AV44" s="67"/>
      <c r="AW44" s="67"/>
      <c r="AX44" s="67"/>
      <c r="AY44" s="67"/>
      <c r="AZ44" s="67"/>
      <c r="BA44" s="67"/>
      <c r="BB44" s="67"/>
      <c r="BC44" s="67"/>
      <c r="BD44" s="68"/>
    </row>
    <row r="45" spans="1:56" ht="14.4" customHeight="1">
      <c r="A45" s="70" t="str">
        <f>IF(B45="","",COUNTA($B$8:B45))</f>
        <v/>
      </c>
      <c r="B45" s="19"/>
      <c r="C45" s="20"/>
      <c r="D45" s="20"/>
      <c r="E45" s="20"/>
      <c r="F45" s="20"/>
      <c r="G45" s="20"/>
      <c r="H45" s="24"/>
      <c r="I45" s="31"/>
      <c r="J45" s="23"/>
      <c r="K45" s="23"/>
      <c r="L45" s="23"/>
      <c r="M45" s="23"/>
      <c r="N45" s="23"/>
      <c r="O45" s="23"/>
      <c r="P45" s="23"/>
      <c r="Q45" s="37"/>
      <c r="R45" s="22"/>
      <c r="S45" s="23"/>
      <c r="T45" s="23"/>
      <c r="U45" s="23"/>
      <c r="V45" s="23"/>
      <c r="W45" s="23"/>
      <c r="X45" s="37"/>
      <c r="Y45" s="440"/>
      <c r="Z45" s="441"/>
      <c r="AA45" s="442"/>
      <c r="AB45" s="443"/>
      <c r="AC45" s="444"/>
      <c r="AD45" s="51"/>
      <c r="AE45" s="29"/>
      <c r="AF45" s="29"/>
      <c r="AG45" s="29"/>
      <c r="AH45" s="40"/>
      <c r="AI45" s="40"/>
      <c r="AJ45" s="40"/>
      <c r="AK45" s="40"/>
      <c r="AL45" s="40"/>
      <c r="AM45" s="40"/>
      <c r="AN45" s="40"/>
      <c r="AO45" s="41"/>
      <c r="AP45" s="41"/>
      <c r="AQ45" s="41"/>
      <c r="AR45" s="41"/>
      <c r="AS45" s="42"/>
      <c r="AT45" s="43"/>
      <c r="AU45" s="67"/>
      <c r="AV45" s="67"/>
      <c r="AW45" s="67"/>
      <c r="AX45" s="67"/>
      <c r="AY45" s="67"/>
      <c r="AZ45" s="67"/>
      <c r="BA45" s="67"/>
      <c r="BB45" s="67"/>
      <c r="BC45" s="67"/>
      <c r="BD45" s="68"/>
    </row>
    <row r="46" spans="1:56" ht="14.4" customHeight="1">
      <c r="A46" s="70" t="str">
        <f>IF(B46="","",COUNTA($B$8:B46))</f>
        <v/>
      </c>
      <c r="B46" s="19"/>
      <c r="C46" s="20"/>
      <c r="D46" s="20"/>
      <c r="E46" s="20"/>
      <c r="F46" s="20"/>
      <c r="G46" s="20"/>
      <c r="H46" s="24"/>
      <c r="I46" s="31"/>
      <c r="J46" s="23"/>
      <c r="K46" s="23"/>
      <c r="L46" s="23"/>
      <c r="M46" s="23"/>
      <c r="N46" s="23"/>
      <c r="O46" s="23"/>
      <c r="P46" s="23"/>
      <c r="Q46" s="37"/>
      <c r="R46" s="22"/>
      <c r="S46" s="23"/>
      <c r="T46" s="23"/>
      <c r="U46" s="23"/>
      <c r="V46" s="23"/>
      <c r="W46" s="23"/>
      <c r="X46" s="37"/>
      <c r="Y46" s="440"/>
      <c r="Z46" s="441"/>
      <c r="AA46" s="442"/>
      <c r="AB46" s="443"/>
      <c r="AC46" s="444"/>
      <c r="AD46" s="51"/>
      <c r="AE46" s="29"/>
      <c r="AF46" s="29"/>
      <c r="AG46" s="29"/>
      <c r="AH46" s="40"/>
      <c r="AI46" s="40"/>
      <c r="AJ46" s="40"/>
      <c r="AK46" s="40"/>
      <c r="AL46" s="40"/>
      <c r="AM46" s="40"/>
      <c r="AN46" s="40"/>
      <c r="AO46" s="41"/>
      <c r="AP46" s="41"/>
      <c r="AQ46" s="41"/>
      <c r="AR46" s="41"/>
      <c r="AS46" s="42"/>
      <c r="AT46" s="43"/>
      <c r="AU46" s="67"/>
      <c r="AV46" s="67"/>
      <c r="AW46" s="67"/>
      <c r="AX46" s="67"/>
      <c r="AY46" s="67"/>
      <c r="AZ46" s="67"/>
      <c r="BA46" s="67"/>
      <c r="BB46" s="67"/>
      <c r="BC46" s="67"/>
      <c r="BD46" s="68"/>
    </row>
  </sheetData>
  <mergeCells count="110">
    <mergeCell ref="Y45:Z45"/>
    <mergeCell ref="AA45:AC45"/>
    <mergeCell ref="Y46:Z46"/>
    <mergeCell ref="AA46:AC46"/>
    <mergeCell ref="Y42:Z42"/>
    <mergeCell ref="AA42:AC42"/>
    <mergeCell ref="Y43:Z43"/>
    <mergeCell ref="AA43:AC43"/>
    <mergeCell ref="Y44:Z44"/>
    <mergeCell ref="AA44:AC44"/>
    <mergeCell ref="Y39:Z39"/>
    <mergeCell ref="AA39:AC39"/>
    <mergeCell ref="Y40:Z40"/>
    <mergeCell ref="AA40:AC40"/>
    <mergeCell ref="Y41:Z41"/>
    <mergeCell ref="AA41:AC41"/>
    <mergeCell ref="Y36:Z36"/>
    <mergeCell ref="AA36:AC36"/>
    <mergeCell ref="Y37:Z37"/>
    <mergeCell ref="AA37:AC37"/>
    <mergeCell ref="Y38:Z38"/>
    <mergeCell ref="AA38:AC38"/>
    <mergeCell ref="Y33:Z33"/>
    <mergeCell ref="AA33:AC33"/>
    <mergeCell ref="Y34:Z34"/>
    <mergeCell ref="AA34:AC34"/>
    <mergeCell ref="Y35:Z35"/>
    <mergeCell ref="AA35:AC35"/>
    <mergeCell ref="Y30:Z30"/>
    <mergeCell ref="AA30:AC30"/>
    <mergeCell ref="Y31:Z31"/>
    <mergeCell ref="AA31:AC31"/>
    <mergeCell ref="Y32:Z32"/>
    <mergeCell ref="AA32:AC32"/>
    <mergeCell ref="Y27:Z27"/>
    <mergeCell ref="AA27:AC27"/>
    <mergeCell ref="Y28:Z28"/>
    <mergeCell ref="AA28:AC28"/>
    <mergeCell ref="Y29:Z29"/>
    <mergeCell ref="AA29:AC29"/>
    <mergeCell ref="Y24:Z24"/>
    <mergeCell ref="AA24:AC24"/>
    <mergeCell ref="Y25:Z25"/>
    <mergeCell ref="AA25:AC25"/>
    <mergeCell ref="Y26:Z26"/>
    <mergeCell ref="AA26:AC26"/>
    <mergeCell ref="Y21:Z21"/>
    <mergeCell ref="AA21:AC21"/>
    <mergeCell ref="Y22:Z22"/>
    <mergeCell ref="AA22:AC22"/>
    <mergeCell ref="Y23:Z23"/>
    <mergeCell ref="AA23:AC23"/>
    <mergeCell ref="Y18:Z18"/>
    <mergeCell ref="AA18:AC18"/>
    <mergeCell ref="Y19:Z19"/>
    <mergeCell ref="AA19:AC19"/>
    <mergeCell ref="Y20:Z20"/>
    <mergeCell ref="AA20:AC20"/>
    <mergeCell ref="Y15:Z15"/>
    <mergeCell ref="AA15:AC15"/>
    <mergeCell ref="Y16:Z16"/>
    <mergeCell ref="AA16:AC16"/>
    <mergeCell ref="Y17:Z17"/>
    <mergeCell ref="AA17:AC17"/>
    <mergeCell ref="Y12:Z12"/>
    <mergeCell ref="AA12:AC12"/>
    <mergeCell ref="Y13:Z13"/>
    <mergeCell ref="AA13:AC13"/>
    <mergeCell ref="Y14:Z14"/>
    <mergeCell ref="AA14:AC14"/>
    <mergeCell ref="R1:X1"/>
    <mergeCell ref="Y1:AO1"/>
    <mergeCell ref="AP1:AT1"/>
    <mergeCell ref="Y9:Z9"/>
    <mergeCell ref="AA9:AC9"/>
    <mergeCell ref="Y11:Z11"/>
    <mergeCell ref="AA11:AC11"/>
    <mergeCell ref="AG6:AG7"/>
    <mergeCell ref="AH6:AH7"/>
    <mergeCell ref="AE6:AE7"/>
    <mergeCell ref="AF6:AF7"/>
    <mergeCell ref="AI6:AR6"/>
    <mergeCell ref="Y8:Z8"/>
    <mergeCell ref="Y10:Z10"/>
    <mergeCell ref="AA8:AC8"/>
    <mergeCell ref="AA10:AC10"/>
    <mergeCell ref="AU1:AY1"/>
    <mergeCell ref="AP4:AT4"/>
    <mergeCell ref="AU4:AY4"/>
    <mergeCell ref="AS6:BD7"/>
    <mergeCell ref="AZ4:BD4"/>
    <mergeCell ref="A6:A7"/>
    <mergeCell ref="B6:H7"/>
    <mergeCell ref="I6:Q7"/>
    <mergeCell ref="R6:X7"/>
    <mergeCell ref="Y6:Z7"/>
    <mergeCell ref="AA6:AC7"/>
    <mergeCell ref="AD6:AD7"/>
    <mergeCell ref="A1:H4"/>
    <mergeCell ref="AZ1:BD1"/>
    <mergeCell ref="I2:Q4"/>
    <mergeCell ref="R2:X4"/>
    <mergeCell ref="Y2:AO3"/>
    <mergeCell ref="AP2:AT2"/>
    <mergeCell ref="AZ2:BD2"/>
    <mergeCell ref="AP3:AT3"/>
    <mergeCell ref="AU3:AY3"/>
    <mergeCell ref="AZ3:BD3"/>
    <mergeCell ref="Y4:AO4"/>
    <mergeCell ref="I1:Q1"/>
  </mergeCells>
  <phoneticPr fontId="5"/>
  <dataValidations count="3">
    <dataValidation type="list" allowBlank="1" showInputMessage="1" showErrorMessage="1" sqref="Y8:Z46">
      <formula1>"文字,数値,日付,時間"</formula1>
    </dataValidation>
    <dataValidation type="list" allowBlank="1" showInputMessage="1" showErrorMessage="1" sqref="AA8:AC46">
      <formula1>"int,numeric,varchar,date,datetime2(0),datetime2,varbinary(max)"</formula1>
    </dataValidation>
    <dataValidation imeMode="hiragana" allowBlank="1" showInputMessage="1" showErrorMessage="1" sqref="JO65537:JZ65539 TK65537:TV65539 ADG65537:ADR65539 ANC65537:ANN65539 AWY65537:AXJ65539 BGU65537:BHF65539 BQQ65537:BRB65539 CAM65537:CAX65539 CKI65537:CKT65539 CUE65537:CUP65539 DEA65537:DEL65539 DNW65537:DOH65539 DXS65537:DYD65539 EHO65537:EHZ65539 ERK65537:ERV65539 FBG65537:FBR65539 FLC65537:FLN65539 FUY65537:FVJ65539 GEU65537:GFF65539 GOQ65537:GPB65539 GYM65537:GYX65539 HII65537:HIT65539 HSE65537:HSP65539 ICA65537:ICL65539 ILW65537:IMH65539 IVS65537:IWD65539 JFO65537:JFZ65539 JPK65537:JPV65539 JZG65537:JZR65539 KJC65537:KJN65539 KSY65537:KTJ65539 LCU65537:LDF65539 LMQ65537:LNB65539 LWM65537:LWX65539 MGI65537:MGT65539 MQE65537:MQP65539 NAA65537:NAL65539 NJW65537:NKH65539 NTS65537:NUD65539 ODO65537:ODZ65539 ONK65537:ONV65539 OXG65537:OXR65539 PHC65537:PHN65539 PQY65537:PRJ65539 QAU65537:QBF65539 QKQ65537:QLB65539 QUM65537:QUX65539 REI65537:RET65539 ROE65537:ROP65539 RYA65537:RYL65539 SHW65537:SIH65539 SRS65537:SSD65539 TBO65537:TBZ65539 TLK65537:TLV65539 TVG65537:TVR65539 UFC65537:UFN65539 UOY65537:UPJ65539 UYU65537:UZF65539 VIQ65537:VJB65539 VSM65537:VSX65539 WCI65537:WCT65539 WME65537:WMP65539 WWA65537:WWL65539 JO131073:JZ131075 TK131073:TV131075 ADG131073:ADR131075 ANC131073:ANN131075 AWY131073:AXJ131075 BGU131073:BHF131075 BQQ131073:BRB131075 CAM131073:CAX131075 CKI131073:CKT131075 CUE131073:CUP131075 DEA131073:DEL131075 DNW131073:DOH131075 DXS131073:DYD131075 EHO131073:EHZ131075 ERK131073:ERV131075 FBG131073:FBR131075 FLC131073:FLN131075 FUY131073:FVJ131075 GEU131073:GFF131075 GOQ131073:GPB131075 GYM131073:GYX131075 HII131073:HIT131075 HSE131073:HSP131075 ICA131073:ICL131075 ILW131073:IMH131075 IVS131073:IWD131075 JFO131073:JFZ131075 JPK131073:JPV131075 JZG131073:JZR131075 KJC131073:KJN131075 KSY131073:KTJ131075 LCU131073:LDF131075 LMQ131073:LNB131075 LWM131073:LWX131075 MGI131073:MGT131075 MQE131073:MQP131075 NAA131073:NAL131075 NJW131073:NKH131075 NTS131073:NUD131075 ODO131073:ODZ131075 ONK131073:ONV131075 OXG131073:OXR131075 PHC131073:PHN131075 PQY131073:PRJ131075 QAU131073:QBF131075 QKQ131073:QLB131075 QUM131073:QUX131075 REI131073:RET131075 ROE131073:ROP131075 RYA131073:RYL131075 SHW131073:SIH131075 SRS131073:SSD131075 TBO131073:TBZ131075 TLK131073:TLV131075 TVG131073:TVR131075 UFC131073:UFN131075 UOY131073:UPJ131075 UYU131073:UZF131075 VIQ131073:VJB131075 VSM131073:VSX131075 WCI131073:WCT131075 WME131073:WMP131075 WWA131073:WWL131075 JO196609:JZ196611 TK196609:TV196611 ADG196609:ADR196611 ANC196609:ANN196611 AWY196609:AXJ196611 BGU196609:BHF196611 BQQ196609:BRB196611 CAM196609:CAX196611 CKI196609:CKT196611 CUE196609:CUP196611 DEA196609:DEL196611 DNW196609:DOH196611 DXS196609:DYD196611 EHO196609:EHZ196611 ERK196609:ERV196611 FBG196609:FBR196611 FLC196609:FLN196611 FUY196609:FVJ196611 GEU196609:GFF196611 GOQ196609:GPB196611 GYM196609:GYX196611 HII196609:HIT196611 HSE196609:HSP196611 ICA196609:ICL196611 ILW196609:IMH196611 IVS196609:IWD196611 JFO196609:JFZ196611 JPK196609:JPV196611 JZG196609:JZR196611 KJC196609:KJN196611 KSY196609:KTJ196611 LCU196609:LDF196611 LMQ196609:LNB196611 LWM196609:LWX196611 MGI196609:MGT196611 MQE196609:MQP196611 NAA196609:NAL196611 NJW196609:NKH196611 NTS196609:NUD196611 ODO196609:ODZ196611 ONK196609:ONV196611 OXG196609:OXR196611 PHC196609:PHN196611 PQY196609:PRJ196611 QAU196609:QBF196611 QKQ196609:QLB196611 QUM196609:QUX196611 REI196609:RET196611 ROE196609:ROP196611 RYA196609:RYL196611 SHW196609:SIH196611 SRS196609:SSD196611 TBO196609:TBZ196611 TLK196609:TLV196611 TVG196609:TVR196611 UFC196609:UFN196611 UOY196609:UPJ196611 UYU196609:UZF196611 VIQ196609:VJB196611 VSM196609:VSX196611 WCI196609:WCT196611 WME196609:WMP196611 WWA196609:WWL196611 JO262145:JZ262147 TK262145:TV262147 ADG262145:ADR262147 ANC262145:ANN262147 AWY262145:AXJ262147 BGU262145:BHF262147 BQQ262145:BRB262147 CAM262145:CAX262147 CKI262145:CKT262147 CUE262145:CUP262147 DEA262145:DEL262147 DNW262145:DOH262147 DXS262145:DYD262147 EHO262145:EHZ262147 ERK262145:ERV262147 FBG262145:FBR262147 FLC262145:FLN262147 FUY262145:FVJ262147 GEU262145:GFF262147 GOQ262145:GPB262147 GYM262145:GYX262147 HII262145:HIT262147 HSE262145:HSP262147 ICA262145:ICL262147 ILW262145:IMH262147 IVS262145:IWD262147 JFO262145:JFZ262147 JPK262145:JPV262147 JZG262145:JZR262147 KJC262145:KJN262147 KSY262145:KTJ262147 LCU262145:LDF262147 LMQ262145:LNB262147 LWM262145:LWX262147 MGI262145:MGT262147 MQE262145:MQP262147 NAA262145:NAL262147 NJW262145:NKH262147 NTS262145:NUD262147 ODO262145:ODZ262147 ONK262145:ONV262147 OXG262145:OXR262147 PHC262145:PHN262147 PQY262145:PRJ262147 QAU262145:QBF262147 QKQ262145:QLB262147 QUM262145:QUX262147 REI262145:RET262147 ROE262145:ROP262147 RYA262145:RYL262147 SHW262145:SIH262147 SRS262145:SSD262147 TBO262145:TBZ262147 TLK262145:TLV262147 TVG262145:TVR262147 UFC262145:UFN262147 UOY262145:UPJ262147 UYU262145:UZF262147 VIQ262145:VJB262147 VSM262145:VSX262147 WCI262145:WCT262147 WME262145:WMP262147 WWA262145:WWL262147 JO327681:JZ327683 TK327681:TV327683 ADG327681:ADR327683 ANC327681:ANN327683 AWY327681:AXJ327683 BGU327681:BHF327683 BQQ327681:BRB327683 CAM327681:CAX327683 CKI327681:CKT327683 CUE327681:CUP327683 DEA327681:DEL327683 DNW327681:DOH327683 DXS327681:DYD327683 EHO327681:EHZ327683 ERK327681:ERV327683 FBG327681:FBR327683 FLC327681:FLN327683 FUY327681:FVJ327683 GEU327681:GFF327683 GOQ327681:GPB327683 GYM327681:GYX327683 HII327681:HIT327683 HSE327681:HSP327683 ICA327681:ICL327683 ILW327681:IMH327683 IVS327681:IWD327683 JFO327681:JFZ327683 JPK327681:JPV327683 JZG327681:JZR327683 KJC327681:KJN327683 KSY327681:KTJ327683 LCU327681:LDF327683 LMQ327681:LNB327683 LWM327681:LWX327683 MGI327681:MGT327683 MQE327681:MQP327683 NAA327681:NAL327683 NJW327681:NKH327683 NTS327681:NUD327683 ODO327681:ODZ327683 ONK327681:ONV327683 OXG327681:OXR327683 PHC327681:PHN327683 PQY327681:PRJ327683 QAU327681:QBF327683 QKQ327681:QLB327683 QUM327681:QUX327683 REI327681:RET327683 ROE327681:ROP327683 RYA327681:RYL327683 SHW327681:SIH327683 SRS327681:SSD327683 TBO327681:TBZ327683 TLK327681:TLV327683 TVG327681:TVR327683 UFC327681:UFN327683 UOY327681:UPJ327683 UYU327681:UZF327683 VIQ327681:VJB327683 VSM327681:VSX327683 WCI327681:WCT327683 WME327681:WMP327683 WWA327681:WWL327683 JO393217:JZ393219 TK393217:TV393219 ADG393217:ADR393219 ANC393217:ANN393219 AWY393217:AXJ393219 BGU393217:BHF393219 BQQ393217:BRB393219 CAM393217:CAX393219 CKI393217:CKT393219 CUE393217:CUP393219 DEA393217:DEL393219 DNW393217:DOH393219 DXS393217:DYD393219 EHO393217:EHZ393219 ERK393217:ERV393219 FBG393217:FBR393219 FLC393217:FLN393219 FUY393217:FVJ393219 GEU393217:GFF393219 GOQ393217:GPB393219 GYM393217:GYX393219 HII393217:HIT393219 HSE393217:HSP393219 ICA393217:ICL393219 ILW393217:IMH393219 IVS393217:IWD393219 JFO393217:JFZ393219 JPK393217:JPV393219 JZG393217:JZR393219 KJC393217:KJN393219 KSY393217:KTJ393219 LCU393217:LDF393219 LMQ393217:LNB393219 LWM393217:LWX393219 MGI393217:MGT393219 MQE393217:MQP393219 NAA393217:NAL393219 NJW393217:NKH393219 NTS393217:NUD393219 ODO393217:ODZ393219 ONK393217:ONV393219 OXG393217:OXR393219 PHC393217:PHN393219 PQY393217:PRJ393219 QAU393217:QBF393219 QKQ393217:QLB393219 QUM393217:QUX393219 REI393217:RET393219 ROE393217:ROP393219 RYA393217:RYL393219 SHW393217:SIH393219 SRS393217:SSD393219 TBO393217:TBZ393219 TLK393217:TLV393219 TVG393217:TVR393219 UFC393217:UFN393219 UOY393217:UPJ393219 UYU393217:UZF393219 VIQ393217:VJB393219 VSM393217:VSX393219 WCI393217:WCT393219 WME393217:WMP393219 WWA393217:WWL393219 JO458753:JZ458755 TK458753:TV458755 ADG458753:ADR458755 ANC458753:ANN458755 AWY458753:AXJ458755 BGU458753:BHF458755 BQQ458753:BRB458755 CAM458753:CAX458755 CKI458753:CKT458755 CUE458753:CUP458755 DEA458753:DEL458755 DNW458753:DOH458755 DXS458753:DYD458755 EHO458753:EHZ458755 ERK458753:ERV458755 FBG458753:FBR458755 FLC458753:FLN458755 FUY458753:FVJ458755 GEU458753:GFF458755 GOQ458753:GPB458755 GYM458753:GYX458755 HII458753:HIT458755 HSE458753:HSP458755 ICA458753:ICL458755 ILW458753:IMH458755 IVS458753:IWD458755 JFO458753:JFZ458755 JPK458753:JPV458755 JZG458753:JZR458755 KJC458753:KJN458755 KSY458753:KTJ458755 LCU458753:LDF458755 LMQ458753:LNB458755 LWM458753:LWX458755 MGI458753:MGT458755 MQE458753:MQP458755 NAA458753:NAL458755 NJW458753:NKH458755 NTS458753:NUD458755 ODO458753:ODZ458755 ONK458753:ONV458755 OXG458753:OXR458755 PHC458753:PHN458755 PQY458753:PRJ458755 QAU458753:QBF458755 QKQ458753:QLB458755 QUM458753:QUX458755 REI458753:RET458755 ROE458753:ROP458755 RYA458753:RYL458755 SHW458753:SIH458755 SRS458753:SSD458755 TBO458753:TBZ458755 TLK458753:TLV458755 TVG458753:TVR458755 UFC458753:UFN458755 UOY458753:UPJ458755 UYU458753:UZF458755 VIQ458753:VJB458755 VSM458753:VSX458755 WCI458753:WCT458755 WME458753:WMP458755 WWA458753:WWL458755 JO524289:JZ524291 TK524289:TV524291 ADG524289:ADR524291 ANC524289:ANN524291 AWY524289:AXJ524291 BGU524289:BHF524291 BQQ524289:BRB524291 CAM524289:CAX524291 CKI524289:CKT524291 CUE524289:CUP524291 DEA524289:DEL524291 DNW524289:DOH524291 DXS524289:DYD524291 EHO524289:EHZ524291 ERK524289:ERV524291 FBG524289:FBR524291 FLC524289:FLN524291 FUY524289:FVJ524291 GEU524289:GFF524291 GOQ524289:GPB524291 GYM524289:GYX524291 HII524289:HIT524291 HSE524289:HSP524291 ICA524289:ICL524291 ILW524289:IMH524291 IVS524289:IWD524291 JFO524289:JFZ524291 JPK524289:JPV524291 JZG524289:JZR524291 KJC524289:KJN524291 KSY524289:KTJ524291 LCU524289:LDF524291 LMQ524289:LNB524291 LWM524289:LWX524291 MGI524289:MGT524291 MQE524289:MQP524291 NAA524289:NAL524291 NJW524289:NKH524291 NTS524289:NUD524291 ODO524289:ODZ524291 ONK524289:ONV524291 OXG524289:OXR524291 PHC524289:PHN524291 PQY524289:PRJ524291 QAU524289:QBF524291 QKQ524289:QLB524291 QUM524289:QUX524291 REI524289:RET524291 ROE524289:ROP524291 RYA524289:RYL524291 SHW524289:SIH524291 SRS524289:SSD524291 TBO524289:TBZ524291 TLK524289:TLV524291 TVG524289:TVR524291 UFC524289:UFN524291 UOY524289:UPJ524291 UYU524289:UZF524291 VIQ524289:VJB524291 VSM524289:VSX524291 WCI524289:WCT524291 WME524289:WMP524291 WWA524289:WWL524291 JO589825:JZ589827 TK589825:TV589827 ADG589825:ADR589827 ANC589825:ANN589827 AWY589825:AXJ589827 BGU589825:BHF589827 BQQ589825:BRB589827 CAM589825:CAX589827 CKI589825:CKT589827 CUE589825:CUP589827 DEA589825:DEL589827 DNW589825:DOH589827 DXS589825:DYD589827 EHO589825:EHZ589827 ERK589825:ERV589827 FBG589825:FBR589827 FLC589825:FLN589827 FUY589825:FVJ589827 GEU589825:GFF589827 GOQ589825:GPB589827 GYM589825:GYX589827 HII589825:HIT589827 HSE589825:HSP589827 ICA589825:ICL589827 ILW589825:IMH589827 IVS589825:IWD589827 JFO589825:JFZ589827 JPK589825:JPV589827 JZG589825:JZR589827 KJC589825:KJN589827 KSY589825:KTJ589827 LCU589825:LDF589827 LMQ589825:LNB589827 LWM589825:LWX589827 MGI589825:MGT589827 MQE589825:MQP589827 NAA589825:NAL589827 NJW589825:NKH589827 NTS589825:NUD589827 ODO589825:ODZ589827 ONK589825:ONV589827 OXG589825:OXR589827 PHC589825:PHN589827 PQY589825:PRJ589827 QAU589825:QBF589827 QKQ589825:QLB589827 QUM589825:QUX589827 REI589825:RET589827 ROE589825:ROP589827 RYA589825:RYL589827 SHW589825:SIH589827 SRS589825:SSD589827 TBO589825:TBZ589827 TLK589825:TLV589827 TVG589825:TVR589827 UFC589825:UFN589827 UOY589825:UPJ589827 UYU589825:UZF589827 VIQ589825:VJB589827 VSM589825:VSX589827 WCI589825:WCT589827 WME589825:WMP589827 WWA589825:WWL589827 JO655361:JZ655363 TK655361:TV655363 ADG655361:ADR655363 ANC655361:ANN655363 AWY655361:AXJ655363 BGU655361:BHF655363 BQQ655361:BRB655363 CAM655361:CAX655363 CKI655361:CKT655363 CUE655361:CUP655363 DEA655361:DEL655363 DNW655361:DOH655363 DXS655361:DYD655363 EHO655361:EHZ655363 ERK655361:ERV655363 FBG655361:FBR655363 FLC655361:FLN655363 FUY655361:FVJ655363 GEU655361:GFF655363 GOQ655361:GPB655363 GYM655361:GYX655363 HII655361:HIT655363 HSE655361:HSP655363 ICA655361:ICL655363 ILW655361:IMH655363 IVS655361:IWD655363 JFO655361:JFZ655363 JPK655361:JPV655363 JZG655361:JZR655363 KJC655361:KJN655363 KSY655361:KTJ655363 LCU655361:LDF655363 LMQ655361:LNB655363 LWM655361:LWX655363 MGI655361:MGT655363 MQE655361:MQP655363 NAA655361:NAL655363 NJW655361:NKH655363 NTS655361:NUD655363 ODO655361:ODZ655363 ONK655361:ONV655363 OXG655361:OXR655363 PHC655361:PHN655363 PQY655361:PRJ655363 QAU655361:QBF655363 QKQ655361:QLB655363 QUM655361:QUX655363 REI655361:RET655363 ROE655361:ROP655363 RYA655361:RYL655363 SHW655361:SIH655363 SRS655361:SSD655363 TBO655361:TBZ655363 TLK655361:TLV655363 TVG655361:TVR655363 UFC655361:UFN655363 UOY655361:UPJ655363 UYU655361:UZF655363 VIQ655361:VJB655363 VSM655361:VSX655363 WCI655361:WCT655363 WME655361:WMP655363 WWA655361:WWL655363 JO720897:JZ720899 TK720897:TV720899 ADG720897:ADR720899 ANC720897:ANN720899 AWY720897:AXJ720899 BGU720897:BHF720899 BQQ720897:BRB720899 CAM720897:CAX720899 CKI720897:CKT720899 CUE720897:CUP720899 DEA720897:DEL720899 DNW720897:DOH720899 DXS720897:DYD720899 EHO720897:EHZ720899 ERK720897:ERV720899 FBG720897:FBR720899 FLC720897:FLN720899 FUY720897:FVJ720899 GEU720897:GFF720899 GOQ720897:GPB720899 GYM720897:GYX720899 HII720897:HIT720899 HSE720897:HSP720899 ICA720897:ICL720899 ILW720897:IMH720899 IVS720897:IWD720899 JFO720897:JFZ720899 JPK720897:JPV720899 JZG720897:JZR720899 KJC720897:KJN720899 KSY720897:KTJ720899 LCU720897:LDF720899 LMQ720897:LNB720899 LWM720897:LWX720899 MGI720897:MGT720899 MQE720897:MQP720899 NAA720897:NAL720899 NJW720897:NKH720899 NTS720897:NUD720899 ODO720897:ODZ720899 ONK720897:ONV720899 OXG720897:OXR720899 PHC720897:PHN720899 PQY720897:PRJ720899 QAU720897:QBF720899 QKQ720897:QLB720899 QUM720897:QUX720899 REI720897:RET720899 ROE720897:ROP720899 RYA720897:RYL720899 SHW720897:SIH720899 SRS720897:SSD720899 TBO720897:TBZ720899 TLK720897:TLV720899 TVG720897:TVR720899 UFC720897:UFN720899 UOY720897:UPJ720899 UYU720897:UZF720899 VIQ720897:VJB720899 VSM720897:VSX720899 WCI720897:WCT720899 WME720897:WMP720899 WWA720897:WWL720899 JO786433:JZ786435 TK786433:TV786435 ADG786433:ADR786435 ANC786433:ANN786435 AWY786433:AXJ786435 BGU786433:BHF786435 BQQ786433:BRB786435 CAM786433:CAX786435 CKI786433:CKT786435 CUE786433:CUP786435 DEA786433:DEL786435 DNW786433:DOH786435 DXS786433:DYD786435 EHO786433:EHZ786435 ERK786433:ERV786435 FBG786433:FBR786435 FLC786433:FLN786435 FUY786433:FVJ786435 GEU786433:GFF786435 GOQ786433:GPB786435 GYM786433:GYX786435 HII786433:HIT786435 HSE786433:HSP786435 ICA786433:ICL786435 ILW786433:IMH786435 IVS786433:IWD786435 JFO786433:JFZ786435 JPK786433:JPV786435 JZG786433:JZR786435 KJC786433:KJN786435 KSY786433:KTJ786435 LCU786433:LDF786435 LMQ786433:LNB786435 LWM786433:LWX786435 MGI786433:MGT786435 MQE786433:MQP786435 NAA786433:NAL786435 NJW786433:NKH786435 NTS786433:NUD786435 ODO786433:ODZ786435 ONK786433:ONV786435 OXG786433:OXR786435 PHC786433:PHN786435 PQY786433:PRJ786435 QAU786433:QBF786435 QKQ786433:QLB786435 QUM786433:QUX786435 REI786433:RET786435 ROE786433:ROP786435 RYA786433:RYL786435 SHW786433:SIH786435 SRS786433:SSD786435 TBO786433:TBZ786435 TLK786433:TLV786435 TVG786433:TVR786435 UFC786433:UFN786435 UOY786433:UPJ786435 UYU786433:UZF786435 VIQ786433:VJB786435 VSM786433:VSX786435 WCI786433:WCT786435 WME786433:WMP786435 WWA786433:WWL786435 JO851969:JZ851971 TK851969:TV851971 ADG851969:ADR851971 ANC851969:ANN851971 AWY851969:AXJ851971 BGU851969:BHF851971 BQQ851969:BRB851971 CAM851969:CAX851971 CKI851969:CKT851971 CUE851969:CUP851971 DEA851969:DEL851971 DNW851969:DOH851971 DXS851969:DYD851971 EHO851969:EHZ851971 ERK851969:ERV851971 FBG851969:FBR851971 FLC851969:FLN851971 FUY851969:FVJ851971 GEU851969:GFF851971 GOQ851969:GPB851971 GYM851969:GYX851971 HII851969:HIT851971 HSE851969:HSP851971 ICA851969:ICL851971 ILW851969:IMH851971 IVS851969:IWD851971 JFO851969:JFZ851971 JPK851969:JPV851971 JZG851969:JZR851971 KJC851969:KJN851971 KSY851969:KTJ851971 LCU851969:LDF851971 LMQ851969:LNB851971 LWM851969:LWX851971 MGI851969:MGT851971 MQE851969:MQP851971 NAA851969:NAL851971 NJW851969:NKH851971 NTS851969:NUD851971 ODO851969:ODZ851971 ONK851969:ONV851971 OXG851969:OXR851971 PHC851969:PHN851971 PQY851969:PRJ851971 QAU851969:QBF851971 QKQ851969:QLB851971 QUM851969:QUX851971 REI851969:RET851971 ROE851969:ROP851971 RYA851969:RYL851971 SHW851969:SIH851971 SRS851969:SSD851971 TBO851969:TBZ851971 TLK851969:TLV851971 TVG851969:TVR851971 UFC851969:UFN851971 UOY851969:UPJ851971 UYU851969:UZF851971 VIQ851969:VJB851971 VSM851969:VSX851971 WCI851969:WCT851971 WME851969:WMP851971 WWA851969:WWL851971 JO917505:JZ917507 TK917505:TV917507 ADG917505:ADR917507 ANC917505:ANN917507 AWY917505:AXJ917507 BGU917505:BHF917507 BQQ917505:BRB917507 CAM917505:CAX917507 CKI917505:CKT917507 CUE917505:CUP917507 DEA917505:DEL917507 DNW917505:DOH917507 DXS917505:DYD917507 EHO917505:EHZ917507 ERK917505:ERV917507 FBG917505:FBR917507 FLC917505:FLN917507 FUY917505:FVJ917507 GEU917505:GFF917507 GOQ917505:GPB917507 GYM917505:GYX917507 HII917505:HIT917507 HSE917505:HSP917507 ICA917505:ICL917507 ILW917505:IMH917507 IVS917505:IWD917507 JFO917505:JFZ917507 JPK917505:JPV917507 JZG917505:JZR917507 KJC917505:KJN917507 KSY917505:KTJ917507 LCU917505:LDF917507 LMQ917505:LNB917507 LWM917505:LWX917507 MGI917505:MGT917507 MQE917505:MQP917507 NAA917505:NAL917507 NJW917505:NKH917507 NTS917505:NUD917507 ODO917505:ODZ917507 ONK917505:ONV917507 OXG917505:OXR917507 PHC917505:PHN917507 PQY917505:PRJ917507 QAU917505:QBF917507 QKQ917505:QLB917507 QUM917505:QUX917507 REI917505:RET917507 ROE917505:ROP917507 RYA917505:RYL917507 SHW917505:SIH917507 SRS917505:SSD917507 TBO917505:TBZ917507 TLK917505:TLV917507 TVG917505:TVR917507 UFC917505:UFN917507 UOY917505:UPJ917507 UYU917505:UZF917507 VIQ917505:VJB917507 VSM917505:VSX917507 WCI917505:WCT917507 WME917505:WMP917507 WWA917505:WWL917507 JO983041:JZ983043 TK983041:TV983043 ADG983041:ADR983043 ANC983041:ANN983043 AWY983041:AXJ983043 BGU983041:BHF983043 BQQ983041:BRB983043 CAM983041:CAX983043 CKI983041:CKT983043 CUE983041:CUP983043 DEA983041:DEL983043 DNW983041:DOH983043 DXS983041:DYD983043 EHO983041:EHZ983043 ERK983041:ERV983043 FBG983041:FBR983043 FLC983041:FLN983043 FUY983041:FVJ983043 GEU983041:GFF983043 GOQ983041:GPB983043 GYM983041:GYX983043 HII983041:HIT983043 HSE983041:HSP983043 ICA983041:ICL983043 ILW983041:IMH983043 IVS983041:IWD983043 JFO983041:JFZ983043 JPK983041:JPV983043 JZG983041:JZR983043 KJC983041:KJN983043 KSY983041:KTJ983043 LCU983041:LDF983043 LMQ983041:LNB983043 LWM983041:LWX983043 MGI983041:MGT983043 MQE983041:MQP983043 NAA983041:NAL983043 NJW983041:NKH983043 NTS983041:NUD983043 ODO983041:ODZ983043 ONK983041:ONV983043 OXG983041:OXR983043 PHC983041:PHN983043 PQY983041:PRJ983043 QAU983041:QBF983043 QKQ983041:QLB983043 QUM983041:QUX983043 REI983041:RET983043 ROE983041:ROP983043 RYA983041:RYL983043 SHW983041:SIH983043 SRS983041:SSD983043 TBO983041:TBZ983043 TLK983041:TLV983043 TVG983041:TVR983043 UFC983041:UFN983043 UOY983041:UPJ983043 UYU983041:UZF983043 VIQ983041:VJB983043 VSM983041:VSX983043 WCI983041:WCT983043 WME983041:WMP983043 WWA983041:WWL983043 Z262145:AJ262147 Z196609:AJ196611 Z131073:AJ131075 Z65537:AJ65539 Z983041:AJ983043 Z917505:AJ917507 Z851969:AJ851971 Z786433:AJ786435 Z720897:AJ720899 Z655361:AJ655363 Z589825:AJ589827 Z524289:AJ524291 Z458753:AJ458755 Z393217:AJ393219 Z327681:AJ327683 JP2:KA4 TL2:TW4 ADH2:ADS4 AND2:ANO4 AWZ2:AXK4 BGV2:BHG4 BQR2:BRC4 CAN2:CAY4 CKJ2:CKU4 CUF2:CUQ4 DEB2:DEM4 DNX2:DOI4 DXT2:DYE4 EHP2:EIA4 ERL2:ERW4 FBH2:FBS4 FLD2:FLO4 FUZ2:FVK4 GEV2:GFG4 GOR2:GPC4 GYN2:GYY4 HIJ2:HIU4 HSF2:HSQ4 ICB2:ICM4 ILX2:IMI4 IVT2:IWE4 JFP2:JGA4 JPL2:JPW4 JZH2:JZS4 KJD2:KJO4 KSZ2:KTK4 LCV2:LDG4 LMR2:LNC4 LWN2:LWY4 MGJ2:MGU4 MQF2:MQQ4 NAB2:NAM4 NJX2:NKI4 NTT2:NUE4 ODP2:OEA4 ONL2:ONW4 OXH2:OXS4 PHD2:PHO4 PQZ2:PRK4 QAV2:QBG4 QKR2:QLC4 QUN2:QUY4 REJ2:REU4 ROF2:ROQ4 RYB2:RYM4 SHX2:SII4 SRT2:SSE4 TBP2:TCA4 TLL2:TLW4 TVH2:TVS4 UFD2:UFO4 UOZ2:UPK4 UYV2:UZG4 VIR2:VJC4 VSN2:VSY4 WCJ2:WCU4 WMF2:WMQ4 WWB2:WWM4 R2"/>
  </dataValidations>
  <pageMargins left="0.39370078740157483" right="0.39370078740157483" top="0.59055118110236227" bottom="0.39370078740157483" header="0.39370078740157483" footer="0.19685039370078741"/>
  <pageSetup paperSize="9" scale="80" fitToHeight="0" orientation="landscape" useFirstPageNumber="1" verticalDpi="300" r:id="rId1"/>
  <headerFooter alignWithMargins="0">
    <oddFooter>&amp;R&amp;A - &amp;P</oddFooter>
  </headerFooter>
  <legacyDrawing r:id="rId2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>
    <tabColor rgb="FF92D050"/>
  </sheetPr>
  <dimension ref="A1:J813"/>
  <sheetViews>
    <sheetView workbookViewId="0">
      <pane ySplit="3" topLeftCell="A4" activePane="bottomLeft" state="frozen"/>
      <selection sqref="A1:T4"/>
      <selection pane="bottomLeft"/>
    </sheetView>
  </sheetViews>
  <sheetFormatPr defaultRowHeight="14.4"/>
  <cols>
    <col min="1" max="1" width="4.6328125" customWidth="1"/>
    <col min="2" max="2" width="23.6328125" bestFit="1" customWidth="1"/>
    <col min="3" max="5" width="20.6328125" customWidth="1"/>
    <col min="6" max="7" width="10.6328125" customWidth="1"/>
    <col min="8" max="9" width="5.6328125" customWidth="1"/>
    <col min="10" max="10" width="8.7265625" style="16"/>
  </cols>
  <sheetData>
    <row r="1" spans="1:10" ht="18.600000000000001">
      <c r="A1" s="9" t="str">
        <f ca="1">RIGHT(CELL("filename",A1),LEN(CELL("filename",A1))-FIND("]",CELL("filename",A1)))</f>
        <v>項目一覧</v>
      </c>
      <c r="B1" s="10"/>
      <c r="C1" s="10"/>
      <c r="D1" s="10"/>
      <c r="E1" s="10"/>
      <c r="F1" s="10"/>
      <c r="G1" s="10"/>
      <c r="H1" s="10"/>
      <c r="I1" s="10"/>
      <c r="J1" s="11"/>
    </row>
    <row r="3" spans="1:10">
      <c r="A3" s="12" t="s">
        <v>487</v>
      </c>
      <c r="B3" s="12" t="s">
        <v>488</v>
      </c>
      <c r="C3" s="12" t="s">
        <v>489</v>
      </c>
      <c r="D3" s="12" t="s">
        <v>490</v>
      </c>
      <c r="E3" s="12" t="s">
        <v>491</v>
      </c>
      <c r="F3" s="12" t="s">
        <v>492</v>
      </c>
      <c r="G3" s="12" t="s">
        <v>493</v>
      </c>
      <c r="H3" s="12" t="s">
        <v>494</v>
      </c>
      <c r="I3" s="12" t="s">
        <v>495</v>
      </c>
      <c r="J3" s="13" t="s">
        <v>496</v>
      </c>
    </row>
    <row r="4" spans="1:10">
      <c r="A4" s="14">
        <f>IF(B4="","",COUNTA($B$4:B4))</f>
        <v>1</v>
      </c>
      <c r="B4" s="14" t="s">
        <v>1487</v>
      </c>
      <c r="C4" s="14" t="s">
        <v>148</v>
      </c>
      <c r="D4" s="14" t="s">
        <v>149</v>
      </c>
      <c r="E4" s="14" t="s">
        <v>148</v>
      </c>
      <c r="F4" s="14" t="s">
        <v>150</v>
      </c>
      <c r="G4" s="14" t="s">
        <v>151</v>
      </c>
      <c r="H4" s="14">
        <v>15</v>
      </c>
      <c r="I4" s="14"/>
      <c r="J4" s="14"/>
    </row>
    <row r="5" spans="1:10">
      <c r="A5" s="14">
        <f>IF(B5="","",COUNTA($B$4:B5))</f>
        <v>2</v>
      </c>
      <c r="B5" s="14" t="s">
        <v>1487</v>
      </c>
      <c r="C5" s="14" t="s">
        <v>153</v>
      </c>
      <c r="D5" s="14" t="s">
        <v>154</v>
      </c>
      <c r="E5" s="14" t="s">
        <v>153</v>
      </c>
      <c r="F5" s="14" t="s">
        <v>155</v>
      </c>
      <c r="G5" s="14" t="s">
        <v>156</v>
      </c>
      <c r="H5" s="14">
        <v>3</v>
      </c>
      <c r="I5" s="14"/>
      <c r="J5" s="14"/>
    </row>
    <row r="6" spans="1:10">
      <c r="A6" s="14">
        <f>IF(B6="","",COUNTA($B$4:B6))</f>
        <v>3</v>
      </c>
      <c r="B6" s="14" t="s">
        <v>1487</v>
      </c>
      <c r="C6" s="14" t="s">
        <v>157</v>
      </c>
      <c r="D6" s="14" t="s">
        <v>158</v>
      </c>
      <c r="E6" s="14" t="s">
        <v>157</v>
      </c>
      <c r="F6" s="14" t="s">
        <v>150</v>
      </c>
      <c r="G6" s="14" t="s">
        <v>151</v>
      </c>
      <c r="H6" s="14">
        <v>10</v>
      </c>
      <c r="I6" s="14"/>
      <c r="J6" s="14"/>
    </row>
    <row r="7" spans="1:10">
      <c r="A7" s="14">
        <f>IF(B7="","",COUNTA($B$4:B7))</f>
        <v>4</v>
      </c>
      <c r="B7" s="14" t="s">
        <v>1487</v>
      </c>
      <c r="C7" s="14" t="s">
        <v>159</v>
      </c>
      <c r="D7" s="14" t="s">
        <v>160</v>
      </c>
      <c r="E7" s="14" t="s">
        <v>159</v>
      </c>
      <c r="F7" s="14" t="s">
        <v>150</v>
      </c>
      <c r="G7" s="14" t="s">
        <v>151</v>
      </c>
      <c r="H7" s="14">
        <v>4</v>
      </c>
      <c r="I7" s="14"/>
      <c r="J7" s="14"/>
    </row>
    <row r="8" spans="1:10">
      <c r="A8" s="14">
        <f>IF(B8="","",COUNTA($B$4:B8))</f>
        <v>5</v>
      </c>
      <c r="B8" s="14" t="s">
        <v>1487</v>
      </c>
      <c r="C8" s="14" t="s">
        <v>162</v>
      </c>
      <c r="D8" s="14" t="s">
        <v>163</v>
      </c>
      <c r="E8" s="14" t="s">
        <v>164</v>
      </c>
      <c r="F8" s="14" t="s">
        <v>150</v>
      </c>
      <c r="G8" s="14" t="s">
        <v>151</v>
      </c>
      <c r="H8" s="14">
        <v>4</v>
      </c>
      <c r="I8" s="14"/>
      <c r="J8" s="14"/>
    </row>
    <row r="9" spans="1:10">
      <c r="A9" s="14">
        <f>IF(B9="","",COUNTA($B$4:B9))</f>
        <v>6</v>
      </c>
      <c r="B9" s="14" t="s">
        <v>1487</v>
      </c>
      <c r="C9" s="14" t="s">
        <v>166</v>
      </c>
      <c r="D9" s="14" t="s">
        <v>167</v>
      </c>
      <c r="E9" s="14" t="s">
        <v>168</v>
      </c>
      <c r="F9" s="14" t="s">
        <v>169</v>
      </c>
      <c r="G9" s="14" t="s">
        <v>170</v>
      </c>
      <c r="H9" s="14"/>
      <c r="I9" s="14"/>
      <c r="J9" s="14"/>
    </row>
    <row r="10" spans="1:10">
      <c r="A10" s="14">
        <f>IF(B10="","",COUNTA($B$4:B10))</f>
        <v>7</v>
      </c>
      <c r="B10" s="14" t="s">
        <v>1487</v>
      </c>
      <c r="C10" s="14" t="s">
        <v>174</v>
      </c>
      <c r="D10" s="14" t="s">
        <v>175</v>
      </c>
      <c r="E10" s="14" t="s">
        <v>176</v>
      </c>
      <c r="F10" s="14" t="s">
        <v>169</v>
      </c>
      <c r="G10" s="14" t="s">
        <v>170</v>
      </c>
      <c r="H10" s="14"/>
      <c r="I10" s="14"/>
      <c r="J10" s="14"/>
    </row>
    <row r="11" spans="1:10">
      <c r="A11" s="14">
        <f>IF(B11="","",COUNTA($B$4:B11))</f>
        <v>8</v>
      </c>
      <c r="B11" s="14" t="s">
        <v>1487</v>
      </c>
      <c r="C11" s="14" t="s">
        <v>172</v>
      </c>
      <c r="D11" s="14" t="s">
        <v>177</v>
      </c>
      <c r="E11" s="14" t="s">
        <v>172</v>
      </c>
      <c r="F11" s="14" t="s">
        <v>155</v>
      </c>
      <c r="G11" s="14" t="s">
        <v>156</v>
      </c>
      <c r="H11" s="14">
        <v>5</v>
      </c>
      <c r="I11" s="14">
        <v>1</v>
      </c>
      <c r="J11" s="14"/>
    </row>
    <row r="12" spans="1:10">
      <c r="A12" s="14">
        <f>IF(B12="","",COUNTA($B$4:B12))</f>
        <v>9</v>
      </c>
      <c r="B12" s="14" t="s">
        <v>1487</v>
      </c>
      <c r="C12" s="14" t="s">
        <v>178</v>
      </c>
      <c r="D12" s="14" t="s">
        <v>179</v>
      </c>
      <c r="E12" s="14" t="s">
        <v>178</v>
      </c>
      <c r="F12" s="14" t="s">
        <v>150</v>
      </c>
      <c r="G12" s="14" t="s">
        <v>151</v>
      </c>
      <c r="H12" s="14">
        <v>20</v>
      </c>
      <c r="I12" s="14"/>
      <c r="J12" s="14"/>
    </row>
    <row r="13" spans="1:10">
      <c r="A13" s="14">
        <f>IF(B13="","",COUNTA($B$4:B13))</f>
        <v>10</v>
      </c>
      <c r="B13" s="14" t="s">
        <v>1487</v>
      </c>
      <c r="C13" s="14" t="s">
        <v>181</v>
      </c>
      <c r="D13" s="14" t="s">
        <v>182</v>
      </c>
      <c r="E13" s="14" t="s">
        <v>181</v>
      </c>
      <c r="F13" s="14" t="s">
        <v>150</v>
      </c>
      <c r="G13" s="14" t="s">
        <v>151</v>
      </c>
      <c r="H13" s="14">
        <v>30</v>
      </c>
      <c r="I13" s="14"/>
      <c r="J13" s="14"/>
    </row>
    <row r="14" spans="1:10">
      <c r="A14" s="14">
        <f>IF(B14="","",COUNTA($B$4:B14))</f>
        <v>11</v>
      </c>
      <c r="B14" s="14" t="s">
        <v>1487</v>
      </c>
      <c r="C14" s="14" t="s">
        <v>183</v>
      </c>
      <c r="D14" s="14" t="s">
        <v>184</v>
      </c>
      <c r="E14" s="14" t="s">
        <v>183</v>
      </c>
      <c r="F14" s="14" t="s">
        <v>150</v>
      </c>
      <c r="G14" s="14" t="s">
        <v>151</v>
      </c>
      <c r="H14" s="14">
        <v>1000</v>
      </c>
      <c r="I14" s="14"/>
      <c r="J14" s="14"/>
    </row>
    <row r="15" spans="1:10">
      <c r="A15" s="14">
        <f>IF(B15="","",COUNTA($B$4:B15))</f>
        <v>12</v>
      </c>
      <c r="B15" s="14" t="s">
        <v>1487</v>
      </c>
      <c r="C15" s="14" t="s">
        <v>185</v>
      </c>
      <c r="D15" s="14" t="s">
        <v>186</v>
      </c>
      <c r="E15" s="14" t="s">
        <v>185</v>
      </c>
      <c r="F15" s="14" t="s">
        <v>150</v>
      </c>
      <c r="G15" s="14" t="s">
        <v>151</v>
      </c>
      <c r="H15" s="14">
        <v>75</v>
      </c>
      <c r="I15" s="14"/>
      <c r="J15" s="14"/>
    </row>
    <row r="16" spans="1:10">
      <c r="A16" s="14">
        <f>IF(B16="","",COUNTA($B$4:B16))</f>
        <v>13</v>
      </c>
      <c r="B16" s="14" t="s">
        <v>1487</v>
      </c>
      <c r="C16" s="14" t="s">
        <v>187</v>
      </c>
      <c r="D16" s="14" t="s">
        <v>188</v>
      </c>
      <c r="E16" s="14" t="s">
        <v>187</v>
      </c>
      <c r="F16" s="14" t="s">
        <v>155</v>
      </c>
      <c r="G16" s="14" t="s">
        <v>156</v>
      </c>
      <c r="H16" s="14">
        <v>3</v>
      </c>
      <c r="I16" s="14"/>
      <c r="J16" s="14"/>
    </row>
    <row r="17" spans="1:10">
      <c r="A17" s="14">
        <f>IF(B17="","",COUNTA($B$4:B17))</f>
        <v>14</v>
      </c>
      <c r="B17" s="14" t="s">
        <v>1487</v>
      </c>
      <c r="C17" s="14" t="s">
        <v>189</v>
      </c>
      <c r="D17" s="14" t="s">
        <v>190</v>
      </c>
      <c r="E17" s="14" t="s">
        <v>189</v>
      </c>
      <c r="F17" s="14" t="s">
        <v>155</v>
      </c>
      <c r="G17" s="14" t="s">
        <v>156</v>
      </c>
      <c r="H17" s="14">
        <v>3</v>
      </c>
      <c r="I17" s="14"/>
      <c r="J17" s="14"/>
    </row>
    <row r="18" spans="1:10">
      <c r="A18" s="14">
        <f>IF(B18="","",COUNTA($B$4:B18))</f>
        <v>15</v>
      </c>
      <c r="B18" s="14" t="s">
        <v>1487</v>
      </c>
      <c r="C18" s="14" t="s">
        <v>193</v>
      </c>
      <c r="D18" s="14" t="s">
        <v>194</v>
      </c>
      <c r="E18" s="14" t="s">
        <v>193</v>
      </c>
      <c r="F18" s="14" t="s">
        <v>150</v>
      </c>
      <c r="G18" s="14" t="s">
        <v>151</v>
      </c>
      <c r="H18" s="14">
        <v>25</v>
      </c>
      <c r="I18" s="14"/>
      <c r="J18" s="14"/>
    </row>
    <row r="19" spans="1:10">
      <c r="A19" s="14">
        <f>IF(B19="","",COUNTA($B$4:B19))</f>
        <v>16</v>
      </c>
      <c r="B19" s="14" t="s">
        <v>1487</v>
      </c>
      <c r="C19" s="14" t="s">
        <v>195</v>
      </c>
      <c r="D19" s="14" t="s">
        <v>196</v>
      </c>
      <c r="E19" s="14" t="s">
        <v>195</v>
      </c>
      <c r="F19" s="14" t="s">
        <v>150</v>
      </c>
      <c r="G19" s="14" t="s">
        <v>151</v>
      </c>
      <c r="H19" s="14">
        <v>30</v>
      </c>
      <c r="I19" s="14"/>
      <c r="J19" s="14"/>
    </row>
    <row r="20" spans="1:10">
      <c r="A20" s="14">
        <f>IF(B20="","",COUNTA($B$4:B20))</f>
        <v>17</v>
      </c>
      <c r="B20" s="14" t="s">
        <v>1487</v>
      </c>
      <c r="C20" s="14" t="s">
        <v>197</v>
      </c>
      <c r="D20" s="14" t="s">
        <v>198</v>
      </c>
      <c r="E20" s="14" t="s">
        <v>197</v>
      </c>
      <c r="F20" s="14" t="s">
        <v>150</v>
      </c>
      <c r="G20" s="14" t="s">
        <v>151</v>
      </c>
      <c r="H20" s="14">
        <v>5</v>
      </c>
      <c r="I20" s="14"/>
      <c r="J20" s="14"/>
    </row>
    <row r="21" spans="1:10">
      <c r="A21" s="14">
        <f>IF(B21="","",COUNTA($B$4:B21))</f>
        <v>18</v>
      </c>
      <c r="B21" s="14" t="s">
        <v>1487</v>
      </c>
      <c r="C21" s="14" t="s">
        <v>199</v>
      </c>
      <c r="D21" s="14" t="s">
        <v>200</v>
      </c>
      <c r="E21" s="14" t="s">
        <v>199</v>
      </c>
      <c r="F21" s="14" t="s">
        <v>150</v>
      </c>
      <c r="G21" s="14" t="s">
        <v>151</v>
      </c>
      <c r="H21" s="14">
        <v>20</v>
      </c>
      <c r="I21" s="14"/>
      <c r="J21" s="14"/>
    </row>
    <row r="22" spans="1:10">
      <c r="A22" s="14">
        <f>IF(B22="","",COUNTA($B$4:B22))</f>
        <v>19</v>
      </c>
      <c r="B22" s="14" t="s">
        <v>1487</v>
      </c>
      <c r="C22" s="14" t="s">
        <v>201</v>
      </c>
      <c r="D22" s="14" t="s">
        <v>202</v>
      </c>
      <c r="E22" s="14" t="s">
        <v>201</v>
      </c>
      <c r="F22" s="14" t="s">
        <v>150</v>
      </c>
      <c r="G22" s="14" t="s">
        <v>151</v>
      </c>
      <c r="H22" s="14">
        <v>30</v>
      </c>
      <c r="I22" s="14"/>
      <c r="J22" s="14"/>
    </row>
    <row r="23" spans="1:10">
      <c r="A23" s="14">
        <f>IF(B23="","",COUNTA($B$4:B23))</f>
        <v>20</v>
      </c>
      <c r="B23" s="14" t="s">
        <v>1487</v>
      </c>
      <c r="C23" s="14" t="s">
        <v>203</v>
      </c>
      <c r="D23" s="14" t="s">
        <v>204</v>
      </c>
      <c r="E23" s="14" t="s">
        <v>203</v>
      </c>
      <c r="F23" s="14" t="s">
        <v>155</v>
      </c>
      <c r="G23" s="14" t="s">
        <v>156</v>
      </c>
      <c r="H23" s="14">
        <v>5</v>
      </c>
      <c r="I23" s="14">
        <v>2</v>
      </c>
      <c r="J23" s="14"/>
    </row>
    <row r="24" spans="1:10">
      <c r="A24" s="14">
        <f>IF(B24="","",COUNTA($B$4:B24))</f>
        <v>21</v>
      </c>
      <c r="B24" s="14" t="s">
        <v>1487</v>
      </c>
      <c r="C24" s="14" t="s">
        <v>205</v>
      </c>
      <c r="D24" s="14" t="s">
        <v>206</v>
      </c>
      <c r="E24" s="14" t="s">
        <v>205</v>
      </c>
      <c r="F24" s="14" t="s">
        <v>155</v>
      </c>
      <c r="G24" s="14" t="s">
        <v>156</v>
      </c>
      <c r="H24" s="14">
        <v>4</v>
      </c>
      <c r="I24" s="14"/>
      <c r="J24" s="14"/>
    </row>
    <row r="25" spans="1:10">
      <c r="A25" s="14">
        <f>IF(B25="","",COUNTA($B$4:B25))</f>
        <v>22</v>
      </c>
      <c r="B25" s="14" t="s">
        <v>1487</v>
      </c>
      <c r="C25" s="14" t="s">
        <v>208</v>
      </c>
      <c r="D25" s="14" t="s">
        <v>209</v>
      </c>
      <c r="E25" s="14" t="s">
        <v>208</v>
      </c>
      <c r="F25" s="14" t="s">
        <v>155</v>
      </c>
      <c r="G25" s="14" t="s">
        <v>156</v>
      </c>
      <c r="H25" s="14">
        <v>5</v>
      </c>
      <c r="I25" s="14"/>
      <c r="J25" s="14"/>
    </row>
    <row r="26" spans="1:10">
      <c r="A26" s="14">
        <f>IF(B26="","",COUNTA($B$4:B26))</f>
        <v>23</v>
      </c>
      <c r="B26" s="14" t="s">
        <v>1487</v>
      </c>
      <c r="C26" s="14" t="s">
        <v>211</v>
      </c>
      <c r="D26" s="14" t="s">
        <v>212</v>
      </c>
      <c r="E26" s="14" t="s">
        <v>211</v>
      </c>
      <c r="F26" s="14" t="s">
        <v>155</v>
      </c>
      <c r="G26" s="14" t="s">
        <v>156</v>
      </c>
      <c r="H26" s="14">
        <v>5</v>
      </c>
      <c r="I26" s="14"/>
      <c r="J26" s="14"/>
    </row>
    <row r="27" spans="1:10">
      <c r="A27" s="14">
        <f>IF(B27="","",COUNTA($B$4:B27))</f>
        <v>24</v>
      </c>
      <c r="B27" s="14" t="s">
        <v>1487</v>
      </c>
      <c r="C27" s="14" t="s">
        <v>214</v>
      </c>
      <c r="D27" s="14" t="s">
        <v>215</v>
      </c>
      <c r="E27" s="14" t="s">
        <v>1488</v>
      </c>
      <c r="F27" s="14" t="s">
        <v>155</v>
      </c>
      <c r="G27" s="14" t="s">
        <v>156</v>
      </c>
      <c r="H27" s="14">
        <v>5</v>
      </c>
      <c r="I27" s="14"/>
      <c r="J27" s="14"/>
    </row>
    <row r="28" spans="1:10">
      <c r="A28" s="14">
        <f>IF(B28="","",COUNTA($B$4:B28))</f>
        <v>25</v>
      </c>
      <c r="B28" s="14" t="s">
        <v>1487</v>
      </c>
      <c r="C28" s="14" t="s">
        <v>217</v>
      </c>
      <c r="D28" s="14" t="s">
        <v>218</v>
      </c>
      <c r="E28" s="14" t="s">
        <v>219</v>
      </c>
      <c r="F28" s="14" t="s">
        <v>155</v>
      </c>
      <c r="G28" s="14" t="s">
        <v>156</v>
      </c>
      <c r="H28" s="14">
        <v>5</v>
      </c>
      <c r="I28" s="14"/>
      <c r="J28" s="14"/>
    </row>
    <row r="29" spans="1:10">
      <c r="A29" s="14">
        <f>IF(B29="","",COUNTA($B$4:B29))</f>
        <v>26</v>
      </c>
      <c r="B29" s="14" t="s">
        <v>1487</v>
      </c>
      <c r="C29" s="14" t="s">
        <v>220</v>
      </c>
      <c r="D29" s="14" t="s">
        <v>221</v>
      </c>
      <c r="E29" s="14" t="s">
        <v>220</v>
      </c>
      <c r="F29" s="14" t="s">
        <v>155</v>
      </c>
      <c r="G29" s="14" t="s">
        <v>156</v>
      </c>
      <c r="H29" s="14">
        <v>5</v>
      </c>
      <c r="I29" s="14"/>
      <c r="J29" s="14"/>
    </row>
    <row r="30" spans="1:10">
      <c r="A30" s="14">
        <f>IF(B30="","",COUNTA($B$4:B30))</f>
        <v>27</v>
      </c>
      <c r="B30" s="14" t="s">
        <v>1487</v>
      </c>
      <c r="C30" s="14" t="s">
        <v>222</v>
      </c>
      <c r="D30" s="14" t="s">
        <v>223</v>
      </c>
      <c r="E30" s="14" t="s">
        <v>222</v>
      </c>
      <c r="F30" s="14" t="s">
        <v>155</v>
      </c>
      <c r="G30" s="14" t="s">
        <v>156</v>
      </c>
      <c r="H30" s="14">
        <v>5</v>
      </c>
      <c r="I30" s="14"/>
      <c r="J30" s="14"/>
    </row>
    <row r="31" spans="1:10">
      <c r="A31" s="14">
        <f>IF(B31="","",COUNTA($B$4:B31))</f>
        <v>28</v>
      </c>
      <c r="B31" s="14" t="s">
        <v>1487</v>
      </c>
      <c r="C31" s="14" t="s">
        <v>224</v>
      </c>
      <c r="D31" s="14" t="s">
        <v>225</v>
      </c>
      <c r="E31" s="14" t="s">
        <v>224</v>
      </c>
      <c r="F31" s="14" t="s">
        <v>150</v>
      </c>
      <c r="G31" s="14" t="s">
        <v>151</v>
      </c>
      <c r="H31" s="14">
        <v>10</v>
      </c>
      <c r="I31" s="14"/>
      <c r="J31" s="14"/>
    </row>
    <row r="32" spans="1:10">
      <c r="A32" s="14">
        <f>IF(B32="","",COUNTA($B$4:B32))</f>
        <v>29</v>
      </c>
      <c r="B32" s="14" t="s">
        <v>1487</v>
      </c>
      <c r="C32" s="14" t="s">
        <v>226</v>
      </c>
      <c r="D32" s="14" t="s">
        <v>227</v>
      </c>
      <c r="E32" s="14" t="s">
        <v>226</v>
      </c>
      <c r="F32" s="14" t="s">
        <v>150</v>
      </c>
      <c r="G32" s="14" t="s">
        <v>151</v>
      </c>
      <c r="H32" s="14">
        <v>3</v>
      </c>
      <c r="I32" s="14"/>
      <c r="J32" s="14"/>
    </row>
    <row r="33" spans="1:10">
      <c r="A33" s="14">
        <f>IF(B33="","",COUNTA($B$4:B33))</f>
        <v>30</v>
      </c>
      <c r="B33" s="14" t="s">
        <v>1487</v>
      </c>
      <c r="C33" s="14" t="s">
        <v>228</v>
      </c>
      <c r="D33" s="14" t="s">
        <v>229</v>
      </c>
      <c r="E33" s="14" t="s">
        <v>228</v>
      </c>
      <c r="F33" s="14" t="s">
        <v>150</v>
      </c>
      <c r="G33" s="14" t="s">
        <v>151</v>
      </c>
      <c r="H33" s="14">
        <v>1000</v>
      </c>
      <c r="I33" s="14"/>
      <c r="J33" s="14"/>
    </row>
    <row r="34" spans="1:10">
      <c r="A34" s="14">
        <f>IF(B34="","",COUNTA($B$4:B34))</f>
        <v>31</v>
      </c>
      <c r="B34" s="14" t="s">
        <v>1487</v>
      </c>
      <c r="C34" s="14" t="s">
        <v>230</v>
      </c>
      <c r="D34" s="14" t="s">
        <v>231</v>
      </c>
      <c r="E34" s="14" t="s">
        <v>230</v>
      </c>
      <c r="F34" s="14" t="s">
        <v>169</v>
      </c>
      <c r="G34" s="14" t="s">
        <v>170</v>
      </c>
      <c r="H34" s="14"/>
      <c r="I34" s="14"/>
      <c r="J34" s="14"/>
    </row>
    <row r="35" spans="1:10">
      <c r="A35" s="14">
        <f>IF(B35="","",COUNTA($B$4:B35))</f>
        <v>32</v>
      </c>
      <c r="B35" s="14" t="s">
        <v>1487</v>
      </c>
      <c r="C35" s="14" t="s">
        <v>233</v>
      </c>
      <c r="D35" s="14" t="s">
        <v>234</v>
      </c>
      <c r="E35" s="14" t="s">
        <v>233</v>
      </c>
      <c r="F35" s="14" t="s">
        <v>155</v>
      </c>
      <c r="G35" s="14" t="s">
        <v>156</v>
      </c>
      <c r="H35" s="14">
        <v>1</v>
      </c>
      <c r="I35" s="14"/>
      <c r="J35" s="14"/>
    </row>
    <row r="36" spans="1:10">
      <c r="A36" s="14">
        <f>IF(B36="","",COUNTA($B$4:B36))</f>
        <v>33</v>
      </c>
      <c r="B36" s="14" t="s">
        <v>1487</v>
      </c>
      <c r="C36" s="14" t="s">
        <v>236</v>
      </c>
      <c r="D36" s="14" t="s">
        <v>237</v>
      </c>
      <c r="E36" s="14" t="s">
        <v>236</v>
      </c>
      <c r="F36" s="14" t="s">
        <v>155</v>
      </c>
      <c r="G36" s="14" t="s">
        <v>156</v>
      </c>
      <c r="H36" s="14">
        <v>1</v>
      </c>
      <c r="I36" s="14"/>
      <c r="J36" s="14"/>
    </row>
    <row r="37" spans="1:10">
      <c r="A37" s="14">
        <f>IF(B37="","",COUNTA($B$4:B37))</f>
        <v>34</v>
      </c>
      <c r="B37" s="14" t="s">
        <v>1487</v>
      </c>
      <c r="C37" s="14" t="s">
        <v>239</v>
      </c>
      <c r="D37" s="14" t="s">
        <v>240</v>
      </c>
      <c r="E37" s="14" t="s">
        <v>239</v>
      </c>
      <c r="F37" s="14" t="s">
        <v>169</v>
      </c>
      <c r="G37" s="14" t="s">
        <v>170</v>
      </c>
      <c r="H37" s="14"/>
      <c r="I37" s="14"/>
      <c r="J37" s="14"/>
    </row>
    <row r="38" spans="1:10">
      <c r="A38" s="14">
        <f>IF(B38="","",COUNTA($B$4:B38))</f>
        <v>35</v>
      </c>
      <c r="B38" s="14" t="s">
        <v>1487</v>
      </c>
      <c r="C38" s="14" t="s">
        <v>241</v>
      </c>
      <c r="D38" s="14" t="s">
        <v>242</v>
      </c>
      <c r="E38" s="14" t="s">
        <v>241</v>
      </c>
      <c r="F38" s="14" t="s">
        <v>150</v>
      </c>
      <c r="G38" s="14" t="s">
        <v>243</v>
      </c>
      <c r="H38" s="14"/>
      <c r="I38" s="14" t="s">
        <v>244</v>
      </c>
      <c r="J38" s="14"/>
    </row>
    <row r="39" spans="1:10">
      <c r="A39" s="14">
        <f>IF(B39="","",COUNTA($B$4:B39))</f>
        <v>36</v>
      </c>
      <c r="B39" s="14" t="s">
        <v>1487</v>
      </c>
      <c r="C39" s="14" t="s">
        <v>246</v>
      </c>
      <c r="D39" s="14" t="s">
        <v>247</v>
      </c>
      <c r="E39" s="14" t="s">
        <v>246</v>
      </c>
      <c r="F39" s="14" t="s">
        <v>150</v>
      </c>
      <c r="G39" s="14" t="s">
        <v>243</v>
      </c>
      <c r="H39" s="14"/>
      <c r="I39" s="14" t="s">
        <v>244</v>
      </c>
      <c r="J39" s="14"/>
    </row>
    <row r="40" spans="1:10">
      <c r="A40" s="14">
        <f>IF(B40="","",COUNTA($B$4:B40))</f>
        <v>37</v>
      </c>
      <c r="B40" s="14" t="s">
        <v>1487</v>
      </c>
      <c r="C40" s="14" t="s">
        <v>249</v>
      </c>
      <c r="D40" s="14" t="s">
        <v>250</v>
      </c>
      <c r="E40" s="14" t="s">
        <v>249</v>
      </c>
      <c r="F40" s="14" t="s">
        <v>150</v>
      </c>
      <c r="G40" s="14" t="s">
        <v>151</v>
      </c>
      <c r="H40" s="14">
        <v>4</v>
      </c>
      <c r="I40" s="14"/>
      <c r="J40" s="14"/>
    </row>
    <row r="41" spans="1:10">
      <c r="A41" s="14">
        <f>IF(B41="","",COUNTA($B$4:B41))</f>
        <v>38</v>
      </c>
      <c r="B41" s="14" t="s">
        <v>1487</v>
      </c>
      <c r="C41" s="14" t="s">
        <v>251</v>
      </c>
      <c r="D41" s="14" t="s">
        <v>252</v>
      </c>
      <c r="E41" s="14" t="s">
        <v>251</v>
      </c>
      <c r="F41" s="14" t="s">
        <v>150</v>
      </c>
      <c r="G41" s="14" t="s">
        <v>151</v>
      </c>
      <c r="H41" s="14">
        <v>4</v>
      </c>
      <c r="I41" s="14"/>
      <c r="J41" s="14"/>
    </row>
    <row r="42" spans="1:10">
      <c r="A42" s="14">
        <f>IF(B42="","",COUNTA($B$4:B42))</f>
        <v>39</v>
      </c>
      <c r="B42" s="14" t="s">
        <v>1487</v>
      </c>
      <c r="C42" s="14" t="s">
        <v>253</v>
      </c>
      <c r="D42" s="14" t="s">
        <v>254</v>
      </c>
      <c r="E42" s="14" t="s">
        <v>253</v>
      </c>
      <c r="F42" s="14" t="s">
        <v>150</v>
      </c>
      <c r="G42" s="14" t="s">
        <v>151</v>
      </c>
      <c r="H42" s="14">
        <v>10</v>
      </c>
      <c r="I42" s="14"/>
      <c r="J42" s="14"/>
    </row>
    <row r="43" spans="1:10">
      <c r="A43" s="14">
        <f>IF(B43="","",COUNTA($B$4:B43))</f>
        <v>40</v>
      </c>
      <c r="B43" s="14" t="s">
        <v>1487</v>
      </c>
      <c r="C43" s="14" t="s">
        <v>255</v>
      </c>
      <c r="D43" s="14" t="s">
        <v>256</v>
      </c>
      <c r="E43" s="14" t="s">
        <v>255</v>
      </c>
      <c r="F43" s="14" t="s">
        <v>150</v>
      </c>
      <c r="G43" s="14" t="s">
        <v>151</v>
      </c>
      <c r="H43" s="14">
        <v>10</v>
      </c>
      <c r="I43" s="14"/>
      <c r="J43" s="14"/>
    </row>
    <row r="44" spans="1:10">
      <c r="A44" s="14">
        <f>IF(B44="","",COUNTA($B$4:B44))</f>
        <v>41</v>
      </c>
      <c r="B44" s="14" t="s">
        <v>1487</v>
      </c>
      <c r="C44" s="14" t="s">
        <v>257</v>
      </c>
      <c r="D44" s="14" t="s">
        <v>258</v>
      </c>
      <c r="E44" s="14" t="s">
        <v>257</v>
      </c>
      <c r="F44" s="14" t="s">
        <v>169</v>
      </c>
      <c r="G44" s="14" t="s">
        <v>243</v>
      </c>
      <c r="H44" s="14"/>
      <c r="I44" s="14"/>
      <c r="J44" s="14"/>
    </row>
    <row r="45" spans="1:10">
      <c r="A45" s="14">
        <f>IF(B45="","",COUNTA($B$4:B45))</f>
        <v>42</v>
      </c>
      <c r="B45" s="14" t="s">
        <v>1487</v>
      </c>
      <c r="C45" s="14" t="s">
        <v>259</v>
      </c>
      <c r="D45" s="14" t="s">
        <v>260</v>
      </c>
      <c r="E45" s="14" t="s">
        <v>259</v>
      </c>
      <c r="F45" s="14" t="s">
        <v>150</v>
      </c>
      <c r="G45" s="14" t="s">
        <v>151</v>
      </c>
      <c r="H45" s="14">
        <v>10</v>
      </c>
      <c r="I45" s="14"/>
      <c r="J45" s="14"/>
    </row>
    <row r="46" spans="1:10">
      <c r="A46" s="14">
        <f>IF(B46="","",COUNTA($B$4:B46))</f>
        <v>43</v>
      </c>
      <c r="B46" s="14" t="s">
        <v>1487</v>
      </c>
      <c r="C46" s="14" t="s">
        <v>261</v>
      </c>
      <c r="D46" s="14" t="s">
        <v>262</v>
      </c>
      <c r="E46" s="14" t="s">
        <v>261</v>
      </c>
      <c r="F46" s="14" t="s">
        <v>150</v>
      </c>
      <c r="G46" s="14" t="s">
        <v>151</v>
      </c>
      <c r="H46" s="14">
        <v>10</v>
      </c>
      <c r="I46" s="14"/>
      <c r="J46" s="14"/>
    </row>
    <row r="47" spans="1:10">
      <c r="A47" s="14">
        <f>IF(B47="","",COUNTA($B$4:B47))</f>
        <v>44</v>
      </c>
      <c r="B47" s="14" t="s">
        <v>1487</v>
      </c>
      <c r="C47" s="14" t="s">
        <v>263</v>
      </c>
      <c r="D47" s="14" t="s">
        <v>264</v>
      </c>
      <c r="E47" s="14" t="s">
        <v>263</v>
      </c>
      <c r="F47" s="14" t="s">
        <v>169</v>
      </c>
      <c r="G47" s="14" t="s">
        <v>243</v>
      </c>
      <c r="H47" s="14"/>
      <c r="I47" s="14"/>
      <c r="J47" s="14"/>
    </row>
    <row r="48" spans="1:10">
      <c r="A48" s="14">
        <f>IF(B48="","",COUNTA($B$4:B48))</f>
        <v>45</v>
      </c>
      <c r="B48" s="14" t="s">
        <v>1489</v>
      </c>
      <c r="C48" s="14" t="s">
        <v>148</v>
      </c>
      <c r="D48" s="14" t="s">
        <v>149</v>
      </c>
      <c r="E48" s="14" t="s">
        <v>148</v>
      </c>
      <c r="F48" s="14" t="s">
        <v>150</v>
      </c>
      <c r="G48" s="14" t="s">
        <v>151</v>
      </c>
      <c r="H48" s="14">
        <v>15</v>
      </c>
      <c r="I48" s="14"/>
      <c r="J48" s="14"/>
    </row>
    <row r="49" spans="1:10">
      <c r="A49" s="14">
        <f>IF(B49="","",COUNTA($B$4:B49))</f>
        <v>46</v>
      </c>
      <c r="B49" s="14" t="s">
        <v>1489</v>
      </c>
      <c r="C49" s="14" t="s">
        <v>153</v>
      </c>
      <c r="D49" s="14" t="s">
        <v>154</v>
      </c>
      <c r="E49" s="14" t="s">
        <v>153</v>
      </c>
      <c r="F49" s="14" t="s">
        <v>155</v>
      </c>
      <c r="G49" s="14" t="s">
        <v>156</v>
      </c>
      <c r="H49" s="14">
        <v>3</v>
      </c>
      <c r="I49" s="14"/>
      <c r="J49" s="14"/>
    </row>
    <row r="50" spans="1:10">
      <c r="A50" s="14">
        <f>IF(B50="","",COUNTA($B$4:B50))</f>
        <v>47</v>
      </c>
      <c r="B50" s="14" t="s">
        <v>1489</v>
      </c>
      <c r="C50" s="14" t="s">
        <v>157</v>
      </c>
      <c r="D50" s="14" t="s">
        <v>158</v>
      </c>
      <c r="E50" s="14" t="s">
        <v>157</v>
      </c>
      <c r="F50" s="14" t="s">
        <v>150</v>
      </c>
      <c r="G50" s="14" t="s">
        <v>151</v>
      </c>
      <c r="H50" s="14">
        <v>10</v>
      </c>
      <c r="I50" s="14"/>
      <c r="J50" s="14"/>
    </row>
    <row r="51" spans="1:10">
      <c r="A51" s="14">
        <f>IF(B51="","",COUNTA($B$4:B51))</f>
        <v>48</v>
      </c>
      <c r="B51" s="14" t="s">
        <v>1489</v>
      </c>
      <c r="C51" s="14" t="s">
        <v>159</v>
      </c>
      <c r="D51" s="14" t="s">
        <v>160</v>
      </c>
      <c r="E51" s="14" t="s">
        <v>159</v>
      </c>
      <c r="F51" s="14" t="s">
        <v>150</v>
      </c>
      <c r="G51" s="14" t="s">
        <v>151</v>
      </c>
      <c r="H51" s="14">
        <v>4</v>
      </c>
      <c r="I51" s="14"/>
      <c r="J51" s="14"/>
    </row>
    <row r="52" spans="1:10">
      <c r="A52" s="14">
        <f>IF(B52="","",COUNTA($B$4:B52))</f>
        <v>49</v>
      </c>
      <c r="B52" s="14" t="s">
        <v>1489</v>
      </c>
      <c r="C52" s="14" t="s">
        <v>162</v>
      </c>
      <c r="D52" s="14" t="s">
        <v>163</v>
      </c>
      <c r="E52" s="14" t="s">
        <v>164</v>
      </c>
      <c r="F52" s="14" t="s">
        <v>150</v>
      </c>
      <c r="G52" s="14" t="s">
        <v>151</v>
      </c>
      <c r="H52" s="14">
        <v>4</v>
      </c>
      <c r="I52" s="14"/>
      <c r="J52" s="14"/>
    </row>
    <row r="53" spans="1:10">
      <c r="A53" s="14">
        <f>IF(B53="","",COUNTA($B$4:B53))</f>
        <v>50</v>
      </c>
      <c r="B53" s="14" t="s">
        <v>1489</v>
      </c>
      <c r="C53" s="14" t="s">
        <v>166</v>
      </c>
      <c r="D53" s="14" t="s">
        <v>167</v>
      </c>
      <c r="E53" s="14" t="s">
        <v>168</v>
      </c>
      <c r="F53" s="14" t="s">
        <v>169</v>
      </c>
      <c r="G53" s="14" t="s">
        <v>170</v>
      </c>
      <c r="H53" s="14"/>
      <c r="I53" s="14"/>
      <c r="J53" s="14"/>
    </row>
    <row r="54" spans="1:10">
      <c r="A54" s="14">
        <f>IF(B54="","",COUNTA($B$4:B54))</f>
        <v>51</v>
      </c>
      <c r="B54" s="14" t="s">
        <v>1489</v>
      </c>
      <c r="C54" s="14" t="s">
        <v>174</v>
      </c>
      <c r="D54" s="14" t="s">
        <v>175</v>
      </c>
      <c r="E54" s="14" t="s">
        <v>176</v>
      </c>
      <c r="F54" s="14" t="s">
        <v>169</v>
      </c>
      <c r="G54" s="14" t="s">
        <v>170</v>
      </c>
      <c r="H54" s="14"/>
      <c r="I54" s="14"/>
      <c r="J54" s="14"/>
    </row>
    <row r="55" spans="1:10">
      <c r="A55" s="14">
        <f>IF(B55="","",COUNTA($B$4:B55))</f>
        <v>52</v>
      </c>
      <c r="B55" s="14" t="s">
        <v>1489</v>
      </c>
      <c r="C55" s="14" t="s">
        <v>172</v>
      </c>
      <c r="D55" s="14" t="s">
        <v>177</v>
      </c>
      <c r="E55" s="14" t="s">
        <v>172</v>
      </c>
      <c r="F55" s="14" t="s">
        <v>150</v>
      </c>
      <c r="G55" s="14" t="s">
        <v>151</v>
      </c>
      <c r="H55" s="14">
        <v>6</v>
      </c>
      <c r="I55" s="14"/>
      <c r="J55" s="14"/>
    </row>
    <row r="56" spans="1:10">
      <c r="A56" s="14">
        <f>IF(B56="","",COUNTA($B$4:B56))</f>
        <v>53</v>
      </c>
      <c r="B56" s="14" t="s">
        <v>1489</v>
      </c>
      <c r="C56" s="14" t="s">
        <v>178</v>
      </c>
      <c r="D56" s="14" t="s">
        <v>179</v>
      </c>
      <c r="E56" s="14" t="s">
        <v>178</v>
      </c>
      <c r="F56" s="14" t="s">
        <v>150</v>
      </c>
      <c r="G56" s="14" t="s">
        <v>151</v>
      </c>
      <c r="H56" s="14">
        <v>20</v>
      </c>
      <c r="I56" s="14"/>
      <c r="J56" s="14"/>
    </row>
    <row r="57" spans="1:10">
      <c r="A57" s="14">
        <f>IF(B57="","",COUNTA($B$4:B57))</f>
        <v>54</v>
      </c>
      <c r="B57" s="14" t="s">
        <v>1489</v>
      </c>
      <c r="C57" s="14" t="s">
        <v>181</v>
      </c>
      <c r="D57" s="14" t="s">
        <v>182</v>
      </c>
      <c r="E57" s="14" t="s">
        <v>181</v>
      </c>
      <c r="F57" s="14" t="s">
        <v>150</v>
      </c>
      <c r="G57" s="14" t="s">
        <v>151</v>
      </c>
      <c r="H57" s="14">
        <v>30</v>
      </c>
      <c r="I57" s="14"/>
      <c r="J57" s="14"/>
    </row>
    <row r="58" spans="1:10">
      <c r="A58" s="14">
        <f>IF(B58="","",COUNTA($B$4:B58))</f>
        <v>55</v>
      </c>
      <c r="B58" s="14" t="s">
        <v>1489</v>
      </c>
      <c r="C58" s="14" t="s">
        <v>183</v>
      </c>
      <c r="D58" s="14" t="s">
        <v>184</v>
      </c>
      <c r="E58" s="14" t="s">
        <v>183</v>
      </c>
      <c r="F58" s="14" t="s">
        <v>150</v>
      </c>
      <c r="G58" s="14" t="s">
        <v>151</v>
      </c>
      <c r="H58" s="14">
        <v>1000</v>
      </c>
      <c r="I58" s="14"/>
      <c r="J58" s="14"/>
    </row>
    <row r="59" spans="1:10">
      <c r="A59" s="14">
        <f>IF(B59="","",COUNTA($B$4:B59))</f>
        <v>56</v>
      </c>
      <c r="B59" s="14" t="s">
        <v>1489</v>
      </c>
      <c r="C59" s="14" t="s">
        <v>185</v>
      </c>
      <c r="D59" s="14" t="s">
        <v>186</v>
      </c>
      <c r="E59" s="14" t="s">
        <v>185</v>
      </c>
      <c r="F59" s="14" t="s">
        <v>150</v>
      </c>
      <c r="G59" s="14" t="s">
        <v>151</v>
      </c>
      <c r="H59" s="14">
        <v>75</v>
      </c>
      <c r="I59" s="14"/>
      <c r="J59" s="14"/>
    </row>
    <row r="60" spans="1:10">
      <c r="A60" s="14">
        <f>IF(B60="","",COUNTA($B$4:B60))</f>
        <v>57</v>
      </c>
      <c r="B60" s="14" t="s">
        <v>1489</v>
      </c>
      <c r="C60" s="14" t="s">
        <v>187</v>
      </c>
      <c r="D60" s="14" t="s">
        <v>188</v>
      </c>
      <c r="E60" s="14" t="s">
        <v>187</v>
      </c>
      <c r="F60" s="14" t="s">
        <v>155</v>
      </c>
      <c r="G60" s="14" t="s">
        <v>156</v>
      </c>
      <c r="H60" s="14">
        <v>3</v>
      </c>
      <c r="I60" s="14"/>
      <c r="J60" s="14"/>
    </row>
    <row r="61" spans="1:10">
      <c r="A61" s="14">
        <f>IF(B61="","",COUNTA($B$4:B61))</f>
        <v>58</v>
      </c>
      <c r="B61" s="14" t="s">
        <v>1489</v>
      </c>
      <c r="C61" s="14" t="s">
        <v>189</v>
      </c>
      <c r="D61" s="14" t="s">
        <v>190</v>
      </c>
      <c r="E61" s="14" t="s">
        <v>189</v>
      </c>
      <c r="F61" s="14" t="s">
        <v>155</v>
      </c>
      <c r="G61" s="14" t="s">
        <v>156</v>
      </c>
      <c r="H61" s="14">
        <v>3</v>
      </c>
      <c r="I61" s="14"/>
      <c r="J61" s="14"/>
    </row>
    <row r="62" spans="1:10">
      <c r="A62" s="14">
        <f>IF(B62="","",COUNTA($B$4:B62))</f>
        <v>59</v>
      </c>
      <c r="B62" s="14" t="s">
        <v>1489</v>
      </c>
      <c r="C62" s="14" t="s">
        <v>193</v>
      </c>
      <c r="D62" s="14" t="s">
        <v>194</v>
      </c>
      <c r="E62" s="14" t="s">
        <v>193</v>
      </c>
      <c r="F62" s="14" t="s">
        <v>150</v>
      </c>
      <c r="G62" s="14" t="s">
        <v>151</v>
      </c>
      <c r="H62" s="14">
        <v>25</v>
      </c>
      <c r="I62" s="14"/>
      <c r="J62" s="14"/>
    </row>
    <row r="63" spans="1:10">
      <c r="A63" s="14">
        <f>IF(B63="","",COUNTA($B$4:B63))</f>
        <v>60</v>
      </c>
      <c r="B63" s="14" t="s">
        <v>1489</v>
      </c>
      <c r="C63" s="14" t="s">
        <v>195</v>
      </c>
      <c r="D63" s="14" t="s">
        <v>196</v>
      </c>
      <c r="E63" s="14" t="s">
        <v>195</v>
      </c>
      <c r="F63" s="14" t="s">
        <v>150</v>
      </c>
      <c r="G63" s="14" t="s">
        <v>151</v>
      </c>
      <c r="H63" s="14">
        <v>30</v>
      </c>
      <c r="I63" s="14"/>
      <c r="J63" s="14"/>
    </row>
    <row r="64" spans="1:10">
      <c r="A64" s="14">
        <f>IF(B64="","",COUNTA($B$4:B64))</f>
        <v>61</v>
      </c>
      <c r="B64" s="14" t="s">
        <v>1489</v>
      </c>
      <c r="C64" s="14" t="s">
        <v>197</v>
      </c>
      <c r="D64" s="14" t="s">
        <v>198</v>
      </c>
      <c r="E64" s="14" t="s">
        <v>197</v>
      </c>
      <c r="F64" s="14" t="s">
        <v>150</v>
      </c>
      <c r="G64" s="14" t="s">
        <v>151</v>
      </c>
      <c r="H64" s="14">
        <v>5</v>
      </c>
      <c r="I64" s="14"/>
      <c r="J64" s="14"/>
    </row>
    <row r="65" spans="1:10">
      <c r="A65" s="14">
        <f>IF(B65="","",COUNTA($B$4:B65))</f>
        <v>62</v>
      </c>
      <c r="B65" s="14" t="s">
        <v>1489</v>
      </c>
      <c r="C65" s="14" t="s">
        <v>199</v>
      </c>
      <c r="D65" s="14" t="s">
        <v>200</v>
      </c>
      <c r="E65" s="14" t="s">
        <v>199</v>
      </c>
      <c r="F65" s="14" t="s">
        <v>150</v>
      </c>
      <c r="G65" s="14" t="s">
        <v>151</v>
      </c>
      <c r="H65" s="14">
        <v>20</v>
      </c>
      <c r="I65" s="14"/>
      <c r="J65" s="14"/>
    </row>
    <row r="66" spans="1:10">
      <c r="A66" s="14">
        <f>IF(B66="","",COUNTA($B$4:B66))</f>
        <v>63</v>
      </c>
      <c r="B66" s="14" t="s">
        <v>1489</v>
      </c>
      <c r="C66" s="14" t="s">
        <v>201</v>
      </c>
      <c r="D66" s="14" t="s">
        <v>202</v>
      </c>
      <c r="E66" s="14" t="s">
        <v>201</v>
      </c>
      <c r="F66" s="14" t="s">
        <v>150</v>
      </c>
      <c r="G66" s="14" t="s">
        <v>151</v>
      </c>
      <c r="H66" s="14">
        <v>30</v>
      </c>
      <c r="I66" s="14"/>
      <c r="J66" s="14"/>
    </row>
    <row r="67" spans="1:10">
      <c r="A67" s="14">
        <f>IF(B67="","",COUNTA($B$4:B67))</f>
        <v>64</v>
      </c>
      <c r="B67" s="14" t="s">
        <v>1489</v>
      </c>
      <c r="C67" s="14" t="s">
        <v>203</v>
      </c>
      <c r="D67" s="14" t="s">
        <v>204</v>
      </c>
      <c r="E67" s="14" t="s">
        <v>203</v>
      </c>
      <c r="F67" s="14" t="s">
        <v>155</v>
      </c>
      <c r="G67" s="14" t="s">
        <v>156</v>
      </c>
      <c r="H67" s="14">
        <v>5</v>
      </c>
      <c r="I67" s="14">
        <v>2</v>
      </c>
      <c r="J67" s="14"/>
    </row>
    <row r="68" spans="1:10">
      <c r="A68" s="14">
        <f>IF(B68="","",COUNTA($B$4:B68))</f>
        <v>65</v>
      </c>
      <c r="B68" s="14" t="s">
        <v>1489</v>
      </c>
      <c r="C68" s="14" t="s">
        <v>205</v>
      </c>
      <c r="D68" s="14" t="s">
        <v>206</v>
      </c>
      <c r="E68" s="14" t="s">
        <v>205</v>
      </c>
      <c r="F68" s="14" t="s">
        <v>155</v>
      </c>
      <c r="G68" s="14" t="s">
        <v>156</v>
      </c>
      <c r="H68" s="14">
        <v>4</v>
      </c>
      <c r="I68" s="14"/>
      <c r="J68" s="14"/>
    </row>
    <row r="69" spans="1:10">
      <c r="A69" s="14">
        <f>IF(B69="","",COUNTA($B$4:B69))</f>
        <v>66</v>
      </c>
      <c r="B69" s="14" t="s">
        <v>1489</v>
      </c>
      <c r="C69" s="14" t="s">
        <v>208</v>
      </c>
      <c r="D69" s="14" t="s">
        <v>209</v>
      </c>
      <c r="E69" s="14" t="s">
        <v>208</v>
      </c>
      <c r="F69" s="14" t="s">
        <v>155</v>
      </c>
      <c r="G69" s="14" t="s">
        <v>156</v>
      </c>
      <c r="H69" s="14">
        <v>5</v>
      </c>
      <c r="I69" s="14"/>
      <c r="J69" s="14"/>
    </row>
    <row r="70" spans="1:10">
      <c r="A70" s="14">
        <f>IF(B70="","",COUNTA($B$4:B70))</f>
        <v>67</v>
      </c>
      <c r="B70" s="14" t="s">
        <v>1489</v>
      </c>
      <c r="C70" s="14" t="s">
        <v>211</v>
      </c>
      <c r="D70" s="14" t="s">
        <v>212</v>
      </c>
      <c r="E70" s="14" t="s">
        <v>211</v>
      </c>
      <c r="F70" s="14" t="s">
        <v>155</v>
      </c>
      <c r="G70" s="14" t="s">
        <v>156</v>
      </c>
      <c r="H70" s="14">
        <v>5</v>
      </c>
      <c r="I70" s="14"/>
      <c r="J70" s="14"/>
    </row>
    <row r="71" spans="1:10">
      <c r="A71" s="14">
        <f>IF(B71="","",COUNTA($B$4:B71))</f>
        <v>68</v>
      </c>
      <c r="B71" s="14" t="s">
        <v>1489</v>
      </c>
      <c r="C71" s="14" t="s">
        <v>214</v>
      </c>
      <c r="D71" s="14" t="s">
        <v>215</v>
      </c>
      <c r="E71" s="14" t="s">
        <v>1488</v>
      </c>
      <c r="F71" s="14" t="s">
        <v>155</v>
      </c>
      <c r="G71" s="14" t="s">
        <v>156</v>
      </c>
      <c r="H71" s="14">
        <v>5</v>
      </c>
      <c r="I71" s="14"/>
      <c r="J71" s="14"/>
    </row>
    <row r="72" spans="1:10">
      <c r="A72" s="14">
        <f>IF(B72="","",COUNTA($B$4:B72))</f>
        <v>69</v>
      </c>
      <c r="B72" s="14" t="s">
        <v>1489</v>
      </c>
      <c r="C72" s="14" t="s">
        <v>217</v>
      </c>
      <c r="D72" s="14" t="s">
        <v>218</v>
      </c>
      <c r="E72" s="14" t="s">
        <v>219</v>
      </c>
      <c r="F72" s="14" t="s">
        <v>155</v>
      </c>
      <c r="G72" s="14" t="s">
        <v>156</v>
      </c>
      <c r="H72" s="14">
        <v>5</v>
      </c>
      <c r="I72" s="14"/>
      <c r="J72" s="14"/>
    </row>
    <row r="73" spans="1:10">
      <c r="A73" s="14">
        <f>IF(B73="","",COUNTA($B$4:B73))</f>
        <v>70</v>
      </c>
      <c r="B73" s="14" t="s">
        <v>1489</v>
      </c>
      <c r="C73" s="14" t="s">
        <v>266</v>
      </c>
      <c r="D73" s="14" t="s">
        <v>267</v>
      </c>
      <c r="E73" s="14" t="s">
        <v>266</v>
      </c>
      <c r="F73" s="14" t="s">
        <v>155</v>
      </c>
      <c r="G73" s="14" t="s">
        <v>156</v>
      </c>
      <c r="H73" s="14">
        <v>5</v>
      </c>
      <c r="I73" s="14"/>
      <c r="J73" s="14"/>
    </row>
    <row r="74" spans="1:10">
      <c r="A74" s="14">
        <f>IF(B74="","",COUNTA($B$4:B74))</f>
        <v>71</v>
      </c>
      <c r="B74" s="14" t="s">
        <v>1489</v>
      </c>
      <c r="C74" s="14" t="s">
        <v>268</v>
      </c>
      <c r="D74" s="14" t="s">
        <v>269</v>
      </c>
      <c r="E74" s="14" t="s">
        <v>268</v>
      </c>
      <c r="F74" s="14" t="s">
        <v>155</v>
      </c>
      <c r="G74" s="14" t="s">
        <v>156</v>
      </c>
      <c r="H74" s="14">
        <v>7</v>
      </c>
      <c r="I74" s="14"/>
      <c r="J74" s="14"/>
    </row>
    <row r="75" spans="1:10">
      <c r="A75" s="14">
        <f>IF(B75="","",COUNTA($B$4:B75))</f>
        <v>72</v>
      </c>
      <c r="B75" s="14" t="s">
        <v>1489</v>
      </c>
      <c r="C75" s="14" t="s">
        <v>226</v>
      </c>
      <c r="D75" s="14" t="s">
        <v>227</v>
      </c>
      <c r="E75" s="14" t="s">
        <v>226</v>
      </c>
      <c r="F75" s="14" t="s">
        <v>150</v>
      </c>
      <c r="G75" s="14" t="s">
        <v>151</v>
      </c>
      <c r="H75" s="14">
        <v>3</v>
      </c>
      <c r="I75" s="14"/>
      <c r="J75" s="14"/>
    </row>
    <row r="76" spans="1:10">
      <c r="A76" s="14">
        <f>IF(B76="","",COUNTA($B$4:B76))</f>
        <v>73</v>
      </c>
      <c r="B76" s="14" t="s">
        <v>1489</v>
      </c>
      <c r="C76" s="14" t="s">
        <v>228</v>
      </c>
      <c r="D76" s="14" t="s">
        <v>229</v>
      </c>
      <c r="E76" s="14" t="s">
        <v>228</v>
      </c>
      <c r="F76" s="14" t="s">
        <v>150</v>
      </c>
      <c r="G76" s="14" t="s">
        <v>151</v>
      </c>
      <c r="H76" s="14">
        <v>1000</v>
      </c>
      <c r="I76" s="14"/>
      <c r="J76" s="14"/>
    </row>
    <row r="77" spans="1:10">
      <c r="A77" s="14">
        <f>IF(B77="","",COUNTA($B$4:B77))</f>
        <v>74</v>
      </c>
      <c r="B77" s="14" t="s">
        <v>1489</v>
      </c>
      <c r="C77" s="14" t="s">
        <v>270</v>
      </c>
      <c r="D77" s="14" t="s">
        <v>271</v>
      </c>
      <c r="E77" s="14" t="s">
        <v>270</v>
      </c>
      <c r="F77" s="14" t="s">
        <v>150</v>
      </c>
      <c r="G77" s="14" t="s">
        <v>151</v>
      </c>
      <c r="H77" s="14">
        <v>1000</v>
      </c>
      <c r="I77" s="14"/>
      <c r="J77" s="14"/>
    </row>
    <row r="78" spans="1:10">
      <c r="A78" s="14">
        <f>IF(B78="","",COUNTA($B$4:B78))</f>
        <v>75</v>
      </c>
      <c r="B78" s="14" t="s">
        <v>1489</v>
      </c>
      <c r="C78" s="14" t="s">
        <v>272</v>
      </c>
      <c r="D78" s="14" t="s">
        <v>273</v>
      </c>
      <c r="E78" s="14" t="s">
        <v>272</v>
      </c>
      <c r="F78" s="14" t="s">
        <v>150</v>
      </c>
      <c r="G78" s="14" t="s">
        <v>151</v>
      </c>
      <c r="H78" s="14">
        <v>1000</v>
      </c>
      <c r="I78" s="14"/>
      <c r="J78" s="14"/>
    </row>
    <row r="79" spans="1:10">
      <c r="A79" s="14">
        <f>IF(B79="","",COUNTA($B$4:B79))</f>
        <v>76</v>
      </c>
      <c r="B79" s="14" t="s">
        <v>1489</v>
      </c>
      <c r="C79" s="14" t="s">
        <v>274</v>
      </c>
      <c r="D79" s="14" t="s">
        <v>275</v>
      </c>
      <c r="E79" s="14" t="s">
        <v>274</v>
      </c>
      <c r="F79" s="14" t="s">
        <v>150</v>
      </c>
      <c r="G79" s="14" t="s">
        <v>151</v>
      </c>
      <c r="H79" s="14">
        <v>1000</v>
      </c>
      <c r="I79" s="14"/>
      <c r="J79" s="14"/>
    </row>
    <row r="80" spans="1:10">
      <c r="A80" s="14">
        <f>IF(B80="","",COUNTA($B$4:B80))</f>
        <v>77</v>
      </c>
      <c r="B80" s="14" t="s">
        <v>1489</v>
      </c>
      <c r="C80" s="14" t="s">
        <v>230</v>
      </c>
      <c r="D80" s="14" t="s">
        <v>231</v>
      </c>
      <c r="E80" s="14" t="s">
        <v>230</v>
      </c>
      <c r="F80" s="14" t="s">
        <v>169</v>
      </c>
      <c r="G80" s="14" t="s">
        <v>170</v>
      </c>
      <c r="H80" s="14"/>
      <c r="I80" s="14"/>
      <c r="J80" s="14"/>
    </row>
    <row r="81" spans="1:10">
      <c r="A81" s="14">
        <f>IF(B81="","",COUNTA($B$4:B81))</f>
        <v>78</v>
      </c>
      <c r="B81" s="14" t="s">
        <v>1489</v>
      </c>
      <c r="C81" s="14" t="s">
        <v>233</v>
      </c>
      <c r="D81" s="14" t="s">
        <v>234</v>
      </c>
      <c r="E81" s="14" t="s">
        <v>233</v>
      </c>
      <c r="F81" s="14" t="s">
        <v>155</v>
      </c>
      <c r="G81" s="14" t="s">
        <v>156</v>
      </c>
      <c r="H81" s="14">
        <v>1</v>
      </c>
      <c r="I81" s="14"/>
      <c r="J81" s="14"/>
    </row>
    <row r="82" spans="1:10">
      <c r="A82" s="14">
        <f>IF(B82="","",COUNTA($B$4:B82))</f>
        <v>79</v>
      </c>
      <c r="B82" s="14" t="s">
        <v>1489</v>
      </c>
      <c r="C82" s="14" t="s">
        <v>276</v>
      </c>
      <c r="D82" s="14" t="s">
        <v>277</v>
      </c>
      <c r="E82" s="14" t="s">
        <v>276</v>
      </c>
      <c r="F82" s="14" t="s">
        <v>155</v>
      </c>
      <c r="G82" s="14" t="s">
        <v>156</v>
      </c>
      <c r="H82" s="14">
        <v>1</v>
      </c>
      <c r="I82" s="14"/>
      <c r="J82" s="14" t="s">
        <v>1490</v>
      </c>
    </row>
    <row r="83" spans="1:10">
      <c r="A83" s="14">
        <f>IF(B83="","",COUNTA($B$4:B83))</f>
        <v>80</v>
      </c>
      <c r="B83" s="14" t="s">
        <v>1489</v>
      </c>
      <c r="C83" s="14" t="s">
        <v>236</v>
      </c>
      <c r="D83" s="14" t="s">
        <v>237</v>
      </c>
      <c r="E83" s="14" t="s">
        <v>236</v>
      </c>
      <c r="F83" s="14" t="s">
        <v>155</v>
      </c>
      <c r="G83" s="14" t="s">
        <v>156</v>
      </c>
      <c r="H83" s="14">
        <v>1</v>
      </c>
      <c r="I83" s="14"/>
      <c r="J83" s="14"/>
    </row>
    <row r="84" spans="1:10">
      <c r="A84" s="14">
        <f>IF(B84="","",COUNTA($B$4:B84))</f>
        <v>81</v>
      </c>
      <c r="B84" s="14" t="s">
        <v>1489</v>
      </c>
      <c r="C84" s="14" t="s">
        <v>239</v>
      </c>
      <c r="D84" s="14" t="s">
        <v>240</v>
      </c>
      <c r="E84" s="14" t="s">
        <v>239</v>
      </c>
      <c r="F84" s="14" t="s">
        <v>169</v>
      </c>
      <c r="G84" s="14" t="s">
        <v>170</v>
      </c>
      <c r="H84" s="14"/>
      <c r="I84" s="14"/>
      <c r="J84" s="14"/>
    </row>
    <row r="85" spans="1:10">
      <c r="A85" s="14">
        <f>IF(B85="","",COUNTA($B$4:B85))</f>
        <v>82</v>
      </c>
      <c r="B85" s="14" t="s">
        <v>1489</v>
      </c>
      <c r="C85" s="14" t="s">
        <v>241</v>
      </c>
      <c r="D85" s="14" t="s">
        <v>242</v>
      </c>
      <c r="E85" s="14" t="s">
        <v>241</v>
      </c>
      <c r="F85" s="14" t="s">
        <v>150</v>
      </c>
      <c r="G85" s="14" t="s">
        <v>243</v>
      </c>
      <c r="H85" s="14"/>
      <c r="I85" s="14" t="s">
        <v>244</v>
      </c>
      <c r="J85" s="14"/>
    </row>
    <row r="86" spans="1:10">
      <c r="A86" s="14">
        <f>IF(B86="","",COUNTA($B$4:B86))</f>
        <v>83</v>
      </c>
      <c r="B86" s="14" t="s">
        <v>1489</v>
      </c>
      <c r="C86" s="14" t="s">
        <v>246</v>
      </c>
      <c r="D86" s="14" t="s">
        <v>247</v>
      </c>
      <c r="E86" s="14" t="s">
        <v>246</v>
      </c>
      <c r="F86" s="14" t="s">
        <v>150</v>
      </c>
      <c r="G86" s="14" t="s">
        <v>243</v>
      </c>
      <c r="H86" s="14"/>
      <c r="I86" s="14" t="s">
        <v>244</v>
      </c>
      <c r="J86" s="14"/>
    </row>
    <row r="87" spans="1:10">
      <c r="A87" s="14">
        <f>IF(B87="","",COUNTA($B$4:B87))</f>
        <v>84</v>
      </c>
      <c r="B87" s="14" t="s">
        <v>1489</v>
      </c>
      <c r="C87" s="14" t="s">
        <v>249</v>
      </c>
      <c r="D87" s="14" t="s">
        <v>250</v>
      </c>
      <c r="E87" s="14" t="s">
        <v>249</v>
      </c>
      <c r="F87" s="14" t="s">
        <v>150</v>
      </c>
      <c r="G87" s="14" t="s">
        <v>151</v>
      </c>
      <c r="H87" s="14">
        <v>4</v>
      </c>
      <c r="I87" s="14"/>
      <c r="J87" s="14"/>
    </row>
    <row r="88" spans="1:10">
      <c r="A88" s="14">
        <f>IF(B88="","",COUNTA($B$4:B88))</f>
        <v>85</v>
      </c>
      <c r="B88" s="14" t="s">
        <v>1489</v>
      </c>
      <c r="C88" s="14" t="s">
        <v>251</v>
      </c>
      <c r="D88" s="14" t="s">
        <v>252</v>
      </c>
      <c r="E88" s="14" t="s">
        <v>251</v>
      </c>
      <c r="F88" s="14" t="s">
        <v>150</v>
      </c>
      <c r="G88" s="14" t="s">
        <v>151</v>
      </c>
      <c r="H88" s="14">
        <v>4</v>
      </c>
      <c r="I88" s="14"/>
      <c r="J88" s="14"/>
    </row>
    <row r="89" spans="1:10">
      <c r="A89" s="14">
        <f>IF(B89="","",COUNTA($B$4:B89))</f>
        <v>86</v>
      </c>
      <c r="B89" s="14" t="s">
        <v>1489</v>
      </c>
      <c r="C89" s="14" t="s">
        <v>253</v>
      </c>
      <c r="D89" s="14" t="s">
        <v>254</v>
      </c>
      <c r="E89" s="14" t="s">
        <v>253</v>
      </c>
      <c r="F89" s="14" t="s">
        <v>150</v>
      </c>
      <c r="G89" s="14" t="s">
        <v>151</v>
      </c>
      <c r="H89" s="14">
        <v>10</v>
      </c>
      <c r="I89" s="14"/>
      <c r="J89" s="14"/>
    </row>
    <row r="90" spans="1:10">
      <c r="A90" s="14">
        <f>IF(B90="","",COUNTA($B$4:B90))</f>
        <v>87</v>
      </c>
      <c r="B90" s="14" t="s">
        <v>1489</v>
      </c>
      <c r="C90" s="14" t="s">
        <v>255</v>
      </c>
      <c r="D90" s="14" t="s">
        <v>256</v>
      </c>
      <c r="E90" s="14" t="s">
        <v>255</v>
      </c>
      <c r="F90" s="14" t="s">
        <v>150</v>
      </c>
      <c r="G90" s="14" t="s">
        <v>151</v>
      </c>
      <c r="H90" s="14">
        <v>10</v>
      </c>
      <c r="I90" s="14"/>
      <c r="J90" s="14"/>
    </row>
    <row r="91" spans="1:10">
      <c r="A91" s="14">
        <f>IF(B91="","",COUNTA($B$4:B91))</f>
        <v>88</v>
      </c>
      <c r="B91" s="14" t="s">
        <v>1489</v>
      </c>
      <c r="C91" s="14" t="s">
        <v>257</v>
      </c>
      <c r="D91" s="14" t="s">
        <v>258</v>
      </c>
      <c r="E91" s="14" t="s">
        <v>257</v>
      </c>
      <c r="F91" s="14" t="s">
        <v>169</v>
      </c>
      <c r="G91" s="14" t="s">
        <v>243</v>
      </c>
      <c r="H91" s="14"/>
      <c r="I91" s="14"/>
      <c r="J91" s="14"/>
    </row>
    <row r="92" spans="1:10">
      <c r="A92" s="14">
        <f>IF(B92="","",COUNTA($B$4:B92))</f>
        <v>89</v>
      </c>
      <c r="B92" s="14" t="s">
        <v>1489</v>
      </c>
      <c r="C92" s="14" t="s">
        <v>259</v>
      </c>
      <c r="D92" s="14" t="s">
        <v>260</v>
      </c>
      <c r="E92" s="14" t="s">
        <v>259</v>
      </c>
      <c r="F92" s="14" t="s">
        <v>150</v>
      </c>
      <c r="G92" s="14" t="s">
        <v>151</v>
      </c>
      <c r="H92" s="14">
        <v>10</v>
      </c>
      <c r="I92" s="14"/>
      <c r="J92" s="14"/>
    </row>
    <row r="93" spans="1:10">
      <c r="A93" s="14">
        <f>IF(B93="","",COUNTA($B$4:B93))</f>
        <v>90</v>
      </c>
      <c r="B93" s="14" t="s">
        <v>1489</v>
      </c>
      <c r="C93" s="14" t="s">
        <v>261</v>
      </c>
      <c r="D93" s="14" t="s">
        <v>262</v>
      </c>
      <c r="E93" s="14" t="s">
        <v>261</v>
      </c>
      <c r="F93" s="14" t="s">
        <v>150</v>
      </c>
      <c r="G93" s="14" t="s">
        <v>151</v>
      </c>
      <c r="H93" s="14">
        <v>10</v>
      </c>
      <c r="I93" s="14"/>
      <c r="J93" s="14"/>
    </row>
    <row r="94" spans="1:10">
      <c r="A94" s="14">
        <f>IF(B94="","",COUNTA($B$4:B94))</f>
        <v>91</v>
      </c>
      <c r="B94" s="14" t="s">
        <v>1489</v>
      </c>
      <c r="C94" s="14" t="s">
        <v>263</v>
      </c>
      <c r="D94" s="14" t="s">
        <v>264</v>
      </c>
      <c r="E94" s="14" t="s">
        <v>263</v>
      </c>
      <c r="F94" s="14" t="s">
        <v>169</v>
      </c>
      <c r="G94" s="14" t="s">
        <v>243</v>
      </c>
      <c r="H94" s="14"/>
      <c r="I94" s="14"/>
      <c r="J94" s="14"/>
    </row>
    <row r="95" spans="1:10">
      <c r="A95" s="14">
        <f>IF(B95="","",COUNTA($B$4:B95))</f>
        <v>92</v>
      </c>
      <c r="B95" s="14" t="s">
        <v>1491</v>
      </c>
      <c r="C95" s="14" t="s">
        <v>148</v>
      </c>
      <c r="D95" s="14" t="s">
        <v>149</v>
      </c>
      <c r="E95" s="14" t="s">
        <v>148</v>
      </c>
      <c r="F95" s="14" t="s">
        <v>150</v>
      </c>
      <c r="G95" s="14" t="s">
        <v>151</v>
      </c>
      <c r="H95" s="14">
        <v>15</v>
      </c>
      <c r="I95" s="14"/>
      <c r="J95" s="14"/>
    </row>
    <row r="96" spans="1:10">
      <c r="A96" s="14">
        <f>IF(B96="","",COUNTA($B$4:B96))</f>
        <v>93</v>
      </c>
      <c r="B96" s="14" t="s">
        <v>1491</v>
      </c>
      <c r="C96" s="14" t="s">
        <v>153</v>
      </c>
      <c r="D96" s="14" t="s">
        <v>154</v>
      </c>
      <c r="E96" s="14" t="s">
        <v>153</v>
      </c>
      <c r="F96" s="14" t="s">
        <v>155</v>
      </c>
      <c r="G96" s="14" t="s">
        <v>156</v>
      </c>
      <c r="H96" s="14">
        <v>3</v>
      </c>
      <c r="I96" s="14"/>
      <c r="J96" s="14"/>
    </row>
    <row r="97" spans="1:10">
      <c r="A97" s="14">
        <f>IF(B97="","",COUNTA($B$4:B97))</f>
        <v>94</v>
      </c>
      <c r="B97" s="14" t="s">
        <v>1491</v>
      </c>
      <c r="C97" s="14" t="s">
        <v>157</v>
      </c>
      <c r="D97" s="14" t="s">
        <v>158</v>
      </c>
      <c r="E97" s="14" t="s">
        <v>157</v>
      </c>
      <c r="F97" s="14" t="s">
        <v>150</v>
      </c>
      <c r="G97" s="14" t="s">
        <v>151</v>
      </c>
      <c r="H97" s="14">
        <v>10</v>
      </c>
      <c r="I97" s="14"/>
      <c r="J97" s="14"/>
    </row>
    <row r="98" spans="1:10">
      <c r="A98" s="14">
        <f>IF(B98="","",COUNTA($B$4:B98))</f>
        <v>95</v>
      </c>
      <c r="B98" s="14" t="s">
        <v>1491</v>
      </c>
      <c r="C98" s="14" t="s">
        <v>159</v>
      </c>
      <c r="D98" s="14" t="s">
        <v>160</v>
      </c>
      <c r="E98" s="14" t="s">
        <v>159</v>
      </c>
      <c r="F98" s="14" t="s">
        <v>150</v>
      </c>
      <c r="G98" s="14" t="s">
        <v>151</v>
      </c>
      <c r="H98" s="14">
        <v>4</v>
      </c>
      <c r="I98" s="14"/>
      <c r="J98" s="14"/>
    </row>
    <row r="99" spans="1:10">
      <c r="A99" s="14">
        <f>IF(B99="","",COUNTA($B$4:B99))</f>
        <v>96</v>
      </c>
      <c r="B99" s="14" t="s">
        <v>1491</v>
      </c>
      <c r="C99" s="14" t="s">
        <v>162</v>
      </c>
      <c r="D99" s="14" t="s">
        <v>163</v>
      </c>
      <c r="E99" s="14" t="s">
        <v>164</v>
      </c>
      <c r="F99" s="14" t="s">
        <v>150</v>
      </c>
      <c r="G99" s="14" t="s">
        <v>151</v>
      </c>
      <c r="H99" s="14">
        <v>4</v>
      </c>
      <c r="I99" s="14"/>
      <c r="J99" s="14"/>
    </row>
    <row r="100" spans="1:10">
      <c r="A100" s="14">
        <f>IF(B100="","",COUNTA($B$4:B100))</f>
        <v>97</v>
      </c>
      <c r="B100" s="14" t="s">
        <v>1491</v>
      </c>
      <c r="C100" s="14" t="s">
        <v>166</v>
      </c>
      <c r="D100" s="14" t="s">
        <v>167</v>
      </c>
      <c r="E100" s="14" t="s">
        <v>168</v>
      </c>
      <c r="F100" s="14" t="s">
        <v>169</v>
      </c>
      <c r="G100" s="14" t="s">
        <v>170</v>
      </c>
      <c r="H100" s="14"/>
      <c r="I100" s="14"/>
      <c r="J100" s="14"/>
    </row>
    <row r="101" spans="1:10">
      <c r="A101" s="14">
        <f>IF(B101="","",COUNTA($B$4:B101))</f>
        <v>98</v>
      </c>
      <c r="B101" s="14" t="s">
        <v>1491</v>
      </c>
      <c r="C101" s="14" t="s">
        <v>174</v>
      </c>
      <c r="D101" s="14" t="s">
        <v>175</v>
      </c>
      <c r="E101" s="14" t="s">
        <v>176</v>
      </c>
      <c r="F101" s="14" t="s">
        <v>169</v>
      </c>
      <c r="G101" s="14" t="s">
        <v>170</v>
      </c>
      <c r="H101" s="14"/>
      <c r="I101" s="14"/>
      <c r="J101" s="14"/>
    </row>
    <row r="102" spans="1:10">
      <c r="A102" s="14">
        <f>IF(B102="","",COUNTA($B$4:B102))</f>
        <v>99</v>
      </c>
      <c r="B102" s="14" t="s">
        <v>1491</v>
      </c>
      <c r="C102" s="14" t="s">
        <v>172</v>
      </c>
      <c r="D102" s="14" t="s">
        <v>177</v>
      </c>
      <c r="E102" s="14" t="s">
        <v>172</v>
      </c>
      <c r="F102" s="14" t="s">
        <v>155</v>
      </c>
      <c r="G102" s="14" t="s">
        <v>156</v>
      </c>
      <c r="H102" s="14">
        <v>5</v>
      </c>
      <c r="I102" s="14">
        <v>1</v>
      </c>
      <c r="J102" s="14"/>
    </row>
    <row r="103" spans="1:10">
      <c r="A103" s="14">
        <f>IF(B103="","",COUNTA($B$4:B103))</f>
        <v>100</v>
      </c>
      <c r="B103" s="14" t="s">
        <v>1491</v>
      </c>
      <c r="C103" s="14" t="s">
        <v>178</v>
      </c>
      <c r="D103" s="14" t="s">
        <v>179</v>
      </c>
      <c r="E103" s="14" t="s">
        <v>178</v>
      </c>
      <c r="F103" s="14" t="s">
        <v>150</v>
      </c>
      <c r="G103" s="14" t="s">
        <v>151</v>
      </c>
      <c r="H103" s="14">
        <v>20</v>
      </c>
      <c r="I103" s="14"/>
      <c r="J103" s="14"/>
    </row>
    <row r="104" spans="1:10">
      <c r="A104" s="14">
        <f>IF(B104="","",COUNTA($B$4:B104))</f>
        <v>101</v>
      </c>
      <c r="B104" s="14" t="s">
        <v>1491</v>
      </c>
      <c r="C104" s="14" t="s">
        <v>181</v>
      </c>
      <c r="D104" s="14" t="s">
        <v>182</v>
      </c>
      <c r="E104" s="14" t="s">
        <v>181</v>
      </c>
      <c r="F104" s="14" t="s">
        <v>150</v>
      </c>
      <c r="G104" s="14" t="s">
        <v>151</v>
      </c>
      <c r="H104" s="14">
        <v>30</v>
      </c>
      <c r="I104" s="14"/>
      <c r="J104" s="14"/>
    </row>
    <row r="105" spans="1:10">
      <c r="A105" s="14">
        <f>IF(B105="","",COUNTA($B$4:B105))</f>
        <v>102</v>
      </c>
      <c r="B105" s="14" t="s">
        <v>1491</v>
      </c>
      <c r="C105" s="14" t="s">
        <v>183</v>
      </c>
      <c r="D105" s="14" t="s">
        <v>184</v>
      </c>
      <c r="E105" s="14" t="s">
        <v>183</v>
      </c>
      <c r="F105" s="14" t="s">
        <v>150</v>
      </c>
      <c r="G105" s="14" t="s">
        <v>151</v>
      </c>
      <c r="H105" s="14">
        <v>1000</v>
      </c>
      <c r="I105" s="14"/>
      <c r="J105" s="14"/>
    </row>
    <row r="106" spans="1:10">
      <c r="A106" s="14">
        <f>IF(B106="","",COUNTA($B$4:B106))</f>
        <v>103</v>
      </c>
      <c r="B106" s="14" t="s">
        <v>1491</v>
      </c>
      <c r="C106" s="14" t="s">
        <v>185</v>
      </c>
      <c r="D106" s="14" t="s">
        <v>186</v>
      </c>
      <c r="E106" s="14" t="s">
        <v>185</v>
      </c>
      <c r="F106" s="14" t="s">
        <v>150</v>
      </c>
      <c r="G106" s="14" t="s">
        <v>151</v>
      </c>
      <c r="H106" s="14">
        <v>75</v>
      </c>
      <c r="I106" s="14"/>
      <c r="J106" s="14"/>
    </row>
    <row r="107" spans="1:10">
      <c r="A107" s="14">
        <f>IF(B107="","",COUNTA($B$4:B107))</f>
        <v>104</v>
      </c>
      <c r="B107" s="14" t="s">
        <v>1491</v>
      </c>
      <c r="C107" s="14" t="s">
        <v>187</v>
      </c>
      <c r="D107" s="14" t="s">
        <v>188</v>
      </c>
      <c r="E107" s="14" t="s">
        <v>187</v>
      </c>
      <c r="F107" s="14" t="s">
        <v>155</v>
      </c>
      <c r="G107" s="14" t="s">
        <v>156</v>
      </c>
      <c r="H107" s="14">
        <v>3</v>
      </c>
      <c r="I107" s="14"/>
      <c r="J107" s="14"/>
    </row>
    <row r="108" spans="1:10">
      <c r="A108" s="14">
        <f>IF(B108="","",COUNTA($B$4:B108))</f>
        <v>105</v>
      </c>
      <c r="B108" s="14" t="s">
        <v>1491</v>
      </c>
      <c r="C108" s="14" t="s">
        <v>189</v>
      </c>
      <c r="D108" s="14" t="s">
        <v>190</v>
      </c>
      <c r="E108" s="14" t="s">
        <v>189</v>
      </c>
      <c r="F108" s="14" t="s">
        <v>155</v>
      </c>
      <c r="G108" s="14" t="s">
        <v>156</v>
      </c>
      <c r="H108" s="14">
        <v>3</v>
      </c>
      <c r="I108" s="14"/>
      <c r="J108" s="14"/>
    </row>
    <row r="109" spans="1:10">
      <c r="A109" s="14">
        <f>IF(B109="","",COUNTA($B$4:B109))</f>
        <v>106</v>
      </c>
      <c r="B109" s="14" t="s">
        <v>1491</v>
      </c>
      <c r="C109" s="14" t="s">
        <v>193</v>
      </c>
      <c r="D109" s="14" t="s">
        <v>194</v>
      </c>
      <c r="E109" s="14" t="s">
        <v>193</v>
      </c>
      <c r="F109" s="14" t="s">
        <v>150</v>
      </c>
      <c r="G109" s="14" t="s">
        <v>151</v>
      </c>
      <c r="H109" s="14">
        <v>25</v>
      </c>
      <c r="I109" s="14"/>
      <c r="J109" s="14"/>
    </row>
    <row r="110" spans="1:10">
      <c r="A110" s="14">
        <f>IF(B110="","",COUNTA($B$4:B110))</f>
        <v>107</v>
      </c>
      <c r="B110" s="14" t="s">
        <v>1491</v>
      </c>
      <c r="C110" s="14" t="s">
        <v>195</v>
      </c>
      <c r="D110" s="14" t="s">
        <v>196</v>
      </c>
      <c r="E110" s="14" t="s">
        <v>195</v>
      </c>
      <c r="F110" s="14" t="s">
        <v>150</v>
      </c>
      <c r="G110" s="14" t="s">
        <v>151</v>
      </c>
      <c r="H110" s="14">
        <v>30</v>
      </c>
      <c r="I110" s="14"/>
      <c r="J110" s="14"/>
    </row>
    <row r="111" spans="1:10">
      <c r="A111" s="14">
        <f>IF(B111="","",COUNTA($B$4:B111))</f>
        <v>108</v>
      </c>
      <c r="B111" s="14" t="s">
        <v>1491</v>
      </c>
      <c r="C111" s="14" t="s">
        <v>197</v>
      </c>
      <c r="D111" s="14" t="s">
        <v>198</v>
      </c>
      <c r="E111" s="14" t="s">
        <v>197</v>
      </c>
      <c r="F111" s="14" t="s">
        <v>150</v>
      </c>
      <c r="G111" s="14" t="s">
        <v>151</v>
      </c>
      <c r="H111" s="14">
        <v>25</v>
      </c>
      <c r="I111" s="14"/>
      <c r="J111" s="14"/>
    </row>
    <row r="112" spans="1:10">
      <c r="A112" s="14">
        <f>IF(B112="","",COUNTA($B$4:B112))</f>
        <v>109</v>
      </c>
      <c r="B112" s="14" t="s">
        <v>1491</v>
      </c>
      <c r="C112" s="14" t="s">
        <v>199</v>
      </c>
      <c r="D112" s="14" t="s">
        <v>200</v>
      </c>
      <c r="E112" s="14" t="s">
        <v>199</v>
      </c>
      <c r="F112" s="14" t="s">
        <v>150</v>
      </c>
      <c r="G112" s="14" t="s">
        <v>151</v>
      </c>
      <c r="H112" s="14">
        <v>100</v>
      </c>
      <c r="I112" s="14"/>
      <c r="J112" s="14"/>
    </row>
    <row r="113" spans="1:10">
      <c r="A113" s="14">
        <f>IF(B113="","",COUNTA($B$4:B113))</f>
        <v>110</v>
      </c>
      <c r="B113" s="14" t="s">
        <v>1491</v>
      </c>
      <c r="C113" s="14" t="s">
        <v>201</v>
      </c>
      <c r="D113" s="14" t="s">
        <v>202</v>
      </c>
      <c r="E113" s="14" t="s">
        <v>201</v>
      </c>
      <c r="F113" s="14" t="s">
        <v>150</v>
      </c>
      <c r="G113" s="14" t="s">
        <v>151</v>
      </c>
      <c r="H113" s="14">
        <v>30</v>
      </c>
      <c r="I113" s="14"/>
      <c r="J113" s="14"/>
    </row>
    <row r="114" spans="1:10">
      <c r="A114" s="14">
        <f>IF(B114="","",COUNTA($B$4:B114))</f>
        <v>111</v>
      </c>
      <c r="B114" s="14" t="s">
        <v>1491</v>
      </c>
      <c r="C114" s="14" t="s">
        <v>203</v>
      </c>
      <c r="D114" s="14" t="s">
        <v>204</v>
      </c>
      <c r="E114" s="14" t="s">
        <v>203</v>
      </c>
      <c r="F114" s="14" t="s">
        <v>155</v>
      </c>
      <c r="G114" s="14" t="s">
        <v>156</v>
      </c>
      <c r="H114" s="14">
        <v>5</v>
      </c>
      <c r="I114" s="14">
        <v>2</v>
      </c>
      <c r="J114" s="14"/>
    </row>
    <row r="115" spans="1:10">
      <c r="A115" s="14">
        <f>IF(B115="","",COUNTA($B$4:B115))</f>
        <v>112</v>
      </c>
      <c r="B115" s="14" t="s">
        <v>1491</v>
      </c>
      <c r="C115" s="14" t="s">
        <v>205</v>
      </c>
      <c r="D115" s="14" t="s">
        <v>206</v>
      </c>
      <c r="E115" s="14" t="s">
        <v>205</v>
      </c>
      <c r="F115" s="14" t="s">
        <v>155</v>
      </c>
      <c r="G115" s="14" t="s">
        <v>156</v>
      </c>
      <c r="H115" s="14">
        <v>4</v>
      </c>
      <c r="I115" s="14"/>
      <c r="J115" s="14"/>
    </row>
    <row r="116" spans="1:10">
      <c r="A116" s="14">
        <f>IF(B116="","",COUNTA($B$4:B116))</f>
        <v>113</v>
      </c>
      <c r="B116" s="14" t="s">
        <v>1491</v>
      </c>
      <c r="C116" s="14" t="s">
        <v>208</v>
      </c>
      <c r="D116" s="14" t="s">
        <v>209</v>
      </c>
      <c r="E116" s="14" t="s">
        <v>208</v>
      </c>
      <c r="F116" s="14" t="s">
        <v>155</v>
      </c>
      <c r="G116" s="14" t="s">
        <v>156</v>
      </c>
      <c r="H116" s="14">
        <v>5</v>
      </c>
      <c r="I116" s="14"/>
      <c r="J116" s="14"/>
    </row>
    <row r="117" spans="1:10">
      <c r="A117" s="14">
        <f>IF(B117="","",COUNTA($B$4:B117))</f>
        <v>114</v>
      </c>
      <c r="B117" s="14" t="s">
        <v>1491</v>
      </c>
      <c r="C117" s="14" t="s">
        <v>211</v>
      </c>
      <c r="D117" s="14" t="s">
        <v>212</v>
      </c>
      <c r="E117" s="14" t="s">
        <v>211</v>
      </c>
      <c r="F117" s="14" t="s">
        <v>155</v>
      </c>
      <c r="G117" s="14" t="s">
        <v>156</v>
      </c>
      <c r="H117" s="14">
        <v>5</v>
      </c>
      <c r="I117" s="14"/>
      <c r="J117" s="14"/>
    </row>
    <row r="118" spans="1:10">
      <c r="A118" s="14">
        <f>IF(B118="","",COUNTA($B$4:B118))</f>
        <v>115</v>
      </c>
      <c r="B118" s="14" t="s">
        <v>1491</v>
      </c>
      <c r="C118" s="14" t="s">
        <v>214</v>
      </c>
      <c r="D118" s="14" t="s">
        <v>215</v>
      </c>
      <c r="E118" s="14" t="s">
        <v>1488</v>
      </c>
      <c r="F118" s="14" t="s">
        <v>155</v>
      </c>
      <c r="G118" s="14" t="s">
        <v>156</v>
      </c>
      <c r="H118" s="14">
        <v>5</v>
      </c>
      <c r="I118" s="14"/>
      <c r="J118" s="14"/>
    </row>
    <row r="119" spans="1:10">
      <c r="A119" s="14">
        <f>IF(B119="","",COUNTA($B$4:B119))</f>
        <v>116</v>
      </c>
      <c r="B119" s="14" t="s">
        <v>1491</v>
      </c>
      <c r="C119" s="14" t="s">
        <v>217</v>
      </c>
      <c r="D119" s="14" t="s">
        <v>218</v>
      </c>
      <c r="E119" s="14" t="s">
        <v>219</v>
      </c>
      <c r="F119" s="14" t="s">
        <v>155</v>
      </c>
      <c r="G119" s="14" t="s">
        <v>156</v>
      </c>
      <c r="H119" s="14">
        <v>5</v>
      </c>
      <c r="I119" s="14"/>
      <c r="J119" s="14"/>
    </row>
    <row r="120" spans="1:10">
      <c r="A120" s="14">
        <f>IF(B120="","",COUNTA($B$4:B120))</f>
        <v>117</v>
      </c>
      <c r="B120" s="14" t="s">
        <v>1491</v>
      </c>
      <c r="C120" s="14" t="s">
        <v>266</v>
      </c>
      <c r="D120" s="14" t="s">
        <v>267</v>
      </c>
      <c r="E120" s="14" t="s">
        <v>266</v>
      </c>
      <c r="F120" s="14" t="s">
        <v>155</v>
      </c>
      <c r="G120" s="14" t="s">
        <v>156</v>
      </c>
      <c r="H120" s="14">
        <v>5</v>
      </c>
      <c r="I120" s="14"/>
      <c r="J120" s="14"/>
    </row>
    <row r="121" spans="1:10">
      <c r="A121" s="14">
        <f>IF(B121="","",COUNTA($B$4:B121))</f>
        <v>118</v>
      </c>
      <c r="B121" s="14" t="s">
        <v>1491</v>
      </c>
      <c r="C121" s="14" t="s">
        <v>278</v>
      </c>
      <c r="D121" s="14" t="s">
        <v>279</v>
      </c>
      <c r="E121" s="14" t="s">
        <v>278</v>
      </c>
      <c r="F121" s="14" t="s">
        <v>150</v>
      </c>
      <c r="G121" s="14" t="s">
        <v>151</v>
      </c>
      <c r="H121" s="14">
        <v>4</v>
      </c>
      <c r="I121" s="14"/>
      <c r="J121" s="14"/>
    </row>
    <row r="122" spans="1:10">
      <c r="A122" s="14">
        <f>IF(B122="","",COUNTA($B$4:B122))</f>
        <v>119</v>
      </c>
      <c r="B122" s="14" t="s">
        <v>1491</v>
      </c>
      <c r="C122" s="14" t="s">
        <v>226</v>
      </c>
      <c r="D122" s="14" t="s">
        <v>227</v>
      </c>
      <c r="E122" s="14" t="s">
        <v>226</v>
      </c>
      <c r="F122" s="14" t="s">
        <v>150</v>
      </c>
      <c r="G122" s="14" t="s">
        <v>151</v>
      </c>
      <c r="H122" s="14">
        <v>3</v>
      </c>
      <c r="I122" s="14"/>
      <c r="J122" s="14"/>
    </row>
    <row r="123" spans="1:10">
      <c r="A123" s="14">
        <f>IF(B123="","",COUNTA($B$4:B123))</f>
        <v>120</v>
      </c>
      <c r="B123" s="14" t="s">
        <v>1491</v>
      </c>
      <c r="C123" s="14" t="s">
        <v>228</v>
      </c>
      <c r="D123" s="14" t="s">
        <v>229</v>
      </c>
      <c r="E123" s="14" t="s">
        <v>228</v>
      </c>
      <c r="F123" s="14" t="s">
        <v>150</v>
      </c>
      <c r="G123" s="14" t="s">
        <v>151</v>
      </c>
      <c r="H123" s="14">
        <v>1000</v>
      </c>
      <c r="I123" s="14"/>
      <c r="J123" s="14"/>
    </row>
    <row r="124" spans="1:10">
      <c r="A124" s="14">
        <f>IF(B124="","",COUNTA($B$4:B124))</f>
        <v>121</v>
      </c>
      <c r="B124" s="14" t="s">
        <v>1491</v>
      </c>
      <c r="C124" s="14" t="s">
        <v>230</v>
      </c>
      <c r="D124" s="14" t="s">
        <v>231</v>
      </c>
      <c r="E124" s="14" t="s">
        <v>230</v>
      </c>
      <c r="F124" s="14" t="s">
        <v>169</v>
      </c>
      <c r="G124" s="14" t="s">
        <v>170</v>
      </c>
      <c r="H124" s="14"/>
      <c r="I124" s="14"/>
      <c r="J124" s="14"/>
    </row>
    <row r="125" spans="1:10">
      <c r="A125" s="14">
        <f>IF(B125="","",COUNTA($B$4:B125))</f>
        <v>122</v>
      </c>
      <c r="B125" s="14" t="s">
        <v>1491</v>
      </c>
      <c r="C125" s="14" t="s">
        <v>233</v>
      </c>
      <c r="D125" s="14" t="s">
        <v>234</v>
      </c>
      <c r="E125" s="14" t="s">
        <v>233</v>
      </c>
      <c r="F125" s="14" t="s">
        <v>155</v>
      </c>
      <c r="G125" s="14" t="s">
        <v>156</v>
      </c>
      <c r="H125" s="14">
        <v>1</v>
      </c>
      <c r="I125" s="14"/>
      <c r="J125" s="14"/>
    </row>
    <row r="126" spans="1:10">
      <c r="A126" s="14">
        <f>IF(B126="","",COUNTA($B$4:B126))</f>
        <v>123</v>
      </c>
      <c r="B126" s="14" t="s">
        <v>1491</v>
      </c>
      <c r="C126" s="14" t="s">
        <v>276</v>
      </c>
      <c r="D126" s="14" t="s">
        <v>277</v>
      </c>
      <c r="E126" s="14" t="s">
        <v>276</v>
      </c>
      <c r="F126" s="14" t="s">
        <v>155</v>
      </c>
      <c r="G126" s="14" t="s">
        <v>156</v>
      </c>
      <c r="H126" s="14">
        <v>1</v>
      </c>
      <c r="I126" s="14"/>
      <c r="J126" s="14" t="s">
        <v>1490</v>
      </c>
    </row>
    <row r="127" spans="1:10">
      <c r="A127" s="14">
        <f>IF(B127="","",COUNTA($B$4:B127))</f>
        <v>124</v>
      </c>
      <c r="B127" s="14" t="s">
        <v>1491</v>
      </c>
      <c r="C127" s="14" t="s">
        <v>236</v>
      </c>
      <c r="D127" s="14" t="s">
        <v>237</v>
      </c>
      <c r="E127" s="14" t="s">
        <v>236</v>
      </c>
      <c r="F127" s="14" t="s">
        <v>155</v>
      </c>
      <c r="G127" s="14" t="s">
        <v>156</v>
      </c>
      <c r="H127" s="14">
        <v>1</v>
      </c>
      <c r="I127" s="14"/>
      <c r="J127" s="14"/>
    </row>
    <row r="128" spans="1:10">
      <c r="A128" s="14">
        <f>IF(B128="","",COUNTA($B$4:B128))</f>
        <v>125</v>
      </c>
      <c r="B128" s="14" t="s">
        <v>1491</v>
      </c>
      <c r="C128" s="14" t="s">
        <v>239</v>
      </c>
      <c r="D128" s="14" t="s">
        <v>240</v>
      </c>
      <c r="E128" s="14" t="s">
        <v>239</v>
      </c>
      <c r="F128" s="14" t="s">
        <v>169</v>
      </c>
      <c r="G128" s="14" t="s">
        <v>170</v>
      </c>
      <c r="H128" s="14"/>
      <c r="I128" s="14"/>
      <c r="J128" s="14"/>
    </row>
    <row r="129" spans="1:10">
      <c r="A129" s="14">
        <f>IF(B129="","",COUNTA($B$4:B129))</f>
        <v>126</v>
      </c>
      <c r="B129" s="14" t="s">
        <v>1491</v>
      </c>
      <c r="C129" s="14" t="s">
        <v>241</v>
      </c>
      <c r="D129" s="14" t="s">
        <v>242</v>
      </c>
      <c r="E129" s="14" t="s">
        <v>241</v>
      </c>
      <c r="F129" s="14" t="s">
        <v>150</v>
      </c>
      <c r="G129" s="14" t="s">
        <v>243</v>
      </c>
      <c r="H129" s="14"/>
      <c r="I129" s="14" t="s">
        <v>244</v>
      </c>
      <c r="J129" s="14"/>
    </row>
    <row r="130" spans="1:10">
      <c r="A130" s="14">
        <f>IF(B130="","",COUNTA($B$4:B130))</f>
        <v>127</v>
      </c>
      <c r="B130" s="14" t="s">
        <v>1491</v>
      </c>
      <c r="C130" s="14" t="s">
        <v>246</v>
      </c>
      <c r="D130" s="14" t="s">
        <v>247</v>
      </c>
      <c r="E130" s="14" t="s">
        <v>246</v>
      </c>
      <c r="F130" s="14" t="s">
        <v>150</v>
      </c>
      <c r="G130" s="14" t="s">
        <v>243</v>
      </c>
      <c r="H130" s="14"/>
      <c r="I130" s="14" t="s">
        <v>244</v>
      </c>
      <c r="J130" s="14"/>
    </row>
    <row r="131" spans="1:10">
      <c r="A131" s="14">
        <f>IF(B131="","",COUNTA($B$4:B131))</f>
        <v>128</v>
      </c>
      <c r="B131" s="14" t="s">
        <v>1491</v>
      </c>
      <c r="C131" s="14" t="s">
        <v>249</v>
      </c>
      <c r="D131" s="14" t="s">
        <v>250</v>
      </c>
      <c r="E131" s="14" t="s">
        <v>249</v>
      </c>
      <c r="F131" s="14" t="s">
        <v>150</v>
      </c>
      <c r="G131" s="14" t="s">
        <v>151</v>
      </c>
      <c r="H131" s="14">
        <v>4</v>
      </c>
      <c r="I131" s="14"/>
      <c r="J131" s="14"/>
    </row>
    <row r="132" spans="1:10">
      <c r="A132" s="14">
        <f>IF(B132="","",COUNTA($B$4:B132))</f>
        <v>129</v>
      </c>
      <c r="B132" s="14" t="s">
        <v>1491</v>
      </c>
      <c r="C132" s="14" t="s">
        <v>251</v>
      </c>
      <c r="D132" s="14" t="s">
        <v>252</v>
      </c>
      <c r="E132" s="14" t="s">
        <v>251</v>
      </c>
      <c r="F132" s="14" t="s">
        <v>150</v>
      </c>
      <c r="G132" s="14" t="s">
        <v>151</v>
      </c>
      <c r="H132" s="14">
        <v>4</v>
      </c>
      <c r="I132" s="14"/>
      <c r="J132" s="14"/>
    </row>
    <row r="133" spans="1:10">
      <c r="A133" s="14">
        <f>IF(B133="","",COUNTA($B$4:B133))</f>
        <v>130</v>
      </c>
      <c r="B133" s="14" t="s">
        <v>1491</v>
      </c>
      <c r="C133" s="14" t="s">
        <v>253</v>
      </c>
      <c r="D133" s="14" t="s">
        <v>254</v>
      </c>
      <c r="E133" s="14" t="s">
        <v>253</v>
      </c>
      <c r="F133" s="14" t="s">
        <v>150</v>
      </c>
      <c r="G133" s="14" t="s">
        <v>151</v>
      </c>
      <c r="H133" s="14">
        <v>10</v>
      </c>
      <c r="I133" s="14"/>
      <c r="J133" s="14"/>
    </row>
    <row r="134" spans="1:10">
      <c r="A134" s="14">
        <f>IF(B134="","",COUNTA($B$4:B134))</f>
        <v>131</v>
      </c>
      <c r="B134" s="14" t="s">
        <v>1491</v>
      </c>
      <c r="C134" s="14" t="s">
        <v>255</v>
      </c>
      <c r="D134" s="14" t="s">
        <v>256</v>
      </c>
      <c r="E134" s="14" t="s">
        <v>255</v>
      </c>
      <c r="F134" s="14" t="s">
        <v>150</v>
      </c>
      <c r="G134" s="14" t="s">
        <v>151</v>
      </c>
      <c r="H134" s="14">
        <v>10</v>
      </c>
      <c r="I134" s="14"/>
      <c r="J134" s="14"/>
    </row>
    <row r="135" spans="1:10">
      <c r="A135" s="14">
        <f>IF(B135="","",COUNTA($B$4:B135))</f>
        <v>132</v>
      </c>
      <c r="B135" s="14" t="s">
        <v>1491</v>
      </c>
      <c r="C135" s="14" t="s">
        <v>257</v>
      </c>
      <c r="D135" s="14" t="s">
        <v>258</v>
      </c>
      <c r="E135" s="14" t="s">
        <v>257</v>
      </c>
      <c r="F135" s="14" t="s">
        <v>169</v>
      </c>
      <c r="G135" s="14" t="s">
        <v>243</v>
      </c>
      <c r="H135" s="14"/>
      <c r="I135" s="14"/>
      <c r="J135" s="14"/>
    </row>
    <row r="136" spans="1:10">
      <c r="A136" s="14">
        <f>IF(B136="","",COUNTA($B$4:B136))</f>
        <v>133</v>
      </c>
      <c r="B136" s="14" t="s">
        <v>1491</v>
      </c>
      <c r="C136" s="14" t="s">
        <v>259</v>
      </c>
      <c r="D136" s="14" t="s">
        <v>260</v>
      </c>
      <c r="E136" s="14" t="s">
        <v>259</v>
      </c>
      <c r="F136" s="14" t="s">
        <v>150</v>
      </c>
      <c r="G136" s="14" t="s">
        <v>151</v>
      </c>
      <c r="H136" s="14">
        <v>10</v>
      </c>
      <c r="I136" s="14"/>
      <c r="J136" s="14"/>
    </row>
    <row r="137" spans="1:10">
      <c r="A137" s="14">
        <f>IF(B137="","",COUNTA($B$4:B137))</f>
        <v>134</v>
      </c>
      <c r="B137" s="14" t="s">
        <v>1491</v>
      </c>
      <c r="C137" s="14" t="s">
        <v>261</v>
      </c>
      <c r="D137" s="14" t="s">
        <v>262</v>
      </c>
      <c r="E137" s="14" t="s">
        <v>261</v>
      </c>
      <c r="F137" s="14" t="s">
        <v>150</v>
      </c>
      <c r="G137" s="14" t="s">
        <v>151</v>
      </c>
      <c r="H137" s="14">
        <v>10</v>
      </c>
      <c r="I137" s="14"/>
      <c r="J137" s="14"/>
    </row>
    <row r="138" spans="1:10">
      <c r="A138" s="14">
        <f>IF(B138="","",COUNTA($B$4:B138))</f>
        <v>135</v>
      </c>
      <c r="B138" s="14" t="s">
        <v>1491</v>
      </c>
      <c r="C138" s="14" t="s">
        <v>263</v>
      </c>
      <c r="D138" s="14" t="s">
        <v>264</v>
      </c>
      <c r="E138" s="14" t="s">
        <v>263</v>
      </c>
      <c r="F138" s="14" t="s">
        <v>169</v>
      </c>
      <c r="G138" s="14" t="s">
        <v>243</v>
      </c>
      <c r="H138" s="14"/>
      <c r="I138" s="14"/>
      <c r="J138" s="14"/>
    </row>
    <row r="139" spans="1:10">
      <c r="A139" s="14">
        <f>IF(B139="","",COUNTA($B$4:B139))</f>
        <v>136</v>
      </c>
      <c r="B139" s="14" t="s">
        <v>1492</v>
      </c>
      <c r="C139" s="14" t="s">
        <v>148</v>
      </c>
      <c r="D139" s="14" t="s">
        <v>149</v>
      </c>
      <c r="E139" s="14" t="s">
        <v>148</v>
      </c>
      <c r="F139" s="14" t="s">
        <v>150</v>
      </c>
      <c r="G139" s="14" t="s">
        <v>151</v>
      </c>
      <c r="H139" s="14">
        <v>15</v>
      </c>
      <c r="I139" s="14"/>
      <c r="J139" s="14"/>
    </row>
    <row r="140" spans="1:10">
      <c r="A140" s="14">
        <f>IF(B140="","",COUNTA($B$4:B140))</f>
        <v>137</v>
      </c>
      <c r="B140" s="14" t="s">
        <v>1492</v>
      </c>
      <c r="C140" s="14" t="s">
        <v>153</v>
      </c>
      <c r="D140" s="14" t="s">
        <v>154</v>
      </c>
      <c r="E140" s="14" t="s">
        <v>153</v>
      </c>
      <c r="F140" s="14" t="s">
        <v>155</v>
      </c>
      <c r="G140" s="14" t="s">
        <v>156</v>
      </c>
      <c r="H140" s="14">
        <v>3</v>
      </c>
      <c r="I140" s="14"/>
      <c r="J140" s="14"/>
    </row>
    <row r="141" spans="1:10">
      <c r="A141" s="14">
        <f>IF(B141="","",COUNTA($B$4:B141))</f>
        <v>138</v>
      </c>
      <c r="B141" s="14" t="s">
        <v>1492</v>
      </c>
      <c r="C141" s="14" t="s">
        <v>157</v>
      </c>
      <c r="D141" s="14" t="s">
        <v>158</v>
      </c>
      <c r="E141" s="14" t="s">
        <v>157</v>
      </c>
      <c r="F141" s="14" t="s">
        <v>150</v>
      </c>
      <c r="G141" s="14" t="s">
        <v>151</v>
      </c>
      <c r="H141" s="14">
        <v>10</v>
      </c>
      <c r="I141" s="14"/>
      <c r="J141" s="14"/>
    </row>
    <row r="142" spans="1:10">
      <c r="A142" s="14">
        <f>IF(B142="","",COUNTA($B$4:B142))</f>
        <v>139</v>
      </c>
      <c r="B142" s="14" t="s">
        <v>1492</v>
      </c>
      <c r="C142" s="14" t="s">
        <v>159</v>
      </c>
      <c r="D142" s="14" t="s">
        <v>160</v>
      </c>
      <c r="E142" s="14" t="s">
        <v>159</v>
      </c>
      <c r="F142" s="14" t="s">
        <v>150</v>
      </c>
      <c r="G142" s="14" t="s">
        <v>151</v>
      </c>
      <c r="H142" s="14">
        <v>4</v>
      </c>
      <c r="I142" s="14"/>
      <c r="J142" s="14"/>
    </row>
    <row r="143" spans="1:10">
      <c r="A143" s="14">
        <f>IF(B143="","",COUNTA($B$4:B143))</f>
        <v>140</v>
      </c>
      <c r="B143" s="14" t="s">
        <v>1492</v>
      </c>
      <c r="C143" s="14" t="s">
        <v>162</v>
      </c>
      <c r="D143" s="14" t="s">
        <v>163</v>
      </c>
      <c r="E143" s="14" t="s">
        <v>164</v>
      </c>
      <c r="F143" s="14" t="s">
        <v>150</v>
      </c>
      <c r="G143" s="14" t="s">
        <v>151</v>
      </c>
      <c r="H143" s="14">
        <v>4</v>
      </c>
      <c r="I143" s="14"/>
      <c r="J143" s="14"/>
    </row>
    <row r="144" spans="1:10">
      <c r="A144" s="14">
        <f>IF(B144="","",COUNTA($B$4:B144))</f>
        <v>141</v>
      </c>
      <c r="B144" s="14" t="s">
        <v>1492</v>
      </c>
      <c r="C144" s="14" t="s">
        <v>166</v>
      </c>
      <c r="D144" s="14" t="s">
        <v>167</v>
      </c>
      <c r="E144" s="14" t="s">
        <v>168</v>
      </c>
      <c r="F144" s="14" t="s">
        <v>169</v>
      </c>
      <c r="G144" s="14" t="s">
        <v>170</v>
      </c>
      <c r="H144" s="14"/>
      <c r="I144" s="14"/>
      <c r="J144" s="14"/>
    </row>
    <row r="145" spans="1:10">
      <c r="A145" s="14">
        <f>IF(B145="","",COUNTA($B$4:B145))</f>
        <v>142</v>
      </c>
      <c r="B145" s="14" t="s">
        <v>1492</v>
      </c>
      <c r="C145" s="14" t="s">
        <v>174</v>
      </c>
      <c r="D145" s="14" t="s">
        <v>175</v>
      </c>
      <c r="E145" s="14" t="s">
        <v>176</v>
      </c>
      <c r="F145" s="14" t="s">
        <v>169</v>
      </c>
      <c r="G145" s="14" t="s">
        <v>170</v>
      </c>
      <c r="H145" s="14"/>
      <c r="I145" s="14"/>
      <c r="J145" s="14"/>
    </row>
    <row r="146" spans="1:10">
      <c r="A146" s="14">
        <f>IF(B146="","",COUNTA($B$4:B146))</f>
        <v>143</v>
      </c>
      <c r="B146" s="14" t="s">
        <v>1492</v>
      </c>
      <c r="C146" s="14" t="s">
        <v>172</v>
      </c>
      <c r="D146" s="14" t="s">
        <v>177</v>
      </c>
      <c r="E146" s="14" t="s">
        <v>172</v>
      </c>
      <c r="F146" s="14" t="s">
        <v>155</v>
      </c>
      <c r="G146" s="14" t="s">
        <v>156</v>
      </c>
      <c r="H146" s="14">
        <v>5</v>
      </c>
      <c r="I146" s="14">
        <v>1</v>
      </c>
      <c r="J146" s="14"/>
    </row>
    <row r="147" spans="1:10">
      <c r="A147" s="14">
        <f>IF(B147="","",COUNTA($B$4:B147))</f>
        <v>144</v>
      </c>
      <c r="B147" s="14" t="s">
        <v>1492</v>
      </c>
      <c r="C147" s="14" t="s">
        <v>178</v>
      </c>
      <c r="D147" s="14" t="s">
        <v>179</v>
      </c>
      <c r="E147" s="14" t="s">
        <v>178</v>
      </c>
      <c r="F147" s="14" t="s">
        <v>150</v>
      </c>
      <c r="G147" s="14" t="s">
        <v>151</v>
      </c>
      <c r="H147" s="14">
        <v>20</v>
      </c>
      <c r="I147" s="14"/>
      <c r="J147" s="14"/>
    </row>
    <row r="148" spans="1:10">
      <c r="A148" s="14">
        <f>IF(B148="","",COUNTA($B$4:B148))</f>
        <v>145</v>
      </c>
      <c r="B148" s="14" t="s">
        <v>1492</v>
      </c>
      <c r="C148" s="14" t="s">
        <v>181</v>
      </c>
      <c r="D148" s="14" t="s">
        <v>182</v>
      </c>
      <c r="E148" s="14" t="s">
        <v>181</v>
      </c>
      <c r="F148" s="14" t="s">
        <v>150</v>
      </c>
      <c r="G148" s="14" t="s">
        <v>151</v>
      </c>
      <c r="H148" s="14">
        <v>30</v>
      </c>
      <c r="I148" s="14"/>
      <c r="J148" s="14"/>
    </row>
    <row r="149" spans="1:10">
      <c r="A149" s="14">
        <f>IF(B149="","",COUNTA($B$4:B149))</f>
        <v>146</v>
      </c>
      <c r="B149" s="14" t="s">
        <v>1492</v>
      </c>
      <c r="C149" s="14" t="s">
        <v>183</v>
      </c>
      <c r="D149" s="14" t="s">
        <v>184</v>
      </c>
      <c r="E149" s="14" t="s">
        <v>183</v>
      </c>
      <c r="F149" s="14" t="s">
        <v>150</v>
      </c>
      <c r="G149" s="14" t="s">
        <v>151</v>
      </c>
      <c r="H149" s="14">
        <v>1000</v>
      </c>
      <c r="I149" s="14"/>
      <c r="J149" s="14"/>
    </row>
    <row r="150" spans="1:10">
      <c r="A150" s="14">
        <f>IF(B150="","",COUNTA($B$4:B150))</f>
        <v>147</v>
      </c>
      <c r="B150" s="14" t="s">
        <v>1492</v>
      </c>
      <c r="C150" s="14" t="s">
        <v>185</v>
      </c>
      <c r="D150" s="14" t="s">
        <v>186</v>
      </c>
      <c r="E150" s="14" t="s">
        <v>185</v>
      </c>
      <c r="F150" s="14" t="s">
        <v>150</v>
      </c>
      <c r="G150" s="14" t="s">
        <v>151</v>
      </c>
      <c r="H150" s="14">
        <v>75</v>
      </c>
      <c r="I150" s="14"/>
      <c r="J150" s="14"/>
    </row>
    <row r="151" spans="1:10">
      <c r="A151" s="14">
        <f>IF(B151="","",COUNTA($B$4:B151))</f>
        <v>148</v>
      </c>
      <c r="B151" s="14" t="s">
        <v>1492</v>
      </c>
      <c r="C151" s="14" t="s">
        <v>187</v>
      </c>
      <c r="D151" s="14" t="s">
        <v>188</v>
      </c>
      <c r="E151" s="14" t="s">
        <v>187</v>
      </c>
      <c r="F151" s="14" t="s">
        <v>155</v>
      </c>
      <c r="G151" s="14" t="s">
        <v>156</v>
      </c>
      <c r="H151" s="14">
        <v>3</v>
      </c>
      <c r="I151" s="14"/>
      <c r="J151" s="14"/>
    </row>
    <row r="152" spans="1:10">
      <c r="A152" s="14">
        <f>IF(B152="","",COUNTA($B$4:B152))</f>
        <v>149</v>
      </c>
      <c r="B152" s="14" t="s">
        <v>1492</v>
      </c>
      <c r="C152" s="14" t="s">
        <v>189</v>
      </c>
      <c r="D152" s="14" t="s">
        <v>190</v>
      </c>
      <c r="E152" s="14" t="s">
        <v>189</v>
      </c>
      <c r="F152" s="14" t="s">
        <v>155</v>
      </c>
      <c r="G152" s="14" t="s">
        <v>156</v>
      </c>
      <c r="H152" s="14">
        <v>3</v>
      </c>
      <c r="I152" s="14"/>
      <c r="J152" s="14"/>
    </row>
    <row r="153" spans="1:10">
      <c r="A153" s="14">
        <f>IF(B153="","",COUNTA($B$4:B153))</f>
        <v>150</v>
      </c>
      <c r="B153" s="14" t="s">
        <v>1492</v>
      </c>
      <c r="C153" s="14" t="s">
        <v>193</v>
      </c>
      <c r="D153" s="14" t="s">
        <v>194</v>
      </c>
      <c r="E153" s="14" t="s">
        <v>193</v>
      </c>
      <c r="F153" s="14" t="s">
        <v>150</v>
      </c>
      <c r="G153" s="14" t="s">
        <v>151</v>
      </c>
      <c r="H153" s="14">
        <v>25</v>
      </c>
      <c r="I153" s="14"/>
      <c r="J153" s="14"/>
    </row>
    <row r="154" spans="1:10">
      <c r="A154" s="14">
        <f>IF(B154="","",COUNTA($B$4:B154))</f>
        <v>151</v>
      </c>
      <c r="B154" s="14" t="s">
        <v>1492</v>
      </c>
      <c r="C154" s="14" t="s">
        <v>195</v>
      </c>
      <c r="D154" s="14" t="s">
        <v>196</v>
      </c>
      <c r="E154" s="14" t="s">
        <v>195</v>
      </c>
      <c r="F154" s="14" t="s">
        <v>150</v>
      </c>
      <c r="G154" s="14" t="s">
        <v>151</v>
      </c>
      <c r="H154" s="14">
        <v>30</v>
      </c>
      <c r="I154" s="14"/>
      <c r="J154" s="14"/>
    </row>
    <row r="155" spans="1:10">
      <c r="A155" s="14">
        <f>IF(B155="","",COUNTA($B$4:B155))</f>
        <v>152</v>
      </c>
      <c r="B155" s="14" t="s">
        <v>1492</v>
      </c>
      <c r="C155" s="14" t="s">
        <v>197</v>
      </c>
      <c r="D155" s="14" t="s">
        <v>198</v>
      </c>
      <c r="E155" s="14" t="s">
        <v>197</v>
      </c>
      <c r="F155" s="14" t="s">
        <v>150</v>
      </c>
      <c r="G155" s="14" t="s">
        <v>151</v>
      </c>
      <c r="H155" s="14">
        <v>5</v>
      </c>
      <c r="I155" s="14"/>
      <c r="J155" s="14"/>
    </row>
    <row r="156" spans="1:10">
      <c r="A156" s="14">
        <f>IF(B156="","",COUNTA($B$4:B156))</f>
        <v>153</v>
      </c>
      <c r="B156" s="14" t="s">
        <v>1492</v>
      </c>
      <c r="C156" s="14" t="s">
        <v>199</v>
      </c>
      <c r="D156" s="14" t="s">
        <v>200</v>
      </c>
      <c r="E156" s="14" t="s">
        <v>199</v>
      </c>
      <c r="F156" s="14" t="s">
        <v>150</v>
      </c>
      <c r="G156" s="14" t="s">
        <v>151</v>
      </c>
      <c r="H156" s="14">
        <v>20</v>
      </c>
      <c r="I156" s="14"/>
      <c r="J156" s="14"/>
    </row>
    <row r="157" spans="1:10">
      <c r="A157" s="14">
        <f>IF(B157="","",COUNTA($B$4:B157))</f>
        <v>154</v>
      </c>
      <c r="B157" s="14" t="s">
        <v>1492</v>
      </c>
      <c r="C157" s="14" t="s">
        <v>201</v>
      </c>
      <c r="D157" s="14" t="s">
        <v>202</v>
      </c>
      <c r="E157" s="14" t="s">
        <v>201</v>
      </c>
      <c r="F157" s="14" t="s">
        <v>150</v>
      </c>
      <c r="G157" s="14" t="s">
        <v>151</v>
      </c>
      <c r="H157" s="14">
        <v>30</v>
      </c>
      <c r="I157" s="14"/>
      <c r="J157" s="14"/>
    </row>
    <row r="158" spans="1:10">
      <c r="A158" s="14">
        <f>IF(B158="","",COUNTA($B$4:B158))</f>
        <v>155</v>
      </c>
      <c r="B158" s="14" t="s">
        <v>1492</v>
      </c>
      <c r="C158" s="14" t="s">
        <v>203</v>
      </c>
      <c r="D158" s="14" t="s">
        <v>204</v>
      </c>
      <c r="E158" s="14" t="s">
        <v>203</v>
      </c>
      <c r="F158" s="14" t="s">
        <v>155</v>
      </c>
      <c r="G158" s="14" t="s">
        <v>156</v>
      </c>
      <c r="H158" s="14">
        <v>5</v>
      </c>
      <c r="I158" s="14">
        <v>2</v>
      </c>
      <c r="J158" s="14"/>
    </row>
    <row r="159" spans="1:10">
      <c r="A159" s="14">
        <f>IF(B159="","",COUNTA($B$4:B159))</f>
        <v>156</v>
      </c>
      <c r="B159" s="14" t="s">
        <v>1492</v>
      </c>
      <c r="C159" s="14" t="s">
        <v>205</v>
      </c>
      <c r="D159" s="14" t="s">
        <v>206</v>
      </c>
      <c r="E159" s="14" t="s">
        <v>205</v>
      </c>
      <c r="F159" s="14" t="s">
        <v>155</v>
      </c>
      <c r="G159" s="14" t="s">
        <v>156</v>
      </c>
      <c r="H159" s="14">
        <v>4</v>
      </c>
      <c r="I159" s="14"/>
      <c r="J159" s="14"/>
    </row>
    <row r="160" spans="1:10">
      <c r="A160" s="14">
        <f>IF(B160="","",COUNTA($B$4:B160))</f>
        <v>157</v>
      </c>
      <c r="B160" s="14" t="s">
        <v>1492</v>
      </c>
      <c r="C160" s="14" t="s">
        <v>208</v>
      </c>
      <c r="D160" s="14" t="s">
        <v>209</v>
      </c>
      <c r="E160" s="14" t="s">
        <v>208</v>
      </c>
      <c r="F160" s="14" t="s">
        <v>155</v>
      </c>
      <c r="G160" s="14" t="s">
        <v>156</v>
      </c>
      <c r="H160" s="14">
        <v>5</v>
      </c>
      <c r="I160" s="14"/>
      <c r="J160" s="14"/>
    </row>
    <row r="161" spans="1:10">
      <c r="A161" s="14">
        <f>IF(B161="","",COUNTA($B$4:B161))</f>
        <v>158</v>
      </c>
      <c r="B161" s="14" t="s">
        <v>1492</v>
      </c>
      <c r="C161" s="14" t="s">
        <v>211</v>
      </c>
      <c r="D161" s="14" t="s">
        <v>212</v>
      </c>
      <c r="E161" s="14" t="s">
        <v>211</v>
      </c>
      <c r="F161" s="14" t="s">
        <v>155</v>
      </c>
      <c r="G161" s="14" t="s">
        <v>156</v>
      </c>
      <c r="H161" s="14">
        <v>5</v>
      </c>
      <c r="I161" s="14"/>
      <c r="J161" s="14"/>
    </row>
    <row r="162" spans="1:10">
      <c r="A162" s="14">
        <f>IF(B162="","",COUNTA($B$4:B162))</f>
        <v>159</v>
      </c>
      <c r="B162" s="14" t="s">
        <v>1492</v>
      </c>
      <c r="C162" s="14" t="s">
        <v>214</v>
      </c>
      <c r="D162" s="14" t="s">
        <v>215</v>
      </c>
      <c r="E162" s="14" t="s">
        <v>1488</v>
      </c>
      <c r="F162" s="14" t="s">
        <v>155</v>
      </c>
      <c r="G162" s="14" t="s">
        <v>156</v>
      </c>
      <c r="H162" s="14">
        <v>5</v>
      </c>
      <c r="I162" s="14"/>
      <c r="J162" s="14"/>
    </row>
    <row r="163" spans="1:10">
      <c r="A163" s="14">
        <f>IF(B163="","",COUNTA($B$4:B163))</f>
        <v>160</v>
      </c>
      <c r="B163" s="14" t="s">
        <v>1492</v>
      </c>
      <c r="C163" s="14" t="s">
        <v>217</v>
      </c>
      <c r="D163" s="14" t="s">
        <v>218</v>
      </c>
      <c r="E163" s="14" t="s">
        <v>219</v>
      </c>
      <c r="F163" s="14" t="s">
        <v>155</v>
      </c>
      <c r="G163" s="14" t="s">
        <v>156</v>
      </c>
      <c r="H163" s="14">
        <v>5</v>
      </c>
      <c r="I163" s="14"/>
      <c r="J163" s="14"/>
    </row>
    <row r="164" spans="1:10">
      <c r="A164" s="14">
        <f>IF(B164="","",COUNTA($B$4:B164))</f>
        <v>161</v>
      </c>
      <c r="B164" s="14" t="s">
        <v>1492</v>
      </c>
      <c r="C164" s="14" t="s">
        <v>266</v>
      </c>
      <c r="D164" s="14" t="s">
        <v>267</v>
      </c>
      <c r="E164" s="14" t="s">
        <v>266</v>
      </c>
      <c r="F164" s="14" t="s">
        <v>155</v>
      </c>
      <c r="G164" s="14" t="s">
        <v>156</v>
      </c>
      <c r="H164" s="14">
        <v>5</v>
      </c>
      <c r="I164" s="14"/>
      <c r="J164" s="14"/>
    </row>
    <row r="165" spans="1:10">
      <c r="A165" s="14">
        <f>IF(B165="","",COUNTA($B$4:B165))</f>
        <v>162</v>
      </c>
      <c r="B165" s="14" t="s">
        <v>1492</v>
      </c>
      <c r="C165" s="14" t="s">
        <v>226</v>
      </c>
      <c r="D165" s="14" t="s">
        <v>227</v>
      </c>
      <c r="E165" s="14" t="s">
        <v>226</v>
      </c>
      <c r="F165" s="14" t="s">
        <v>150</v>
      </c>
      <c r="G165" s="14" t="s">
        <v>151</v>
      </c>
      <c r="H165" s="14">
        <v>3</v>
      </c>
      <c r="I165" s="14"/>
      <c r="J165" s="14"/>
    </row>
    <row r="166" spans="1:10">
      <c r="A166" s="14">
        <f>IF(B166="","",COUNTA($B$4:B166))</f>
        <v>163</v>
      </c>
      <c r="B166" s="14" t="s">
        <v>1492</v>
      </c>
      <c r="C166" s="14" t="s">
        <v>228</v>
      </c>
      <c r="D166" s="14" t="s">
        <v>229</v>
      </c>
      <c r="E166" s="14" t="s">
        <v>228</v>
      </c>
      <c r="F166" s="14" t="s">
        <v>150</v>
      </c>
      <c r="G166" s="14" t="s">
        <v>151</v>
      </c>
      <c r="H166" s="14">
        <v>1000</v>
      </c>
      <c r="I166" s="14"/>
      <c r="J166" s="14"/>
    </row>
    <row r="167" spans="1:10">
      <c r="A167" s="14">
        <f>IF(B167="","",COUNTA($B$4:B167))</f>
        <v>164</v>
      </c>
      <c r="B167" s="14" t="s">
        <v>1492</v>
      </c>
      <c r="C167" s="14" t="s">
        <v>230</v>
      </c>
      <c r="D167" s="14" t="s">
        <v>231</v>
      </c>
      <c r="E167" s="14" t="s">
        <v>230</v>
      </c>
      <c r="F167" s="14" t="s">
        <v>169</v>
      </c>
      <c r="G167" s="14" t="s">
        <v>170</v>
      </c>
      <c r="H167" s="14"/>
      <c r="I167" s="14"/>
      <c r="J167" s="14"/>
    </row>
    <row r="168" spans="1:10">
      <c r="A168" s="14">
        <f>IF(B168="","",COUNTA($B$4:B168))</f>
        <v>165</v>
      </c>
      <c r="B168" s="14" t="s">
        <v>1492</v>
      </c>
      <c r="C168" s="14" t="s">
        <v>233</v>
      </c>
      <c r="D168" s="14" t="s">
        <v>234</v>
      </c>
      <c r="E168" s="14" t="s">
        <v>233</v>
      </c>
      <c r="F168" s="14" t="s">
        <v>155</v>
      </c>
      <c r="G168" s="14" t="s">
        <v>156</v>
      </c>
      <c r="H168" s="14">
        <v>1</v>
      </c>
      <c r="I168" s="14"/>
      <c r="J168" s="14"/>
    </row>
    <row r="169" spans="1:10">
      <c r="A169" s="14">
        <f>IF(B169="","",COUNTA($B$4:B169))</f>
        <v>166</v>
      </c>
      <c r="B169" s="14" t="s">
        <v>1492</v>
      </c>
      <c r="C169" s="14" t="s">
        <v>276</v>
      </c>
      <c r="D169" s="14" t="s">
        <v>277</v>
      </c>
      <c r="E169" s="14" t="s">
        <v>276</v>
      </c>
      <c r="F169" s="14" t="s">
        <v>155</v>
      </c>
      <c r="G169" s="14" t="s">
        <v>156</v>
      </c>
      <c r="H169" s="14">
        <v>1</v>
      </c>
      <c r="I169" s="14"/>
      <c r="J169" s="14" t="s">
        <v>1490</v>
      </c>
    </row>
    <row r="170" spans="1:10">
      <c r="A170" s="14">
        <f>IF(B170="","",COUNTA($B$4:B170))</f>
        <v>167</v>
      </c>
      <c r="B170" s="14" t="s">
        <v>1492</v>
      </c>
      <c r="C170" s="14" t="s">
        <v>236</v>
      </c>
      <c r="D170" s="14" t="s">
        <v>237</v>
      </c>
      <c r="E170" s="14" t="s">
        <v>236</v>
      </c>
      <c r="F170" s="14" t="s">
        <v>155</v>
      </c>
      <c r="G170" s="14" t="s">
        <v>156</v>
      </c>
      <c r="H170" s="14">
        <v>1</v>
      </c>
      <c r="I170" s="14"/>
      <c r="J170" s="14"/>
    </row>
    <row r="171" spans="1:10">
      <c r="A171" s="14">
        <f>IF(B171="","",COUNTA($B$4:B171))</f>
        <v>168</v>
      </c>
      <c r="B171" s="14" t="s">
        <v>1492</v>
      </c>
      <c r="C171" s="14" t="s">
        <v>239</v>
      </c>
      <c r="D171" s="14" t="s">
        <v>240</v>
      </c>
      <c r="E171" s="14" t="s">
        <v>239</v>
      </c>
      <c r="F171" s="14" t="s">
        <v>169</v>
      </c>
      <c r="G171" s="14" t="s">
        <v>170</v>
      </c>
      <c r="H171" s="14"/>
      <c r="I171" s="14"/>
      <c r="J171" s="14"/>
    </row>
    <row r="172" spans="1:10">
      <c r="A172" s="14">
        <f>IF(B172="","",COUNTA($B$4:B172))</f>
        <v>169</v>
      </c>
      <c r="B172" s="14" t="s">
        <v>1492</v>
      </c>
      <c r="C172" s="14" t="s">
        <v>280</v>
      </c>
      <c r="D172" s="14" t="s">
        <v>281</v>
      </c>
      <c r="E172" s="14" t="s">
        <v>280</v>
      </c>
      <c r="F172" s="14" t="s">
        <v>155</v>
      </c>
      <c r="G172" s="14" t="s">
        <v>156</v>
      </c>
      <c r="H172" s="14">
        <v>1</v>
      </c>
      <c r="I172" s="14"/>
      <c r="J172" s="14"/>
    </row>
    <row r="173" spans="1:10">
      <c r="A173" s="14">
        <f>IF(B173="","",COUNTA($B$4:B173))</f>
        <v>170</v>
      </c>
      <c r="B173" s="14" t="s">
        <v>1492</v>
      </c>
      <c r="C173" s="14" t="s">
        <v>283</v>
      </c>
      <c r="D173" s="14" t="s">
        <v>284</v>
      </c>
      <c r="E173" s="14" t="s">
        <v>283</v>
      </c>
      <c r="F173" s="14" t="s">
        <v>155</v>
      </c>
      <c r="G173" s="14" t="s">
        <v>156</v>
      </c>
      <c r="H173" s="14">
        <v>1</v>
      </c>
      <c r="I173" s="14"/>
      <c r="J173" s="14"/>
    </row>
    <row r="174" spans="1:10">
      <c r="A174" s="14">
        <f>IF(B174="","",COUNTA($B$4:B174))</f>
        <v>171</v>
      </c>
      <c r="B174" s="14" t="s">
        <v>1492</v>
      </c>
      <c r="C174" s="14" t="s">
        <v>286</v>
      </c>
      <c r="D174" s="14" t="s">
        <v>287</v>
      </c>
      <c r="E174" s="14" t="s">
        <v>286</v>
      </c>
      <c r="F174" s="14" t="s">
        <v>155</v>
      </c>
      <c r="G174" s="14" t="s">
        <v>156</v>
      </c>
      <c r="H174" s="14">
        <v>1</v>
      </c>
      <c r="I174" s="14"/>
      <c r="J174" s="14"/>
    </row>
    <row r="175" spans="1:10">
      <c r="A175" s="14">
        <f>IF(B175="","",COUNTA($B$4:B175))</f>
        <v>172</v>
      </c>
      <c r="B175" s="14" t="s">
        <v>1492</v>
      </c>
      <c r="C175" s="14" t="s">
        <v>249</v>
      </c>
      <c r="D175" s="14" t="s">
        <v>250</v>
      </c>
      <c r="E175" s="14" t="s">
        <v>249</v>
      </c>
      <c r="F175" s="14" t="s">
        <v>150</v>
      </c>
      <c r="G175" s="14" t="s">
        <v>151</v>
      </c>
      <c r="H175" s="14">
        <v>4</v>
      </c>
      <c r="I175" s="14"/>
      <c r="J175" s="14"/>
    </row>
    <row r="176" spans="1:10">
      <c r="A176" s="14">
        <f>IF(B176="","",COUNTA($B$4:B176))</f>
        <v>173</v>
      </c>
      <c r="B176" s="14" t="s">
        <v>1492</v>
      </c>
      <c r="C176" s="14" t="s">
        <v>251</v>
      </c>
      <c r="D176" s="14" t="s">
        <v>252</v>
      </c>
      <c r="E176" s="14" t="s">
        <v>251</v>
      </c>
      <c r="F176" s="14" t="s">
        <v>150</v>
      </c>
      <c r="G176" s="14" t="s">
        <v>151</v>
      </c>
      <c r="H176" s="14">
        <v>4</v>
      </c>
      <c r="I176" s="14"/>
      <c r="J176" s="14"/>
    </row>
    <row r="177" spans="1:10">
      <c r="A177" s="14">
        <f>IF(B177="","",COUNTA($B$4:B177))</f>
        <v>174</v>
      </c>
      <c r="B177" s="14" t="s">
        <v>1492</v>
      </c>
      <c r="C177" s="14" t="s">
        <v>253</v>
      </c>
      <c r="D177" s="14" t="s">
        <v>254</v>
      </c>
      <c r="E177" s="14" t="s">
        <v>253</v>
      </c>
      <c r="F177" s="14" t="s">
        <v>150</v>
      </c>
      <c r="G177" s="14" t="s">
        <v>151</v>
      </c>
      <c r="H177" s="14">
        <v>10</v>
      </c>
      <c r="I177" s="14"/>
      <c r="J177" s="14"/>
    </row>
    <row r="178" spans="1:10">
      <c r="A178" s="14">
        <f>IF(B178="","",COUNTA($B$4:B178))</f>
        <v>175</v>
      </c>
      <c r="B178" s="14" t="s">
        <v>1492</v>
      </c>
      <c r="C178" s="14" t="s">
        <v>255</v>
      </c>
      <c r="D178" s="14" t="s">
        <v>256</v>
      </c>
      <c r="E178" s="14" t="s">
        <v>255</v>
      </c>
      <c r="F178" s="14" t="s">
        <v>150</v>
      </c>
      <c r="G178" s="14" t="s">
        <v>151</v>
      </c>
      <c r="H178" s="14">
        <v>10</v>
      </c>
      <c r="I178" s="14"/>
      <c r="J178" s="14"/>
    </row>
    <row r="179" spans="1:10">
      <c r="A179" s="14">
        <f>IF(B179="","",COUNTA($B$4:B179))</f>
        <v>176</v>
      </c>
      <c r="B179" s="14" t="s">
        <v>1492</v>
      </c>
      <c r="C179" s="14" t="s">
        <v>257</v>
      </c>
      <c r="D179" s="14" t="s">
        <v>258</v>
      </c>
      <c r="E179" s="14" t="s">
        <v>257</v>
      </c>
      <c r="F179" s="14" t="s">
        <v>169</v>
      </c>
      <c r="G179" s="14" t="s">
        <v>243</v>
      </c>
      <c r="H179" s="14"/>
      <c r="I179" s="14"/>
      <c r="J179" s="14"/>
    </row>
    <row r="180" spans="1:10">
      <c r="A180" s="14">
        <f>IF(B180="","",COUNTA($B$4:B180))</f>
        <v>177</v>
      </c>
      <c r="B180" s="14" t="s">
        <v>1492</v>
      </c>
      <c r="C180" s="14" t="s">
        <v>259</v>
      </c>
      <c r="D180" s="14" t="s">
        <v>260</v>
      </c>
      <c r="E180" s="14" t="s">
        <v>259</v>
      </c>
      <c r="F180" s="14" t="s">
        <v>150</v>
      </c>
      <c r="G180" s="14" t="s">
        <v>151</v>
      </c>
      <c r="H180" s="14">
        <v>10</v>
      </c>
      <c r="I180" s="14"/>
      <c r="J180" s="14"/>
    </row>
    <row r="181" spans="1:10">
      <c r="A181" s="14">
        <f>IF(B181="","",COUNTA($B$4:B181))</f>
        <v>178</v>
      </c>
      <c r="B181" s="14" t="s">
        <v>1492</v>
      </c>
      <c r="C181" s="14" t="s">
        <v>261</v>
      </c>
      <c r="D181" s="14" t="s">
        <v>262</v>
      </c>
      <c r="E181" s="14" t="s">
        <v>261</v>
      </c>
      <c r="F181" s="14" t="s">
        <v>150</v>
      </c>
      <c r="G181" s="14" t="s">
        <v>151</v>
      </c>
      <c r="H181" s="14">
        <v>10</v>
      </c>
      <c r="I181" s="14"/>
      <c r="J181" s="14"/>
    </row>
    <row r="182" spans="1:10">
      <c r="A182" s="14">
        <f>IF(B182="","",COUNTA($B$4:B182))</f>
        <v>179</v>
      </c>
      <c r="B182" s="14" t="s">
        <v>1492</v>
      </c>
      <c r="C182" s="14" t="s">
        <v>263</v>
      </c>
      <c r="D182" s="14" t="s">
        <v>264</v>
      </c>
      <c r="E182" s="14" t="s">
        <v>263</v>
      </c>
      <c r="F182" s="14" t="s">
        <v>169</v>
      </c>
      <c r="G182" s="14" t="s">
        <v>243</v>
      </c>
      <c r="H182" s="14"/>
      <c r="I182" s="14"/>
      <c r="J182" s="14"/>
    </row>
    <row r="183" spans="1:10">
      <c r="A183" s="14">
        <f>IF(B183="","",COUNTA($B$4:B183))</f>
        <v>180</v>
      </c>
      <c r="B183" s="14" t="s">
        <v>1493</v>
      </c>
      <c r="C183" s="14" t="s">
        <v>148</v>
      </c>
      <c r="D183" s="14" t="s">
        <v>149</v>
      </c>
      <c r="E183" s="14" t="s">
        <v>148</v>
      </c>
      <c r="F183" s="14" t="s">
        <v>150</v>
      </c>
      <c r="G183" s="14" t="s">
        <v>151</v>
      </c>
      <c r="H183" s="14">
        <v>15</v>
      </c>
      <c r="I183" s="14"/>
      <c r="J183" s="14"/>
    </row>
    <row r="184" spans="1:10">
      <c r="A184" s="14">
        <f>IF(B184="","",COUNTA($B$4:B184))</f>
        <v>181</v>
      </c>
      <c r="B184" s="14" t="s">
        <v>1493</v>
      </c>
      <c r="C184" s="14" t="s">
        <v>157</v>
      </c>
      <c r="D184" s="14" t="s">
        <v>158</v>
      </c>
      <c r="E184" s="14" t="s">
        <v>157</v>
      </c>
      <c r="F184" s="14" t="s">
        <v>150</v>
      </c>
      <c r="G184" s="14" t="s">
        <v>151</v>
      </c>
      <c r="H184" s="14">
        <v>10</v>
      </c>
      <c r="I184" s="14"/>
      <c r="J184" s="14"/>
    </row>
    <row r="185" spans="1:10">
      <c r="A185" s="14">
        <f>IF(B185="","",COUNTA($B$4:B185))</f>
        <v>182</v>
      </c>
      <c r="B185" s="14" t="s">
        <v>1493</v>
      </c>
      <c r="C185" s="14" t="s">
        <v>159</v>
      </c>
      <c r="D185" s="14" t="s">
        <v>160</v>
      </c>
      <c r="E185" s="14" t="s">
        <v>159</v>
      </c>
      <c r="F185" s="14" t="s">
        <v>150</v>
      </c>
      <c r="G185" s="14" t="s">
        <v>151</v>
      </c>
      <c r="H185" s="14">
        <v>4</v>
      </c>
      <c r="I185" s="14"/>
      <c r="J185" s="14"/>
    </row>
    <row r="186" spans="1:10">
      <c r="A186" s="14">
        <f>IF(B186="","",COUNTA($B$4:B186))</f>
        <v>183</v>
      </c>
      <c r="B186" s="14" t="s">
        <v>1493</v>
      </c>
      <c r="C186" s="14" t="s">
        <v>162</v>
      </c>
      <c r="D186" s="14" t="s">
        <v>163</v>
      </c>
      <c r="E186" s="14" t="s">
        <v>164</v>
      </c>
      <c r="F186" s="14" t="s">
        <v>150</v>
      </c>
      <c r="G186" s="14" t="s">
        <v>151</v>
      </c>
      <c r="H186" s="14">
        <v>4</v>
      </c>
      <c r="I186" s="14"/>
      <c r="J186" s="14"/>
    </row>
    <row r="187" spans="1:10">
      <c r="A187" s="14">
        <f>IF(B187="","",COUNTA($B$4:B187))</f>
        <v>184</v>
      </c>
      <c r="B187" s="14" t="s">
        <v>1493</v>
      </c>
      <c r="C187" s="14" t="s">
        <v>166</v>
      </c>
      <c r="D187" s="14" t="s">
        <v>167</v>
      </c>
      <c r="E187" s="14" t="s">
        <v>168</v>
      </c>
      <c r="F187" s="14" t="s">
        <v>169</v>
      </c>
      <c r="G187" s="14" t="s">
        <v>170</v>
      </c>
      <c r="H187" s="14"/>
      <c r="I187" s="14"/>
      <c r="J187" s="14"/>
    </row>
    <row r="188" spans="1:10">
      <c r="A188" s="14">
        <f>IF(B188="","",COUNTA($B$4:B188))</f>
        <v>185</v>
      </c>
      <c r="B188" s="14" t="s">
        <v>1493</v>
      </c>
      <c r="C188" s="14" t="s">
        <v>174</v>
      </c>
      <c r="D188" s="14" t="s">
        <v>175</v>
      </c>
      <c r="E188" s="14" t="s">
        <v>176</v>
      </c>
      <c r="F188" s="14" t="s">
        <v>169</v>
      </c>
      <c r="G188" s="14" t="s">
        <v>170</v>
      </c>
      <c r="H188" s="14"/>
      <c r="I188" s="14"/>
      <c r="J188" s="14"/>
    </row>
    <row r="189" spans="1:10">
      <c r="A189" s="14">
        <f>IF(B189="","",COUNTA($B$4:B189))</f>
        <v>186</v>
      </c>
      <c r="B189" s="14" t="s">
        <v>1493</v>
      </c>
      <c r="C189" s="14" t="s">
        <v>172</v>
      </c>
      <c r="D189" s="14" t="s">
        <v>177</v>
      </c>
      <c r="E189" s="14" t="s">
        <v>172</v>
      </c>
      <c r="F189" s="14" t="s">
        <v>155</v>
      </c>
      <c r="G189" s="14" t="s">
        <v>156</v>
      </c>
      <c r="H189" s="14">
        <v>5</v>
      </c>
      <c r="I189" s="14">
        <v>1</v>
      </c>
      <c r="J189" s="14"/>
    </row>
    <row r="190" spans="1:10">
      <c r="A190" s="14">
        <f>IF(B190="","",COUNTA($B$4:B190))</f>
        <v>187</v>
      </c>
      <c r="B190" s="14" t="s">
        <v>1493</v>
      </c>
      <c r="C190" s="14" t="s">
        <v>178</v>
      </c>
      <c r="D190" s="14" t="s">
        <v>179</v>
      </c>
      <c r="E190" s="14" t="s">
        <v>178</v>
      </c>
      <c r="F190" s="14" t="s">
        <v>150</v>
      </c>
      <c r="G190" s="14" t="s">
        <v>151</v>
      </c>
      <c r="H190" s="14">
        <v>20</v>
      </c>
      <c r="I190" s="14"/>
      <c r="J190" s="14"/>
    </row>
    <row r="191" spans="1:10">
      <c r="A191" s="14">
        <f>IF(B191="","",COUNTA($B$4:B191))</f>
        <v>188</v>
      </c>
      <c r="B191" s="14" t="s">
        <v>1493</v>
      </c>
      <c r="C191" s="14" t="s">
        <v>181</v>
      </c>
      <c r="D191" s="14" t="s">
        <v>182</v>
      </c>
      <c r="E191" s="14" t="s">
        <v>181</v>
      </c>
      <c r="F191" s="14" t="s">
        <v>150</v>
      </c>
      <c r="G191" s="14" t="s">
        <v>151</v>
      </c>
      <c r="H191" s="14">
        <v>30</v>
      </c>
      <c r="I191" s="14"/>
      <c r="J191" s="14"/>
    </row>
    <row r="192" spans="1:10">
      <c r="A192" s="14">
        <f>IF(B192="","",COUNTA($B$4:B192))</f>
        <v>189</v>
      </c>
      <c r="B192" s="14" t="s">
        <v>1493</v>
      </c>
      <c r="C192" s="14" t="s">
        <v>183</v>
      </c>
      <c r="D192" s="14" t="s">
        <v>184</v>
      </c>
      <c r="E192" s="14" t="s">
        <v>183</v>
      </c>
      <c r="F192" s="14" t="s">
        <v>150</v>
      </c>
      <c r="G192" s="14" t="s">
        <v>151</v>
      </c>
      <c r="H192" s="14">
        <v>1000</v>
      </c>
      <c r="I192" s="14"/>
      <c r="J192" s="14"/>
    </row>
    <row r="193" spans="1:10">
      <c r="A193" s="14">
        <f>IF(B193="","",COUNTA($B$4:B193))</f>
        <v>190</v>
      </c>
      <c r="B193" s="14" t="s">
        <v>1493</v>
      </c>
      <c r="C193" s="14" t="s">
        <v>185</v>
      </c>
      <c r="D193" s="14" t="s">
        <v>186</v>
      </c>
      <c r="E193" s="14" t="s">
        <v>185</v>
      </c>
      <c r="F193" s="14" t="s">
        <v>150</v>
      </c>
      <c r="G193" s="14" t="s">
        <v>151</v>
      </c>
      <c r="H193" s="14">
        <v>75</v>
      </c>
      <c r="I193" s="14"/>
      <c r="J193" s="14"/>
    </row>
    <row r="194" spans="1:10">
      <c r="A194" s="14">
        <f>IF(B194="","",COUNTA($B$4:B194))</f>
        <v>191</v>
      </c>
      <c r="B194" s="14" t="s">
        <v>1493</v>
      </c>
      <c r="C194" s="14" t="s">
        <v>193</v>
      </c>
      <c r="D194" s="14" t="s">
        <v>194</v>
      </c>
      <c r="E194" s="14" t="s">
        <v>193</v>
      </c>
      <c r="F194" s="14" t="s">
        <v>150</v>
      </c>
      <c r="G194" s="14" t="s">
        <v>151</v>
      </c>
      <c r="H194" s="14">
        <v>25</v>
      </c>
      <c r="I194" s="14"/>
      <c r="J194" s="14"/>
    </row>
    <row r="195" spans="1:10">
      <c r="A195" s="14">
        <f>IF(B195="","",COUNTA($B$4:B195))</f>
        <v>192</v>
      </c>
      <c r="B195" s="14" t="s">
        <v>1493</v>
      </c>
      <c r="C195" s="14" t="s">
        <v>195</v>
      </c>
      <c r="D195" s="14" t="s">
        <v>196</v>
      </c>
      <c r="E195" s="14" t="s">
        <v>195</v>
      </c>
      <c r="F195" s="14" t="s">
        <v>150</v>
      </c>
      <c r="G195" s="14" t="s">
        <v>151</v>
      </c>
      <c r="H195" s="14">
        <v>30</v>
      </c>
      <c r="I195" s="14"/>
      <c r="J195" s="14"/>
    </row>
    <row r="196" spans="1:10">
      <c r="A196" s="14">
        <f>IF(B196="","",COUNTA($B$4:B196))</f>
        <v>193</v>
      </c>
      <c r="B196" s="14" t="s">
        <v>1493</v>
      </c>
      <c r="C196" s="14" t="s">
        <v>197</v>
      </c>
      <c r="D196" s="14" t="s">
        <v>198</v>
      </c>
      <c r="E196" s="14" t="s">
        <v>197</v>
      </c>
      <c r="F196" s="14" t="s">
        <v>150</v>
      </c>
      <c r="G196" s="14" t="s">
        <v>151</v>
      </c>
      <c r="H196" s="14">
        <v>5</v>
      </c>
      <c r="I196" s="14"/>
      <c r="J196" s="14"/>
    </row>
    <row r="197" spans="1:10">
      <c r="A197" s="14">
        <f>IF(B197="","",COUNTA($B$4:B197))</f>
        <v>194</v>
      </c>
      <c r="B197" s="14" t="s">
        <v>1493</v>
      </c>
      <c r="C197" s="14" t="s">
        <v>199</v>
      </c>
      <c r="D197" s="14" t="s">
        <v>200</v>
      </c>
      <c r="E197" s="14" t="s">
        <v>199</v>
      </c>
      <c r="F197" s="14" t="s">
        <v>150</v>
      </c>
      <c r="G197" s="14" t="s">
        <v>151</v>
      </c>
      <c r="H197" s="14">
        <v>20</v>
      </c>
      <c r="I197" s="14"/>
      <c r="J197" s="14"/>
    </row>
    <row r="198" spans="1:10">
      <c r="A198" s="14">
        <f>IF(B198="","",COUNTA($B$4:B198))</f>
        <v>195</v>
      </c>
      <c r="B198" s="14" t="s">
        <v>1493</v>
      </c>
      <c r="C198" s="14" t="s">
        <v>201</v>
      </c>
      <c r="D198" s="14" t="s">
        <v>202</v>
      </c>
      <c r="E198" s="14" t="s">
        <v>201</v>
      </c>
      <c r="F198" s="14" t="s">
        <v>150</v>
      </c>
      <c r="G198" s="14" t="s">
        <v>151</v>
      </c>
      <c r="H198" s="14">
        <v>30</v>
      </c>
      <c r="I198" s="14"/>
      <c r="J198" s="14"/>
    </row>
    <row r="199" spans="1:10">
      <c r="A199" s="14">
        <f>IF(B199="","",COUNTA($B$4:B199))</f>
        <v>196</v>
      </c>
      <c r="B199" s="14" t="s">
        <v>1493</v>
      </c>
      <c r="C199" s="14" t="s">
        <v>664</v>
      </c>
      <c r="D199" s="14" t="s">
        <v>1458</v>
      </c>
      <c r="E199" s="14" t="s">
        <v>664</v>
      </c>
      <c r="F199" s="14" t="s">
        <v>150</v>
      </c>
      <c r="G199" s="14" t="s">
        <v>151</v>
      </c>
      <c r="H199" s="14">
        <v>30</v>
      </c>
      <c r="I199" s="14"/>
      <c r="J199" s="14"/>
    </row>
    <row r="200" spans="1:10">
      <c r="A200" s="14">
        <f>IF(B200="","",COUNTA($B$4:B200))</f>
        <v>197</v>
      </c>
      <c r="B200" s="14" t="s">
        <v>1493</v>
      </c>
      <c r="C200" s="14" t="s">
        <v>289</v>
      </c>
      <c r="D200" s="14" t="s">
        <v>290</v>
      </c>
      <c r="E200" s="14" t="s">
        <v>289</v>
      </c>
      <c r="F200" s="14" t="s">
        <v>155</v>
      </c>
      <c r="G200" s="14" t="s">
        <v>156</v>
      </c>
      <c r="H200" s="14">
        <v>5</v>
      </c>
      <c r="I200" s="14"/>
      <c r="J200" s="14"/>
    </row>
    <row r="201" spans="1:10">
      <c r="A201" s="14">
        <f>IF(B201="","",COUNTA($B$4:B201))</f>
        <v>198</v>
      </c>
      <c r="B201" s="14" t="s">
        <v>1493</v>
      </c>
      <c r="C201" s="14" t="s">
        <v>292</v>
      </c>
      <c r="D201" s="14" t="s">
        <v>293</v>
      </c>
      <c r="E201" s="14" t="s">
        <v>292</v>
      </c>
      <c r="F201" s="14" t="s">
        <v>155</v>
      </c>
      <c r="G201" s="14" t="s">
        <v>156</v>
      </c>
      <c r="H201" s="14">
        <v>5</v>
      </c>
      <c r="I201" s="14"/>
      <c r="J201" s="14"/>
    </row>
    <row r="202" spans="1:10">
      <c r="A202" s="14">
        <f>IF(B202="","",COUNTA($B$4:B202))</f>
        <v>199</v>
      </c>
      <c r="B202" s="14" t="s">
        <v>1493</v>
      </c>
      <c r="C202" s="14" t="s">
        <v>294</v>
      </c>
      <c r="D202" s="14" t="s">
        <v>295</v>
      </c>
      <c r="E202" s="14" t="s">
        <v>294</v>
      </c>
      <c r="F202" s="14" t="s">
        <v>155</v>
      </c>
      <c r="G202" s="14" t="s">
        <v>156</v>
      </c>
      <c r="H202" s="14">
        <v>5</v>
      </c>
      <c r="I202" s="14"/>
      <c r="J202" s="14"/>
    </row>
    <row r="203" spans="1:10">
      <c r="A203" s="14">
        <f>IF(B203="","",COUNTA($B$4:B203))</f>
        <v>200</v>
      </c>
      <c r="B203" s="14" t="s">
        <v>1493</v>
      </c>
      <c r="C203" s="14" t="s">
        <v>296</v>
      </c>
      <c r="D203" s="14" t="s">
        <v>297</v>
      </c>
      <c r="E203" s="14" t="s">
        <v>296</v>
      </c>
      <c r="F203" s="14" t="s">
        <v>155</v>
      </c>
      <c r="G203" s="14" t="s">
        <v>156</v>
      </c>
      <c r="H203" s="14">
        <v>5</v>
      </c>
      <c r="I203" s="14"/>
      <c r="J203" s="14"/>
    </row>
    <row r="204" spans="1:10">
      <c r="A204" s="14">
        <f>IF(B204="","",COUNTA($B$4:B204))</f>
        <v>201</v>
      </c>
      <c r="B204" s="14" t="s">
        <v>1493</v>
      </c>
      <c r="C204" s="14" t="s">
        <v>298</v>
      </c>
      <c r="D204" s="14" t="s">
        <v>299</v>
      </c>
      <c r="E204" s="14" t="s">
        <v>298</v>
      </c>
      <c r="F204" s="14" t="s">
        <v>155</v>
      </c>
      <c r="G204" s="14" t="s">
        <v>156</v>
      </c>
      <c r="H204" s="14">
        <v>5</v>
      </c>
      <c r="I204" s="14"/>
      <c r="J204" s="14"/>
    </row>
    <row r="205" spans="1:10">
      <c r="A205" s="14">
        <f>IF(B205="","",COUNTA($B$4:B205))</f>
        <v>202</v>
      </c>
      <c r="B205" s="14" t="s">
        <v>1493</v>
      </c>
      <c r="C205" s="14" t="s">
        <v>300</v>
      </c>
      <c r="D205" s="14" t="s">
        <v>301</v>
      </c>
      <c r="E205" s="14" t="s">
        <v>300</v>
      </c>
      <c r="F205" s="14" t="s">
        <v>155</v>
      </c>
      <c r="G205" s="14" t="s">
        <v>156</v>
      </c>
      <c r="H205" s="14">
        <v>5</v>
      </c>
      <c r="I205" s="14"/>
      <c r="J205" s="14"/>
    </row>
    <row r="206" spans="1:10">
      <c r="A206" s="14">
        <f>IF(B206="","",COUNTA($B$4:B206))</f>
        <v>203</v>
      </c>
      <c r="B206" s="14" t="s">
        <v>1493</v>
      </c>
      <c r="C206" s="14" t="s">
        <v>226</v>
      </c>
      <c r="D206" s="14" t="s">
        <v>227</v>
      </c>
      <c r="E206" s="14" t="s">
        <v>226</v>
      </c>
      <c r="F206" s="14" t="s">
        <v>150</v>
      </c>
      <c r="G206" s="14" t="s">
        <v>151</v>
      </c>
      <c r="H206" s="14">
        <v>3</v>
      </c>
      <c r="I206" s="14"/>
      <c r="J206" s="14"/>
    </row>
    <row r="207" spans="1:10">
      <c r="A207" s="14">
        <f>IF(B207="","",COUNTA($B$4:B207))</f>
        <v>204</v>
      </c>
      <c r="B207" s="14" t="s">
        <v>1493</v>
      </c>
      <c r="C207" s="14" t="s">
        <v>228</v>
      </c>
      <c r="D207" s="14" t="s">
        <v>229</v>
      </c>
      <c r="E207" s="14" t="s">
        <v>228</v>
      </c>
      <c r="F207" s="14" t="s">
        <v>150</v>
      </c>
      <c r="G207" s="14" t="s">
        <v>151</v>
      </c>
      <c r="H207" s="14">
        <v>1000</v>
      </c>
      <c r="I207" s="14"/>
      <c r="J207" s="14"/>
    </row>
    <row r="208" spans="1:10">
      <c r="A208" s="14">
        <f>IF(B208="","",COUNTA($B$4:B208))</f>
        <v>205</v>
      </c>
      <c r="B208" s="14" t="s">
        <v>1493</v>
      </c>
      <c r="C208" s="14" t="s">
        <v>230</v>
      </c>
      <c r="D208" s="14" t="s">
        <v>231</v>
      </c>
      <c r="E208" s="14" t="s">
        <v>230</v>
      </c>
      <c r="F208" s="14" t="s">
        <v>169</v>
      </c>
      <c r="G208" s="14" t="s">
        <v>170</v>
      </c>
      <c r="H208" s="14"/>
      <c r="I208" s="14"/>
      <c r="J208" s="14"/>
    </row>
    <row r="209" spans="1:10">
      <c r="A209" s="14">
        <f>IF(B209="","",COUNTA($B$4:B209))</f>
        <v>206</v>
      </c>
      <c r="B209" s="14" t="s">
        <v>1493</v>
      </c>
      <c r="C209" s="14" t="s">
        <v>233</v>
      </c>
      <c r="D209" s="14" t="s">
        <v>234</v>
      </c>
      <c r="E209" s="14" t="s">
        <v>233</v>
      </c>
      <c r="F209" s="14" t="s">
        <v>155</v>
      </c>
      <c r="G209" s="14" t="s">
        <v>156</v>
      </c>
      <c r="H209" s="14">
        <v>1</v>
      </c>
      <c r="I209" s="14"/>
      <c r="J209" s="14" t="s">
        <v>1490</v>
      </c>
    </row>
    <row r="210" spans="1:10">
      <c r="A210" s="14">
        <f>IF(B210="","",COUNTA($B$4:B210))</f>
        <v>207</v>
      </c>
      <c r="B210" s="14" t="s">
        <v>1493</v>
      </c>
      <c r="C210" s="14" t="s">
        <v>276</v>
      </c>
      <c r="D210" s="14" t="s">
        <v>277</v>
      </c>
      <c r="E210" s="14" t="s">
        <v>276</v>
      </c>
      <c r="F210" s="14" t="s">
        <v>155</v>
      </c>
      <c r="G210" s="14" t="s">
        <v>156</v>
      </c>
      <c r="H210" s="14">
        <v>1</v>
      </c>
      <c r="I210" s="14"/>
      <c r="J210" s="14" t="s">
        <v>1490</v>
      </c>
    </row>
    <row r="211" spans="1:10">
      <c r="A211" s="14">
        <f>IF(B211="","",COUNTA($B$4:B211))</f>
        <v>208</v>
      </c>
      <c r="B211" s="14" t="s">
        <v>1493</v>
      </c>
      <c r="C211" s="14" t="s">
        <v>236</v>
      </c>
      <c r="D211" s="14" t="s">
        <v>237</v>
      </c>
      <c r="E211" s="14" t="s">
        <v>236</v>
      </c>
      <c r="F211" s="14" t="s">
        <v>155</v>
      </c>
      <c r="G211" s="14" t="s">
        <v>156</v>
      </c>
      <c r="H211" s="14">
        <v>1</v>
      </c>
      <c r="I211" s="14"/>
      <c r="J211" s="14"/>
    </row>
    <row r="212" spans="1:10">
      <c r="A212" s="14">
        <f>IF(B212="","",COUNTA($B$4:B212))</f>
        <v>209</v>
      </c>
      <c r="B212" s="14" t="s">
        <v>1493</v>
      </c>
      <c r="C212" s="14" t="s">
        <v>239</v>
      </c>
      <c r="D212" s="14" t="s">
        <v>240</v>
      </c>
      <c r="E212" s="14" t="s">
        <v>239</v>
      </c>
      <c r="F212" s="14" t="s">
        <v>169</v>
      </c>
      <c r="G212" s="14" t="s">
        <v>170</v>
      </c>
      <c r="H212" s="14"/>
      <c r="I212" s="14"/>
      <c r="J212" s="14"/>
    </row>
    <row r="213" spans="1:10">
      <c r="A213" s="14">
        <f>IF(B213="","",COUNTA($B$4:B213))</f>
        <v>210</v>
      </c>
      <c r="B213" s="14" t="s">
        <v>1493</v>
      </c>
      <c r="C213" s="14" t="s">
        <v>241</v>
      </c>
      <c r="D213" s="14" t="s">
        <v>242</v>
      </c>
      <c r="E213" s="14" t="s">
        <v>241</v>
      </c>
      <c r="F213" s="14" t="s">
        <v>150</v>
      </c>
      <c r="G213" s="14" t="s">
        <v>243</v>
      </c>
      <c r="H213" s="14"/>
      <c r="I213" s="14" t="s">
        <v>244</v>
      </c>
      <c r="J213" s="14"/>
    </row>
    <row r="214" spans="1:10">
      <c r="A214" s="14">
        <f>IF(B214="","",COUNTA($B$4:B214))</f>
        <v>211</v>
      </c>
      <c r="B214" s="14" t="s">
        <v>1493</v>
      </c>
      <c r="C214" s="14" t="s">
        <v>246</v>
      </c>
      <c r="D214" s="14" t="s">
        <v>247</v>
      </c>
      <c r="E214" s="14" t="s">
        <v>246</v>
      </c>
      <c r="F214" s="14" t="s">
        <v>150</v>
      </c>
      <c r="G214" s="14" t="s">
        <v>243</v>
      </c>
      <c r="H214" s="14"/>
      <c r="I214" s="14" t="s">
        <v>244</v>
      </c>
      <c r="J214" s="14"/>
    </row>
    <row r="215" spans="1:10">
      <c r="A215" s="14">
        <f>IF(B215="","",COUNTA($B$4:B215))</f>
        <v>212</v>
      </c>
      <c r="B215" s="14" t="s">
        <v>1493</v>
      </c>
      <c r="C215" s="14" t="s">
        <v>249</v>
      </c>
      <c r="D215" s="14" t="s">
        <v>250</v>
      </c>
      <c r="E215" s="14" t="s">
        <v>249</v>
      </c>
      <c r="F215" s="14" t="s">
        <v>150</v>
      </c>
      <c r="G215" s="14" t="s">
        <v>151</v>
      </c>
      <c r="H215" s="14">
        <v>4</v>
      </c>
      <c r="I215" s="14"/>
      <c r="J215" s="14"/>
    </row>
    <row r="216" spans="1:10">
      <c r="A216" s="14">
        <f>IF(B216="","",COUNTA($B$4:B216))</f>
        <v>213</v>
      </c>
      <c r="B216" s="14" t="s">
        <v>1493</v>
      </c>
      <c r="C216" s="14" t="s">
        <v>251</v>
      </c>
      <c r="D216" s="14" t="s">
        <v>252</v>
      </c>
      <c r="E216" s="14" t="s">
        <v>251</v>
      </c>
      <c r="F216" s="14" t="s">
        <v>150</v>
      </c>
      <c r="G216" s="14" t="s">
        <v>151</v>
      </c>
      <c r="H216" s="14">
        <v>4</v>
      </c>
      <c r="I216" s="14"/>
      <c r="J216" s="14"/>
    </row>
    <row r="217" spans="1:10">
      <c r="A217" s="14">
        <f>IF(B217="","",COUNTA($B$4:B217))</f>
        <v>214</v>
      </c>
      <c r="B217" s="14" t="s">
        <v>1493</v>
      </c>
      <c r="C217" s="14" t="s">
        <v>253</v>
      </c>
      <c r="D217" s="14" t="s">
        <v>254</v>
      </c>
      <c r="E217" s="14" t="s">
        <v>253</v>
      </c>
      <c r="F217" s="14" t="s">
        <v>150</v>
      </c>
      <c r="G217" s="14" t="s">
        <v>151</v>
      </c>
      <c r="H217" s="14">
        <v>10</v>
      </c>
      <c r="I217" s="14"/>
      <c r="J217" s="14"/>
    </row>
    <row r="218" spans="1:10">
      <c r="A218" s="14">
        <f>IF(B218="","",COUNTA($B$4:B218))</f>
        <v>215</v>
      </c>
      <c r="B218" s="14" t="s">
        <v>1493</v>
      </c>
      <c r="C218" s="14" t="s">
        <v>255</v>
      </c>
      <c r="D218" s="14" t="s">
        <v>256</v>
      </c>
      <c r="E218" s="14" t="s">
        <v>255</v>
      </c>
      <c r="F218" s="14" t="s">
        <v>150</v>
      </c>
      <c r="G218" s="14" t="s">
        <v>151</v>
      </c>
      <c r="H218" s="14">
        <v>10</v>
      </c>
      <c r="I218" s="14"/>
      <c r="J218" s="14"/>
    </row>
    <row r="219" spans="1:10">
      <c r="A219" s="14">
        <f>IF(B219="","",COUNTA($B$4:B219))</f>
        <v>216</v>
      </c>
      <c r="B219" s="14" t="s">
        <v>1493</v>
      </c>
      <c r="C219" s="14" t="s">
        <v>257</v>
      </c>
      <c r="D219" s="14" t="s">
        <v>258</v>
      </c>
      <c r="E219" s="14" t="s">
        <v>257</v>
      </c>
      <c r="F219" s="14" t="s">
        <v>169</v>
      </c>
      <c r="G219" s="14" t="s">
        <v>243</v>
      </c>
      <c r="H219" s="14"/>
      <c r="I219" s="14"/>
      <c r="J219" s="14"/>
    </row>
    <row r="220" spans="1:10">
      <c r="A220" s="14">
        <f>IF(B220="","",COUNTA($B$4:B220))</f>
        <v>217</v>
      </c>
      <c r="B220" s="14" t="s">
        <v>1493</v>
      </c>
      <c r="C220" s="14" t="s">
        <v>259</v>
      </c>
      <c r="D220" s="14" t="s">
        <v>260</v>
      </c>
      <c r="E220" s="14" t="s">
        <v>259</v>
      </c>
      <c r="F220" s="14" t="s">
        <v>150</v>
      </c>
      <c r="G220" s="14" t="s">
        <v>151</v>
      </c>
      <c r="H220" s="14">
        <v>10</v>
      </c>
      <c r="I220" s="14"/>
      <c r="J220" s="14"/>
    </row>
    <row r="221" spans="1:10">
      <c r="A221" s="14">
        <f>IF(B221="","",COUNTA($B$4:B221))</f>
        <v>218</v>
      </c>
      <c r="B221" s="14" t="s">
        <v>1493</v>
      </c>
      <c r="C221" s="14" t="s">
        <v>261</v>
      </c>
      <c r="D221" s="14" t="s">
        <v>262</v>
      </c>
      <c r="E221" s="14" t="s">
        <v>261</v>
      </c>
      <c r="F221" s="14" t="s">
        <v>150</v>
      </c>
      <c r="G221" s="14" t="s">
        <v>151</v>
      </c>
      <c r="H221" s="14">
        <v>10</v>
      </c>
      <c r="I221" s="14"/>
      <c r="J221" s="14"/>
    </row>
    <row r="222" spans="1:10">
      <c r="A222" s="14">
        <f>IF(B222="","",COUNTA($B$4:B222))</f>
        <v>219</v>
      </c>
      <c r="B222" s="14" t="s">
        <v>1493</v>
      </c>
      <c r="C222" s="14" t="s">
        <v>263</v>
      </c>
      <c r="D222" s="14" t="s">
        <v>264</v>
      </c>
      <c r="E222" s="14" t="s">
        <v>263</v>
      </c>
      <c r="F222" s="14" t="s">
        <v>169</v>
      </c>
      <c r="G222" s="14" t="s">
        <v>243</v>
      </c>
      <c r="H222" s="14"/>
      <c r="I222" s="14"/>
      <c r="J222" s="14"/>
    </row>
    <row r="223" spans="1:10">
      <c r="A223" s="14">
        <f>IF(B223="","",COUNTA($B$4:B223))</f>
        <v>220</v>
      </c>
      <c r="B223" s="14" t="s">
        <v>1494</v>
      </c>
      <c r="C223" s="14" t="s">
        <v>148</v>
      </c>
      <c r="D223" s="14" t="s">
        <v>149</v>
      </c>
      <c r="E223" s="14" t="s">
        <v>148</v>
      </c>
      <c r="F223" s="14" t="s">
        <v>150</v>
      </c>
      <c r="G223" s="14" t="s">
        <v>151</v>
      </c>
      <c r="H223" s="14">
        <v>15</v>
      </c>
      <c r="I223" s="14"/>
      <c r="J223" s="14"/>
    </row>
    <row r="224" spans="1:10">
      <c r="A224" s="14">
        <f>IF(B224="","",COUNTA($B$4:B224))</f>
        <v>221</v>
      </c>
      <c r="B224" s="14" t="s">
        <v>1494</v>
      </c>
      <c r="C224" s="14" t="s">
        <v>157</v>
      </c>
      <c r="D224" s="14" t="s">
        <v>158</v>
      </c>
      <c r="E224" s="14" t="s">
        <v>157</v>
      </c>
      <c r="F224" s="14" t="s">
        <v>150</v>
      </c>
      <c r="G224" s="14" t="s">
        <v>151</v>
      </c>
      <c r="H224" s="14">
        <v>10</v>
      </c>
      <c r="I224" s="14"/>
      <c r="J224" s="14"/>
    </row>
    <row r="225" spans="1:10">
      <c r="A225" s="14">
        <f>IF(B225="","",COUNTA($B$4:B225))</f>
        <v>222</v>
      </c>
      <c r="B225" s="14" t="s">
        <v>1494</v>
      </c>
      <c r="C225" s="14" t="s">
        <v>159</v>
      </c>
      <c r="D225" s="14" t="s">
        <v>160</v>
      </c>
      <c r="E225" s="14" t="s">
        <v>159</v>
      </c>
      <c r="F225" s="14" t="s">
        <v>150</v>
      </c>
      <c r="G225" s="14" t="s">
        <v>151</v>
      </c>
      <c r="H225" s="14">
        <v>4</v>
      </c>
      <c r="I225" s="14"/>
      <c r="J225" s="14"/>
    </row>
    <row r="226" spans="1:10">
      <c r="A226" s="14">
        <f>IF(B226="","",COUNTA($B$4:B226))</f>
        <v>223</v>
      </c>
      <c r="B226" s="14" t="s">
        <v>1494</v>
      </c>
      <c r="C226" s="14" t="s">
        <v>162</v>
      </c>
      <c r="D226" s="14" t="s">
        <v>163</v>
      </c>
      <c r="E226" s="14" t="s">
        <v>164</v>
      </c>
      <c r="F226" s="14" t="s">
        <v>150</v>
      </c>
      <c r="G226" s="14" t="s">
        <v>151</v>
      </c>
      <c r="H226" s="14">
        <v>4</v>
      </c>
      <c r="I226" s="14"/>
      <c r="J226" s="14"/>
    </row>
    <row r="227" spans="1:10">
      <c r="A227" s="14">
        <f>IF(B227="","",COUNTA($B$4:B227))</f>
        <v>224</v>
      </c>
      <c r="B227" s="14" t="s">
        <v>1494</v>
      </c>
      <c r="C227" s="14" t="s">
        <v>166</v>
      </c>
      <c r="D227" s="14" t="s">
        <v>167</v>
      </c>
      <c r="E227" s="14" t="s">
        <v>168</v>
      </c>
      <c r="F227" s="14" t="s">
        <v>169</v>
      </c>
      <c r="G227" s="14" t="s">
        <v>170</v>
      </c>
      <c r="H227" s="14"/>
      <c r="I227" s="14"/>
      <c r="J227" s="14"/>
    </row>
    <row r="228" spans="1:10">
      <c r="A228" s="14">
        <f>IF(B228="","",COUNTA($B$4:B228))</f>
        <v>225</v>
      </c>
      <c r="B228" s="14" t="s">
        <v>1494</v>
      </c>
      <c r="C228" s="14" t="s">
        <v>174</v>
      </c>
      <c r="D228" s="14" t="s">
        <v>175</v>
      </c>
      <c r="E228" s="14" t="s">
        <v>176</v>
      </c>
      <c r="F228" s="14" t="s">
        <v>169</v>
      </c>
      <c r="G228" s="14" t="s">
        <v>170</v>
      </c>
      <c r="H228" s="14"/>
      <c r="I228" s="14"/>
      <c r="J228" s="14"/>
    </row>
    <row r="229" spans="1:10">
      <c r="A229" s="14">
        <f>IF(B229="","",COUNTA($B$4:B229))</f>
        <v>226</v>
      </c>
      <c r="B229" s="14" t="s">
        <v>1494</v>
      </c>
      <c r="C229" s="14" t="s">
        <v>172</v>
      </c>
      <c r="D229" s="14" t="s">
        <v>177</v>
      </c>
      <c r="E229" s="14" t="s">
        <v>172</v>
      </c>
      <c r="F229" s="14" t="s">
        <v>155</v>
      </c>
      <c r="G229" s="14" t="s">
        <v>156</v>
      </c>
      <c r="H229" s="14">
        <v>5</v>
      </c>
      <c r="I229" s="14">
        <v>1</v>
      </c>
      <c r="J229" s="14"/>
    </row>
    <row r="230" spans="1:10">
      <c r="A230" s="14">
        <f>IF(B230="","",COUNTA($B$4:B230))</f>
        <v>227</v>
      </c>
      <c r="B230" s="14" t="s">
        <v>1494</v>
      </c>
      <c r="C230" s="14" t="s">
        <v>178</v>
      </c>
      <c r="D230" s="14" t="s">
        <v>179</v>
      </c>
      <c r="E230" s="14" t="s">
        <v>178</v>
      </c>
      <c r="F230" s="14" t="s">
        <v>150</v>
      </c>
      <c r="G230" s="14" t="s">
        <v>151</v>
      </c>
      <c r="H230" s="14">
        <v>20</v>
      </c>
      <c r="I230" s="14"/>
      <c r="J230" s="14"/>
    </row>
    <row r="231" spans="1:10">
      <c r="A231" s="14">
        <f>IF(B231="","",COUNTA($B$4:B231))</f>
        <v>228</v>
      </c>
      <c r="B231" s="14" t="s">
        <v>1494</v>
      </c>
      <c r="C231" s="14" t="s">
        <v>1495</v>
      </c>
      <c r="D231" s="14" t="s">
        <v>1496</v>
      </c>
      <c r="E231" s="14" t="s">
        <v>1495</v>
      </c>
      <c r="F231" s="14" t="s">
        <v>150</v>
      </c>
      <c r="G231" s="14" t="s">
        <v>151</v>
      </c>
      <c r="H231" s="14">
        <v>30</v>
      </c>
      <c r="I231" s="14"/>
      <c r="J231" s="14"/>
    </row>
    <row r="232" spans="1:10">
      <c r="A232" s="14">
        <f>IF(B232="","",COUNTA($B$4:B232))</f>
        <v>229</v>
      </c>
      <c r="B232" s="14" t="s">
        <v>1494</v>
      </c>
      <c r="C232" s="14" t="s">
        <v>1448</v>
      </c>
      <c r="D232" s="14" t="s">
        <v>1449</v>
      </c>
      <c r="E232" s="14" t="s">
        <v>1448</v>
      </c>
      <c r="F232" s="14" t="s">
        <v>150</v>
      </c>
      <c r="G232" s="14" t="s">
        <v>151</v>
      </c>
      <c r="H232" s="14">
        <v>30</v>
      </c>
      <c r="I232" s="14"/>
      <c r="J232" s="14"/>
    </row>
    <row r="233" spans="1:10">
      <c r="A233" s="14">
        <f>IF(B233="","",COUNTA($B$4:B233))</f>
        <v>230</v>
      </c>
      <c r="B233" s="14" t="s">
        <v>1494</v>
      </c>
      <c r="C233" s="14" t="s">
        <v>197</v>
      </c>
      <c r="D233" s="14" t="s">
        <v>198</v>
      </c>
      <c r="E233" s="14" t="s">
        <v>197</v>
      </c>
      <c r="F233" s="14" t="s">
        <v>150</v>
      </c>
      <c r="G233" s="14" t="s">
        <v>151</v>
      </c>
      <c r="H233" s="14">
        <v>5</v>
      </c>
      <c r="I233" s="14"/>
      <c r="J233" s="14"/>
    </row>
    <row r="234" spans="1:10">
      <c r="A234" s="14">
        <f>IF(B234="","",COUNTA($B$4:B234))</f>
        <v>231</v>
      </c>
      <c r="B234" s="14" t="s">
        <v>1494</v>
      </c>
      <c r="C234" s="14" t="s">
        <v>199</v>
      </c>
      <c r="D234" s="14" t="s">
        <v>200</v>
      </c>
      <c r="E234" s="14" t="s">
        <v>199</v>
      </c>
      <c r="F234" s="14" t="s">
        <v>150</v>
      </c>
      <c r="G234" s="14" t="s">
        <v>151</v>
      </c>
      <c r="H234" s="14">
        <v>20</v>
      </c>
      <c r="I234" s="14"/>
      <c r="J234" s="14"/>
    </row>
    <row r="235" spans="1:10">
      <c r="A235" s="14">
        <f>IF(B235="","",COUNTA($B$4:B235))</f>
        <v>232</v>
      </c>
      <c r="B235" s="14" t="s">
        <v>1494</v>
      </c>
      <c r="C235" s="14" t="s">
        <v>201</v>
      </c>
      <c r="D235" s="14" t="s">
        <v>202</v>
      </c>
      <c r="E235" s="14" t="s">
        <v>201</v>
      </c>
      <c r="F235" s="14" t="s">
        <v>150</v>
      </c>
      <c r="G235" s="14" t="s">
        <v>151</v>
      </c>
      <c r="H235" s="14">
        <v>30</v>
      </c>
      <c r="I235" s="14"/>
      <c r="J235" s="14"/>
    </row>
    <row r="236" spans="1:10">
      <c r="A236" s="14">
        <f>IF(B236="","",COUNTA($B$4:B236))</f>
        <v>233</v>
      </c>
      <c r="B236" s="14" t="s">
        <v>1494</v>
      </c>
      <c r="C236" s="14" t="s">
        <v>1589</v>
      </c>
      <c r="D236" s="14" t="s">
        <v>1587</v>
      </c>
      <c r="E236" s="14" t="s">
        <v>1589</v>
      </c>
      <c r="F236" s="14" t="s">
        <v>150</v>
      </c>
      <c r="G236" s="14" t="s">
        <v>151</v>
      </c>
      <c r="H236" s="14">
        <v>30</v>
      </c>
      <c r="I236" s="14"/>
      <c r="J236" s="14"/>
    </row>
    <row r="237" spans="1:10">
      <c r="A237" s="14">
        <f>IF(B237="","",COUNTA($B$4:B237))</f>
        <v>234</v>
      </c>
      <c r="B237" s="14" t="s">
        <v>1494</v>
      </c>
      <c r="C237" s="14" t="s">
        <v>302</v>
      </c>
      <c r="D237" s="14" t="s">
        <v>303</v>
      </c>
      <c r="E237" s="14" t="s">
        <v>302</v>
      </c>
      <c r="F237" s="14" t="s">
        <v>150</v>
      </c>
      <c r="G237" s="14" t="s">
        <v>151</v>
      </c>
      <c r="H237" s="14">
        <v>5</v>
      </c>
      <c r="I237" s="14"/>
      <c r="J237" s="14" t="s">
        <v>1600</v>
      </c>
    </row>
    <row r="238" spans="1:10">
      <c r="A238" s="14">
        <f>IF(B238="","",COUNTA($B$4:B238))</f>
        <v>235</v>
      </c>
      <c r="B238" s="14" t="s">
        <v>1494</v>
      </c>
      <c r="C238" s="14" t="s">
        <v>304</v>
      </c>
      <c r="D238" s="14" t="s">
        <v>305</v>
      </c>
      <c r="E238" s="14" t="s">
        <v>304</v>
      </c>
      <c r="F238" s="14" t="s">
        <v>150</v>
      </c>
      <c r="G238" s="14" t="s">
        <v>151</v>
      </c>
      <c r="H238" s="14">
        <v>20</v>
      </c>
      <c r="I238" s="14"/>
      <c r="J238" s="14" t="s">
        <v>1600</v>
      </c>
    </row>
    <row r="239" spans="1:10">
      <c r="A239" s="14">
        <f>IF(B239="","",COUNTA($B$4:B239))</f>
        <v>236</v>
      </c>
      <c r="B239" s="14" t="s">
        <v>1494</v>
      </c>
      <c r="C239" s="14" t="s">
        <v>306</v>
      </c>
      <c r="D239" s="14" t="s">
        <v>307</v>
      </c>
      <c r="E239" s="14" t="s">
        <v>306</v>
      </c>
      <c r="F239" s="14" t="s">
        <v>150</v>
      </c>
      <c r="G239" s="14" t="s">
        <v>151</v>
      </c>
      <c r="H239" s="14">
        <v>30</v>
      </c>
      <c r="I239" s="14"/>
      <c r="J239" s="14" t="s">
        <v>1600</v>
      </c>
    </row>
    <row r="240" spans="1:10">
      <c r="A240" s="14">
        <f>IF(B240="","",COUNTA($B$4:B240))</f>
        <v>237</v>
      </c>
      <c r="B240" s="14" t="s">
        <v>1494</v>
      </c>
      <c r="C240" s="14" t="s">
        <v>300</v>
      </c>
      <c r="D240" s="14" t="s">
        <v>301</v>
      </c>
      <c r="E240" s="14" t="s">
        <v>300</v>
      </c>
      <c r="F240" s="14" t="s">
        <v>155</v>
      </c>
      <c r="G240" s="14" t="s">
        <v>156</v>
      </c>
      <c r="H240" s="14">
        <v>5</v>
      </c>
      <c r="I240" s="14"/>
      <c r="J240" s="14"/>
    </row>
    <row r="241" spans="1:10">
      <c r="A241" s="14">
        <f>IF(B241="","",COUNTA($B$4:B241))</f>
        <v>238</v>
      </c>
      <c r="B241" s="14" t="s">
        <v>1494</v>
      </c>
      <c r="C241" s="14" t="s">
        <v>226</v>
      </c>
      <c r="D241" s="14" t="s">
        <v>227</v>
      </c>
      <c r="E241" s="14" t="s">
        <v>226</v>
      </c>
      <c r="F241" s="14" t="s">
        <v>150</v>
      </c>
      <c r="G241" s="14" t="s">
        <v>151</v>
      </c>
      <c r="H241" s="14">
        <v>3</v>
      </c>
      <c r="I241" s="14"/>
      <c r="J241" s="14"/>
    </row>
    <row r="242" spans="1:10">
      <c r="A242" s="14">
        <f>IF(B242="","",COUNTA($B$4:B242))</f>
        <v>239</v>
      </c>
      <c r="B242" s="14" t="s">
        <v>1494</v>
      </c>
      <c r="C242" s="14" t="s">
        <v>228</v>
      </c>
      <c r="D242" s="14" t="s">
        <v>229</v>
      </c>
      <c r="E242" s="14" t="s">
        <v>228</v>
      </c>
      <c r="F242" s="14" t="s">
        <v>150</v>
      </c>
      <c r="G242" s="14" t="s">
        <v>151</v>
      </c>
      <c r="H242" s="14">
        <v>1000</v>
      </c>
      <c r="I242" s="14"/>
      <c r="J242" s="14"/>
    </row>
    <row r="243" spans="1:10">
      <c r="A243" s="14">
        <f>IF(B243="","",COUNTA($B$4:B243))</f>
        <v>240</v>
      </c>
      <c r="B243" s="14" t="s">
        <v>1494</v>
      </c>
      <c r="C243" s="14" t="s">
        <v>230</v>
      </c>
      <c r="D243" s="14" t="s">
        <v>231</v>
      </c>
      <c r="E243" s="14" t="s">
        <v>230</v>
      </c>
      <c r="F243" s="14" t="s">
        <v>169</v>
      </c>
      <c r="G243" s="14" t="s">
        <v>170</v>
      </c>
      <c r="H243" s="14"/>
      <c r="I243" s="14"/>
      <c r="J243" s="14" t="s">
        <v>1490</v>
      </c>
    </row>
    <row r="244" spans="1:10">
      <c r="A244" s="14">
        <f>IF(B244="","",COUNTA($B$4:B244))</f>
        <v>241</v>
      </c>
      <c r="B244" s="14" t="s">
        <v>1494</v>
      </c>
      <c r="C244" s="14" t="s">
        <v>233</v>
      </c>
      <c r="D244" s="14" t="s">
        <v>234</v>
      </c>
      <c r="E244" s="14" t="s">
        <v>233</v>
      </c>
      <c r="F244" s="14" t="s">
        <v>155</v>
      </c>
      <c r="G244" s="14" t="s">
        <v>156</v>
      </c>
      <c r="H244" s="14">
        <v>1</v>
      </c>
      <c r="I244" s="14"/>
      <c r="J244" s="14" t="s">
        <v>1584</v>
      </c>
    </row>
    <row r="245" spans="1:10">
      <c r="A245" s="14">
        <f>IF(B245="","",COUNTA($B$4:B245))</f>
        <v>242</v>
      </c>
      <c r="B245" s="14" t="s">
        <v>1494</v>
      </c>
      <c r="C245" s="14" t="s">
        <v>276</v>
      </c>
      <c r="D245" s="14" t="s">
        <v>277</v>
      </c>
      <c r="E245" s="14" t="s">
        <v>276</v>
      </c>
      <c r="F245" s="14" t="s">
        <v>155</v>
      </c>
      <c r="G245" s="14" t="s">
        <v>156</v>
      </c>
      <c r="H245" s="14">
        <v>1</v>
      </c>
      <c r="I245" s="14"/>
      <c r="J245" s="14" t="s">
        <v>1490</v>
      </c>
    </row>
    <row r="246" spans="1:10">
      <c r="A246" s="14">
        <f>IF(B246="","",COUNTA($B$4:B246))</f>
        <v>243</v>
      </c>
      <c r="B246" s="14" t="s">
        <v>1494</v>
      </c>
      <c r="C246" s="14" t="s">
        <v>239</v>
      </c>
      <c r="D246" s="14" t="s">
        <v>240</v>
      </c>
      <c r="E246" s="14" t="s">
        <v>239</v>
      </c>
      <c r="F246" s="14" t="s">
        <v>169</v>
      </c>
      <c r="G246" s="14" t="s">
        <v>170</v>
      </c>
      <c r="H246" s="14"/>
      <c r="I246" s="14"/>
      <c r="J246" s="14"/>
    </row>
    <row r="247" spans="1:10">
      <c r="A247" s="14">
        <f>IF(B247="","",COUNTA($B$4:B247))</f>
        <v>244</v>
      </c>
      <c r="B247" s="14" t="s">
        <v>1494</v>
      </c>
      <c r="C247" s="14" t="s">
        <v>241</v>
      </c>
      <c r="D247" s="14" t="s">
        <v>242</v>
      </c>
      <c r="E247" s="14" t="s">
        <v>241</v>
      </c>
      <c r="F247" s="14" t="s">
        <v>150</v>
      </c>
      <c r="G247" s="14" t="s">
        <v>243</v>
      </c>
      <c r="H247" s="14"/>
      <c r="I247" s="14" t="s">
        <v>244</v>
      </c>
      <c r="J247" s="14"/>
    </row>
    <row r="248" spans="1:10">
      <c r="A248" s="14">
        <f>IF(B248="","",COUNTA($B$4:B248))</f>
        <v>245</v>
      </c>
      <c r="B248" s="14" t="s">
        <v>1494</v>
      </c>
      <c r="C248" s="14" t="s">
        <v>246</v>
      </c>
      <c r="D248" s="14" t="s">
        <v>247</v>
      </c>
      <c r="E248" s="14" t="s">
        <v>246</v>
      </c>
      <c r="F248" s="14" t="s">
        <v>150</v>
      </c>
      <c r="G248" s="14" t="s">
        <v>243</v>
      </c>
      <c r="H248" s="14"/>
      <c r="I248" s="14" t="s">
        <v>244</v>
      </c>
      <c r="J248" s="14"/>
    </row>
    <row r="249" spans="1:10">
      <c r="A249" s="14">
        <f>IF(B249="","",COUNTA($B$4:B249))</f>
        <v>246</v>
      </c>
      <c r="B249" s="14" t="s">
        <v>1494</v>
      </c>
      <c r="C249" s="14" t="s">
        <v>249</v>
      </c>
      <c r="D249" s="14" t="s">
        <v>250</v>
      </c>
      <c r="E249" s="14" t="s">
        <v>249</v>
      </c>
      <c r="F249" s="14" t="s">
        <v>150</v>
      </c>
      <c r="G249" s="14" t="s">
        <v>151</v>
      </c>
      <c r="H249" s="14">
        <v>4</v>
      </c>
      <c r="I249" s="14"/>
      <c r="J249" s="14"/>
    </row>
    <row r="250" spans="1:10">
      <c r="A250" s="14">
        <f>IF(B250="","",COUNTA($B$4:B250))</f>
        <v>247</v>
      </c>
      <c r="B250" s="14" t="s">
        <v>1494</v>
      </c>
      <c r="C250" s="14" t="s">
        <v>251</v>
      </c>
      <c r="D250" s="14" t="s">
        <v>252</v>
      </c>
      <c r="E250" s="14" t="s">
        <v>251</v>
      </c>
      <c r="F250" s="14" t="s">
        <v>150</v>
      </c>
      <c r="G250" s="14" t="s">
        <v>151</v>
      </c>
      <c r="H250" s="14">
        <v>4</v>
      </c>
      <c r="I250" s="14"/>
      <c r="J250" s="14"/>
    </row>
    <row r="251" spans="1:10">
      <c r="A251" s="14">
        <f>IF(B251="","",COUNTA($B$4:B251))</f>
        <v>248</v>
      </c>
      <c r="B251" s="14" t="s">
        <v>1494</v>
      </c>
      <c r="C251" s="14" t="s">
        <v>253</v>
      </c>
      <c r="D251" s="14" t="s">
        <v>254</v>
      </c>
      <c r="E251" s="14" t="s">
        <v>253</v>
      </c>
      <c r="F251" s="14" t="s">
        <v>150</v>
      </c>
      <c r="G251" s="14" t="s">
        <v>151</v>
      </c>
      <c r="H251" s="14">
        <v>10</v>
      </c>
      <c r="I251" s="14"/>
      <c r="J251" s="14"/>
    </row>
    <row r="252" spans="1:10">
      <c r="A252" s="14">
        <f>IF(B252="","",COUNTA($B$4:B252))</f>
        <v>249</v>
      </c>
      <c r="B252" s="14" t="s">
        <v>1494</v>
      </c>
      <c r="C252" s="14" t="s">
        <v>255</v>
      </c>
      <c r="D252" s="14" t="s">
        <v>256</v>
      </c>
      <c r="E252" s="14" t="s">
        <v>255</v>
      </c>
      <c r="F252" s="14" t="s">
        <v>150</v>
      </c>
      <c r="G252" s="14" t="s">
        <v>151</v>
      </c>
      <c r="H252" s="14">
        <v>10</v>
      </c>
      <c r="I252" s="14"/>
      <c r="J252" s="14"/>
    </row>
    <row r="253" spans="1:10">
      <c r="A253" s="14">
        <f>IF(B253="","",COUNTA($B$4:B253))</f>
        <v>250</v>
      </c>
      <c r="B253" s="14" t="s">
        <v>1494</v>
      </c>
      <c r="C253" s="14" t="s">
        <v>257</v>
      </c>
      <c r="D253" s="14" t="s">
        <v>258</v>
      </c>
      <c r="E253" s="14" t="s">
        <v>257</v>
      </c>
      <c r="F253" s="14" t="s">
        <v>169</v>
      </c>
      <c r="G253" s="14" t="s">
        <v>243</v>
      </c>
      <c r="H253" s="14"/>
      <c r="I253" s="14"/>
      <c r="J253" s="14"/>
    </row>
    <row r="254" spans="1:10">
      <c r="A254" s="14">
        <f>IF(B254="","",COUNTA($B$4:B254))</f>
        <v>251</v>
      </c>
      <c r="B254" s="14" t="s">
        <v>1494</v>
      </c>
      <c r="C254" s="14" t="s">
        <v>259</v>
      </c>
      <c r="D254" s="14" t="s">
        <v>260</v>
      </c>
      <c r="E254" s="14" t="s">
        <v>259</v>
      </c>
      <c r="F254" s="14" t="s">
        <v>150</v>
      </c>
      <c r="G254" s="14" t="s">
        <v>151</v>
      </c>
      <c r="H254" s="14">
        <v>10</v>
      </c>
      <c r="I254" s="14"/>
      <c r="J254" s="14"/>
    </row>
    <row r="255" spans="1:10">
      <c r="A255" s="14">
        <f>IF(B255="","",COUNTA($B$4:B255))</f>
        <v>252</v>
      </c>
      <c r="B255" s="14" t="s">
        <v>1494</v>
      </c>
      <c r="C255" s="14" t="s">
        <v>261</v>
      </c>
      <c r="D255" s="14" t="s">
        <v>262</v>
      </c>
      <c r="E255" s="14" t="s">
        <v>261</v>
      </c>
      <c r="F255" s="14" t="s">
        <v>150</v>
      </c>
      <c r="G255" s="14" t="s">
        <v>151</v>
      </c>
      <c r="H255" s="14">
        <v>10</v>
      </c>
      <c r="I255" s="14"/>
      <c r="J255" s="14"/>
    </row>
    <row r="256" spans="1:10">
      <c r="A256" s="14">
        <f>IF(B256="","",COUNTA($B$4:B256))</f>
        <v>253</v>
      </c>
      <c r="B256" s="14" t="s">
        <v>1494</v>
      </c>
      <c r="C256" s="14" t="s">
        <v>263</v>
      </c>
      <c r="D256" s="14" t="s">
        <v>264</v>
      </c>
      <c r="E256" s="14" t="s">
        <v>263</v>
      </c>
      <c r="F256" s="14" t="s">
        <v>169</v>
      </c>
      <c r="G256" s="14" t="s">
        <v>243</v>
      </c>
      <c r="H256" s="14"/>
      <c r="I256" s="14"/>
      <c r="J256" s="14"/>
    </row>
    <row r="257" spans="1:10">
      <c r="A257" s="14">
        <f>IF(B257="","",COUNTA($B$4:B257))</f>
        <v>254</v>
      </c>
      <c r="B257" s="14" t="s">
        <v>1497</v>
      </c>
      <c r="C257" s="14" t="s">
        <v>148</v>
      </c>
      <c r="D257" s="14" t="s">
        <v>149</v>
      </c>
      <c r="E257" s="14" t="s">
        <v>148</v>
      </c>
      <c r="F257" s="14" t="s">
        <v>150</v>
      </c>
      <c r="G257" s="14" t="s">
        <v>151</v>
      </c>
      <c r="H257" s="14">
        <v>15</v>
      </c>
      <c r="I257" s="14"/>
      <c r="J257" s="14"/>
    </row>
    <row r="258" spans="1:10">
      <c r="A258" s="14">
        <f>IF(B258="","",COUNTA($B$4:B258))</f>
        <v>255</v>
      </c>
      <c r="B258" s="14" t="s">
        <v>1497</v>
      </c>
      <c r="C258" s="14" t="s">
        <v>1454</v>
      </c>
      <c r="D258" s="14" t="s">
        <v>1455</v>
      </c>
      <c r="E258" s="14" t="s">
        <v>1454</v>
      </c>
      <c r="F258" s="14" t="s">
        <v>155</v>
      </c>
      <c r="G258" s="14" t="s">
        <v>156</v>
      </c>
      <c r="H258" s="14">
        <v>3</v>
      </c>
      <c r="I258" s="14" t="s">
        <v>244</v>
      </c>
      <c r="J258" s="14"/>
    </row>
    <row r="259" spans="1:10">
      <c r="A259" s="14">
        <f>IF(B259="","",COUNTA($B$4:B259))</f>
        <v>256</v>
      </c>
      <c r="B259" s="14" t="s">
        <v>1497</v>
      </c>
      <c r="C259" s="14" t="s">
        <v>153</v>
      </c>
      <c r="D259" s="14" t="s">
        <v>154</v>
      </c>
      <c r="E259" s="14" t="s">
        <v>153</v>
      </c>
      <c r="F259" s="14" t="s">
        <v>155</v>
      </c>
      <c r="G259" s="14" t="s">
        <v>156</v>
      </c>
      <c r="H259" s="14">
        <v>3</v>
      </c>
      <c r="I259" s="14"/>
      <c r="J259" s="14"/>
    </row>
    <row r="260" spans="1:10">
      <c r="A260" s="14">
        <f>IF(B260="","",COUNTA($B$4:B260))</f>
        <v>257</v>
      </c>
      <c r="B260" s="14" t="s">
        <v>1497</v>
      </c>
      <c r="C260" s="14" t="s">
        <v>157</v>
      </c>
      <c r="D260" s="14" t="s">
        <v>158</v>
      </c>
      <c r="E260" s="14" t="s">
        <v>157</v>
      </c>
      <c r="F260" s="14" t="s">
        <v>150</v>
      </c>
      <c r="G260" s="14" t="s">
        <v>151</v>
      </c>
      <c r="H260" s="14">
        <v>10</v>
      </c>
      <c r="I260" s="14"/>
      <c r="J260" s="14"/>
    </row>
    <row r="261" spans="1:10">
      <c r="A261" s="14">
        <f>IF(B261="","",COUNTA($B$4:B261))</f>
        <v>258</v>
      </c>
      <c r="B261" s="14" t="s">
        <v>1497</v>
      </c>
      <c r="C261" s="14" t="s">
        <v>159</v>
      </c>
      <c r="D261" s="14" t="s">
        <v>160</v>
      </c>
      <c r="E261" s="14" t="s">
        <v>159</v>
      </c>
      <c r="F261" s="14" t="s">
        <v>150</v>
      </c>
      <c r="G261" s="14" t="s">
        <v>151</v>
      </c>
      <c r="H261" s="14">
        <v>4</v>
      </c>
      <c r="I261" s="14"/>
      <c r="J261" s="14"/>
    </row>
    <row r="262" spans="1:10">
      <c r="A262" s="14">
        <f>IF(B262="","",COUNTA($B$4:B262))</f>
        <v>259</v>
      </c>
      <c r="B262" s="14" t="s">
        <v>1497</v>
      </c>
      <c r="C262" s="14" t="s">
        <v>162</v>
      </c>
      <c r="D262" s="14" t="s">
        <v>163</v>
      </c>
      <c r="E262" s="14" t="s">
        <v>164</v>
      </c>
      <c r="F262" s="14" t="s">
        <v>150</v>
      </c>
      <c r="G262" s="14" t="s">
        <v>151</v>
      </c>
      <c r="H262" s="14">
        <v>4</v>
      </c>
      <c r="I262" s="14"/>
      <c r="J262" s="14"/>
    </row>
    <row r="263" spans="1:10">
      <c r="A263" s="14">
        <f>IF(B263="","",COUNTA($B$4:B263))</f>
        <v>260</v>
      </c>
      <c r="B263" s="14" t="s">
        <v>1497</v>
      </c>
      <c r="C263" s="14" t="s">
        <v>308</v>
      </c>
      <c r="D263" s="14" t="s">
        <v>309</v>
      </c>
      <c r="E263" s="14" t="s">
        <v>308</v>
      </c>
      <c r="F263" s="14" t="s">
        <v>169</v>
      </c>
      <c r="G263" s="14" t="s">
        <v>170</v>
      </c>
      <c r="H263" s="14"/>
      <c r="I263" s="14"/>
      <c r="J263" s="14"/>
    </row>
    <row r="264" spans="1:10">
      <c r="A264" s="14">
        <f>IF(B264="","",COUNTA($B$4:B264))</f>
        <v>261</v>
      </c>
      <c r="B264" s="14" t="s">
        <v>1497</v>
      </c>
      <c r="C264" s="14" t="s">
        <v>166</v>
      </c>
      <c r="D264" s="14" t="s">
        <v>167</v>
      </c>
      <c r="E264" s="14" t="s">
        <v>168</v>
      </c>
      <c r="F264" s="14" t="s">
        <v>169</v>
      </c>
      <c r="G264" s="14" t="s">
        <v>170</v>
      </c>
      <c r="H264" s="14"/>
      <c r="I264" s="14"/>
      <c r="J264" s="14"/>
    </row>
    <row r="265" spans="1:10">
      <c r="A265" s="14">
        <f>IF(B265="","",COUNTA($B$4:B265))</f>
        <v>262</v>
      </c>
      <c r="B265" s="14" t="s">
        <v>1497</v>
      </c>
      <c r="C265" s="14" t="s">
        <v>174</v>
      </c>
      <c r="D265" s="14" t="s">
        <v>175</v>
      </c>
      <c r="E265" s="14" t="s">
        <v>176</v>
      </c>
      <c r="F265" s="14" t="s">
        <v>169</v>
      </c>
      <c r="G265" s="14" t="s">
        <v>170</v>
      </c>
      <c r="H265" s="14"/>
      <c r="I265" s="14"/>
      <c r="J265" s="14"/>
    </row>
    <row r="266" spans="1:10">
      <c r="A266" s="14">
        <f>IF(B266="","",COUNTA($B$4:B266))</f>
        <v>263</v>
      </c>
      <c r="B266" s="14" t="s">
        <v>1497</v>
      </c>
      <c r="C266" s="14" t="s">
        <v>172</v>
      </c>
      <c r="D266" s="14" t="s">
        <v>177</v>
      </c>
      <c r="E266" s="14" t="s">
        <v>172</v>
      </c>
      <c r="F266" s="14" t="s">
        <v>155</v>
      </c>
      <c r="G266" s="14" t="s">
        <v>156</v>
      </c>
      <c r="H266" s="14">
        <v>5</v>
      </c>
      <c r="I266" s="14">
        <v>1</v>
      </c>
      <c r="J266" s="14"/>
    </row>
    <row r="267" spans="1:10">
      <c r="A267" s="14">
        <f>IF(B267="","",COUNTA($B$4:B267))</f>
        <v>264</v>
      </c>
      <c r="B267" s="14" t="s">
        <v>1497</v>
      </c>
      <c r="C267" s="14" t="s">
        <v>312</v>
      </c>
      <c r="D267" s="14" t="s">
        <v>313</v>
      </c>
      <c r="E267" s="14" t="s">
        <v>312</v>
      </c>
      <c r="F267" s="14" t="s">
        <v>169</v>
      </c>
      <c r="G267" s="14" t="s">
        <v>170</v>
      </c>
      <c r="H267" s="14"/>
      <c r="I267" s="14"/>
      <c r="J267" s="14"/>
    </row>
    <row r="268" spans="1:10">
      <c r="A268" s="14">
        <f>IF(B268="","",COUNTA($B$4:B268))</f>
        <v>265</v>
      </c>
      <c r="B268" s="14" t="s">
        <v>1497</v>
      </c>
      <c r="C268" s="14" t="s">
        <v>314</v>
      </c>
      <c r="D268" s="14" t="s">
        <v>315</v>
      </c>
      <c r="E268" s="14" t="s">
        <v>314</v>
      </c>
      <c r="F268" s="14" t="s">
        <v>150</v>
      </c>
      <c r="G268" s="14" t="s">
        <v>151</v>
      </c>
      <c r="H268" s="14">
        <v>10</v>
      </c>
      <c r="I268" s="14" t="s">
        <v>244</v>
      </c>
      <c r="J268" s="14"/>
    </row>
    <row r="269" spans="1:10">
      <c r="A269" s="14">
        <f>IF(B269="","",COUNTA($B$4:B269))</f>
        <v>266</v>
      </c>
      <c r="B269" s="14" t="s">
        <v>1497</v>
      </c>
      <c r="C269" s="14" t="s">
        <v>316</v>
      </c>
      <c r="D269" s="14" t="s">
        <v>317</v>
      </c>
      <c r="E269" s="14" t="s">
        <v>316</v>
      </c>
      <c r="F269" s="14" t="s">
        <v>169</v>
      </c>
      <c r="G269" s="14" t="s">
        <v>170</v>
      </c>
      <c r="H269" s="14"/>
      <c r="I269" s="14"/>
      <c r="J269" s="14"/>
    </row>
    <row r="270" spans="1:10">
      <c r="A270" s="14">
        <f>IF(B270="","",COUNTA($B$4:B270))</f>
        <v>267</v>
      </c>
      <c r="B270" s="14" t="s">
        <v>1497</v>
      </c>
      <c r="C270" s="14" t="s">
        <v>178</v>
      </c>
      <c r="D270" s="14" t="s">
        <v>179</v>
      </c>
      <c r="E270" s="14" t="s">
        <v>178</v>
      </c>
      <c r="F270" s="14" t="s">
        <v>150</v>
      </c>
      <c r="G270" s="14" t="s">
        <v>151</v>
      </c>
      <c r="H270" s="14">
        <v>20</v>
      </c>
      <c r="I270" s="14"/>
      <c r="J270" s="14"/>
    </row>
    <row r="271" spans="1:10">
      <c r="A271" s="14">
        <f>IF(B271="","",COUNTA($B$4:B271))</f>
        <v>268</v>
      </c>
      <c r="B271" s="14" t="s">
        <v>1497</v>
      </c>
      <c r="C271" s="14" t="s">
        <v>181</v>
      </c>
      <c r="D271" s="14" t="s">
        <v>182</v>
      </c>
      <c r="E271" s="14" t="s">
        <v>181</v>
      </c>
      <c r="F271" s="14" t="s">
        <v>150</v>
      </c>
      <c r="G271" s="14" t="s">
        <v>151</v>
      </c>
      <c r="H271" s="14">
        <v>30</v>
      </c>
      <c r="I271" s="14"/>
      <c r="J271" s="14"/>
    </row>
    <row r="272" spans="1:10">
      <c r="A272" s="14">
        <f>IF(B272="","",COUNTA($B$4:B272))</f>
        <v>269</v>
      </c>
      <c r="B272" s="14" t="s">
        <v>1497</v>
      </c>
      <c r="C272" s="14" t="s">
        <v>183</v>
      </c>
      <c r="D272" s="14" t="s">
        <v>184</v>
      </c>
      <c r="E272" s="14" t="s">
        <v>183</v>
      </c>
      <c r="F272" s="14" t="s">
        <v>150</v>
      </c>
      <c r="G272" s="14" t="s">
        <v>151</v>
      </c>
      <c r="H272" s="14">
        <v>1000</v>
      </c>
      <c r="I272" s="14"/>
      <c r="J272" s="14"/>
    </row>
    <row r="273" spans="1:10">
      <c r="A273" s="14">
        <f>IF(B273="","",COUNTA($B$4:B273))</f>
        <v>270</v>
      </c>
      <c r="B273" s="14" t="s">
        <v>1497</v>
      </c>
      <c r="C273" s="14" t="s">
        <v>187</v>
      </c>
      <c r="D273" s="14" t="s">
        <v>188</v>
      </c>
      <c r="E273" s="14" t="s">
        <v>187</v>
      </c>
      <c r="F273" s="14" t="s">
        <v>155</v>
      </c>
      <c r="G273" s="14" t="s">
        <v>156</v>
      </c>
      <c r="H273" s="14">
        <v>3</v>
      </c>
      <c r="I273" s="14"/>
      <c r="J273" s="14"/>
    </row>
    <row r="274" spans="1:10">
      <c r="A274" s="14">
        <f>IF(B274="","",COUNTA($B$4:B274))</f>
        <v>271</v>
      </c>
      <c r="B274" s="14" t="s">
        <v>1497</v>
      </c>
      <c r="C274" s="14" t="s">
        <v>189</v>
      </c>
      <c r="D274" s="14" t="s">
        <v>190</v>
      </c>
      <c r="E274" s="14" t="s">
        <v>189</v>
      </c>
      <c r="F274" s="14" t="s">
        <v>155</v>
      </c>
      <c r="G274" s="14" t="s">
        <v>156</v>
      </c>
      <c r="H274" s="14">
        <v>3</v>
      </c>
      <c r="I274" s="14"/>
      <c r="J274" s="14"/>
    </row>
    <row r="275" spans="1:10">
      <c r="A275" s="14">
        <f>IF(B275="","",COUNTA($B$4:B275))</f>
        <v>272</v>
      </c>
      <c r="B275" s="14" t="s">
        <v>1497</v>
      </c>
      <c r="C275" s="14" t="s">
        <v>193</v>
      </c>
      <c r="D275" s="14" t="s">
        <v>194</v>
      </c>
      <c r="E275" s="14" t="s">
        <v>193</v>
      </c>
      <c r="F275" s="14" t="s">
        <v>150</v>
      </c>
      <c r="G275" s="14" t="s">
        <v>151</v>
      </c>
      <c r="H275" s="14">
        <v>25</v>
      </c>
      <c r="I275" s="14"/>
      <c r="J275" s="14"/>
    </row>
    <row r="276" spans="1:10">
      <c r="A276" s="14">
        <f>IF(B276="","",COUNTA($B$4:B276))</f>
        <v>273</v>
      </c>
      <c r="B276" s="14" t="s">
        <v>1497</v>
      </c>
      <c r="C276" s="14" t="s">
        <v>195</v>
      </c>
      <c r="D276" s="14" t="s">
        <v>196</v>
      </c>
      <c r="E276" s="14" t="s">
        <v>195</v>
      </c>
      <c r="F276" s="14" t="s">
        <v>150</v>
      </c>
      <c r="G276" s="14" t="s">
        <v>151</v>
      </c>
      <c r="H276" s="14">
        <v>30</v>
      </c>
      <c r="I276" s="14"/>
      <c r="J276" s="14"/>
    </row>
    <row r="277" spans="1:10">
      <c r="A277" s="14">
        <f>IF(B277="","",COUNTA($B$4:B277))</f>
        <v>274</v>
      </c>
      <c r="B277" s="14" t="s">
        <v>1497</v>
      </c>
      <c r="C277" s="14" t="s">
        <v>197</v>
      </c>
      <c r="D277" s="14" t="s">
        <v>198</v>
      </c>
      <c r="E277" s="14" t="s">
        <v>197</v>
      </c>
      <c r="F277" s="14" t="s">
        <v>150</v>
      </c>
      <c r="G277" s="14" t="s">
        <v>151</v>
      </c>
      <c r="H277" s="14">
        <v>5</v>
      </c>
      <c r="I277" s="14"/>
      <c r="J277" s="14"/>
    </row>
    <row r="278" spans="1:10">
      <c r="A278" s="14">
        <f>IF(B278="","",COUNTA($B$4:B278))</f>
        <v>275</v>
      </c>
      <c r="B278" s="14" t="s">
        <v>1497</v>
      </c>
      <c r="C278" s="14" t="s">
        <v>199</v>
      </c>
      <c r="D278" s="14" t="s">
        <v>200</v>
      </c>
      <c r="E278" s="14" t="s">
        <v>199</v>
      </c>
      <c r="F278" s="14" t="s">
        <v>150</v>
      </c>
      <c r="G278" s="14" t="s">
        <v>151</v>
      </c>
      <c r="H278" s="14">
        <v>20</v>
      </c>
      <c r="I278" s="14"/>
      <c r="J278" s="14"/>
    </row>
    <row r="279" spans="1:10">
      <c r="A279" s="14">
        <f>IF(B279="","",COUNTA($B$4:B279))</f>
        <v>276</v>
      </c>
      <c r="B279" s="14" t="s">
        <v>1497</v>
      </c>
      <c r="C279" s="14" t="s">
        <v>201</v>
      </c>
      <c r="D279" s="14" t="s">
        <v>202</v>
      </c>
      <c r="E279" s="14" t="s">
        <v>201</v>
      </c>
      <c r="F279" s="14" t="s">
        <v>150</v>
      </c>
      <c r="G279" s="14" t="s">
        <v>151</v>
      </c>
      <c r="H279" s="14">
        <v>30</v>
      </c>
      <c r="I279" s="14"/>
      <c r="J279" s="14"/>
    </row>
    <row r="280" spans="1:10">
      <c r="A280" s="14">
        <f>IF(B280="","",COUNTA($B$4:B280))</f>
        <v>277</v>
      </c>
      <c r="B280" s="14" t="s">
        <v>1497</v>
      </c>
      <c r="C280" s="14" t="s">
        <v>203</v>
      </c>
      <c r="D280" s="14" t="s">
        <v>204</v>
      </c>
      <c r="E280" s="14" t="s">
        <v>203</v>
      </c>
      <c r="F280" s="14" t="s">
        <v>155</v>
      </c>
      <c r="G280" s="14" t="s">
        <v>156</v>
      </c>
      <c r="H280" s="14">
        <v>5</v>
      </c>
      <c r="I280" s="14">
        <v>2</v>
      </c>
      <c r="J280" s="14"/>
    </row>
    <row r="281" spans="1:10">
      <c r="A281" s="14">
        <f>IF(B281="","",COUNTA($B$4:B281))</f>
        <v>278</v>
      </c>
      <c r="B281" s="14" t="s">
        <v>1497</v>
      </c>
      <c r="C281" s="14" t="s">
        <v>205</v>
      </c>
      <c r="D281" s="14" t="s">
        <v>206</v>
      </c>
      <c r="E281" s="14" t="s">
        <v>205</v>
      </c>
      <c r="F281" s="14" t="s">
        <v>155</v>
      </c>
      <c r="G281" s="14" t="s">
        <v>156</v>
      </c>
      <c r="H281" s="14">
        <v>4</v>
      </c>
      <c r="I281" s="14"/>
      <c r="J281" s="14"/>
    </row>
    <row r="282" spans="1:10">
      <c r="A282" s="14">
        <f>IF(B282="","",COUNTA($B$4:B282))</f>
        <v>279</v>
      </c>
      <c r="B282" s="14" t="s">
        <v>1497</v>
      </c>
      <c r="C282" s="14" t="s">
        <v>208</v>
      </c>
      <c r="D282" s="14" t="s">
        <v>209</v>
      </c>
      <c r="E282" s="14" t="s">
        <v>208</v>
      </c>
      <c r="F282" s="14" t="s">
        <v>155</v>
      </c>
      <c r="G282" s="14" t="s">
        <v>156</v>
      </c>
      <c r="H282" s="14">
        <v>5</v>
      </c>
      <c r="I282" s="14"/>
      <c r="J282" s="14"/>
    </row>
    <row r="283" spans="1:10">
      <c r="A283" s="14">
        <f>IF(B283="","",COUNTA($B$4:B283))</f>
        <v>280</v>
      </c>
      <c r="B283" s="14" t="s">
        <v>1497</v>
      </c>
      <c r="C283" s="14" t="s">
        <v>716</v>
      </c>
      <c r="D283" s="14" t="s">
        <v>1461</v>
      </c>
      <c r="E283" s="14" t="s">
        <v>716</v>
      </c>
      <c r="F283" s="14" t="s">
        <v>150</v>
      </c>
      <c r="G283" s="14" t="s">
        <v>151</v>
      </c>
      <c r="H283" s="14">
        <v>4</v>
      </c>
      <c r="I283" s="14"/>
      <c r="J283" s="14"/>
    </row>
    <row r="284" spans="1:10">
      <c r="A284" s="14">
        <f>IF(B284="","",COUNTA($B$4:B284))</f>
        <v>281</v>
      </c>
      <c r="B284" s="14" t="s">
        <v>1497</v>
      </c>
      <c r="C284" s="14" t="s">
        <v>318</v>
      </c>
      <c r="D284" s="14" t="s">
        <v>319</v>
      </c>
      <c r="E284" s="14" t="s">
        <v>318</v>
      </c>
      <c r="F284" s="14" t="s">
        <v>155</v>
      </c>
      <c r="G284" s="14" t="s">
        <v>156</v>
      </c>
      <c r="H284" s="14">
        <v>5</v>
      </c>
      <c r="I284" s="14"/>
      <c r="J284" s="14"/>
    </row>
    <row r="285" spans="1:10">
      <c r="A285" s="14">
        <f>IF(B285="","",COUNTA($B$4:B285))</f>
        <v>282</v>
      </c>
      <c r="B285" s="14" t="s">
        <v>1497</v>
      </c>
      <c r="C285" s="14" t="s">
        <v>211</v>
      </c>
      <c r="D285" s="14" t="s">
        <v>212</v>
      </c>
      <c r="E285" s="14" t="s">
        <v>211</v>
      </c>
      <c r="F285" s="14" t="s">
        <v>155</v>
      </c>
      <c r="G285" s="14" t="s">
        <v>156</v>
      </c>
      <c r="H285" s="14">
        <v>5</v>
      </c>
      <c r="I285" s="14"/>
      <c r="J285" s="14"/>
    </row>
    <row r="286" spans="1:10">
      <c r="A286" s="14">
        <f>IF(B286="","",COUNTA($B$4:B286))</f>
        <v>283</v>
      </c>
      <c r="B286" s="14" t="s">
        <v>1497</v>
      </c>
      <c r="C286" s="14" t="s">
        <v>320</v>
      </c>
      <c r="D286" s="14" t="s">
        <v>321</v>
      </c>
      <c r="E286" s="14" t="s">
        <v>320</v>
      </c>
      <c r="F286" s="14" t="s">
        <v>155</v>
      </c>
      <c r="G286" s="14" t="s">
        <v>156</v>
      </c>
      <c r="H286" s="14">
        <v>5</v>
      </c>
      <c r="I286" s="14"/>
      <c r="J286" s="14"/>
    </row>
    <row r="287" spans="1:10">
      <c r="A287" s="14">
        <f>IF(B287="","",COUNTA($B$4:B287))</f>
        <v>284</v>
      </c>
      <c r="B287" s="14" t="s">
        <v>1497</v>
      </c>
      <c r="C287" s="14" t="s">
        <v>228</v>
      </c>
      <c r="D287" s="14" t="s">
        <v>229</v>
      </c>
      <c r="E287" s="14" t="s">
        <v>228</v>
      </c>
      <c r="F287" s="14" t="s">
        <v>150</v>
      </c>
      <c r="G287" s="14" t="s">
        <v>151</v>
      </c>
      <c r="H287" s="14">
        <v>1000</v>
      </c>
      <c r="I287" s="14"/>
      <c r="J287" s="14"/>
    </row>
    <row r="288" spans="1:10">
      <c r="A288" s="14">
        <f>IF(B288="","",COUNTA($B$4:B288))</f>
        <v>285</v>
      </c>
      <c r="B288" s="14" t="s">
        <v>1497</v>
      </c>
      <c r="C288" s="14" t="s">
        <v>323</v>
      </c>
      <c r="D288" s="14" t="s">
        <v>324</v>
      </c>
      <c r="E288" s="14" t="s">
        <v>323</v>
      </c>
      <c r="F288" s="14" t="s">
        <v>150</v>
      </c>
      <c r="G288" s="14" t="s">
        <v>151</v>
      </c>
      <c r="H288" s="14">
        <v>5</v>
      </c>
      <c r="I288" s="14"/>
      <c r="J288" s="14"/>
    </row>
    <row r="289" spans="1:10">
      <c r="A289" s="14">
        <f>IF(B289="","",COUNTA($B$4:B289))</f>
        <v>286</v>
      </c>
      <c r="B289" s="14" t="s">
        <v>1497</v>
      </c>
      <c r="C289" s="14" t="s">
        <v>325</v>
      </c>
      <c r="D289" s="14" t="s">
        <v>326</v>
      </c>
      <c r="E289" s="14" t="s">
        <v>325</v>
      </c>
      <c r="F289" s="14" t="s">
        <v>150</v>
      </c>
      <c r="G289" s="14" t="s">
        <v>151</v>
      </c>
      <c r="H289" s="14">
        <v>20</v>
      </c>
      <c r="I289" s="14"/>
      <c r="J289" s="14"/>
    </row>
    <row r="290" spans="1:10">
      <c r="A290" s="14">
        <f>IF(B290="","",COUNTA($B$4:B290))</f>
        <v>287</v>
      </c>
      <c r="B290" s="14" t="s">
        <v>1497</v>
      </c>
      <c r="C290" s="14" t="s">
        <v>327</v>
      </c>
      <c r="D290" s="14" t="s">
        <v>328</v>
      </c>
      <c r="E290" s="14" t="s">
        <v>327</v>
      </c>
      <c r="F290" s="14" t="s">
        <v>150</v>
      </c>
      <c r="G290" s="14" t="s">
        <v>151</v>
      </c>
      <c r="H290" s="14">
        <v>30</v>
      </c>
      <c r="I290" s="14"/>
      <c r="J290" s="14"/>
    </row>
    <row r="291" spans="1:10">
      <c r="A291" s="14">
        <f>IF(B291="","",COUNTA($B$4:B291))</f>
        <v>288</v>
      </c>
      <c r="B291" s="14" t="s">
        <v>1497</v>
      </c>
      <c r="C291" s="14" t="s">
        <v>329</v>
      </c>
      <c r="D291" s="14" t="s">
        <v>330</v>
      </c>
      <c r="E291" s="14" t="s">
        <v>329</v>
      </c>
      <c r="F291" s="14" t="s">
        <v>155</v>
      </c>
      <c r="G291" s="14" t="s">
        <v>156</v>
      </c>
      <c r="H291" s="14">
        <v>5</v>
      </c>
      <c r="I291" s="14">
        <v>2</v>
      </c>
      <c r="J291" s="14"/>
    </row>
    <row r="292" spans="1:10">
      <c r="A292" s="14">
        <f>IF(B292="","",COUNTA($B$4:B292))</f>
        <v>289</v>
      </c>
      <c r="B292" s="14" t="s">
        <v>1497</v>
      </c>
      <c r="C292" s="14" t="s">
        <v>331</v>
      </c>
      <c r="D292" s="14" t="s">
        <v>332</v>
      </c>
      <c r="E292" s="14" t="s">
        <v>331</v>
      </c>
      <c r="F292" s="14" t="s">
        <v>155</v>
      </c>
      <c r="G292" s="14" t="s">
        <v>156</v>
      </c>
      <c r="H292" s="14">
        <v>4</v>
      </c>
      <c r="I292" s="14"/>
      <c r="J292" s="14"/>
    </row>
    <row r="293" spans="1:10">
      <c r="A293" s="14">
        <f>IF(B293="","",COUNTA($B$4:B293))</f>
        <v>290</v>
      </c>
      <c r="B293" s="14" t="s">
        <v>1497</v>
      </c>
      <c r="C293" s="14" t="s">
        <v>333</v>
      </c>
      <c r="D293" s="14" t="s">
        <v>334</v>
      </c>
      <c r="E293" s="14" t="s">
        <v>333</v>
      </c>
      <c r="F293" s="14" t="s">
        <v>155</v>
      </c>
      <c r="G293" s="14" t="s">
        <v>156</v>
      </c>
      <c r="H293" s="14">
        <v>5</v>
      </c>
      <c r="I293" s="14"/>
      <c r="J293" s="14"/>
    </row>
    <row r="294" spans="1:10">
      <c r="A294" s="14">
        <f>IF(B294="","",COUNTA($B$4:B294))</f>
        <v>291</v>
      </c>
      <c r="B294" s="14" t="s">
        <v>1497</v>
      </c>
      <c r="C294" s="14" t="s">
        <v>335</v>
      </c>
      <c r="D294" s="14" t="s">
        <v>336</v>
      </c>
      <c r="E294" s="14" t="s">
        <v>335</v>
      </c>
      <c r="F294" s="14" t="s">
        <v>155</v>
      </c>
      <c r="G294" s="14" t="s">
        <v>156</v>
      </c>
      <c r="H294" s="14">
        <v>5</v>
      </c>
      <c r="I294" s="14"/>
      <c r="J294" s="14"/>
    </row>
    <row r="295" spans="1:10">
      <c r="A295" s="14">
        <f>IF(B295="","",COUNTA($B$4:B295))</f>
        <v>292</v>
      </c>
      <c r="B295" s="14" t="s">
        <v>1497</v>
      </c>
      <c r="C295" s="14" t="s">
        <v>337</v>
      </c>
      <c r="D295" s="14" t="s">
        <v>338</v>
      </c>
      <c r="E295" s="14" t="s">
        <v>337</v>
      </c>
      <c r="F295" s="14" t="s">
        <v>150</v>
      </c>
      <c r="G295" s="14" t="s">
        <v>151</v>
      </c>
      <c r="H295" s="14">
        <v>1000</v>
      </c>
      <c r="I295" s="14"/>
      <c r="J295" s="14"/>
    </row>
    <row r="296" spans="1:10">
      <c r="A296" s="14">
        <f>IF(B296="","",COUNTA($B$4:B296))</f>
        <v>293</v>
      </c>
      <c r="B296" s="14" t="s">
        <v>1497</v>
      </c>
      <c r="C296" s="14" t="s">
        <v>339</v>
      </c>
      <c r="D296" s="14" t="s">
        <v>340</v>
      </c>
      <c r="E296" s="14" t="s">
        <v>339</v>
      </c>
      <c r="F296" s="14" t="s">
        <v>150</v>
      </c>
      <c r="G296" s="14" t="s">
        <v>151</v>
      </c>
      <c r="H296" s="14">
        <v>100</v>
      </c>
      <c r="I296" s="14"/>
      <c r="J296" s="14"/>
    </row>
    <row r="297" spans="1:10">
      <c r="A297" s="14">
        <f>IF(B297="","",COUNTA($B$4:B297))</f>
        <v>294</v>
      </c>
      <c r="B297" s="14" t="s">
        <v>1497</v>
      </c>
      <c r="C297" s="14" t="s">
        <v>296</v>
      </c>
      <c r="D297" s="14" t="s">
        <v>297</v>
      </c>
      <c r="E297" s="14" t="s">
        <v>296</v>
      </c>
      <c r="F297" s="14" t="s">
        <v>155</v>
      </c>
      <c r="G297" s="14" t="s">
        <v>156</v>
      </c>
      <c r="H297" s="14">
        <v>5</v>
      </c>
      <c r="I297" s="14"/>
      <c r="J297" s="14"/>
    </row>
    <row r="298" spans="1:10">
      <c r="A298" s="14">
        <f>IF(B298="","",COUNTA($B$4:B298))</f>
        <v>295</v>
      </c>
      <c r="B298" s="14" t="s">
        <v>1497</v>
      </c>
      <c r="C298" s="14" t="s">
        <v>226</v>
      </c>
      <c r="D298" s="14" t="s">
        <v>227</v>
      </c>
      <c r="E298" s="14" t="s">
        <v>226</v>
      </c>
      <c r="F298" s="14" t="s">
        <v>150</v>
      </c>
      <c r="G298" s="14" t="s">
        <v>151</v>
      </c>
      <c r="H298" s="14">
        <v>3</v>
      </c>
      <c r="I298" s="14"/>
      <c r="J298" s="14"/>
    </row>
    <row r="299" spans="1:10">
      <c r="A299" s="14">
        <f>IF(B299="","",COUNTA($B$4:B299))</f>
        <v>296</v>
      </c>
      <c r="B299" s="14" t="s">
        <v>1497</v>
      </c>
      <c r="C299" s="14" t="s">
        <v>341</v>
      </c>
      <c r="D299" s="14" t="s">
        <v>342</v>
      </c>
      <c r="E299" s="14" t="s">
        <v>341</v>
      </c>
      <c r="F299" s="14" t="s">
        <v>155</v>
      </c>
      <c r="G299" s="14" t="s">
        <v>156</v>
      </c>
      <c r="H299" s="14">
        <v>1</v>
      </c>
      <c r="I299" s="14"/>
      <c r="J299" s="14"/>
    </row>
    <row r="300" spans="1:10">
      <c r="A300" s="14">
        <f>IF(B300="","",COUNTA($B$4:B300))</f>
        <v>297</v>
      </c>
      <c r="B300" s="14" t="s">
        <v>1497</v>
      </c>
      <c r="C300" s="14" t="s">
        <v>344</v>
      </c>
      <c r="D300" s="14" t="s">
        <v>345</v>
      </c>
      <c r="E300" s="14" t="s">
        <v>344</v>
      </c>
      <c r="F300" s="14" t="s">
        <v>155</v>
      </c>
      <c r="G300" s="14" t="s">
        <v>156</v>
      </c>
      <c r="H300" s="14">
        <v>1</v>
      </c>
      <c r="I300" s="14"/>
      <c r="J300" s="14"/>
    </row>
    <row r="301" spans="1:10">
      <c r="A301" s="14">
        <f>IF(B301="","",COUNTA($B$4:B301))</f>
        <v>298</v>
      </c>
      <c r="B301" s="14" t="s">
        <v>1497</v>
      </c>
      <c r="C301" s="14" t="s">
        <v>230</v>
      </c>
      <c r="D301" s="14" t="s">
        <v>231</v>
      </c>
      <c r="E301" s="14" t="s">
        <v>230</v>
      </c>
      <c r="F301" s="14" t="s">
        <v>169</v>
      </c>
      <c r="G301" s="14" t="s">
        <v>170</v>
      </c>
      <c r="H301" s="14"/>
      <c r="I301" s="14"/>
      <c r="J301" s="14" t="s">
        <v>1490</v>
      </c>
    </row>
    <row r="302" spans="1:10">
      <c r="A302" s="14">
        <f>IF(B302="","",COUNTA($B$4:B302))</f>
        <v>299</v>
      </c>
      <c r="B302" s="14" t="s">
        <v>1497</v>
      </c>
      <c r="C302" s="14" t="s">
        <v>233</v>
      </c>
      <c r="D302" s="14" t="s">
        <v>234</v>
      </c>
      <c r="E302" s="14" t="s">
        <v>233</v>
      </c>
      <c r="F302" s="14" t="s">
        <v>155</v>
      </c>
      <c r="G302" s="14" t="s">
        <v>156</v>
      </c>
      <c r="H302" s="14">
        <v>1</v>
      </c>
      <c r="I302" s="14"/>
      <c r="J302" s="14" t="s">
        <v>1584</v>
      </c>
    </row>
    <row r="303" spans="1:10">
      <c r="A303" s="14">
        <f>IF(B303="","",COUNTA($B$4:B303))</f>
        <v>300</v>
      </c>
      <c r="B303" s="14" t="s">
        <v>1497</v>
      </c>
      <c r="C303" s="14" t="s">
        <v>276</v>
      </c>
      <c r="D303" s="14" t="s">
        <v>277</v>
      </c>
      <c r="E303" s="14" t="s">
        <v>276</v>
      </c>
      <c r="F303" s="14" t="s">
        <v>155</v>
      </c>
      <c r="G303" s="14" t="s">
        <v>156</v>
      </c>
      <c r="H303" s="14">
        <v>1</v>
      </c>
      <c r="I303" s="14"/>
      <c r="J303" s="14" t="s">
        <v>1490</v>
      </c>
    </row>
    <row r="304" spans="1:10">
      <c r="A304" s="14">
        <f>IF(B304="","",COUNTA($B$4:B304))</f>
        <v>301</v>
      </c>
      <c r="B304" s="14" t="s">
        <v>1497</v>
      </c>
      <c r="C304" s="14" t="s">
        <v>236</v>
      </c>
      <c r="D304" s="14" t="s">
        <v>237</v>
      </c>
      <c r="E304" s="14" t="s">
        <v>236</v>
      </c>
      <c r="F304" s="14" t="s">
        <v>155</v>
      </c>
      <c r="G304" s="14" t="s">
        <v>156</v>
      </c>
      <c r="H304" s="14">
        <v>1</v>
      </c>
      <c r="I304" s="14"/>
      <c r="J304" s="14"/>
    </row>
    <row r="305" spans="1:10">
      <c r="A305" s="14">
        <f>IF(B305="","",COUNTA($B$4:B305))</f>
        <v>302</v>
      </c>
      <c r="B305" s="14" t="s">
        <v>1497</v>
      </c>
      <c r="C305" s="14" t="s">
        <v>239</v>
      </c>
      <c r="D305" s="14" t="s">
        <v>240</v>
      </c>
      <c r="E305" s="14" t="s">
        <v>239</v>
      </c>
      <c r="F305" s="14" t="s">
        <v>169</v>
      </c>
      <c r="G305" s="14" t="s">
        <v>170</v>
      </c>
      <c r="H305" s="14"/>
      <c r="I305" s="14"/>
      <c r="J305" s="14"/>
    </row>
    <row r="306" spans="1:10">
      <c r="A306" s="14">
        <f>IF(B306="","",COUNTA($B$4:B306))</f>
        <v>303</v>
      </c>
      <c r="B306" s="14" t="s">
        <v>1497</v>
      </c>
      <c r="C306" s="14" t="s">
        <v>241</v>
      </c>
      <c r="D306" s="14" t="s">
        <v>242</v>
      </c>
      <c r="E306" s="14" t="s">
        <v>241</v>
      </c>
      <c r="F306" s="14" t="s">
        <v>150</v>
      </c>
      <c r="G306" s="14" t="s">
        <v>243</v>
      </c>
      <c r="H306" s="14"/>
      <c r="I306" s="14" t="s">
        <v>244</v>
      </c>
      <c r="J306" s="14"/>
    </row>
    <row r="307" spans="1:10">
      <c r="A307" s="14">
        <f>IF(B307="","",COUNTA($B$4:B307))</f>
        <v>304</v>
      </c>
      <c r="B307" s="14" t="s">
        <v>1497</v>
      </c>
      <c r="C307" s="14" t="s">
        <v>246</v>
      </c>
      <c r="D307" s="14" t="s">
        <v>247</v>
      </c>
      <c r="E307" s="14" t="s">
        <v>246</v>
      </c>
      <c r="F307" s="14" t="s">
        <v>150</v>
      </c>
      <c r="G307" s="14" t="s">
        <v>243</v>
      </c>
      <c r="H307" s="14"/>
      <c r="I307" s="14" t="s">
        <v>244</v>
      </c>
      <c r="J307" s="14"/>
    </row>
    <row r="308" spans="1:10">
      <c r="A308" s="14">
        <f>IF(B308="","",COUNTA($B$4:B308))</f>
        <v>305</v>
      </c>
      <c r="B308" s="14" t="s">
        <v>1497</v>
      </c>
      <c r="C308" s="14" t="s">
        <v>249</v>
      </c>
      <c r="D308" s="14" t="s">
        <v>250</v>
      </c>
      <c r="E308" s="14" t="s">
        <v>249</v>
      </c>
      <c r="F308" s="14" t="s">
        <v>150</v>
      </c>
      <c r="G308" s="14" t="s">
        <v>151</v>
      </c>
      <c r="H308" s="14">
        <v>4</v>
      </c>
      <c r="I308" s="14"/>
      <c r="J308" s="14"/>
    </row>
    <row r="309" spans="1:10">
      <c r="A309" s="14">
        <f>IF(B309="","",COUNTA($B$4:B309))</f>
        <v>306</v>
      </c>
      <c r="B309" s="14" t="s">
        <v>1497</v>
      </c>
      <c r="C309" s="14" t="s">
        <v>251</v>
      </c>
      <c r="D309" s="14" t="s">
        <v>252</v>
      </c>
      <c r="E309" s="14" t="s">
        <v>251</v>
      </c>
      <c r="F309" s="14" t="s">
        <v>150</v>
      </c>
      <c r="G309" s="14" t="s">
        <v>151</v>
      </c>
      <c r="H309" s="14">
        <v>4</v>
      </c>
      <c r="I309" s="14"/>
      <c r="J309" s="14"/>
    </row>
    <row r="310" spans="1:10">
      <c r="A310" s="14">
        <f>IF(B310="","",COUNTA($B$4:B310))</f>
        <v>307</v>
      </c>
      <c r="B310" s="14" t="s">
        <v>1497</v>
      </c>
      <c r="C310" s="14" t="s">
        <v>253</v>
      </c>
      <c r="D310" s="14" t="s">
        <v>254</v>
      </c>
      <c r="E310" s="14" t="s">
        <v>253</v>
      </c>
      <c r="F310" s="14" t="s">
        <v>150</v>
      </c>
      <c r="G310" s="14" t="s">
        <v>151</v>
      </c>
      <c r="H310" s="14">
        <v>10</v>
      </c>
      <c r="I310" s="14"/>
      <c r="J310" s="14"/>
    </row>
    <row r="311" spans="1:10">
      <c r="A311" s="14">
        <f>IF(B311="","",COUNTA($B$4:B311))</f>
        <v>308</v>
      </c>
      <c r="B311" s="14" t="s">
        <v>1497</v>
      </c>
      <c r="C311" s="14" t="s">
        <v>255</v>
      </c>
      <c r="D311" s="14" t="s">
        <v>256</v>
      </c>
      <c r="E311" s="14" t="s">
        <v>255</v>
      </c>
      <c r="F311" s="14" t="s">
        <v>150</v>
      </c>
      <c r="G311" s="14" t="s">
        <v>151</v>
      </c>
      <c r="H311" s="14">
        <v>10</v>
      </c>
      <c r="I311" s="14"/>
      <c r="J311" s="14"/>
    </row>
    <row r="312" spans="1:10">
      <c r="A312" s="14">
        <f>IF(B312="","",COUNTA($B$4:B312))</f>
        <v>309</v>
      </c>
      <c r="B312" s="14" t="s">
        <v>1497</v>
      </c>
      <c r="C312" s="14" t="s">
        <v>257</v>
      </c>
      <c r="D312" s="14" t="s">
        <v>258</v>
      </c>
      <c r="E312" s="14" t="s">
        <v>257</v>
      </c>
      <c r="F312" s="14" t="s">
        <v>169</v>
      </c>
      <c r="G312" s="14" t="s">
        <v>243</v>
      </c>
      <c r="H312" s="14"/>
      <c r="I312" s="14"/>
      <c r="J312" s="14"/>
    </row>
    <row r="313" spans="1:10">
      <c r="A313" s="14">
        <f>IF(B313="","",COUNTA($B$4:B313))</f>
        <v>310</v>
      </c>
      <c r="B313" s="14" t="s">
        <v>1497</v>
      </c>
      <c r="C313" s="14" t="s">
        <v>259</v>
      </c>
      <c r="D313" s="14" t="s">
        <v>260</v>
      </c>
      <c r="E313" s="14" t="s">
        <v>259</v>
      </c>
      <c r="F313" s="14" t="s">
        <v>150</v>
      </c>
      <c r="G313" s="14" t="s">
        <v>151</v>
      </c>
      <c r="H313" s="14">
        <v>10</v>
      </c>
      <c r="I313" s="14"/>
      <c r="J313" s="14"/>
    </row>
    <row r="314" spans="1:10">
      <c r="A314" s="14">
        <f>IF(B314="","",COUNTA($B$4:B314))</f>
        <v>311</v>
      </c>
      <c r="B314" s="14" t="s">
        <v>1497</v>
      </c>
      <c r="C314" s="14" t="s">
        <v>261</v>
      </c>
      <c r="D314" s="14" t="s">
        <v>262</v>
      </c>
      <c r="E314" s="14" t="s">
        <v>261</v>
      </c>
      <c r="F314" s="14" t="s">
        <v>150</v>
      </c>
      <c r="G314" s="14" t="s">
        <v>151</v>
      </c>
      <c r="H314" s="14">
        <v>10</v>
      </c>
      <c r="I314" s="14"/>
      <c r="J314" s="14"/>
    </row>
    <row r="315" spans="1:10">
      <c r="A315" s="14">
        <f>IF(B315="","",COUNTA($B$4:B315))</f>
        <v>312</v>
      </c>
      <c r="B315" s="14" t="s">
        <v>1497</v>
      </c>
      <c r="C315" s="14" t="s">
        <v>263</v>
      </c>
      <c r="D315" s="14" t="s">
        <v>264</v>
      </c>
      <c r="E315" s="14" t="s">
        <v>263</v>
      </c>
      <c r="F315" s="14" t="s">
        <v>169</v>
      </c>
      <c r="G315" s="14" t="s">
        <v>243</v>
      </c>
      <c r="H315" s="14"/>
      <c r="I315" s="14"/>
      <c r="J315" s="14"/>
    </row>
    <row r="316" spans="1:10">
      <c r="A316" s="14">
        <f>IF(B316="","",COUNTA($B$4:B316))</f>
        <v>313</v>
      </c>
      <c r="B316" s="14" t="s">
        <v>1498</v>
      </c>
      <c r="C316" s="14" t="s">
        <v>148</v>
      </c>
      <c r="D316" s="14" t="s">
        <v>149</v>
      </c>
      <c r="E316" s="14" t="s">
        <v>148</v>
      </c>
      <c r="F316" s="14" t="s">
        <v>150</v>
      </c>
      <c r="G316" s="14" t="s">
        <v>151</v>
      </c>
      <c r="H316" s="14">
        <v>15</v>
      </c>
      <c r="I316" s="14"/>
      <c r="J316" s="14"/>
    </row>
    <row r="317" spans="1:10">
      <c r="A317" s="14">
        <f>IF(B317="","",COUNTA($B$4:B317))</f>
        <v>314</v>
      </c>
      <c r="B317" s="14" t="s">
        <v>1498</v>
      </c>
      <c r="C317" s="14" t="s">
        <v>347</v>
      </c>
      <c r="D317" s="14" t="s">
        <v>348</v>
      </c>
      <c r="E317" s="14" t="s">
        <v>347</v>
      </c>
      <c r="F317" s="14" t="s">
        <v>155</v>
      </c>
      <c r="G317" s="14" t="s">
        <v>156</v>
      </c>
      <c r="H317" s="14">
        <v>3</v>
      </c>
      <c r="I317" s="14"/>
      <c r="J317" s="14"/>
    </row>
    <row r="318" spans="1:10">
      <c r="A318" s="14">
        <f>IF(B318="","",COUNTA($B$4:B318))</f>
        <v>315</v>
      </c>
      <c r="B318" s="14" t="s">
        <v>1498</v>
      </c>
      <c r="C318" s="14" t="s">
        <v>157</v>
      </c>
      <c r="D318" s="14" t="s">
        <v>158</v>
      </c>
      <c r="E318" s="14" t="s">
        <v>157</v>
      </c>
      <c r="F318" s="14" t="s">
        <v>150</v>
      </c>
      <c r="G318" s="14" t="s">
        <v>151</v>
      </c>
      <c r="H318" s="14">
        <v>10</v>
      </c>
      <c r="I318" s="14"/>
      <c r="J318" s="14"/>
    </row>
    <row r="319" spans="1:10">
      <c r="A319" s="14">
        <f>IF(B319="","",COUNTA($B$4:B319))</f>
        <v>316</v>
      </c>
      <c r="B319" s="14" t="s">
        <v>1498</v>
      </c>
      <c r="C319" s="14" t="s">
        <v>159</v>
      </c>
      <c r="D319" s="14" t="s">
        <v>160</v>
      </c>
      <c r="E319" s="14" t="s">
        <v>159</v>
      </c>
      <c r="F319" s="14" t="s">
        <v>150</v>
      </c>
      <c r="G319" s="14" t="s">
        <v>151</v>
      </c>
      <c r="H319" s="14">
        <v>4</v>
      </c>
      <c r="I319" s="14"/>
      <c r="J319" s="14"/>
    </row>
    <row r="320" spans="1:10">
      <c r="A320" s="14">
        <f>IF(B320="","",COUNTA($B$4:B320))</f>
        <v>317</v>
      </c>
      <c r="B320" s="14" t="s">
        <v>1498</v>
      </c>
      <c r="C320" s="14" t="s">
        <v>351</v>
      </c>
      <c r="D320" s="14" t="s">
        <v>352</v>
      </c>
      <c r="E320" s="14" t="s">
        <v>351</v>
      </c>
      <c r="F320" s="14" t="s">
        <v>150</v>
      </c>
      <c r="G320" s="14" t="s">
        <v>151</v>
      </c>
      <c r="H320" s="14">
        <v>5</v>
      </c>
      <c r="I320" s="14"/>
      <c r="J320" s="14"/>
    </row>
    <row r="321" spans="1:10">
      <c r="A321" s="14">
        <f>IF(B321="","",COUNTA($B$4:B321))</f>
        <v>318</v>
      </c>
      <c r="B321" s="14" t="s">
        <v>1498</v>
      </c>
      <c r="C321" s="14" t="s">
        <v>308</v>
      </c>
      <c r="D321" s="14" t="s">
        <v>309</v>
      </c>
      <c r="E321" s="14" t="s">
        <v>308</v>
      </c>
      <c r="F321" s="14" t="s">
        <v>169</v>
      </c>
      <c r="G321" s="14" t="s">
        <v>170</v>
      </c>
      <c r="H321" s="14"/>
      <c r="I321" s="14"/>
      <c r="J321" s="14"/>
    </row>
    <row r="322" spans="1:10">
      <c r="A322" s="14">
        <f>IF(B322="","",COUNTA($B$4:B322))</f>
        <v>319</v>
      </c>
      <c r="B322" s="14" t="s">
        <v>1498</v>
      </c>
      <c r="C322" s="14" t="s">
        <v>354</v>
      </c>
      <c r="D322" s="14" t="s">
        <v>355</v>
      </c>
      <c r="E322" s="14" t="s">
        <v>354</v>
      </c>
      <c r="F322" s="14" t="s">
        <v>169</v>
      </c>
      <c r="G322" s="14" t="s">
        <v>170</v>
      </c>
      <c r="H322" s="14"/>
      <c r="I322" s="14"/>
      <c r="J322" s="14"/>
    </row>
    <row r="323" spans="1:10">
      <c r="A323" s="14">
        <f>IF(B323="","",COUNTA($B$4:B323))</f>
        <v>320</v>
      </c>
      <c r="B323" s="14" t="s">
        <v>1498</v>
      </c>
      <c r="C323" s="14" t="s">
        <v>316</v>
      </c>
      <c r="D323" s="14" t="s">
        <v>317</v>
      </c>
      <c r="E323" s="14" t="s">
        <v>316</v>
      </c>
      <c r="F323" s="14" t="s">
        <v>169</v>
      </c>
      <c r="G323" s="14" t="s">
        <v>170</v>
      </c>
      <c r="H323" s="14"/>
      <c r="I323" s="14"/>
      <c r="J323" s="14"/>
    </row>
    <row r="324" spans="1:10">
      <c r="A324" s="14">
        <f>IF(B324="","",COUNTA($B$4:B324))</f>
        <v>321</v>
      </c>
      <c r="B324" s="14" t="s">
        <v>1498</v>
      </c>
      <c r="C324" s="14" t="s">
        <v>314</v>
      </c>
      <c r="D324" s="14" t="s">
        <v>315</v>
      </c>
      <c r="E324" s="14" t="s">
        <v>314</v>
      </c>
      <c r="F324" s="14" t="s">
        <v>150</v>
      </c>
      <c r="G324" s="14" t="s">
        <v>151</v>
      </c>
      <c r="H324" s="14">
        <v>10</v>
      </c>
      <c r="I324" s="14" t="s">
        <v>244</v>
      </c>
      <c r="J324" s="14"/>
    </row>
    <row r="325" spans="1:10">
      <c r="A325" s="14">
        <f>IF(B325="","",COUNTA($B$4:B325))</f>
        <v>322</v>
      </c>
      <c r="B325" s="14" t="s">
        <v>1498</v>
      </c>
      <c r="C325" s="14" t="s">
        <v>178</v>
      </c>
      <c r="D325" s="14" t="s">
        <v>179</v>
      </c>
      <c r="E325" s="14" t="s">
        <v>178</v>
      </c>
      <c r="F325" s="14" t="s">
        <v>150</v>
      </c>
      <c r="G325" s="14" t="s">
        <v>151</v>
      </c>
      <c r="H325" s="14">
        <v>20</v>
      </c>
      <c r="I325" s="14"/>
      <c r="J325" s="14"/>
    </row>
    <row r="326" spans="1:10">
      <c r="A326" s="14">
        <f>IF(B326="","",COUNTA($B$4:B326))</f>
        <v>323</v>
      </c>
      <c r="B326" s="14" t="s">
        <v>1498</v>
      </c>
      <c r="C326" s="14" t="s">
        <v>356</v>
      </c>
      <c r="D326" s="14" t="s">
        <v>357</v>
      </c>
      <c r="E326" s="14" t="s">
        <v>356</v>
      </c>
      <c r="F326" s="14" t="s">
        <v>150</v>
      </c>
      <c r="G326" s="14" t="s">
        <v>151</v>
      </c>
      <c r="H326" s="14">
        <v>30</v>
      </c>
      <c r="I326" s="14"/>
      <c r="J326" s="14"/>
    </row>
    <row r="327" spans="1:10">
      <c r="A327" s="14">
        <f>IF(B327="","",COUNTA($B$4:B327))</f>
        <v>324</v>
      </c>
      <c r="B327" s="14" t="s">
        <v>1498</v>
      </c>
      <c r="C327" s="14" t="s">
        <v>359</v>
      </c>
      <c r="D327" s="14" t="s">
        <v>360</v>
      </c>
      <c r="E327" s="14" t="s">
        <v>359</v>
      </c>
      <c r="F327" s="14" t="s">
        <v>155</v>
      </c>
      <c r="G327" s="14" t="s">
        <v>156</v>
      </c>
      <c r="H327" s="14">
        <v>3</v>
      </c>
      <c r="I327" s="14"/>
      <c r="J327" s="14"/>
    </row>
    <row r="328" spans="1:10">
      <c r="A328" s="14">
        <f>IF(B328="","",COUNTA($B$4:B328))</f>
        <v>325</v>
      </c>
      <c r="B328" s="14" t="s">
        <v>1498</v>
      </c>
      <c r="C328" s="14" t="s">
        <v>362</v>
      </c>
      <c r="D328" s="14" t="s">
        <v>363</v>
      </c>
      <c r="E328" s="14" t="s">
        <v>362</v>
      </c>
      <c r="F328" s="14" t="s">
        <v>155</v>
      </c>
      <c r="G328" s="14" t="s">
        <v>156</v>
      </c>
      <c r="H328" s="14">
        <v>3</v>
      </c>
      <c r="I328" s="14"/>
      <c r="J328" s="14"/>
    </row>
    <row r="329" spans="1:10">
      <c r="A329" s="14">
        <f>IF(B329="","",COUNTA($B$4:B329))</f>
        <v>326</v>
      </c>
      <c r="B329" s="14" t="s">
        <v>1498</v>
      </c>
      <c r="C329" s="14" t="s">
        <v>153</v>
      </c>
      <c r="D329" s="14" t="s">
        <v>154</v>
      </c>
      <c r="E329" s="14" t="s">
        <v>153</v>
      </c>
      <c r="F329" s="14" t="s">
        <v>155</v>
      </c>
      <c r="G329" s="14" t="s">
        <v>156</v>
      </c>
      <c r="H329" s="14">
        <v>3</v>
      </c>
      <c r="I329" s="14"/>
      <c r="J329" s="14"/>
    </row>
    <row r="330" spans="1:10">
      <c r="A330" s="14">
        <f>IF(B330="","",COUNTA($B$4:B330))</f>
        <v>327</v>
      </c>
      <c r="B330" s="14" t="s">
        <v>1498</v>
      </c>
      <c r="C330" s="14" t="s">
        <v>187</v>
      </c>
      <c r="D330" s="14" t="s">
        <v>188</v>
      </c>
      <c r="E330" s="14" t="s">
        <v>187</v>
      </c>
      <c r="F330" s="14" t="s">
        <v>155</v>
      </c>
      <c r="G330" s="14" t="s">
        <v>156</v>
      </c>
      <c r="H330" s="14">
        <v>3</v>
      </c>
      <c r="I330" s="14"/>
      <c r="J330" s="14"/>
    </row>
    <row r="331" spans="1:10">
      <c r="A331" s="14">
        <f>IF(B331="","",COUNTA($B$4:B331))</f>
        <v>328</v>
      </c>
      <c r="B331" s="14" t="s">
        <v>1498</v>
      </c>
      <c r="C331" s="14" t="s">
        <v>193</v>
      </c>
      <c r="D331" s="14" t="s">
        <v>194</v>
      </c>
      <c r="E331" s="14" t="s">
        <v>193</v>
      </c>
      <c r="F331" s="14" t="s">
        <v>150</v>
      </c>
      <c r="G331" s="14" t="s">
        <v>151</v>
      </c>
      <c r="H331" s="14">
        <v>25</v>
      </c>
      <c r="I331" s="14"/>
      <c r="J331" s="14"/>
    </row>
    <row r="332" spans="1:10">
      <c r="A332" s="14">
        <f>IF(B332="","",COUNTA($B$4:B332))</f>
        <v>329</v>
      </c>
      <c r="B332" s="14" t="s">
        <v>1498</v>
      </c>
      <c r="C332" s="14" t="s">
        <v>195</v>
      </c>
      <c r="D332" s="14" t="s">
        <v>196</v>
      </c>
      <c r="E332" s="14" t="s">
        <v>195</v>
      </c>
      <c r="F332" s="14" t="s">
        <v>150</v>
      </c>
      <c r="G332" s="14" t="s">
        <v>151</v>
      </c>
      <c r="H332" s="14">
        <v>30</v>
      </c>
      <c r="I332" s="14"/>
      <c r="J332" s="14"/>
    </row>
    <row r="333" spans="1:10">
      <c r="A333" s="14">
        <f>IF(B333="","",COUNTA($B$4:B333))</f>
        <v>330</v>
      </c>
      <c r="B333" s="14" t="s">
        <v>1498</v>
      </c>
      <c r="C333" s="14" t="s">
        <v>197</v>
      </c>
      <c r="D333" s="14" t="s">
        <v>198</v>
      </c>
      <c r="E333" s="14" t="s">
        <v>197</v>
      </c>
      <c r="F333" s="14" t="s">
        <v>150</v>
      </c>
      <c r="G333" s="14" t="s">
        <v>151</v>
      </c>
      <c r="H333" s="14">
        <v>5</v>
      </c>
      <c r="I333" s="14"/>
      <c r="J333" s="14"/>
    </row>
    <row r="334" spans="1:10">
      <c r="A334" s="14">
        <f>IF(B334="","",COUNTA($B$4:B334))</f>
        <v>331</v>
      </c>
      <c r="B334" s="14" t="s">
        <v>1498</v>
      </c>
      <c r="C334" s="14" t="s">
        <v>199</v>
      </c>
      <c r="D334" s="14" t="s">
        <v>200</v>
      </c>
      <c r="E334" s="14" t="s">
        <v>199</v>
      </c>
      <c r="F334" s="14" t="s">
        <v>150</v>
      </c>
      <c r="G334" s="14" t="s">
        <v>151</v>
      </c>
      <c r="H334" s="14">
        <v>20</v>
      </c>
      <c r="I334" s="14"/>
      <c r="J334" s="14"/>
    </row>
    <row r="335" spans="1:10">
      <c r="A335" s="14">
        <f>IF(B335="","",COUNTA($B$4:B335))</f>
        <v>332</v>
      </c>
      <c r="B335" s="14" t="s">
        <v>1498</v>
      </c>
      <c r="C335" s="14" t="s">
        <v>201</v>
      </c>
      <c r="D335" s="14" t="s">
        <v>202</v>
      </c>
      <c r="E335" s="14" t="s">
        <v>201</v>
      </c>
      <c r="F335" s="14" t="s">
        <v>150</v>
      </c>
      <c r="G335" s="14" t="s">
        <v>151</v>
      </c>
      <c r="H335" s="14">
        <v>30</v>
      </c>
      <c r="I335" s="14"/>
      <c r="J335" s="14"/>
    </row>
    <row r="336" spans="1:10">
      <c r="A336" s="14">
        <f>IF(B336="","",COUNTA($B$4:B336))</f>
        <v>333</v>
      </c>
      <c r="B336" s="14" t="s">
        <v>1498</v>
      </c>
      <c r="C336" s="14" t="s">
        <v>203</v>
      </c>
      <c r="D336" s="14" t="s">
        <v>204</v>
      </c>
      <c r="E336" s="14" t="s">
        <v>203</v>
      </c>
      <c r="F336" s="14" t="s">
        <v>155</v>
      </c>
      <c r="G336" s="14" t="s">
        <v>156</v>
      </c>
      <c r="H336" s="14">
        <v>5</v>
      </c>
      <c r="I336" s="14">
        <v>2</v>
      </c>
      <c r="J336" s="14"/>
    </row>
    <row r="337" spans="1:10">
      <c r="A337" s="14">
        <f>IF(B337="","",COUNTA($B$4:B337))</f>
        <v>334</v>
      </c>
      <c r="B337" s="14" t="s">
        <v>1498</v>
      </c>
      <c r="C337" s="14" t="s">
        <v>205</v>
      </c>
      <c r="D337" s="14" t="s">
        <v>206</v>
      </c>
      <c r="E337" s="14" t="s">
        <v>205</v>
      </c>
      <c r="F337" s="14" t="s">
        <v>155</v>
      </c>
      <c r="G337" s="14" t="s">
        <v>156</v>
      </c>
      <c r="H337" s="14">
        <v>4</v>
      </c>
      <c r="I337" s="14"/>
      <c r="J337" s="14"/>
    </row>
    <row r="338" spans="1:10">
      <c r="A338" s="14">
        <f>IF(B338="","",COUNTA($B$4:B338))</f>
        <v>335</v>
      </c>
      <c r="B338" s="14" t="s">
        <v>1498</v>
      </c>
      <c r="C338" s="14" t="s">
        <v>208</v>
      </c>
      <c r="D338" s="14" t="s">
        <v>209</v>
      </c>
      <c r="E338" s="14" t="s">
        <v>208</v>
      </c>
      <c r="F338" s="14" t="s">
        <v>155</v>
      </c>
      <c r="G338" s="14" t="s">
        <v>156</v>
      </c>
      <c r="H338" s="14">
        <v>5</v>
      </c>
      <c r="I338" s="14"/>
      <c r="J338" s="14"/>
    </row>
    <row r="339" spans="1:10">
      <c r="A339" s="14">
        <f>IF(B339="","",COUNTA($B$4:B339))</f>
        <v>336</v>
      </c>
      <c r="B339" s="14" t="s">
        <v>1498</v>
      </c>
      <c r="C339" s="14" t="s">
        <v>664</v>
      </c>
      <c r="D339" s="14" t="s">
        <v>1458</v>
      </c>
      <c r="E339" s="14" t="s">
        <v>664</v>
      </c>
      <c r="F339" s="14" t="s">
        <v>150</v>
      </c>
      <c r="G339" s="14" t="s">
        <v>151</v>
      </c>
      <c r="H339" s="14">
        <v>4</v>
      </c>
      <c r="I339" s="14"/>
      <c r="J339" s="14"/>
    </row>
    <row r="340" spans="1:10">
      <c r="A340" s="14">
        <f>IF(B340="","",COUNTA($B$4:B340))</f>
        <v>337</v>
      </c>
      <c r="B340" s="14" t="s">
        <v>1498</v>
      </c>
      <c r="C340" s="14" t="s">
        <v>716</v>
      </c>
      <c r="D340" s="14" t="s">
        <v>1461</v>
      </c>
      <c r="E340" s="14" t="s">
        <v>716</v>
      </c>
      <c r="F340" s="14" t="s">
        <v>150</v>
      </c>
      <c r="G340" s="14" t="s">
        <v>151</v>
      </c>
      <c r="H340" s="14">
        <v>4</v>
      </c>
      <c r="I340" s="14"/>
      <c r="J340" s="14"/>
    </row>
    <row r="341" spans="1:10">
      <c r="A341" s="14">
        <f>IF(B341="","",COUNTA($B$4:B341))</f>
        <v>338</v>
      </c>
      <c r="B341" s="14" t="s">
        <v>1498</v>
      </c>
      <c r="C341" s="14" t="s">
        <v>318</v>
      </c>
      <c r="D341" s="14" t="s">
        <v>319</v>
      </c>
      <c r="E341" s="14" t="s">
        <v>318</v>
      </c>
      <c r="F341" s="14" t="s">
        <v>155</v>
      </c>
      <c r="G341" s="14" t="s">
        <v>156</v>
      </c>
      <c r="H341" s="14">
        <v>5</v>
      </c>
      <c r="I341" s="14"/>
      <c r="J341" s="14"/>
    </row>
    <row r="342" spans="1:10">
      <c r="A342" s="14">
        <f>IF(B342="","",COUNTA($B$4:B342))</f>
        <v>339</v>
      </c>
      <c r="B342" s="14" t="s">
        <v>1498</v>
      </c>
      <c r="C342" s="14" t="s">
        <v>211</v>
      </c>
      <c r="D342" s="14" t="s">
        <v>212</v>
      </c>
      <c r="E342" s="14" t="s">
        <v>211</v>
      </c>
      <c r="F342" s="14" t="s">
        <v>155</v>
      </c>
      <c r="G342" s="14" t="s">
        <v>156</v>
      </c>
      <c r="H342" s="14">
        <v>5</v>
      </c>
      <c r="I342" s="14"/>
      <c r="J342" s="14"/>
    </row>
    <row r="343" spans="1:10">
      <c r="A343" s="14">
        <f>IF(B343="","",COUNTA($B$4:B343))</f>
        <v>340</v>
      </c>
      <c r="B343" s="14" t="s">
        <v>1498</v>
      </c>
      <c r="C343" s="14" t="s">
        <v>365</v>
      </c>
      <c r="D343" s="14" t="s">
        <v>366</v>
      </c>
      <c r="E343" s="14" t="s">
        <v>365</v>
      </c>
      <c r="F343" s="14" t="s">
        <v>150</v>
      </c>
      <c r="G343" s="14" t="s">
        <v>151</v>
      </c>
      <c r="H343" s="14">
        <v>30</v>
      </c>
      <c r="I343" s="14"/>
      <c r="J343" s="14"/>
    </row>
    <row r="344" spans="1:10">
      <c r="A344" s="14">
        <f>IF(B344="","",COUNTA($B$4:B344))</f>
        <v>341</v>
      </c>
      <c r="B344" s="14" t="s">
        <v>1498</v>
      </c>
      <c r="C344" s="14" t="s">
        <v>320</v>
      </c>
      <c r="D344" s="14" t="s">
        <v>321</v>
      </c>
      <c r="E344" s="14" t="s">
        <v>320</v>
      </c>
      <c r="F344" s="14" t="s">
        <v>155</v>
      </c>
      <c r="G344" s="14" t="s">
        <v>156</v>
      </c>
      <c r="H344" s="14">
        <v>5</v>
      </c>
      <c r="I344" s="14"/>
      <c r="J344" s="14"/>
    </row>
    <row r="345" spans="1:10">
      <c r="A345" s="14">
        <f>IF(B345="","",COUNTA($B$4:B345))</f>
        <v>342</v>
      </c>
      <c r="B345" s="14" t="s">
        <v>1498</v>
      </c>
      <c r="C345" s="14" t="s">
        <v>1499</v>
      </c>
      <c r="D345" s="14" t="s">
        <v>368</v>
      </c>
      <c r="E345" s="14" t="s">
        <v>1499</v>
      </c>
      <c r="F345" s="14" t="s">
        <v>150</v>
      </c>
      <c r="G345" s="14" t="s">
        <v>151</v>
      </c>
      <c r="H345" s="14">
        <v>30</v>
      </c>
      <c r="I345" s="14"/>
      <c r="J345" s="14"/>
    </row>
    <row r="346" spans="1:10">
      <c r="A346" s="14">
        <f>IF(B346="","",COUNTA($B$4:B346))</f>
        <v>343</v>
      </c>
      <c r="B346" s="14" t="s">
        <v>1498</v>
      </c>
      <c r="C346" s="14" t="s">
        <v>1500</v>
      </c>
      <c r="D346" s="14" t="s">
        <v>370</v>
      </c>
      <c r="E346" s="14" t="s">
        <v>1500</v>
      </c>
      <c r="F346" s="14" t="s">
        <v>155</v>
      </c>
      <c r="G346" s="14" t="s">
        <v>156</v>
      </c>
      <c r="H346" s="14">
        <v>5</v>
      </c>
      <c r="I346" s="14"/>
      <c r="J346" s="14"/>
    </row>
    <row r="347" spans="1:10">
      <c r="A347" s="14">
        <f>IF(B347="","",COUNTA($B$4:B347))</f>
        <v>344</v>
      </c>
      <c r="B347" s="14" t="s">
        <v>1498</v>
      </c>
      <c r="C347" s="14" t="s">
        <v>1501</v>
      </c>
      <c r="D347" s="14" t="s">
        <v>372</v>
      </c>
      <c r="E347" s="14" t="s">
        <v>1501</v>
      </c>
      <c r="F347" s="14" t="s">
        <v>150</v>
      </c>
      <c r="G347" s="14" t="s">
        <v>151</v>
      </c>
      <c r="H347" s="14">
        <v>30</v>
      </c>
      <c r="I347" s="14"/>
      <c r="J347" s="14"/>
    </row>
    <row r="348" spans="1:10">
      <c r="A348" s="14">
        <f>IF(B348="","",COUNTA($B$4:B348))</f>
        <v>345</v>
      </c>
      <c r="B348" s="14" t="s">
        <v>1498</v>
      </c>
      <c r="C348" s="14" t="s">
        <v>228</v>
      </c>
      <c r="D348" s="14" t="s">
        <v>229</v>
      </c>
      <c r="E348" s="14" t="s">
        <v>228</v>
      </c>
      <c r="F348" s="14" t="s">
        <v>150</v>
      </c>
      <c r="G348" s="14" t="s">
        <v>151</v>
      </c>
      <c r="H348" s="14">
        <v>1000</v>
      </c>
      <c r="I348" s="14"/>
      <c r="J348" s="14"/>
    </row>
    <row r="349" spans="1:10">
      <c r="A349" s="14">
        <f>IF(B349="","",COUNTA($B$4:B349))</f>
        <v>346</v>
      </c>
      <c r="B349" s="14" t="s">
        <v>1498</v>
      </c>
      <c r="C349" s="14" t="s">
        <v>373</v>
      </c>
      <c r="D349" s="14" t="s">
        <v>374</v>
      </c>
      <c r="E349" s="14" t="s">
        <v>373</v>
      </c>
      <c r="F349" s="14" t="s">
        <v>155</v>
      </c>
      <c r="G349" s="14" t="s">
        <v>156</v>
      </c>
      <c r="H349" s="14">
        <v>3</v>
      </c>
      <c r="I349" s="14"/>
      <c r="J349" s="14"/>
    </row>
    <row r="350" spans="1:10">
      <c r="A350" s="14">
        <f>IF(B350="","",COUNTA($B$4:B350))</f>
        <v>347</v>
      </c>
      <c r="B350" s="14" t="s">
        <v>1498</v>
      </c>
      <c r="C350" s="14" t="s">
        <v>323</v>
      </c>
      <c r="D350" s="14" t="s">
        <v>324</v>
      </c>
      <c r="E350" s="14" t="s">
        <v>323</v>
      </c>
      <c r="F350" s="14" t="s">
        <v>150</v>
      </c>
      <c r="G350" s="14" t="s">
        <v>151</v>
      </c>
      <c r="H350" s="14">
        <v>5</v>
      </c>
      <c r="I350" s="14"/>
      <c r="J350" s="14"/>
    </row>
    <row r="351" spans="1:10">
      <c r="A351" s="14">
        <f>IF(B351="","",COUNTA($B$4:B351))</f>
        <v>348</v>
      </c>
      <c r="B351" s="14" t="s">
        <v>1498</v>
      </c>
      <c r="C351" s="14" t="s">
        <v>325</v>
      </c>
      <c r="D351" s="14" t="s">
        <v>326</v>
      </c>
      <c r="E351" s="14" t="s">
        <v>325</v>
      </c>
      <c r="F351" s="14" t="s">
        <v>150</v>
      </c>
      <c r="G351" s="14" t="s">
        <v>151</v>
      </c>
      <c r="H351" s="14">
        <v>20</v>
      </c>
      <c r="I351" s="14"/>
      <c r="J351" s="14"/>
    </row>
    <row r="352" spans="1:10">
      <c r="A352" s="14">
        <f>IF(B352="","",COUNTA($B$4:B352))</f>
        <v>349</v>
      </c>
      <c r="B352" s="14" t="s">
        <v>1498</v>
      </c>
      <c r="C352" s="14" t="s">
        <v>327</v>
      </c>
      <c r="D352" s="14" t="s">
        <v>328</v>
      </c>
      <c r="E352" s="14" t="s">
        <v>327</v>
      </c>
      <c r="F352" s="14" t="s">
        <v>150</v>
      </c>
      <c r="G352" s="14" t="s">
        <v>151</v>
      </c>
      <c r="H352" s="14">
        <v>30</v>
      </c>
      <c r="I352" s="14"/>
      <c r="J352" s="14"/>
    </row>
    <row r="353" spans="1:10">
      <c r="A353" s="14">
        <f>IF(B353="","",COUNTA($B$4:B353))</f>
        <v>350</v>
      </c>
      <c r="B353" s="14" t="s">
        <v>1498</v>
      </c>
      <c r="C353" s="14" t="s">
        <v>329</v>
      </c>
      <c r="D353" s="14" t="s">
        <v>330</v>
      </c>
      <c r="E353" s="14" t="s">
        <v>329</v>
      </c>
      <c r="F353" s="14" t="s">
        <v>155</v>
      </c>
      <c r="G353" s="14" t="s">
        <v>156</v>
      </c>
      <c r="H353" s="14">
        <v>5</v>
      </c>
      <c r="I353" s="14">
        <v>2</v>
      </c>
      <c r="J353" s="14"/>
    </row>
    <row r="354" spans="1:10">
      <c r="A354" s="14">
        <f>IF(B354="","",COUNTA($B$4:B354))</f>
        <v>351</v>
      </c>
      <c r="B354" s="14" t="s">
        <v>1498</v>
      </c>
      <c r="C354" s="14" t="s">
        <v>331</v>
      </c>
      <c r="D354" s="14" t="s">
        <v>332</v>
      </c>
      <c r="E354" s="14" t="s">
        <v>331</v>
      </c>
      <c r="F354" s="14" t="s">
        <v>155</v>
      </c>
      <c r="G354" s="14" t="s">
        <v>156</v>
      </c>
      <c r="H354" s="14">
        <v>4</v>
      </c>
      <c r="I354" s="14"/>
      <c r="J354" s="14"/>
    </row>
    <row r="355" spans="1:10">
      <c r="A355" s="14">
        <f>IF(B355="","",COUNTA($B$4:B355))</f>
        <v>352</v>
      </c>
      <c r="B355" s="14" t="s">
        <v>1498</v>
      </c>
      <c r="C355" s="14" t="s">
        <v>333</v>
      </c>
      <c r="D355" s="14" t="s">
        <v>334</v>
      </c>
      <c r="E355" s="14" t="s">
        <v>333</v>
      </c>
      <c r="F355" s="14" t="s">
        <v>155</v>
      </c>
      <c r="G355" s="14" t="s">
        <v>156</v>
      </c>
      <c r="H355" s="14">
        <v>5</v>
      </c>
      <c r="I355" s="14"/>
      <c r="J355" s="14"/>
    </row>
    <row r="356" spans="1:10">
      <c r="A356" s="14">
        <f>IF(B356="","",COUNTA($B$4:B356))</f>
        <v>353</v>
      </c>
      <c r="B356" s="14" t="s">
        <v>1498</v>
      </c>
      <c r="C356" s="14" t="s">
        <v>335</v>
      </c>
      <c r="D356" s="14" t="s">
        <v>336</v>
      </c>
      <c r="E356" s="14" t="s">
        <v>335</v>
      </c>
      <c r="F356" s="14" t="s">
        <v>155</v>
      </c>
      <c r="G356" s="14" t="s">
        <v>156</v>
      </c>
      <c r="H356" s="14">
        <v>5</v>
      </c>
      <c r="I356" s="14"/>
      <c r="J356" s="14"/>
    </row>
    <row r="357" spans="1:10">
      <c r="A357" s="14">
        <f>IF(B357="","",COUNTA($B$4:B357))</f>
        <v>354</v>
      </c>
      <c r="B357" s="14" t="s">
        <v>1498</v>
      </c>
      <c r="C357" s="14" t="s">
        <v>337</v>
      </c>
      <c r="D357" s="14" t="s">
        <v>338</v>
      </c>
      <c r="E357" s="14" t="s">
        <v>337</v>
      </c>
      <c r="F357" s="14" t="s">
        <v>150</v>
      </c>
      <c r="G357" s="14" t="s">
        <v>151</v>
      </c>
      <c r="H357" s="14">
        <v>1000</v>
      </c>
      <c r="I357" s="14"/>
      <c r="J357" s="14"/>
    </row>
    <row r="358" spans="1:10">
      <c r="A358" s="14">
        <f>IF(B358="","",COUNTA($B$4:B358))</f>
        <v>355</v>
      </c>
      <c r="B358" s="14" t="s">
        <v>1498</v>
      </c>
      <c r="C358" s="14" t="s">
        <v>296</v>
      </c>
      <c r="D358" s="14" t="s">
        <v>297</v>
      </c>
      <c r="E358" s="14" t="s">
        <v>296</v>
      </c>
      <c r="F358" s="14" t="s">
        <v>155</v>
      </c>
      <c r="G358" s="14" t="s">
        <v>156</v>
      </c>
      <c r="H358" s="14">
        <v>5</v>
      </c>
      <c r="I358" s="14"/>
      <c r="J358" s="14"/>
    </row>
    <row r="359" spans="1:10">
      <c r="A359" s="14">
        <f>IF(B359="","",COUNTA($B$4:B359))</f>
        <v>356</v>
      </c>
      <c r="B359" s="14" t="s">
        <v>1498</v>
      </c>
      <c r="C359" s="14" t="s">
        <v>341</v>
      </c>
      <c r="D359" s="14" t="s">
        <v>342</v>
      </c>
      <c r="E359" s="14" t="s">
        <v>341</v>
      </c>
      <c r="F359" s="14" t="s">
        <v>155</v>
      </c>
      <c r="G359" s="14" t="s">
        <v>156</v>
      </c>
      <c r="H359" s="14">
        <v>1</v>
      </c>
      <c r="I359" s="14"/>
      <c r="J359" s="14"/>
    </row>
    <row r="360" spans="1:10">
      <c r="A360" s="14">
        <f>IF(B360="","",COUNTA($B$4:B360))</f>
        <v>357</v>
      </c>
      <c r="B360" s="14" t="s">
        <v>1498</v>
      </c>
      <c r="C360" s="14" t="s">
        <v>344</v>
      </c>
      <c r="D360" s="14" t="s">
        <v>345</v>
      </c>
      <c r="E360" s="14" t="s">
        <v>344</v>
      </c>
      <c r="F360" s="14" t="s">
        <v>155</v>
      </c>
      <c r="G360" s="14" t="s">
        <v>156</v>
      </c>
      <c r="H360" s="14">
        <v>1</v>
      </c>
      <c r="I360" s="14"/>
      <c r="J360" s="14"/>
    </row>
    <row r="361" spans="1:10">
      <c r="A361" s="14">
        <f>IF(B361="","",COUNTA($B$4:B361))</f>
        <v>358</v>
      </c>
      <c r="B361" s="14" t="s">
        <v>1498</v>
      </c>
      <c r="C361" s="14" t="s">
        <v>375</v>
      </c>
      <c r="D361" s="14" t="s">
        <v>376</v>
      </c>
      <c r="E361" s="14" t="s">
        <v>375</v>
      </c>
      <c r="F361" s="14" t="s">
        <v>169</v>
      </c>
      <c r="G361" s="14" t="s">
        <v>170</v>
      </c>
      <c r="H361" s="14"/>
      <c r="I361" s="14"/>
      <c r="J361" s="14"/>
    </row>
    <row r="362" spans="1:10">
      <c r="A362" s="14">
        <f>IF(B362="","",COUNTA($B$4:B362))</f>
        <v>359</v>
      </c>
      <c r="B362" s="14" t="s">
        <v>1498</v>
      </c>
      <c r="C362" s="14" t="s">
        <v>377</v>
      </c>
      <c r="D362" s="14" t="s">
        <v>378</v>
      </c>
      <c r="E362" s="14" t="s">
        <v>377</v>
      </c>
      <c r="F362" s="14" t="s">
        <v>155</v>
      </c>
      <c r="G362" s="14" t="s">
        <v>156</v>
      </c>
      <c r="H362" s="14">
        <v>1</v>
      </c>
      <c r="I362" s="14"/>
      <c r="J362" s="14"/>
    </row>
    <row r="363" spans="1:10">
      <c r="A363" s="14">
        <f>IF(B363="","",COUNTA($B$4:B363))</f>
        <v>360</v>
      </c>
      <c r="B363" s="14" t="s">
        <v>1498</v>
      </c>
      <c r="C363" s="14" t="s">
        <v>379</v>
      </c>
      <c r="D363" s="14" t="s">
        <v>380</v>
      </c>
      <c r="E363" s="14" t="s">
        <v>379</v>
      </c>
      <c r="F363" s="14" t="s">
        <v>169</v>
      </c>
      <c r="G363" s="14" t="s">
        <v>170</v>
      </c>
      <c r="H363" s="14"/>
      <c r="I363" s="14"/>
      <c r="J363" s="14"/>
    </row>
    <row r="364" spans="1:10">
      <c r="A364" s="14">
        <f>IF(B364="","",COUNTA($B$4:B364))</f>
        <v>361</v>
      </c>
      <c r="B364" s="14" t="s">
        <v>1498</v>
      </c>
      <c r="C364" s="14" t="s">
        <v>381</v>
      </c>
      <c r="D364" s="14" t="s">
        <v>382</v>
      </c>
      <c r="E364" s="14" t="s">
        <v>381</v>
      </c>
      <c r="F364" s="14" t="s">
        <v>169</v>
      </c>
      <c r="G364" s="14" t="s">
        <v>170</v>
      </c>
      <c r="H364" s="14"/>
      <c r="I364" s="14"/>
      <c r="J364" s="14"/>
    </row>
    <row r="365" spans="1:10">
      <c r="A365" s="14">
        <f>IF(B365="","",COUNTA($B$4:B365))</f>
        <v>362</v>
      </c>
      <c r="B365" s="14" t="s">
        <v>1498</v>
      </c>
      <c r="C365" s="14" t="s">
        <v>383</v>
      </c>
      <c r="D365" s="14" t="s">
        <v>384</v>
      </c>
      <c r="E365" s="14" t="s">
        <v>383</v>
      </c>
      <c r="F365" s="14" t="s">
        <v>169</v>
      </c>
      <c r="G365" s="14" t="s">
        <v>170</v>
      </c>
      <c r="H365" s="14"/>
      <c r="I365" s="14"/>
      <c r="J365" s="14"/>
    </row>
    <row r="366" spans="1:10">
      <c r="A366" s="14">
        <f>IF(B366="","",COUNTA($B$4:B366))</f>
        <v>363</v>
      </c>
      <c r="B366" s="14" t="s">
        <v>1498</v>
      </c>
      <c r="C366" s="14" t="s">
        <v>385</v>
      </c>
      <c r="D366" s="14" t="s">
        <v>386</v>
      </c>
      <c r="E366" s="14" t="s">
        <v>385</v>
      </c>
      <c r="F366" s="14" t="s">
        <v>169</v>
      </c>
      <c r="G366" s="14" t="s">
        <v>170</v>
      </c>
      <c r="H366" s="14"/>
      <c r="I366" s="14"/>
      <c r="J366" s="14"/>
    </row>
    <row r="367" spans="1:10">
      <c r="A367" s="14">
        <f>IF(B367="","",COUNTA($B$4:B367))</f>
        <v>364</v>
      </c>
      <c r="B367" s="14" t="s">
        <v>1498</v>
      </c>
      <c r="C367" s="14" t="s">
        <v>387</v>
      </c>
      <c r="D367" s="14" t="s">
        <v>388</v>
      </c>
      <c r="E367" s="14" t="s">
        <v>387</v>
      </c>
      <c r="F367" s="14" t="s">
        <v>169</v>
      </c>
      <c r="G367" s="14" t="s">
        <v>170</v>
      </c>
      <c r="H367" s="14"/>
      <c r="I367" s="14"/>
      <c r="J367" s="14"/>
    </row>
    <row r="368" spans="1:10">
      <c r="A368" s="14">
        <f>IF(B368="","",COUNTA($B$4:B368))</f>
        <v>365</v>
      </c>
      <c r="B368" s="14" t="s">
        <v>1498</v>
      </c>
      <c r="C368" s="14" t="s">
        <v>389</v>
      </c>
      <c r="D368" s="14" t="s">
        <v>390</v>
      </c>
      <c r="E368" s="14" t="s">
        <v>389</v>
      </c>
      <c r="F368" s="14" t="s">
        <v>169</v>
      </c>
      <c r="G368" s="14" t="s">
        <v>170</v>
      </c>
      <c r="H368" s="14"/>
      <c r="I368" s="14"/>
      <c r="J368" s="14"/>
    </row>
    <row r="369" spans="1:10">
      <c r="A369" s="14">
        <f>IF(B369="","",COUNTA($B$4:B369))</f>
        <v>366</v>
      </c>
      <c r="B369" s="14" t="s">
        <v>1498</v>
      </c>
      <c r="C369" s="14" t="s">
        <v>239</v>
      </c>
      <c r="D369" s="14" t="s">
        <v>240</v>
      </c>
      <c r="E369" s="14" t="s">
        <v>239</v>
      </c>
      <c r="F369" s="14" t="s">
        <v>169</v>
      </c>
      <c r="G369" s="14" t="s">
        <v>170</v>
      </c>
      <c r="H369" s="14"/>
      <c r="I369" s="14"/>
      <c r="J369" s="14"/>
    </row>
    <row r="370" spans="1:10">
      <c r="A370" s="14">
        <f>IF(B370="","",COUNTA($B$4:B370))</f>
        <v>367</v>
      </c>
      <c r="B370" s="14" t="s">
        <v>1498</v>
      </c>
      <c r="C370" s="14" t="s">
        <v>253</v>
      </c>
      <c r="D370" s="14" t="s">
        <v>254</v>
      </c>
      <c r="E370" s="14" t="s">
        <v>253</v>
      </c>
      <c r="F370" s="14" t="s">
        <v>150</v>
      </c>
      <c r="G370" s="14" t="s">
        <v>151</v>
      </c>
      <c r="H370" s="14">
        <v>10</v>
      </c>
      <c r="I370" s="14"/>
      <c r="J370" s="14"/>
    </row>
    <row r="371" spans="1:10">
      <c r="A371" s="14">
        <f>IF(B371="","",COUNTA($B$4:B371))</f>
        <v>368</v>
      </c>
      <c r="B371" s="14" t="s">
        <v>1498</v>
      </c>
      <c r="C371" s="14" t="s">
        <v>255</v>
      </c>
      <c r="D371" s="14" t="s">
        <v>256</v>
      </c>
      <c r="E371" s="14" t="s">
        <v>255</v>
      </c>
      <c r="F371" s="14" t="s">
        <v>150</v>
      </c>
      <c r="G371" s="14" t="s">
        <v>151</v>
      </c>
      <c r="H371" s="14">
        <v>10</v>
      </c>
      <c r="I371" s="14"/>
      <c r="J371" s="14"/>
    </row>
    <row r="372" spans="1:10">
      <c r="A372" s="14">
        <f>IF(B372="","",COUNTA($B$4:B372))</f>
        <v>369</v>
      </c>
      <c r="B372" s="14" t="s">
        <v>1498</v>
      </c>
      <c r="C372" s="14" t="s">
        <v>257</v>
      </c>
      <c r="D372" s="14" t="s">
        <v>258</v>
      </c>
      <c r="E372" s="14" t="s">
        <v>257</v>
      </c>
      <c r="F372" s="14" t="s">
        <v>169</v>
      </c>
      <c r="G372" s="14" t="s">
        <v>243</v>
      </c>
      <c r="H372" s="14"/>
      <c r="I372" s="14"/>
      <c r="J372" s="14"/>
    </row>
    <row r="373" spans="1:10">
      <c r="A373" s="14">
        <f>IF(B373="","",COUNTA($B$4:B373))</f>
        <v>370</v>
      </c>
      <c r="B373" s="14" t="s">
        <v>1498</v>
      </c>
      <c r="C373" s="14" t="s">
        <v>259</v>
      </c>
      <c r="D373" s="14" t="s">
        <v>260</v>
      </c>
      <c r="E373" s="14" t="s">
        <v>259</v>
      </c>
      <c r="F373" s="14" t="s">
        <v>150</v>
      </c>
      <c r="G373" s="14" t="s">
        <v>151</v>
      </c>
      <c r="H373" s="14">
        <v>10</v>
      </c>
      <c r="I373" s="14"/>
      <c r="J373" s="14"/>
    </row>
    <row r="374" spans="1:10">
      <c r="A374" s="14">
        <f>IF(B374="","",COUNTA($B$4:B374))</f>
        <v>371</v>
      </c>
      <c r="B374" s="14" t="s">
        <v>1498</v>
      </c>
      <c r="C374" s="14" t="s">
        <v>261</v>
      </c>
      <c r="D374" s="14" t="s">
        <v>262</v>
      </c>
      <c r="E374" s="14" t="s">
        <v>261</v>
      </c>
      <c r="F374" s="14" t="s">
        <v>150</v>
      </c>
      <c r="G374" s="14" t="s">
        <v>151</v>
      </c>
      <c r="H374" s="14">
        <v>10</v>
      </c>
      <c r="I374" s="14"/>
      <c r="J374" s="14"/>
    </row>
    <row r="375" spans="1:10">
      <c r="A375" s="14">
        <f>IF(B375="","",COUNTA($B$4:B375))</f>
        <v>372</v>
      </c>
      <c r="B375" s="14" t="s">
        <v>1498</v>
      </c>
      <c r="C375" s="14" t="s">
        <v>263</v>
      </c>
      <c r="D375" s="14" t="s">
        <v>264</v>
      </c>
      <c r="E375" s="14" t="s">
        <v>263</v>
      </c>
      <c r="F375" s="14" t="s">
        <v>169</v>
      </c>
      <c r="G375" s="14" t="s">
        <v>243</v>
      </c>
      <c r="H375" s="14"/>
      <c r="I375" s="14"/>
      <c r="J375" s="14"/>
    </row>
    <row r="376" spans="1:10">
      <c r="A376" s="14">
        <f>IF(B376="","",COUNTA($B$4:B376))</f>
        <v>373</v>
      </c>
      <c r="B376" s="14" t="s">
        <v>1502</v>
      </c>
      <c r="C376" s="14" t="s">
        <v>148</v>
      </c>
      <c r="D376" s="14" t="s">
        <v>149</v>
      </c>
      <c r="E376" s="14" t="s">
        <v>148</v>
      </c>
      <c r="F376" s="14" t="s">
        <v>150</v>
      </c>
      <c r="G376" s="14" t="s">
        <v>151</v>
      </c>
      <c r="H376" s="14">
        <v>15</v>
      </c>
      <c r="I376" s="14"/>
      <c r="J376" s="14"/>
    </row>
    <row r="377" spans="1:10">
      <c r="A377" s="14">
        <f>IF(B377="","",COUNTA($B$4:B377))</f>
        <v>374</v>
      </c>
      <c r="B377" s="14" t="s">
        <v>1502</v>
      </c>
      <c r="C377" s="14" t="s">
        <v>159</v>
      </c>
      <c r="D377" s="14" t="s">
        <v>160</v>
      </c>
      <c r="E377" s="14" t="s">
        <v>159</v>
      </c>
      <c r="F377" s="14" t="s">
        <v>150</v>
      </c>
      <c r="G377" s="14" t="s">
        <v>151</v>
      </c>
      <c r="H377" s="14">
        <v>4</v>
      </c>
      <c r="I377" s="14"/>
      <c r="J377" s="14"/>
    </row>
    <row r="378" spans="1:10">
      <c r="A378" s="14">
        <f>IF(B378="","",COUNTA($B$4:B378))</f>
        <v>375</v>
      </c>
      <c r="B378" s="14" t="s">
        <v>1502</v>
      </c>
      <c r="C378" s="14" t="s">
        <v>162</v>
      </c>
      <c r="D378" s="14" t="s">
        <v>163</v>
      </c>
      <c r="E378" s="14" t="s">
        <v>164</v>
      </c>
      <c r="F378" s="14" t="s">
        <v>150</v>
      </c>
      <c r="G378" s="14" t="s">
        <v>151</v>
      </c>
      <c r="H378" s="14">
        <v>4</v>
      </c>
      <c r="I378" s="14"/>
      <c r="J378" s="14"/>
    </row>
    <row r="379" spans="1:10">
      <c r="A379" s="14">
        <f>IF(B379="","",COUNTA($B$4:B379))</f>
        <v>376</v>
      </c>
      <c r="B379" s="14" t="s">
        <v>1502</v>
      </c>
      <c r="C379" s="14" t="s">
        <v>193</v>
      </c>
      <c r="D379" s="14" t="s">
        <v>194</v>
      </c>
      <c r="E379" s="14" t="s">
        <v>193</v>
      </c>
      <c r="F379" s="14" t="s">
        <v>150</v>
      </c>
      <c r="G379" s="14" t="s">
        <v>151</v>
      </c>
      <c r="H379" s="14">
        <v>5</v>
      </c>
      <c r="I379" s="14"/>
      <c r="J379" s="14"/>
    </row>
    <row r="380" spans="1:10">
      <c r="A380" s="14">
        <f>IF(B380="","",COUNTA($B$4:B380))</f>
        <v>377</v>
      </c>
      <c r="B380" s="14" t="s">
        <v>1502</v>
      </c>
      <c r="C380" s="14" t="s">
        <v>195</v>
      </c>
      <c r="D380" s="14" t="s">
        <v>196</v>
      </c>
      <c r="E380" s="14" t="s">
        <v>195</v>
      </c>
      <c r="F380" s="14" t="s">
        <v>150</v>
      </c>
      <c r="G380" s="14" t="s">
        <v>151</v>
      </c>
      <c r="H380" s="14">
        <v>30</v>
      </c>
      <c r="I380" s="14"/>
      <c r="J380" s="14"/>
    </row>
    <row r="381" spans="1:10">
      <c r="A381" s="14">
        <f>IF(B381="","",COUNTA($B$4:B381))</f>
        <v>378</v>
      </c>
      <c r="B381" s="14" t="s">
        <v>1502</v>
      </c>
      <c r="C381" s="14" t="s">
        <v>197</v>
      </c>
      <c r="D381" s="14" t="s">
        <v>198</v>
      </c>
      <c r="E381" s="14" t="s">
        <v>197</v>
      </c>
      <c r="F381" s="14" t="s">
        <v>150</v>
      </c>
      <c r="G381" s="14" t="s">
        <v>151</v>
      </c>
      <c r="H381" s="14">
        <v>5</v>
      </c>
      <c r="I381" s="14"/>
      <c r="J381" s="14"/>
    </row>
    <row r="382" spans="1:10">
      <c r="A382" s="14">
        <f>IF(B382="","",COUNTA($B$4:B382))</f>
        <v>379</v>
      </c>
      <c r="B382" s="14" t="s">
        <v>1502</v>
      </c>
      <c r="C382" s="14" t="s">
        <v>199</v>
      </c>
      <c r="D382" s="14" t="s">
        <v>200</v>
      </c>
      <c r="E382" s="14" t="s">
        <v>199</v>
      </c>
      <c r="F382" s="14" t="s">
        <v>150</v>
      </c>
      <c r="G382" s="14" t="s">
        <v>151</v>
      </c>
      <c r="H382" s="14">
        <v>20</v>
      </c>
      <c r="I382" s="14"/>
      <c r="J382" s="14"/>
    </row>
    <row r="383" spans="1:10">
      <c r="A383" s="14">
        <f>IF(B383="","",COUNTA($B$4:B383))</f>
        <v>380</v>
      </c>
      <c r="B383" s="14" t="s">
        <v>1502</v>
      </c>
      <c r="C383" s="14" t="s">
        <v>201</v>
      </c>
      <c r="D383" s="14" t="s">
        <v>202</v>
      </c>
      <c r="E383" s="14" t="s">
        <v>201</v>
      </c>
      <c r="F383" s="14" t="s">
        <v>150</v>
      </c>
      <c r="G383" s="14" t="s">
        <v>151</v>
      </c>
      <c r="H383" s="14">
        <v>30</v>
      </c>
      <c r="I383" s="14"/>
      <c r="J383" s="14"/>
    </row>
    <row r="384" spans="1:10">
      <c r="A384" s="14">
        <f>IF(B384="","",COUNTA($B$4:B384))</f>
        <v>381</v>
      </c>
      <c r="B384" s="14" t="s">
        <v>1502</v>
      </c>
      <c r="C384" s="14" t="s">
        <v>203</v>
      </c>
      <c r="D384" s="14" t="s">
        <v>204</v>
      </c>
      <c r="E384" s="14" t="s">
        <v>203</v>
      </c>
      <c r="F384" s="14" t="s">
        <v>155</v>
      </c>
      <c r="G384" s="14" t="s">
        <v>156</v>
      </c>
      <c r="H384" s="14">
        <v>5</v>
      </c>
      <c r="I384" s="14">
        <v>2</v>
      </c>
      <c r="J384" s="14"/>
    </row>
    <row r="385" spans="1:10">
      <c r="A385" s="14">
        <f>IF(B385="","",COUNTA($B$4:B385))</f>
        <v>382</v>
      </c>
      <c r="B385" s="14" t="s">
        <v>1502</v>
      </c>
      <c r="C385" s="14" t="s">
        <v>205</v>
      </c>
      <c r="D385" s="14" t="s">
        <v>206</v>
      </c>
      <c r="E385" s="14" t="s">
        <v>205</v>
      </c>
      <c r="F385" s="14" t="s">
        <v>155</v>
      </c>
      <c r="G385" s="14" t="s">
        <v>156</v>
      </c>
      <c r="H385" s="14">
        <v>4</v>
      </c>
      <c r="I385" s="14"/>
      <c r="J385" s="14"/>
    </row>
    <row r="386" spans="1:10">
      <c r="A386" s="14">
        <f>IF(B386="","",COUNTA($B$4:B386))</f>
        <v>383</v>
      </c>
      <c r="B386" s="14" t="s">
        <v>1502</v>
      </c>
      <c r="C386" s="14" t="s">
        <v>208</v>
      </c>
      <c r="D386" s="14" t="s">
        <v>209</v>
      </c>
      <c r="E386" s="14" t="s">
        <v>208</v>
      </c>
      <c r="F386" s="14" t="s">
        <v>155</v>
      </c>
      <c r="G386" s="14" t="s">
        <v>156</v>
      </c>
      <c r="H386" s="14">
        <v>5</v>
      </c>
      <c r="I386" s="14"/>
      <c r="J386" s="14"/>
    </row>
    <row r="387" spans="1:10">
      <c r="A387" s="14">
        <f>IF(B387="","",COUNTA($B$4:B387))</f>
        <v>384</v>
      </c>
      <c r="B387" s="14" t="s">
        <v>1502</v>
      </c>
      <c r="C387" s="14" t="s">
        <v>228</v>
      </c>
      <c r="D387" s="14" t="s">
        <v>229</v>
      </c>
      <c r="E387" s="14" t="s">
        <v>228</v>
      </c>
      <c r="F387" s="14" t="s">
        <v>150</v>
      </c>
      <c r="G387" s="14" t="s">
        <v>151</v>
      </c>
      <c r="H387" s="14">
        <v>1000</v>
      </c>
      <c r="I387" s="14"/>
      <c r="J387" s="14"/>
    </row>
    <row r="388" spans="1:10">
      <c r="A388" s="14">
        <f>IF(B388="","",COUNTA($B$4:B388))</f>
        <v>385</v>
      </c>
      <c r="B388" s="14" t="s">
        <v>1502</v>
      </c>
      <c r="C388" s="14" t="s">
        <v>1503</v>
      </c>
      <c r="D388" s="14" t="s">
        <v>1422</v>
      </c>
      <c r="E388" s="14" t="s">
        <v>1503</v>
      </c>
      <c r="F388" s="14" t="s">
        <v>150</v>
      </c>
      <c r="G388" s="14" t="s">
        <v>151</v>
      </c>
      <c r="H388" s="14">
        <v>15</v>
      </c>
      <c r="I388" s="14"/>
      <c r="J388" s="14"/>
    </row>
    <row r="389" spans="1:10">
      <c r="A389" s="14">
        <f>IF(B389="","",COUNTA($B$4:B389))</f>
        <v>386</v>
      </c>
      <c r="B389" s="14" t="s">
        <v>1502</v>
      </c>
      <c r="C389" s="14" t="s">
        <v>1504</v>
      </c>
      <c r="D389" s="14" t="s">
        <v>1505</v>
      </c>
      <c r="E389" s="14" t="s">
        <v>1504</v>
      </c>
      <c r="F389" s="14" t="s">
        <v>155</v>
      </c>
      <c r="G389" s="14" t="s">
        <v>156</v>
      </c>
      <c r="H389" s="14">
        <v>3</v>
      </c>
      <c r="I389" s="14" t="s">
        <v>244</v>
      </c>
      <c r="J389" s="14"/>
    </row>
    <row r="390" spans="1:10">
      <c r="A390" s="14">
        <f>IF(B390="","",COUNTA($B$4:B390))</f>
        <v>387</v>
      </c>
      <c r="B390" s="14" t="s">
        <v>1502</v>
      </c>
      <c r="C390" s="14" t="s">
        <v>1506</v>
      </c>
      <c r="D390" s="14" t="s">
        <v>1507</v>
      </c>
      <c r="E390" s="14" t="s">
        <v>1506</v>
      </c>
      <c r="F390" s="14" t="s">
        <v>155</v>
      </c>
      <c r="G390" s="14" t="s">
        <v>156</v>
      </c>
      <c r="H390" s="14">
        <v>5</v>
      </c>
      <c r="I390" s="14" t="s">
        <v>244</v>
      </c>
      <c r="J390" s="14"/>
    </row>
    <row r="391" spans="1:10">
      <c r="A391" s="14">
        <f>IF(B391="","",COUNTA($B$4:B391))</f>
        <v>388</v>
      </c>
      <c r="B391" s="14" t="s">
        <v>1502</v>
      </c>
      <c r="C391" s="14" t="s">
        <v>1438</v>
      </c>
      <c r="D391" s="14" t="s">
        <v>1508</v>
      </c>
      <c r="E391" s="14" t="s">
        <v>1438</v>
      </c>
      <c r="F391" s="14" t="s">
        <v>155</v>
      </c>
      <c r="G391" s="14" t="s">
        <v>156</v>
      </c>
      <c r="H391" s="14">
        <v>5</v>
      </c>
      <c r="I391" s="14" t="s">
        <v>244</v>
      </c>
      <c r="J391" s="14"/>
    </row>
    <row r="392" spans="1:10">
      <c r="A392" s="14">
        <f>IF(B392="","",COUNTA($B$4:B392))</f>
        <v>389</v>
      </c>
      <c r="B392" s="14" t="s">
        <v>1502</v>
      </c>
      <c r="C392" s="14" t="s">
        <v>1439</v>
      </c>
      <c r="D392" s="14" t="s">
        <v>1509</v>
      </c>
      <c r="E392" s="14" t="s">
        <v>1439</v>
      </c>
      <c r="F392" s="14" t="s">
        <v>155</v>
      </c>
      <c r="G392" s="14" t="s">
        <v>156</v>
      </c>
      <c r="H392" s="14">
        <v>5</v>
      </c>
      <c r="I392" s="14" t="s">
        <v>244</v>
      </c>
      <c r="J392" s="14"/>
    </row>
    <row r="393" spans="1:10">
      <c r="A393" s="14">
        <f>IF(B393="","",COUNTA($B$4:B393))</f>
        <v>390</v>
      </c>
      <c r="B393" s="14" t="s">
        <v>1502</v>
      </c>
      <c r="C393" s="14" t="s">
        <v>1510</v>
      </c>
      <c r="D393" s="14" t="s">
        <v>1511</v>
      </c>
      <c r="E393" s="14" t="s">
        <v>1510</v>
      </c>
      <c r="F393" s="14" t="s">
        <v>155</v>
      </c>
      <c r="G393" s="14" t="s">
        <v>156</v>
      </c>
      <c r="H393" s="14">
        <v>3</v>
      </c>
      <c r="I393" s="14" t="s">
        <v>244</v>
      </c>
      <c r="J393" s="14"/>
    </row>
    <row r="394" spans="1:10">
      <c r="A394" s="14">
        <f>IF(B394="","",COUNTA($B$4:B394))</f>
        <v>391</v>
      </c>
      <c r="B394" s="14" t="s">
        <v>1502</v>
      </c>
      <c r="C394" s="14" t="s">
        <v>392</v>
      </c>
      <c r="D394" s="14" t="s">
        <v>393</v>
      </c>
      <c r="E394" s="14" t="s">
        <v>392</v>
      </c>
      <c r="F394" s="14" t="s">
        <v>169</v>
      </c>
      <c r="G394" s="14" t="s">
        <v>170</v>
      </c>
      <c r="H394" s="14"/>
      <c r="I394" s="14"/>
      <c r="J394" s="14"/>
    </row>
    <row r="395" spans="1:10">
      <c r="A395" s="14">
        <f>IF(B395="","",COUNTA($B$4:B395))</f>
        <v>392</v>
      </c>
      <c r="B395" s="14" t="s">
        <v>1502</v>
      </c>
      <c r="C395" s="14" t="s">
        <v>249</v>
      </c>
      <c r="D395" s="14" t="s">
        <v>250</v>
      </c>
      <c r="E395" s="14" t="s">
        <v>249</v>
      </c>
      <c r="F395" s="14" t="s">
        <v>150</v>
      </c>
      <c r="G395" s="14" t="s">
        <v>151</v>
      </c>
      <c r="H395" s="14">
        <v>4</v>
      </c>
      <c r="I395" s="14"/>
      <c r="J395" s="14"/>
    </row>
    <row r="396" spans="1:10">
      <c r="A396" s="14">
        <f>IF(B396="","",COUNTA($B$4:B396))</f>
        <v>393</v>
      </c>
      <c r="B396" s="14" t="s">
        <v>1502</v>
      </c>
      <c r="C396" s="14" t="s">
        <v>251</v>
      </c>
      <c r="D396" s="14" t="s">
        <v>252</v>
      </c>
      <c r="E396" s="14" t="s">
        <v>251</v>
      </c>
      <c r="F396" s="14" t="s">
        <v>150</v>
      </c>
      <c r="G396" s="14" t="s">
        <v>151</v>
      </c>
      <c r="H396" s="14">
        <v>4</v>
      </c>
      <c r="I396" s="14"/>
      <c r="J396" s="14"/>
    </row>
    <row r="397" spans="1:10">
      <c r="A397" s="14">
        <f>IF(B397="","",COUNTA($B$4:B397))</f>
        <v>394</v>
      </c>
      <c r="B397" s="14" t="s">
        <v>1502</v>
      </c>
      <c r="C397" s="14" t="s">
        <v>253</v>
      </c>
      <c r="D397" s="14" t="s">
        <v>254</v>
      </c>
      <c r="E397" s="14" t="s">
        <v>253</v>
      </c>
      <c r="F397" s="14" t="s">
        <v>150</v>
      </c>
      <c r="G397" s="14" t="s">
        <v>151</v>
      </c>
      <c r="H397" s="14">
        <v>10</v>
      </c>
      <c r="I397" s="14"/>
      <c r="J397" s="14"/>
    </row>
    <row r="398" spans="1:10">
      <c r="A398" s="14">
        <f>IF(B398="","",COUNTA($B$4:B398))</f>
        <v>395</v>
      </c>
      <c r="B398" s="14" t="s">
        <v>1502</v>
      </c>
      <c r="C398" s="14" t="s">
        <v>255</v>
      </c>
      <c r="D398" s="14" t="s">
        <v>256</v>
      </c>
      <c r="E398" s="14" t="s">
        <v>255</v>
      </c>
      <c r="F398" s="14" t="s">
        <v>150</v>
      </c>
      <c r="G398" s="14" t="s">
        <v>151</v>
      </c>
      <c r="H398" s="14">
        <v>10</v>
      </c>
      <c r="I398" s="14"/>
      <c r="J398" s="14"/>
    </row>
    <row r="399" spans="1:10">
      <c r="A399" s="14">
        <f>IF(B399="","",COUNTA($B$4:B399))</f>
        <v>396</v>
      </c>
      <c r="B399" s="14" t="s">
        <v>1502</v>
      </c>
      <c r="C399" s="14" t="s">
        <v>257</v>
      </c>
      <c r="D399" s="14" t="s">
        <v>258</v>
      </c>
      <c r="E399" s="14" t="s">
        <v>257</v>
      </c>
      <c r="F399" s="14" t="s">
        <v>169</v>
      </c>
      <c r="G399" s="14" t="s">
        <v>243</v>
      </c>
      <c r="H399" s="14"/>
      <c r="I399" s="14"/>
      <c r="J399" s="14"/>
    </row>
    <row r="400" spans="1:10">
      <c r="A400" s="14">
        <f>IF(B400="","",COUNTA($B$4:B400))</f>
        <v>397</v>
      </c>
      <c r="B400" s="14" t="s">
        <v>1502</v>
      </c>
      <c r="C400" s="14" t="s">
        <v>259</v>
      </c>
      <c r="D400" s="14" t="s">
        <v>260</v>
      </c>
      <c r="E400" s="14" t="s">
        <v>259</v>
      </c>
      <c r="F400" s="14" t="s">
        <v>150</v>
      </c>
      <c r="G400" s="14" t="s">
        <v>151</v>
      </c>
      <c r="H400" s="14">
        <v>10</v>
      </c>
      <c r="I400" s="14"/>
      <c r="J400" s="14"/>
    </row>
    <row r="401" spans="1:10">
      <c r="A401" s="14">
        <f>IF(B401="","",COUNTA($B$4:B401))</f>
        <v>398</v>
      </c>
      <c r="B401" s="14" t="s">
        <v>1502</v>
      </c>
      <c r="C401" s="14" t="s">
        <v>261</v>
      </c>
      <c r="D401" s="14" t="s">
        <v>262</v>
      </c>
      <c r="E401" s="14" t="s">
        <v>261</v>
      </c>
      <c r="F401" s="14" t="s">
        <v>150</v>
      </c>
      <c r="G401" s="14" t="s">
        <v>151</v>
      </c>
      <c r="H401" s="14">
        <v>10</v>
      </c>
      <c r="I401" s="14"/>
      <c r="J401" s="14"/>
    </row>
    <row r="402" spans="1:10">
      <c r="A402" s="14">
        <f>IF(B402="","",COUNTA($B$4:B402))</f>
        <v>399</v>
      </c>
      <c r="B402" s="14" t="s">
        <v>1502</v>
      </c>
      <c r="C402" s="14" t="s">
        <v>263</v>
      </c>
      <c r="D402" s="14" t="s">
        <v>264</v>
      </c>
      <c r="E402" s="14" t="s">
        <v>263</v>
      </c>
      <c r="F402" s="14" t="s">
        <v>169</v>
      </c>
      <c r="G402" s="14" t="s">
        <v>243</v>
      </c>
      <c r="H402" s="14"/>
      <c r="I402" s="14"/>
      <c r="J402" s="14"/>
    </row>
    <row r="403" spans="1:10">
      <c r="A403" s="14">
        <f>IF(B403="","",COUNTA($B$4:B403))</f>
        <v>400</v>
      </c>
      <c r="B403" s="14" t="s">
        <v>1512</v>
      </c>
      <c r="C403" s="14" t="s">
        <v>148</v>
      </c>
      <c r="D403" s="14" t="s">
        <v>149</v>
      </c>
      <c r="E403" s="14" t="s">
        <v>148</v>
      </c>
      <c r="F403" s="14" t="s">
        <v>150</v>
      </c>
      <c r="G403" s="14" t="s">
        <v>151</v>
      </c>
      <c r="H403" s="14">
        <v>15</v>
      </c>
      <c r="I403" s="14"/>
      <c r="J403" s="14"/>
    </row>
    <row r="404" spans="1:10">
      <c r="A404" s="14">
        <f>IF(B404="","",COUNTA($B$4:B404))</f>
        <v>401</v>
      </c>
      <c r="B404" s="14" t="s">
        <v>1512</v>
      </c>
      <c r="C404" s="14" t="s">
        <v>398</v>
      </c>
      <c r="D404" s="14" t="s">
        <v>399</v>
      </c>
      <c r="E404" s="14" t="s">
        <v>398</v>
      </c>
      <c r="F404" s="14" t="s">
        <v>150</v>
      </c>
      <c r="G404" s="14" t="s">
        <v>151</v>
      </c>
      <c r="H404" s="14">
        <v>30</v>
      </c>
      <c r="I404" s="14"/>
      <c r="J404" s="14"/>
    </row>
    <row r="405" spans="1:10">
      <c r="A405" s="14">
        <f>IF(B405="","",COUNTA($B$4:B405))</f>
        <v>402</v>
      </c>
      <c r="B405" s="14" t="s">
        <v>1512</v>
      </c>
      <c r="C405" s="14" t="s">
        <v>347</v>
      </c>
      <c r="D405" s="14" t="s">
        <v>348</v>
      </c>
      <c r="E405" s="14" t="s">
        <v>347</v>
      </c>
      <c r="F405" s="14" t="s">
        <v>155</v>
      </c>
      <c r="G405" s="14" t="s">
        <v>156</v>
      </c>
      <c r="H405" s="14">
        <v>3</v>
      </c>
      <c r="I405" s="14"/>
      <c r="J405" s="14"/>
    </row>
    <row r="406" spans="1:10">
      <c r="A406" s="14">
        <f>IF(B406="","",COUNTA($B$4:B406))</f>
        <v>403</v>
      </c>
      <c r="B406" s="14" t="s">
        <v>1512</v>
      </c>
      <c r="C406" s="14" t="s">
        <v>197</v>
      </c>
      <c r="D406" s="14" t="s">
        <v>198</v>
      </c>
      <c r="E406" s="14" t="s">
        <v>197</v>
      </c>
      <c r="F406" s="14" t="s">
        <v>150</v>
      </c>
      <c r="G406" s="14" t="s">
        <v>151</v>
      </c>
      <c r="H406" s="14">
        <v>5</v>
      </c>
      <c r="I406" s="14"/>
      <c r="J406" s="14"/>
    </row>
    <row r="407" spans="1:10">
      <c r="A407" s="14">
        <f>IF(B407="","",COUNTA($B$4:B407))</f>
        <v>404</v>
      </c>
      <c r="B407" s="14" t="s">
        <v>1512</v>
      </c>
      <c r="C407" s="14" t="s">
        <v>199</v>
      </c>
      <c r="D407" s="14" t="s">
        <v>200</v>
      </c>
      <c r="E407" s="14" t="s">
        <v>199</v>
      </c>
      <c r="F407" s="14" t="s">
        <v>150</v>
      </c>
      <c r="G407" s="14" t="s">
        <v>151</v>
      </c>
      <c r="H407" s="14">
        <v>20</v>
      </c>
      <c r="I407" s="14"/>
      <c r="J407" s="14"/>
    </row>
    <row r="408" spans="1:10">
      <c r="A408" s="14">
        <f>IF(B408="","",COUNTA($B$4:B408))</f>
        <v>405</v>
      </c>
      <c r="B408" s="14" t="s">
        <v>1512</v>
      </c>
      <c r="C408" s="14" t="s">
        <v>201</v>
      </c>
      <c r="D408" s="14" t="s">
        <v>202</v>
      </c>
      <c r="E408" s="14" t="s">
        <v>201</v>
      </c>
      <c r="F408" s="14" t="s">
        <v>150</v>
      </c>
      <c r="G408" s="14" t="s">
        <v>151</v>
      </c>
      <c r="H408" s="14">
        <v>30</v>
      </c>
      <c r="I408" s="14"/>
      <c r="J408" s="14"/>
    </row>
    <row r="409" spans="1:10">
      <c r="A409" s="14">
        <f>IF(B409="","",COUNTA($B$4:B409))</f>
        <v>406</v>
      </c>
      <c r="B409" s="14" t="s">
        <v>1512</v>
      </c>
      <c r="C409" s="14" t="s">
        <v>403</v>
      </c>
      <c r="D409" s="14" t="s">
        <v>404</v>
      </c>
      <c r="E409" s="14" t="s">
        <v>403</v>
      </c>
      <c r="F409" s="14" t="s">
        <v>155</v>
      </c>
      <c r="G409" s="14" t="s">
        <v>156</v>
      </c>
      <c r="H409" s="14">
        <v>5</v>
      </c>
      <c r="I409" s="14">
        <v>1</v>
      </c>
      <c r="J409" s="14"/>
    </row>
    <row r="410" spans="1:10">
      <c r="A410" s="14">
        <f>IF(B410="","",COUNTA($B$4:B410))</f>
        <v>407</v>
      </c>
      <c r="B410" s="14" t="s">
        <v>1512</v>
      </c>
      <c r="C410" s="14" t="s">
        <v>405</v>
      </c>
      <c r="D410" s="14" t="s">
        <v>406</v>
      </c>
      <c r="E410" s="14" t="s">
        <v>405</v>
      </c>
      <c r="F410" s="14" t="s">
        <v>155</v>
      </c>
      <c r="G410" s="14" t="s">
        <v>156</v>
      </c>
      <c r="H410" s="14">
        <v>1</v>
      </c>
      <c r="I410" s="14" t="s">
        <v>244</v>
      </c>
      <c r="J410" s="14"/>
    </row>
    <row r="411" spans="1:10">
      <c r="A411" s="14">
        <f>IF(B411="","",COUNTA($B$4:B411))</f>
        <v>408</v>
      </c>
      <c r="B411" s="14" t="s">
        <v>1512</v>
      </c>
      <c r="C411" s="14" t="s">
        <v>407</v>
      </c>
      <c r="D411" s="14" t="s">
        <v>408</v>
      </c>
      <c r="E411" s="14" t="s">
        <v>407</v>
      </c>
      <c r="F411" s="14" t="s">
        <v>155</v>
      </c>
      <c r="G411" s="14" t="s">
        <v>156</v>
      </c>
      <c r="H411" s="14">
        <v>1</v>
      </c>
      <c r="I411" s="14" t="s">
        <v>244</v>
      </c>
      <c r="J411" s="14"/>
    </row>
    <row r="412" spans="1:10">
      <c r="A412" s="14">
        <f>IF(B412="","",COUNTA($B$4:B412))</f>
        <v>409</v>
      </c>
      <c r="B412" s="14" t="s">
        <v>1512</v>
      </c>
      <c r="C412" s="14" t="s">
        <v>716</v>
      </c>
      <c r="D412" s="14" t="s">
        <v>1461</v>
      </c>
      <c r="E412" s="14" t="s">
        <v>716</v>
      </c>
      <c r="F412" s="14" t="s">
        <v>150</v>
      </c>
      <c r="G412" s="14" t="s">
        <v>151</v>
      </c>
      <c r="H412" s="14">
        <v>4</v>
      </c>
      <c r="I412" s="14" t="s">
        <v>244</v>
      </c>
      <c r="J412" s="14"/>
    </row>
    <row r="413" spans="1:10">
      <c r="A413" s="14">
        <f>IF(B413="","",COUNTA($B$4:B413))</f>
        <v>410</v>
      </c>
      <c r="B413" s="14" t="s">
        <v>1512</v>
      </c>
      <c r="C413" s="14" t="s">
        <v>409</v>
      </c>
      <c r="D413" s="14" t="s">
        <v>410</v>
      </c>
      <c r="E413" s="14" t="s">
        <v>409</v>
      </c>
      <c r="F413" s="14" t="s">
        <v>155</v>
      </c>
      <c r="G413" s="14" t="s">
        <v>156</v>
      </c>
      <c r="H413" s="14">
        <v>6</v>
      </c>
      <c r="I413" s="14" t="s">
        <v>349</v>
      </c>
      <c r="J413" s="14"/>
    </row>
    <row r="414" spans="1:10">
      <c r="A414" s="14">
        <f>IF(B414="","",COUNTA($B$4:B414))</f>
        <v>411</v>
      </c>
      <c r="B414" s="14" t="s">
        <v>1512</v>
      </c>
      <c r="C414" s="14" t="s">
        <v>228</v>
      </c>
      <c r="D414" s="14" t="s">
        <v>229</v>
      </c>
      <c r="E414" s="14" t="s">
        <v>228</v>
      </c>
      <c r="F414" s="14" t="s">
        <v>150</v>
      </c>
      <c r="G414" s="14" t="s">
        <v>151</v>
      </c>
      <c r="H414" s="14">
        <v>1000</v>
      </c>
      <c r="I414" s="14" t="s">
        <v>244</v>
      </c>
      <c r="J414" s="14"/>
    </row>
    <row r="415" spans="1:10">
      <c r="A415" s="14">
        <f>IF(B415="","",COUNTA($B$4:B415))</f>
        <v>412</v>
      </c>
      <c r="B415" s="14" t="s">
        <v>1512</v>
      </c>
      <c r="C415" s="14" t="s">
        <v>249</v>
      </c>
      <c r="D415" s="14" t="s">
        <v>250</v>
      </c>
      <c r="E415" s="14" t="s">
        <v>249</v>
      </c>
      <c r="F415" s="14" t="s">
        <v>150</v>
      </c>
      <c r="G415" s="14" t="s">
        <v>151</v>
      </c>
      <c r="H415" s="14">
        <v>4</v>
      </c>
      <c r="I415" s="14" t="s">
        <v>244</v>
      </c>
      <c r="J415" s="14"/>
    </row>
    <row r="416" spans="1:10">
      <c r="A416" s="14">
        <f>IF(B416="","",COUNTA($B$4:B416))</f>
        <v>413</v>
      </c>
      <c r="B416" s="14" t="s">
        <v>1512</v>
      </c>
      <c r="C416" s="14" t="s">
        <v>251</v>
      </c>
      <c r="D416" s="14" t="s">
        <v>252</v>
      </c>
      <c r="E416" s="14" t="s">
        <v>251</v>
      </c>
      <c r="F416" s="14" t="s">
        <v>150</v>
      </c>
      <c r="G416" s="14" t="s">
        <v>151</v>
      </c>
      <c r="H416" s="14">
        <v>4</v>
      </c>
      <c r="I416" s="14" t="s">
        <v>244</v>
      </c>
      <c r="J416" s="14"/>
    </row>
    <row r="417" spans="1:10">
      <c r="A417" s="14">
        <f>IF(B417="","",COUNTA($B$4:B417))</f>
        <v>414</v>
      </c>
      <c r="B417" s="14" t="s">
        <v>1512</v>
      </c>
      <c r="C417" s="14" t="s">
        <v>253</v>
      </c>
      <c r="D417" s="14" t="s">
        <v>254</v>
      </c>
      <c r="E417" s="14" t="s">
        <v>253</v>
      </c>
      <c r="F417" s="14" t="s">
        <v>150</v>
      </c>
      <c r="G417" s="14" t="s">
        <v>151</v>
      </c>
      <c r="H417" s="14">
        <v>10</v>
      </c>
      <c r="I417" s="14" t="s">
        <v>244</v>
      </c>
      <c r="J417" s="14"/>
    </row>
    <row r="418" spans="1:10">
      <c r="A418" s="14">
        <f>IF(B418="","",COUNTA($B$4:B418))</f>
        <v>415</v>
      </c>
      <c r="B418" s="14" t="s">
        <v>1512</v>
      </c>
      <c r="C418" s="14" t="s">
        <v>255</v>
      </c>
      <c r="D418" s="14" t="s">
        <v>256</v>
      </c>
      <c r="E418" s="14" t="s">
        <v>255</v>
      </c>
      <c r="F418" s="14" t="s">
        <v>150</v>
      </c>
      <c r="G418" s="14" t="s">
        <v>151</v>
      </c>
      <c r="H418" s="14">
        <v>10</v>
      </c>
      <c r="I418" s="14" t="s">
        <v>244</v>
      </c>
      <c r="J418" s="14"/>
    </row>
    <row r="419" spans="1:10">
      <c r="A419" s="14">
        <f>IF(B419="","",COUNTA($B$4:B419))</f>
        <v>416</v>
      </c>
      <c r="B419" s="14" t="s">
        <v>1512</v>
      </c>
      <c r="C419" s="14" t="s">
        <v>257</v>
      </c>
      <c r="D419" s="14" t="s">
        <v>258</v>
      </c>
      <c r="E419" s="14" t="s">
        <v>257</v>
      </c>
      <c r="F419" s="14" t="s">
        <v>169</v>
      </c>
      <c r="G419" s="14" t="s">
        <v>243</v>
      </c>
      <c r="H419" s="14"/>
      <c r="I419" s="14" t="s">
        <v>244</v>
      </c>
      <c r="J419" s="14"/>
    </row>
    <row r="420" spans="1:10">
      <c r="A420" s="14">
        <f>IF(B420="","",COUNTA($B$4:B420))</f>
        <v>417</v>
      </c>
      <c r="B420" s="14" t="s">
        <v>1512</v>
      </c>
      <c r="C420" s="14" t="s">
        <v>259</v>
      </c>
      <c r="D420" s="14" t="s">
        <v>260</v>
      </c>
      <c r="E420" s="14" t="s">
        <v>259</v>
      </c>
      <c r="F420" s="14" t="s">
        <v>150</v>
      </c>
      <c r="G420" s="14" t="s">
        <v>151</v>
      </c>
      <c r="H420" s="14">
        <v>10</v>
      </c>
      <c r="I420" s="14" t="s">
        <v>244</v>
      </c>
      <c r="J420" s="14"/>
    </row>
    <row r="421" spans="1:10">
      <c r="A421" s="14">
        <f>IF(B421="","",COUNTA($B$4:B421))</f>
        <v>418</v>
      </c>
      <c r="B421" s="14" t="s">
        <v>1512</v>
      </c>
      <c r="C421" s="14" t="s">
        <v>261</v>
      </c>
      <c r="D421" s="14" t="s">
        <v>262</v>
      </c>
      <c r="E421" s="14" t="s">
        <v>261</v>
      </c>
      <c r="F421" s="14" t="s">
        <v>150</v>
      </c>
      <c r="G421" s="14" t="s">
        <v>151</v>
      </c>
      <c r="H421" s="14">
        <v>10</v>
      </c>
      <c r="I421" s="14" t="s">
        <v>244</v>
      </c>
      <c r="J421" s="14"/>
    </row>
    <row r="422" spans="1:10">
      <c r="A422" s="14">
        <f>IF(B422="","",COUNTA($B$4:B422))</f>
        <v>419</v>
      </c>
      <c r="B422" s="14" t="s">
        <v>1512</v>
      </c>
      <c r="C422" s="14" t="s">
        <v>263</v>
      </c>
      <c r="D422" s="14" t="s">
        <v>264</v>
      </c>
      <c r="E422" s="14" t="s">
        <v>263</v>
      </c>
      <c r="F422" s="14" t="s">
        <v>169</v>
      </c>
      <c r="G422" s="14" t="s">
        <v>243</v>
      </c>
      <c r="H422" s="14"/>
      <c r="I422" s="14" t="s">
        <v>244</v>
      </c>
      <c r="J422" s="14"/>
    </row>
    <row r="423" spans="1:10">
      <c r="A423" s="14">
        <f>IF(B423="","",COUNTA($B$4:B423))</f>
        <v>420</v>
      </c>
      <c r="B423" s="14" t="s">
        <v>1513</v>
      </c>
      <c r="C423" s="14" t="s">
        <v>148</v>
      </c>
      <c r="D423" s="14" t="s">
        <v>149</v>
      </c>
      <c r="E423" s="14" t="s">
        <v>148</v>
      </c>
      <c r="F423" s="14" t="s">
        <v>150</v>
      </c>
      <c r="G423" s="14" t="s">
        <v>151</v>
      </c>
      <c r="H423" s="14">
        <v>15</v>
      </c>
      <c r="I423" s="14"/>
      <c r="J423" s="14"/>
    </row>
    <row r="424" spans="1:10">
      <c r="A424" s="14">
        <f>IF(B424="","",COUNTA($B$4:B424))</f>
        <v>421</v>
      </c>
      <c r="B424" s="14" t="s">
        <v>1513</v>
      </c>
      <c r="C424" s="14" t="s">
        <v>159</v>
      </c>
      <c r="D424" s="14" t="s">
        <v>160</v>
      </c>
      <c r="E424" s="14" t="s">
        <v>159</v>
      </c>
      <c r="F424" s="14" t="s">
        <v>150</v>
      </c>
      <c r="G424" s="14" t="s">
        <v>151</v>
      </c>
      <c r="H424" s="14">
        <v>4</v>
      </c>
      <c r="I424" s="14"/>
      <c r="J424" s="14"/>
    </row>
    <row r="425" spans="1:10">
      <c r="A425" s="14">
        <f>IF(B425="","",COUNTA($B$4:B425))</f>
        <v>422</v>
      </c>
      <c r="B425" s="14" t="s">
        <v>1513</v>
      </c>
      <c r="C425" s="14" t="s">
        <v>162</v>
      </c>
      <c r="D425" s="14" t="s">
        <v>163</v>
      </c>
      <c r="E425" s="14" t="s">
        <v>164</v>
      </c>
      <c r="F425" s="14" t="s">
        <v>150</v>
      </c>
      <c r="G425" s="14" t="s">
        <v>151</v>
      </c>
      <c r="H425" s="14">
        <v>4</v>
      </c>
      <c r="I425" s="14"/>
      <c r="J425" s="14"/>
    </row>
    <row r="426" spans="1:10">
      <c r="A426" s="14">
        <f>IF(B426="","",COUNTA($B$4:B426))</f>
        <v>423</v>
      </c>
      <c r="B426" s="14" t="s">
        <v>1513</v>
      </c>
      <c r="C426" s="14" t="s">
        <v>193</v>
      </c>
      <c r="D426" s="14" t="s">
        <v>194</v>
      </c>
      <c r="E426" s="14" t="s">
        <v>193</v>
      </c>
      <c r="F426" s="14" t="s">
        <v>150</v>
      </c>
      <c r="G426" s="14" t="s">
        <v>151</v>
      </c>
      <c r="H426" s="14">
        <v>5</v>
      </c>
      <c r="I426" s="14"/>
      <c r="J426" s="14"/>
    </row>
    <row r="427" spans="1:10">
      <c r="A427" s="14">
        <f>IF(B427="","",COUNTA($B$4:B427))</f>
        <v>424</v>
      </c>
      <c r="B427" s="14" t="s">
        <v>1513</v>
      </c>
      <c r="C427" s="14" t="s">
        <v>195</v>
      </c>
      <c r="D427" s="14" t="s">
        <v>196</v>
      </c>
      <c r="E427" s="14" t="s">
        <v>195</v>
      </c>
      <c r="F427" s="14" t="s">
        <v>150</v>
      </c>
      <c r="G427" s="14" t="s">
        <v>151</v>
      </c>
      <c r="H427" s="14">
        <v>30</v>
      </c>
      <c r="I427" s="14"/>
      <c r="J427" s="14"/>
    </row>
    <row r="428" spans="1:10">
      <c r="A428" s="14">
        <f>IF(B428="","",COUNTA($B$4:B428))</f>
        <v>425</v>
      </c>
      <c r="B428" s="14" t="s">
        <v>1513</v>
      </c>
      <c r="C428" s="14" t="s">
        <v>197</v>
      </c>
      <c r="D428" s="14" t="s">
        <v>198</v>
      </c>
      <c r="E428" s="14" t="s">
        <v>197</v>
      </c>
      <c r="F428" s="14" t="s">
        <v>150</v>
      </c>
      <c r="G428" s="14" t="s">
        <v>151</v>
      </c>
      <c r="H428" s="14">
        <v>5</v>
      </c>
      <c r="I428" s="14"/>
      <c r="J428" s="14"/>
    </row>
    <row r="429" spans="1:10">
      <c r="A429" s="14">
        <f>IF(B429="","",COUNTA($B$4:B429))</f>
        <v>426</v>
      </c>
      <c r="B429" s="14" t="s">
        <v>1513</v>
      </c>
      <c r="C429" s="14" t="s">
        <v>199</v>
      </c>
      <c r="D429" s="14" t="s">
        <v>200</v>
      </c>
      <c r="E429" s="14" t="s">
        <v>199</v>
      </c>
      <c r="F429" s="14" t="s">
        <v>150</v>
      </c>
      <c r="G429" s="14" t="s">
        <v>151</v>
      </c>
      <c r="H429" s="14">
        <v>20</v>
      </c>
      <c r="I429" s="14"/>
      <c r="J429" s="14"/>
    </row>
    <row r="430" spans="1:10">
      <c r="A430" s="14">
        <f>IF(B430="","",COUNTA($B$4:B430))</f>
        <v>427</v>
      </c>
      <c r="B430" s="14" t="s">
        <v>1513</v>
      </c>
      <c r="C430" s="14" t="s">
        <v>201</v>
      </c>
      <c r="D430" s="14" t="s">
        <v>202</v>
      </c>
      <c r="E430" s="14" t="s">
        <v>201</v>
      </c>
      <c r="F430" s="14" t="s">
        <v>150</v>
      </c>
      <c r="G430" s="14" t="s">
        <v>151</v>
      </c>
      <c r="H430" s="14">
        <v>30</v>
      </c>
      <c r="I430" s="14"/>
      <c r="J430" s="14"/>
    </row>
    <row r="431" spans="1:10">
      <c r="A431" s="14">
        <f>IF(B431="","",COUNTA($B$4:B431))</f>
        <v>428</v>
      </c>
      <c r="B431" s="14" t="s">
        <v>1513</v>
      </c>
      <c r="C431" s="14" t="s">
        <v>203</v>
      </c>
      <c r="D431" s="14" t="s">
        <v>204</v>
      </c>
      <c r="E431" s="14" t="s">
        <v>203</v>
      </c>
      <c r="F431" s="14" t="s">
        <v>155</v>
      </c>
      <c r="G431" s="14" t="s">
        <v>156</v>
      </c>
      <c r="H431" s="14">
        <v>5</v>
      </c>
      <c r="I431" s="14">
        <v>2</v>
      </c>
      <c r="J431" s="14"/>
    </row>
    <row r="432" spans="1:10">
      <c r="A432" s="14">
        <f>IF(B432="","",COUNTA($B$4:B432))</f>
        <v>429</v>
      </c>
      <c r="B432" s="14" t="s">
        <v>1513</v>
      </c>
      <c r="C432" s="14" t="s">
        <v>205</v>
      </c>
      <c r="D432" s="14" t="s">
        <v>206</v>
      </c>
      <c r="E432" s="14" t="s">
        <v>205</v>
      </c>
      <c r="F432" s="14" t="s">
        <v>155</v>
      </c>
      <c r="G432" s="14" t="s">
        <v>156</v>
      </c>
      <c r="H432" s="14">
        <v>4</v>
      </c>
      <c r="I432" s="14"/>
      <c r="J432" s="14"/>
    </row>
    <row r="433" spans="1:10">
      <c r="A433" s="14">
        <f>IF(B433="","",COUNTA($B$4:B433))</f>
        <v>430</v>
      </c>
      <c r="B433" s="14" t="s">
        <v>1513</v>
      </c>
      <c r="C433" s="14" t="s">
        <v>208</v>
      </c>
      <c r="D433" s="14" t="s">
        <v>209</v>
      </c>
      <c r="E433" s="14" t="s">
        <v>208</v>
      </c>
      <c r="F433" s="14" t="s">
        <v>155</v>
      </c>
      <c r="G433" s="14" t="s">
        <v>156</v>
      </c>
      <c r="H433" s="14">
        <v>5</v>
      </c>
      <c r="I433" s="14"/>
      <c r="J433" s="14"/>
    </row>
    <row r="434" spans="1:10">
      <c r="A434" s="14">
        <f>IF(B434="","",COUNTA($B$4:B434))</f>
        <v>431</v>
      </c>
      <c r="B434" s="14" t="s">
        <v>1513</v>
      </c>
      <c r="C434" s="14" t="s">
        <v>228</v>
      </c>
      <c r="D434" s="14" t="s">
        <v>229</v>
      </c>
      <c r="E434" s="14" t="s">
        <v>228</v>
      </c>
      <c r="F434" s="14" t="s">
        <v>150</v>
      </c>
      <c r="G434" s="14" t="s">
        <v>151</v>
      </c>
      <c r="H434" s="14">
        <v>1000</v>
      </c>
      <c r="I434" s="14"/>
      <c r="J434" s="14"/>
    </row>
    <row r="435" spans="1:10">
      <c r="A435" s="14">
        <f>IF(B435="","",COUNTA($B$4:B435))</f>
        <v>432</v>
      </c>
      <c r="B435" s="14" t="s">
        <v>1513</v>
      </c>
      <c r="C435" s="14" t="s">
        <v>1503</v>
      </c>
      <c r="D435" s="14" t="s">
        <v>1422</v>
      </c>
      <c r="E435" s="14" t="s">
        <v>1503</v>
      </c>
      <c r="F435" s="14" t="s">
        <v>150</v>
      </c>
      <c r="G435" s="14" t="s">
        <v>151</v>
      </c>
      <c r="H435" s="14">
        <v>15</v>
      </c>
      <c r="I435" s="14"/>
      <c r="J435" s="14"/>
    </row>
    <row r="436" spans="1:10">
      <c r="A436" s="14">
        <f>IF(B436="","",COUNTA($B$4:B436))</f>
        <v>433</v>
      </c>
      <c r="B436" s="14" t="s">
        <v>1513</v>
      </c>
      <c r="C436" s="14" t="s">
        <v>414</v>
      </c>
      <c r="D436" s="14" t="s">
        <v>415</v>
      </c>
      <c r="E436" s="14" t="s">
        <v>414</v>
      </c>
      <c r="F436" s="14" t="s">
        <v>150</v>
      </c>
      <c r="G436" s="14" t="s">
        <v>151</v>
      </c>
      <c r="H436" s="14">
        <v>100</v>
      </c>
      <c r="I436" s="14"/>
      <c r="J436" s="14"/>
    </row>
    <row r="437" spans="1:10">
      <c r="A437" s="14">
        <f>IF(B437="","",COUNTA($B$4:B437))</f>
        <v>434</v>
      </c>
      <c r="B437" s="14" t="s">
        <v>1513</v>
      </c>
      <c r="C437" s="14" t="s">
        <v>392</v>
      </c>
      <c r="D437" s="14" t="s">
        <v>393</v>
      </c>
      <c r="E437" s="14" t="s">
        <v>392</v>
      </c>
      <c r="F437" s="14" t="s">
        <v>169</v>
      </c>
      <c r="G437" s="14" t="s">
        <v>170</v>
      </c>
      <c r="H437" s="14"/>
      <c r="I437" s="14"/>
      <c r="J437" s="14"/>
    </row>
    <row r="438" spans="1:10">
      <c r="A438" s="14">
        <f>IF(B438="","",COUNTA($B$4:B438))</f>
        <v>435</v>
      </c>
      <c r="B438" s="14" t="s">
        <v>1513</v>
      </c>
      <c r="C438" s="14" t="s">
        <v>249</v>
      </c>
      <c r="D438" s="14" t="s">
        <v>250</v>
      </c>
      <c r="E438" s="14" t="s">
        <v>249</v>
      </c>
      <c r="F438" s="14" t="s">
        <v>150</v>
      </c>
      <c r="G438" s="14" t="s">
        <v>151</v>
      </c>
      <c r="H438" s="14">
        <v>4</v>
      </c>
      <c r="I438" s="14"/>
      <c r="J438" s="14"/>
    </row>
    <row r="439" spans="1:10">
      <c r="A439" s="14">
        <f>IF(B439="","",COUNTA($B$4:B439))</f>
        <v>436</v>
      </c>
      <c r="B439" s="14" t="s">
        <v>1513</v>
      </c>
      <c r="C439" s="14" t="s">
        <v>251</v>
      </c>
      <c r="D439" s="14" t="s">
        <v>252</v>
      </c>
      <c r="E439" s="14" t="s">
        <v>251</v>
      </c>
      <c r="F439" s="14" t="s">
        <v>150</v>
      </c>
      <c r="G439" s="14" t="s">
        <v>151</v>
      </c>
      <c r="H439" s="14">
        <v>4</v>
      </c>
      <c r="I439" s="14"/>
      <c r="J439" s="14"/>
    </row>
    <row r="440" spans="1:10">
      <c r="A440" s="14">
        <f>IF(B440="","",COUNTA($B$4:B440))</f>
        <v>437</v>
      </c>
      <c r="B440" s="14" t="s">
        <v>1513</v>
      </c>
      <c r="C440" s="14" t="s">
        <v>253</v>
      </c>
      <c r="D440" s="14" t="s">
        <v>254</v>
      </c>
      <c r="E440" s="14" t="s">
        <v>253</v>
      </c>
      <c r="F440" s="14" t="s">
        <v>150</v>
      </c>
      <c r="G440" s="14" t="s">
        <v>151</v>
      </c>
      <c r="H440" s="14">
        <v>10</v>
      </c>
      <c r="I440" s="14"/>
      <c r="J440" s="14"/>
    </row>
    <row r="441" spans="1:10">
      <c r="A441" s="14">
        <f>IF(B441="","",COUNTA($B$4:B441))</f>
        <v>438</v>
      </c>
      <c r="B441" s="14" t="s">
        <v>1513</v>
      </c>
      <c r="C441" s="14" t="s">
        <v>255</v>
      </c>
      <c r="D441" s="14" t="s">
        <v>256</v>
      </c>
      <c r="E441" s="14" t="s">
        <v>255</v>
      </c>
      <c r="F441" s="14" t="s">
        <v>150</v>
      </c>
      <c r="G441" s="14" t="s">
        <v>151</v>
      </c>
      <c r="H441" s="14">
        <v>10</v>
      </c>
      <c r="I441" s="14"/>
      <c r="J441" s="14"/>
    </row>
    <row r="442" spans="1:10">
      <c r="A442" s="14">
        <f>IF(B442="","",COUNTA($B$4:B442))</f>
        <v>439</v>
      </c>
      <c r="B442" s="14" t="s">
        <v>1513</v>
      </c>
      <c r="C442" s="14" t="s">
        <v>257</v>
      </c>
      <c r="D442" s="14" t="s">
        <v>258</v>
      </c>
      <c r="E442" s="14" t="s">
        <v>257</v>
      </c>
      <c r="F442" s="14" t="s">
        <v>169</v>
      </c>
      <c r="G442" s="14" t="s">
        <v>243</v>
      </c>
      <c r="H442" s="14"/>
      <c r="I442" s="14"/>
      <c r="J442" s="14"/>
    </row>
    <row r="443" spans="1:10">
      <c r="A443" s="14">
        <f>IF(B443="","",COUNTA($B$4:B443))</f>
        <v>440</v>
      </c>
      <c r="B443" s="14" t="s">
        <v>1513</v>
      </c>
      <c r="C443" s="14" t="s">
        <v>259</v>
      </c>
      <c r="D443" s="14" t="s">
        <v>260</v>
      </c>
      <c r="E443" s="14" t="s">
        <v>259</v>
      </c>
      <c r="F443" s="14" t="s">
        <v>150</v>
      </c>
      <c r="G443" s="14" t="s">
        <v>151</v>
      </c>
      <c r="H443" s="14">
        <v>10</v>
      </c>
      <c r="I443" s="14"/>
      <c r="J443" s="14"/>
    </row>
    <row r="444" spans="1:10">
      <c r="A444" s="14">
        <f>IF(B444="","",COUNTA($B$4:B444))</f>
        <v>441</v>
      </c>
      <c r="B444" s="14" t="s">
        <v>1513</v>
      </c>
      <c r="C444" s="14" t="s">
        <v>261</v>
      </c>
      <c r="D444" s="14" t="s">
        <v>262</v>
      </c>
      <c r="E444" s="14" t="s">
        <v>261</v>
      </c>
      <c r="F444" s="14" t="s">
        <v>150</v>
      </c>
      <c r="G444" s="14" t="s">
        <v>151</v>
      </c>
      <c r="H444" s="14">
        <v>10</v>
      </c>
      <c r="I444" s="14"/>
      <c r="J444" s="14"/>
    </row>
    <row r="445" spans="1:10">
      <c r="A445" s="14">
        <f>IF(B445="","",COUNTA($B$4:B445))</f>
        <v>442</v>
      </c>
      <c r="B445" s="14" t="s">
        <v>1513</v>
      </c>
      <c r="C445" s="14" t="s">
        <v>263</v>
      </c>
      <c r="D445" s="14" t="s">
        <v>264</v>
      </c>
      <c r="E445" s="14" t="s">
        <v>263</v>
      </c>
      <c r="F445" s="14" t="s">
        <v>169</v>
      </c>
      <c r="G445" s="14" t="s">
        <v>243</v>
      </c>
      <c r="H445" s="14"/>
      <c r="I445" s="14"/>
      <c r="J445" s="14"/>
    </row>
    <row r="446" spans="1:10">
      <c r="A446" s="14">
        <f>IF(B446="","",COUNTA($B$4:B446))</f>
        <v>443</v>
      </c>
      <c r="B446" s="14" t="s">
        <v>1514</v>
      </c>
      <c r="C446" s="14" t="s">
        <v>148</v>
      </c>
      <c r="D446" s="14" t="s">
        <v>149</v>
      </c>
      <c r="E446" s="14" t="s">
        <v>148</v>
      </c>
      <c r="F446" s="14" t="s">
        <v>150</v>
      </c>
      <c r="G446" s="14" t="s">
        <v>151</v>
      </c>
      <c r="H446" s="14">
        <v>15</v>
      </c>
      <c r="I446" s="14"/>
      <c r="J446" s="14"/>
    </row>
    <row r="447" spans="1:10">
      <c r="A447" s="14">
        <f>IF(B447="","",COUNTA($B$4:B447))</f>
        <v>444</v>
      </c>
      <c r="B447" s="14" t="s">
        <v>1514</v>
      </c>
      <c r="C447" s="14" t="s">
        <v>398</v>
      </c>
      <c r="D447" s="14" t="s">
        <v>399</v>
      </c>
      <c r="E447" s="14" t="s">
        <v>398</v>
      </c>
      <c r="F447" s="14" t="s">
        <v>150</v>
      </c>
      <c r="G447" s="14" t="s">
        <v>151</v>
      </c>
      <c r="H447" s="14">
        <v>30</v>
      </c>
      <c r="I447" s="14"/>
      <c r="J447" s="14"/>
    </row>
    <row r="448" spans="1:10">
      <c r="A448" s="14">
        <f>IF(B448="","",COUNTA($B$4:B448))</f>
        <v>445</v>
      </c>
      <c r="B448" s="14" t="s">
        <v>1514</v>
      </c>
      <c r="C448" s="14" t="s">
        <v>347</v>
      </c>
      <c r="D448" s="14" t="s">
        <v>348</v>
      </c>
      <c r="E448" s="14" t="s">
        <v>347</v>
      </c>
      <c r="F448" s="14" t="s">
        <v>155</v>
      </c>
      <c r="G448" s="14" t="s">
        <v>156</v>
      </c>
      <c r="H448" s="14">
        <v>3</v>
      </c>
      <c r="I448" s="14"/>
      <c r="J448" s="14"/>
    </row>
    <row r="449" spans="1:10">
      <c r="A449" s="14">
        <f>IF(B449="","",COUNTA($B$4:B449))</f>
        <v>446</v>
      </c>
      <c r="B449" s="14" t="s">
        <v>1514</v>
      </c>
      <c r="C449" s="14" t="s">
        <v>197</v>
      </c>
      <c r="D449" s="14" t="s">
        <v>198</v>
      </c>
      <c r="E449" s="14" t="s">
        <v>197</v>
      </c>
      <c r="F449" s="14" t="s">
        <v>150</v>
      </c>
      <c r="G449" s="14" t="s">
        <v>151</v>
      </c>
      <c r="H449" s="14">
        <v>5</v>
      </c>
      <c r="I449" s="14"/>
      <c r="J449" s="14"/>
    </row>
    <row r="450" spans="1:10">
      <c r="A450" s="14">
        <f>IF(B450="","",COUNTA($B$4:B450))</f>
        <v>447</v>
      </c>
      <c r="B450" s="14" t="s">
        <v>1514</v>
      </c>
      <c r="C450" s="14" t="s">
        <v>199</v>
      </c>
      <c r="D450" s="14" t="s">
        <v>200</v>
      </c>
      <c r="E450" s="14" t="s">
        <v>199</v>
      </c>
      <c r="F450" s="14" t="s">
        <v>150</v>
      </c>
      <c r="G450" s="14" t="s">
        <v>151</v>
      </c>
      <c r="H450" s="14">
        <v>20</v>
      </c>
      <c r="I450" s="14"/>
      <c r="J450" s="14"/>
    </row>
    <row r="451" spans="1:10">
      <c r="A451" s="14">
        <f>IF(B451="","",COUNTA($B$4:B451))</f>
        <v>448</v>
      </c>
      <c r="B451" s="14" t="s">
        <v>1514</v>
      </c>
      <c r="C451" s="14" t="s">
        <v>201</v>
      </c>
      <c r="D451" s="14" t="s">
        <v>202</v>
      </c>
      <c r="E451" s="14" t="s">
        <v>201</v>
      </c>
      <c r="F451" s="14" t="s">
        <v>150</v>
      </c>
      <c r="G451" s="14" t="s">
        <v>151</v>
      </c>
      <c r="H451" s="14">
        <v>30</v>
      </c>
      <c r="I451" s="14"/>
      <c r="J451" s="14"/>
    </row>
    <row r="452" spans="1:10">
      <c r="A452" s="14">
        <f>IF(B452="","",COUNTA($B$4:B452))</f>
        <v>449</v>
      </c>
      <c r="B452" s="14" t="s">
        <v>1514</v>
      </c>
      <c r="C452" s="14" t="s">
        <v>416</v>
      </c>
      <c r="D452" s="14" t="s">
        <v>417</v>
      </c>
      <c r="E452" s="14" t="s">
        <v>416</v>
      </c>
      <c r="F452" s="14" t="s">
        <v>150</v>
      </c>
      <c r="G452" s="14" t="s">
        <v>151</v>
      </c>
      <c r="H452" s="14">
        <v>30</v>
      </c>
      <c r="I452" s="14"/>
      <c r="J452" s="14"/>
    </row>
    <row r="453" spans="1:10">
      <c r="A453" s="14">
        <f>IF(B453="","",COUNTA($B$4:B453))</f>
        <v>450</v>
      </c>
      <c r="B453" s="14" t="s">
        <v>1514</v>
      </c>
      <c r="C453" s="14" t="s">
        <v>228</v>
      </c>
      <c r="D453" s="14" t="s">
        <v>229</v>
      </c>
      <c r="E453" s="14" t="s">
        <v>228</v>
      </c>
      <c r="F453" s="14" t="s">
        <v>150</v>
      </c>
      <c r="G453" s="14" t="s">
        <v>151</v>
      </c>
      <c r="H453" s="14">
        <v>1000</v>
      </c>
      <c r="I453" s="14"/>
      <c r="J453" s="14"/>
    </row>
    <row r="454" spans="1:10">
      <c r="A454" s="14">
        <f>IF(B454="","",COUNTA($B$4:B454))</f>
        <v>451</v>
      </c>
      <c r="B454" s="14" t="s">
        <v>1514</v>
      </c>
      <c r="C454" s="14" t="s">
        <v>249</v>
      </c>
      <c r="D454" s="14" t="s">
        <v>250</v>
      </c>
      <c r="E454" s="14" t="s">
        <v>249</v>
      </c>
      <c r="F454" s="14" t="s">
        <v>150</v>
      </c>
      <c r="G454" s="14" t="s">
        <v>151</v>
      </c>
      <c r="H454" s="14">
        <v>4</v>
      </c>
      <c r="I454" s="14"/>
      <c r="J454" s="14"/>
    </row>
    <row r="455" spans="1:10">
      <c r="A455" s="14">
        <f>IF(B455="","",COUNTA($B$4:B455))</f>
        <v>452</v>
      </c>
      <c r="B455" s="14" t="s">
        <v>1514</v>
      </c>
      <c r="C455" s="14" t="s">
        <v>251</v>
      </c>
      <c r="D455" s="14" t="s">
        <v>252</v>
      </c>
      <c r="E455" s="14" t="s">
        <v>251</v>
      </c>
      <c r="F455" s="14" t="s">
        <v>150</v>
      </c>
      <c r="G455" s="14" t="s">
        <v>151</v>
      </c>
      <c r="H455" s="14">
        <v>4</v>
      </c>
      <c r="I455" s="14"/>
      <c r="J455" s="14"/>
    </row>
    <row r="456" spans="1:10">
      <c r="A456" s="14">
        <f>IF(B456="","",COUNTA($B$4:B456))</f>
        <v>453</v>
      </c>
      <c r="B456" s="14" t="s">
        <v>1514</v>
      </c>
      <c r="C456" s="14" t="s">
        <v>253</v>
      </c>
      <c r="D456" s="14" t="s">
        <v>254</v>
      </c>
      <c r="E456" s="14" t="s">
        <v>253</v>
      </c>
      <c r="F456" s="14" t="s">
        <v>150</v>
      </c>
      <c r="G456" s="14" t="s">
        <v>151</v>
      </c>
      <c r="H456" s="14">
        <v>10</v>
      </c>
      <c r="I456" s="14"/>
      <c r="J456" s="14"/>
    </row>
    <row r="457" spans="1:10">
      <c r="A457" s="14">
        <f>IF(B457="","",COUNTA($B$4:B457))</f>
        <v>454</v>
      </c>
      <c r="B457" s="14" t="s">
        <v>1514</v>
      </c>
      <c r="C457" s="14" t="s">
        <v>255</v>
      </c>
      <c r="D457" s="14" t="s">
        <v>256</v>
      </c>
      <c r="E457" s="14" t="s">
        <v>255</v>
      </c>
      <c r="F457" s="14" t="s">
        <v>150</v>
      </c>
      <c r="G457" s="14" t="s">
        <v>151</v>
      </c>
      <c r="H457" s="14">
        <v>10</v>
      </c>
      <c r="I457" s="14"/>
      <c r="J457" s="14"/>
    </row>
    <row r="458" spans="1:10">
      <c r="A458" s="14">
        <f>IF(B458="","",COUNTA($B$4:B458))</f>
        <v>455</v>
      </c>
      <c r="B458" s="14" t="s">
        <v>1514</v>
      </c>
      <c r="C458" s="14" t="s">
        <v>257</v>
      </c>
      <c r="D458" s="14" t="s">
        <v>258</v>
      </c>
      <c r="E458" s="14" t="s">
        <v>257</v>
      </c>
      <c r="F458" s="14" t="s">
        <v>169</v>
      </c>
      <c r="G458" s="14" t="s">
        <v>243</v>
      </c>
      <c r="H458" s="14"/>
      <c r="I458" s="14"/>
      <c r="J458" s="14"/>
    </row>
    <row r="459" spans="1:10">
      <c r="A459" s="14">
        <f>IF(B459="","",COUNTA($B$4:B459))</f>
        <v>456</v>
      </c>
      <c r="B459" s="14" t="s">
        <v>1514</v>
      </c>
      <c r="C459" s="14" t="s">
        <v>259</v>
      </c>
      <c r="D459" s="14" t="s">
        <v>260</v>
      </c>
      <c r="E459" s="14" t="s">
        <v>259</v>
      </c>
      <c r="F459" s="14" t="s">
        <v>150</v>
      </c>
      <c r="G459" s="14" t="s">
        <v>151</v>
      </c>
      <c r="H459" s="14">
        <v>10</v>
      </c>
      <c r="I459" s="14"/>
      <c r="J459" s="14"/>
    </row>
    <row r="460" spans="1:10">
      <c r="A460" s="14">
        <f>IF(B460="","",COUNTA($B$4:B460))</f>
        <v>457</v>
      </c>
      <c r="B460" s="14" t="s">
        <v>1514</v>
      </c>
      <c r="C460" s="14" t="s">
        <v>261</v>
      </c>
      <c r="D460" s="14" t="s">
        <v>262</v>
      </c>
      <c r="E460" s="14" t="s">
        <v>261</v>
      </c>
      <c r="F460" s="14" t="s">
        <v>150</v>
      </c>
      <c r="G460" s="14" t="s">
        <v>151</v>
      </c>
      <c r="H460" s="14">
        <v>10</v>
      </c>
      <c r="I460" s="14"/>
      <c r="J460" s="14"/>
    </row>
    <row r="461" spans="1:10">
      <c r="A461" s="14">
        <f>IF(B461="","",COUNTA($B$4:B461))</f>
        <v>458</v>
      </c>
      <c r="B461" s="14" t="s">
        <v>1514</v>
      </c>
      <c r="C461" s="14" t="s">
        <v>263</v>
      </c>
      <c r="D461" s="14" t="s">
        <v>264</v>
      </c>
      <c r="E461" s="14" t="s">
        <v>263</v>
      </c>
      <c r="F461" s="14" t="s">
        <v>169</v>
      </c>
      <c r="G461" s="14" t="s">
        <v>243</v>
      </c>
      <c r="H461" s="14"/>
      <c r="I461" s="14"/>
      <c r="J461" s="14"/>
    </row>
    <row r="462" spans="1:10">
      <c r="A462" s="14">
        <f>IF(B462="","",COUNTA($B$4:B462))</f>
        <v>459</v>
      </c>
      <c r="B462" s="14" t="s">
        <v>1515</v>
      </c>
      <c r="C462" s="14" t="s">
        <v>148</v>
      </c>
      <c r="D462" s="14" t="s">
        <v>149</v>
      </c>
      <c r="E462" s="14" t="s">
        <v>148</v>
      </c>
      <c r="F462" s="14" t="s">
        <v>150</v>
      </c>
      <c r="G462" s="14" t="s">
        <v>151</v>
      </c>
      <c r="H462" s="14">
        <v>15</v>
      </c>
      <c r="I462" s="14"/>
      <c r="J462" s="14"/>
    </row>
    <row r="463" spans="1:10">
      <c r="A463" s="14">
        <f>IF(B463="","",COUNTA($B$4:B463))</f>
        <v>460</v>
      </c>
      <c r="B463" s="14" t="s">
        <v>1515</v>
      </c>
      <c r="C463" s="14" t="s">
        <v>159</v>
      </c>
      <c r="D463" s="14" t="s">
        <v>160</v>
      </c>
      <c r="E463" s="14" t="s">
        <v>159</v>
      </c>
      <c r="F463" s="14" t="s">
        <v>150</v>
      </c>
      <c r="G463" s="14" t="s">
        <v>151</v>
      </c>
      <c r="H463" s="14">
        <v>4</v>
      </c>
      <c r="I463" s="14"/>
      <c r="J463" s="14"/>
    </row>
    <row r="464" spans="1:10">
      <c r="A464" s="14">
        <f>IF(B464="","",COUNTA($B$4:B464))</f>
        <v>461</v>
      </c>
      <c r="B464" s="14" t="s">
        <v>1515</v>
      </c>
      <c r="C464" s="14" t="s">
        <v>162</v>
      </c>
      <c r="D464" s="14" t="s">
        <v>163</v>
      </c>
      <c r="E464" s="14" t="s">
        <v>164</v>
      </c>
      <c r="F464" s="14" t="s">
        <v>150</v>
      </c>
      <c r="G464" s="14" t="s">
        <v>151</v>
      </c>
      <c r="H464" s="14">
        <v>4</v>
      </c>
      <c r="I464" s="14"/>
      <c r="J464" s="14"/>
    </row>
    <row r="465" spans="1:10">
      <c r="A465" s="14">
        <f>IF(B465="","",COUNTA($B$4:B465))</f>
        <v>462</v>
      </c>
      <c r="B465" s="14" t="s">
        <v>1515</v>
      </c>
      <c r="C465" s="14" t="s">
        <v>193</v>
      </c>
      <c r="D465" s="14" t="s">
        <v>194</v>
      </c>
      <c r="E465" s="14" t="s">
        <v>193</v>
      </c>
      <c r="F465" s="14" t="s">
        <v>150</v>
      </c>
      <c r="G465" s="14" t="s">
        <v>151</v>
      </c>
      <c r="H465" s="14">
        <v>5</v>
      </c>
      <c r="I465" s="14"/>
      <c r="J465" s="14"/>
    </row>
    <row r="466" spans="1:10">
      <c r="A466" s="14">
        <f>IF(B466="","",COUNTA($B$4:B466))</f>
        <v>463</v>
      </c>
      <c r="B466" s="14" t="s">
        <v>1515</v>
      </c>
      <c r="C466" s="14" t="s">
        <v>195</v>
      </c>
      <c r="D466" s="14" t="s">
        <v>196</v>
      </c>
      <c r="E466" s="14" t="s">
        <v>195</v>
      </c>
      <c r="F466" s="14" t="s">
        <v>150</v>
      </c>
      <c r="G466" s="14" t="s">
        <v>151</v>
      </c>
      <c r="H466" s="14">
        <v>30</v>
      </c>
      <c r="I466" s="14"/>
      <c r="J466" s="14"/>
    </row>
    <row r="467" spans="1:10">
      <c r="A467" s="14">
        <f>IF(B467="","",COUNTA($B$4:B467))</f>
        <v>464</v>
      </c>
      <c r="B467" s="14" t="s">
        <v>1515</v>
      </c>
      <c r="C467" s="14" t="s">
        <v>197</v>
      </c>
      <c r="D467" s="14" t="s">
        <v>198</v>
      </c>
      <c r="E467" s="14" t="s">
        <v>197</v>
      </c>
      <c r="F467" s="14" t="s">
        <v>150</v>
      </c>
      <c r="G467" s="14" t="s">
        <v>151</v>
      </c>
      <c r="H467" s="14">
        <v>5</v>
      </c>
      <c r="I467" s="14"/>
      <c r="J467" s="14"/>
    </row>
    <row r="468" spans="1:10">
      <c r="A468" s="14">
        <f>IF(B468="","",COUNTA($B$4:B468))</f>
        <v>465</v>
      </c>
      <c r="B468" s="14" t="s">
        <v>1515</v>
      </c>
      <c r="C468" s="14" t="s">
        <v>199</v>
      </c>
      <c r="D468" s="14" t="s">
        <v>200</v>
      </c>
      <c r="E468" s="14" t="s">
        <v>199</v>
      </c>
      <c r="F468" s="14" t="s">
        <v>150</v>
      </c>
      <c r="G468" s="14" t="s">
        <v>151</v>
      </c>
      <c r="H468" s="14">
        <v>20</v>
      </c>
      <c r="I468" s="14"/>
      <c r="J468" s="14"/>
    </row>
    <row r="469" spans="1:10">
      <c r="A469" s="14">
        <f>IF(B469="","",COUNTA($B$4:B469))</f>
        <v>466</v>
      </c>
      <c r="B469" s="14" t="s">
        <v>1515</v>
      </c>
      <c r="C469" s="14" t="s">
        <v>201</v>
      </c>
      <c r="D469" s="14" t="s">
        <v>202</v>
      </c>
      <c r="E469" s="14" t="s">
        <v>201</v>
      </c>
      <c r="F469" s="14" t="s">
        <v>150</v>
      </c>
      <c r="G469" s="14" t="s">
        <v>151</v>
      </c>
      <c r="H469" s="14">
        <v>30</v>
      </c>
      <c r="I469" s="14"/>
      <c r="J469" s="14"/>
    </row>
    <row r="470" spans="1:10">
      <c r="A470" s="14">
        <f>IF(B470="","",COUNTA($B$4:B470))</f>
        <v>467</v>
      </c>
      <c r="B470" s="14" t="s">
        <v>1515</v>
      </c>
      <c r="C470" s="14" t="s">
        <v>203</v>
      </c>
      <c r="D470" s="14" t="s">
        <v>204</v>
      </c>
      <c r="E470" s="14" t="s">
        <v>203</v>
      </c>
      <c r="F470" s="14" t="s">
        <v>155</v>
      </c>
      <c r="G470" s="14" t="s">
        <v>156</v>
      </c>
      <c r="H470" s="14">
        <v>5</v>
      </c>
      <c r="I470" s="14">
        <v>2</v>
      </c>
      <c r="J470" s="14"/>
    </row>
    <row r="471" spans="1:10">
      <c r="A471" s="14">
        <f>IF(B471="","",COUNTA($B$4:B471))</f>
        <v>468</v>
      </c>
      <c r="B471" s="14" t="s">
        <v>1515</v>
      </c>
      <c r="C471" s="14" t="s">
        <v>205</v>
      </c>
      <c r="D471" s="14" t="s">
        <v>206</v>
      </c>
      <c r="E471" s="14" t="s">
        <v>205</v>
      </c>
      <c r="F471" s="14" t="s">
        <v>155</v>
      </c>
      <c r="G471" s="14" t="s">
        <v>156</v>
      </c>
      <c r="H471" s="14">
        <v>4</v>
      </c>
      <c r="I471" s="14"/>
      <c r="J471" s="14"/>
    </row>
    <row r="472" spans="1:10">
      <c r="A472" s="14">
        <f>IF(B472="","",COUNTA($B$4:B472))</f>
        <v>469</v>
      </c>
      <c r="B472" s="14" t="s">
        <v>1515</v>
      </c>
      <c r="C472" s="14" t="s">
        <v>208</v>
      </c>
      <c r="D472" s="14" t="s">
        <v>209</v>
      </c>
      <c r="E472" s="14" t="s">
        <v>208</v>
      </c>
      <c r="F472" s="14" t="s">
        <v>155</v>
      </c>
      <c r="G472" s="14" t="s">
        <v>156</v>
      </c>
      <c r="H472" s="14">
        <v>5</v>
      </c>
      <c r="I472" s="14"/>
      <c r="J472" s="14"/>
    </row>
    <row r="473" spans="1:10">
      <c r="A473" s="14">
        <f>IF(B473="","",COUNTA($B$4:B473))</f>
        <v>470</v>
      </c>
      <c r="B473" s="14" t="s">
        <v>1515</v>
      </c>
      <c r="C473" s="14" t="s">
        <v>228</v>
      </c>
      <c r="D473" s="14" t="s">
        <v>229</v>
      </c>
      <c r="E473" s="14" t="s">
        <v>228</v>
      </c>
      <c r="F473" s="14" t="s">
        <v>150</v>
      </c>
      <c r="G473" s="14" t="s">
        <v>151</v>
      </c>
      <c r="H473" s="14">
        <v>1000</v>
      </c>
      <c r="I473" s="14"/>
      <c r="J473" s="14"/>
    </row>
    <row r="474" spans="1:10">
      <c r="A474" s="14">
        <f>IF(B474="","",COUNTA($B$4:B474))</f>
        <v>471</v>
      </c>
      <c r="B474" s="14" t="s">
        <v>1515</v>
      </c>
      <c r="C474" s="14" t="s">
        <v>1503</v>
      </c>
      <c r="D474" s="14" t="s">
        <v>1422</v>
      </c>
      <c r="E474" s="14" t="s">
        <v>1503</v>
      </c>
      <c r="F474" s="14" t="s">
        <v>150</v>
      </c>
      <c r="G474" s="14" t="s">
        <v>151</v>
      </c>
      <c r="H474" s="14">
        <v>15</v>
      </c>
      <c r="I474" s="14"/>
      <c r="J474" s="14"/>
    </row>
    <row r="475" spans="1:10">
      <c r="A475" s="14">
        <f>IF(B475="","",COUNTA($B$4:B475))</f>
        <v>472</v>
      </c>
      <c r="B475" s="14" t="s">
        <v>1515</v>
      </c>
      <c r="C475" s="14" t="s">
        <v>392</v>
      </c>
      <c r="D475" s="14" t="s">
        <v>393</v>
      </c>
      <c r="E475" s="14" t="s">
        <v>392</v>
      </c>
      <c r="F475" s="14" t="s">
        <v>169</v>
      </c>
      <c r="G475" s="14" t="s">
        <v>170</v>
      </c>
      <c r="H475" s="14"/>
      <c r="I475" s="14"/>
      <c r="J475" s="14"/>
    </row>
    <row r="476" spans="1:10">
      <c r="A476" s="14">
        <f>IF(B476="","",COUNTA($B$4:B476))</f>
        <v>473</v>
      </c>
      <c r="B476" s="14" t="s">
        <v>1515</v>
      </c>
      <c r="C476" s="14" t="s">
        <v>249</v>
      </c>
      <c r="D476" s="14" t="s">
        <v>250</v>
      </c>
      <c r="E476" s="14" t="s">
        <v>249</v>
      </c>
      <c r="F476" s="14" t="s">
        <v>150</v>
      </c>
      <c r="G476" s="14" t="s">
        <v>151</v>
      </c>
      <c r="H476" s="14">
        <v>4</v>
      </c>
      <c r="I476" s="14"/>
      <c r="J476" s="14"/>
    </row>
    <row r="477" spans="1:10">
      <c r="A477" s="14">
        <f>IF(B477="","",COUNTA($B$4:B477))</f>
        <v>474</v>
      </c>
      <c r="B477" s="14" t="s">
        <v>1515</v>
      </c>
      <c r="C477" s="14" t="s">
        <v>251</v>
      </c>
      <c r="D477" s="14" t="s">
        <v>252</v>
      </c>
      <c r="E477" s="14" t="s">
        <v>251</v>
      </c>
      <c r="F477" s="14" t="s">
        <v>150</v>
      </c>
      <c r="G477" s="14" t="s">
        <v>151</v>
      </c>
      <c r="H477" s="14">
        <v>4</v>
      </c>
      <c r="I477" s="14"/>
      <c r="J477" s="14"/>
    </row>
    <row r="478" spans="1:10">
      <c r="A478" s="14">
        <f>IF(B478="","",COUNTA($B$4:B478))</f>
        <v>475</v>
      </c>
      <c r="B478" s="14" t="s">
        <v>1515</v>
      </c>
      <c r="C478" s="14" t="s">
        <v>253</v>
      </c>
      <c r="D478" s="14" t="s">
        <v>254</v>
      </c>
      <c r="E478" s="14" t="s">
        <v>253</v>
      </c>
      <c r="F478" s="14" t="s">
        <v>150</v>
      </c>
      <c r="G478" s="14" t="s">
        <v>151</v>
      </c>
      <c r="H478" s="14">
        <v>10</v>
      </c>
      <c r="I478" s="14"/>
      <c r="J478" s="14"/>
    </row>
    <row r="479" spans="1:10">
      <c r="A479" s="14">
        <f>IF(B479="","",COUNTA($B$4:B479))</f>
        <v>476</v>
      </c>
      <c r="B479" s="14" t="s">
        <v>1515</v>
      </c>
      <c r="C479" s="14" t="s">
        <v>255</v>
      </c>
      <c r="D479" s="14" t="s">
        <v>256</v>
      </c>
      <c r="E479" s="14" t="s">
        <v>255</v>
      </c>
      <c r="F479" s="14" t="s">
        <v>150</v>
      </c>
      <c r="G479" s="14" t="s">
        <v>151</v>
      </c>
      <c r="H479" s="14">
        <v>10</v>
      </c>
      <c r="I479" s="14"/>
      <c r="J479" s="14"/>
    </row>
    <row r="480" spans="1:10">
      <c r="A480" s="14">
        <f>IF(B480="","",COUNTA($B$4:B480))</f>
        <v>477</v>
      </c>
      <c r="B480" s="14" t="s">
        <v>1515</v>
      </c>
      <c r="C480" s="14" t="s">
        <v>257</v>
      </c>
      <c r="D480" s="14" t="s">
        <v>258</v>
      </c>
      <c r="E480" s="14" t="s">
        <v>257</v>
      </c>
      <c r="F480" s="14" t="s">
        <v>169</v>
      </c>
      <c r="G480" s="14" t="s">
        <v>243</v>
      </c>
      <c r="H480" s="14"/>
      <c r="I480" s="14"/>
      <c r="J480" s="14"/>
    </row>
    <row r="481" spans="1:10">
      <c r="A481" s="14">
        <f>IF(B481="","",COUNTA($B$4:B481))</f>
        <v>478</v>
      </c>
      <c r="B481" s="14" t="s">
        <v>1515</v>
      </c>
      <c r="C481" s="14" t="s">
        <v>259</v>
      </c>
      <c r="D481" s="14" t="s">
        <v>260</v>
      </c>
      <c r="E481" s="14" t="s">
        <v>259</v>
      </c>
      <c r="F481" s="14" t="s">
        <v>150</v>
      </c>
      <c r="G481" s="14" t="s">
        <v>151</v>
      </c>
      <c r="H481" s="14">
        <v>10</v>
      </c>
      <c r="I481" s="14"/>
      <c r="J481" s="14"/>
    </row>
    <row r="482" spans="1:10">
      <c r="A482" s="14">
        <f>IF(B482="","",COUNTA($B$4:B482))</f>
        <v>479</v>
      </c>
      <c r="B482" s="14" t="s">
        <v>1515</v>
      </c>
      <c r="C482" s="14" t="s">
        <v>261</v>
      </c>
      <c r="D482" s="14" t="s">
        <v>262</v>
      </c>
      <c r="E482" s="14" t="s">
        <v>261</v>
      </c>
      <c r="F482" s="14" t="s">
        <v>150</v>
      </c>
      <c r="G482" s="14" t="s">
        <v>151</v>
      </c>
      <c r="H482" s="14">
        <v>10</v>
      </c>
      <c r="I482" s="14"/>
      <c r="J482" s="14"/>
    </row>
    <row r="483" spans="1:10">
      <c r="A483" s="14">
        <f>IF(B483="","",COUNTA($B$4:B483))</f>
        <v>480</v>
      </c>
      <c r="B483" s="14" t="s">
        <v>1515</v>
      </c>
      <c r="C483" s="14" t="s">
        <v>263</v>
      </c>
      <c r="D483" s="14" t="s">
        <v>264</v>
      </c>
      <c r="E483" s="14" t="s">
        <v>263</v>
      </c>
      <c r="F483" s="14" t="s">
        <v>169</v>
      </c>
      <c r="G483" s="14" t="s">
        <v>243</v>
      </c>
      <c r="H483" s="14"/>
      <c r="I483" s="14"/>
      <c r="J483" s="14"/>
    </row>
    <row r="484" spans="1:10">
      <c r="A484" s="14">
        <f>IF(B484="","",COUNTA($B$4:B484))</f>
        <v>481</v>
      </c>
      <c r="B484" s="14" t="s">
        <v>1516</v>
      </c>
      <c r="C484" s="14" t="s">
        <v>148</v>
      </c>
      <c r="D484" s="14" t="s">
        <v>149</v>
      </c>
      <c r="E484" s="14" t="s">
        <v>148</v>
      </c>
      <c r="F484" s="14" t="s">
        <v>150</v>
      </c>
      <c r="G484" s="14" t="s">
        <v>151</v>
      </c>
      <c r="H484" s="14">
        <v>15</v>
      </c>
      <c r="I484" s="14"/>
      <c r="J484" s="14"/>
    </row>
    <row r="485" spans="1:10">
      <c r="A485" s="14">
        <f>IF(B485="","",COUNTA($B$4:B485))</f>
        <v>482</v>
      </c>
      <c r="B485" s="14" t="s">
        <v>1516</v>
      </c>
      <c r="C485" s="14" t="s">
        <v>398</v>
      </c>
      <c r="D485" s="14" t="s">
        <v>399</v>
      </c>
      <c r="E485" s="14" t="s">
        <v>398</v>
      </c>
      <c r="F485" s="14" t="s">
        <v>150</v>
      </c>
      <c r="G485" s="14" t="s">
        <v>151</v>
      </c>
      <c r="H485" s="14">
        <v>30</v>
      </c>
      <c r="I485" s="14"/>
      <c r="J485" s="14"/>
    </row>
    <row r="486" spans="1:10">
      <c r="A486" s="14">
        <f>IF(B486="","",COUNTA($B$4:B486))</f>
        <v>483</v>
      </c>
      <c r="B486" s="14" t="s">
        <v>1516</v>
      </c>
      <c r="C486" s="14" t="s">
        <v>347</v>
      </c>
      <c r="D486" s="14" t="s">
        <v>348</v>
      </c>
      <c r="E486" s="14" t="s">
        <v>347</v>
      </c>
      <c r="F486" s="14" t="s">
        <v>155</v>
      </c>
      <c r="G486" s="14" t="s">
        <v>156</v>
      </c>
      <c r="H486" s="14">
        <v>3</v>
      </c>
      <c r="I486" s="14" t="s">
        <v>244</v>
      </c>
      <c r="J486" s="14"/>
    </row>
    <row r="487" spans="1:10">
      <c r="A487" s="14">
        <f>IF(B487="","",COUNTA($B$4:B487))</f>
        <v>484</v>
      </c>
      <c r="B487" s="14" t="s">
        <v>1516</v>
      </c>
      <c r="C487" s="14" t="s">
        <v>197</v>
      </c>
      <c r="D487" s="14" t="s">
        <v>198</v>
      </c>
      <c r="E487" s="14" t="s">
        <v>197</v>
      </c>
      <c r="F487" s="14" t="s">
        <v>150</v>
      </c>
      <c r="G487" s="14" t="s">
        <v>151</v>
      </c>
      <c r="H487" s="14">
        <v>5</v>
      </c>
      <c r="I487" s="14"/>
      <c r="J487" s="14"/>
    </row>
    <row r="488" spans="1:10">
      <c r="A488" s="14">
        <f>IF(B488="","",COUNTA($B$4:B488))</f>
        <v>485</v>
      </c>
      <c r="B488" s="14" t="s">
        <v>1516</v>
      </c>
      <c r="C488" s="14" t="s">
        <v>199</v>
      </c>
      <c r="D488" s="14" t="s">
        <v>200</v>
      </c>
      <c r="E488" s="14" t="s">
        <v>1517</v>
      </c>
      <c r="F488" s="14" t="s">
        <v>150</v>
      </c>
      <c r="G488" s="14" t="s">
        <v>151</v>
      </c>
      <c r="H488" s="14">
        <v>20</v>
      </c>
      <c r="I488" s="14"/>
      <c r="J488" s="14"/>
    </row>
    <row r="489" spans="1:10">
      <c r="A489" s="14">
        <f>IF(B489="","",COUNTA($B$4:B489))</f>
        <v>486</v>
      </c>
      <c r="B489" s="14" t="s">
        <v>1516</v>
      </c>
      <c r="C489" s="14" t="s">
        <v>201</v>
      </c>
      <c r="D489" s="14" t="s">
        <v>202</v>
      </c>
      <c r="E489" s="14" t="s">
        <v>1518</v>
      </c>
      <c r="F489" s="14" t="s">
        <v>150</v>
      </c>
      <c r="G489" s="14" t="s">
        <v>1519</v>
      </c>
      <c r="H489" s="14">
        <v>30</v>
      </c>
      <c r="I489" s="14"/>
      <c r="J489" s="14"/>
    </row>
    <row r="490" spans="1:10">
      <c r="A490" s="14">
        <f>IF(B490="","",COUNTA($B$4:B490))</f>
        <v>487</v>
      </c>
      <c r="B490" s="14" t="s">
        <v>1516</v>
      </c>
      <c r="C490" s="14" t="s">
        <v>1520</v>
      </c>
      <c r="D490" s="14" t="s">
        <v>1427</v>
      </c>
      <c r="E490" s="14" t="s">
        <v>1520</v>
      </c>
      <c r="F490" s="14" t="s">
        <v>150</v>
      </c>
      <c r="G490" s="14" t="s">
        <v>151</v>
      </c>
      <c r="H490" s="14">
        <v>3</v>
      </c>
      <c r="I490" s="14"/>
      <c r="J490" s="15"/>
    </row>
    <row r="491" spans="1:10">
      <c r="A491" s="14">
        <f>IF(B491="","",COUNTA($B$4:B491))</f>
        <v>488</v>
      </c>
      <c r="B491" s="14" t="s">
        <v>1516</v>
      </c>
      <c r="C491" s="14" t="s">
        <v>1521</v>
      </c>
      <c r="D491" s="14" t="s">
        <v>1522</v>
      </c>
      <c r="E491" s="14" t="s">
        <v>1521</v>
      </c>
      <c r="F491" s="14" t="s">
        <v>155</v>
      </c>
      <c r="G491" s="14" t="s">
        <v>156</v>
      </c>
      <c r="H491" s="14">
        <v>5</v>
      </c>
      <c r="I491" s="14">
        <v>2</v>
      </c>
      <c r="J491" s="15"/>
    </row>
    <row r="492" spans="1:10">
      <c r="A492" s="14">
        <f>IF(B492="","",COUNTA($B$4:B492))</f>
        <v>489</v>
      </c>
      <c r="B492" s="14" t="s">
        <v>1516</v>
      </c>
      <c r="C492" s="14" t="s">
        <v>228</v>
      </c>
      <c r="D492" s="14" t="s">
        <v>229</v>
      </c>
      <c r="E492" s="14" t="s">
        <v>228</v>
      </c>
      <c r="F492" s="14" t="s">
        <v>150</v>
      </c>
      <c r="G492" s="14" t="s">
        <v>151</v>
      </c>
      <c r="H492" s="14">
        <v>1000</v>
      </c>
      <c r="I492" s="14"/>
      <c r="J492" s="15"/>
    </row>
    <row r="493" spans="1:10">
      <c r="A493" s="14">
        <f>IF(B493="","",COUNTA($B$4:B493))</f>
        <v>490</v>
      </c>
      <c r="B493" s="14" t="s">
        <v>1516</v>
      </c>
      <c r="C493" s="14" t="s">
        <v>249</v>
      </c>
      <c r="D493" s="14" t="s">
        <v>250</v>
      </c>
      <c r="E493" s="14" t="s">
        <v>249</v>
      </c>
      <c r="F493" s="14" t="s">
        <v>150</v>
      </c>
      <c r="G493" s="14" t="s">
        <v>151</v>
      </c>
      <c r="H493" s="14">
        <v>4</v>
      </c>
      <c r="I493" s="14"/>
      <c r="J493" s="15"/>
    </row>
    <row r="494" spans="1:10">
      <c r="A494" s="14">
        <f>IF(B494="","",COUNTA($B$4:B494))</f>
        <v>491</v>
      </c>
      <c r="B494" s="14" t="s">
        <v>1516</v>
      </c>
      <c r="C494" s="14" t="s">
        <v>251</v>
      </c>
      <c r="D494" s="14" t="s">
        <v>252</v>
      </c>
      <c r="E494" s="14" t="s">
        <v>251</v>
      </c>
      <c r="F494" s="14" t="s">
        <v>150</v>
      </c>
      <c r="G494" s="14" t="s">
        <v>151</v>
      </c>
      <c r="H494" s="14">
        <v>4</v>
      </c>
      <c r="I494" s="14"/>
      <c r="J494" s="15"/>
    </row>
    <row r="495" spans="1:10">
      <c r="A495" s="14">
        <f>IF(B495="","",COUNTA($B$4:B495))</f>
        <v>492</v>
      </c>
      <c r="B495" s="14" t="s">
        <v>1516</v>
      </c>
      <c r="C495" s="14" t="s">
        <v>253</v>
      </c>
      <c r="D495" s="14" t="s">
        <v>254</v>
      </c>
      <c r="E495" s="14" t="s">
        <v>253</v>
      </c>
      <c r="F495" s="14" t="s">
        <v>150</v>
      </c>
      <c r="G495" s="14" t="s">
        <v>151</v>
      </c>
      <c r="H495" s="14">
        <v>10</v>
      </c>
      <c r="I495" s="14"/>
      <c r="J495" s="15"/>
    </row>
    <row r="496" spans="1:10">
      <c r="A496" s="14">
        <f>IF(B496="","",COUNTA($B$4:B496))</f>
        <v>493</v>
      </c>
      <c r="B496" s="14" t="s">
        <v>1516</v>
      </c>
      <c r="C496" s="14" t="s">
        <v>255</v>
      </c>
      <c r="D496" s="14" t="s">
        <v>256</v>
      </c>
      <c r="E496" s="14" t="s">
        <v>255</v>
      </c>
      <c r="F496" s="14" t="s">
        <v>150</v>
      </c>
      <c r="G496" s="14" t="s">
        <v>151</v>
      </c>
      <c r="H496" s="14">
        <v>10</v>
      </c>
      <c r="I496" s="14"/>
      <c r="J496" s="15"/>
    </row>
    <row r="497" spans="1:10">
      <c r="A497" s="14">
        <f>IF(B497="","",COUNTA($B$4:B497))</f>
        <v>494</v>
      </c>
      <c r="B497" s="14" t="s">
        <v>1516</v>
      </c>
      <c r="C497" s="14" t="s">
        <v>257</v>
      </c>
      <c r="D497" s="14" t="s">
        <v>258</v>
      </c>
      <c r="E497" s="14" t="s">
        <v>257</v>
      </c>
      <c r="F497" s="14" t="s">
        <v>169</v>
      </c>
      <c r="G497" s="14" t="s">
        <v>243</v>
      </c>
      <c r="H497" s="14"/>
      <c r="I497" s="14"/>
      <c r="J497" s="15"/>
    </row>
    <row r="498" spans="1:10">
      <c r="A498" s="14">
        <f>IF(B498="","",COUNTA($B$4:B498))</f>
        <v>495</v>
      </c>
      <c r="B498" s="14" t="s">
        <v>1516</v>
      </c>
      <c r="C498" s="14" t="s">
        <v>259</v>
      </c>
      <c r="D498" s="14" t="s">
        <v>260</v>
      </c>
      <c r="E498" s="14" t="s">
        <v>259</v>
      </c>
      <c r="F498" s="14" t="s">
        <v>150</v>
      </c>
      <c r="G498" s="14" t="s">
        <v>151</v>
      </c>
      <c r="H498" s="14">
        <v>10</v>
      </c>
      <c r="I498" s="14"/>
      <c r="J498" s="15"/>
    </row>
    <row r="499" spans="1:10">
      <c r="A499" s="14">
        <f>IF(B499="","",COUNTA($B$4:B499))</f>
        <v>496</v>
      </c>
      <c r="B499" s="14" t="s">
        <v>1516</v>
      </c>
      <c r="C499" s="14" t="s">
        <v>261</v>
      </c>
      <c r="D499" s="14" t="s">
        <v>262</v>
      </c>
      <c r="E499" s="14" t="s">
        <v>261</v>
      </c>
      <c r="F499" s="14" t="s">
        <v>150</v>
      </c>
      <c r="G499" s="14" t="s">
        <v>151</v>
      </c>
      <c r="H499" s="14">
        <v>10</v>
      </c>
      <c r="I499" s="14"/>
      <c r="J499" s="15"/>
    </row>
    <row r="500" spans="1:10">
      <c r="A500" s="14">
        <f>IF(B500="","",COUNTA($B$4:B500))</f>
        <v>497</v>
      </c>
      <c r="B500" s="14" t="s">
        <v>1516</v>
      </c>
      <c r="C500" s="14" t="s">
        <v>263</v>
      </c>
      <c r="D500" s="14" t="s">
        <v>264</v>
      </c>
      <c r="E500" s="14" t="s">
        <v>263</v>
      </c>
      <c r="F500" s="14" t="s">
        <v>169</v>
      </c>
      <c r="G500" s="14" t="s">
        <v>243</v>
      </c>
      <c r="H500" s="14"/>
      <c r="I500" s="14"/>
      <c r="J500" s="15"/>
    </row>
    <row r="501" spans="1:10">
      <c r="A501" s="14">
        <f>IF(B501="","",COUNTA($B$4:B501))</f>
        <v>498</v>
      </c>
      <c r="B501" s="14" t="s">
        <v>1523</v>
      </c>
      <c r="C501" s="14" t="s">
        <v>148</v>
      </c>
      <c r="D501" s="14" t="s">
        <v>149</v>
      </c>
      <c r="E501" s="14" t="s">
        <v>148</v>
      </c>
      <c r="F501" s="14" t="s">
        <v>150</v>
      </c>
      <c r="G501" s="14" t="s">
        <v>151</v>
      </c>
      <c r="H501" s="14">
        <v>15</v>
      </c>
      <c r="I501" s="14"/>
      <c r="J501" s="15"/>
    </row>
    <row r="502" spans="1:10">
      <c r="A502" s="14">
        <f>IF(B502="","",COUNTA($B$4:B502))</f>
        <v>499</v>
      </c>
      <c r="B502" s="14" t="s">
        <v>1523</v>
      </c>
      <c r="C502" s="14" t="s">
        <v>159</v>
      </c>
      <c r="D502" s="14" t="s">
        <v>160</v>
      </c>
      <c r="E502" s="14" t="s">
        <v>159</v>
      </c>
      <c r="F502" s="14" t="s">
        <v>150</v>
      </c>
      <c r="G502" s="14" t="s">
        <v>151</v>
      </c>
      <c r="H502" s="14">
        <v>4</v>
      </c>
      <c r="I502" s="14"/>
      <c r="J502" s="15"/>
    </row>
    <row r="503" spans="1:10">
      <c r="A503" s="14">
        <f>IF(B503="","",COUNTA($B$4:B503))</f>
        <v>500</v>
      </c>
      <c r="B503" s="14" t="s">
        <v>1523</v>
      </c>
      <c r="C503" s="14" t="s">
        <v>162</v>
      </c>
      <c r="D503" s="14" t="s">
        <v>163</v>
      </c>
      <c r="E503" s="14" t="s">
        <v>164</v>
      </c>
      <c r="F503" s="14" t="s">
        <v>150</v>
      </c>
      <c r="G503" s="14" t="s">
        <v>151</v>
      </c>
      <c r="H503" s="14">
        <v>4</v>
      </c>
      <c r="I503" s="14"/>
      <c r="J503" s="15"/>
    </row>
    <row r="504" spans="1:10">
      <c r="A504" s="14">
        <f>IF(B504="","",COUNTA($B$4:B504))</f>
        <v>501</v>
      </c>
      <c r="B504" s="14" t="s">
        <v>1523</v>
      </c>
      <c r="C504" s="14" t="s">
        <v>193</v>
      </c>
      <c r="D504" s="14" t="s">
        <v>194</v>
      </c>
      <c r="E504" s="14" t="s">
        <v>193</v>
      </c>
      <c r="F504" s="14" t="s">
        <v>150</v>
      </c>
      <c r="G504" s="14" t="s">
        <v>151</v>
      </c>
      <c r="H504" s="14">
        <v>5</v>
      </c>
      <c r="I504" s="14"/>
      <c r="J504" s="15"/>
    </row>
    <row r="505" spans="1:10">
      <c r="A505" s="14">
        <f>IF(B505="","",COUNTA($B$4:B505))</f>
        <v>502</v>
      </c>
      <c r="B505" s="14" t="s">
        <v>1523</v>
      </c>
      <c r="C505" s="14" t="s">
        <v>195</v>
      </c>
      <c r="D505" s="14" t="s">
        <v>196</v>
      </c>
      <c r="E505" s="14" t="s">
        <v>195</v>
      </c>
      <c r="F505" s="14" t="s">
        <v>150</v>
      </c>
      <c r="G505" s="14" t="s">
        <v>151</v>
      </c>
      <c r="H505" s="14">
        <v>30</v>
      </c>
      <c r="I505" s="14"/>
      <c r="J505" s="15"/>
    </row>
    <row r="506" spans="1:10">
      <c r="A506" s="14">
        <f>IF(B506="","",COUNTA($B$4:B506))</f>
        <v>503</v>
      </c>
      <c r="B506" s="14" t="s">
        <v>1523</v>
      </c>
      <c r="C506" s="14" t="s">
        <v>197</v>
      </c>
      <c r="D506" s="14" t="s">
        <v>198</v>
      </c>
      <c r="E506" s="14" t="s">
        <v>197</v>
      </c>
      <c r="F506" s="14" t="s">
        <v>150</v>
      </c>
      <c r="G506" s="14" t="s">
        <v>151</v>
      </c>
      <c r="H506" s="14">
        <v>5</v>
      </c>
      <c r="I506" s="14"/>
      <c r="J506" s="15"/>
    </row>
    <row r="507" spans="1:10">
      <c r="A507" s="14">
        <f>IF(B507="","",COUNTA($B$4:B507))</f>
        <v>504</v>
      </c>
      <c r="B507" s="14" t="s">
        <v>1523</v>
      </c>
      <c r="C507" s="14" t="s">
        <v>199</v>
      </c>
      <c r="D507" s="14" t="s">
        <v>200</v>
      </c>
      <c r="E507" s="14" t="s">
        <v>199</v>
      </c>
      <c r="F507" s="14" t="s">
        <v>150</v>
      </c>
      <c r="G507" s="14" t="s">
        <v>151</v>
      </c>
      <c r="H507" s="14">
        <v>20</v>
      </c>
      <c r="I507" s="14"/>
      <c r="J507" s="15"/>
    </row>
    <row r="508" spans="1:10">
      <c r="A508" s="14">
        <f>IF(B508="","",COUNTA($B$4:B508))</f>
        <v>505</v>
      </c>
      <c r="B508" s="14" t="s">
        <v>1523</v>
      </c>
      <c r="C508" s="14" t="s">
        <v>201</v>
      </c>
      <c r="D508" s="14" t="s">
        <v>202</v>
      </c>
      <c r="E508" s="14" t="s">
        <v>201</v>
      </c>
      <c r="F508" s="14" t="s">
        <v>150</v>
      </c>
      <c r="G508" s="14" t="s">
        <v>151</v>
      </c>
      <c r="H508" s="14">
        <v>30</v>
      </c>
      <c r="I508" s="14"/>
      <c r="J508" s="15"/>
    </row>
    <row r="509" spans="1:10">
      <c r="A509" s="14">
        <f>IF(B509="","",COUNTA($B$4:B509))</f>
        <v>506</v>
      </c>
      <c r="B509" s="14" t="s">
        <v>1523</v>
      </c>
      <c r="C509" s="14" t="s">
        <v>203</v>
      </c>
      <c r="D509" s="14" t="s">
        <v>204</v>
      </c>
      <c r="E509" s="14" t="s">
        <v>203</v>
      </c>
      <c r="F509" s="14" t="s">
        <v>155</v>
      </c>
      <c r="G509" s="14" t="s">
        <v>156</v>
      </c>
      <c r="H509" s="14">
        <v>5</v>
      </c>
      <c r="I509" s="14">
        <v>2</v>
      </c>
      <c r="J509" s="15"/>
    </row>
    <row r="510" spans="1:10">
      <c r="A510" s="14">
        <f>IF(B510="","",COUNTA($B$4:B510))</f>
        <v>507</v>
      </c>
      <c r="B510" s="14" t="s">
        <v>1523</v>
      </c>
      <c r="C510" s="14" t="s">
        <v>205</v>
      </c>
      <c r="D510" s="14" t="s">
        <v>206</v>
      </c>
      <c r="E510" s="14" t="s">
        <v>205</v>
      </c>
      <c r="F510" s="14" t="s">
        <v>155</v>
      </c>
      <c r="G510" s="14" t="s">
        <v>156</v>
      </c>
      <c r="H510" s="14">
        <v>4</v>
      </c>
      <c r="I510" s="14"/>
      <c r="J510" s="15"/>
    </row>
    <row r="511" spans="1:10">
      <c r="A511" s="14">
        <f>IF(B511="","",COUNTA($B$4:B511))</f>
        <v>508</v>
      </c>
      <c r="B511" s="14" t="s">
        <v>1523</v>
      </c>
      <c r="C511" s="14" t="s">
        <v>208</v>
      </c>
      <c r="D511" s="14" t="s">
        <v>209</v>
      </c>
      <c r="E511" s="14" t="s">
        <v>208</v>
      </c>
      <c r="F511" s="14" t="s">
        <v>155</v>
      </c>
      <c r="G511" s="14" t="s">
        <v>156</v>
      </c>
      <c r="H511" s="14">
        <v>5</v>
      </c>
      <c r="I511" s="14"/>
      <c r="J511" s="15"/>
    </row>
    <row r="512" spans="1:10">
      <c r="A512" s="14">
        <f>IF(B512="","",COUNTA($B$4:B512))</f>
        <v>509</v>
      </c>
      <c r="B512" s="14" t="s">
        <v>1523</v>
      </c>
      <c r="C512" s="14" t="s">
        <v>228</v>
      </c>
      <c r="D512" s="14" t="s">
        <v>229</v>
      </c>
      <c r="E512" s="14" t="s">
        <v>228</v>
      </c>
      <c r="F512" s="14" t="s">
        <v>150</v>
      </c>
      <c r="G512" s="14" t="s">
        <v>151</v>
      </c>
      <c r="H512" s="14">
        <v>1000</v>
      </c>
      <c r="I512" s="14"/>
      <c r="J512" s="15"/>
    </row>
    <row r="513" spans="1:10">
      <c r="A513" s="14">
        <f>IF(B513="","",COUNTA($B$4:B513))</f>
        <v>510</v>
      </c>
      <c r="B513" s="14" t="s">
        <v>1523</v>
      </c>
      <c r="C513" s="14" t="s">
        <v>1503</v>
      </c>
      <c r="D513" s="14" t="s">
        <v>1422</v>
      </c>
      <c r="E513" s="14" t="s">
        <v>1503</v>
      </c>
      <c r="F513" s="14" t="s">
        <v>150</v>
      </c>
      <c r="G513" s="14" t="s">
        <v>151</v>
      </c>
      <c r="H513" s="14">
        <v>15</v>
      </c>
      <c r="I513" s="14"/>
      <c r="J513" s="15"/>
    </row>
    <row r="514" spans="1:10">
      <c r="A514" s="14">
        <f>IF(B514="","",COUNTA($B$4:B514))</f>
        <v>511</v>
      </c>
      <c r="B514" s="14" t="s">
        <v>1523</v>
      </c>
      <c r="C514" s="14" t="s">
        <v>392</v>
      </c>
      <c r="D514" s="14" t="s">
        <v>393</v>
      </c>
      <c r="E514" s="14" t="s">
        <v>392</v>
      </c>
      <c r="F514" s="14" t="s">
        <v>169</v>
      </c>
      <c r="G514" s="14" t="s">
        <v>170</v>
      </c>
      <c r="H514" s="14"/>
      <c r="I514" s="14"/>
      <c r="J514" s="15"/>
    </row>
    <row r="515" spans="1:10">
      <c r="A515" s="14">
        <f>IF(B515="","",COUNTA($B$4:B515))</f>
        <v>512</v>
      </c>
      <c r="B515" s="14" t="s">
        <v>1523</v>
      </c>
      <c r="C515" s="14" t="s">
        <v>249</v>
      </c>
      <c r="D515" s="14" t="s">
        <v>250</v>
      </c>
      <c r="E515" s="14" t="s">
        <v>249</v>
      </c>
      <c r="F515" s="14" t="s">
        <v>150</v>
      </c>
      <c r="G515" s="14" t="s">
        <v>151</v>
      </c>
      <c r="H515" s="14">
        <v>4</v>
      </c>
      <c r="I515" s="14"/>
      <c r="J515" s="15"/>
    </row>
    <row r="516" spans="1:10">
      <c r="A516" s="14">
        <f>IF(B516="","",COUNTA($B$4:B516))</f>
        <v>513</v>
      </c>
      <c r="B516" s="14" t="s">
        <v>1523</v>
      </c>
      <c r="C516" s="14" t="s">
        <v>251</v>
      </c>
      <c r="D516" s="14" t="s">
        <v>252</v>
      </c>
      <c r="E516" s="14" t="s">
        <v>251</v>
      </c>
      <c r="F516" s="14" t="s">
        <v>150</v>
      </c>
      <c r="G516" s="14" t="s">
        <v>151</v>
      </c>
      <c r="H516" s="14">
        <v>4</v>
      </c>
      <c r="I516" s="14"/>
      <c r="J516" s="15"/>
    </row>
    <row r="517" spans="1:10">
      <c r="A517" s="14">
        <f>IF(B517="","",COUNTA($B$4:B517))</f>
        <v>514</v>
      </c>
      <c r="B517" s="14" t="s">
        <v>1523</v>
      </c>
      <c r="C517" s="14" t="s">
        <v>253</v>
      </c>
      <c r="D517" s="14" t="s">
        <v>254</v>
      </c>
      <c r="E517" s="14" t="s">
        <v>253</v>
      </c>
      <c r="F517" s="14" t="s">
        <v>150</v>
      </c>
      <c r="G517" s="14" t="s">
        <v>151</v>
      </c>
      <c r="H517" s="14">
        <v>10</v>
      </c>
      <c r="I517" s="14"/>
      <c r="J517" s="15"/>
    </row>
    <row r="518" spans="1:10">
      <c r="A518" s="14">
        <f>IF(B518="","",COUNTA($B$4:B518))</f>
        <v>515</v>
      </c>
      <c r="B518" s="14" t="s">
        <v>1523</v>
      </c>
      <c r="C518" s="14" t="s">
        <v>255</v>
      </c>
      <c r="D518" s="14" t="s">
        <v>256</v>
      </c>
      <c r="E518" s="14" t="s">
        <v>255</v>
      </c>
      <c r="F518" s="14" t="s">
        <v>150</v>
      </c>
      <c r="G518" s="14" t="s">
        <v>151</v>
      </c>
      <c r="H518" s="14">
        <v>10</v>
      </c>
      <c r="I518" s="14"/>
      <c r="J518" s="15"/>
    </row>
    <row r="519" spans="1:10">
      <c r="A519" s="14">
        <f>IF(B519="","",COUNTA($B$4:B519))</f>
        <v>516</v>
      </c>
      <c r="B519" s="14" t="s">
        <v>1523</v>
      </c>
      <c r="C519" s="14" t="s">
        <v>257</v>
      </c>
      <c r="D519" s="14" t="s">
        <v>258</v>
      </c>
      <c r="E519" s="14" t="s">
        <v>257</v>
      </c>
      <c r="F519" s="14" t="s">
        <v>169</v>
      </c>
      <c r="G519" s="14" t="s">
        <v>243</v>
      </c>
      <c r="H519" s="14"/>
      <c r="I519" s="14"/>
      <c r="J519" s="15"/>
    </row>
    <row r="520" spans="1:10">
      <c r="A520" s="14">
        <f>IF(B520="","",COUNTA($B$4:B520))</f>
        <v>517</v>
      </c>
      <c r="B520" s="14" t="s">
        <v>1523</v>
      </c>
      <c r="C520" s="14" t="s">
        <v>259</v>
      </c>
      <c r="D520" s="14" t="s">
        <v>260</v>
      </c>
      <c r="E520" s="14" t="s">
        <v>259</v>
      </c>
      <c r="F520" s="14" t="s">
        <v>150</v>
      </c>
      <c r="G520" s="14" t="s">
        <v>151</v>
      </c>
      <c r="H520" s="14">
        <v>10</v>
      </c>
      <c r="I520" s="14"/>
      <c r="J520" s="15"/>
    </row>
    <row r="521" spans="1:10">
      <c r="A521" s="14">
        <f>IF(B521="","",COUNTA($B$4:B521))</f>
        <v>518</v>
      </c>
      <c r="B521" s="14" t="s">
        <v>1523</v>
      </c>
      <c r="C521" s="14" t="s">
        <v>261</v>
      </c>
      <c r="D521" s="14" t="s">
        <v>262</v>
      </c>
      <c r="E521" s="14" t="s">
        <v>261</v>
      </c>
      <c r="F521" s="14" t="s">
        <v>150</v>
      </c>
      <c r="G521" s="14" t="s">
        <v>151</v>
      </c>
      <c r="H521" s="14">
        <v>10</v>
      </c>
      <c r="I521" s="14"/>
      <c r="J521" s="15"/>
    </row>
    <row r="522" spans="1:10">
      <c r="A522" s="14">
        <f>IF(B522="","",COUNTA($B$4:B522))</f>
        <v>519</v>
      </c>
      <c r="B522" s="14" t="s">
        <v>1523</v>
      </c>
      <c r="C522" s="14" t="s">
        <v>263</v>
      </c>
      <c r="D522" s="14" t="s">
        <v>264</v>
      </c>
      <c r="E522" s="14" t="s">
        <v>263</v>
      </c>
      <c r="F522" s="14" t="s">
        <v>169</v>
      </c>
      <c r="G522" s="14" t="s">
        <v>243</v>
      </c>
      <c r="H522" s="14"/>
      <c r="I522" s="14"/>
      <c r="J522" s="15"/>
    </row>
    <row r="523" spans="1:10">
      <c r="A523" s="14">
        <f>IF(B523="","",COUNTA($B$4:B523))</f>
        <v>520</v>
      </c>
      <c r="B523" s="14" t="s">
        <v>1485</v>
      </c>
      <c r="C523" s="14" t="s">
        <v>148</v>
      </c>
      <c r="D523" s="14" t="s">
        <v>149</v>
      </c>
      <c r="E523" s="14" t="s">
        <v>148</v>
      </c>
      <c r="F523" s="14" t="s">
        <v>150</v>
      </c>
      <c r="G523" s="14" t="s">
        <v>151</v>
      </c>
      <c r="H523" s="14">
        <v>15</v>
      </c>
      <c r="I523" s="14"/>
      <c r="J523" s="15"/>
    </row>
    <row r="524" spans="1:10">
      <c r="A524" s="14">
        <f>IF(B524="","",COUNTA($B$4:B524))</f>
        <v>521</v>
      </c>
      <c r="B524" s="14" t="s">
        <v>1485</v>
      </c>
      <c r="C524" s="14" t="s">
        <v>347</v>
      </c>
      <c r="D524" s="14" t="s">
        <v>348</v>
      </c>
      <c r="E524" s="14" t="s">
        <v>347</v>
      </c>
      <c r="F524" s="14" t="s">
        <v>155</v>
      </c>
      <c r="G524" s="14" t="s">
        <v>156</v>
      </c>
      <c r="H524" s="14">
        <v>3</v>
      </c>
      <c r="I524" s="14"/>
      <c r="J524" s="15"/>
    </row>
    <row r="525" spans="1:10">
      <c r="A525" s="14">
        <f>IF(B525="","",COUNTA($B$4:B525))</f>
        <v>522</v>
      </c>
      <c r="B525" s="14" t="s">
        <v>1485</v>
      </c>
      <c r="C525" s="14" t="s">
        <v>197</v>
      </c>
      <c r="D525" s="14" t="s">
        <v>198</v>
      </c>
      <c r="E525" s="14" t="s">
        <v>197</v>
      </c>
      <c r="F525" s="14" t="s">
        <v>150</v>
      </c>
      <c r="G525" s="14" t="s">
        <v>151</v>
      </c>
      <c r="H525" s="14">
        <v>5</v>
      </c>
      <c r="I525" s="14"/>
      <c r="J525" s="15"/>
    </row>
    <row r="526" spans="1:10">
      <c r="A526" s="14">
        <f>IF(B526="","",COUNTA($B$4:B526))</f>
        <v>523</v>
      </c>
      <c r="B526" s="14" t="s">
        <v>1485</v>
      </c>
      <c r="C526" s="14" t="s">
        <v>199</v>
      </c>
      <c r="D526" s="14" t="s">
        <v>200</v>
      </c>
      <c r="E526" s="14" t="s">
        <v>199</v>
      </c>
      <c r="F526" s="14" t="s">
        <v>150</v>
      </c>
      <c r="G526" s="14" t="s">
        <v>151</v>
      </c>
      <c r="H526" s="14">
        <v>20</v>
      </c>
      <c r="I526" s="14"/>
      <c r="J526" s="15"/>
    </row>
    <row r="527" spans="1:10">
      <c r="A527" s="14">
        <f>IF(B527="","",COUNTA($B$4:B527))</f>
        <v>524</v>
      </c>
      <c r="B527" s="14" t="s">
        <v>1485</v>
      </c>
      <c r="C527" s="14" t="s">
        <v>201</v>
      </c>
      <c r="D527" s="14" t="s">
        <v>202</v>
      </c>
      <c r="E527" s="14" t="s">
        <v>201</v>
      </c>
      <c r="F527" s="14" t="s">
        <v>150</v>
      </c>
      <c r="G527" s="14" t="s">
        <v>151</v>
      </c>
      <c r="H527" s="14">
        <v>30</v>
      </c>
      <c r="I527" s="14"/>
      <c r="J527" s="15"/>
    </row>
    <row r="528" spans="1:10">
      <c r="A528" s="14">
        <f>IF(B528="","",COUNTA($B$4:B528))</f>
        <v>525</v>
      </c>
      <c r="B528" s="14" t="s">
        <v>1485</v>
      </c>
      <c r="C528" s="14" t="s">
        <v>203</v>
      </c>
      <c r="D528" s="14" t="s">
        <v>204</v>
      </c>
      <c r="E528" s="14" t="s">
        <v>203</v>
      </c>
      <c r="F528" s="14" t="s">
        <v>155</v>
      </c>
      <c r="G528" s="14" t="s">
        <v>156</v>
      </c>
      <c r="H528" s="14">
        <v>5</v>
      </c>
      <c r="I528" s="14">
        <v>2</v>
      </c>
      <c r="J528" s="15"/>
    </row>
    <row r="529" spans="1:10">
      <c r="A529" s="14">
        <f>IF(B529="","",COUNTA($B$4:B529))</f>
        <v>526</v>
      </c>
      <c r="B529" s="14" t="s">
        <v>1485</v>
      </c>
      <c r="C529" s="14" t="s">
        <v>205</v>
      </c>
      <c r="D529" s="14" t="s">
        <v>206</v>
      </c>
      <c r="E529" s="14" t="s">
        <v>205</v>
      </c>
      <c r="F529" s="14" t="s">
        <v>155</v>
      </c>
      <c r="G529" s="14" t="s">
        <v>156</v>
      </c>
      <c r="H529" s="14">
        <v>4</v>
      </c>
      <c r="I529" s="14"/>
      <c r="J529" s="15"/>
    </row>
    <row r="530" spans="1:10">
      <c r="A530" s="14">
        <f>IF(B530="","",COUNTA($B$4:B530))</f>
        <v>527</v>
      </c>
      <c r="B530" s="14" t="s">
        <v>1485</v>
      </c>
      <c r="C530" s="14" t="s">
        <v>208</v>
      </c>
      <c r="D530" s="14" t="s">
        <v>209</v>
      </c>
      <c r="E530" s="14" t="s">
        <v>208</v>
      </c>
      <c r="F530" s="14" t="s">
        <v>155</v>
      </c>
      <c r="G530" s="14" t="s">
        <v>156</v>
      </c>
      <c r="H530" s="14">
        <v>5</v>
      </c>
      <c r="I530" s="14"/>
      <c r="J530" s="15"/>
    </row>
    <row r="531" spans="1:10">
      <c r="A531" s="14">
        <f>IF(B531="","",COUNTA($B$4:B531))</f>
        <v>528</v>
      </c>
      <c r="B531" s="14" t="s">
        <v>1485</v>
      </c>
      <c r="C531" s="14" t="s">
        <v>1524</v>
      </c>
      <c r="D531" s="14" t="s">
        <v>336</v>
      </c>
      <c r="E531" s="14" t="s">
        <v>1524</v>
      </c>
      <c r="F531" s="14" t="s">
        <v>155</v>
      </c>
      <c r="G531" s="14" t="s">
        <v>156</v>
      </c>
      <c r="H531" s="14">
        <v>5</v>
      </c>
      <c r="I531" s="14"/>
      <c r="J531" s="15"/>
    </row>
    <row r="532" spans="1:10">
      <c r="A532" s="14">
        <f>IF(B532="","",COUNTA($B$4:B532))</f>
        <v>529</v>
      </c>
      <c r="B532" s="14" t="s">
        <v>1485</v>
      </c>
      <c r="C532" s="14" t="s">
        <v>162</v>
      </c>
      <c r="D532" s="14" t="s">
        <v>163</v>
      </c>
      <c r="E532" s="14" t="s">
        <v>164</v>
      </c>
      <c r="F532" s="14" t="s">
        <v>150</v>
      </c>
      <c r="G532" s="14" t="s">
        <v>151</v>
      </c>
      <c r="H532" s="14">
        <v>4</v>
      </c>
      <c r="I532" s="14"/>
      <c r="J532" s="15"/>
    </row>
    <row r="533" spans="1:10">
      <c r="A533" s="14">
        <f>IF(B533="","",COUNTA($B$4:B533))</f>
        <v>530</v>
      </c>
      <c r="B533" s="14" t="s">
        <v>1485</v>
      </c>
      <c r="C533" s="14" t="s">
        <v>249</v>
      </c>
      <c r="D533" s="14" t="s">
        <v>250</v>
      </c>
      <c r="E533" s="14" t="s">
        <v>249</v>
      </c>
      <c r="F533" s="14" t="s">
        <v>150</v>
      </c>
      <c r="G533" s="14" t="s">
        <v>151</v>
      </c>
      <c r="H533" s="14">
        <v>4</v>
      </c>
      <c r="I533" s="14"/>
      <c r="J533" s="15"/>
    </row>
    <row r="534" spans="1:10">
      <c r="A534" s="14">
        <f>IF(B534="","",COUNTA($B$4:B534))</f>
        <v>531</v>
      </c>
      <c r="B534" s="14" t="s">
        <v>1485</v>
      </c>
      <c r="C534" s="14" t="s">
        <v>251</v>
      </c>
      <c r="D534" s="14" t="s">
        <v>252</v>
      </c>
      <c r="E534" s="14" t="s">
        <v>251</v>
      </c>
      <c r="F534" s="14" t="s">
        <v>150</v>
      </c>
      <c r="G534" s="14" t="s">
        <v>151</v>
      </c>
      <c r="H534" s="14">
        <v>4</v>
      </c>
      <c r="I534" s="14"/>
      <c r="J534" s="15"/>
    </row>
    <row r="535" spans="1:10">
      <c r="A535" s="14">
        <f>IF(B535="","",COUNTA($B$4:B535))</f>
        <v>532</v>
      </c>
      <c r="B535" s="14" t="s">
        <v>1485</v>
      </c>
      <c r="C535" s="14" t="s">
        <v>253</v>
      </c>
      <c r="D535" s="14" t="s">
        <v>254</v>
      </c>
      <c r="E535" s="14" t="s">
        <v>253</v>
      </c>
      <c r="F535" s="14" t="s">
        <v>150</v>
      </c>
      <c r="G535" s="14" t="s">
        <v>151</v>
      </c>
      <c r="H535" s="14">
        <v>10</v>
      </c>
      <c r="I535" s="14"/>
      <c r="J535" s="15"/>
    </row>
    <row r="536" spans="1:10">
      <c r="A536" s="14">
        <f>IF(B536="","",COUNTA($B$4:B536))</f>
        <v>533</v>
      </c>
      <c r="B536" s="14" t="s">
        <v>1485</v>
      </c>
      <c r="C536" s="14" t="s">
        <v>255</v>
      </c>
      <c r="D536" s="14" t="s">
        <v>256</v>
      </c>
      <c r="E536" s="14" t="s">
        <v>255</v>
      </c>
      <c r="F536" s="14" t="s">
        <v>150</v>
      </c>
      <c r="G536" s="14" t="s">
        <v>151</v>
      </c>
      <c r="H536" s="14">
        <v>10</v>
      </c>
      <c r="I536" s="14"/>
      <c r="J536" s="15"/>
    </row>
    <row r="537" spans="1:10">
      <c r="A537" s="14">
        <f>IF(B537="","",COUNTA($B$4:B537))</f>
        <v>534</v>
      </c>
      <c r="B537" s="14" t="s">
        <v>1485</v>
      </c>
      <c r="C537" s="14" t="s">
        <v>257</v>
      </c>
      <c r="D537" s="14" t="s">
        <v>258</v>
      </c>
      <c r="E537" s="14" t="s">
        <v>257</v>
      </c>
      <c r="F537" s="14" t="s">
        <v>169</v>
      </c>
      <c r="G537" s="14" t="s">
        <v>243</v>
      </c>
      <c r="H537" s="14"/>
      <c r="I537" s="14"/>
      <c r="J537" s="15"/>
    </row>
    <row r="538" spans="1:10">
      <c r="A538" s="14">
        <f>IF(B538="","",COUNTA($B$4:B538))</f>
        <v>535</v>
      </c>
      <c r="B538" s="14" t="s">
        <v>1485</v>
      </c>
      <c r="C538" s="14" t="s">
        <v>259</v>
      </c>
      <c r="D538" s="14" t="s">
        <v>260</v>
      </c>
      <c r="E538" s="14" t="s">
        <v>259</v>
      </c>
      <c r="F538" s="14" t="s">
        <v>150</v>
      </c>
      <c r="G538" s="14" t="s">
        <v>151</v>
      </c>
      <c r="H538" s="14">
        <v>10</v>
      </c>
      <c r="I538" s="14"/>
      <c r="J538" s="15"/>
    </row>
    <row r="539" spans="1:10">
      <c r="A539" s="14">
        <f>IF(B539="","",COUNTA($B$4:B539))</f>
        <v>536</v>
      </c>
      <c r="B539" s="14" t="s">
        <v>1485</v>
      </c>
      <c r="C539" s="14" t="s">
        <v>261</v>
      </c>
      <c r="D539" s="14" t="s">
        <v>262</v>
      </c>
      <c r="E539" s="14" t="s">
        <v>261</v>
      </c>
      <c r="F539" s="14" t="s">
        <v>150</v>
      </c>
      <c r="G539" s="14" t="s">
        <v>151</v>
      </c>
      <c r="H539" s="14">
        <v>10</v>
      </c>
      <c r="I539" s="14"/>
      <c r="J539" s="15"/>
    </row>
    <row r="540" spans="1:10">
      <c r="A540" s="14">
        <f>IF(B540="","",COUNTA($B$4:B540))</f>
        <v>537</v>
      </c>
      <c r="B540" s="14" t="s">
        <v>1485</v>
      </c>
      <c r="C540" s="14" t="s">
        <v>263</v>
      </c>
      <c r="D540" s="14" t="s">
        <v>264</v>
      </c>
      <c r="E540" s="14" t="s">
        <v>263</v>
      </c>
      <c r="F540" s="14" t="s">
        <v>169</v>
      </c>
      <c r="G540" s="14" t="s">
        <v>243</v>
      </c>
      <c r="H540" s="14"/>
      <c r="I540" s="14"/>
      <c r="J540" s="15"/>
    </row>
    <row r="541" spans="1:10">
      <c r="A541" s="14">
        <f>IF(B541="","",COUNTA($B$4:B541))</f>
        <v>538</v>
      </c>
      <c r="B541" s="14" t="s">
        <v>1525</v>
      </c>
      <c r="C541" s="14" t="s">
        <v>148</v>
      </c>
      <c r="D541" s="14" t="s">
        <v>149</v>
      </c>
      <c r="E541" s="14" t="s">
        <v>148</v>
      </c>
      <c r="F541" s="14" t="s">
        <v>150</v>
      </c>
      <c r="G541" s="14" t="s">
        <v>151</v>
      </c>
      <c r="H541" s="14">
        <v>15</v>
      </c>
      <c r="I541" s="14"/>
      <c r="J541" s="15"/>
    </row>
    <row r="542" spans="1:10">
      <c r="A542" s="14">
        <f>IF(B542="","",COUNTA($B$4:B542))</f>
        <v>539</v>
      </c>
      <c r="B542" s="14" t="s">
        <v>1525</v>
      </c>
      <c r="C542" s="14" t="s">
        <v>1572</v>
      </c>
      <c r="D542" s="14" t="s">
        <v>1455</v>
      </c>
      <c r="E542" s="14" t="s">
        <v>1572</v>
      </c>
      <c r="F542" s="14" t="s">
        <v>155</v>
      </c>
      <c r="G542" s="14" t="s">
        <v>156</v>
      </c>
      <c r="H542" s="14">
        <v>5</v>
      </c>
      <c r="I542" s="14"/>
      <c r="J542" s="15"/>
    </row>
    <row r="543" spans="1:10">
      <c r="A543" s="14">
        <f>IF(B543="","",COUNTA($B$4:B543))</f>
        <v>540</v>
      </c>
      <c r="B543" s="14" t="s">
        <v>1525</v>
      </c>
      <c r="C543" s="14" t="s">
        <v>159</v>
      </c>
      <c r="D543" s="14" t="s">
        <v>160</v>
      </c>
      <c r="E543" s="14" t="s">
        <v>159</v>
      </c>
      <c r="F543" s="14" t="s">
        <v>150</v>
      </c>
      <c r="G543" s="14" t="s">
        <v>151</v>
      </c>
      <c r="H543" s="14">
        <v>4</v>
      </c>
      <c r="I543" s="14"/>
      <c r="J543" s="15"/>
    </row>
    <row r="544" spans="1:10">
      <c r="A544" s="14">
        <f>IF(B544="","",COUNTA($B$4:B544))</f>
        <v>541</v>
      </c>
      <c r="B544" s="14" t="s">
        <v>1525</v>
      </c>
      <c r="C544" s="14" t="s">
        <v>162</v>
      </c>
      <c r="D544" s="14" t="s">
        <v>163</v>
      </c>
      <c r="E544" s="14" t="s">
        <v>164</v>
      </c>
      <c r="F544" s="14" t="s">
        <v>150</v>
      </c>
      <c r="G544" s="14" t="s">
        <v>151</v>
      </c>
      <c r="H544" s="14">
        <v>4</v>
      </c>
      <c r="I544" s="14"/>
      <c r="J544" s="15"/>
    </row>
    <row r="545" spans="1:10">
      <c r="A545" s="14">
        <f>IF(B545="","",COUNTA($B$4:B545))</f>
        <v>542</v>
      </c>
      <c r="B545" s="14" t="s">
        <v>1525</v>
      </c>
      <c r="C545" s="14" t="s">
        <v>193</v>
      </c>
      <c r="D545" s="14" t="s">
        <v>194</v>
      </c>
      <c r="E545" s="14" t="s">
        <v>193</v>
      </c>
      <c r="F545" s="14" t="s">
        <v>150</v>
      </c>
      <c r="G545" s="14" t="s">
        <v>151</v>
      </c>
      <c r="H545" s="14">
        <v>5</v>
      </c>
      <c r="I545" s="14"/>
      <c r="J545" s="15"/>
    </row>
    <row r="546" spans="1:10">
      <c r="A546" s="14">
        <f>IF(B546="","",COUNTA($B$4:B546))</f>
        <v>543</v>
      </c>
      <c r="B546" s="14" t="s">
        <v>1525</v>
      </c>
      <c r="C546" s="14" t="s">
        <v>195</v>
      </c>
      <c r="D546" s="14" t="s">
        <v>196</v>
      </c>
      <c r="E546" s="14" t="s">
        <v>195</v>
      </c>
      <c r="F546" s="14" t="s">
        <v>150</v>
      </c>
      <c r="G546" s="14" t="s">
        <v>151</v>
      </c>
      <c r="H546" s="14">
        <v>30</v>
      </c>
      <c r="I546" s="14"/>
      <c r="J546" s="15"/>
    </row>
    <row r="547" spans="1:10">
      <c r="A547" s="14">
        <f>IF(B547="","",COUNTA($B$4:B547))</f>
        <v>544</v>
      </c>
      <c r="B547" s="14" t="s">
        <v>1525</v>
      </c>
      <c r="C547" s="14" t="s">
        <v>197</v>
      </c>
      <c r="D547" s="14" t="s">
        <v>198</v>
      </c>
      <c r="E547" s="14" t="s">
        <v>197</v>
      </c>
      <c r="F547" s="14" t="s">
        <v>150</v>
      </c>
      <c r="G547" s="14" t="s">
        <v>151</v>
      </c>
      <c r="H547" s="14">
        <v>5</v>
      </c>
      <c r="I547" s="14"/>
      <c r="J547" s="15"/>
    </row>
    <row r="548" spans="1:10">
      <c r="A548" s="14">
        <f>IF(B548="","",COUNTA($B$4:B548))</f>
        <v>545</v>
      </c>
      <c r="B548" s="14" t="s">
        <v>1525</v>
      </c>
      <c r="C548" s="14" t="s">
        <v>199</v>
      </c>
      <c r="D548" s="14" t="s">
        <v>200</v>
      </c>
      <c r="E548" s="14" t="s">
        <v>199</v>
      </c>
      <c r="F548" s="14" t="s">
        <v>150</v>
      </c>
      <c r="G548" s="14" t="s">
        <v>151</v>
      </c>
      <c r="H548" s="14">
        <v>20</v>
      </c>
      <c r="I548" s="14"/>
      <c r="J548" s="15"/>
    </row>
    <row r="549" spans="1:10">
      <c r="A549" s="14">
        <f>IF(B549="","",COUNTA($B$4:B549))</f>
        <v>546</v>
      </c>
      <c r="B549" s="14" t="s">
        <v>1525</v>
      </c>
      <c r="C549" s="14" t="s">
        <v>201</v>
      </c>
      <c r="D549" s="14" t="s">
        <v>202</v>
      </c>
      <c r="E549" s="14" t="s">
        <v>201</v>
      </c>
      <c r="F549" s="14" t="s">
        <v>150</v>
      </c>
      <c r="G549" s="14" t="s">
        <v>151</v>
      </c>
      <c r="H549" s="14">
        <v>30</v>
      </c>
      <c r="I549" s="14"/>
      <c r="J549" s="15"/>
    </row>
    <row r="550" spans="1:10">
      <c r="A550" s="14">
        <f>IF(B550="","",COUNTA($B$4:B550))</f>
        <v>547</v>
      </c>
      <c r="B550" s="14" t="s">
        <v>1525</v>
      </c>
      <c r="C550" s="14" t="s">
        <v>203</v>
      </c>
      <c r="D550" s="14" t="s">
        <v>204</v>
      </c>
      <c r="E550" s="14" t="s">
        <v>203</v>
      </c>
      <c r="F550" s="14" t="s">
        <v>155</v>
      </c>
      <c r="G550" s="14" t="s">
        <v>156</v>
      </c>
      <c r="H550" s="14">
        <v>5</v>
      </c>
      <c r="I550" s="14">
        <v>2</v>
      </c>
      <c r="J550" s="15"/>
    </row>
    <row r="551" spans="1:10">
      <c r="A551" s="14">
        <f>IF(B551="","",COUNTA($B$4:B551))</f>
        <v>548</v>
      </c>
      <c r="B551" s="14" t="s">
        <v>1525</v>
      </c>
      <c r="C551" s="14" t="s">
        <v>205</v>
      </c>
      <c r="D551" s="14" t="s">
        <v>206</v>
      </c>
      <c r="E551" s="14" t="s">
        <v>205</v>
      </c>
      <c r="F551" s="14" t="s">
        <v>155</v>
      </c>
      <c r="G551" s="14" t="s">
        <v>156</v>
      </c>
      <c r="H551" s="14">
        <v>4</v>
      </c>
      <c r="I551" s="14"/>
      <c r="J551" s="15"/>
    </row>
    <row r="552" spans="1:10">
      <c r="A552" s="14">
        <f>IF(B552="","",COUNTA($B$4:B552))</f>
        <v>549</v>
      </c>
      <c r="B552" s="14" t="s">
        <v>1525</v>
      </c>
      <c r="C552" s="14" t="s">
        <v>208</v>
      </c>
      <c r="D552" s="14" t="s">
        <v>209</v>
      </c>
      <c r="E552" s="14" t="s">
        <v>208</v>
      </c>
      <c r="F552" s="14" t="s">
        <v>155</v>
      </c>
      <c r="G552" s="14" t="s">
        <v>156</v>
      </c>
      <c r="H552" s="14">
        <v>5</v>
      </c>
      <c r="I552" s="14"/>
      <c r="J552" s="15"/>
    </row>
    <row r="553" spans="1:10">
      <c r="A553" s="14">
        <f>IF(B553="","",COUNTA($B$4:B553))</f>
        <v>550</v>
      </c>
      <c r="B553" s="14" t="s">
        <v>1525</v>
      </c>
      <c r="C553" s="14" t="s">
        <v>392</v>
      </c>
      <c r="D553" s="14" t="s">
        <v>393</v>
      </c>
      <c r="E553" s="14" t="s">
        <v>392</v>
      </c>
      <c r="F553" s="14" t="s">
        <v>169</v>
      </c>
      <c r="G553" s="14" t="s">
        <v>170</v>
      </c>
      <c r="H553" s="14"/>
      <c r="I553" s="14"/>
      <c r="J553" s="15"/>
    </row>
    <row r="554" spans="1:10">
      <c r="A554" s="14">
        <f>IF(B554="","",COUNTA($B$4:B554))</f>
        <v>551</v>
      </c>
      <c r="B554" s="14" t="s">
        <v>1525</v>
      </c>
      <c r="C554" s="14" t="s">
        <v>249</v>
      </c>
      <c r="D554" s="14" t="s">
        <v>250</v>
      </c>
      <c r="E554" s="14" t="s">
        <v>249</v>
      </c>
      <c r="F554" s="14" t="s">
        <v>150</v>
      </c>
      <c r="G554" s="14" t="s">
        <v>151</v>
      </c>
      <c r="H554" s="14">
        <v>4</v>
      </c>
      <c r="I554" s="14"/>
      <c r="J554" s="15"/>
    </row>
    <row r="555" spans="1:10">
      <c r="A555" s="14">
        <f>IF(B555="","",COUNTA($B$4:B555))</f>
        <v>552</v>
      </c>
      <c r="B555" s="14" t="s">
        <v>1525</v>
      </c>
      <c r="C555" s="14" t="s">
        <v>251</v>
      </c>
      <c r="D555" s="14" t="s">
        <v>252</v>
      </c>
      <c r="E555" s="14" t="s">
        <v>251</v>
      </c>
      <c r="F555" s="14" t="s">
        <v>150</v>
      </c>
      <c r="G555" s="14" t="s">
        <v>151</v>
      </c>
      <c r="H555" s="14">
        <v>4</v>
      </c>
      <c r="I555" s="14"/>
      <c r="J555" s="15"/>
    </row>
    <row r="556" spans="1:10">
      <c r="A556" s="14">
        <f>IF(B556="","",COUNTA($B$4:B556))</f>
        <v>553</v>
      </c>
      <c r="B556" s="14" t="s">
        <v>1525</v>
      </c>
      <c r="C556" s="14" t="s">
        <v>253</v>
      </c>
      <c r="D556" s="14" t="s">
        <v>254</v>
      </c>
      <c r="E556" s="14" t="s">
        <v>253</v>
      </c>
      <c r="F556" s="14" t="s">
        <v>150</v>
      </c>
      <c r="G556" s="14" t="s">
        <v>151</v>
      </c>
      <c r="H556" s="14">
        <v>10</v>
      </c>
      <c r="I556" s="14"/>
      <c r="J556" s="15"/>
    </row>
    <row r="557" spans="1:10">
      <c r="A557" s="14">
        <f>IF(B557="","",COUNTA($B$4:B557))</f>
        <v>554</v>
      </c>
      <c r="B557" s="14" t="s">
        <v>1525</v>
      </c>
      <c r="C557" s="14" t="s">
        <v>255</v>
      </c>
      <c r="D557" s="14" t="s">
        <v>256</v>
      </c>
      <c r="E557" s="14" t="s">
        <v>255</v>
      </c>
      <c r="F557" s="14" t="s">
        <v>150</v>
      </c>
      <c r="G557" s="14" t="s">
        <v>151</v>
      </c>
      <c r="H557" s="14">
        <v>10</v>
      </c>
      <c r="I557" s="14"/>
      <c r="J557" s="15"/>
    </row>
    <row r="558" spans="1:10">
      <c r="A558" s="14">
        <f>IF(B558="","",COUNTA($B$4:B558))</f>
        <v>555</v>
      </c>
      <c r="B558" s="14" t="s">
        <v>1525</v>
      </c>
      <c r="C558" s="14" t="s">
        <v>257</v>
      </c>
      <c r="D558" s="14" t="s">
        <v>258</v>
      </c>
      <c r="E558" s="14" t="s">
        <v>257</v>
      </c>
      <c r="F558" s="14" t="s">
        <v>169</v>
      </c>
      <c r="G558" s="14" t="s">
        <v>243</v>
      </c>
      <c r="H558" s="14"/>
      <c r="I558" s="14"/>
      <c r="J558" s="15"/>
    </row>
    <row r="559" spans="1:10">
      <c r="A559" s="14">
        <f>IF(B559="","",COUNTA($B$4:B559))</f>
        <v>556</v>
      </c>
      <c r="B559" s="14" t="s">
        <v>1525</v>
      </c>
      <c r="C559" s="14" t="s">
        <v>259</v>
      </c>
      <c r="D559" s="14" t="s">
        <v>260</v>
      </c>
      <c r="E559" s="14" t="s">
        <v>259</v>
      </c>
      <c r="F559" s="14" t="s">
        <v>150</v>
      </c>
      <c r="G559" s="14" t="s">
        <v>151</v>
      </c>
      <c r="H559" s="14">
        <v>10</v>
      </c>
      <c r="I559" s="14"/>
      <c r="J559" s="15"/>
    </row>
    <row r="560" spans="1:10">
      <c r="A560" s="14">
        <f>IF(B560="","",COUNTA($B$4:B560))</f>
        <v>557</v>
      </c>
      <c r="B560" s="14" t="s">
        <v>1525</v>
      </c>
      <c r="C560" s="14" t="s">
        <v>261</v>
      </c>
      <c r="D560" s="14" t="s">
        <v>262</v>
      </c>
      <c r="E560" s="14" t="s">
        <v>261</v>
      </c>
      <c r="F560" s="14" t="s">
        <v>150</v>
      </c>
      <c r="G560" s="14" t="s">
        <v>151</v>
      </c>
      <c r="H560" s="14">
        <v>10</v>
      </c>
      <c r="I560" s="14"/>
      <c r="J560" s="15"/>
    </row>
    <row r="561" spans="1:10">
      <c r="A561" s="14">
        <f>IF(B561="","",COUNTA($B$4:B561))</f>
        <v>558</v>
      </c>
      <c r="B561" s="14" t="s">
        <v>1525</v>
      </c>
      <c r="C561" s="14" t="s">
        <v>263</v>
      </c>
      <c r="D561" s="14" t="s">
        <v>264</v>
      </c>
      <c r="E561" s="14" t="s">
        <v>263</v>
      </c>
      <c r="F561" s="14" t="s">
        <v>169</v>
      </c>
      <c r="G561" s="14" t="s">
        <v>243</v>
      </c>
      <c r="H561" s="14"/>
      <c r="I561" s="14"/>
      <c r="J561" s="15"/>
    </row>
    <row r="562" spans="1:10">
      <c r="A562" s="14">
        <f>IF(B562="","",COUNTA($B$4:B562))</f>
        <v>559</v>
      </c>
      <c r="B562" s="14" t="s">
        <v>1526</v>
      </c>
      <c r="C562" s="14" t="s">
        <v>148</v>
      </c>
      <c r="D562" s="14" t="s">
        <v>149</v>
      </c>
      <c r="E562" s="14" t="s">
        <v>148</v>
      </c>
      <c r="F562" s="14" t="s">
        <v>150</v>
      </c>
      <c r="G562" s="14" t="s">
        <v>151</v>
      </c>
      <c r="H562" s="14">
        <v>15</v>
      </c>
      <c r="I562" s="14"/>
      <c r="J562" s="15"/>
    </row>
    <row r="563" spans="1:10">
      <c r="A563" s="14">
        <f>IF(B563="","",COUNTA($B$4:B563))</f>
        <v>560</v>
      </c>
      <c r="B563" s="14" t="s">
        <v>1526</v>
      </c>
      <c r="C563" s="14" t="s">
        <v>1572</v>
      </c>
      <c r="D563" s="14" t="s">
        <v>1455</v>
      </c>
      <c r="E563" s="14" t="s">
        <v>1572</v>
      </c>
      <c r="F563" s="14" t="s">
        <v>155</v>
      </c>
      <c r="G563" s="14" t="s">
        <v>156</v>
      </c>
      <c r="H563" s="14">
        <v>5</v>
      </c>
      <c r="I563" s="14"/>
      <c r="J563" s="15"/>
    </row>
    <row r="564" spans="1:10">
      <c r="A564" s="14">
        <f>IF(B564="","",COUNTA($B$4:B564))</f>
        <v>561</v>
      </c>
      <c r="B564" s="14" t="s">
        <v>1526</v>
      </c>
      <c r="C564" s="14" t="s">
        <v>347</v>
      </c>
      <c r="D564" s="14" t="s">
        <v>348</v>
      </c>
      <c r="E564" s="14" t="s">
        <v>347</v>
      </c>
      <c r="F564" s="14" t="s">
        <v>155</v>
      </c>
      <c r="G564" s="14" t="s">
        <v>156</v>
      </c>
      <c r="H564" s="14">
        <v>3</v>
      </c>
      <c r="I564" s="14"/>
      <c r="J564" s="15"/>
    </row>
    <row r="565" spans="1:10">
      <c r="A565" s="14">
        <f>IF(B565="","",COUNTA($B$4:B565))</f>
        <v>562</v>
      </c>
      <c r="B565" s="14" t="s">
        <v>1526</v>
      </c>
      <c r="C565" s="14" t="s">
        <v>1527</v>
      </c>
      <c r="D565" s="14" t="s">
        <v>444</v>
      </c>
      <c r="E565" s="14" t="s">
        <v>1527</v>
      </c>
      <c r="F565" s="14" t="s">
        <v>155</v>
      </c>
      <c r="G565" s="14" t="s">
        <v>156</v>
      </c>
      <c r="H565" s="14">
        <v>1</v>
      </c>
      <c r="I565" s="14"/>
      <c r="J565" s="15"/>
    </row>
    <row r="566" spans="1:10">
      <c r="A566" s="14">
        <f>IF(B566="","",COUNTA($B$4:B566))</f>
        <v>563</v>
      </c>
      <c r="B566" s="14" t="s">
        <v>1526</v>
      </c>
      <c r="C566" s="14" t="s">
        <v>1530</v>
      </c>
      <c r="D566" s="14" t="s">
        <v>1578</v>
      </c>
      <c r="E566" s="14" t="s">
        <v>1530</v>
      </c>
      <c r="F566" s="14" t="s">
        <v>150</v>
      </c>
      <c r="G566" s="14" t="s">
        <v>151</v>
      </c>
      <c r="H566" s="14">
        <v>2</v>
      </c>
      <c r="I566" s="14"/>
      <c r="J566" s="15"/>
    </row>
    <row r="567" spans="1:10">
      <c r="A567" s="14">
        <f>IF(B567="","",COUNTA($B$4:B567))</f>
        <v>564</v>
      </c>
      <c r="B567" s="14" t="s">
        <v>1526</v>
      </c>
      <c r="C567" s="14" t="s">
        <v>1322</v>
      </c>
      <c r="D567" s="14" t="s">
        <v>1323</v>
      </c>
      <c r="E567" s="14" t="s">
        <v>1322</v>
      </c>
      <c r="F567" s="14" t="s">
        <v>155</v>
      </c>
      <c r="G567" s="14" t="s">
        <v>156</v>
      </c>
      <c r="H567" s="14">
        <v>1</v>
      </c>
      <c r="I567" s="14"/>
      <c r="J567" s="15"/>
    </row>
    <row r="568" spans="1:10">
      <c r="A568" s="14">
        <f>IF(B568="","",COUNTA($B$4:B568))</f>
        <v>565</v>
      </c>
      <c r="B568" s="14" t="s">
        <v>1526</v>
      </c>
      <c r="C568" s="14" t="s">
        <v>1585</v>
      </c>
      <c r="D568" s="14" t="s">
        <v>1581</v>
      </c>
      <c r="E568" s="14" t="s">
        <v>1585</v>
      </c>
      <c r="F568" s="14" t="s">
        <v>150</v>
      </c>
      <c r="G568" s="14" t="s">
        <v>151</v>
      </c>
      <c r="H568" s="14">
        <v>15</v>
      </c>
      <c r="I568" s="14"/>
      <c r="J568" s="15"/>
    </row>
    <row r="569" spans="1:10">
      <c r="A569" s="14">
        <f>IF(B569="","",COUNTA($B$4:B569))</f>
        <v>566</v>
      </c>
      <c r="B569" s="14" t="s">
        <v>1526</v>
      </c>
      <c r="C569" s="14" t="s">
        <v>1528</v>
      </c>
      <c r="D569" s="14" t="s">
        <v>346</v>
      </c>
      <c r="E569" s="14" t="s">
        <v>1528</v>
      </c>
      <c r="F569" s="14" t="s">
        <v>150</v>
      </c>
      <c r="G569" s="14" t="s">
        <v>151</v>
      </c>
      <c r="H569" s="14">
        <v>15</v>
      </c>
      <c r="I569" s="14"/>
      <c r="J569" s="15"/>
    </row>
    <row r="570" spans="1:10">
      <c r="A570" s="14">
        <f>IF(B570="","",COUNTA($B$4:B570))</f>
        <v>567</v>
      </c>
      <c r="B570" s="14" t="s">
        <v>1526</v>
      </c>
      <c r="C570" s="14" t="s">
        <v>159</v>
      </c>
      <c r="D570" s="14" t="s">
        <v>160</v>
      </c>
      <c r="E570" s="14" t="s">
        <v>159</v>
      </c>
      <c r="F570" s="14" t="s">
        <v>150</v>
      </c>
      <c r="G570" s="14" t="s">
        <v>151</v>
      </c>
      <c r="H570" s="14">
        <v>4</v>
      </c>
      <c r="I570" s="14"/>
      <c r="J570" s="15"/>
    </row>
    <row r="571" spans="1:10">
      <c r="A571" s="14">
        <f>IF(B571="","",COUNTA($B$4:B571))</f>
        <v>568</v>
      </c>
      <c r="B571" s="14" t="s">
        <v>1526</v>
      </c>
      <c r="C571" s="14" t="s">
        <v>162</v>
      </c>
      <c r="D571" s="14" t="s">
        <v>163</v>
      </c>
      <c r="E571" s="14" t="s">
        <v>164</v>
      </c>
      <c r="F571" s="14" t="s">
        <v>150</v>
      </c>
      <c r="G571" s="14" t="s">
        <v>151</v>
      </c>
      <c r="H571" s="14">
        <v>4</v>
      </c>
      <c r="I571" s="14"/>
      <c r="J571" s="15" t="s">
        <v>1584</v>
      </c>
    </row>
    <row r="572" spans="1:10">
      <c r="A572" s="14">
        <f>IF(B572="","",COUNTA($B$4:B572))</f>
        <v>569</v>
      </c>
      <c r="B572" s="14" t="s">
        <v>1526</v>
      </c>
      <c r="C572" s="14" t="s">
        <v>1529</v>
      </c>
      <c r="D572" s="14" t="s">
        <v>448</v>
      </c>
      <c r="E572" s="14" t="s">
        <v>1529</v>
      </c>
      <c r="F572" s="14" t="s">
        <v>155</v>
      </c>
      <c r="G572" s="14" t="s">
        <v>156</v>
      </c>
      <c r="H572" s="14">
        <v>1</v>
      </c>
      <c r="I572" s="14"/>
      <c r="J572" s="15" t="s">
        <v>1490</v>
      </c>
    </row>
    <row r="573" spans="1:10">
      <c r="A573" s="14">
        <f>IF(B573="","",COUNTA($B$4:B573))</f>
        <v>570</v>
      </c>
      <c r="B573" s="14" t="s">
        <v>1526</v>
      </c>
      <c r="C573" s="14" t="s">
        <v>1530</v>
      </c>
      <c r="D573" s="14" t="s">
        <v>452</v>
      </c>
      <c r="E573" s="14" t="s">
        <v>1530</v>
      </c>
      <c r="F573" s="14" t="s">
        <v>155</v>
      </c>
      <c r="G573" s="14" t="s">
        <v>156</v>
      </c>
      <c r="H573" s="14">
        <v>1</v>
      </c>
      <c r="I573" s="14"/>
      <c r="J573" s="15" t="s">
        <v>1490</v>
      </c>
    </row>
    <row r="574" spans="1:10">
      <c r="A574" s="14">
        <f>IF(B574="","",COUNTA($B$4:B574))</f>
        <v>571</v>
      </c>
      <c r="B574" s="14" t="s">
        <v>1526</v>
      </c>
      <c r="C574" s="14" t="s">
        <v>197</v>
      </c>
      <c r="D574" s="14" t="s">
        <v>198</v>
      </c>
      <c r="E574" s="14" t="s">
        <v>197</v>
      </c>
      <c r="F574" s="14" t="s">
        <v>150</v>
      </c>
      <c r="G574" s="14" t="s">
        <v>151</v>
      </c>
      <c r="H574" s="14">
        <v>5</v>
      </c>
      <c r="I574" s="14"/>
      <c r="J574" s="15"/>
    </row>
    <row r="575" spans="1:10">
      <c r="A575" s="14">
        <f>IF(B575="","",COUNTA($B$4:B575))</f>
        <v>572</v>
      </c>
      <c r="B575" s="14" t="s">
        <v>1526</v>
      </c>
      <c r="C575" s="14" t="s">
        <v>199</v>
      </c>
      <c r="D575" s="14" t="s">
        <v>200</v>
      </c>
      <c r="E575" s="14" t="s">
        <v>199</v>
      </c>
      <c r="F575" s="14" t="s">
        <v>150</v>
      </c>
      <c r="G575" s="14" t="s">
        <v>151</v>
      </c>
      <c r="H575" s="14">
        <v>20</v>
      </c>
      <c r="I575" s="14"/>
      <c r="J575" s="15"/>
    </row>
    <row r="576" spans="1:10">
      <c r="A576" s="14">
        <f>IF(B576="","",COUNTA($B$4:B576))</f>
        <v>573</v>
      </c>
      <c r="B576" s="14" t="s">
        <v>1526</v>
      </c>
      <c r="C576" s="14" t="s">
        <v>201</v>
      </c>
      <c r="D576" s="14" t="s">
        <v>202</v>
      </c>
      <c r="E576" s="14" t="s">
        <v>201</v>
      </c>
      <c r="F576" s="14" t="s">
        <v>150</v>
      </c>
      <c r="G576" s="14" t="s">
        <v>151</v>
      </c>
      <c r="H576" s="14">
        <v>30</v>
      </c>
      <c r="I576" s="14"/>
      <c r="J576" s="15"/>
    </row>
    <row r="577" spans="1:10">
      <c r="A577" s="14">
        <f>IF(B577="","",COUNTA($B$4:B577))</f>
        <v>574</v>
      </c>
      <c r="B577" s="14" t="s">
        <v>1526</v>
      </c>
      <c r="C577" s="14" t="s">
        <v>203</v>
      </c>
      <c r="D577" s="14" t="s">
        <v>204</v>
      </c>
      <c r="E577" s="14" t="s">
        <v>203</v>
      </c>
      <c r="F577" s="14" t="s">
        <v>155</v>
      </c>
      <c r="G577" s="14" t="s">
        <v>156</v>
      </c>
      <c r="H577" s="14">
        <v>5</v>
      </c>
      <c r="I577" s="14">
        <v>2</v>
      </c>
      <c r="J577" s="15"/>
    </row>
    <row r="578" spans="1:10">
      <c r="A578" s="14">
        <f>IF(B578="","",COUNTA($B$4:B578))</f>
        <v>575</v>
      </c>
      <c r="B578" s="14" t="s">
        <v>1526</v>
      </c>
      <c r="C578" s="14" t="s">
        <v>205</v>
      </c>
      <c r="D578" s="14" t="s">
        <v>206</v>
      </c>
      <c r="E578" s="14" t="s">
        <v>205</v>
      </c>
      <c r="F578" s="14" t="s">
        <v>155</v>
      </c>
      <c r="G578" s="14" t="s">
        <v>156</v>
      </c>
      <c r="H578" s="14">
        <v>4</v>
      </c>
      <c r="I578" s="14"/>
      <c r="J578" s="15"/>
    </row>
    <row r="579" spans="1:10">
      <c r="A579" s="14">
        <f>IF(B579="","",COUNTA($B$4:B579))</f>
        <v>576</v>
      </c>
      <c r="B579" s="14" t="s">
        <v>1526</v>
      </c>
      <c r="C579" s="14" t="s">
        <v>208</v>
      </c>
      <c r="D579" s="14" t="s">
        <v>209</v>
      </c>
      <c r="E579" s="14" t="s">
        <v>208</v>
      </c>
      <c r="F579" s="14" t="s">
        <v>155</v>
      </c>
      <c r="G579" s="14" t="s">
        <v>156</v>
      </c>
      <c r="H579" s="14">
        <v>5</v>
      </c>
      <c r="I579" s="14"/>
      <c r="J579" s="15"/>
    </row>
    <row r="580" spans="1:10">
      <c r="A580" s="14">
        <f>IF(B580="","",COUNTA($B$4:B580))</f>
        <v>577</v>
      </c>
      <c r="B580" s="14" t="s">
        <v>1526</v>
      </c>
      <c r="C580" s="14" t="s">
        <v>320</v>
      </c>
      <c r="D580" s="14" t="s">
        <v>321</v>
      </c>
      <c r="E580" s="14" t="s">
        <v>320</v>
      </c>
      <c r="F580" s="14" t="s">
        <v>155</v>
      </c>
      <c r="G580" s="14" t="s">
        <v>156</v>
      </c>
      <c r="H580" s="14">
        <v>5</v>
      </c>
      <c r="I580" s="14"/>
      <c r="J580" s="15"/>
    </row>
    <row r="581" spans="1:10">
      <c r="A581" s="14">
        <f>IF(B581="","",COUNTA($B$4:B581))</f>
        <v>578</v>
      </c>
      <c r="B581" s="14" t="s">
        <v>1526</v>
      </c>
      <c r="C581" s="14" t="s">
        <v>249</v>
      </c>
      <c r="D581" s="14" t="s">
        <v>250</v>
      </c>
      <c r="E581" s="14" t="s">
        <v>249</v>
      </c>
      <c r="F581" s="14" t="s">
        <v>150</v>
      </c>
      <c r="G581" s="14" t="s">
        <v>151</v>
      </c>
      <c r="H581" s="14">
        <v>4</v>
      </c>
      <c r="I581" s="14"/>
      <c r="J581" s="15"/>
    </row>
    <row r="582" spans="1:10">
      <c r="A582" s="14">
        <f>IF(B582="","",COUNTA($B$4:B582))</f>
        <v>579</v>
      </c>
      <c r="B582" s="14" t="s">
        <v>1526</v>
      </c>
      <c r="C582" s="14" t="s">
        <v>251</v>
      </c>
      <c r="D582" s="14" t="s">
        <v>252</v>
      </c>
      <c r="E582" s="14" t="s">
        <v>251</v>
      </c>
      <c r="F582" s="14" t="s">
        <v>150</v>
      </c>
      <c r="G582" s="14" t="s">
        <v>151</v>
      </c>
      <c r="H582" s="14">
        <v>4</v>
      </c>
      <c r="I582" s="14"/>
      <c r="J582" s="15"/>
    </row>
    <row r="583" spans="1:10">
      <c r="A583" s="14">
        <f>IF(B583="","",COUNTA($B$4:B583))</f>
        <v>580</v>
      </c>
      <c r="B583" s="14" t="s">
        <v>1526</v>
      </c>
      <c r="C583" s="14" t="s">
        <v>253</v>
      </c>
      <c r="D583" s="14" t="s">
        <v>254</v>
      </c>
      <c r="E583" s="14" t="s">
        <v>253</v>
      </c>
      <c r="F583" s="14" t="s">
        <v>150</v>
      </c>
      <c r="G583" s="14" t="s">
        <v>151</v>
      </c>
      <c r="H583" s="14">
        <v>10</v>
      </c>
      <c r="I583" s="14"/>
      <c r="J583" s="15"/>
    </row>
    <row r="584" spans="1:10">
      <c r="A584" s="14">
        <f>IF(B584="","",COUNTA($B$4:B584))</f>
        <v>581</v>
      </c>
      <c r="B584" s="14" t="s">
        <v>1526</v>
      </c>
      <c r="C584" s="14" t="s">
        <v>255</v>
      </c>
      <c r="D584" s="14" t="s">
        <v>256</v>
      </c>
      <c r="E584" s="14" t="s">
        <v>255</v>
      </c>
      <c r="F584" s="14" t="s">
        <v>150</v>
      </c>
      <c r="G584" s="14" t="s">
        <v>151</v>
      </c>
      <c r="H584" s="14">
        <v>10</v>
      </c>
      <c r="I584" s="14"/>
      <c r="J584" s="15"/>
    </row>
    <row r="585" spans="1:10">
      <c r="A585" s="14">
        <f>IF(B585="","",COUNTA($B$4:B585))</f>
        <v>582</v>
      </c>
      <c r="B585" s="14" t="s">
        <v>1526</v>
      </c>
      <c r="C585" s="14" t="s">
        <v>257</v>
      </c>
      <c r="D585" s="14" t="s">
        <v>258</v>
      </c>
      <c r="E585" s="14" t="s">
        <v>257</v>
      </c>
      <c r="F585" s="14" t="s">
        <v>169</v>
      </c>
      <c r="G585" s="14" t="s">
        <v>243</v>
      </c>
      <c r="H585" s="14"/>
      <c r="I585" s="14"/>
      <c r="J585" s="15"/>
    </row>
    <row r="586" spans="1:10">
      <c r="A586" s="14">
        <f>IF(B586="","",COUNTA($B$4:B586))</f>
        <v>583</v>
      </c>
      <c r="B586" s="14" t="s">
        <v>1526</v>
      </c>
      <c r="C586" s="14" t="s">
        <v>259</v>
      </c>
      <c r="D586" s="14" t="s">
        <v>260</v>
      </c>
      <c r="E586" s="14" t="s">
        <v>259</v>
      </c>
      <c r="F586" s="14" t="s">
        <v>150</v>
      </c>
      <c r="G586" s="14" t="s">
        <v>151</v>
      </c>
      <c r="H586" s="14">
        <v>10</v>
      </c>
      <c r="I586" s="14"/>
      <c r="J586" s="15"/>
    </row>
    <row r="587" spans="1:10">
      <c r="A587" s="14">
        <f>IF(B587="","",COUNTA($B$4:B587))</f>
        <v>584</v>
      </c>
      <c r="B587" s="14" t="s">
        <v>1526</v>
      </c>
      <c r="C587" s="14" t="s">
        <v>261</v>
      </c>
      <c r="D587" s="14" t="s">
        <v>262</v>
      </c>
      <c r="E587" s="14" t="s">
        <v>261</v>
      </c>
      <c r="F587" s="14" t="s">
        <v>150</v>
      </c>
      <c r="G587" s="14" t="s">
        <v>151</v>
      </c>
      <c r="H587" s="14">
        <v>10</v>
      </c>
      <c r="I587" s="14"/>
      <c r="J587" s="15"/>
    </row>
    <row r="588" spans="1:10">
      <c r="A588" s="14">
        <f>IF(B588="","",COUNTA($B$4:B588))</f>
        <v>585</v>
      </c>
      <c r="B588" s="14" t="s">
        <v>1526</v>
      </c>
      <c r="C588" s="14" t="s">
        <v>263</v>
      </c>
      <c r="D588" s="14" t="s">
        <v>264</v>
      </c>
      <c r="E588" s="14" t="s">
        <v>263</v>
      </c>
      <c r="F588" s="14" t="s">
        <v>169</v>
      </c>
      <c r="G588" s="14" t="s">
        <v>243</v>
      </c>
      <c r="H588" s="14"/>
      <c r="I588" s="14"/>
      <c r="J588" s="15"/>
    </row>
    <row r="589" spans="1:10">
      <c r="A589" s="14">
        <f>IF(B589="","",COUNTA($B$4:B589))</f>
        <v>586</v>
      </c>
      <c r="B589" s="14" t="s">
        <v>1531</v>
      </c>
      <c r="C589" s="14" t="s">
        <v>148</v>
      </c>
      <c r="D589" s="14" t="s">
        <v>149</v>
      </c>
      <c r="E589" s="14" t="s">
        <v>148</v>
      </c>
      <c r="F589" s="14" t="s">
        <v>150</v>
      </c>
      <c r="G589" s="14" t="s">
        <v>151</v>
      </c>
      <c r="H589" s="14">
        <v>15</v>
      </c>
      <c r="I589" s="14"/>
      <c r="J589" s="15"/>
    </row>
    <row r="590" spans="1:10">
      <c r="A590" s="14">
        <f>IF(B590="","",COUNTA($B$4:B590))</f>
        <v>587</v>
      </c>
      <c r="B590" s="14" t="s">
        <v>1531</v>
      </c>
      <c r="C590" s="14" t="s">
        <v>1527</v>
      </c>
      <c r="D590" s="14" t="s">
        <v>444</v>
      </c>
      <c r="E590" s="14" t="s">
        <v>1527</v>
      </c>
      <c r="F590" s="14" t="s">
        <v>155</v>
      </c>
      <c r="G590" s="14" t="s">
        <v>156</v>
      </c>
      <c r="H590" s="14">
        <v>1</v>
      </c>
      <c r="I590" s="14"/>
      <c r="J590" s="15"/>
    </row>
    <row r="591" spans="1:10">
      <c r="A591" s="14">
        <f>IF(B591="","",COUNTA($B$4:B591))</f>
        <v>588</v>
      </c>
      <c r="B591" s="14" t="s">
        <v>1531</v>
      </c>
      <c r="C591" s="14" t="s">
        <v>1528</v>
      </c>
      <c r="D591" s="14" t="s">
        <v>346</v>
      </c>
      <c r="E591" s="14" t="s">
        <v>1528</v>
      </c>
      <c r="F591" s="14" t="s">
        <v>150</v>
      </c>
      <c r="G591" s="14" t="s">
        <v>151</v>
      </c>
      <c r="H591" s="14">
        <v>15</v>
      </c>
      <c r="I591" s="14"/>
      <c r="J591" s="15"/>
    </row>
    <row r="592" spans="1:10">
      <c r="A592" s="14">
        <f>IF(B592="","",COUNTA($B$4:B592))</f>
        <v>589</v>
      </c>
      <c r="B592" s="14" t="s">
        <v>1531</v>
      </c>
      <c r="C592" s="14" t="s">
        <v>1532</v>
      </c>
      <c r="D592" s="14" t="s">
        <v>458</v>
      </c>
      <c r="E592" s="14" t="s">
        <v>1533</v>
      </c>
      <c r="F592" s="14" t="s">
        <v>150</v>
      </c>
      <c r="G592" s="14" t="s">
        <v>151</v>
      </c>
      <c r="H592" s="14">
        <v>15</v>
      </c>
      <c r="I592" s="14"/>
      <c r="J592" s="15"/>
    </row>
    <row r="593" spans="1:10">
      <c r="A593" s="14">
        <f>IF(B593="","",COUNTA($B$4:B593))</f>
        <v>590</v>
      </c>
      <c r="B593" s="14" t="s">
        <v>1531</v>
      </c>
      <c r="C593" s="14" t="s">
        <v>159</v>
      </c>
      <c r="D593" s="14" t="s">
        <v>160</v>
      </c>
      <c r="E593" s="14" t="s">
        <v>159</v>
      </c>
      <c r="F593" s="14" t="s">
        <v>150</v>
      </c>
      <c r="G593" s="14" t="s">
        <v>151</v>
      </c>
      <c r="H593" s="14">
        <v>4</v>
      </c>
      <c r="I593" s="14"/>
      <c r="J593" s="15"/>
    </row>
    <row r="594" spans="1:10">
      <c r="A594" s="14">
        <f>IF(B594="","",COUNTA($B$4:B594))</f>
        <v>591</v>
      </c>
      <c r="B594" s="14" t="s">
        <v>1531</v>
      </c>
      <c r="C594" s="14" t="s">
        <v>162</v>
      </c>
      <c r="D594" s="14" t="s">
        <v>163</v>
      </c>
      <c r="E594" s="14" t="s">
        <v>164</v>
      </c>
      <c r="F594" s="14" t="s">
        <v>150</v>
      </c>
      <c r="G594" s="14" t="s">
        <v>151</v>
      </c>
      <c r="H594" s="14">
        <v>4</v>
      </c>
      <c r="I594" s="14"/>
      <c r="J594" s="15"/>
    </row>
    <row r="595" spans="1:10">
      <c r="A595" s="14">
        <f>IF(B595="","",COUNTA($B$4:B595))</f>
        <v>592</v>
      </c>
      <c r="B595" s="14" t="s">
        <v>1531</v>
      </c>
      <c r="C595" s="14" t="s">
        <v>249</v>
      </c>
      <c r="D595" s="14" t="s">
        <v>250</v>
      </c>
      <c r="E595" s="14" t="s">
        <v>249</v>
      </c>
      <c r="F595" s="14" t="s">
        <v>150</v>
      </c>
      <c r="G595" s="14" t="s">
        <v>151</v>
      </c>
      <c r="H595" s="14">
        <v>4</v>
      </c>
      <c r="I595" s="14"/>
      <c r="J595" s="15"/>
    </row>
    <row r="596" spans="1:10">
      <c r="A596" s="14">
        <f>IF(B596="","",COUNTA($B$4:B596))</f>
        <v>593</v>
      </c>
      <c r="B596" s="14" t="s">
        <v>1531</v>
      </c>
      <c r="C596" s="14" t="s">
        <v>251</v>
      </c>
      <c r="D596" s="14" t="s">
        <v>252</v>
      </c>
      <c r="E596" s="14" t="s">
        <v>251</v>
      </c>
      <c r="F596" s="14" t="s">
        <v>150</v>
      </c>
      <c r="G596" s="14" t="s">
        <v>151</v>
      </c>
      <c r="H596" s="14">
        <v>4</v>
      </c>
      <c r="I596" s="14"/>
      <c r="J596" s="15"/>
    </row>
    <row r="597" spans="1:10">
      <c r="A597" s="14">
        <f>IF(B597="","",COUNTA($B$4:B597))</f>
        <v>594</v>
      </c>
      <c r="B597" s="14" t="s">
        <v>1531</v>
      </c>
      <c r="C597" s="14" t="s">
        <v>253</v>
      </c>
      <c r="D597" s="14" t="s">
        <v>254</v>
      </c>
      <c r="E597" s="14" t="s">
        <v>253</v>
      </c>
      <c r="F597" s="14" t="s">
        <v>150</v>
      </c>
      <c r="G597" s="14" t="s">
        <v>151</v>
      </c>
      <c r="H597" s="14">
        <v>10</v>
      </c>
      <c r="I597" s="14"/>
      <c r="J597" s="15"/>
    </row>
    <row r="598" spans="1:10">
      <c r="A598" s="14">
        <f>IF(B598="","",COUNTA($B$4:B598))</f>
        <v>595</v>
      </c>
      <c r="B598" s="14" t="s">
        <v>1531</v>
      </c>
      <c r="C598" s="14" t="s">
        <v>255</v>
      </c>
      <c r="D598" s="14" t="s">
        <v>256</v>
      </c>
      <c r="E598" s="14" t="s">
        <v>255</v>
      </c>
      <c r="F598" s="14" t="s">
        <v>150</v>
      </c>
      <c r="G598" s="14" t="s">
        <v>151</v>
      </c>
      <c r="H598" s="14">
        <v>10</v>
      </c>
      <c r="I598" s="14"/>
      <c r="J598" s="15"/>
    </row>
    <row r="599" spans="1:10">
      <c r="A599" s="14">
        <f>IF(B599="","",COUNTA($B$4:B599))</f>
        <v>596</v>
      </c>
      <c r="B599" s="14" t="s">
        <v>1531</v>
      </c>
      <c r="C599" s="14" t="s">
        <v>257</v>
      </c>
      <c r="D599" s="14" t="s">
        <v>258</v>
      </c>
      <c r="E599" s="14" t="s">
        <v>257</v>
      </c>
      <c r="F599" s="14" t="s">
        <v>169</v>
      </c>
      <c r="G599" s="14" t="s">
        <v>243</v>
      </c>
      <c r="H599" s="14"/>
      <c r="I599" s="14"/>
      <c r="J599" s="15"/>
    </row>
    <row r="600" spans="1:10">
      <c r="A600" s="14">
        <f>IF(B600="","",COUNTA($B$4:B600))</f>
        <v>597</v>
      </c>
      <c r="B600" s="14" t="s">
        <v>1531</v>
      </c>
      <c r="C600" s="14" t="s">
        <v>259</v>
      </c>
      <c r="D600" s="14" t="s">
        <v>260</v>
      </c>
      <c r="E600" s="14" t="s">
        <v>259</v>
      </c>
      <c r="F600" s="14" t="s">
        <v>150</v>
      </c>
      <c r="G600" s="14" t="s">
        <v>151</v>
      </c>
      <c r="H600" s="14">
        <v>10</v>
      </c>
      <c r="I600" s="14"/>
      <c r="J600" s="15"/>
    </row>
    <row r="601" spans="1:10">
      <c r="A601" s="14">
        <f>IF(B601="","",COUNTA($B$4:B601))</f>
        <v>598</v>
      </c>
      <c r="B601" s="14" t="s">
        <v>1531</v>
      </c>
      <c r="C601" s="14" t="s">
        <v>261</v>
      </c>
      <c r="D601" s="14" t="s">
        <v>262</v>
      </c>
      <c r="E601" s="14" t="s">
        <v>261</v>
      </c>
      <c r="F601" s="14" t="s">
        <v>150</v>
      </c>
      <c r="G601" s="14" t="s">
        <v>151</v>
      </c>
      <c r="H601" s="14">
        <v>10</v>
      </c>
      <c r="I601" s="14"/>
      <c r="J601" s="15"/>
    </row>
    <row r="602" spans="1:10">
      <c r="A602" s="14">
        <f>IF(B602="","",COUNTA($B$4:B602))</f>
        <v>599</v>
      </c>
      <c r="B602" s="14" t="s">
        <v>1531</v>
      </c>
      <c r="C602" s="14" t="s">
        <v>263</v>
      </c>
      <c r="D602" s="14" t="s">
        <v>264</v>
      </c>
      <c r="E602" s="14" t="s">
        <v>263</v>
      </c>
      <c r="F602" s="14" t="s">
        <v>169</v>
      </c>
      <c r="G602" s="14" t="s">
        <v>243</v>
      </c>
      <c r="H602" s="14"/>
      <c r="I602" s="14"/>
      <c r="J602" s="15"/>
    </row>
    <row r="603" spans="1:10">
      <c r="A603" s="14">
        <f>IF(B603="","",COUNTA($B$4:B603))</f>
        <v>600</v>
      </c>
      <c r="B603" s="14" t="s">
        <v>1534</v>
      </c>
      <c r="C603" s="14" t="s">
        <v>159</v>
      </c>
      <c r="D603" s="14" t="s">
        <v>160</v>
      </c>
      <c r="E603" s="14" t="s">
        <v>159</v>
      </c>
      <c r="F603" s="14" t="s">
        <v>150</v>
      </c>
      <c r="G603" s="14" t="s">
        <v>151</v>
      </c>
      <c r="H603" s="14">
        <v>4</v>
      </c>
      <c r="I603" s="14"/>
      <c r="J603" s="15"/>
    </row>
    <row r="604" spans="1:10">
      <c r="A604" s="14">
        <f>IF(B604="","",COUNTA($B$4:B604))</f>
        <v>601</v>
      </c>
      <c r="B604" s="14" t="s">
        <v>1534</v>
      </c>
      <c r="C604" s="14" t="s">
        <v>460</v>
      </c>
      <c r="D604" s="14" t="s">
        <v>461</v>
      </c>
      <c r="E604" s="14" t="s">
        <v>460</v>
      </c>
      <c r="F604" s="14" t="s">
        <v>150</v>
      </c>
      <c r="G604" s="14" t="s">
        <v>151</v>
      </c>
      <c r="H604" s="14">
        <v>8</v>
      </c>
      <c r="I604" s="14"/>
      <c r="J604" s="15"/>
    </row>
    <row r="605" spans="1:10">
      <c r="A605" s="14">
        <f>IF(B605="","",COUNTA($B$4:B605))</f>
        <v>602</v>
      </c>
      <c r="B605" s="14" t="s">
        <v>1534</v>
      </c>
      <c r="C605" s="14" t="s">
        <v>462</v>
      </c>
      <c r="D605" s="14" t="s">
        <v>463</v>
      </c>
      <c r="E605" s="14" t="s">
        <v>462</v>
      </c>
      <c r="F605" s="14" t="s">
        <v>150</v>
      </c>
      <c r="G605" s="14" t="s">
        <v>151</v>
      </c>
      <c r="H605" s="14">
        <v>30</v>
      </c>
      <c r="I605" s="14"/>
      <c r="J605" s="15"/>
    </row>
    <row r="606" spans="1:10">
      <c r="A606" s="14">
        <f>IF(B606="","",COUNTA($B$4:B606))</f>
        <v>603</v>
      </c>
      <c r="B606" s="14" t="s">
        <v>1534</v>
      </c>
      <c r="C606" s="14" t="s">
        <v>464</v>
      </c>
      <c r="D606" s="14" t="s">
        <v>465</v>
      </c>
      <c r="E606" s="14" t="s">
        <v>464</v>
      </c>
      <c r="F606" s="14" t="s">
        <v>150</v>
      </c>
      <c r="G606" s="14" t="s">
        <v>151</v>
      </c>
      <c r="H606" s="14">
        <v>1</v>
      </c>
      <c r="I606" s="14"/>
      <c r="J606" s="15"/>
    </row>
    <row r="607" spans="1:10">
      <c r="A607" s="14">
        <f>IF(B607="","",COUNTA($B$4:B607))</f>
        <v>604</v>
      </c>
      <c r="B607" s="14" t="s">
        <v>1534</v>
      </c>
      <c r="C607" s="14" t="s">
        <v>468</v>
      </c>
      <c r="D607" s="14" t="s">
        <v>469</v>
      </c>
      <c r="E607" s="14" t="s">
        <v>468</v>
      </c>
      <c r="F607" s="14" t="s">
        <v>150</v>
      </c>
      <c r="G607" s="14" t="s">
        <v>151</v>
      </c>
      <c r="H607" s="14">
        <v>1</v>
      </c>
      <c r="I607" s="14"/>
      <c r="J607" s="15"/>
    </row>
    <row r="608" spans="1:10">
      <c r="A608" s="14">
        <f>IF(B608="","",COUNTA($B$4:B608))</f>
        <v>605</v>
      </c>
      <c r="B608" s="14" t="s">
        <v>1534</v>
      </c>
      <c r="C608" s="14" t="s">
        <v>472</v>
      </c>
      <c r="D608" s="14" t="s">
        <v>473</v>
      </c>
      <c r="E608" s="14" t="s">
        <v>472</v>
      </c>
      <c r="F608" s="14" t="s">
        <v>150</v>
      </c>
      <c r="G608" s="14" t="s">
        <v>151</v>
      </c>
      <c r="H608" s="14">
        <v>1</v>
      </c>
      <c r="I608" s="14"/>
      <c r="J608" s="15"/>
    </row>
    <row r="609" spans="1:10">
      <c r="A609" s="14">
        <f>IF(B609="","",COUNTA($B$4:B609))</f>
        <v>606</v>
      </c>
      <c r="B609" s="14" t="s">
        <v>1534</v>
      </c>
      <c r="C609" s="14" t="s">
        <v>1535</v>
      </c>
      <c r="D609" s="14" t="s">
        <v>1536</v>
      </c>
      <c r="E609" s="14" t="s">
        <v>1535</v>
      </c>
      <c r="F609" s="14" t="s">
        <v>150</v>
      </c>
      <c r="G609" s="14" t="s">
        <v>151</v>
      </c>
      <c r="H609" s="14">
        <v>1</v>
      </c>
      <c r="I609" s="14"/>
      <c r="J609" s="15"/>
    </row>
    <row r="610" spans="1:10">
      <c r="A610" s="14">
        <f>IF(B610="","",COUNTA($B$4:B610))</f>
        <v>607</v>
      </c>
      <c r="B610" s="14" t="s">
        <v>1534</v>
      </c>
      <c r="C610" s="14" t="s">
        <v>477</v>
      </c>
      <c r="D610" s="14" t="s">
        <v>476</v>
      </c>
      <c r="E610" s="14" t="s">
        <v>477</v>
      </c>
      <c r="F610" s="14" t="s">
        <v>150</v>
      </c>
      <c r="G610" s="14" t="s">
        <v>151</v>
      </c>
      <c r="H610" s="14">
        <v>1</v>
      </c>
      <c r="I610" s="14"/>
      <c r="J610" s="15"/>
    </row>
    <row r="611" spans="1:10">
      <c r="A611" s="14">
        <f>IF(B611="","",COUNTA($B$4:B611))</f>
        <v>608</v>
      </c>
      <c r="B611" s="14" t="s">
        <v>1534</v>
      </c>
      <c r="C611" s="14" t="s">
        <v>1558</v>
      </c>
      <c r="D611" s="14" t="s">
        <v>1568</v>
      </c>
      <c r="E611" s="14" t="s">
        <v>1558</v>
      </c>
      <c r="F611" s="14" t="s">
        <v>150</v>
      </c>
      <c r="G611" s="14" t="s">
        <v>151</v>
      </c>
      <c r="H611" s="14">
        <v>1</v>
      </c>
      <c r="I611" s="14"/>
      <c r="J611" s="15"/>
    </row>
    <row r="612" spans="1:10">
      <c r="A612" s="14">
        <f>IF(B612="","",COUNTA($B$4:B612))</f>
        <v>609</v>
      </c>
      <c r="B612" s="14" t="s">
        <v>1534</v>
      </c>
      <c r="C612" s="14" t="s">
        <v>1563</v>
      </c>
      <c r="D612" s="14" t="s">
        <v>1569</v>
      </c>
      <c r="E612" s="14" t="s">
        <v>1563</v>
      </c>
      <c r="F612" s="14" t="s">
        <v>150</v>
      </c>
      <c r="G612" s="14" t="s">
        <v>151</v>
      </c>
      <c r="H612" s="14">
        <v>1</v>
      </c>
      <c r="I612" s="14"/>
      <c r="J612" s="15"/>
    </row>
    <row r="613" spans="1:10">
      <c r="A613" s="14">
        <f>IF(B613="","",COUNTA($B$4:B613))</f>
        <v>610</v>
      </c>
      <c r="B613" s="14" t="s">
        <v>1534</v>
      </c>
      <c r="C613" s="14" t="s">
        <v>481</v>
      </c>
      <c r="D613" s="14" t="s">
        <v>482</v>
      </c>
      <c r="E613" s="14" t="s">
        <v>481</v>
      </c>
      <c r="F613" s="14" t="s">
        <v>150</v>
      </c>
      <c r="G613" s="14" t="s">
        <v>151</v>
      </c>
      <c r="H613" s="14">
        <v>1</v>
      </c>
      <c r="I613" s="14"/>
      <c r="J613" s="15"/>
    </row>
    <row r="614" spans="1:10">
      <c r="A614" s="14">
        <f>IF(B614="","",COUNTA($B$4:B614))</f>
        <v>611</v>
      </c>
      <c r="B614" s="14" t="s">
        <v>1534</v>
      </c>
      <c r="C614" s="14" t="s">
        <v>1553</v>
      </c>
      <c r="D614" s="14" t="s">
        <v>1543</v>
      </c>
      <c r="E614" s="14" t="s">
        <v>1553</v>
      </c>
      <c r="F614" s="14" t="s">
        <v>150</v>
      </c>
      <c r="G614" s="14" t="s">
        <v>151</v>
      </c>
      <c r="H614" s="14">
        <v>4</v>
      </c>
      <c r="I614" s="14"/>
      <c r="J614" s="15"/>
    </row>
    <row r="615" spans="1:10">
      <c r="A615" s="14">
        <f>IF(B615="","",COUNTA($B$4:B615))</f>
        <v>612</v>
      </c>
      <c r="B615" s="14" t="s">
        <v>1534</v>
      </c>
      <c r="C615" s="14" t="s">
        <v>1554</v>
      </c>
      <c r="D615" s="14" t="s">
        <v>1549</v>
      </c>
      <c r="E615" s="14" t="s">
        <v>1554</v>
      </c>
      <c r="F615" s="14" t="s">
        <v>150</v>
      </c>
      <c r="G615" s="14" t="s">
        <v>151</v>
      </c>
      <c r="H615" s="14">
        <v>4</v>
      </c>
      <c r="I615" s="14"/>
      <c r="J615" s="15"/>
    </row>
    <row r="616" spans="1:10">
      <c r="A616" s="14">
        <f>IF(B616="","",COUNTA($B$4:B616))</f>
        <v>613</v>
      </c>
      <c r="B616" s="14" t="s">
        <v>1534</v>
      </c>
      <c r="C616" s="14" t="s">
        <v>1555</v>
      </c>
      <c r="D616" s="14" t="s">
        <v>1538</v>
      </c>
      <c r="E616" s="14" t="s">
        <v>1555</v>
      </c>
      <c r="F616" s="14" t="s">
        <v>150</v>
      </c>
      <c r="G616" s="14" t="s">
        <v>151</v>
      </c>
      <c r="H616" s="14">
        <v>1</v>
      </c>
      <c r="I616" s="14"/>
      <c r="J616" s="15"/>
    </row>
    <row r="617" spans="1:10">
      <c r="A617" s="14">
        <f>IF(B617="","",COUNTA($B$4:B617))</f>
        <v>614</v>
      </c>
      <c r="B617" s="14" t="s">
        <v>1534</v>
      </c>
      <c r="C617" s="14" t="s">
        <v>484</v>
      </c>
      <c r="D617" s="14" t="s">
        <v>485</v>
      </c>
      <c r="E617" s="14" t="s">
        <v>484</v>
      </c>
      <c r="F617" s="14" t="s">
        <v>150</v>
      </c>
      <c r="G617" s="14" t="s">
        <v>151</v>
      </c>
      <c r="H617" s="14">
        <v>1</v>
      </c>
      <c r="I617" s="14" t="s">
        <v>244</v>
      </c>
      <c r="J617" s="15"/>
    </row>
    <row r="618" spans="1:10">
      <c r="A618" s="14">
        <f>IF(B618="","",COUNTA($B$4:B618))</f>
        <v>615</v>
      </c>
      <c r="B618" s="14" t="s">
        <v>1534</v>
      </c>
      <c r="C618" s="14" t="s">
        <v>255</v>
      </c>
      <c r="D618" s="14" t="s">
        <v>256</v>
      </c>
      <c r="E618" s="14" t="s">
        <v>255</v>
      </c>
      <c r="F618" s="14" t="s">
        <v>150</v>
      </c>
      <c r="G618" s="14" t="s">
        <v>151</v>
      </c>
      <c r="H618" s="14">
        <v>10</v>
      </c>
      <c r="I618" s="14"/>
      <c r="J618" s="15"/>
    </row>
    <row r="619" spans="1:10">
      <c r="A619" s="14">
        <f>IF(B619="","",COUNTA($B$4:B619))</f>
        <v>616</v>
      </c>
      <c r="B619" s="14" t="s">
        <v>1534</v>
      </c>
      <c r="C619" s="14" t="s">
        <v>257</v>
      </c>
      <c r="D619" s="14" t="s">
        <v>258</v>
      </c>
      <c r="E619" s="14" t="s">
        <v>257</v>
      </c>
      <c r="F619" s="14" t="s">
        <v>169</v>
      </c>
      <c r="G619" s="14" t="s">
        <v>243</v>
      </c>
      <c r="H619" s="14"/>
      <c r="I619" s="14"/>
      <c r="J619" s="15"/>
    </row>
    <row r="620" spans="1:10">
      <c r="A620" s="14">
        <f>IF(B620="","",COUNTA($B$4:B620))</f>
        <v>617</v>
      </c>
      <c r="B620" s="14" t="s">
        <v>1534</v>
      </c>
      <c r="C620" s="14" t="s">
        <v>261</v>
      </c>
      <c r="D620" s="14" t="s">
        <v>262</v>
      </c>
      <c r="E620" s="14" t="s">
        <v>261</v>
      </c>
      <c r="F620" s="14" t="s">
        <v>150</v>
      </c>
      <c r="G620" s="14" t="s">
        <v>151</v>
      </c>
      <c r="H620" s="14">
        <v>10</v>
      </c>
      <c r="I620" s="14"/>
      <c r="J620" s="15"/>
    </row>
    <row r="621" spans="1:10">
      <c r="A621" s="14">
        <f>IF(B621="","",COUNTA($B$4:B621))</f>
        <v>618</v>
      </c>
      <c r="B621" s="14" t="s">
        <v>1534</v>
      </c>
      <c r="C621" s="14" t="s">
        <v>263</v>
      </c>
      <c r="D621" s="14" t="s">
        <v>264</v>
      </c>
      <c r="E621" s="14" t="s">
        <v>263</v>
      </c>
      <c r="F621" s="14" t="s">
        <v>169</v>
      </c>
      <c r="G621" s="14" t="s">
        <v>243</v>
      </c>
      <c r="H621" s="14"/>
      <c r="I621" s="14"/>
      <c r="J621" s="15"/>
    </row>
    <row r="622" spans="1:10">
      <c r="A622" s="14">
        <f>IF(B622="","",COUNTA($B$4:B622))</f>
        <v>619</v>
      </c>
      <c r="B622" s="14" t="s">
        <v>1590</v>
      </c>
      <c r="C622" s="14" t="s">
        <v>162</v>
      </c>
      <c r="D622" s="14" t="s">
        <v>163</v>
      </c>
      <c r="E622" s="14" t="s">
        <v>164</v>
      </c>
      <c r="F622" s="14" t="s">
        <v>150</v>
      </c>
      <c r="G622" s="14" t="s">
        <v>151</v>
      </c>
      <c r="H622" s="14">
        <v>4</v>
      </c>
      <c r="I622" s="14"/>
      <c r="J622" s="15"/>
    </row>
    <row r="623" spans="1:10">
      <c r="A623" s="14">
        <f>IF(B623="","",COUNTA($B$4:B623))</f>
        <v>620</v>
      </c>
      <c r="B623" s="14" t="s">
        <v>1590</v>
      </c>
      <c r="C623" s="14" t="s">
        <v>1591</v>
      </c>
      <c r="D623" s="14" t="s">
        <v>1433</v>
      </c>
      <c r="E623" s="14" t="s">
        <v>1591</v>
      </c>
      <c r="F623" s="14" t="s">
        <v>150</v>
      </c>
      <c r="G623" s="14" t="s">
        <v>151</v>
      </c>
      <c r="H623" s="14">
        <v>10</v>
      </c>
      <c r="I623" s="14"/>
      <c r="J623" s="15"/>
    </row>
    <row r="624" spans="1:10">
      <c r="A624" s="14">
        <f>IF(B624="","",COUNTA($B$4:B624))</f>
        <v>621</v>
      </c>
      <c r="B624" s="14" t="s">
        <v>1590</v>
      </c>
      <c r="C624" s="14" t="s">
        <v>566</v>
      </c>
      <c r="D624" s="14" t="s">
        <v>1592</v>
      </c>
      <c r="E624" s="14" t="s">
        <v>1593</v>
      </c>
      <c r="F624" s="14" t="s">
        <v>150</v>
      </c>
      <c r="G624" s="14" t="s">
        <v>151</v>
      </c>
      <c r="H624" s="14">
        <v>10</v>
      </c>
      <c r="I624" s="14"/>
      <c r="J624" s="15"/>
    </row>
    <row r="625" spans="1:10">
      <c r="A625" s="14">
        <f>IF(B625="","",COUNTA($B$4:B625))</f>
        <v>622</v>
      </c>
      <c r="B625" s="14" t="s">
        <v>1590</v>
      </c>
      <c r="C625" s="14" t="s">
        <v>257</v>
      </c>
      <c r="D625" s="14" t="s">
        <v>258</v>
      </c>
      <c r="E625" s="14" t="s">
        <v>257</v>
      </c>
      <c r="F625" s="14" t="s">
        <v>169</v>
      </c>
      <c r="G625" s="14" t="s">
        <v>243</v>
      </c>
      <c r="H625" s="14"/>
      <c r="I625" s="14"/>
      <c r="J625" s="15"/>
    </row>
    <row r="626" spans="1:10">
      <c r="A626" s="14">
        <f>IF(B626="","",COUNTA($B$4:B626))</f>
        <v>623</v>
      </c>
      <c r="B626" s="14" t="s">
        <v>1594</v>
      </c>
      <c r="C626" s="14" t="s">
        <v>1595</v>
      </c>
      <c r="D626" s="14" t="s">
        <v>1596</v>
      </c>
      <c r="E626" s="14" t="s">
        <v>1595</v>
      </c>
      <c r="F626" s="14" t="s">
        <v>150</v>
      </c>
      <c r="G626" s="14" t="s">
        <v>151</v>
      </c>
      <c r="H626" s="14">
        <v>4</v>
      </c>
      <c r="I626" s="14"/>
      <c r="J626" s="15"/>
    </row>
    <row r="627" spans="1:10">
      <c r="A627" s="14">
        <f>IF(B627="","",COUNTA($B$4:B627))</f>
        <v>624</v>
      </c>
      <c r="B627" s="14" t="s">
        <v>1594</v>
      </c>
      <c r="C627" s="14" t="s">
        <v>162</v>
      </c>
      <c r="D627" s="14" t="s">
        <v>163</v>
      </c>
      <c r="E627" s="14" t="s">
        <v>162</v>
      </c>
      <c r="F627" s="14" t="s">
        <v>150</v>
      </c>
      <c r="G627" s="14" t="s">
        <v>151</v>
      </c>
      <c r="H627" s="14">
        <v>4</v>
      </c>
      <c r="I627" s="14"/>
      <c r="J627" s="15"/>
    </row>
    <row r="628" spans="1:10">
      <c r="A628" s="14">
        <f>IF(B628="","",COUNTA($B$4:B628))</f>
        <v>625</v>
      </c>
      <c r="B628" s="14" t="s">
        <v>1594</v>
      </c>
      <c r="C628" s="14" t="s">
        <v>773</v>
      </c>
      <c r="D628" s="14" t="s">
        <v>1597</v>
      </c>
      <c r="E628" s="14" t="s">
        <v>773</v>
      </c>
      <c r="F628" s="14" t="s">
        <v>155</v>
      </c>
      <c r="G628" s="14" t="s">
        <v>156</v>
      </c>
      <c r="H628" s="14">
        <v>3</v>
      </c>
      <c r="I628" s="14"/>
      <c r="J628" s="15"/>
    </row>
    <row r="629" spans="1:10">
      <c r="A629" s="14">
        <f>IF(B629="","",COUNTA($B$4:B629))</f>
        <v>626</v>
      </c>
      <c r="B629" s="14" t="s">
        <v>1594</v>
      </c>
      <c r="C629" s="14" t="s">
        <v>255</v>
      </c>
      <c r="D629" s="14" t="s">
        <v>256</v>
      </c>
      <c r="E629" s="14" t="s">
        <v>255</v>
      </c>
      <c r="F629" s="14" t="s">
        <v>150</v>
      </c>
      <c r="G629" s="14" t="s">
        <v>151</v>
      </c>
      <c r="H629" s="14">
        <v>10</v>
      </c>
      <c r="I629" s="14"/>
      <c r="J629" s="15"/>
    </row>
    <row r="630" spans="1:10">
      <c r="A630" s="14">
        <f>IF(B630="","",COUNTA($B$4:B630))</f>
        <v>627</v>
      </c>
      <c r="B630" s="14" t="s">
        <v>1594</v>
      </c>
      <c r="C630" s="14" t="s">
        <v>257</v>
      </c>
      <c r="D630" s="14" t="s">
        <v>258</v>
      </c>
      <c r="E630" s="14" t="s">
        <v>257</v>
      </c>
      <c r="F630" s="14" t="s">
        <v>169</v>
      </c>
      <c r="G630" s="14" t="s">
        <v>243</v>
      </c>
      <c r="H630" s="14"/>
      <c r="I630" s="14"/>
      <c r="J630" s="15"/>
    </row>
    <row r="631" spans="1:10">
      <c r="A631" s="14">
        <f>IF(B631="","",COUNTA($B$4:B631))</f>
        <v>628</v>
      </c>
      <c r="B631" s="14" t="s">
        <v>1594</v>
      </c>
      <c r="C631" s="14" t="s">
        <v>261</v>
      </c>
      <c r="D631" s="14" t="s">
        <v>262</v>
      </c>
      <c r="E631" s="14" t="s">
        <v>261</v>
      </c>
      <c r="F631" s="14" t="s">
        <v>150</v>
      </c>
      <c r="G631" s="14" t="s">
        <v>151</v>
      </c>
      <c r="H631" s="14">
        <v>10</v>
      </c>
      <c r="I631" s="14"/>
      <c r="J631" s="15"/>
    </row>
    <row r="632" spans="1:10">
      <c r="A632" s="14">
        <f>IF(B632="","",COUNTA($B$4:B632))</f>
        <v>629</v>
      </c>
      <c r="B632" s="14" t="s">
        <v>1594</v>
      </c>
      <c r="C632" s="14" t="s">
        <v>263</v>
      </c>
      <c r="D632" s="14" t="s">
        <v>264</v>
      </c>
      <c r="E632" s="14" t="s">
        <v>263</v>
      </c>
      <c r="F632" s="14" t="s">
        <v>169</v>
      </c>
      <c r="G632" s="14" t="s">
        <v>243</v>
      </c>
      <c r="H632" s="14"/>
      <c r="I632" s="14"/>
      <c r="J632" s="15"/>
    </row>
    <row r="633" spans="1:10">
      <c r="A633" s="14" t="str">
        <f>IF(B633="","",COUNTA($B$4:B633))</f>
        <v/>
      </c>
      <c r="B633" s="14"/>
      <c r="C633" s="14"/>
      <c r="D633" s="14"/>
      <c r="E633" s="14"/>
      <c r="F633" s="14"/>
      <c r="G633" s="14"/>
      <c r="H633" s="14"/>
      <c r="I633" s="14"/>
      <c r="J633" s="15"/>
    </row>
    <row r="634" spans="1:10">
      <c r="A634" s="14" t="str">
        <f>IF(B634="","",COUNTA($B$4:B634))</f>
        <v/>
      </c>
      <c r="B634" s="14"/>
      <c r="C634" s="14"/>
      <c r="D634" s="14"/>
      <c r="E634" s="14"/>
      <c r="F634" s="14"/>
      <c r="G634" s="14"/>
      <c r="H634" s="14"/>
      <c r="I634" s="14"/>
      <c r="J634" s="15"/>
    </row>
    <row r="635" spans="1:10">
      <c r="A635" s="14" t="str">
        <f>IF(B635="","",COUNTA($B$4:B635))</f>
        <v/>
      </c>
      <c r="B635" s="14"/>
      <c r="C635" s="14"/>
      <c r="D635" s="14"/>
      <c r="E635" s="14"/>
      <c r="F635" s="14"/>
      <c r="G635" s="14"/>
      <c r="H635" s="14"/>
      <c r="I635" s="14"/>
      <c r="J635" s="15"/>
    </row>
    <row r="636" spans="1:10">
      <c r="A636" s="14" t="str">
        <f>IF(B636="","",COUNTA($B$4:B636))</f>
        <v/>
      </c>
      <c r="B636" s="14"/>
      <c r="C636" s="14"/>
      <c r="D636" s="14"/>
      <c r="E636" s="14"/>
      <c r="F636" s="14"/>
      <c r="G636" s="14"/>
      <c r="H636" s="14"/>
      <c r="I636" s="14"/>
      <c r="J636" s="15"/>
    </row>
    <row r="637" spans="1:10">
      <c r="A637" s="14" t="str">
        <f>IF(B637="","",COUNTA($B$4:B637))</f>
        <v/>
      </c>
      <c r="B637" s="14"/>
      <c r="C637" s="14"/>
      <c r="D637" s="14"/>
      <c r="E637" s="14"/>
      <c r="F637" s="14"/>
      <c r="G637" s="14"/>
      <c r="H637" s="14"/>
      <c r="I637" s="14"/>
      <c r="J637" s="15"/>
    </row>
    <row r="638" spans="1:10">
      <c r="A638" s="14" t="str">
        <f>IF(B638="","",COUNTA($B$4:B638))</f>
        <v/>
      </c>
      <c r="B638" s="14"/>
      <c r="C638" s="14"/>
      <c r="D638" s="14"/>
      <c r="E638" s="14"/>
      <c r="F638" s="14"/>
      <c r="G638" s="14"/>
      <c r="H638" s="14"/>
      <c r="I638" s="14"/>
      <c r="J638" s="15"/>
    </row>
    <row r="639" spans="1:10">
      <c r="A639" s="14" t="str">
        <f>IF(B639="","",COUNTA($B$4:B639))</f>
        <v/>
      </c>
      <c r="B639" s="14"/>
      <c r="C639" s="14"/>
      <c r="D639" s="14"/>
      <c r="E639" s="14"/>
      <c r="F639" s="14"/>
      <c r="G639" s="14"/>
      <c r="H639" s="14"/>
      <c r="I639" s="14"/>
      <c r="J639" s="15"/>
    </row>
    <row r="640" spans="1:10">
      <c r="A640" s="14" t="str">
        <f>IF(B640="","",COUNTA($B$4:B640))</f>
        <v/>
      </c>
      <c r="B640" s="14"/>
      <c r="C640" s="14"/>
      <c r="D640" s="14"/>
      <c r="E640" s="14"/>
      <c r="F640" s="14"/>
      <c r="G640" s="14"/>
      <c r="H640" s="14"/>
      <c r="I640" s="14"/>
      <c r="J640" s="15"/>
    </row>
    <row r="641" spans="1:10">
      <c r="A641" s="14" t="str">
        <f>IF(B641="","",COUNTA($B$4:B641))</f>
        <v/>
      </c>
      <c r="B641" s="14"/>
      <c r="C641" s="14"/>
      <c r="D641" s="14"/>
      <c r="E641" s="14"/>
      <c r="F641" s="14"/>
      <c r="G641" s="14"/>
      <c r="H641" s="14"/>
      <c r="I641" s="14"/>
      <c r="J641" s="15"/>
    </row>
    <row r="642" spans="1:10">
      <c r="A642" s="14" t="str">
        <f>IF(B642="","",COUNTA($B$4:B642))</f>
        <v/>
      </c>
      <c r="B642" s="14"/>
      <c r="C642" s="14"/>
      <c r="D642" s="14"/>
      <c r="E642" s="14"/>
      <c r="F642" s="14"/>
      <c r="G642" s="14"/>
      <c r="H642" s="14"/>
      <c r="I642" s="14"/>
      <c r="J642" s="15"/>
    </row>
    <row r="643" spans="1:10">
      <c r="A643" s="14" t="str">
        <f>IF(B643="","",COUNTA($B$4:B643))</f>
        <v/>
      </c>
      <c r="B643" s="14"/>
      <c r="C643" s="14"/>
      <c r="D643" s="14"/>
      <c r="E643" s="14"/>
      <c r="F643" s="14"/>
      <c r="G643" s="14"/>
      <c r="H643" s="14"/>
      <c r="I643" s="14"/>
      <c r="J643" s="15"/>
    </row>
    <row r="644" spans="1:10">
      <c r="A644" s="14" t="str">
        <f>IF(B644="","",COUNTA($B$4:B644))</f>
        <v/>
      </c>
      <c r="B644" s="14"/>
      <c r="C644" s="14"/>
      <c r="D644" s="14"/>
      <c r="E644" s="14"/>
      <c r="F644" s="14"/>
      <c r="G644" s="14"/>
      <c r="H644" s="14"/>
      <c r="I644" s="14"/>
      <c r="J644" s="15"/>
    </row>
    <row r="645" spans="1:10">
      <c r="A645" s="14" t="str">
        <f>IF(B645="","",COUNTA($B$4:B645))</f>
        <v/>
      </c>
      <c r="B645" s="14"/>
      <c r="C645" s="14"/>
      <c r="D645" s="14"/>
      <c r="E645" s="14"/>
      <c r="F645" s="14"/>
      <c r="G645" s="14"/>
      <c r="H645" s="14"/>
      <c r="I645" s="14"/>
      <c r="J645" s="15"/>
    </row>
    <row r="646" spans="1:10">
      <c r="A646" s="14" t="str">
        <f>IF(B646="","",COUNTA($B$4:B646))</f>
        <v/>
      </c>
      <c r="B646" s="14"/>
      <c r="C646" s="14"/>
      <c r="D646" s="14"/>
      <c r="E646" s="14"/>
      <c r="F646" s="14"/>
      <c r="G646" s="14"/>
      <c r="H646" s="14"/>
      <c r="I646" s="14"/>
      <c r="J646" s="15"/>
    </row>
    <row r="647" spans="1:10">
      <c r="A647" s="14" t="str">
        <f>IF(B647="","",COUNTA($B$4:B647))</f>
        <v/>
      </c>
      <c r="B647" s="14"/>
      <c r="C647" s="14"/>
      <c r="D647" s="14"/>
      <c r="E647" s="14"/>
      <c r="F647" s="14"/>
      <c r="G647" s="14"/>
      <c r="H647" s="14"/>
      <c r="I647" s="14"/>
      <c r="J647" s="15"/>
    </row>
    <row r="648" spans="1:10">
      <c r="A648" s="14" t="str">
        <f>IF(B648="","",COUNTA($B$4:B648))</f>
        <v/>
      </c>
      <c r="B648" s="14"/>
      <c r="C648" s="14"/>
      <c r="D648" s="14"/>
      <c r="E648" s="14"/>
      <c r="F648" s="14"/>
      <c r="G648" s="14"/>
      <c r="H648" s="14"/>
      <c r="I648" s="14"/>
      <c r="J648" s="15"/>
    </row>
    <row r="649" spans="1:10">
      <c r="A649" s="14" t="str">
        <f>IF(B649="","",COUNTA($B$4:B649))</f>
        <v/>
      </c>
      <c r="B649" s="14"/>
      <c r="C649" s="14"/>
      <c r="D649" s="14"/>
      <c r="E649" s="14"/>
      <c r="F649" s="14"/>
      <c r="G649" s="14"/>
      <c r="H649" s="14"/>
      <c r="I649" s="14"/>
      <c r="J649" s="15"/>
    </row>
    <row r="650" spans="1:10">
      <c r="A650" s="14" t="str">
        <f>IF(B650="","",COUNTA($B$4:B650))</f>
        <v/>
      </c>
      <c r="B650" s="14"/>
      <c r="C650" s="14"/>
      <c r="D650" s="14"/>
      <c r="E650" s="14"/>
      <c r="F650" s="14"/>
      <c r="G650" s="14"/>
      <c r="H650" s="14"/>
      <c r="I650" s="14"/>
      <c r="J650" s="15"/>
    </row>
    <row r="651" spans="1:10">
      <c r="A651" s="14" t="str">
        <f>IF(B651="","",COUNTA($B$4:B651))</f>
        <v/>
      </c>
      <c r="B651" s="14"/>
      <c r="C651" s="14"/>
      <c r="D651" s="14"/>
      <c r="E651" s="14"/>
      <c r="F651" s="14"/>
      <c r="G651" s="14"/>
      <c r="H651" s="14"/>
      <c r="I651" s="14"/>
      <c r="J651" s="15"/>
    </row>
    <row r="652" spans="1:10">
      <c r="A652" s="14" t="str">
        <f>IF(B652="","",COUNTA($B$4:B652))</f>
        <v/>
      </c>
      <c r="B652" s="14"/>
      <c r="C652" s="14"/>
      <c r="D652" s="14"/>
      <c r="E652" s="14"/>
      <c r="F652" s="14"/>
      <c r="G652" s="14"/>
      <c r="H652" s="14"/>
      <c r="I652" s="14"/>
      <c r="J652" s="15"/>
    </row>
    <row r="653" spans="1:10">
      <c r="A653" s="14" t="str">
        <f>IF(B653="","",COUNTA($B$4:B653))</f>
        <v/>
      </c>
      <c r="B653" s="14"/>
      <c r="C653" s="14"/>
      <c r="D653" s="14"/>
      <c r="E653" s="14"/>
      <c r="F653" s="14"/>
      <c r="G653" s="14"/>
      <c r="H653" s="14"/>
      <c r="I653" s="14"/>
      <c r="J653" s="15"/>
    </row>
    <row r="654" spans="1:10">
      <c r="A654" s="14" t="str">
        <f>IF(B654="","",COUNTA($B$4:B654))</f>
        <v/>
      </c>
      <c r="B654" s="14"/>
      <c r="C654" s="14"/>
      <c r="D654" s="14"/>
      <c r="E654" s="14"/>
      <c r="F654" s="14"/>
      <c r="G654" s="14"/>
      <c r="H654" s="14"/>
      <c r="I654" s="14"/>
      <c r="J654" s="15"/>
    </row>
    <row r="655" spans="1:10">
      <c r="A655" s="14" t="str">
        <f>IF(B655="","",COUNTA($B$4:B655))</f>
        <v/>
      </c>
      <c r="B655" s="14"/>
      <c r="C655" s="14"/>
      <c r="D655" s="14"/>
      <c r="E655" s="14"/>
      <c r="F655" s="14"/>
      <c r="G655" s="14"/>
      <c r="H655" s="14"/>
      <c r="I655" s="14"/>
      <c r="J655" s="15"/>
    </row>
    <row r="656" spans="1:10">
      <c r="A656" s="14" t="str">
        <f>IF(B656="","",COUNTA($B$4:B656))</f>
        <v/>
      </c>
      <c r="B656" s="14"/>
      <c r="C656" s="14"/>
      <c r="D656" s="14"/>
      <c r="E656" s="14"/>
      <c r="F656" s="14"/>
      <c r="G656" s="14"/>
      <c r="H656" s="14"/>
      <c r="I656" s="14"/>
      <c r="J656" s="15"/>
    </row>
    <row r="657" spans="1:10">
      <c r="A657" s="14" t="str">
        <f>IF(B657="","",COUNTA($B$4:B657))</f>
        <v/>
      </c>
      <c r="B657" s="14"/>
      <c r="C657" s="14"/>
      <c r="D657" s="14"/>
      <c r="E657" s="14"/>
      <c r="F657" s="14"/>
      <c r="G657" s="14"/>
      <c r="H657" s="14"/>
      <c r="I657" s="14"/>
      <c r="J657" s="15"/>
    </row>
    <row r="658" spans="1:10">
      <c r="A658" s="14" t="str">
        <f>IF(B658="","",COUNTA($B$4:B658))</f>
        <v/>
      </c>
      <c r="B658" s="14"/>
      <c r="C658" s="14"/>
      <c r="D658" s="14"/>
      <c r="E658" s="14"/>
      <c r="F658" s="14"/>
      <c r="G658" s="14"/>
      <c r="H658" s="14"/>
      <c r="I658" s="14"/>
      <c r="J658" s="15"/>
    </row>
    <row r="659" spans="1:10">
      <c r="A659" s="14" t="str">
        <f>IF(B659="","",COUNTA($B$4:B659))</f>
        <v/>
      </c>
      <c r="B659" s="14"/>
      <c r="C659" s="14"/>
      <c r="D659" s="14"/>
      <c r="E659" s="14"/>
      <c r="F659" s="14"/>
      <c r="G659" s="14"/>
      <c r="H659" s="14"/>
      <c r="I659" s="14"/>
      <c r="J659" s="15"/>
    </row>
    <row r="660" spans="1:10">
      <c r="A660" s="14" t="str">
        <f>IF(B660="","",COUNTA($B$4:B660))</f>
        <v/>
      </c>
      <c r="B660" s="14"/>
      <c r="C660" s="14"/>
      <c r="D660" s="14"/>
      <c r="E660" s="14"/>
      <c r="F660" s="14"/>
      <c r="G660" s="14"/>
      <c r="H660" s="14"/>
      <c r="I660" s="14"/>
      <c r="J660" s="15"/>
    </row>
    <row r="661" spans="1:10">
      <c r="A661" s="14" t="str">
        <f>IF(B661="","",COUNTA($B$4:B661))</f>
        <v/>
      </c>
      <c r="B661" s="14"/>
      <c r="C661" s="14"/>
      <c r="D661" s="14"/>
      <c r="E661" s="14"/>
      <c r="F661" s="14"/>
      <c r="G661" s="14"/>
      <c r="H661" s="14"/>
      <c r="I661" s="14"/>
      <c r="J661" s="15"/>
    </row>
    <row r="662" spans="1:10">
      <c r="A662" s="14" t="str">
        <f>IF(B662="","",COUNTA($B$4:B662))</f>
        <v/>
      </c>
      <c r="B662" s="14"/>
      <c r="C662" s="14"/>
      <c r="D662" s="14"/>
      <c r="E662" s="14"/>
      <c r="F662" s="14"/>
      <c r="G662" s="14"/>
      <c r="H662" s="14"/>
      <c r="I662" s="14"/>
      <c r="J662" s="15"/>
    </row>
    <row r="663" spans="1:10">
      <c r="A663" s="14" t="str">
        <f>IF(B663="","",COUNTA($B$4:B663))</f>
        <v/>
      </c>
      <c r="B663" s="14"/>
      <c r="C663" s="14"/>
      <c r="D663" s="14"/>
      <c r="E663" s="14"/>
      <c r="F663" s="14"/>
      <c r="G663" s="14"/>
      <c r="H663" s="14"/>
      <c r="I663" s="14"/>
      <c r="J663" s="15"/>
    </row>
    <row r="664" spans="1:10">
      <c r="A664" s="14" t="str">
        <f>IF(B664="","",COUNTA($B$4:B664))</f>
        <v/>
      </c>
      <c r="B664" s="14"/>
      <c r="C664" s="14"/>
      <c r="D664" s="14"/>
      <c r="E664" s="14"/>
      <c r="F664" s="14"/>
      <c r="G664" s="14"/>
      <c r="H664" s="14"/>
      <c r="I664" s="14"/>
      <c r="J664" s="15"/>
    </row>
    <row r="665" spans="1:10">
      <c r="A665" s="14" t="str">
        <f>IF(B665="","",COUNTA($B$4:B665))</f>
        <v/>
      </c>
      <c r="B665" s="14"/>
      <c r="C665" s="14"/>
      <c r="D665" s="14"/>
      <c r="E665" s="14"/>
      <c r="F665" s="14"/>
      <c r="G665" s="14"/>
      <c r="H665" s="14"/>
      <c r="I665" s="14"/>
      <c r="J665" s="15"/>
    </row>
    <row r="666" spans="1:10">
      <c r="A666" s="14" t="str">
        <f>IF(B666="","",COUNTA($B$4:B666))</f>
        <v/>
      </c>
      <c r="B666" s="14"/>
      <c r="C666" s="14"/>
      <c r="D666" s="14"/>
      <c r="E666" s="14"/>
      <c r="F666" s="14"/>
      <c r="G666" s="14"/>
      <c r="H666" s="14"/>
      <c r="I666" s="14"/>
      <c r="J666" s="15"/>
    </row>
    <row r="667" spans="1:10">
      <c r="A667" s="14" t="str">
        <f>IF(B667="","",COUNTA($B$4:B667))</f>
        <v/>
      </c>
      <c r="B667" s="14"/>
      <c r="C667" s="14"/>
      <c r="D667" s="14"/>
      <c r="E667" s="14"/>
      <c r="F667" s="14"/>
      <c r="G667" s="14"/>
      <c r="H667" s="14"/>
      <c r="I667" s="14"/>
      <c r="J667" s="15"/>
    </row>
    <row r="668" spans="1:10">
      <c r="A668" s="14" t="str">
        <f>IF(B668="","",COUNTA($B$4:B668))</f>
        <v/>
      </c>
      <c r="B668" s="14"/>
      <c r="C668" s="14"/>
      <c r="D668" s="14"/>
      <c r="E668" s="14"/>
      <c r="F668" s="14"/>
      <c r="G668" s="14"/>
      <c r="H668" s="14"/>
      <c r="I668" s="14"/>
      <c r="J668" s="15"/>
    </row>
    <row r="669" spans="1:10">
      <c r="A669" s="14" t="str">
        <f>IF(B669="","",COUNTA($B$4:B669))</f>
        <v/>
      </c>
      <c r="B669" s="14"/>
      <c r="C669" s="14"/>
      <c r="D669" s="14"/>
      <c r="E669" s="14"/>
      <c r="F669" s="14"/>
      <c r="G669" s="14"/>
      <c r="H669" s="14"/>
      <c r="I669" s="14"/>
      <c r="J669" s="15"/>
    </row>
    <row r="670" spans="1:10">
      <c r="A670" s="14" t="str">
        <f>IF(B670="","",COUNTA($B$4:B670))</f>
        <v/>
      </c>
      <c r="B670" s="14"/>
      <c r="C670" s="14"/>
      <c r="D670" s="14"/>
      <c r="E670" s="14"/>
      <c r="F670" s="14"/>
      <c r="G670" s="14"/>
      <c r="H670" s="14"/>
      <c r="I670" s="14"/>
      <c r="J670" s="15"/>
    </row>
    <row r="671" spans="1:10">
      <c r="A671" s="14" t="str">
        <f>IF(B671="","",COUNTA($B$4:B671))</f>
        <v/>
      </c>
      <c r="B671" s="14"/>
      <c r="C671" s="14"/>
      <c r="D671" s="14"/>
      <c r="E671" s="14"/>
      <c r="F671" s="14"/>
      <c r="G671" s="14"/>
      <c r="H671" s="14"/>
      <c r="I671" s="14"/>
      <c r="J671" s="15"/>
    </row>
    <row r="672" spans="1:10">
      <c r="A672" s="14" t="str">
        <f>IF(B672="","",COUNTA($B$4:B672))</f>
        <v/>
      </c>
      <c r="B672" s="14"/>
      <c r="C672" s="14"/>
      <c r="D672" s="14"/>
      <c r="E672" s="14"/>
      <c r="F672" s="14"/>
      <c r="G672" s="14"/>
      <c r="H672" s="14"/>
      <c r="I672" s="14"/>
      <c r="J672" s="15"/>
    </row>
    <row r="673" spans="1:10">
      <c r="A673" s="14" t="str">
        <f>IF(B673="","",COUNTA($B$4:B673))</f>
        <v/>
      </c>
      <c r="B673" s="14"/>
      <c r="C673" s="14"/>
      <c r="D673" s="14"/>
      <c r="E673" s="14"/>
      <c r="F673" s="14"/>
      <c r="G673" s="14"/>
      <c r="H673" s="14"/>
      <c r="I673" s="14"/>
      <c r="J673" s="15"/>
    </row>
    <row r="674" spans="1:10">
      <c r="A674" s="14" t="str">
        <f>IF(B674="","",COUNTA($B$4:B674))</f>
        <v/>
      </c>
      <c r="B674" s="14"/>
      <c r="C674" s="14"/>
      <c r="D674" s="14"/>
      <c r="E674" s="14"/>
      <c r="F674" s="14"/>
      <c r="G674" s="14"/>
      <c r="H674" s="14"/>
      <c r="I674" s="14"/>
      <c r="J674" s="15"/>
    </row>
    <row r="675" spans="1:10">
      <c r="A675" s="14" t="str">
        <f>IF(B675="","",COUNTA($B$4:B675))</f>
        <v/>
      </c>
      <c r="B675" s="14"/>
      <c r="C675" s="14"/>
      <c r="D675" s="14"/>
      <c r="E675" s="14"/>
      <c r="F675" s="14"/>
      <c r="G675" s="14"/>
      <c r="H675" s="14"/>
      <c r="I675" s="14"/>
      <c r="J675" s="15"/>
    </row>
    <row r="676" spans="1:10">
      <c r="A676" s="14" t="str">
        <f>IF(B676="","",COUNTA($B$4:B676))</f>
        <v/>
      </c>
      <c r="B676" s="14"/>
      <c r="C676" s="14"/>
      <c r="D676" s="14"/>
      <c r="E676" s="14"/>
      <c r="F676" s="14"/>
      <c r="G676" s="14"/>
      <c r="H676" s="14"/>
      <c r="I676" s="14"/>
      <c r="J676" s="15"/>
    </row>
    <row r="677" spans="1:10">
      <c r="A677" s="14" t="str">
        <f>IF(B677="","",COUNTA($B$4:B677))</f>
        <v/>
      </c>
      <c r="B677" s="14"/>
      <c r="C677" s="14"/>
      <c r="D677" s="14"/>
      <c r="E677" s="14"/>
      <c r="F677" s="14"/>
      <c r="G677" s="14"/>
      <c r="H677" s="14"/>
      <c r="I677" s="14"/>
      <c r="J677" s="15"/>
    </row>
    <row r="678" spans="1:10">
      <c r="A678" s="14" t="str">
        <f>IF(B678="","",COUNTA($B$4:B678))</f>
        <v/>
      </c>
      <c r="B678" s="14"/>
      <c r="C678" s="14"/>
      <c r="D678" s="14"/>
      <c r="E678" s="14"/>
      <c r="F678" s="14"/>
      <c r="G678" s="14"/>
      <c r="H678" s="14"/>
      <c r="I678" s="14"/>
      <c r="J678" s="15"/>
    </row>
    <row r="679" spans="1:10">
      <c r="A679" s="14" t="str">
        <f>IF(B679="","",COUNTA($B$4:B679))</f>
        <v/>
      </c>
      <c r="B679" s="14"/>
      <c r="C679" s="14"/>
      <c r="D679" s="14"/>
      <c r="E679" s="14"/>
      <c r="F679" s="14"/>
      <c r="G679" s="14"/>
      <c r="H679" s="14"/>
      <c r="I679" s="14"/>
      <c r="J679" s="15"/>
    </row>
    <row r="680" spans="1:10">
      <c r="A680" s="14" t="str">
        <f>IF(B680="","",COUNTA($B$4:B680))</f>
        <v/>
      </c>
      <c r="B680" s="14"/>
      <c r="C680" s="14"/>
      <c r="D680" s="14"/>
      <c r="E680" s="14"/>
      <c r="F680" s="14"/>
      <c r="G680" s="14"/>
      <c r="H680" s="14"/>
      <c r="I680" s="14"/>
      <c r="J680" s="15"/>
    </row>
    <row r="681" spans="1:10">
      <c r="A681" s="14" t="str">
        <f>IF(B681="","",COUNTA($B$4:B681))</f>
        <v/>
      </c>
      <c r="B681" s="14"/>
      <c r="C681" s="14"/>
      <c r="D681" s="14"/>
      <c r="E681" s="14"/>
      <c r="F681" s="14"/>
      <c r="G681" s="14"/>
      <c r="H681" s="14"/>
      <c r="I681" s="14"/>
      <c r="J681" s="15"/>
    </row>
    <row r="682" spans="1:10">
      <c r="A682" s="14" t="str">
        <f>IF(B682="","",COUNTA($B$4:B682))</f>
        <v/>
      </c>
      <c r="B682" s="14"/>
      <c r="C682" s="14"/>
      <c r="D682" s="14"/>
      <c r="E682" s="14"/>
      <c r="F682" s="14"/>
      <c r="G682" s="14"/>
      <c r="H682" s="14"/>
      <c r="I682" s="14"/>
      <c r="J682" s="15"/>
    </row>
    <row r="683" spans="1:10">
      <c r="A683" s="14" t="str">
        <f>IF(B683="","",COUNTA($B$4:B683))</f>
        <v/>
      </c>
      <c r="B683" s="14"/>
      <c r="C683" s="14"/>
      <c r="D683" s="14"/>
      <c r="E683" s="14"/>
      <c r="F683" s="14"/>
      <c r="G683" s="14"/>
      <c r="H683" s="14"/>
      <c r="I683" s="14"/>
      <c r="J683" s="15"/>
    </row>
    <row r="684" spans="1:10">
      <c r="A684" s="14" t="str">
        <f>IF(B684="","",COUNTA($B$4:B684))</f>
        <v/>
      </c>
      <c r="B684" s="14"/>
      <c r="C684" s="14"/>
      <c r="D684" s="14"/>
      <c r="E684" s="14"/>
      <c r="F684" s="14"/>
      <c r="G684" s="14"/>
      <c r="H684" s="14"/>
      <c r="I684" s="14"/>
      <c r="J684" s="15"/>
    </row>
    <row r="685" spans="1:10">
      <c r="A685" s="14" t="str">
        <f>IF(B685="","",COUNTA($B$4:B685))</f>
        <v/>
      </c>
      <c r="B685" s="14"/>
      <c r="C685" s="14"/>
      <c r="D685" s="14"/>
      <c r="E685" s="14"/>
      <c r="F685" s="14"/>
      <c r="G685" s="14"/>
      <c r="H685" s="14"/>
      <c r="I685" s="14"/>
      <c r="J685" s="15"/>
    </row>
    <row r="686" spans="1:10">
      <c r="A686" s="14" t="str">
        <f>IF(B686="","",COUNTA($B$4:B686))</f>
        <v/>
      </c>
      <c r="B686" s="14"/>
      <c r="C686" s="14"/>
      <c r="D686" s="14"/>
      <c r="E686" s="14"/>
      <c r="F686" s="14"/>
      <c r="G686" s="14"/>
      <c r="H686" s="14"/>
      <c r="I686" s="14"/>
      <c r="J686" s="15"/>
    </row>
    <row r="687" spans="1:10">
      <c r="A687" s="14" t="str">
        <f>IF(B687="","",COUNTA($B$4:B687))</f>
        <v/>
      </c>
      <c r="B687" s="14"/>
      <c r="C687" s="14"/>
      <c r="D687" s="14"/>
      <c r="E687" s="14"/>
      <c r="F687" s="14"/>
      <c r="G687" s="14"/>
      <c r="H687" s="14"/>
      <c r="I687" s="14"/>
      <c r="J687" s="15"/>
    </row>
    <row r="688" spans="1:10">
      <c r="A688" s="14" t="str">
        <f>IF(B688="","",COUNTA($B$4:B688))</f>
        <v/>
      </c>
      <c r="B688" s="14"/>
      <c r="C688" s="14"/>
      <c r="D688" s="14"/>
      <c r="E688" s="14"/>
      <c r="F688" s="14"/>
      <c r="G688" s="14"/>
      <c r="H688" s="14"/>
      <c r="I688" s="14"/>
      <c r="J688" s="15"/>
    </row>
    <row r="689" spans="1:10">
      <c r="A689" s="14" t="str">
        <f>IF(B689="","",COUNTA($B$4:B689))</f>
        <v/>
      </c>
      <c r="B689" s="14"/>
      <c r="C689" s="14"/>
      <c r="D689" s="14"/>
      <c r="E689" s="14"/>
      <c r="F689" s="14"/>
      <c r="G689" s="14"/>
      <c r="H689" s="14"/>
      <c r="I689" s="14"/>
      <c r="J689" s="15"/>
    </row>
    <row r="690" spans="1:10">
      <c r="A690" s="14" t="str">
        <f>IF(B690="","",COUNTA($B$4:B690))</f>
        <v/>
      </c>
      <c r="B690" s="14"/>
      <c r="C690" s="14"/>
      <c r="D690" s="14"/>
      <c r="E690" s="14"/>
      <c r="F690" s="14"/>
      <c r="G690" s="14"/>
      <c r="H690" s="14"/>
      <c r="I690" s="14"/>
      <c r="J690" s="15"/>
    </row>
    <row r="691" spans="1:10">
      <c r="A691" s="14" t="str">
        <f>IF(B691="","",COUNTA($B$4:B691))</f>
        <v/>
      </c>
      <c r="B691" s="14"/>
      <c r="C691" s="14"/>
      <c r="D691" s="14"/>
      <c r="E691" s="14"/>
      <c r="F691" s="14"/>
      <c r="G691" s="14"/>
      <c r="H691" s="14"/>
      <c r="I691" s="14"/>
      <c r="J691" s="15"/>
    </row>
    <row r="692" spans="1:10">
      <c r="A692" s="14" t="str">
        <f>IF(B692="","",COUNTA($B$4:B692))</f>
        <v/>
      </c>
      <c r="B692" s="14"/>
      <c r="C692" s="14"/>
      <c r="D692" s="14"/>
      <c r="E692" s="14"/>
      <c r="F692" s="14"/>
      <c r="G692" s="14"/>
      <c r="H692" s="14"/>
      <c r="I692" s="14"/>
      <c r="J692" s="15"/>
    </row>
    <row r="693" spans="1:10">
      <c r="A693" s="14" t="str">
        <f>IF(B693="","",COUNTA($B$4:B693))</f>
        <v/>
      </c>
      <c r="B693" s="14"/>
      <c r="C693" s="14"/>
      <c r="D693" s="14"/>
      <c r="E693" s="14"/>
      <c r="F693" s="14"/>
      <c r="G693" s="14"/>
      <c r="H693" s="14"/>
      <c r="I693" s="14"/>
      <c r="J693" s="15"/>
    </row>
    <row r="694" spans="1:10">
      <c r="A694" s="14" t="str">
        <f>IF(B694="","",COUNTA($B$4:B694))</f>
        <v/>
      </c>
      <c r="B694" s="14"/>
      <c r="C694" s="14"/>
      <c r="D694" s="14"/>
      <c r="E694" s="14"/>
      <c r="F694" s="14"/>
      <c r="G694" s="14"/>
      <c r="H694" s="14"/>
      <c r="I694" s="14"/>
      <c r="J694" s="15"/>
    </row>
    <row r="695" spans="1:10">
      <c r="A695" s="14" t="str">
        <f>IF(B695="","",COUNTA($B$4:B695))</f>
        <v/>
      </c>
      <c r="B695" s="14"/>
      <c r="C695" s="14"/>
      <c r="D695" s="14"/>
      <c r="E695" s="14"/>
      <c r="F695" s="14"/>
      <c r="G695" s="14"/>
      <c r="H695" s="14"/>
      <c r="I695" s="14"/>
      <c r="J695" s="15"/>
    </row>
    <row r="696" spans="1:10">
      <c r="A696" s="14" t="str">
        <f>IF(B696="","",COUNTA($B$4:B696))</f>
        <v/>
      </c>
      <c r="B696" s="14"/>
      <c r="C696" s="14"/>
      <c r="D696" s="14"/>
      <c r="E696" s="14"/>
      <c r="F696" s="14"/>
      <c r="G696" s="14"/>
      <c r="H696" s="14"/>
      <c r="I696" s="14"/>
      <c r="J696" s="15"/>
    </row>
    <row r="697" spans="1:10">
      <c r="A697" s="14" t="str">
        <f>IF(B697="","",COUNTA($B$4:B697))</f>
        <v/>
      </c>
      <c r="B697" s="14"/>
      <c r="C697" s="14"/>
      <c r="D697" s="14"/>
      <c r="E697" s="14"/>
      <c r="F697" s="14"/>
      <c r="G697" s="14"/>
      <c r="H697" s="14"/>
      <c r="I697" s="14"/>
      <c r="J697" s="15"/>
    </row>
    <row r="698" spans="1:10">
      <c r="A698" s="14" t="str">
        <f>IF(B698="","",COUNTA($B$4:B698))</f>
        <v/>
      </c>
      <c r="B698" s="14"/>
      <c r="C698" s="14"/>
      <c r="D698" s="14"/>
      <c r="E698" s="14"/>
      <c r="F698" s="14"/>
      <c r="G698" s="14"/>
      <c r="H698" s="14"/>
      <c r="I698" s="14"/>
      <c r="J698" s="15"/>
    </row>
    <row r="699" spans="1:10">
      <c r="A699" s="14" t="str">
        <f>IF(B699="","",COUNTA($B$4:B699))</f>
        <v/>
      </c>
      <c r="B699" s="14"/>
      <c r="C699" s="14"/>
      <c r="D699" s="14"/>
      <c r="E699" s="14"/>
      <c r="F699" s="14"/>
      <c r="G699" s="14"/>
      <c r="H699" s="14"/>
      <c r="I699" s="14"/>
      <c r="J699" s="15"/>
    </row>
    <row r="700" spans="1:10">
      <c r="A700" s="14" t="str">
        <f>IF(B700="","",COUNTA($B$4:B700))</f>
        <v/>
      </c>
      <c r="B700" s="14"/>
      <c r="C700" s="14"/>
      <c r="D700" s="14"/>
      <c r="E700" s="14"/>
      <c r="F700" s="14"/>
      <c r="G700" s="14"/>
      <c r="H700" s="14"/>
      <c r="I700" s="14"/>
      <c r="J700" s="15"/>
    </row>
    <row r="701" spans="1:10">
      <c r="A701" s="14" t="str">
        <f>IF(B701="","",COUNTA($B$4:B701))</f>
        <v/>
      </c>
      <c r="B701" s="14"/>
      <c r="C701" s="14"/>
      <c r="D701" s="14"/>
      <c r="E701" s="14"/>
      <c r="F701" s="14"/>
      <c r="G701" s="14"/>
      <c r="H701" s="14"/>
      <c r="I701" s="14"/>
      <c r="J701" s="15"/>
    </row>
    <row r="702" spans="1:10">
      <c r="A702" s="14" t="str">
        <f>IF(B702="","",COUNTA($B$4:B702))</f>
        <v/>
      </c>
      <c r="B702" s="14"/>
      <c r="C702" s="14"/>
      <c r="D702" s="14"/>
      <c r="E702" s="14"/>
      <c r="F702" s="14"/>
      <c r="G702" s="14"/>
      <c r="H702" s="14"/>
      <c r="I702" s="14"/>
      <c r="J702" s="15"/>
    </row>
    <row r="703" spans="1:10">
      <c r="A703" s="14" t="str">
        <f>IF(B703="","",COUNTA($B$4:B703))</f>
        <v/>
      </c>
      <c r="B703" s="14"/>
      <c r="C703" s="14"/>
      <c r="D703" s="14"/>
      <c r="E703" s="14"/>
      <c r="F703" s="14"/>
      <c r="G703" s="14"/>
      <c r="H703" s="14"/>
      <c r="I703" s="14"/>
      <c r="J703" s="15"/>
    </row>
    <row r="704" spans="1:10">
      <c r="A704" s="14" t="str">
        <f>IF(B704="","",COUNTA($B$4:B704))</f>
        <v/>
      </c>
      <c r="B704" s="14"/>
      <c r="C704" s="14"/>
      <c r="D704" s="14"/>
      <c r="E704" s="14"/>
      <c r="F704" s="14"/>
      <c r="G704" s="14"/>
      <c r="H704" s="14"/>
      <c r="I704" s="14"/>
      <c r="J704" s="15"/>
    </row>
    <row r="705" spans="1:10">
      <c r="A705" s="14" t="str">
        <f>IF(B705="","",COUNTA($B$4:B705))</f>
        <v/>
      </c>
      <c r="B705" s="14"/>
      <c r="C705" s="14"/>
      <c r="D705" s="14"/>
      <c r="E705" s="14"/>
      <c r="F705" s="14"/>
      <c r="G705" s="14"/>
      <c r="H705" s="14"/>
      <c r="I705" s="14"/>
      <c r="J705" s="15"/>
    </row>
    <row r="706" spans="1:10">
      <c r="A706" s="14" t="str">
        <f>IF(B706="","",COUNTA($B$4:B706))</f>
        <v/>
      </c>
      <c r="B706" s="14"/>
      <c r="C706" s="14"/>
      <c r="D706" s="14"/>
      <c r="E706" s="14"/>
      <c r="F706" s="14"/>
      <c r="G706" s="14"/>
      <c r="H706" s="14"/>
      <c r="I706" s="14"/>
      <c r="J706" s="15"/>
    </row>
    <row r="707" spans="1:10">
      <c r="A707" s="14" t="str">
        <f>IF(B707="","",COUNTA($B$4:B707))</f>
        <v/>
      </c>
      <c r="B707" s="14"/>
      <c r="C707" s="14"/>
      <c r="D707" s="14"/>
      <c r="E707" s="14"/>
      <c r="F707" s="14"/>
      <c r="G707" s="14"/>
      <c r="H707" s="14"/>
      <c r="I707" s="14"/>
      <c r="J707" s="15"/>
    </row>
    <row r="708" spans="1:10">
      <c r="A708" s="14" t="str">
        <f>IF(B708="","",COUNTA($B$4:B708))</f>
        <v/>
      </c>
      <c r="B708" s="14"/>
      <c r="C708" s="14"/>
      <c r="D708" s="14"/>
      <c r="E708" s="14"/>
      <c r="F708" s="14"/>
      <c r="G708" s="14"/>
      <c r="H708" s="14"/>
      <c r="I708" s="14"/>
      <c r="J708" s="15"/>
    </row>
    <row r="709" spans="1:10">
      <c r="A709" s="14" t="str">
        <f>IF(B709="","",COUNTA($B$4:B709))</f>
        <v/>
      </c>
      <c r="B709" s="14"/>
      <c r="C709" s="14"/>
      <c r="D709" s="14"/>
      <c r="E709" s="14"/>
      <c r="F709" s="14"/>
      <c r="G709" s="14"/>
      <c r="H709" s="14"/>
      <c r="I709" s="14"/>
      <c r="J709" s="15"/>
    </row>
    <row r="710" spans="1:10">
      <c r="A710" s="14" t="str">
        <f>IF(B710="","",COUNTA($B$4:B710))</f>
        <v/>
      </c>
      <c r="B710" s="14"/>
      <c r="C710" s="14"/>
      <c r="D710" s="14"/>
      <c r="E710" s="14"/>
      <c r="F710" s="14"/>
      <c r="G710" s="14"/>
      <c r="H710" s="14"/>
      <c r="I710" s="14"/>
      <c r="J710" s="15"/>
    </row>
    <row r="711" spans="1:10">
      <c r="A711" s="14" t="str">
        <f>IF(B711="","",COUNTA($B$4:B711))</f>
        <v/>
      </c>
      <c r="B711" s="14"/>
      <c r="C711" s="14"/>
      <c r="D711" s="14"/>
      <c r="E711" s="14"/>
      <c r="F711" s="14"/>
      <c r="G711" s="14"/>
      <c r="H711" s="14"/>
      <c r="I711" s="14"/>
      <c r="J711" s="15"/>
    </row>
    <row r="712" spans="1:10">
      <c r="A712" s="14" t="str">
        <f>IF(B712="","",COUNTA($B$4:B712))</f>
        <v/>
      </c>
      <c r="B712" s="14"/>
      <c r="C712" s="14"/>
      <c r="D712" s="14"/>
      <c r="E712" s="14"/>
      <c r="F712" s="14"/>
      <c r="G712" s="14"/>
      <c r="H712" s="14"/>
      <c r="I712" s="14"/>
      <c r="J712" s="15"/>
    </row>
    <row r="713" spans="1:10">
      <c r="A713" s="14" t="str">
        <f>IF(B713="","",COUNTA($B$4:B713))</f>
        <v/>
      </c>
      <c r="B713" s="14"/>
      <c r="C713" s="14"/>
      <c r="D713" s="14"/>
      <c r="E713" s="14"/>
      <c r="F713" s="14"/>
      <c r="G713" s="14"/>
      <c r="H713" s="14"/>
      <c r="I713" s="14"/>
      <c r="J713" s="15"/>
    </row>
    <row r="714" spans="1:10">
      <c r="A714" s="14" t="str">
        <f>IF(B714="","",COUNTA($B$4:B714))</f>
        <v/>
      </c>
      <c r="B714" s="14"/>
      <c r="C714" s="14"/>
      <c r="D714" s="14"/>
      <c r="E714" s="14"/>
      <c r="F714" s="14"/>
      <c r="G714" s="14"/>
      <c r="H714" s="14"/>
      <c r="I714" s="14"/>
      <c r="J714" s="15"/>
    </row>
    <row r="715" spans="1:10">
      <c r="A715" s="14" t="str">
        <f>IF(B715="","",COUNTA($B$4:B715))</f>
        <v/>
      </c>
      <c r="B715" s="14"/>
      <c r="C715" s="14"/>
      <c r="D715" s="14"/>
      <c r="E715" s="14"/>
      <c r="F715" s="14"/>
      <c r="G715" s="14"/>
      <c r="H715" s="14"/>
      <c r="I715" s="14"/>
      <c r="J715" s="15"/>
    </row>
    <row r="716" spans="1:10">
      <c r="A716" s="14" t="str">
        <f>IF(B716="","",COUNTA($B$4:B716))</f>
        <v/>
      </c>
      <c r="B716" s="14"/>
      <c r="C716" s="14"/>
      <c r="D716" s="14"/>
      <c r="E716" s="14"/>
      <c r="F716" s="14"/>
      <c r="G716" s="14"/>
      <c r="H716" s="14"/>
      <c r="I716" s="14"/>
      <c r="J716" s="15"/>
    </row>
    <row r="717" spans="1:10">
      <c r="A717" s="14" t="str">
        <f>IF(B717="","",COUNTA($B$4:B717))</f>
        <v/>
      </c>
      <c r="B717" s="14"/>
      <c r="C717" s="14"/>
      <c r="D717" s="14"/>
      <c r="E717" s="14"/>
      <c r="F717" s="14"/>
      <c r="G717" s="14"/>
      <c r="H717" s="14"/>
      <c r="I717" s="14"/>
      <c r="J717" s="15"/>
    </row>
    <row r="718" spans="1:10">
      <c r="A718" s="14" t="str">
        <f>IF(B718="","",COUNTA($B$4:B718))</f>
        <v/>
      </c>
      <c r="B718" s="14"/>
      <c r="C718" s="14"/>
      <c r="D718" s="14"/>
      <c r="E718" s="14"/>
      <c r="F718" s="14"/>
      <c r="G718" s="14"/>
      <c r="H718" s="14"/>
      <c r="I718" s="14"/>
      <c r="J718" s="15"/>
    </row>
    <row r="719" spans="1:10">
      <c r="A719" s="14" t="str">
        <f>IF(B719="","",COUNTA($B$4:B719))</f>
        <v/>
      </c>
      <c r="B719" s="14"/>
      <c r="C719" s="14"/>
      <c r="D719" s="14"/>
      <c r="E719" s="14"/>
      <c r="F719" s="14"/>
      <c r="G719" s="14"/>
      <c r="H719" s="14"/>
      <c r="I719" s="14"/>
      <c r="J719" s="15"/>
    </row>
    <row r="720" spans="1:10">
      <c r="A720" s="14" t="str">
        <f>IF(B720="","",COUNTA($B$4:B720))</f>
        <v/>
      </c>
      <c r="B720" s="14"/>
      <c r="C720" s="14"/>
      <c r="D720" s="14"/>
      <c r="E720" s="14"/>
      <c r="F720" s="14"/>
      <c r="G720" s="14"/>
      <c r="H720" s="14"/>
      <c r="I720" s="14"/>
      <c r="J720" s="15"/>
    </row>
    <row r="721" spans="1:10">
      <c r="A721" s="14" t="str">
        <f>IF(B721="","",COUNTA($B$4:B721))</f>
        <v/>
      </c>
      <c r="B721" s="14"/>
      <c r="C721" s="14"/>
      <c r="D721" s="14"/>
      <c r="E721" s="14"/>
      <c r="F721" s="14"/>
      <c r="G721" s="14"/>
      <c r="H721" s="14"/>
      <c r="I721" s="14"/>
      <c r="J721" s="15"/>
    </row>
    <row r="722" spans="1:10">
      <c r="A722" s="14" t="str">
        <f>IF(B722="","",COUNTA($B$4:B722))</f>
        <v/>
      </c>
      <c r="B722" s="14"/>
      <c r="C722" s="14"/>
      <c r="D722" s="14"/>
      <c r="E722" s="14"/>
      <c r="F722" s="14"/>
      <c r="G722" s="14"/>
      <c r="H722" s="14"/>
      <c r="I722" s="14"/>
      <c r="J722" s="15"/>
    </row>
    <row r="723" spans="1:10">
      <c r="A723" s="14" t="str">
        <f>IF(B723="","",COUNTA($B$4:B723))</f>
        <v/>
      </c>
      <c r="B723" s="14"/>
      <c r="C723" s="14"/>
      <c r="D723" s="14"/>
      <c r="E723" s="14"/>
      <c r="F723" s="14"/>
      <c r="G723" s="14"/>
      <c r="H723" s="14"/>
      <c r="I723" s="14"/>
      <c r="J723" s="15"/>
    </row>
    <row r="724" spans="1:10">
      <c r="A724" s="14" t="str">
        <f>IF(B724="","",COUNTA($B$4:B724))</f>
        <v/>
      </c>
      <c r="B724" s="14"/>
      <c r="C724" s="14"/>
      <c r="D724" s="14"/>
      <c r="E724" s="14"/>
      <c r="F724" s="14"/>
      <c r="G724" s="14"/>
      <c r="H724" s="14"/>
      <c r="I724" s="14"/>
      <c r="J724" s="15"/>
    </row>
    <row r="725" spans="1:10">
      <c r="A725" s="14" t="str">
        <f>IF(B725="","",COUNTA($B$4:B725))</f>
        <v/>
      </c>
      <c r="B725" s="14"/>
      <c r="C725" s="14"/>
      <c r="D725" s="14"/>
      <c r="E725" s="14"/>
      <c r="F725" s="14"/>
      <c r="G725" s="14"/>
      <c r="H725" s="14"/>
      <c r="I725" s="14"/>
      <c r="J725" s="15"/>
    </row>
    <row r="726" spans="1:10">
      <c r="A726" s="14" t="str">
        <f>IF(B726="","",COUNTA($B$4:B726))</f>
        <v/>
      </c>
      <c r="B726" s="14"/>
      <c r="C726" s="14"/>
      <c r="D726" s="14"/>
      <c r="E726" s="14"/>
      <c r="F726" s="14"/>
      <c r="G726" s="14"/>
      <c r="H726" s="14"/>
      <c r="I726" s="14"/>
      <c r="J726" s="15"/>
    </row>
    <row r="727" spans="1:10">
      <c r="A727" s="14" t="str">
        <f>IF(B727="","",COUNTA($B$4:B727))</f>
        <v/>
      </c>
      <c r="B727" s="14"/>
      <c r="C727" s="14"/>
      <c r="D727" s="14"/>
      <c r="E727" s="14"/>
      <c r="F727" s="14"/>
      <c r="G727" s="14"/>
      <c r="H727" s="14"/>
      <c r="I727" s="14"/>
      <c r="J727" s="15"/>
    </row>
    <row r="728" spans="1:10">
      <c r="A728" s="14" t="str">
        <f>IF(B728="","",COUNTA($B$4:B728))</f>
        <v/>
      </c>
      <c r="B728" s="14"/>
      <c r="C728" s="14"/>
      <c r="D728" s="14"/>
      <c r="E728" s="14"/>
      <c r="F728" s="14"/>
      <c r="G728" s="14"/>
      <c r="H728" s="14"/>
      <c r="I728" s="14"/>
      <c r="J728" s="15"/>
    </row>
    <row r="729" spans="1:10">
      <c r="A729" s="14" t="str">
        <f>IF(B729="","",COUNTA($B$4:B729))</f>
        <v/>
      </c>
      <c r="B729" s="14"/>
      <c r="C729" s="14"/>
      <c r="D729" s="14"/>
      <c r="E729" s="14"/>
      <c r="F729" s="14"/>
      <c r="G729" s="14"/>
      <c r="H729" s="14"/>
      <c r="I729" s="14"/>
      <c r="J729" s="15"/>
    </row>
    <row r="730" spans="1:10">
      <c r="A730" s="14" t="str">
        <f>IF(B730="","",COUNTA($B$4:B730))</f>
        <v/>
      </c>
      <c r="B730" s="14"/>
      <c r="C730" s="14"/>
      <c r="D730" s="14"/>
      <c r="E730" s="14"/>
      <c r="F730" s="14"/>
      <c r="G730" s="14"/>
      <c r="H730" s="14"/>
      <c r="I730" s="14"/>
      <c r="J730" s="15"/>
    </row>
    <row r="731" spans="1:10">
      <c r="A731" s="14" t="str">
        <f>IF(B731="","",COUNTA($B$4:B731))</f>
        <v/>
      </c>
      <c r="B731" s="14"/>
      <c r="C731" s="14"/>
      <c r="D731" s="14"/>
      <c r="E731" s="14"/>
      <c r="F731" s="14"/>
      <c r="G731" s="14"/>
      <c r="H731" s="14"/>
      <c r="I731" s="14"/>
      <c r="J731" s="15"/>
    </row>
    <row r="732" spans="1:10">
      <c r="A732" s="14" t="str">
        <f>IF(B732="","",COUNTA($B$4:B732))</f>
        <v/>
      </c>
      <c r="B732" s="14"/>
      <c r="C732" s="14"/>
      <c r="D732" s="14"/>
      <c r="E732" s="14"/>
      <c r="F732" s="14"/>
      <c r="G732" s="14"/>
      <c r="H732" s="14"/>
      <c r="I732" s="14"/>
      <c r="J732" s="15"/>
    </row>
    <row r="733" spans="1:10">
      <c r="A733" s="14" t="str">
        <f>IF(B733="","",COUNTA($B$4:B733))</f>
        <v/>
      </c>
      <c r="B733" s="14"/>
      <c r="C733" s="14"/>
      <c r="D733" s="14"/>
      <c r="E733" s="14"/>
      <c r="F733" s="14"/>
      <c r="G733" s="14"/>
      <c r="H733" s="14"/>
      <c r="I733" s="14"/>
      <c r="J733" s="15"/>
    </row>
    <row r="734" spans="1:10">
      <c r="A734" s="14" t="str">
        <f>IF(B734="","",COUNTA($B$4:B734))</f>
        <v/>
      </c>
      <c r="B734" s="14"/>
      <c r="C734" s="14"/>
      <c r="D734" s="14"/>
      <c r="E734" s="14"/>
      <c r="F734" s="14"/>
      <c r="G734" s="14"/>
      <c r="H734" s="14"/>
      <c r="I734" s="14"/>
      <c r="J734" s="15"/>
    </row>
    <row r="735" spans="1:10">
      <c r="A735" s="14" t="str">
        <f>IF(B735="","",COUNTA($B$4:B735))</f>
        <v/>
      </c>
      <c r="B735" s="14"/>
      <c r="C735" s="14"/>
      <c r="D735" s="14"/>
      <c r="E735" s="14"/>
      <c r="F735" s="14"/>
      <c r="G735" s="14"/>
      <c r="H735" s="14"/>
      <c r="I735" s="14"/>
      <c r="J735" s="15"/>
    </row>
    <row r="736" spans="1:10">
      <c r="A736" s="14" t="str">
        <f>IF(B736="","",COUNTA($B$4:B736))</f>
        <v/>
      </c>
      <c r="B736" s="14"/>
      <c r="C736" s="14"/>
      <c r="D736" s="14"/>
      <c r="E736" s="14"/>
      <c r="F736" s="14"/>
      <c r="G736" s="14"/>
      <c r="H736" s="14"/>
      <c r="I736" s="14"/>
      <c r="J736" s="15"/>
    </row>
    <row r="737" spans="1:10">
      <c r="A737" s="14" t="str">
        <f>IF(B737="","",COUNTA($B$4:B737))</f>
        <v/>
      </c>
      <c r="B737" s="14"/>
      <c r="C737" s="14"/>
      <c r="D737" s="14"/>
      <c r="E737" s="14"/>
      <c r="F737" s="14"/>
      <c r="G737" s="14"/>
      <c r="H737" s="14"/>
      <c r="I737" s="14"/>
      <c r="J737" s="15"/>
    </row>
    <row r="738" spans="1:10">
      <c r="A738" s="14" t="str">
        <f>IF(B738="","",COUNTA($B$4:B738))</f>
        <v/>
      </c>
      <c r="B738" s="14"/>
      <c r="C738" s="14"/>
      <c r="D738" s="14"/>
      <c r="E738" s="14"/>
      <c r="F738" s="14"/>
      <c r="G738" s="14"/>
      <c r="H738" s="14"/>
      <c r="I738" s="14"/>
      <c r="J738" s="15"/>
    </row>
    <row r="739" spans="1:10">
      <c r="A739" s="14" t="str">
        <f>IF(B739="","",COUNTA($B$4:B739))</f>
        <v/>
      </c>
      <c r="B739" s="14"/>
      <c r="C739" s="14"/>
      <c r="D739" s="14"/>
      <c r="E739" s="14"/>
      <c r="F739" s="14"/>
      <c r="G739" s="14"/>
      <c r="H739" s="14"/>
      <c r="I739" s="14"/>
      <c r="J739" s="15"/>
    </row>
    <row r="740" spans="1:10">
      <c r="A740" s="14" t="str">
        <f>IF(B740="","",COUNTA($B$4:B740))</f>
        <v/>
      </c>
      <c r="B740" s="14"/>
      <c r="C740" s="14"/>
      <c r="D740" s="14"/>
      <c r="E740" s="14"/>
      <c r="F740" s="14"/>
      <c r="G740" s="14"/>
      <c r="H740" s="14"/>
      <c r="I740" s="14"/>
      <c r="J740" s="15"/>
    </row>
    <row r="741" spans="1:10">
      <c r="A741" s="14" t="str">
        <f>IF(B741="","",COUNTA($B$4:B741))</f>
        <v/>
      </c>
      <c r="B741" s="14"/>
      <c r="C741" s="14"/>
      <c r="D741" s="14"/>
      <c r="E741" s="14"/>
      <c r="F741" s="14"/>
      <c r="G741" s="14"/>
      <c r="H741" s="14"/>
      <c r="I741" s="14"/>
      <c r="J741" s="15"/>
    </row>
    <row r="742" spans="1:10">
      <c r="A742" s="14" t="str">
        <f>IF(B742="","",COUNTA($B$4:B742))</f>
        <v/>
      </c>
      <c r="B742" s="14"/>
      <c r="C742" s="14"/>
      <c r="D742" s="14"/>
      <c r="E742" s="14"/>
      <c r="F742" s="14"/>
      <c r="G742" s="14"/>
      <c r="H742" s="14"/>
      <c r="I742" s="14"/>
      <c r="J742" s="15"/>
    </row>
    <row r="743" spans="1:10">
      <c r="A743" s="14" t="str">
        <f>IF(B743="","",COUNTA($B$4:B743))</f>
        <v/>
      </c>
      <c r="B743" s="14"/>
      <c r="C743" s="14"/>
      <c r="D743" s="14"/>
      <c r="E743" s="14"/>
      <c r="F743" s="14"/>
      <c r="G743" s="14"/>
      <c r="H743" s="14"/>
      <c r="I743" s="14"/>
      <c r="J743" s="15"/>
    </row>
    <row r="744" spans="1:10">
      <c r="A744" s="14" t="str">
        <f>IF(B744="","",COUNTA($B$4:B744))</f>
        <v/>
      </c>
      <c r="B744" s="14"/>
      <c r="C744" s="14"/>
      <c r="D744" s="14"/>
      <c r="E744" s="14"/>
      <c r="F744" s="14"/>
      <c r="G744" s="14"/>
      <c r="H744" s="14"/>
      <c r="I744" s="14"/>
      <c r="J744" s="15"/>
    </row>
    <row r="745" spans="1:10">
      <c r="A745" s="14" t="str">
        <f>IF(B745="","",COUNTA($B$4:B745))</f>
        <v/>
      </c>
      <c r="B745" s="14"/>
      <c r="C745" s="14"/>
      <c r="D745" s="14"/>
      <c r="E745" s="14"/>
      <c r="F745" s="14"/>
      <c r="G745" s="14"/>
      <c r="H745" s="14"/>
      <c r="I745" s="14"/>
      <c r="J745" s="15"/>
    </row>
    <row r="746" spans="1:10">
      <c r="A746" s="14" t="str">
        <f>IF(B746="","",COUNTA($B$4:B746))</f>
        <v/>
      </c>
      <c r="B746" s="14"/>
      <c r="C746" s="14"/>
      <c r="D746" s="14"/>
      <c r="E746" s="14"/>
      <c r="F746" s="14"/>
      <c r="G746" s="14"/>
      <c r="H746" s="14"/>
      <c r="I746" s="14"/>
      <c r="J746" s="15"/>
    </row>
    <row r="747" spans="1:10">
      <c r="A747" s="14" t="str">
        <f>IF(B747="","",COUNTA($B$4:B747))</f>
        <v/>
      </c>
      <c r="B747" s="14"/>
      <c r="C747" s="14"/>
      <c r="D747" s="14"/>
      <c r="E747" s="14"/>
      <c r="F747" s="14"/>
      <c r="G747" s="14"/>
      <c r="H747" s="14"/>
      <c r="I747" s="14"/>
      <c r="J747" s="15"/>
    </row>
    <row r="748" spans="1:10">
      <c r="A748" s="14" t="str">
        <f>IF(B748="","",COUNTA($B$4:B748))</f>
        <v/>
      </c>
      <c r="B748" s="14"/>
      <c r="C748" s="14"/>
      <c r="D748" s="14"/>
      <c r="E748" s="14"/>
      <c r="F748" s="14"/>
      <c r="G748" s="14"/>
      <c r="H748" s="14"/>
      <c r="I748" s="14"/>
      <c r="J748" s="15"/>
    </row>
    <row r="749" spans="1:10">
      <c r="A749" s="14" t="str">
        <f>IF(B749="","",COUNTA($B$4:B749))</f>
        <v/>
      </c>
      <c r="B749" s="14"/>
      <c r="C749" s="14"/>
      <c r="D749" s="14"/>
      <c r="E749" s="14"/>
      <c r="F749" s="14"/>
      <c r="G749" s="14"/>
      <c r="H749" s="14"/>
      <c r="I749" s="14"/>
      <c r="J749" s="15"/>
    </row>
    <row r="750" spans="1:10">
      <c r="A750" s="14" t="str">
        <f>IF(B750="","",COUNTA($B$4:B750))</f>
        <v/>
      </c>
      <c r="B750" s="14"/>
      <c r="C750" s="14"/>
      <c r="D750" s="14"/>
      <c r="E750" s="14"/>
      <c r="F750" s="14"/>
      <c r="G750" s="14"/>
      <c r="H750" s="14"/>
      <c r="I750" s="14"/>
      <c r="J750" s="15"/>
    </row>
    <row r="751" spans="1:10">
      <c r="A751" s="14" t="str">
        <f>IF(B751="","",COUNTA($B$4:B751))</f>
        <v/>
      </c>
      <c r="B751" s="14"/>
      <c r="C751" s="14"/>
      <c r="D751" s="14"/>
      <c r="E751" s="14"/>
      <c r="F751" s="14"/>
      <c r="G751" s="14"/>
      <c r="H751" s="14"/>
      <c r="I751" s="14"/>
      <c r="J751" s="15"/>
    </row>
    <row r="752" spans="1:10">
      <c r="A752" s="14" t="str">
        <f>IF(B752="","",COUNTA($B$4:B752))</f>
        <v/>
      </c>
      <c r="B752" s="14"/>
      <c r="C752" s="14"/>
      <c r="D752" s="14"/>
      <c r="E752" s="14"/>
      <c r="F752" s="14"/>
      <c r="G752" s="14"/>
      <c r="H752" s="14"/>
      <c r="I752" s="14"/>
      <c r="J752" s="15"/>
    </row>
    <row r="753" spans="1:10">
      <c r="A753" s="14" t="str">
        <f>IF(B753="","",COUNTA($B$4:B753))</f>
        <v/>
      </c>
      <c r="B753" s="14"/>
      <c r="C753" s="14"/>
      <c r="D753" s="14"/>
      <c r="E753" s="14"/>
      <c r="F753" s="14"/>
      <c r="G753" s="14"/>
      <c r="H753" s="14"/>
      <c r="I753" s="14"/>
      <c r="J753" s="15"/>
    </row>
    <row r="754" spans="1:10">
      <c r="A754" s="14" t="str">
        <f>IF(B754="","",COUNTA($B$4:B754))</f>
        <v/>
      </c>
      <c r="B754" s="14"/>
      <c r="C754" s="14"/>
      <c r="D754" s="14"/>
      <c r="E754" s="14"/>
      <c r="F754" s="14"/>
      <c r="G754" s="14"/>
      <c r="H754" s="14"/>
      <c r="I754" s="14"/>
      <c r="J754" s="15"/>
    </row>
    <row r="755" spans="1:10">
      <c r="A755" s="14" t="str">
        <f>IF(B755="","",COUNTA($B$4:B755))</f>
        <v/>
      </c>
      <c r="B755" s="14"/>
      <c r="C755" s="14"/>
      <c r="D755" s="14"/>
      <c r="E755" s="14"/>
      <c r="F755" s="14"/>
      <c r="G755" s="14"/>
      <c r="H755" s="14"/>
      <c r="I755" s="14"/>
      <c r="J755" s="15"/>
    </row>
    <row r="756" spans="1:10">
      <c r="A756" s="14" t="str">
        <f>IF(B756="","",COUNTA($B$4:B756))</f>
        <v/>
      </c>
      <c r="B756" s="14"/>
      <c r="C756" s="14"/>
      <c r="D756" s="14"/>
      <c r="E756" s="14"/>
      <c r="F756" s="14"/>
      <c r="G756" s="14"/>
      <c r="H756" s="14"/>
      <c r="I756" s="14"/>
      <c r="J756" s="15"/>
    </row>
    <row r="757" spans="1:10">
      <c r="A757" s="14" t="str">
        <f>IF(B757="","",COUNTA($B$4:B757))</f>
        <v/>
      </c>
      <c r="B757" s="14"/>
      <c r="C757" s="14"/>
      <c r="D757" s="14"/>
      <c r="E757" s="14"/>
      <c r="F757" s="14"/>
      <c r="G757" s="14"/>
      <c r="H757" s="14"/>
      <c r="I757" s="14"/>
      <c r="J757" s="15"/>
    </row>
    <row r="758" spans="1:10">
      <c r="A758" s="14" t="str">
        <f>IF(B758="","",COUNTA($B$4:B758))</f>
        <v/>
      </c>
      <c r="B758" s="14"/>
      <c r="C758" s="14"/>
      <c r="D758" s="14"/>
      <c r="E758" s="14"/>
      <c r="F758" s="14"/>
      <c r="G758" s="14"/>
      <c r="H758" s="14"/>
      <c r="I758" s="14"/>
      <c r="J758" s="15"/>
    </row>
    <row r="759" spans="1:10">
      <c r="A759" s="14" t="str">
        <f>IF(B759="","",COUNTA($B$4:B759))</f>
        <v/>
      </c>
      <c r="B759" s="14"/>
      <c r="C759" s="14"/>
      <c r="D759" s="14"/>
      <c r="E759" s="14"/>
      <c r="F759" s="14"/>
      <c r="G759" s="14"/>
      <c r="H759" s="14"/>
      <c r="I759" s="14"/>
      <c r="J759" s="15"/>
    </row>
    <row r="760" spans="1:10">
      <c r="A760" s="14" t="str">
        <f>IF(B760="","",COUNTA($B$4:B760))</f>
        <v/>
      </c>
      <c r="B760" s="14"/>
      <c r="C760" s="14"/>
      <c r="D760" s="14"/>
      <c r="E760" s="14"/>
      <c r="F760" s="14"/>
      <c r="G760" s="14"/>
      <c r="H760" s="14"/>
      <c r="I760" s="14"/>
      <c r="J760" s="15"/>
    </row>
    <row r="761" spans="1:10">
      <c r="A761" s="14" t="str">
        <f>IF(B761="","",COUNTA($B$4:B761))</f>
        <v/>
      </c>
      <c r="B761" s="14"/>
      <c r="C761" s="14"/>
      <c r="D761" s="14"/>
      <c r="E761" s="14"/>
      <c r="F761" s="14"/>
      <c r="G761" s="14"/>
      <c r="H761" s="14"/>
      <c r="I761" s="14"/>
      <c r="J761" s="15"/>
    </row>
    <row r="762" spans="1:10">
      <c r="A762" s="14" t="str">
        <f>IF(B762="","",COUNTA($B$4:B762))</f>
        <v/>
      </c>
      <c r="B762" s="14"/>
      <c r="C762" s="14"/>
      <c r="D762" s="14"/>
      <c r="E762" s="14"/>
      <c r="F762" s="14"/>
      <c r="G762" s="14"/>
      <c r="H762" s="14"/>
      <c r="I762" s="14"/>
      <c r="J762" s="15"/>
    </row>
    <row r="763" spans="1:10">
      <c r="A763" s="14" t="str">
        <f>IF(B763="","",COUNTA($B$4:B763))</f>
        <v/>
      </c>
      <c r="B763" s="14"/>
      <c r="C763" s="14"/>
      <c r="D763" s="14"/>
      <c r="E763" s="14"/>
      <c r="F763" s="14"/>
      <c r="G763" s="14"/>
      <c r="H763" s="14"/>
      <c r="I763" s="14"/>
      <c r="J763" s="15"/>
    </row>
    <row r="764" spans="1:10">
      <c r="A764" s="14" t="str">
        <f>IF(B764="","",COUNTA($B$4:B764))</f>
        <v/>
      </c>
      <c r="B764" s="14"/>
      <c r="C764" s="14"/>
      <c r="D764" s="14"/>
      <c r="E764" s="14"/>
      <c r="F764" s="14"/>
      <c r="G764" s="14"/>
      <c r="H764" s="14"/>
      <c r="I764" s="14"/>
      <c r="J764" s="15"/>
    </row>
    <row r="765" spans="1:10">
      <c r="A765" s="14" t="str">
        <f>IF(B765="","",COUNTA($B$4:B765))</f>
        <v/>
      </c>
      <c r="B765" s="14"/>
      <c r="C765" s="14"/>
      <c r="D765" s="14"/>
      <c r="E765" s="14"/>
      <c r="F765" s="14"/>
      <c r="G765" s="14"/>
      <c r="H765" s="14"/>
      <c r="I765" s="14"/>
      <c r="J765" s="15"/>
    </row>
    <row r="766" spans="1:10">
      <c r="A766" s="14" t="str">
        <f>IF(B766="","",COUNTA($B$4:B766))</f>
        <v/>
      </c>
      <c r="B766" s="14"/>
      <c r="C766" s="14"/>
      <c r="D766" s="14"/>
      <c r="E766" s="14"/>
      <c r="F766" s="14"/>
      <c r="G766" s="14"/>
      <c r="H766" s="14"/>
      <c r="I766" s="14"/>
      <c r="J766" s="15"/>
    </row>
    <row r="767" spans="1:10">
      <c r="A767" s="14" t="str">
        <f>IF(B767="","",COUNTA($B$4:B767))</f>
        <v/>
      </c>
      <c r="B767" s="14"/>
      <c r="C767" s="14"/>
      <c r="D767" s="14"/>
      <c r="E767" s="14"/>
      <c r="F767" s="14"/>
      <c r="G767" s="14"/>
      <c r="H767" s="14"/>
      <c r="I767" s="14"/>
      <c r="J767" s="15"/>
    </row>
    <row r="768" spans="1:10">
      <c r="A768" s="14" t="str">
        <f>IF(B768="","",COUNTA($B$4:B768))</f>
        <v/>
      </c>
      <c r="B768" s="14"/>
      <c r="C768" s="14"/>
      <c r="D768" s="14"/>
      <c r="E768" s="14"/>
      <c r="F768" s="14"/>
      <c r="G768" s="14"/>
      <c r="H768" s="14"/>
      <c r="I768" s="14"/>
      <c r="J768" s="15"/>
    </row>
    <row r="769" spans="1:10">
      <c r="A769" s="14" t="str">
        <f>IF(B769="","",COUNTA($B$4:B769))</f>
        <v/>
      </c>
      <c r="B769" s="14"/>
      <c r="C769" s="14"/>
      <c r="D769" s="14"/>
      <c r="E769" s="14"/>
      <c r="F769" s="14"/>
      <c r="G769" s="14"/>
      <c r="H769" s="14"/>
      <c r="I769" s="14"/>
      <c r="J769" s="15"/>
    </row>
    <row r="770" spans="1:10">
      <c r="A770" s="14" t="str">
        <f>IF(B770="","",COUNTA($B$4:B770))</f>
        <v/>
      </c>
      <c r="B770" s="14"/>
      <c r="C770" s="14"/>
      <c r="D770" s="14"/>
      <c r="E770" s="14"/>
      <c r="F770" s="14"/>
      <c r="G770" s="14"/>
      <c r="H770" s="14"/>
      <c r="I770" s="14"/>
      <c r="J770" s="15"/>
    </row>
    <row r="771" spans="1:10">
      <c r="A771" s="14" t="str">
        <f>IF(B771="","",COUNTA($B$4:B771))</f>
        <v/>
      </c>
      <c r="B771" s="14"/>
      <c r="C771" s="14"/>
      <c r="D771" s="14"/>
      <c r="E771" s="14"/>
      <c r="F771" s="14"/>
      <c r="G771" s="14"/>
      <c r="H771" s="14"/>
      <c r="I771" s="14"/>
      <c r="J771" s="15"/>
    </row>
    <row r="772" spans="1:10">
      <c r="A772" s="14" t="str">
        <f>IF(B772="","",COUNTA($B$4:B772))</f>
        <v/>
      </c>
      <c r="B772" s="14"/>
      <c r="C772" s="14"/>
      <c r="D772" s="14"/>
      <c r="E772" s="14"/>
      <c r="F772" s="14"/>
      <c r="G772" s="14"/>
      <c r="H772" s="14"/>
      <c r="I772" s="14"/>
      <c r="J772" s="15"/>
    </row>
    <row r="773" spans="1:10">
      <c r="A773" s="14" t="str">
        <f>IF(B773="","",COUNTA($B$4:B773))</f>
        <v/>
      </c>
      <c r="B773" s="14"/>
      <c r="C773" s="14"/>
      <c r="D773" s="14"/>
      <c r="E773" s="14"/>
      <c r="F773" s="14"/>
      <c r="G773" s="14"/>
      <c r="H773" s="14"/>
      <c r="I773" s="14"/>
      <c r="J773" s="15"/>
    </row>
    <row r="774" spans="1:10">
      <c r="A774" s="14" t="str">
        <f>IF(B774="","",COUNTA($B$4:B774))</f>
        <v/>
      </c>
      <c r="B774" s="14"/>
      <c r="C774" s="14"/>
      <c r="D774" s="14"/>
      <c r="E774" s="14"/>
      <c r="F774" s="14"/>
      <c r="G774" s="14"/>
      <c r="H774" s="14"/>
      <c r="I774" s="14"/>
      <c r="J774" s="15"/>
    </row>
    <row r="775" spans="1:10">
      <c r="A775" s="14" t="str">
        <f>IF(B775="","",COUNTA($B$4:B775))</f>
        <v/>
      </c>
      <c r="B775" s="14"/>
      <c r="C775" s="14"/>
      <c r="D775" s="14"/>
      <c r="E775" s="14"/>
      <c r="F775" s="14"/>
      <c r="G775" s="14"/>
      <c r="H775" s="14"/>
      <c r="I775" s="14"/>
      <c r="J775" s="15"/>
    </row>
    <row r="776" spans="1:10">
      <c r="A776" s="14" t="str">
        <f>IF(B776="","",COUNTA($B$4:B776))</f>
        <v/>
      </c>
      <c r="B776" s="14"/>
      <c r="C776" s="14"/>
      <c r="D776" s="14"/>
      <c r="E776" s="14"/>
      <c r="F776" s="14"/>
      <c r="G776" s="14"/>
      <c r="H776" s="14"/>
      <c r="I776" s="14"/>
      <c r="J776" s="15"/>
    </row>
    <row r="777" spans="1:10">
      <c r="A777" s="14" t="str">
        <f>IF(B777="","",COUNTA($B$4:B777))</f>
        <v/>
      </c>
      <c r="B777" s="14"/>
      <c r="C777" s="14"/>
      <c r="D777" s="14"/>
      <c r="E777" s="14"/>
      <c r="F777" s="14"/>
      <c r="G777" s="14"/>
      <c r="H777" s="14"/>
      <c r="I777" s="14"/>
      <c r="J777" s="15"/>
    </row>
    <row r="778" spans="1:10">
      <c r="A778" s="14" t="str">
        <f>IF(B778="","",COUNTA($B$4:B778))</f>
        <v/>
      </c>
      <c r="B778" s="14"/>
      <c r="C778" s="14"/>
      <c r="D778" s="14"/>
      <c r="E778" s="14"/>
      <c r="F778" s="14"/>
      <c r="G778" s="14"/>
      <c r="H778" s="14"/>
      <c r="I778" s="14"/>
      <c r="J778" s="15"/>
    </row>
    <row r="779" spans="1:10">
      <c r="A779" s="14" t="str">
        <f>IF(B779="","",COUNTA($B$4:B779))</f>
        <v/>
      </c>
      <c r="B779" s="14"/>
      <c r="C779" s="14"/>
      <c r="D779" s="14"/>
      <c r="E779" s="14"/>
      <c r="F779" s="14"/>
      <c r="G779" s="14"/>
      <c r="H779" s="14"/>
      <c r="I779" s="14"/>
      <c r="J779" s="15"/>
    </row>
    <row r="780" spans="1:10">
      <c r="A780" s="14" t="str">
        <f>IF(B780="","",COUNTA($B$4:B780))</f>
        <v/>
      </c>
      <c r="B780" s="14"/>
      <c r="C780" s="14"/>
      <c r="D780" s="14"/>
      <c r="E780" s="14"/>
      <c r="F780" s="14"/>
      <c r="G780" s="14"/>
      <c r="H780" s="14"/>
      <c r="I780" s="14"/>
      <c r="J780" s="15"/>
    </row>
    <row r="781" spans="1:10">
      <c r="A781" s="14" t="str">
        <f>IF(B781="","",COUNTA($B$4:B781))</f>
        <v/>
      </c>
      <c r="B781" s="14"/>
      <c r="C781" s="14"/>
      <c r="D781" s="14"/>
      <c r="E781" s="14"/>
      <c r="F781" s="14"/>
      <c r="G781" s="14"/>
      <c r="H781" s="14"/>
      <c r="I781" s="14"/>
      <c r="J781" s="15"/>
    </row>
    <row r="782" spans="1:10">
      <c r="A782" s="14" t="str">
        <f>IF(B782="","",COUNTA($B$4:B782))</f>
        <v/>
      </c>
      <c r="B782" s="14"/>
      <c r="C782" s="14"/>
      <c r="D782" s="14"/>
      <c r="E782" s="14"/>
      <c r="F782" s="14"/>
      <c r="G782" s="14"/>
      <c r="H782" s="14"/>
      <c r="I782" s="14"/>
      <c r="J782" s="15"/>
    </row>
    <row r="783" spans="1:10">
      <c r="A783" s="14" t="str">
        <f>IF(B783="","",COUNTA($B$4:B783))</f>
        <v/>
      </c>
      <c r="B783" s="14"/>
      <c r="C783" s="14"/>
      <c r="D783" s="14"/>
      <c r="E783" s="14"/>
      <c r="F783" s="14"/>
      <c r="G783" s="14"/>
      <c r="H783" s="14"/>
      <c r="I783" s="14"/>
      <c r="J783" s="15"/>
    </row>
    <row r="784" spans="1:10">
      <c r="A784" s="14" t="str">
        <f>IF(B784="","",COUNTA($B$4:B784))</f>
        <v/>
      </c>
      <c r="B784" s="14"/>
      <c r="C784" s="14"/>
      <c r="D784" s="14"/>
      <c r="E784" s="14"/>
      <c r="F784" s="14"/>
      <c r="G784" s="14"/>
      <c r="H784" s="14"/>
      <c r="I784" s="14"/>
      <c r="J784" s="15"/>
    </row>
    <row r="785" spans="1:10">
      <c r="A785" s="14" t="str">
        <f>IF(B785="","",COUNTA($B$4:B785))</f>
        <v/>
      </c>
      <c r="B785" s="14"/>
      <c r="C785" s="14"/>
      <c r="D785" s="14"/>
      <c r="E785" s="14"/>
      <c r="F785" s="14"/>
      <c r="G785" s="14"/>
      <c r="H785" s="14"/>
      <c r="I785" s="14"/>
      <c r="J785" s="15"/>
    </row>
    <row r="786" spans="1:10">
      <c r="A786" s="14" t="str">
        <f>IF(B786="","",COUNTA($B$4:B786))</f>
        <v/>
      </c>
      <c r="B786" s="14"/>
      <c r="C786" s="14"/>
      <c r="D786" s="14"/>
      <c r="E786" s="14"/>
      <c r="F786" s="14"/>
      <c r="G786" s="14"/>
      <c r="H786" s="14"/>
      <c r="I786" s="14"/>
      <c r="J786" s="15"/>
    </row>
    <row r="787" spans="1:10">
      <c r="A787" s="14" t="str">
        <f>IF(B787="","",COUNTA($B$4:B787))</f>
        <v/>
      </c>
      <c r="B787" s="14"/>
      <c r="C787" s="14"/>
      <c r="D787" s="14"/>
      <c r="E787" s="14"/>
      <c r="F787" s="14"/>
      <c r="G787" s="14"/>
      <c r="H787" s="14"/>
      <c r="I787" s="14"/>
      <c r="J787" s="15"/>
    </row>
    <row r="788" spans="1:10">
      <c r="A788" s="14" t="str">
        <f>IF(B788="","",COUNTA($B$4:B788))</f>
        <v/>
      </c>
      <c r="B788" s="14"/>
      <c r="C788" s="14"/>
      <c r="D788" s="14"/>
      <c r="E788" s="14"/>
      <c r="F788" s="14"/>
      <c r="G788" s="14"/>
      <c r="H788" s="14"/>
      <c r="I788" s="14"/>
      <c r="J788" s="15"/>
    </row>
    <row r="789" spans="1:10">
      <c r="A789" s="14" t="str">
        <f>IF(B789="","",COUNTA($B$4:B789))</f>
        <v/>
      </c>
      <c r="B789" s="14"/>
      <c r="C789" s="14"/>
      <c r="D789" s="14"/>
      <c r="E789" s="14"/>
      <c r="F789" s="14"/>
      <c r="G789" s="14"/>
      <c r="H789" s="14"/>
      <c r="I789" s="14"/>
      <c r="J789" s="15"/>
    </row>
    <row r="790" spans="1:10">
      <c r="A790" s="14" t="str">
        <f>IF(B790="","",COUNTA($B$4:B790))</f>
        <v/>
      </c>
      <c r="B790" s="14"/>
      <c r="C790" s="14"/>
      <c r="D790" s="14"/>
      <c r="E790" s="14"/>
      <c r="F790" s="14"/>
      <c r="G790" s="14"/>
      <c r="H790" s="14"/>
      <c r="I790" s="14"/>
      <c r="J790" s="15"/>
    </row>
    <row r="791" spans="1:10">
      <c r="A791" s="14" t="str">
        <f>IF(B791="","",COUNTA($B$4:B791))</f>
        <v/>
      </c>
      <c r="B791" s="14"/>
      <c r="C791" s="14"/>
      <c r="D791" s="14"/>
      <c r="E791" s="14"/>
      <c r="F791" s="14"/>
      <c r="G791" s="14"/>
      <c r="H791" s="14"/>
      <c r="I791" s="14"/>
      <c r="J791" s="15"/>
    </row>
    <row r="792" spans="1:10">
      <c r="A792" s="14" t="str">
        <f>IF(B792="","",COUNTA($B$4:B792))</f>
        <v/>
      </c>
      <c r="B792" s="14"/>
      <c r="C792" s="14"/>
      <c r="D792" s="14"/>
      <c r="E792" s="14"/>
      <c r="F792" s="14"/>
      <c r="G792" s="14"/>
      <c r="H792" s="14"/>
      <c r="I792" s="14"/>
      <c r="J792" s="15"/>
    </row>
    <row r="793" spans="1:10">
      <c r="A793" s="14" t="str">
        <f>IF(B793="","",COUNTA($B$4:B793))</f>
        <v/>
      </c>
      <c r="B793" s="14"/>
      <c r="C793" s="14"/>
      <c r="D793" s="14"/>
      <c r="E793" s="14"/>
      <c r="F793" s="14"/>
      <c r="G793" s="14"/>
      <c r="H793" s="14"/>
      <c r="I793" s="14"/>
      <c r="J793" s="15"/>
    </row>
    <row r="794" spans="1:10">
      <c r="A794" s="14" t="str">
        <f>IF(B794="","",COUNTA($B$4:B794))</f>
        <v/>
      </c>
      <c r="B794" s="14"/>
      <c r="C794" s="14"/>
      <c r="D794" s="14"/>
      <c r="E794" s="14"/>
      <c r="F794" s="14"/>
      <c r="G794" s="14"/>
      <c r="H794" s="14"/>
      <c r="I794" s="14"/>
      <c r="J794" s="15"/>
    </row>
    <row r="795" spans="1:10">
      <c r="A795" s="14" t="str">
        <f>IF(B795="","",COUNTA($B$4:B795))</f>
        <v/>
      </c>
      <c r="B795" s="14"/>
      <c r="C795" s="14"/>
      <c r="D795" s="14"/>
      <c r="E795" s="14"/>
      <c r="F795" s="14"/>
      <c r="G795" s="14"/>
      <c r="H795" s="14"/>
      <c r="I795" s="14"/>
      <c r="J795" s="15"/>
    </row>
    <row r="796" spans="1:10">
      <c r="A796" s="14" t="str">
        <f>IF(B796="","",COUNTA($B$4:B796))</f>
        <v/>
      </c>
      <c r="B796" s="14"/>
      <c r="C796" s="14"/>
      <c r="D796" s="14"/>
      <c r="E796" s="14"/>
      <c r="F796" s="14"/>
      <c r="G796" s="14"/>
      <c r="H796" s="14"/>
      <c r="I796" s="14"/>
      <c r="J796" s="15"/>
    </row>
    <row r="797" spans="1:10">
      <c r="A797" s="14" t="str">
        <f>IF(B797="","",COUNTA($B$4:B797))</f>
        <v/>
      </c>
      <c r="B797" s="14"/>
      <c r="C797" s="14"/>
      <c r="D797" s="14"/>
      <c r="E797" s="14"/>
      <c r="F797" s="14"/>
      <c r="G797" s="14"/>
      <c r="H797" s="14"/>
      <c r="I797" s="14"/>
      <c r="J797" s="15"/>
    </row>
    <row r="798" spans="1:10">
      <c r="A798" s="14" t="str">
        <f>IF(B798="","",COUNTA($B$4:B798))</f>
        <v/>
      </c>
      <c r="B798" s="14"/>
      <c r="C798" s="14"/>
      <c r="D798" s="14"/>
      <c r="E798" s="14"/>
      <c r="F798" s="14"/>
      <c r="G798" s="14"/>
      <c r="H798" s="14"/>
      <c r="I798" s="14"/>
      <c r="J798" s="15"/>
    </row>
    <row r="799" spans="1:10">
      <c r="A799" s="14" t="str">
        <f>IF(B799="","",COUNTA($B$4:B799))</f>
        <v/>
      </c>
      <c r="B799" s="14"/>
      <c r="C799" s="14"/>
      <c r="D799" s="14"/>
      <c r="E799" s="14"/>
      <c r="F799" s="14"/>
      <c r="G799" s="14"/>
      <c r="H799" s="14"/>
      <c r="I799" s="14"/>
      <c r="J799" s="15"/>
    </row>
    <row r="800" spans="1:10">
      <c r="A800" s="14" t="str">
        <f>IF(B800="","",COUNTA($B$4:B800))</f>
        <v/>
      </c>
      <c r="B800" s="14"/>
      <c r="C800" s="14"/>
      <c r="D800" s="14"/>
      <c r="E800" s="14"/>
      <c r="F800" s="14"/>
      <c r="G800" s="14"/>
      <c r="H800" s="14"/>
      <c r="I800" s="14"/>
      <c r="J800" s="15"/>
    </row>
    <row r="801" spans="1:10">
      <c r="A801" s="14" t="str">
        <f>IF(B801="","",COUNTA($B$4:B801))</f>
        <v/>
      </c>
      <c r="B801" s="14"/>
      <c r="C801" s="14"/>
      <c r="D801" s="14"/>
      <c r="E801" s="14"/>
      <c r="F801" s="14"/>
      <c r="G801" s="14"/>
      <c r="H801" s="14"/>
      <c r="I801" s="14"/>
      <c r="J801" s="15"/>
    </row>
    <row r="802" spans="1:10">
      <c r="A802" s="14" t="str">
        <f>IF(B802="","",COUNTA($B$4:B802))</f>
        <v/>
      </c>
      <c r="B802" s="14"/>
      <c r="C802" s="14"/>
      <c r="D802" s="14"/>
      <c r="E802" s="14"/>
      <c r="F802" s="14"/>
      <c r="G802" s="14"/>
      <c r="H802" s="14"/>
      <c r="I802" s="14"/>
      <c r="J802" s="15"/>
    </row>
    <row r="803" spans="1:10">
      <c r="A803" s="14" t="str">
        <f>IF(B803="","",COUNTA($B$4:B803))</f>
        <v/>
      </c>
      <c r="B803" s="14"/>
      <c r="C803" s="14"/>
      <c r="D803" s="14"/>
      <c r="E803" s="14"/>
      <c r="F803" s="14"/>
      <c r="G803" s="14"/>
      <c r="H803" s="14"/>
      <c r="I803" s="14"/>
      <c r="J803" s="15"/>
    </row>
    <row r="804" spans="1:10">
      <c r="A804" s="14" t="str">
        <f>IF(B804="","",COUNTA($B$4:B804))</f>
        <v/>
      </c>
      <c r="B804" s="14"/>
      <c r="C804" s="14"/>
      <c r="D804" s="14"/>
      <c r="E804" s="14"/>
      <c r="F804" s="14"/>
      <c r="G804" s="14"/>
      <c r="H804" s="14"/>
      <c r="I804" s="14"/>
      <c r="J804" s="15"/>
    </row>
    <row r="805" spans="1:10">
      <c r="A805" s="14" t="str">
        <f>IF(B805="","",COUNTA($B$4:B805))</f>
        <v/>
      </c>
      <c r="B805" s="14"/>
      <c r="C805" s="14"/>
      <c r="D805" s="14"/>
      <c r="E805" s="14"/>
      <c r="F805" s="14"/>
      <c r="G805" s="14"/>
      <c r="H805" s="14"/>
      <c r="I805" s="14"/>
      <c r="J805" s="15"/>
    </row>
    <row r="806" spans="1:10">
      <c r="A806" s="14" t="str">
        <f>IF(B806="","",COUNTA($B$4:B806))</f>
        <v/>
      </c>
      <c r="B806" s="14"/>
      <c r="C806" s="14"/>
      <c r="D806" s="14"/>
      <c r="E806" s="14"/>
      <c r="F806" s="14"/>
      <c r="G806" s="14"/>
      <c r="H806" s="14"/>
      <c r="I806" s="14"/>
      <c r="J806" s="15"/>
    </row>
    <row r="807" spans="1:10">
      <c r="A807" s="14" t="str">
        <f>IF(B807="","",COUNTA($B$4:B807))</f>
        <v/>
      </c>
      <c r="B807" s="14"/>
      <c r="C807" s="14"/>
      <c r="D807" s="14"/>
      <c r="E807" s="14"/>
      <c r="F807" s="14"/>
      <c r="G807" s="14"/>
      <c r="H807" s="14"/>
      <c r="I807" s="14"/>
      <c r="J807" s="15"/>
    </row>
    <row r="808" spans="1:10">
      <c r="A808" s="14" t="str">
        <f>IF(B808="","",COUNTA($B$4:B808))</f>
        <v/>
      </c>
      <c r="B808" s="14"/>
      <c r="C808" s="14"/>
      <c r="D808" s="14"/>
      <c r="E808" s="14"/>
      <c r="F808" s="14"/>
      <c r="G808" s="14"/>
      <c r="H808" s="14"/>
      <c r="I808" s="14"/>
      <c r="J808" s="15"/>
    </row>
    <row r="809" spans="1:10">
      <c r="A809" s="14" t="str">
        <f>IF(B809="","",COUNTA($B$4:B809))</f>
        <v/>
      </c>
      <c r="B809" s="14"/>
      <c r="C809" s="14"/>
      <c r="D809" s="14"/>
      <c r="E809" s="14"/>
      <c r="F809" s="14"/>
      <c r="G809" s="14"/>
      <c r="H809" s="14"/>
      <c r="I809" s="14"/>
      <c r="J809" s="15"/>
    </row>
    <row r="810" spans="1:10">
      <c r="A810" s="14" t="str">
        <f>IF(B810="","",COUNTA($B$4:B810))</f>
        <v/>
      </c>
      <c r="B810" s="14"/>
      <c r="C810" s="14"/>
      <c r="D810" s="14"/>
      <c r="E810" s="14"/>
      <c r="F810" s="14"/>
      <c r="G810" s="14"/>
      <c r="H810" s="14"/>
      <c r="I810" s="14"/>
      <c r="J810" s="15"/>
    </row>
    <row r="811" spans="1:10">
      <c r="A811" s="14" t="str">
        <f>IF(B811="","",COUNTA($B$4:B811))</f>
        <v/>
      </c>
      <c r="B811" s="14"/>
      <c r="C811" s="14"/>
      <c r="D811" s="14"/>
      <c r="E811" s="14"/>
      <c r="F811" s="14"/>
      <c r="G811" s="14"/>
      <c r="H811" s="14"/>
      <c r="I811" s="14"/>
      <c r="J811" s="15"/>
    </row>
    <row r="812" spans="1:10">
      <c r="A812" s="14" t="str">
        <f>IF(B812="","",COUNTA($B$4:B812))</f>
        <v/>
      </c>
      <c r="B812" s="14"/>
      <c r="C812" s="14"/>
      <c r="D812" s="14"/>
      <c r="E812" s="14"/>
      <c r="F812" s="14"/>
      <c r="G812" s="14"/>
      <c r="H812" s="14"/>
      <c r="I812" s="14"/>
      <c r="J812" s="15"/>
    </row>
    <row r="813" spans="1:10">
      <c r="A813" s="14" t="str">
        <f>IF(B813="","",COUNTA($B$4:B813))</f>
        <v/>
      </c>
      <c r="B813" s="14"/>
      <c r="C813" s="14"/>
      <c r="D813" s="14"/>
      <c r="E813" s="14"/>
      <c r="F813" s="14"/>
      <c r="G813" s="14"/>
      <c r="H813" s="14"/>
      <c r="I813" s="14"/>
      <c r="J813" s="15"/>
    </row>
  </sheetData>
  <autoFilter ref="A3:J813"/>
  <phoneticPr fontId="5"/>
  <pageMargins left="0.39370078740157483" right="0.39370078740157483" top="0.39370078740157483" bottom="0.39370078740157483" header="0.39370078740157483" footer="0.39370078740157483"/>
  <pageSetup paperSize="9" scale="65" fitToHeight="0" orientation="portrait" verticalDpi="1200" r:id="rId1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>
    <tabColor rgb="FF92D050"/>
  </sheetPr>
  <dimension ref="A1:K813"/>
  <sheetViews>
    <sheetView workbookViewId="0">
      <pane ySplit="3" topLeftCell="A4" activePane="bottomLeft" state="frozen"/>
      <selection sqref="A1:T4"/>
      <selection pane="bottomLeft"/>
    </sheetView>
  </sheetViews>
  <sheetFormatPr defaultRowHeight="14.4"/>
  <cols>
    <col min="1" max="1" width="4.6328125" customWidth="1"/>
    <col min="2" max="2" width="23.6328125" bestFit="1" customWidth="1"/>
    <col min="3" max="5" width="20.6328125" customWidth="1"/>
    <col min="6" max="7" width="10.6328125" customWidth="1"/>
    <col min="8" max="9" width="5.6328125" customWidth="1"/>
    <col min="10" max="10" width="8.7265625" style="16"/>
    <col min="11" max="11" width="9.7265625" style="16" hidden="1" customWidth="1"/>
  </cols>
  <sheetData>
    <row r="1" spans="1:11" ht="18.600000000000001">
      <c r="A1" s="9" t="str">
        <f ca="1">RIGHT(CELL("filename",A1),LEN(CELL("filename",A1))-FIND("]",CELL("filename",A1)))</f>
        <v>項目一覧 (項目別)</v>
      </c>
      <c r="B1" s="10"/>
      <c r="C1" s="10"/>
      <c r="D1" s="10"/>
      <c r="E1" s="10"/>
      <c r="F1" s="10"/>
      <c r="G1" s="10"/>
      <c r="H1" s="10"/>
      <c r="I1" s="10"/>
      <c r="J1" s="11"/>
      <c r="K1" s="11"/>
    </row>
    <row r="3" spans="1:11">
      <c r="A3" s="12" t="s">
        <v>487</v>
      </c>
      <c r="B3" s="12" t="s">
        <v>488</v>
      </c>
      <c r="C3" s="12" t="s">
        <v>489</v>
      </c>
      <c r="D3" s="12" t="s">
        <v>490</v>
      </c>
      <c r="E3" s="12" t="s">
        <v>491</v>
      </c>
      <c r="F3" s="12" t="s">
        <v>492</v>
      </c>
      <c r="G3" s="12" t="s">
        <v>493</v>
      </c>
      <c r="H3" s="12" t="s">
        <v>494</v>
      </c>
      <c r="I3" s="12" t="s">
        <v>495</v>
      </c>
      <c r="J3" s="13" t="s">
        <v>496</v>
      </c>
      <c r="K3" s="13" t="s">
        <v>498</v>
      </c>
    </row>
    <row r="4" spans="1:11">
      <c r="A4" s="14">
        <f>IF(B4="","",COUNTA($B$4:B4))</f>
        <v>1</v>
      </c>
      <c r="B4" s="14" t="s">
        <v>1502</v>
      </c>
      <c r="C4" s="14" t="s">
        <v>1504</v>
      </c>
      <c r="D4" s="14" t="s">
        <v>1505</v>
      </c>
      <c r="E4" s="14" t="s">
        <v>1504</v>
      </c>
      <c r="F4" s="14" t="s">
        <v>155</v>
      </c>
      <c r="G4" s="14" t="s">
        <v>156</v>
      </c>
      <c r="H4" s="14">
        <v>3</v>
      </c>
      <c r="I4" s="14" t="s">
        <v>244</v>
      </c>
      <c r="J4" s="14"/>
      <c r="K4" s="140"/>
    </row>
    <row r="5" spans="1:11">
      <c r="A5" s="14">
        <f>IF(B5="","",COUNTA($B$4:B5))</f>
        <v>2</v>
      </c>
      <c r="B5" s="14" t="s">
        <v>1502</v>
      </c>
      <c r="C5" s="14" t="s">
        <v>1438</v>
      </c>
      <c r="D5" s="14" t="s">
        <v>1508</v>
      </c>
      <c r="E5" s="14" t="s">
        <v>1438</v>
      </c>
      <c r="F5" s="14" t="s">
        <v>155</v>
      </c>
      <c r="G5" s="14" t="s">
        <v>156</v>
      </c>
      <c r="H5" s="14">
        <v>5</v>
      </c>
      <c r="I5" s="14" t="s">
        <v>244</v>
      </c>
      <c r="J5" s="14"/>
      <c r="K5" s="15"/>
    </row>
    <row r="6" spans="1:11">
      <c r="A6" s="14">
        <f>IF(B6="","",COUNTA($B$4:B6))</f>
        <v>3</v>
      </c>
      <c r="B6" s="14" t="s">
        <v>1502</v>
      </c>
      <c r="C6" s="14" t="s">
        <v>1439</v>
      </c>
      <c r="D6" s="14" t="s">
        <v>1509</v>
      </c>
      <c r="E6" s="14" t="s">
        <v>1439</v>
      </c>
      <c r="F6" s="14" t="s">
        <v>155</v>
      </c>
      <c r="G6" s="14" t="s">
        <v>156</v>
      </c>
      <c r="H6" s="14">
        <v>5</v>
      </c>
      <c r="I6" s="14" t="s">
        <v>244</v>
      </c>
      <c r="J6" s="14"/>
      <c r="K6" s="15"/>
    </row>
    <row r="7" spans="1:11">
      <c r="A7" s="14">
        <f>IF(B7="","",COUNTA($B$4:B7))</f>
        <v>4</v>
      </c>
      <c r="B7" s="14" t="s">
        <v>1502</v>
      </c>
      <c r="C7" s="14" t="s">
        <v>1506</v>
      </c>
      <c r="D7" s="14" t="s">
        <v>1507</v>
      </c>
      <c r="E7" s="14" t="s">
        <v>1506</v>
      </c>
      <c r="F7" s="14" t="s">
        <v>155</v>
      </c>
      <c r="G7" s="14" t="s">
        <v>156</v>
      </c>
      <c r="H7" s="14">
        <v>5</v>
      </c>
      <c r="I7" s="14" t="s">
        <v>244</v>
      </c>
      <c r="J7" s="14"/>
      <c r="K7" s="140"/>
    </row>
    <row r="8" spans="1:11">
      <c r="A8" s="14">
        <f>IF(B8="","",COUNTA($B$4:B8))</f>
        <v>5</v>
      </c>
      <c r="B8" s="14" t="s">
        <v>1502</v>
      </c>
      <c r="C8" s="14" t="s">
        <v>1510</v>
      </c>
      <c r="D8" s="14" t="s">
        <v>1511</v>
      </c>
      <c r="E8" s="14" t="s">
        <v>1510</v>
      </c>
      <c r="F8" s="14" t="s">
        <v>155</v>
      </c>
      <c r="G8" s="14" t="s">
        <v>156</v>
      </c>
      <c r="H8" s="14">
        <v>3</v>
      </c>
      <c r="I8" s="14" t="s">
        <v>244</v>
      </c>
      <c r="J8" s="14"/>
      <c r="K8" s="140"/>
    </row>
    <row r="9" spans="1:11">
      <c r="A9" s="14">
        <f>IF(B9="","",COUNTA($B$4:B9))</f>
        <v>6</v>
      </c>
      <c r="B9" s="14" t="s">
        <v>1498</v>
      </c>
      <c r="C9" s="14" t="s">
        <v>373</v>
      </c>
      <c r="D9" s="14" t="s">
        <v>374</v>
      </c>
      <c r="E9" s="14" t="s">
        <v>373</v>
      </c>
      <c r="F9" s="14" t="s">
        <v>155</v>
      </c>
      <c r="G9" s="14" t="s">
        <v>156</v>
      </c>
      <c r="H9" s="14">
        <v>3</v>
      </c>
      <c r="I9" s="14"/>
      <c r="J9" s="14"/>
      <c r="K9" s="140"/>
    </row>
    <row r="10" spans="1:11">
      <c r="A10" s="14">
        <f>IF(B10="","",COUNTA($B$4:B10))</f>
        <v>7</v>
      </c>
      <c r="B10" s="14" t="s">
        <v>1497</v>
      </c>
      <c r="C10" s="14" t="s">
        <v>323</v>
      </c>
      <c r="D10" s="14" t="s">
        <v>324</v>
      </c>
      <c r="E10" s="14" t="s">
        <v>323</v>
      </c>
      <c r="F10" s="14" t="s">
        <v>150</v>
      </c>
      <c r="G10" s="14" t="s">
        <v>151</v>
      </c>
      <c r="H10" s="14">
        <v>5</v>
      </c>
      <c r="I10" s="14"/>
      <c r="J10" s="14"/>
      <c r="K10" s="15"/>
    </row>
    <row r="11" spans="1:11">
      <c r="A11" s="14">
        <f>IF(B11="","",COUNTA($B$4:B11))</f>
        <v>8</v>
      </c>
      <c r="B11" s="14" t="s">
        <v>1498</v>
      </c>
      <c r="C11" s="14" t="s">
        <v>323</v>
      </c>
      <c r="D11" s="14" t="s">
        <v>324</v>
      </c>
      <c r="E11" s="14" t="s">
        <v>323</v>
      </c>
      <c r="F11" s="14" t="s">
        <v>150</v>
      </c>
      <c r="G11" s="14" t="s">
        <v>151</v>
      </c>
      <c r="H11" s="14">
        <v>5</v>
      </c>
      <c r="I11" s="14"/>
      <c r="J11" s="14"/>
      <c r="K11" s="15"/>
    </row>
    <row r="12" spans="1:11">
      <c r="A12" s="14">
        <f>IF(B12="","",COUNTA($B$4:B12))</f>
        <v>9</v>
      </c>
      <c r="B12" s="14" t="s">
        <v>1497</v>
      </c>
      <c r="C12" s="14" t="s">
        <v>333</v>
      </c>
      <c r="D12" s="14" t="s">
        <v>334</v>
      </c>
      <c r="E12" s="14" t="s">
        <v>333</v>
      </c>
      <c r="F12" s="14" t="s">
        <v>155</v>
      </c>
      <c r="G12" s="14" t="s">
        <v>156</v>
      </c>
      <c r="H12" s="14">
        <v>5</v>
      </c>
      <c r="I12" s="14"/>
      <c r="J12" s="14"/>
      <c r="K12" s="140"/>
    </row>
    <row r="13" spans="1:11">
      <c r="A13" s="14">
        <f>IF(B13="","",COUNTA($B$4:B13))</f>
        <v>10</v>
      </c>
      <c r="B13" s="14" t="s">
        <v>1498</v>
      </c>
      <c r="C13" s="14" t="s">
        <v>333</v>
      </c>
      <c r="D13" s="14" t="s">
        <v>334</v>
      </c>
      <c r="E13" s="14" t="s">
        <v>333</v>
      </c>
      <c r="F13" s="14" t="s">
        <v>155</v>
      </c>
      <c r="G13" s="14" t="s">
        <v>156</v>
      </c>
      <c r="H13" s="14">
        <v>5</v>
      </c>
      <c r="I13" s="14"/>
      <c r="J13" s="14"/>
      <c r="K13" s="15"/>
    </row>
    <row r="14" spans="1:11">
      <c r="A14" s="14">
        <f>IF(B14="","",COUNTA($B$4:B14))</f>
        <v>11</v>
      </c>
      <c r="B14" s="14" t="s">
        <v>1497</v>
      </c>
      <c r="C14" s="14" t="s">
        <v>329</v>
      </c>
      <c r="D14" s="14" t="s">
        <v>330</v>
      </c>
      <c r="E14" s="14" t="s">
        <v>329</v>
      </c>
      <c r="F14" s="14" t="s">
        <v>155</v>
      </c>
      <c r="G14" s="14" t="s">
        <v>156</v>
      </c>
      <c r="H14" s="14">
        <v>5</v>
      </c>
      <c r="I14" s="14">
        <v>2</v>
      </c>
      <c r="J14" s="14"/>
      <c r="K14" s="15"/>
    </row>
    <row r="15" spans="1:11">
      <c r="A15" s="14">
        <f>IF(B15="","",COUNTA($B$4:B15))</f>
        <v>12</v>
      </c>
      <c r="B15" s="14" t="s">
        <v>1498</v>
      </c>
      <c r="C15" s="14" t="s">
        <v>329</v>
      </c>
      <c r="D15" s="14" t="s">
        <v>330</v>
      </c>
      <c r="E15" s="14" t="s">
        <v>329</v>
      </c>
      <c r="F15" s="14" t="s">
        <v>155</v>
      </c>
      <c r="G15" s="14" t="s">
        <v>156</v>
      </c>
      <c r="H15" s="14">
        <v>5</v>
      </c>
      <c r="I15" s="14">
        <v>2</v>
      </c>
      <c r="J15" s="14"/>
      <c r="K15" s="140"/>
    </row>
    <row r="16" spans="1:11">
      <c r="A16" s="14">
        <f>IF(B16="","",COUNTA($B$4:B16))</f>
        <v>13</v>
      </c>
      <c r="B16" s="14" t="s">
        <v>1497</v>
      </c>
      <c r="C16" s="14" t="s">
        <v>337</v>
      </c>
      <c r="D16" s="14" t="s">
        <v>338</v>
      </c>
      <c r="E16" s="14" t="s">
        <v>337</v>
      </c>
      <c r="F16" s="14" t="s">
        <v>150</v>
      </c>
      <c r="G16" s="14" t="s">
        <v>151</v>
      </c>
      <c r="H16" s="14">
        <v>1000</v>
      </c>
      <c r="I16" s="14"/>
      <c r="J16" s="14"/>
      <c r="K16" s="15"/>
    </row>
    <row r="17" spans="1:11">
      <c r="A17" s="14">
        <f>IF(B17="","",COUNTA($B$4:B17))</f>
        <v>14</v>
      </c>
      <c r="B17" s="14" t="s">
        <v>1498</v>
      </c>
      <c r="C17" s="14" t="s">
        <v>337</v>
      </c>
      <c r="D17" s="14" t="s">
        <v>338</v>
      </c>
      <c r="E17" s="14" t="s">
        <v>337</v>
      </c>
      <c r="F17" s="14" t="s">
        <v>150</v>
      </c>
      <c r="G17" s="14" t="s">
        <v>151</v>
      </c>
      <c r="H17" s="14">
        <v>1000</v>
      </c>
      <c r="I17" s="14"/>
      <c r="J17" s="14"/>
      <c r="K17" s="15"/>
    </row>
    <row r="18" spans="1:11">
      <c r="A18" s="14">
        <f>IF(B18="","",COUNTA($B$4:B18))</f>
        <v>15</v>
      </c>
      <c r="B18" s="14" t="s">
        <v>1497</v>
      </c>
      <c r="C18" s="14" t="s">
        <v>325</v>
      </c>
      <c r="D18" s="14" t="s">
        <v>326</v>
      </c>
      <c r="E18" s="14" t="s">
        <v>325</v>
      </c>
      <c r="F18" s="14" t="s">
        <v>150</v>
      </c>
      <c r="G18" s="14" t="s">
        <v>151</v>
      </c>
      <c r="H18" s="14">
        <v>20</v>
      </c>
      <c r="I18" s="14"/>
      <c r="J18" s="14"/>
      <c r="K18" s="15"/>
    </row>
    <row r="19" spans="1:11">
      <c r="A19" s="14">
        <f>IF(B19="","",COUNTA($B$4:B19))</f>
        <v>16</v>
      </c>
      <c r="B19" s="14" t="s">
        <v>1498</v>
      </c>
      <c r="C19" s="14" t="s">
        <v>325</v>
      </c>
      <c r="D19" s="14" t="s">
        <v>326</v>
      </c>
      <c r="E19" s="14" t="s">
        <v>325</v>
      </c>
      <c r="F19" s="14" t="s">
        <v>150</v>
      </c>
      <c r="G19" s="14" t="s">
        <v>151</v>
      </c>
      <c r="H19" s="14">
        <v>20</v>
      </c>
      <c r="I19" s="14"/>
      <c r="J19" s="14"/>
      <c r="K19" s="15"/>
    </row>
    <row r="20" spans="1:11">
      <c r="A20" s="14">
        <f>IF(B20="","",COUNTA($B$4:B20))</f>
        <v>17</v>
      </c>
      <c r="B20" s="14" t="s">
        <v>1497</v>
      </c>
      <c r="C20" s="14" t="s">
        <v>327</v>
      </c>
      <c r="D20" s="14" t="s">
        <v>328</v>
      </c>
      <c r="E20" s="14" t="s">
        <v>327</v>
      </c>
      <c r="F20" s="14" t="s">
        <v>150</v>
      </c>
      <c r="G20" s="14" t="s">
        <v>151</v>
      </c>
      <c r="H20" s="14">
        <v>30</v>
      </c>
      <c r="I20" s="14"/>
      <c r="J20" s="14"/>
      <c r="K20" s="15"/>
    </row>
    <row r="21" spans="1:11">
      <c r="A21" s="14">
        <f>IF(B21="","",COUNTA($B$4:B21))</f>
        <v>18</v>
      </c>
      <c r="B21" s="14" t="s">
        <v>1498</v>
      </c>
      <c r="C21" s="14" t="s">
        <v>327</v>
      </c>
      <c r="D21" s="14" t="s">
        <v>328</v>
      </c>
      <c r="E21" s="14" t="s">
        <v>327</v>
      </c>
      <c r="F21" s="14" t="s">
        <v>150</v>
      </c>
      <c r="G21" s="14" t="s">
        <v>151</v>
      </c>
      <c r="H21" s="14">
        <v>30</v>
      </c>
      <c r="I21" s="14"/>
      <c r="J21" s="14"/>
      <c r="K21" s="140"/>
    </row>
    <row r="22" spans="1:11">
      <c r="A22" s="14">
        <f>IF(B22="","",COUNTA($B$4:B22))</f>
        <v>19</v>
      </c>
      <c r="B22" s="14" t="s">
        <v>1497</v>
      </c>
      <c r="C22" s="14" t="s">
        <v>331</v>
      </c>
      <c r="D22" s="14" t="s">
        <v>332</v>
      </c>
      <c r="E22" s="14" t="s">
        <v>331</v>
      </c>
      <c r="F22" s="14" t="s">
        <v>155</v>
      </c>
      <c r="G22" s="14" t="s">
        <v>156</v>
      </c>
      <c r="H22" s="14">
        <v>4</v>
      </c>
      <c r="I22" s="14"/>
      <c r="J22" s="14"/>
      <c r="K22" s="140"/>
    </row>
    <row r="23" spans="1:11">
      <c r="A23" s="14">
        <f>IF(B23="","",COUNTA($B$4:B23))</f>
        <v>20</v>
      </c>
      <c r="B23" s="14" t="s">
        <v>1498</v>
      </c>
      <c r="C23" s="14" t="s">
        <v>331</v>
      </c>
      <c r="D23" s="14" t="s">
        <v>332</v>
      </c>
      <c r="E23" s="14" t="s">
        <v>331</v>
      </c>
      <c r="F23" s="14" t="s">
        <v>155</v>
      </c>
      <c r="G23" s="14" t="s">
        <v>156</v>
      </c>
      <c r="H23" s="14">
        <v>4</v>
      </c>
      <c r="I23" s="14"/>
      <c r="J23" s="14"/>
      <c r="K23" s="15"/>
    </row>
    <row r="24" spans="1:11">
      <c r="A24" s="14">
        <f>IF(B24="","",COUNTA($B$4:B24))</f>
        <v>21</v>
      </c>
      <c r="B24" s="14" t="s">
        <v>1497</v>
      </c>
      <c r="C24" s="14" t="s">
        <v>335</v>
      </c>
      <c r="D24" s="14" t="s">
        <v>336</v>
      </c>
      <c r="E24" s="14" t="s">
        <v>335</v>
      </c>
      <c r="F24" s="14" t="s">
        <v>155</v>
      </c>
      <c r="G24" s="14" t="s">
        <v>156</v>
      </c>
      <c r="H24" s="14">
        <v>5</v>
      </c>
      <c r="I24" s="14"/>
      <c r="J24" s="14"/>
      <c r="K24" s="15"/>
    </row>
    <row r="25" spans="1:11">
      <c r="A25" s="14">
        <f>IF(B25="","",COUNTA($B$4:B25))</f>
        <v>22</v>
      </c>
      <c r="B25" s="14" t="s">
        <v>1498</v>
      </c>
      <c r="C25" s="14" t="s">
        <v>335</v>
      </c>
      <c r="D25" s="14" t="s">
        <v>336</v>
      </c>
      <c r="E25" s="14" t="s">
        <v>335</v>
      </c>
      <c r="F25" s="14" t="s">
        <v>155</v>
      </c>
      <c r="G25" s="14" t="s">
        <v>156</v>
      </c>
      <c r="H25" s="14">
        <v>5</v>
      </c>
      <c r="I25" s="14"/>
      <c r="J25" s="14"/>
      <c r="K25" s="15"/>
    </row>
    <row r="26" spans="1:11">
      <c r="A26" s="14">
        <f>IF(B26="","",COUNTA($B$4:B26))</f>
        <v>23</v>
      </c>
      <c r="B26" s="14" t="s">
        <v>1494</v>
      </c>
      <c r="C26" s="14" t="s">
        <v>302</v>
      </c>
      <c r="D26" s="14" t="s">
        <v>303</v>
      </c>
      <c r="E26" s="14" t="s">
        <v>302</v>
      </c>
      <c r="F26" s="14" t="s">
        <v>150</v>
      </c>
      <c r="G26" s="14" t="s">
        <v>151</v>
      </c>
      <c r="H26" s="14">
        <v>5</v>
      </c>
      <c r="I26" s="14"/>
      <c r="J26" s="14" t="s">
        <v>1600</v>
      </c>
      <c r="K26" s="15"/>
    </row>
    <row r="27" spans="1:11">
      <c r="A27" s="14">
        <f>IF(B27="","",COUNTA($B$4:B27))</f>
        <v>24</v>
      </c>
      <c r="B27" s="14" t="s">
        <v>1494</v>
      </c>
      <c r="C27" s="14" t="s">
        <v>304</v>
      </c>
      <c r="D27" s="14" t="s">
        <v>305</v>
      </c>
      <c r="E27" s="14" t="s">
        <v>304</v>
      </c>
      <c r="F27" s="14" t="s">
        <v>150</v>
      </c>
      <c r="G27" s="14" t="s">
        <v>151</v>
      </c>
      <c r="H27" s="14">
        <v>20</v>
      </c>
      <c r="I27" s="14"/>
      <c r="J27" s="14" t="s">
        <v>1600</v>
      </c>
      <c r="K27" s="140"/>
    </row>
    <row r="28" spans="1:11">
      <c r="A28" s="14">
        <f>IF(B28="","",COUNTA($B$4:B28))</f>
        <v>25</v>
      </c>
      <c r="B28" s="14" t="s">
        <v>1494</v>
      </c>
      <c r="C28" s="14" t="s">
        <v>306</v>
      </c>
      <c r="D28" s="14" t="s">
        <v>307</v>
      </c>
      <c r="E28" s="14" t="s">
        <v>306</v>
      </c>
      <c r="F28" s="14" t="s">
        <v>150</v>
      </c>
      <c r="G28" s="14" t="s">
        <v>151</v>
      </c>
      <c r="H28" s="14">
        <v>30</v>
      </c>
      <c r="I28" s="14"/>
      <c r="J28" s="14" t="s">
        <v>1600</v>
      </c>
      <c r="K28" s="140"/>
    </row>
    <row r="29" spans="1:11">
      <c r="A29" s="14">
        <f>IF(B29="","",COUNTA($B$4:B29))</f>
        <v>26</v>
      </c>
      <c r="B29" s="14" t="s">
        <v>1497</v>
      </c>
      <c r="C29" s="14" t="s">
        <v>318</v>
      </c>
      <c r="D29" s="14" t="s">
        <v>319</v>
      </c>
      <c r="E29" s="14" t="s">
        <v>318</v>
      </c>
      <c r="F29" s="14" t="s">
        <v>155</v>
      </c>
      <c r="G29" s="14" t="s">
        <v>156</v>
      </c>
      <c r="H29" s="14">
        <v>5</v>
      </c>
      <c r="I29" s="14"/>
      <c r="J29" s="14"/>
      <c r="K29" s="140"/>
    </row>
    <row r="30" spans="1:11">
      <c r="A30" s="14">
        <f>IF(B30="","",COUNTA($B$4:B30))</f>
        <v>27</v>
      </c>
      <c r="B30" s="14" t="s">
        <v>1498</v>
      </c>
      <c r="C30" s="14" t="s">
        <v>318</v>
      </c>
      <c r="D30" s="14" t="s">
        <v>319</v>
      </c>
      <c r="E30" s="14" t="s">
        <v>318</v>
      </c>
      <c r="F30" s="14" t="s">
        <v>155</v>
      </c>
      <c r="G30" s="14" t="s">
        <v>156</v>
      </c>
      <c r="H30" s="14">
        <v>5</v>
      </c>
      <c r="I30" s="14"/>
      <c r="J30" s="14"/>
      <c r="K30" s="15"/>
    </row>
    <row r="31" spans="1:11">
      <c r="A31" s="14">
        <f>IF(B31="","",COUNTA($B$4:B31))</f>
        <v>28</v>
      </c>
      <c r="B31" s="14" t="s">
        <v>1492</v>
      </c>
      <c r="C31" s="14" t="s">
        <v>280</v>
      </c>
      <c r="D31" s="14" t="s">
        <v>281</v>
      </c>
      <c r="E31" s="14" t="s">
        <v>280</v>
      </c>
      <c r="F31" s="14" t="s">
        <v>155</v>
      </c>
      <c r="G31" s="14" t="s">
        <v>156</v>
      </c>
      <c r="H31" s="14">
        <v>1</v>
      </c>
      <c r="I31" s="14"/>
      <c r="J31" s="14"/>
      <c r="K31" s="140"/>
    </row>
    <row r="32" spans="1:11">
      <c r="A32" s="14">
        <f>IF(B32="","",COUNTA($B$4:B32))</f>
        <v>29</v>
      </c>
      <c r="B32" s="14" t="s">
        <v>1492</v>
      </c>
      <c r="C32" s="14" t="s">
        <v>283</v>
      </c>
      <c r="D32" s="14" t="s">
        <v>284</v>
      </c>
      <c r="E32" s="14" t="s">
        <v>283</v>
      </c>
      <c r="F32" s="14" t="s">
        <v>155</v>
      </c>
      <c r="G32" s="14" t="s">
        <v>156</v>
      </c>
      <c r="H32" s="14">
        <v>1</v>
      </c>
      <c r="I32" s="14"/>
      <c r="J32" s="14"/>
      <c r="K32" s="140"/>
    </row>
    <row r="33" spans="1:11">
      <c r="A33" s="14">
        <f>IF(B33="","",COUNTA($B$4:B33))</f>
        <v>30</v>
      </c>
      <c r="B33" s="14" t="s">
        <v>1492</v>
      </c>
      <c r="C33" s="14" t="s">
        <v>286</v>
      </c>
      <c r="D33" s="14" t="s">
        <v>287</v>
      </c>
      <c r="E33" s="14" t="s">
        <v>286</v>
      </c>
      <c r="F33" s="14" t="s">
        <v>155</v>
      </c>
      <c r="G33" s="14" t="s">
        <v>156</v>
      </c>
      <c r="H33" s="14">
        <v>1</v>
      </c>
      <c r="I33" s="14"/>
      <c r="J33" s="14"/>
      <c r="K33" s="140"/>
    </row>
    <row r="34" spans="1:11">
      <c r="A34" s="14">
        <f>IF(B34="","",COUNTA($B$4:B34))</f>
        <v>31</v>
      </c>
      <c r="B34" s="14" t="s">
        <v>1493</v>
      </c>
      <c r="C34" s="14" t="s">
        <v>292</v>
      </c>
      <c r="D34" s="14" t="s">
        <v>293</v>
      </c>
      <c r="E34" s="14" t="s">
        <v>292</v>
      </c>
      <c r="F34" s="14" t="s">
        <v>155</v>
      </c>
      <c r="G34" s="14" t="s">
        <v>156</v>
      </c>
      <c r="H34" s="14">
        <v>5</v>
      </c>
      <c r="I34" s="14"/>
      <c r="J34" s="14"/>
      <c r="K34" s="15"/>
    </row>
    <row r="35" spans="1:11">
      <c r="A35" s="14">
        <f>IF(B35="","",COUNTA($B$4:B35))</f>
        <v>32</v>
      </c>
      <c r="B35" s="14" t="s">
        <v>1493</v>
      </c>
      <c r="C35" s="14" t="s">
        <v>300</v>
      </c>
      <c r="D35" s="14" t="s">
        <v>301</v>
      </c>
      <c r="E35" s="14" t="s">
        <v>300</v>
      </c>
      <c r="F35" s="14" t="s">
        <v>155</v>
      </c>
      <c r="G35" s="14" t="s">
        <v>156</v>
      </c>
      <c r="H35" s="14">
        <v>5</v>
      </c>
      <c r="I35" s="14"/>
      <c r="J35" s="14"/>
      <c r="K35" s="15"/>
    </row>
    <row r="36" spans="1:11">
      <c r="A36" s="14">
        <f>IF(B36="","",COUNTA($B$4:B36))</f>
        <v>33</v>
      </c>
      <c r="B36" s="14" t="s">
        <v>1494</v>
      </c>
      <c r="C36" s="14" t="s">
        <v>300</v>
      </c>
      <c r="D36" s="14" t="s">
        <v>301</v>
      </c>
      <c r="E36" s="14" t="s">
        <v>300</v>
      </c>
      <c r="F36" s="14" t="s">
        <v>155</v>
      </c>
      <c r="G36" s="14" t="s">
        <v>156</v>
      </c>
      <c r="H36" s="14">
        <v>5</v>
      </c>
      <c r="I36" s="14"/>
      <c r="J36" s="14"/>
      <c r="K36" s="15"/>
    </row>
    <row r="37" spans="1:11">
      <c r="A37" s="14">
        <f>IF(B37="","",COUNTA($B$4:B37))</f>
        <v>34</v>
      </c>
      <c r="B37" s="14" t="s">
        <v>1534</v>
      </c>
      <c r="C37" s="14" t="s">
        <v>462</v>
      </c>
      <c r="D37" s="14" t="s">
        <v>463</v>
      </c>
      <c r="E37" s="14" t="s">
        <v>462</v>
      </c>
      <c r="F37" s="14" t="s">
        <v>150</v>
      </c>
      <c r="G37" s="14" t="s">
        <v>151</v>
      </c>
      <c r="H37" s="14">
        <v>30</v>
      </c>
      <c r="I37" s="14"/>
      <c r="J37" s="15"/>
      <c r="K37" s="15"/>
    </row>
    <row r="38" spans="1:11">
      <c r="A38" s="14">
        <f>IF(B38="","",COUNTA($B$4:B38))</f>
        <v>35</v>
      </c>
      <c r="B38" s="14" t="s">
        <v>1491</v>
      </c>
      <c r="C38" s="14" t="s">
        <v>278</v>
      </c>
      <c r="D38" s="14" t="s">
        <v>279</v>
      </c>
      <c r="E38" s="14" t="s">
        <v>278</v>
      </c>
      <c r="F38" s="14" t="s">
        <v>150</v>
      </c>
      <c r="G38" s="14" t="s">
        <v>151</v>
      </c>
      <c r="H38" s="14">
        <v>4</v>
      </c>
      <c r="I38" s="14"/>
      <c r="J38" s="14"/>
      <c r="K38" s="15"/>
    </row>
    <row r="39" spans="1:11">
      <c r="A39" s="14">
        <f>IF(B39="","",COUNTA($B$4:B39))</f>
        <v>36</v>
      </c>
      <c r="B39" s="14" t="s">
        <v>1493</v>
      </c>
      <c r="C39" s="14" t="s">
        <v>298</v>
      </c>
      <c r="D39" s="14" t="s">
        <v>299</v>
      </c>
      <c r="E39" s="14" t="s">
        <v>298</v>
      </c>
      <c r="F39" s="14" t="s">
        <v>155</v>
      </c>
      <c r="G39" s="14" t="s">
        <v>156</v>
      </c>
      <c r="H39" s="14">
        <v>5</v>
      </c>
      <c r="I39" s="14"/>
      <c r="J39" s="14"/>
      <c r="K39" s="15"/>
    </row>
    <row r="40" spans="1:11">
      <c r="A40" s="14">
        <f>IF(B40="","",COUNTA($B$4:B40))</f>
        <v>37</v>
      </c>
      <c r="B40" s="14" t="s">
        <v>1497</v>
      </c>
      <c r="C40" s="14" t="s">
        <v>344</v>
      </c>
      <c r="D40" s="14" t="s">
        <v>345</v>
      </c>
      <c r="E40" s="14" t="s">
        <v>344</v>
      </c>
      <c r="F40" s="14" t="s">
        <v>155</v>
      </c>
      <c r="G40" s="14" t="s">
        <v>156</v>
      </c>
      <c r="H40" s="14">
        <v>1</v>
      </c>
      <c r="I40" s="14"/>
      <c r="J40" s="14"/>
      <c r="K40" s="15"/>
    </row>
    <row r="41" spans="1:11">
      <c r="A41" s="14">
        <f>IF(B41="","",COUNTA($B$4:B41))</f>
        <v>38</v>
      </c>
      <c r="B41" s="14" t="s">
        <v>1498</v>
      </c>
      <c r="C41" s="14" t="s">
        <v>344</v>
      </c>
      <c r="D41" s="14" t="s">
        <v>345</v>
      </c>
      <c r="E41" s="14" t="s">
        <v>344</v>
      </c>
      <c r="F41" s="14" t="s">
        <v>155</v>
      </c>
      <c r="G41" s="14" t="s">
        <v>156</v>
      </c>
      <c r="H41" s="14">
        <v>1</v>
      </c>
      <c r="I41" s="14"/>
      <c r="J41" s="14"/>
      <c r="K41" s="140"/>
    </row>
    <row r="42" spans="1:11">
      <c r="A42" s="14">
        <f>IF(B42="","",COUNTA($B$4:B42))</f>
        <v>39</v>
      </c>
      <c r="B42" s="14" t="s">
        <v>1493</v>
      </c>
      <c r="C42" s="14" t="s">
        <v>296</v>
      </c>
      <c r="D42" s="14" t="s">
        <v>297</v>
      </c>
      <c r="E42" s="14" t="s">
        <v>296</v>
      </c>
      <c r="F42" s="14" t="s">
        <v>155</v>
      </c>
      <c r="G42" s="14" t="s">
        <v>156</v>
      </c>
      <c r="H42" s="14">
        <v>5</v>
      </c>
      <c r="I42" s="14"/>
      <c r="J42" s="14"/>
      <c r="K42" s="140"/>
    </row>
    <row r="43" spans="1:11">
      <c r="A43" s="14">
        <f>IF(B43="","",COUNTA($B$4:B43))</f>
        <v>40</v>
      </c>
      <c r="B43" s="14" t="s">
        <v>1497</v>
      </c>
      <c r="C43" s="14" t="s">
        <v>296</v>
      </c>
      <c r="D43" s="14" t="s">
        <v>297</v>
      </c>
      <c r="E43" s="14" t="s">
        <v>296</v>
      </c>
      <c r="F43" s="14" t="s">
        <v>155</v>
      </c>
      <c r="G43" s="14" t="s">
        <v>156</v>
      </c>
      <c r="H43" s="14">
        <v>5</v>
      </c>
      <c r="I43" s="14"/>
      <c r="J43" s="14"/>
      <c r="K43" s="15"/>
    </row>
    <row r="44" spans="1:11">
      <c r="A44" s="14">
        <f>IF(B44="","",COUNTA($B$4:B44))</f>
        <v>41</v>
      </c>
      <c r="B44" s="14" t="s">
        <v>1498</v>
      </c>
      <c r="C44" s="14" t="s">
        <v>296</v>
      </c>
      <c r="D44" s="14" t="s">
        <v>297</v>
      </c>
      <c r="E44" s="14" t="s">
        <v>296</v>
      </c>
      <c r="F44" s="14" t="s">
        <v>155</v>
      </c>
      <c r="G44" s="14" t="s">
        <v>156</v>
      </c>
      <c r="H44" s="14">
        <v>5</v>
      </c>
      <c r="I44" s="14"/>
      <c r="J44" s="14"/>
      <c r="K44" s="140"/>
    </row>
    <row r="45" spans="1:11">
      <c r="A45" s="14">
        <f>IF(B45="","",COUNTA($B$4:B45))</f>
        <v>42</v>
      </c>
      <c r="B45" s="14" t="s">
        <v>1534</v>
      </c>
      <c r="C45" s="14" t="s">
        <v>477</v>
      </c>
      <c r="D45" s="14" t="s">
        <v>476</v>
      </c>
      <c r="E45" s="14" t="s">
        <v>477</v>
      </c>
      <c r="F45" s="14" t="s">
        <v>150</v>
      </c>
      <c r="G45" s="14" t="s">
        <v>151</v>
      </c>
      <c r="H45" s="14">
        <v>1</v>
      </c>
      <c r="I45" s="14"/>
      <c r="J45" s="15"/>
      <c r="K45" s="140"/>
    </row>
    <row r="46" spans="1:11">
      <c r="A46" s="14">
        <f>IF(B46="","",COUNTA($B$4:B46))</f>
        <v>43</v>
      </c>
      <c r="B46" s="14" t="s">
        <v>1497</v>
      </c>
      <c r="C46" s="14" t="s">
        <v>341</v>
      </c>
      <c r="D46" s="14" t="s">
        <v>342</v>
      </c>
      <c r="E46" s="14" t="s">
        <v>341</v>
      </c>
      <c r="F46" s="14" t="s">
        <v>155</v>
      </c>
      <c r="G46" s="14" t="s">
        <v>156</v>
      </c>
      <c r="H46" s="14">
        <v>1</v>
      </c>
      <c r="I46" s="14"/>
      <c r="J46" s="14"/>
      <c r="K46" s="140"/>
    </row>
    <row r="47" spans="1:11">
      <c r="A47" s="14">
        <f>IF(B47="","",COUNTA($B$4:B47))</f>
        <v>44</v>
      </c>
      <c r="B47" s="14" t="s">
        <v>1498</v>
      </c>
      <c r="C47" s="14" t="s">
        <v>341</v>
      </c>
      <c r="D47" s="14" t="s">
        <v>342</v>
      </c>
      <c r="E47" s="14" t="s">
        <v>341</v>
      </c>
      <c r="F47" s="14" t="s">
        <v>155</v>
      </c>
      <c r="G47" s="14" t="s">
        <v>156</v>
      </c>
      <c r="H47" s="14">
        <v>1</v>
      </c>
      <c r="I47" s="14"/>
      <c r="J47" s="14"/>
      <c r="K47" s="140"/>
    </row>
    <row r="48" spans="1:11">
      <c r="A48" s="14">
        <f>IF(B48="","",COUNTA($B$4:B48))</f>
        <v>45</v>
      </c>
      <c r="B48" s="14" t="s">
        <v>1526</v>
      </c>
      <c r="C48" s="14" t="s">
        <v>1530</v>
      </c>
      <c r="D48" s="14" t="s">
        <v>1578</v>
      </c>
      <c r="E48" s="14" t="s">
        <v>1530</v>
      </c>
      <c r="F48" s="14" t="s">
        <v>150</v>
      </c>
      <c r="G48" s="14" t="s">
        <v>151</v>
      </c>
      <c r="H48" s="14">
        <v>2</v>
      </c>
      <c r="I48" s="14"/>
      <c r="J48" s="15"/>
      <c r="K48" s="15"/>
    </row>
    <row r="49" spans="1:11">
      <c r="A49" s="14">
        <f>IF(B49="","",COUNTA($B$4:B49))</f>
        <v>46</v>
      </c>
      <c r="B49" s="14" t="s">
        <v>1526</v>
      </c>
      <c r="C49" s="14" t="s">
        <v>1530</v>
      </c>
      <c r="D49" s="14" t="s">
        <v>452</v>
      </c>
      <c r="E49" s="14" t="s">
        <v>1530</v>
      </c>
      <c r="F49" s="14" t="s">
        <v>155</v>
      </c>
      <c r="G49" s="14" t="s">
        <v>156</v>
      </c>
      <c r="H49" s="14">
        <v>1</v>
      </c>
      <c r="I49" s="14"/>
      <c r="J49" s="15" t="s">
        <v>1490</v>
      </c>
      <c r="K49" s="15"/>
    </row>
    <row r="50" spans="1:11">
      <c r="A50" s="14">
        <f>IF(B50="","",COUNTA($B$4:B50))</f>
        <v>47</v>
      </c>
      <c r="B50" s="14" t="s">
        <v>1497</v>
      </c>
      <c r="C50" s="14" t="s">
        <v>314</v>
      </c>
      <c r="D50" s="14" t="s">
        <v>315</v>
      </c>
      <c r="E50" s="14" t="s">
        <v>314</v>
      </c>
      <c r="F50" s="14" t="s">
        <v>150</v>
      </c>
      <c r="G50" s="14" t="s">
        <v>151</v>
      </c>
      <c r="H50" s="14">
        <v>10</v>
      </c>
      <c r="I50" s="14" t="s">
        <v>244</v>
      </c>
      <c r="J50" s="14"/>
      <c r="K50" s="15"/>
    </row>
    <row r="51" spans="1:11">
      <c r="A51" s="14">
        <f>IF(B51="","",COUNTA($B$4:B51))</f>
        <v>48</v>
      </c>
      <c r="B51" s="14" t="s">
        <v>1498</v>
      </c>
      <c r="C51" s="14" t="s">
        <v>314</v>
      </c>
      <c r="D51" s="14" t="s">
        <v>315</v>
      </c>
      <c r="E51" s="14" t="s">
        <v>314</v>
      </c>
      <c r="F51" s="14" t="s">
        <v>150</v>
      </c>
      <c r="G51" s="14" t="s">
        <v>151</v>
      </c>
      <c r="H51" s="14">
        <v>10</v>
      </c>
      <c r="I51" s="14" t="s">
        <v>244</v>
      </c>
      <c r="J51" s="14"/>
      <c r="K51" s="15"/>
    </row>
    <row r="52" spans="1:11">
      <c r="A52" s="14">
        <f>IF(B52="","",COUNTA($B$4:B52))</f>
        <v>49</v>
      </c>
      <c r="B52" s="14" t="s">
        <v>1497</v>
      </c>
      <c r="C52" s="14" t="s">
        <v>308</v>
      </c>
      <c r="D52" s="14" t="s">
        <v>309</v>
      </c>
      <c r="E52" s="14" t="s">
        <v>308</v>
      </c>
      <c r="F52" s="14" t="s">
        <v>169</v>
      </c>
      <c r="G52" s="14" t="s">
        <v>170</v>
      </c>
      <c r="H52" s="14"/>
      <c r="I52" s="14"/>
      <c r="J52" s="14"/>
      <c r="K52" s="140"/>
    </row>
    <row r="53" spans="1:11">
      <c r="A53" s="14">
        <f>IF(B53="","",COUNTA($B$4:B53))</f>
        <v>50</v>
      </c>
      <c r="B53" s="14" t="s">
        <v>1498</v>
      </c>
      <c r="C53" s="14" t="s">
        <v>308</v>
      </c>
      <c r="D53" s="14" t="s">
        <v>309</v>
      </c>
      <c r="E53" s="14" t="s">
        <v>308</v>
      </c>
      <c r="F53" s="14" t="s">
        <v>169</v>
      </c>
      <c r="G53" s="14" t="s">
        <v>170</v>
      </c>
      <c r="H53" s="14"/>
      <c r="I53" s="14"/>
      <c r="J53" s="14"/>
      <c r="K53" s="15"/>
    </row>
    <row r="54" spans="1:11">
      <c r="A54" s="14">
        <f>IF(B54="","",COUNTA($B$4:B54))</f>
        <v>51</v>
      </c>
      <c r="B54" s="14" t="s">
        <v>1489</v>
      </c>
      <c r="C54" s="14" t="s">
        <v>276</v>
      </c>
      <c r="D54" s="14" t="s">
        <v>277</v>
      </c>
      <c r="E54" s="14" t="s">
        <v>276</v>
      </c>
      <c r="F54" s="14" t="s">
        <v>155</v>
      </c>
      <c r="G54" s="14" t="s">
        <v>156</v>
      </c>
      <c r="H54" s="14">
        <v>1</v>
      </c>
      <c r="I54" s="14"/>
      <c r="J54" s="14" t="s">
        <v>1490</v>
      </c>
      <c r="K54" s="15"/>
    </row>
    <row r="55" spans="1:11">
      <c r="A55" s="14">
        <f>IF(B55="","",COUNTA($B$4:B55))</f>
        <v>52</v>
      </c>
      <c r="B55" s="14" t="s">
        <v>1491</v>
      </c>
      <c r="C55" s="14" t="s">
        <v>276</v>
      </c>
      <c r="D55" s="14" t="s">
        <v>277</v>
      </c>
      <c r="E55" s="14" t="s">
        <v>276</v>
      </c>
      <c r="F55" s="14" t="s">
        <v>155</v>
      </c>
      <c r="G55" s="14" t="s">
        <v>156</v>
      </c>
      <c r="H55" s="14">
        <v>1</v>
      </c>
      <c r="I55" s="14"/>
      <c r="J55" s="14" t="s">
        <v>1490</v>
      </c>
      <c r="K55" s="15"/>
    </row>
    <row r="56" spans="1:11">
      <c r="A56" s="14">
        <f>IF(B56="","",COUNTA($B$4:B56))</f>
        <v>53</v>
      </c>
      <c r="B56" s="14" t="s">
        <v>1492</v>
      </c>
      <c r="C56" s="14" t="s">
        <v>276</v>
      </c>
      <c r="D56" s="14" t="s">
        <v>277</v>
      </c>
      <c r="E56" s="14" t="s">
        <v>276</v>
      </c>
      <c r="F56" s="14" t="s">
        <v>155</v>
      </c>
      <c r="G56" s="14" t="s">
        <v>156</v>
      </c>
      <c r="H56" s="14">
        <v>1</v>
      </c>
      <c r="I56" s="14"/>
      <c r="J56" s="14" t="s">
        <v>1490</v>
      </c>
      <c r="K56" s="15"/>
    </row>
    <row r="57" spans="1:11">
      <c r="A57" s="14">
        <f>IF(B57="","",COUNTA($B$4:B57))</f>
        <v>54</v>
      </c>
      <c r="B57" s="14" t="s">
        <v>1493</v>
      </c>
      <c r="C57" s="14" t="s">
        <v>276</v>
      </c>
      <c r="D57" s="14" t="s">
        <v>277</v>
      </c>
      <c r="E57" s="14" t="s">
        <v>276</v>
      </c>
      <c r="F57" s="14" t="s">
        <v>155</v>
      </c>
      <c r="G57" s="14" t="s">
        <v>156</v>
      </c>
      <c r="H57" s="14">
        <v>1</v>
      </c>
      <c r="I57" s="14"/>
      <c r="J57" s="14" t="s">
        <v>1490</v>
      </c>
      <c r="K57" s="140"/>
    </row>
    <row r="58" spans="1:11">
      <c r="A58" s="14">
        <f>IF(B58="","",COUNTA($B$4:B58))</f>
        <v>55</v>
      </c>
      <c r="B58" s="14" t="s">
        <v>1494</v>
      </c>
      <c r="C58" s="14" t="s">
        <v>276</v>
      </c>
      <c r="D58" s="14" t="s">
        <v>277</v>
      </c>
      <c r="E58" s="14" t="s">
        <v>276</v>
      </c>
      <c r="F58" s="14" t="s">
        <v>155</v>
      </c>
      <c r="G58" s="14" t="s">
        <v>156</v>
      </c>
      <c r="H58" s="14">
        <v>1</v>
      </c>
      <c r="I58" s="14"/>
      <c r="J58" s="14" t="s">
        <v>1490</v>
      </c>
      <c r="K58" s="140"/>
    </row>
    <row r="59" spans="1:11">
      <c r="A59" s="14">
        <f>IF(B59="","",COUNTA($B$4:B59))</f>
        <v>56</v>
      </c>
      <c r="B59" s="14" t="s">
        <v>1497</v>
      </c>
      <c r="C59" s="14" t="s">
        <v>276</v>
      </c>
      <c r="D59" s="14" t="s">
        <v>277</v>
      </c>
      <c r="E59" s="14" t="s">
        <v>276</v>
      </c>
      <c r="F59" s="14" t="s">
        <v>155</v>
      </c>
      <c r="G59" s="14" t="s">
        <v>156</v>
      </c>
      <c r="H59" s="14">
        <v>1</v>
      </c>
      <c r="I59" s="14"/>
      <c r="J59" s="14" t="s">
        <v>1490</v>
      </c>
      <c r="K59" s="140"/>
    </row>
    <row r="60" spans="1:11">
      <c r="A60" s="14">
        <f>IF(B60="","",COUNTA($B$4:B60))</f>
        <v>57</v>
      </c>
      <c r="B60" s="14" t="s">
        <v>1487</v>
      </c>
      <c r="C60" s="14" t="s">
        <v>226</v>
      </c>
      <c r="D60" s="14" t="s">
        <v>227</v>
      </c>
      <c r="E60" s="14" t="s">
        <v>226</v>
      </c>
      <c r="F60" s="14" t="s">
        <v>150</v>
      </c>
      <c r="G60" s="14" t="s">
        <v>151</v>
      </c>
      <c r="H60" s="14">
        <v>3</v>
      </c>
      <c r="I60" s="14"/>
      <c r="J60" s="14"/>
      <c r="K60" s="140"/>
    </row>
    <row r="61" spans="1:11">
      <c r="A61" s="14">
        <f>IF(B61="","",COUNTA($B$4:B61))</f>
        <v>58</v>
      </c>
      <c r="B61" s="14" t="s">
        <v>1489</v>
      </c>
      <c r="C61" s="14" t="s">
        <v>226</v>
      </c>
      <c r="D61" s="14" t="s">
        <v>227</v>
      </c>
      <c r="E61" s="14" t="s">
        <v>226</v>
      </c>
      <c r="F61" s="14" t="s">
        <v>150</v>
      </c>
      <c r="G61" s="14" t="s">
        <v>151</v>
      </c>
      <c r="H61" s="14">
        <v>3</v>
      </c>
      <c r="I61" s="14"/>
      <c r="J61" s="14"/>
      <c r="K61" s="140"/>
    </row>
    <row r="62" spans="1:11">
      <c r="A62" s="14">
        <f>IF(B62="","",COUNTA($B$4:B62))</f>
        <v>59</v>
      </c>
      <c r="B62" s="14" t="s">
        <v>1491</v>
      </c>
      <c r="C62" s="14" t="s">
        <v>226</v>
      </c>
      <c r="D62" s="14" t="s">
        <v>227</v>
      </c>
      <c r="E62" s="14" t="s">
        <v>226</v>
      </c>
      <c r="F62" s="14" t="s">
        <v>150</v>
      </c>
      <c r="G62" s="14" t="s">
        <v>151</v>
      </c>
      <c r="H62" s="14">
        <v>3</v>
      </c>
      <c r="I62" s="14"/>
      <c r="J62" s="14"/>
      <c r="K62" s="15"/>
    </row>
    <row r="63" spans="1:11">
      <c r="A63" s="14">
        <f>IF(B63="","",COUNTA($B$4:B63))</f>
        <v>60</v>
      </c>
      <c r="B63" s="14" t="s">
        <v>1492</v>
      </c>
      <c r="C63" s="14" t="s">
        <v>226</v>
      </c>
      <c r="D63" s="14" t="s">
        <v>227</v>
      </c>
      <c r="E63" s="14" t="s">
        <v>226</v>
      </c>
      <c r="F63" s="14" t="s">
        <v>150</v>
      </c>
      <c r="G63" s="14" t="s">
        <v>151</v>
      </c>
      <c r="H63" s="14">
        <v>3</v>
      </c>
      <c r="I63" s="14"/>
      <c r="J63" s="14"/>
      <c r="K63" s="140"/>
    </row>
    <row r="64" spans="1:11">
      <c r="A64" s="14">
        <f>IF(B64="","",COUNTA($B$4:B64))</f>
        <v>61</v>
      </c>
      <c r="B64" s="14" t="s">
        <v>1493</v>
      </c>
      <c r="C64" s="14" t="s">
        <v>226</v>
      </c>
      <c r="D64" s="14" t="s">
        <v>227</v>
      </c>
      <c r="E64" s="14" t="s">
        <v>226</v>
      </c>
      <c r="F64" s="14" t="s">
        <v>150</v>
      </c>
      <c r="G64" s="14" t="s">
        <v>151</v>
      </c>
      <c r="H64" s="14">
        <v>3</v>
      </c>
      <c r="I64" s="14"/>
      <c r="J64" s="14"/>
      <c r="K64" s="15"/>
    </row>
    <row r="65" spans="1:11">
      <c r="A65" s="14">
        <f>IF(B65="","",COUNTA($B$4:B65))</f>
        <v>62</v>
      </c>
      <c r="B65" s="14" t="s">
        <v>1494</v>
      </c>
      <c r="C65" s="14" t="s">
        <v>226</v>
      </c>
      <c r="D65" s="14" t="s">
        <v>227</v>
      </c>
      <c r="E65" s="14" t="s">
        <v>226</v>
      </c>
      <c r="F65" s="14" t="s">
        <v>150</v>
      </c>
      <c r="G65" s="14" t="s">
        <v>151</v>
      </c>
      <c r="H65" s="14">
        <v>3</v>
      </c>
      <c r="I65" s="14"/>
      <c r="J65" s="14"/>
      <c r="K65" s="15"/>
    </row>
    <row r="66" spans="1:11">
      <c r="A66" s="14">
        <f>IF(B66="","",COUNTA($B$4:B66))</f>
        <v>63</v>
      </c>
      <c r="B66" s="14" t="s">
        <v>1497</v>
      </c>
      <c r="C66" s="14" t="s">
        <v>226</v>
      </c>
      <c r="D66" s="14" t="s">
        <v>227</v>
      </c>
      <c r="E66" s="14" t="s">
        <v>226</v>
      </c>
      <c r="F66" s="14" t="s">
        <v>150</v>
      </c>
      <c r="G66" s="14" t="s">
        <v>151</v>
      </c>
      <c r="H66" s="14">
        <v>3</v>
      </c>
      <c r="I66" s="14"/>
      <c r="J66" s="14"/>
      <c r="K66" s="15"/>
    </row>
    <row r="67" spans="1:11">
      <c r="A67" s="14">
        <f>IF(B67="","",COUNTA($B$4:B67))</f>
        <v>64</v>
      </c>
      <c r="B67" s="14" t="s">
        <v>1498</v>
      </c>
      <c r="C67" s="14" t="s">
        <v>387</v>
      </c>
      <c r="D67" s="14" t="s">
        <v>388</v>
      </c>
      <c r="E67" s="14" t="s">
        <v>387</v>
      </c>
      <c r="F67" s="14" t="s">
        <v>169</v>
      </c>
      <c r="G67" s="14" t="s">
        <v>170</v>
      </c>
      <c r="H67" s="14"/>
      <c r="I67" s="14"/>
      <c r="J67" s="14"/>
      <c r="K67" s="140"/>
    </row>
    <row r="68" spans="1:11">
      <c r="A68" s="14">
        <f>IF(B68="","",COUNTA($B$4:B68))</f>
        <v>65</v>
      </c>
      <c r="B68" s="14" t="s">
        <v>1498</v>
      </c>
      <c r="C68" s="14" t="s">
        <v>389</v>
      </c>
      <c r="D68" s="14" t="s">
        <v>390</v>
      </c>
      <c r="E68" s="14" t="s">
        <v>389</v>
      </c>
      <c r="F68" s="14" t="s">
        <v>169</v>
      </c>
      <c r="G68" s="14" t="s">
        <v>170</v>
      </c>
      <c r="H68" s="14"/>
      <c r="I68" s="14"/>
      <c r="J68" s="14"/>
      <c r="K68" s="15"/>
    </row>
    <row r="69" spans="1:11">
      <c r="A69" s="14">
        <f>IF(B69="","",COUNTA($B$4:B69))</f>
        <v>66</v>
      </c>
      <c r="B69" s="14" t="s">
        <v>1487</v>
      </c>
      <c r="C69" s="14" t="s">
        <v>211</v>
      </c>
      <c r="D69" s="14" t="s">
        <v>212</v>
      </c>
      <c r="E69" s="14" t="s">
        <v>211</v>
      </c>
      <c r="F69" s="14" t="s">
        <v>155</v>
      </c>
      <c r="G69" s="14" t="s">
        <v>156</v>
      </c>
      <c r="H69" s="14">
        <v>5</v>
      </c>
      <c r="I69" s="14"/>
      <c r="J69" s="14"/>
      <c r="K69" s="15"/>
    </row>
    <row r="70" spans="1:11">
      <c r="A70" s="14">
        <f>IF(B70="","",COUNTA($B$4:B70))</f>
        <v>67</v>
      </c>
      <c r="B70" s="14" t="s">
        <v>1489</v>
      </c>
      <c r="C70" s="14" t="s">
        <v>211</v>
      </c>
      <c r="D70" s="14" t="s">
        <v>212</v>
      </c>
      <c r="E70" s="14" t="s">
        <v>211</v>
      </c>
      <c r="F70" s="14" t="s">
        <v>155</v>
      </c>
      <c r="G70" s="14" t="s">
        <v>156</v>
      </c>
      <c r="H70" s="14">
        <v>5</v>
      </c>
      <c r="I70" s="14"/>
      <c r="J70" s="14"/>
      <c r="K70" s="15"/>
    </row>
    <row r="71" spans="1:11">
      <c r="A71" s="14">
        <f>IF(B71="","",COUNTA($B$4:B71))</f>
        <v>68</v>
      </c>
      <c r="B71" s="14" t="s">
        <v>1491</v>
      </c>
      <c r="C71" s="14" t="s">
        <v>211</v>
      </c>
      <c r="D71" s="14" t="s">
        <v>212</v>
      </c>
      <c r="E71" s="14" t="s">
        <v>211</v>
      </c>
      <c r="F71" s="14" t="s">
        <v>155</v>
      </c>
      <c r="G71" s="14" t="s">
        <v>156</v>
      </c>
      <c r="H71" s="14">
        <v>5</v>
      </c>
      <c r="I71" s="14"/>
      <c r="J71" s="14"/>
      <c r="K71" s="15"/>
    </row>
    <row r="72" spans="1:11">
      <c r="A72" s="14">
        <f>IF(B72="","",COUNTA($B$4:B72))</f>
        <v>69</v>
      </c>
      <c r="B72" s="14" t="s">
        <v>1492</v>
      </c>
      <c r="C72" s="14" t="s">
        <v>211</v>
      </c>
      <c r="D72" s="14" t="s">
        <v>212</v>
      </c>
      <c r="E72" s="14" t="s">
        <v>211</v>
      </c>
      <c r="F72" s="14" t="s">
        <v>155</v>
      </c>
      <c r="G72" s="14" t="s">
        <v>156</v>
      </c>
      <c r="H72" s="14">
        <v>5</v>
      </c>
      <c r="I72" s="14"/>
      <c r="J72" s="14"/>
      <c r="K72" s="15"/>
    </row>
    <row r="73" spans="1:11">
      <c r="A73" s="14">
        <f>IF(B73="","",COUNTA($B$4:B73))</f>
        <v>70</v>
      </c>
      <c r="B73" s="14" t="s">
        <v>1497</v>
      </c>
      <c r="C73" s="14" t="s">
        <v>211</v>
      </c>
      <c r="D73" s="14" t="s">
        <v>212</v>
      </c>
      <c r="E73" s="14" t="s">
        <v>211</v>
      </c>
      <c r="F73" s="14" t="s">
        <v>155</v>
      </c>
      <c r="G73" s="14" t="s">
        <v>156</v>
      </c>
      <c r="H73" s="14">
        <v>5</v>
      </c>
      <c r="I73" s="14"/>
      <c r="J73" s="14"/>
      <c r="K73" s="15"/>
    </row>
    <row r="74" spans="1:11">
      <c r="A74" s="14">
        <f>IF(B74="","",COUNTA($B$4:B74))</f>
        <v>71</v>
      </c>
      <c r="B74" s="14" t="s">
        <v>1498</v>
      </c>
      <c r="C74" s="14" t="s">
        <v>211</v>
      </c>
      <c r="D74" s="14" t="s">
        <v>212</v>
      </c>
      <c r="E74" s="14" t="s">
        <v>211</v>
      </c>
      <c r="F74" s="14" t="s">
        <v>155</v>
      </c>
      <c r="G74" s="14" t="s">
        <v>156</v>
      </c>
      <c r="H74" s="14">
        <v>5</v>
      </c>
      <c r="I74" s="14"/>
      <c r="J74" s="14"/>
      <c r="K74" s="15"/>
    </row>
    <row r="75" spans="1:11">
      <c r="A75" s="14">
        <f>IF(B75="","",COUNTA($B$4:B75))</f>
        <v>72</v>
      </c>
      <c r="B75" s="14" t="s">
        <v>1498</v>
      </c>
      <c r="C75" s="14" t="s">
        <v>379</v>
      </c>
      <c r="D75" s="14" t="s">
        <v>380</v>
      </c>
      <c r="E75" s="14" t="s">
        <v>379</v>
      </c>
      <c r="F75" s="14" t="s">
        <v>169</v>
      </c>
      <c r="G75" s="14" t="s">
        <v>170</v>
      </c>
      <c r="H75" s="14"/>
      <c r="I75" s="14"/>
      <c r="J75" s="14"/>
      <c r="K75" s="15"/>
    </row>
    <row r="76" spans="1:11">
      <c r="A76" s="14">
        <f>IF(B76="","",COUNTA($B$4:B76))</f>
        <v>73</v>
      </c>
      <c r="B76" s="14" t="s">
        <v>1498</v>
      </c>
      <c r="C76" s="14" t="s">
        <v>377</v>
      </c>
      <c r="D76" s="14" t="s">
        <v>378</v>
      </c>
      <c r="E76" s="14" t="s">
        <v>377</v>
      </c>
      <c r="F76" s="14" t="s">
        <v>155</v>
      </c>
      <c r="G76" s="14" t="s">
        <v>156</v>
      </c>
      <c r="H76" s="14">
        <v>1</v>
      </c>
      <c r="I76" s="14"/>
      <c r="J76" s="14"/>
      <c r="K76" s="140"/>
    </row>
    <row r="77" spans="1:11">
      <c r="A77" s="14">
        <f>IF(B77="","",COUNTA($B$4:B77))</f>
        <v>74</v>
      </c>
      <c r="B77" s="14" t="s">
        <v>1498</v>
      </c>
      <c r="C77" s="14" t="s">
        <v>375</v>
      </c>
      <c r="D77" s="14" t="s">
        <v>376</v>
      </c>
      <c r="E77" s="14" t="s">
        <v>375</v>
      </c>
      <c r="F77" s="14" t="s">
        <v>169</v>
      </c>
      <c r="G77" s="14" t="s">
        <v>170</v>
      </c>
      <c r="H77" s="14"/>
      <c r="I77" s="14"/>
      <c r="J77" s="14"/>
      <c r="K77" s="140"/>
    </row>
    <row r="78" spans="1:11">
      <c r="A78" s="14">
        <f>IF(B78="","",COUNTA($B$4:B78))</f>
        <v>75</v>
      </c>
      <c r="B78" s="14" t="s">
        <v>1487</v>
      </c>
      <c r="C78" s="14" t="s">
        <v>166</v>
      </c>
      <c r="D78" s="14" t="s">
        <v>167</v>
      </c>
      <c r="E78" s="14" t="s">
        <v>168</v>
      </c>
      <c r="F78" s="14" t="s">
        <v>169</v>
      </c>
      <c r="G78" s="14" t="s">
        <v>170</v>
      </c>
      <c r="H78" s="14"/>
      <c r="I78" s="14"/>
      <c r="J78" s="14"/>
      <c r="K78" s="15"/>
    </row>
    <row r="79" spans="1:11">
      <c r="A79" s="14">
        <f>IF(B79="","",COUNTA($B$4:B79))</f>
        <v>76</v>
      </c>
      <c r="B79" s="14" t="s">
        <v>1489</v>
      </c>
      <c r="C79" s="14" t="s">
        <v>166</v>
      </c>
      <c r="D79" s="14" t="s">
        <v>167</v>
      </c>
      <c r="E79" s="14" t="s">
        <v>168</v>
      </c>
      <c r="F79" s="14" t="s">
        <v>169</v>
      </c>
      <c r="G79" s="14" t="s">
        <v>170</v>
      </c>
      <c r="H79" s="14"/>
      <c r="I79" s="14"/>
      <c r="J79" s="14"/>
      <c r="K79" s="15"/>
    </row>
    <row r="80" spans="1:11">
      <c r="A80" s="14">
        <f>IF(B80="","",COUNTA($B$4:B80))</f>
        <v>77</v>
      </c>
      <c r="B80" s="14" t="s">
        <v>1491</v>
      </c>
      <c r="C80" s="14" t="s">
        <v>166</v>
      </c>
      <c r="D80" s="14" t="s">
        <v>167</v>
      </c>
      <c r="E80" s="14" t="s">
        <v>168</v>
      </c>
      <c r="F80" s="14" t="s">
        <v>169</v>
      </c>
      <c r="G80" s="14" t="s">
        <v>170</v>
      </c>
      <c r="H80" s="14"/>
      <c r="I80" s="14"/>
      <c r="J80" s="14"/>
      <c r="K80" s="15"/>
    </row>
    <row r="81" spans="1:11">
      <c r="A81" s="14">
        <f>IF(B81="","",COUNTA($B$4:B81))</f>
        <v>78</v>
      </c>
      <c r="B81" s="14" t="s">
        <v>1492</v>
      </c>
      <c r="C81" s="14" t="s">
        <v>166</v>
      </c>
      <c r="D81" s="14" t="s">
        <v>167</v>
      </c>
      <c r="E81" s="14" t="s">
        <v>168</v>
      </c>
      <c r="F81" s="14" t="s">
        <v>169</v>
      </c>
      <c r="G81" s="14" t="s">
        <v>170</v>
      </c>
      <c r="H81" s="14"/>
      <c r="I81" s="14"/>
      <c r="J81" s="14"/>
      <c r="K81" s="15"/>
    </row>
    <row r="82" spans="1:11">
      <c r="A82" s="14">
        <f>IF(B82="","",COUNTA($B$4:B82))</f>
        <v>79</v>
      </c>
      <c r="B82" s="14" t="s">
        <v>1493</v>
      </c>
      <c r="C82" s="14" t="s">
        <v>166</v>
      </c>
      <c r="D82" s="14" t="s">
        <v>167</v>
      </c>
      <c r="E82" s="14" t="s">
        <v>168</v>
      </c>
      <c r="F82" s="14" t="s">
        <v>169</v>
      </c>
      <c r="G82" s="14" t="s">
        <v>170</v>
      </c>
      <c r="H82" s="14"/>
      <c r="I82" s="14"/>
      <c r="J82" s="14"/>
      <c r="K82" s="15"/>
    </row>
    <row r="83" spans="1:11">
      <c r="A83" s="14">
        <f>IF(B83="","",COUNTA($B$4:B83))</f>
        <v>80</v>
      </c>
      <c r="B83" s="14" t="s">
        <v>1494</v>
      </c>
      <c r="C83" s="14" t="s">
        <v>166</v>
      </c>
      <c r="D83" s="14" t="s">
        <v>167</v>
      </c>
      <c r="E83" s="14" t="s">
        <v>168</v>
      </c>
      <c r="F83" s="14" t="s">
        <v>169</v>
      </c>
      <c r="G83" s="14" t="s">
        <v>170</v>
      </c>
      <c r="H83" s="14"/>
      <c r="I83" s="14"/>
      <c r="J83" s="14"/>
      <c r="K83" s="15"/>
    </row>
    <row r="84" spans="1:11">
      <c r="A84" s="14">
        <f>IF(B84="","",COUNTA($B$4:B84))</f>
        <v>81</v>
      </c>
      <c r="B84" s="14" t="s">
        <v>1497</v>
      </c>
      <c r="C84" s="14" t="s">
        <v>166</v>
      </c>
      <c r="D84" s="14" t="s">
        <v>167</v>
      </c>
      <c r="E84" s="14" t="s">
        <v>168</v>
      </c>
      <c r="F84" s="14" t="s">
        <v>169</v>
      </c>
      <c r="G84" s="14" t="s">
        <v>170</v>
      </c>
      <c r="H84" s="14"/>
      <c r="I84" s="14"/>
      <c r="J84" s="14"/>
      <c r="K84" s="140"/>
    </row>
    <row r="85" spans="1:11">
      <c r="A85" s="14">
        <f>IF(B85="","",COUNTA($B$4:B85))</f>
        <v>82</v>
      </c>
      <c r="B85" s="14" t="s">
        <v>1498</v>
      </c>
      <c r="C85" s="14" t="s">
        <v>365</v>
      </c>
      <c r="D85" s="14" t="s">
        <v>366</v>
      </c>
      <c r="E85" s="14" t="s">
        <v>365</v>
      </c>
      <c r="F85" s="14" t="s">
        <v>150</v>
      </c>
      <c r="G85" s="14" t="s">
        <v>151</v>
      </c>
      <c r="H85" s="14">
        <v>30</v>
      </c>
      <c r="I85" s="14"/>
      <c r="J85" s="14"/>
      <c r="K85" s="15"/>
    </row>
    <row r="86" spans="1:11">
      <c r="A86" s="14">
        <f>IF(B86="","",COUNTA($B$4:B86))</f>
        <v>83</v>
      </c>
      <c r="B86" s="14" t="s">
        <v>1590</v>
      </c>
      <c r="C86" s="14" t="s">
        <v>566</v>
      </c>
      <c r="D86" s="14" t="s">
        <v>1592</v>
      </c>
      <c r="E86" s="14" t="s">
        <v>1593</v>
      </c>
      <c r="F86" s="14" t="s">
        <v>150</v>
      </c>
      <c r="G86" s="14" t="s">
        <v>151</v>
      </c>
      <c r="H86" s="14">
        <v>10</v>
      </c>
      <c r="I86" s="14"/>
      <c r="J86" s="15"/>
      <c r="K86" s="15"/>
    </row>
    <row r="87" spans="1:11">
      <c r="A87" s="14">
        <f>IF(B87="","",COUNTA($B$4:B87))</f>
        <v>84</v>
      </c>
      <c r="B87" s="14" t="s">
        <v>1498</v>
      </c>
      <c r="C87" s="14" t="s">
        <v>351</v>
      </c>
      <c r="D87" s="14" t="s">
        <v>352</v>
      </c>
      <c r="E87" s="14" t="s">
        <v>351</v>
      </c>
      <c r="F87" s="14" t="s">
        <v>150</v>
      </c>
      <c r="G87" s="14" t="s">
        <v>151</v>
      </c>
      <c r="H87" s="14">
        <v>5</v>
      </c>
      <c r="I87" s="14"/>
      <c r="J87" s="14"/>
      <c r="K87" s="15"/>
    </row>
    <row r="88" spans="1:11">
      <c r="A88" s="14">
        <f>IF(B88="","",COUNTA($B$4:B88))</f>
        <v>85</v>
      </c>
      <c r="B88" s="14" t="s">
        <v>1487</v>
      </c>
      <c r="C88" s="14" t="s">
        <v>241</v>
      </c>
      <c r="D88" s="14" t="s">
        <v>242</v>
      </c>
      <c r="E88" s="14" t="s">
        <v>241</v>
      </c>
      <c r="F88" s="14" t="s">
        <v>150</v>
      </c>
      <c r="G88" s="14" t="s">
        <v>243</v>
      </c>
      <c r="H88" s="14"/>
      <c r="I88" s="14" t="s">
        <v>244</v>
      </c>
      <c r="J88" s="14"/>
      <c r="K88" s="15"/>
    </row>
    <row r="89" spans="1:11">
      <c r="A89" s="14">
        <f>IF(B89="","",COUNTA($B$4:B89))</f>
        <v>86</v>
      </c>
      <c r="B89" s="14" t="s">
        <v>1489</v>
      </c>
      <c r="C89" s="14" t="s">
        <v>241</v>
      </c>
      <c r="D89" s="14" t="s">
        <v>242</v>
      </c>
      <c r="E89" s="14" t="s">
        <v>241</v>
      </c>
      <c r="F89" s="14" t="s">
        <v>150</v>
      </c>
      <c r="G89" s="14" t="s">
        <v>243</v>
      </c>
      <c r="H89" s="14"/>
      <c r="I89" s="14" t="s">
        <v>244</v>
      </c>
      <c r="J89" s="14"/>
      <c r="K89" s="140"/>
    </row>
    <row r="90" spans="1:11">
      <c r="A90" s="14">
        <f>IF(B90="","",COUNTA($B$4:B90))</f>
        <v>87</v>
      </c>
      <c r="B90" s="14" t="s">
        <v>1491</v>
      </c>
      <c r="C90" s="14" t="s">
        <v>241</v>
      </c>
      <c r="D90" s="14" t="s">
        <v>242</v>
      </c>
      <c r="E90" s="14" t="s">
        <v>241</v>
      </c>
      <c r="F90" s="14" t="s">
        <v>150</v>
      </c>
      <c r="G90" s="14" t="s">
        <v>243</v>
      </c>
      <c r="H90" s="14"/>
      <c r="I90" s="14" t="s">
        <v>244</v>
      </c>
      <c r="J90" s="14"/>
      <c r="K90" s="15"/>
    </row>
    <row r="91" spans="1:11">
      <c r="A91" s="14">
        <f>IF(B91="","",COUNTA($B$4:B91))</f>
        <v>88</v>
      </c>
      <c r="B91" s="14" t="s">
        <v>1493</v>
      </c>
      <c r="C91" s="14" t="s">
        <v>241</v>
      </c>
      <c r="D91" s="14" t="s">
        <v>242</v>
      </c>
      <c r="E91" s="14" t="s">
        <v>241</v>
      </c>
      <c r="F91" s="14" t="s">
        <v>150</v>
      </c>
      <c r="G91" s="14" t="s">
        <v>243</v>
      </c>
      <c r="H91" s="14"/>
      <c r="I91" s="14" t="s">
        <v>244</v>
      </c>
      <c r="J91" s="14"/>
      <c r="K91" s="15"/>
    </row>
    <row r="92" spans="1:11">
      <c r="A92" s="14">
        <f>IF(B92="","",COUNTA($B$4:B92))</f>
        <v>89</v>
      </c>
      <c r="B92" s="14" t="s">
        <v>1494</v>
      </c>
      <c r="C92" s="14" t="s">
        <v>241</v>
      </c>
      <c r="D92" s="14" t="s">
        <v>242</v>
      </c>
      <c r="E92" s="14" t="s">
        <v>241</v>
      </c>
      <c r="F92" s="14" t="s">
        <v>150</v>
      </c>
      <c r="G92" s="14" t="s">
        <v>243</v>
      </c>
      <c r="H92" s="14"/>
      <c r="I92" s="14" t="s">
        <v>244</v>
      </c>
      <c r="J92" s="14"/>
      <c r="K92" s="15"/>
    </row>
    <row r="93" spans="1:11">
      <c r="A93" s="14">
        <f>IF(B93="","",COUNTA($B$4:B93))</f>
        <v>90</v>
      </c>
      <c r="B93" s="14" t="s">
        <v>1497</v>
      </c>
      <c r="C93" s="14" t="s">
        <v>241</v>
      </c>
      <c r="D93" s="14" t="s">
        <v>242</v>
      </c>
      <c r="E93" s="14" t="s">
        <v>241</v>
      </c>
      <c r="F93" s="14" t="s">
        <v>150</v>
      </c>
      <c r="G93" s="14" t="s">
        <v>243</v>
      </c>
      <c r="H93" s="14"/>
      <c r="I93" s="14" t="s">
        <v>244</v>
      </c>
      <c r="J93" s="14"/>
      <c r="K93" s="140"/>
    </row>
    <row r="94" spans="1:11">
      <c r="A94" s="14">
        <f>IF(B94="","",COUNTA($B$4:B94))</f>
        <v>91</v>
      </c>
      <c r="B94" s="14" t="s">
        <v>1487</v>
      </c>
      <c r="C94" s="14" t="s">
        <v>246</v>
      </c>
      <c r="D94" s="14" t="s">
        <v>247</v>
      </c>
      <c r="E94" s="14" t="s">
        <v>246</v>
      </c>
      <c r="F94" s="14" t="s">
        <v>150</v>
      </c>
      <c r="G94" s="14" t="s">
        <v>243</v>
      </c>
      <c r="H94" s="14"/>
      <c r="I94" s="14" t="s">
        <v>244</v>
      </c>
      <c r="J94" s="14"/>
      <c r="K94" s="15"/>
    </row>
    <row r="95" spans="1:11">
      <c r="A95" s="14">
        <f>IF(B95="","",COUNTA($B$4:B95))</f>
        <v>92</v>
      </c>
      <c r="B95" s="14" t="s">
        <v>1489</v>
      </c>
      <c r="C95" s="14" t="s">
        <v>246</v>
      </c>
      <c r="D95" s="14" t="s">
        <v>247</v>
      </c>
      <c r="E95" s="14" t="s">
        <v>246</v>
      </c>
      <c r="F95" s="14" t="s">
        <v>150</v>
      </c>
      <c r="G95" s="14" t="s">
        <v>243</v>
      </c>
      <c r="H95" s="14"/>
      <c r="I95" s="14" t="s">
        <v>244</v>
      </c>
      <c r="J95" s="14"/>
      <c r="K95" s="15"/>
    </row>
    <row r="96" spans="1:11">
      <c r="A96" s="14">
        <f>IF(B96="","",COUNTA($B$4:B96))</f>
        <v>93</v>
      </c>
      <c r="B96" s="14" t="s">
        <v>1491</v>
      </c>
      <c r="C96" s="14" t="s">
        <v>246</v>
      </c>
      <c r="D96" s="14" t="s">
        <v>247</v>
      </c>
      <c r="E96" s="14" t="s">
        <v>246</v>
      </c>
      <c r="F96" s="14" t="s">
        <v>150</v>
      </c>
      <c r="G96" s="14" t="s">
        <v>243</v>
      </c>
      <c r="H96" s="14"/>
      <c r="I96" s="14" t="s">
        <v>244</v>
      </c>
      <c r="J96" s="14"/>
      <c r="K96" s="140"/>
    </row>
    <row r="97" spans="1:11">
      <c r="A97" s="14">
        <f>IF(B97="","",COUNTA($B$4:B97))</f>
        <v>94</v>
      </c>
      <c r="B97" s="14" t="s">
        <v>1493</v>
      </c>
      <c r="C97" s="14" t="s">
        <v>246</v>
      </c>
      <c r="D97" s="14" t="s">
        <v>247</v>
      </c>
      <c r="E97" s="14" t="s">
        <v>246</v>
      </c>
      <c r="F97" s="14" t="s">
        <v>150</v>
      </c>
      <c r="G97" s="14" t="s">
        <v>243</v>
      </c>
      <c r="H97" s="14"/>
      <c r="I97" s="14" t="s">
        <v>244</v>
      </c>
      <c r="J97" s="14"/>
      <c r="K97" s="15"/>
    </row>
    <row r="98" spans="1:11">
      <c r="A98" s="14">
        <f>IF(B98="","",COUNTA($B$4:B98))</f>
        <v>95</v>
      </c>
      <c r="B98" s="14" t="s">
        <v>1494</v>
      </c>
      <c r="C98" s="14" t="s">
        <v>246</v>
      </c>
      <c r="D98" s="14" t="s">
        <v>247</v>
      </c>
      <c r="E98" s="14" t="s">
        <v>246</v>
      </c>
      <c r="F98" s="14" t="s">
        <v>150</v>
      </c>
      <c r="G98" s="14" t="s">
        <v>243</v>
      </c>
      <c r="H98" s="14"/>
      <c r="I98" s="14" t="s">
        <v>244</v>
      </c>
      <c r="J98" s="14"/>
      <c r="K98" s="140"/>
    </row>
    <row r="99" spans="1:11">
      <c r="A99" s="14">
        <f>IF(B99="","",COUNTA($B$4:B99))</f>
        <v>96</v>
      </c>
      <c r="B99" s="14" t="s">
        <v>1497</v>
      </c>
      <c r="C99" s="14" t="s">
        <v>246</v>
      </c>
      <c r="D99" s="14" t="s">
        <v>247</v>
      </c>
      <c r="E99" s="14" t="s">
        <v>246</v>
      </c>
      <c r="F99" s="14" t="s">
        <v>150</v>
      </c>
      <c r="G99" s="14" t="s">
        <v>243</v>
      </c>
      <c r="H99" s="14"/>
      <c r="I99" s="14" t="s">
        <v>244</v>
      </c>
      <c r="J99" s="14"/>
      <c r="K99" s="15"/>
    </row>
    <row r="100" spans="1:11">
      <c r="A100" s="14">
        <f>IF(B100="","",COUNTA($B$4:B100))</f>
        <v>97</v>
      </c>
      <c r="B100" s="14" t="s">
        <v>1534</v>
      </c>
      <c r="C100" s="14" t="s">
        <v>460</v>
      </c>
      <c r="D100" s="14" t="s">
        <v>461</v>
      </c>
      <c r="E100" s="14" t="s">
        <v>460</v>
      </c>
      <c r="F100" s="14" t="s">
        <v>150</v>
      </c>
      <c r="G100" s="14" t="s">
        <v>151</v>
      </c>
      <c r="H100" s="14">
        <v>8</v>
      </c>
      <c r="I100" s="14"/>
      <c r="J100" s="15"/>
      <c r="K100" s="15"/>
    </row>
    <row r="101" spans="1:11">
      <c r="A101" s="14">
        <f>IF(B101="","",COUNTA($B$4:B101))</f>
        <v>98</v>
      </c>
      <c r="B101" s="14" t="s">
        <v>1487</v>
      </c>
      <c r="C101" s="14" t="s">
        <v>236</v>
      </c>
      <c r="D101" s="14" t="s">
        <v>237</v>
      </c>
      <c r="E101" s="14" t="s">
        <v>236</v>
      </c>
      <c r="F101" s="14" t="s">
        <v>155</v>
      </c>
      <c r="G101" s="14" t="s">
        <v>156</v>
      </c>
      <c r="H101" s="14">
        <v>1</v>
      </c>
      <c r="I101" s="14"/>
      <c r="J101" s="14"/>
      <c r="K101" s="140"/>
    </row>
    <row r="102" spans="1:11">
      <c r="A102" s="14">
        <f>IF(B102="","",COUNTA($B$4:B102))</f>
        <v>99</v>
      </c>
      <c r="B102" s="14" t="s">
        <v>1489</v>
      </c>
      <c r="C102" s="14" t="s">
        <v>236</v>
      </c>
      <c r="D102" s="14" t="s">
        <v>237</v>
      </c>
      <c r="E102" s="14" t="s">
        <v>236</v>
      </c>
      <c r="F102" s="14" t="s">
        <v>155</v>
      </c>
      <c r="G102" s="14" t="s">
        <v>156</v>
      </c>
      <c r="H102" s="14">
        <v>1</v>
      </c>
      <c r="I102" s="14"/>
      <c r="J102" s="14"/>
      <c r="K102" s="15"/>
    </row>
    <row r="103" spans="1:11">
      <c r="A103" s="14">
        <f>IF(B103="","",COUNTA($B$4:B103))</f>
        <v>100</v>
      </c>
      <c r="B103" s="14" t="s">
        <v>1491</v>
      </c>
      <c r="C103" s="14" t="s">
        <v>236</v>
      </c>
      <c r="D103" s="14" t="s">
        <v>237</v>
      </c>
      <c r="E103" s="14" t="s">
        <v>236</v>
      </c>
      <c r="F103" s="14" t="s">
        <v>155</v>
      </c>
      <c r="G103" s="14" t="s">
        <v>156</v>
      </c>
      <c r="H103" s="14">
        <v>1</v>
      </c>
      <c r="I103" s="14"/>
      <c r="J103" s="14"/>
      <c r="K103" s="15"/>
    </row>
    <row r="104" spans="1:11">
      <c r="A104" s="14">
        <f>IF(B104="","",COUNTA($B$4:B104))</f>
        <v>101</v>
      </c>
      <c r="B104" s="14" t="s">
        <v>1492</v>
      </c>
      <c r="C104" s="14" t="s">
        <v>236</v>
      </c>
      <c r="D104" s="14" t="s">
        <v>237</v>
      </c>
      <c r="E104" s="14" t="s">
        <v>236</v>
      </c>
      <c r="F104" s="14" t="s">
        <v>155</v>
      </c>
      <c r="G104" s="14" t="s">
        <v>156</v>
      </c>
      <c r="H104" s="14">
        <v>1</v>
      </c>
      <c r="I104" s="14"/>
      <c r="J104" s="14"/>
      <c r="K104" s="15"/>
    </row>
    <row r="105" spans="1:11">
      <c r="A105" s="14">
        <f>IF(B105="","",COUNTA($B$4:B105))</f>
        <v>102</v>
      </c>
      <c r="B105" s="14" t="s">
        <v>1493</v>
      </c>
      <c r="C105" s="14" t="s">
        <v>236</v>
      </c>
      <c r="D105" s="14" t="s">
        <v>237</v>
      </c>
      <c r="E105" s="14" t="s">
        <v>236</v>
      </c>
      <c r="F105" s="14" t="s">
        <v>155</v>
      </c>
      <c r="G105" s="14" t="s">
        <v>156</v>
      </c>
      <c r="H105" s="14">
        <v>1</v>
      </c>
      <c r="I105" s="14"/>
      <c r="J105" s="14"/>
      <c r="K105" s="140"/>
    </row>
    <row r="106" spans="1:11">
      <c r="A106" s="14">
        <f>IF(B106="","",COUNTA($B$4:B106))</f>
        <v>103</v>
      </c>
      <c r="B106" s="14" t="s">
        <v>1497</v>
      </c>
      <c r="C106" s="14" t="s">
        <v>236</v>
      </c>
      <c r="D106" s="14" t="s">
        <v>237</v>
      </c>
      <c r="E106" s="14" t="s">
        <v>236</v>
      </c>
      <c r="F106" s="14" t="s">
        <v>155</v>
      </c>
      <c r="G106" s="14" t="s">
        <v>156</v>
      </c>
      <c r="H106" s="14">
        <v>1</v>
      </c>
      <c r="I106" s="14"/>
      <c r="J106" s="14"/>
      <c r="K106" s="140"/>
    </row>
    <row r="107" spans="1:11">
      <c r="A107" s="14">
        <f>IF(B107="","",COUNTA($B$4:B107))</f>
        <v>104</v>
      </c>
      <c r="B107" s="14" t="s">
        <v>1534</v>
      </c>
      <c r="C107" s="14" t="s">
        <v>1563</v>
      </c>
      <c r="D107" s="14" t="s">
        <v>1569</v>
      </c>
      <c r="E107" s="14" t="s">
        <v>1563</v>
      </c>
      <c r="F107" s="14" t="s">
        <v>150</v>
      </c>
      <c r="G107" s="14" t="s">
        <v>151</v>
      </c>
      <c r="H107" s="14">
        <v>1</v>
      </c>
      <c r="I107" s="14"/>
      <c r="J107" s="15"/>
      <c r="K107" s="140"/>
    </row>
    <row r="108" spans="1:11">
      <c r="A108" s="14">
        <f>IF(B108="","",COUNTA($B$4:B108))</f>
        <v>105</v>
      </c>
      <c r="B108" s="14" t="s">
        <v>1534</v>
      </c>
      <c r="C108" s="14" t="s">
        <v>1558</v>
      </c>
      <c r="D108" s="14" t="s">
        <v>1568</v>
      </c>
      <c r="E108" s="14" t="s">
        <v>1558</v>
      </c>
      <c r="F108" s="14" t="s">
        <v>150</v>
      </c>
      <c r="G108" s="14" t="s">
        <v>151</v>
      </c>
      <c r="H108" s="14">
        <v>1</v>
      </c>
      <c r="I108" s="14"/>
      <c r="J108" s="15"/>
      <c r="K108" s="15"/>
    </row>
    <row r="109" spans="1:11">
      <c r="A109" s="14">
        <f>IF(B109="","",COUNTA($B$4:B109))</f>
        <v>106</v>
      </c>
      <c r="B109" s="14" t="s">
        <v>1487</v>
      </c>
      <c r="C109" s="14" t="s">
        <v>239</v>
      </c>
      <c r="D109" s="14" t="s">
        <v>240</v>
      </c>
      <c r="E109" s="14" t="s">
        <v>239</v>
      </c>
      <c r="F109" s="14" t="s">
        <v>169</v>
      </c>
      <c r="G109" s="14" t="s">
        <v>170</v>
      </c>
      <c r="H109" s="14"/>
      <c r="I109" s="14"/>
      <c r="J109" s="14"/>
      <c r="K109" s="140"/>
    </row>
    <row r="110" spans="1:11">
      <c r="A110" s="14">
        <f>IF(B110="","",COUNTA($B$4:B110))</f>
        <v>107</v>
      </c>
      <c r="B110" s="14" t="s">
        <v>1489</v>
      </c>
      <c r="C110" s="14" t="s">
        <v>239</v>
      </c>
      <c r="D110" s="14" t="s">
        <v>240</v>
      </c>
      <c r="E110" s="14" t="s">
        <v>239</v>
      </c>
      <c r="F110" s="14" t="s">
        <v>169</v>
      </c>
      <c r="G110" s="14" t="s">
        <v>170</v>
      </c>
      <c r="H110" s="14"/>
      <c r="I110" s="14"/>
      <c r="J110" s="14"/>
      <c r="K110" s="140"/>
    </row>
    <row r="111" spans="1:11">
      <c r="A111" s="14">
        <f>IF(B111="","",COUNTA($B$4:B111))</f>
        <v>108</v>
      </c>
      <c r="B111" s="14" t="s">
        <v>1491</v>
      </c>
      <c r="C111" s="14" t="s">
        <v>239</v>
      </c>
      <c r="D111" s="14" t="s">
        <v>240</v>
      </c>
      <c r="E111" s="14" t="s">
        <v>239</v>
      </c>
      <c r="F111" s="14" t="s">
        <v>169</v>
      </c>
      <c r="G111" s="14" t="s">
        <v>170</v>
      </c>
      <c r="H111" s="14"/>
      <c r="I111" s="14"/>
      <c r="J111" s="14"/>
      <c r="K111" s="15"/>
    </row>
    <row r="112" spans="1:11">
      <c r="A112" s="14">
        <f>IF(B112="","",COUNTA($B$4:B112))</f>
        <v>109</v>
      </c>
      <c r="B112" s="14" t="s">
        <v>1492</v>
      </c>
      <c r="C112" s="14" t="s">
        <v>239</v>
      </c>
      <c r="D112" s="14" t="s">
        <v>240</v>
      </c>
      <c r="E112" s="14" t="s">
        <v>239</v>
      </c>
      <c r="F112" s="14" t="s">
        <v>169</v>
      </c>
      <c r="G112" s="14" t="s">
        <v>170</v>
      </c>
      <c r="H112" s="14"/>
      <c r="I112" s="14"/>
      <c r="J112" s="14"/>
      <c r="K112" s="140"/>
    </row>
    <row r="113" spans="1:11">
      <c r="A113" s="14">
        <f>IF(B113="","",COUNTA($B$4:B113))</f>
        <v>110</v>
      </c>
      <c r="B113" s="14" t="s">
        <v>1493</v>
      </c>
      <c r="C113" s="14" t="s">
        <v>239</v>
      </c>
      <c r="D113" s="14" t="s">
        <v>240</v>
      </c>
      <c r="E113" s="14" t="s">
        <v>239</v>
      </c>
      <c r="F113" s="14" t="s">
        <v>169</v>
      </c>
      <c r="G113" s="14" t="s">
        <v>170</v>
      </c>
      <c r="H113" s="14"/>
      <c r="I113" s="14"/>
      <c r="J113" s="14"/>
      <c r="K113" s="15"/>
    </row>
    <row r="114" spans="1:11">
      <c r="A114" s="14">
        <f>IF(B114="","",COUNTA($B$4:B114))</f>
        <v>111</v>
      </c>
      <c r="B114" s="14" t="s">
        <v>1494</v>
      </c>
      <c r="C114" s="14" t="s">
        <v>239</v>
      </c>
      <c r="D114" s="14" t="s">
        <v>240</v>
      </c>
      <c r="E114" s="14" t="s">
        <v>239</v>
      </c>
      <c r="F114" s="14" t="s">
        <v>169</v>
      </c>
      <c r="G114" s="14" t="s">
        <v>170</v>
      </c>
      <c r="H114" s="14"/>
      <c r="I114" s="14"/>
      <c r="J114" s="14"/>
      <c r="K114" s="140"/>
    </row>
    <row r="115" spans="1:11">
      <c r="A115" s="14">
        <f>IF(B115="","",COUNTA($B$4:B115))</f>
        <v>112</v>
      </c>
      <c r="B115" s="14" t="s">
        <v>1497</v>
      </c>
      <c r="C115" s="14" t="s">
        <v>239</v>
      </c>
      <c r="D115" s="14" t="s">
        <v>240</v>
      </c>
      <c r="E115" s="14" t="s">
        <v>239</v>
      </c>
      <c r="F115" s="14" t="s">
        <v>169</v>
      </c>
      <c r="G115" s="14" t="s">
        <v>170</v>
      </c>
      <c r="H115" s="14"/>
      <c r="I115" s="14"/>
      <c r="J115" s="14"/>
      <c r="K115" s="140"/>
    </row>
    <row r="116" spans="1:11">
      <c r="A116" s="14">
        <f>IF(B116="","",COUNTA($B$4:B116))</f>
        <v>113</v>
      </c>
      <c r="B116" s="14" t="s">
        <v>1498</v>
      </c>
      <c r="C116" s="14" t="s">
        <v>239</v>
      </c>
      <c r="D116" s="14" t="s">
        <v>240</v>
      </c>
      <c r="E116" s="14" t="s">
        <v>239</v>
      </c>
      <c r="F116" s="14" t="s">
        <v>169</v>
      </c>
      <c r="G116" s="14" t="s">
        <v>170</v>
      </c>
      <c r="H116" s="14"/>
      <c r="I116" s="14"/>
      <c r="J116" s="14"/>
      <c r="K116" s="15"/>
    </row>
    <row r="117" spans="1:11">
      <c r="A117" s="14">
        <f>IF(B117="","",COUNTA($B$4:B117))</f>
        <v>114</v>
      </c>
      <c r="B117" s="14" t="s">
        <v>1512</v>
      </c>
      <c r="C117" s="14" t="s">
        <v>398</v>
      </c>
      <c r="D117" s="14" t="s">
        <v>399</v>
      </c>
      <c r="E117" s="14" t="s">
        <v>398</v>
      </c>
      <c r="F117" s="14" t="s">
        <v>150</v>
      </c>
      <c r="G117" s="14" t="s">
        <v>151</v>
      </c>
      <c r="H117" s="14">
        <v>30</v>
      </c>
      <c r="I117" s="14"/>
      <c r="J117" s="14"/>
      <c r="K117" s="15"/>
    </row>
    <row r="118" spans="1:11">
      <c r="A118" s="14">
        <f>IF(B118="","",COUNTA($B$4:B118))</f>
        <v>115</v>
      </c>
      <c r="B118" s="14" t="s">
        <v>1514</v>
      </c>
      <c r="C118" s="14" t="s">
        <v>398</v>
      </c>
      <c r="D118" s="14" t="s">
        <v>399</v>
      </c>
      <c r="E118" s="14" t="s">
        <v>398</v>
      </c>
      <c r="F118" s="14" t="s">
        <v>150</v>
      </c>
      <c r="G118" s="14" t="s">
        <v>151</v>
      </c>
      <c r="H118" s="14">
        <v>30</v>
      </c>
      <c r="I118" s="14"/>
      <c r="J118" s="14"/>
      <c r="K118" s="140"/>
    </row>
    <row r="119" spans="1:11">
      <c r="A119" s="14">
        <f>IF(B119="","",COUNTA($B$4:B119))</f>
        <v>116</v>
      </c>
      <c r="B119" s="14" t="s">
        <v>1516</v>
      </c>
      <c r="C119" s="14" t="s">
        <v>398</v>
      </c>
      <c r="D119" s="14" t="s">
        <v>399</v>
      </c>
      <c r="E119" s="14" t="s">
        <v>398</v>
      </c>
      <c r="F119" s="14" t="s">
        <v>150</v>
      </c>
      <c r="G119" s="14" t="s">
        <v>151</v>
      </c>
      <c r="H119" s="14">
        <v>30</v>
      </c>
      <c r="I119" s="14"/>
      <c r="J119" s="14"/>
      <c r="K119" s="15"/>
    </row>
    <row r="120" spans="1:11">
      <c r="A120" s="14">
        <f>IF(B120="","",COUNTA($B$4:B120))</f>
        <v>117</v>
      </c>
      <c r="B120" s="14" t="s">
        <v>1498</v>
      </c>
      <c r="C120" s="14" t="s">
        <v>354</v>
      </c>
      <c r="D120" s="14" t="s">
        <v>355</v>
      </c>
      <c r="E120" s="14" t="s">
        <v>354</v>
      </c>
      <c r="F120" s="14" t="s">
        <v>169</v>
      </c>
      <c r="G120" s="14" t="s">
        <v>170</v>
      </c>
      <c r="H120" s="14"/>
      <c r="I120" s="14"/>
      <c r="J120" s="14"/>
      <c r="K120" s="15"/>
    </row>
    <row r="121" spans="1:11">
      <c r="A121" s="14">
        <f>IF(B121="","",COUNTA($B$4:B121))</f>
        <v>118</v>
      </c>
      <c r="B121" s="14" t="s">
        <v>1498</v>
      </c>
      <c r="C121" s="14" t="s">
        <v>356</v>
      </c>
      <c r="D121" s="14" t="s">
        <v>357</v>
      </c>
      <c r="E121" s="14" t="s">
        <v>356</v>
      </c>
      <c r="F121" s="14" t="s">
        <v>150</v>
      </c>
      <c r="G121" s="14" t="s">
        <v>151</v>
      </c>
      <c r="H121" s="14">
        <v>30</v>
      </c>
      <c r="I121" s="14"/>
      <c r="J121" s="14"/>
      <c r="K121" s="140"/>
    </row>
    <row r="122" spans="1:11">
      <c r="A122" s="14">
        <f>IF(B122="","",COUNTA($B$4:B122))</f>
        <v>119</v>
      </c>
      <c r="B122" s="14" t="s">
        <v>1498</v>
      </c>
      <c r="C122" s="14" t="s">
        <v>359</v>
      </c>
      <c r="D122" s="14" t="s">
        <v>360</v>
      </c>
      <c r="E122" s="14" t="s">
        <v>359</v>
      </c>
      <c r="F122" s="14" t="s">
        <v>155</v>
      </c>
      <c r="G122" s="14" t="s">
        <v>156</v>
      </c>
      <c r="H122" s="14">
        <v>3</v>
      </c>
      <c r="I122" s="14"/>
      <c r="J122" s="14"/>
      <c r="K122" s="15"/>
    </row>
    <row r="123" spans="1:11">
      <c r="A123" s="14">
        <f>IF(B123="","",COUNTA($B$4:B123))</f>
        <v>120</v>
      </c>
      <c r="B123" s="14" t="s">
        <v>1485</v>
      </c>
      <c r="C123" s="14" t="s">
        <v>1524</v>
      </c>
      <c r="D123" s="14" t="s">
        <v>336</v>
      </c>
      <c r="E123" s="14" t="s">
        <v>1524</v>
      </c>
      <c r="F123" s="14" t="s">
        <v>155</v>
      </c>
      <c r="G123" s="14" t="s">
        <v>156</v>
      </c>
      <c r="H123" s="14">
        <v>5</v>
      </c>
      <c r="I123" s="14"/>
      <c r="J123" s="15"/>
      <c r="K123" s="140"/>
    </row>
    <row r="124" spans="1:11">
      <c r="A124" s="14">
        <f>IF(B124="","",COUNTA($B$4:B124))</f>
        <v>121</v>
      </c>
      <c r="B124" s="14" t="s">
        <v>1534</v>
      </c>
      <c r="C124" s="14" t="s">
        <v>468</v>
      </c>
      <c r="D124" s="14" t="s">
        <v>469</v>
      </c>
      <c r="E124" s="14" t="s">
        <v>468</v>
      </c>
      <c r="F124" s="14" t="s">
        <v>150</v>
      </c>
      <c r="G124" s="14" t="s">
        <v>151</v>
      </c>
      <c r="H124" s="14">
        <v>1</v>
      </c>
      <c r="I124" s="14"/>
      <c r="J124" s="15"/>
      <c r="K124" s="140"/>
    </row>
    <row r="125" spans="1:11">
      <c r="A125" s="14">
        <f>IF(B125="","",COUNTA($B$4:B125))</f>
        <v>122</v>
      </c>
      <c r="B125" s="14" t="s">
        <v>1487</v>
      </c>
      <c r="C125" s="14" t="s">
        <v>195</v>
      </c>
      <c r="D125" s="14" t="s">
        <v>196</v>
      </c>
      <c r="E125" s="14" t="s">
        <v>195</v>
      </c>
      <c r="F125" s="14" t="s">
        <v>150</v>
      </c>
      <c r="G125" s="14" t="s">
        <v>151</v>
      </c>
      <c r="H125" s="14">
        <v>30</v>
      </c>
      <c r="I125" s="14"/>
      <c r="J125" s="14"/>
      <c r="K125" s="140"/>
    </row>
    <row r="126" spans="1:11">
      <c r="A126" s="14">
        <f>IF(B126="","",COUNTA($B$4:B126))</f>
        <v>123</v>
      </c>
      <c r="B126" s="14" t="s">
        <v>1489</v>
      </c>
      <c r="C126" s="14" t="s">
        <v>195</v>
      </c>
      <c r="D126" s="14" t="s">
        <v>196</v>
      </c>
      <c r="E126" s="14" t="s">
        <v>195</v>
      </c>
      <c r="F126" s="14" t="s">
        <v>150</v>
      </c>
      <c r="G126" s="14" t="s">
        <v>151</v>
      </c>
      <c r="H126" s="14">
        <v>30</v>
      </c>
      <c r="I126" s="14"/>
      <c r="J126" s="14"/>
      <c r="K126" s="15"/>
    </row>
    <row r="127" spans="1:11">
      <c r="A127" s="14">
        <f>IF(B127="","",COUNTA($B$4:B127))</f>
        <v>124</v>
      </c>
      <c r="B127" s="14" t="s">
        <v>1491</v>
      </c>
      <c r="C127" s="14" t="s">
        <v>195</v>
      </c>
      <c r="D127" s="14" t="s">
        <v>196</v>
      </c>
      <c r="E127" s="14" t="s">
        <v>195</v>
      </c>
      <c r="F127" s="14" t="s">
        <v>150</v>
      </c>
      <c r="G127" s="14" t="s">
        <v>151</v>
      </c>
      <c r="H127" s="14">
        <v>30</v>
      </c>
      <c r="I127" s="14"/>
      <c r="J127" s="14"/>
      <c r="K127" s="140"/>
    </row>
    <row r="128" spans="1:11">
      <c r="A128" s="14">
        <f>IF(B128="","",COUNTA($B$4:B128))</f>
        <v>125</v>
      </c>
      <c r="B128" s="14" t="s">
        <v>1492</v>
      </c>
      <c r="C128" s="14" t="s">
        <v>195</v>
      </c>
      <c r="D128" s="14" t="s">
        <v>196</v>
      </c>
      <c r="E128" s="14" t="s">
        <v>195</v>
      </c>
      <c r="F128" s="14" t="s">
        <v>150</v>
      </c>
      <c r="G128" s="14" t="s">
        <v>151</v>
      </c>
      <c r="H128" s="14">
        <v>30</v>
      </c>
      <c r="I128" s="14"/>
      <c r="J128" s="14"/>
      <c r="K128" s="15"/>
    </row>
    <row r="129" spans="1:11">
      <c r="A129" s="14">
        <f>IF(B129="","",COUNTA($B$4:B129))</f>
        <v>126</v>
      </c>
      <c r="B129" s="14" t="s">
        <v>1493</v>
      </c>
      <c r="C129" s="14" t="s">
        <v>195</v>
      </c>
      <c r="D129" s="14" t="s">
        <v>196</v>
      </c>
      <c r="E129" s="14" t="s">
        <v>195</v>
      </c>
      <c r="F129" s="14" t="s">
        <v>150</v>
      </c>
      <c r="G129" s="14" t="s">
        <v>151</v>
      </c>
      <c r="H129" s="14">
        <v>30</v>
      </c>
      <c r="I129" s="14"/>
      <c r="J129" s="14"/>
      <c r="K129" s="15"/>
    </row>
    <row r="130" spans="1:11">
      <c r="A130" s="14">
        <f>IF(B130="","",COUNTA($B$4:B130))</f>
        <v>127</v>
      </c>
      <c r="B130" s="14" t="s">
        <v>1497</v>
      </c>
      <c r="C130" s="14" t="s">
        <v>195</v>
      </c>
      <c r="D130" s="14" t="s">
        <v>196</v>
      </c>
      <c r="E130" s="14" t="s">
        <v>195</v>
      </c>
      <c r="F130" s="14" t="s">
        <v>150</v>
      </c>
      <c r="G130" s="14" t="s">
        <v>151</v>
      </c>
      <c r="H130" s="14">
        <v>30</v>
      </c>
      <c r="I130" s="14"/>
      <c r="J130" s="14"/>
      <c r="K130" s="15"/>
    </row>
    <row r="131" spans="1:11">
      <c r="A131" s="14">
        <f>IF(B131="","",COUNTA($B$4:B131))</f>
        <v>128</v>
      </c>
      <c r="B131" s="14" t="s">
        <v>1498</v>
      </c>
      <c r="C131" s="14" t="s">
        <v>195</v>
      </c>
      <c r="D131" s="14" t="s">
        <v>196</v>
      </c>
      <c r="E131" s="14" t="s">
        <v>195</v>
      </c>
      <c r="F131" s="14" t="s">
        <v>150</v>
      </c>
      <c r="G131" s="14" t="s">
        <v>151</v>
      </c>
      <c r="H131" s="14">
        <v>30</v>
      </c>
      <c r="I131" s="14"/>
      <c r="J131" s="14"/>
      <c r="K131" s="140"/>
    </row>
    <row r="132" spans="1:11">
      <c r="A132" s="14">
        <f>IF(B132="","",COUNTA($B$4:B132))</f>
        <v>129</v>
      </c>
      <c r="B132" s="14" t="s">
        <v>1502</v>
      </c>
      <c r="C132" s="14" t="s">
        <v>195</v>
      </c>
      <c r="D132" s="14" t="s">
        <v>196</v>
      </c>
      <c r="E132" s="14" t="s">
        <v>195</v>
      </c>
      <c r="F132" s="14" t="s">
        <v>150</v>
      </c>
      <c r="G132" s="14" t="s">
        <v>151</v>
      </c>
      <c r="H132" s="14">
        <v>30</v>
      </c>
      <c r="I132" s="14"/>
      <c r="J132" s="14"/>
      <c r="K132" s="15"/>
    </row>
    <row r="133" spans="1:11">
      <c r="A133" s="14">
        <f>IF(B133="","",COUNTA($B$4:B133))</f>
        <v>130</v>
      </c>
      <c r="B133" s="14" t="s">
        <v>1513</v>
      </c>
      <c r="C133" s="14" t="s">
        <v>195</v>
      </c>
      <c r="D133" s="14" t="s">
        <v>196</v>
      </c>
      <c r="E133" s="14" t="s">
        <v>195</v>
      </c>
      <c r="F133" s="14" t="s">
        <v>150</v>
      </c>
      <c r="G133" s="14" t="s">
        <v>151</v>
      </c>
      <c r="H133" s="14">
        <v>30</v>
      </c>
      <c r="I133" s="14"/>
      <c r="J133" s="14"/>
      <c r="K133" s="15"/>
    </row>
    <row r="134" spans="1:11">
      <c r="A134" s="14">
        <f>IF(B134="","",COUNTA($B$4:B134))</f>
        <v>131</v>
      </c>
      <c r="B134" s="14" t="s">
        <v>1515</v>
      </c>
      <c r="C134" s="14" t="s">
        <v>195</v>
      </c>
      <c r="D134" s="14" t="s">
        <v>196</v>
      </c>
      <c r="E134" s="14" t="s">
        <v>195</v>
      </c>
      <c r="F134" s="14" t="s">
        <v>150</v>
      </c>
      <c r="G134" s="14" t="s">
        <v>151</v>
      </c>
      <c r="H134" s="14">
        <v>30</v>
      </c>
      <c r="I134" s="14"/>
      <c r="J134" s="14"/>
      <c r="K134" s="15"/>
    </row>
    <row r="135" spans="1:11">
      <c r="A135" s="14">
        <f>IF(B135="","",COUNTA($B$4:B135))</f>
        <v>132</v>
      </c>
      <c r="B135" s="14" t="s">
        <v>1523</v>
      </c>
      <c r="C135" s="14" t="s">
        <v>195</v>
      </c>
      <c r="D135" s="14" t="s">
        <v>196</v>
      </c>
      <c r="E135" s="14" t="s">
        <v>195</v>
      </c>
      <c r="F135" s="14" t="s">
        <v>150</v>
      </c>
      <c r="G135" s="14" t="s">
        <v>151</v>
      </c>
      <c r="H135" s="14">
        <v>30</v>
      </c>
      <c r="I135" s="14"/>
      <c r="J135" s="15"/>
      <c r="K135" s="140"/>
    </row>
    <row r="136" spans="1:11">
      <c r="A136" s="14">
        <f>IF(B136="","",COUNTA($B$4:B136))</f>
        <v>133</v>
      </c>
      <c r="B136" s="14" t="s">
        <v>1525</v>
      </c>
      <c r="C136" s="14" t="s">
        <v>195</v>
      </c>
      <c r="D136" s="14" t="s">
        <v>196</v>
      </c>
      <c r="E136" s="14" t="s">
        <v>195</v>
      </c>
      <c r="F136" s="14" t="s">
        <v>150</v>
      </c>
      <c r="G136" s="14" t="s">
        <v>151</v>
      </c>
      <c r="H136" s="14">
        <v>30</v>
      </c>
      <c r="I136" s="14"/>
      <c r="J136" s="15"/>
      <c r="K136" s="140"/>
    </row>
    <row r="137" spans="1:11">
      <c r="A137" s="14">
        <f>IF(B137="","",COUNTA($B$4:B137))</f>
        <v>134</v>
      </c>
      <c r="B137" s="14" t="s">
        <v>1487</v>
      </c>
      <c r="C137" s="14" t="s">
        <v>193</v>
      </c>
      <c r="D137" s="14" t="s">
        <v>194</v>
      </c>
      <c r="E137" s="14" t="s">
        <v>193</v>
      </c>
      <c r="F137" s="14" t="s">
        <v>150</v>
      </c>
      <c r="G137" s="14" t="s">
        <v>151</v>
      </c>
      <c r="H137" s="14">
        <v>25</v>
      </c>
      <c r="I137" s="14"/>
      <c r="J137" s="14"/>
      <c r="K137" s="15"/>
    </row>
    <row r="138" spans="1:11">
      <c r="A138" s="14">
        <f>IF(B138="","",COUNTA($B$4:B138))</f>
        <v>135</v>
      </c>
      <c r="B138" s="14" t="s">
        <v>1489</v>
      </c>
      <c r="C138" s="14" t="s">
        <v>193</v>
      </c>
      <c r="D138" s="14" t="s">
        <v>194</v>
      </c>
      <c r="E138" s="14" t="s">
        <v>193</v>
      </c>
      <c r="F138" s="14" t="s">
        <v>150</v>
      </c>
      <c r="G138" s="14" t="s">
        <v>151</v>
      </c>
      <c r="H138" s="14">
        <v>25</v>
      </c>
      <c r="I138" s="14"/>
      <c r="J138" s="14"/>
      <c r="K138" s="140"/>
    </row>
    <row r="139" spans="1:11">
      <c r="A139" s="14">
        <f>IF(B139="","",COUNTA($B$4:B139))</f>
        <v>136</v>
      </c>
      <c r="B139" s="14" t="s">
        <v>1491</v>
      </c>
      <c r="C139" s="14" t="s">
        <v>193</v>
      </c>
      <c r="D139" s="14" t="s">
        <v>194</v>
      </c>
      <c r="E139" s="14" t="s">
        <v>193</v>
      </c>
      <c r="F139" s="14" t="s">
        <v>150</v>
      </c>
      <c r="G139" s="14" t="s">
        <v>151</v>
      </c>
      <c r="H139" s="14">
        <v>25</v>
      </c>
      <c r="I139" s="14"/>
      <c r="J139" s="14"/>
      <c r="K139" s="15"/>
    </row>
    <row r="140" spans="1:11">
      <c r="A140" s="14">
        <f>IF(B140="","",COUNTA($B$4:B140))</f>
        <v>137</v>
      </c>
      <c r="B140" s="14" t="s">
        <v>1492</v>
      </c>
      <c r="C140" s="14" t="s">
        <v>193</v>
      </c>
      <c r="D140" s="14" t="s">
        <v>194</v>
      </c>
      <c r="E140" s="14" t="s">
        <v>193</v>
      </c>
      <c r="F140" s="14" t="s">
        <v>150</v>
      </c>
      <c r="G140" s="14" t="s">
        <v>151</v>
      </c>
      <c r="H140" s="14">
        <v>25</v>
      </c>
      <c r="I140" s="14"/>
      <c r="J140" s="14"/>
      <c r="K140" s="15"/>
    </row>
    <row r="141" spans="1:11">
      <c r="A141" s="14">
        <f>IF(B141="","",COUNTA($B$4:B141))</f>
        <v>138</v>
      </c>
      <c r="B141" s="14" t="s">
        <v>1493</v>
      </c>
      <c r="C141" s="14" t="s">
        <v>193</v>
      </c>
      <c r="D141" s="14" t="s">
        <v>194</v>
      </c>
      <c r="E141" s="14" t="s">
        <v>193</v>
      </c>
      <c r="F141" s="14" t="s">
        <v>150</v>
      </c>
      <c r="G141" s="14" t="s">
        <v>151</v>
      </c>
      <c r="H141" s="14">
        <v>25</v>
      </c>
      <c r="I141" s="14"/>
      <c r="J141" s="14"/>
      <c r="K141" s="140"/>
    </row>
    <row r="142" spans="1:11">
      <c r="A142" s="14">
        <f>IF(B142="","",COUNTA($B$4:B142))</f>
        <v>139</v>
      </c>
      <c r="B142" s="14" t="s">
        <v>1497</v>
      </c>
      <c r="C142" s="14" t="s">
        <v>193</v>
      </c>
      <c r="D142" s="14" t="s">
        <v>194</v>
      </c>
      <c r="E142" s="14" t="s">
        <v>193</v>
      </c>
      <c r="F142" s="14" t="s">
        <v>150</v>
      </c>
      <c r="G142" s="14" t="s">
        <v>151</v>
      </c>
      <c r="H142" s="14">
        <v>25</v>
      </c>
      <c r="I142" s="14"/>
      <c r="J142" s="14"/>
      <c r="K142" s="140"/>
    </row>
    <row r="143" spans="1:11">
      <c r="A143" s="14">
        <f>IF(B143="","",COUNTA($B$4:B143))</f>
        <v>140</v>
      </c>
      <c r="B143" s="14" t="s">
        <v>1498</v>
      </c>
      <c r="C143" s="14" t="s">
        <v>193</v>
      </c>
      <c r="D143" s="14" t="s">
        <v>194</v>
      </c>
      <c r="E143" s="14" t="s">
        <v>193</v>
      </c>
      <c r="F143" s="14" t="s">
        <v>150</v>
      </c>
      <c r="G143" s="14" t="s">
        <v>151</v>
      </c>
      <c r="H143" s="14">
        <v>25</v>
      </c>
      <c r="I143" s="14"/>
      <c r="J143" s="14"/>
      <c r="K143" s="15"/>
    </row>
    <row r="144" spans="1:11">
      <c r="A144" s="14">
        <f>IF(B144="","",COUNTA($B$4:B144))</f>
        <v>141</v>
      </c>
      <c r="B144" s="14" t="s">
        <v>1502</v>
      </c>
      <c r="C144" s="14" t="s">
        <v>193</v>
      </c>
      <c r="D144" s="14" t="s">
        <v>194</v>
      </c>
      <c r="E144" s="14" t="s">
        <v>193</v>
      </c>
      <c r="F144" s="14" t="s">
        <v>150</v>
      </c>
      <c r="G144" s="14" t="s">
        <v>151</v>
      </c>
      <c r="H144" s="14">
        <v>5</v>
      </c>
      <c r="I144" s="14"/>
      <c r="J144" s="14"/>
      <c r="K144" s="140"/>
    </row>
    <row r="145" spans="1:11">
      <c r="A145" s="14">
        <f>IF(B145="","",COUNTA($B$4:B145))</f>
        <v>142</v>
      </c>
      <c r="B145" s="14" t="s">
        <v>1513</v>
      </c>
      <c r="C145" s="14" t="s">
        <v>193</v>
      </c>
      <c r="D145" s="14" t="s">
        <v>194</v>
      </c>
      <c r="E145" s="14" t="s">
        <v>193</v>
      </c>
      <c r="F145" s="14" t="s">
        <v>150</v>
      </c>
      <c r="G145" s="14" t="s">
        <v>151</v>
      </c>
      <c r="H145" s="14">
        <v>5</v>
      </c>
      <c r="I145" s="14"/>
      <c r="J145" s="14"/>
      <c r="K145" s="140"/>
    </row>
    <row r="146" spans="1:11">
      <c r="A146" s="14">
        <f>IF(B146="","",COUNTA($B$4:B146))</f>
        <v>143</v>
      </c>
      <c r="B146" s="14" t="s">
        <v>1515</v>
      </c>
      <c r="C146" s="14" t="s">
        <v>193</v>
      </c>
      <c r="D146" s="14" t="s">
        <v>194</v>
      </c>
      <c r="E146" s="14" t="s">
        <v>193</v>
      </c>
      <c r="F146" s="14" t="s">
        <v>150</v>
      </c>
      <c r="G146" s="14" t="s">
        <v>151</v>
      </c>
      <c r="H146" s="14">
        <v>5</v>
      </c>
      <c r="I146" s="14"/>
      <c r="J146" s="14"/>
      <c r="K146" s="15"/>
    </row>
    <row r="147" spans="1:11">
      <c r="A147" s="14">
        <f>IF(B147="","",COUNTA($B$4:B147))</f>
        <v>144</v>
      </c>
      <c r="B147" s="14" t="s">
        <v>1523</v>
      </c>
      <c r="C147" s="14" t="s">
        <v>193</v>
      </c>
      <c r="D147" s="14" t="s">
        <v>194</v>
      </c>
      <c r="E147" s="14" t="s">
        <v>193</v>
      </c>
      <c r="F147" s="14" t="s">
        <v>150</v>
      </c>
      <c r="G147" s="14" t="s">
        <v>151</v>
      </c>
      <c r="H147" s="14">
        <v>5</v>
      </c>
      <c r="I147" s="14"/>
      <c r="J147" s="15"/>
      <c r="K147" s="140"/>
    </row>
    <row r="148" spans="1:11">
      <c r="A148" s="14">
        <f>IF(B148="","",COUNTA($B$4:B148))</f>
        <v>145</v>
      </c>
      <c r="B148" s="14" t="s">
        <v>1525</v>
      </c>
      <c r="C148" s="14" t="s">
        <v>193</v>
      </c>
      <c r="D148" s="14" t="s">
        <v>194</v>
      </c>
      <c r="E148" s="14" t="s">
        <v>193</v>
      </c>
      <c r="F148" s="14" t="s">
        <v>150</v>
      </c>
      <c r="G148" s="14" t="s">
        <v>151</v>
      </c>
      <c r="H148" s="14">
        <v>5</v>
      </c>
      <c r="I148" s="14"/>
      <c r="J148" s="15"/>
      <c r="K148" s="15"/>
    </row>
    <row r="149" spans="1:11">
      <c r="A149" s="14">
        <f>IF(B149="","",COUNTA($B$4:B149))</f>
        <v>146</v>
      </c>
      <c r="B149" s="14" t="s">
        <v>1487</v>
      </c>
      <c r="C149" s="14" t="s">
        <v>230</v>
      </c>
      <c r="D149" s="14" t="s">
        <v>231</v>
      </c>
      <c r="E149" s="14" t="s">
        <v>230</v>
      </c>
      <c r="F149" s="14" t="s">
        <v>169</v>
      </c>
      <c r="G149" s="14" t="s">
        <v>170</v>
      </c>
      <c r="H149" s="14"/>
      <c r="I149" s="14"/>
      <c r="J149" s="14"/>
      <c r="K149" s="15"/>
    </row>
    <row r="150" spans="1:11">
      <c r="A150" s="14">
        <f>IF(B150="","",COUNTA($B$4:B150))</f>
        <v>147</v>
      </c>
      <c r="B150" s="14" t="s">
        <v>1489</v>
      </c>
      <c r="C150" s="14" t="s">
        <v>230</v>
      </c>
      <c r="D150" s="14" t="s">
        <v>231</v>
      </c>
      <c r="E150" s="14" t="s">
        <v>230</v>
      </c>
      <c r="F150" s="14" t="s">
        <v>169</v>
      </c>
      <c r="G150" s="14" t="s">
        <v>170</v>
      </c>
      <c r="H150" s="14"/>
      <c r="I150" s="14"/>
      <c r="J150" s="14"/>
      <c r="K150" s="15"/>
    </row>
    <row r="151" spans="1:11">
      <c r="A151" s="14">
        <f>IF(B151="","",COUNTA($B$4:B151))</f>
        <v>148</v>
      </c>
      <c r="B151" s="14" t="s">
        <v>1491</v>
      </c>
      <c r="C151" s="14" t="s">
        <v>230</v>
      </c>
      <c r="D151" s="14" t="s">
        <v>231</v>
      </c>
      <c r="E151" s="14" t="s">
        <v>230</v>
      </c>
      <c r="F151" s="14" t="s">
        <v>169</v>
      </c>
      <c r="G151" s="14" t="s">
        <v>170</v>
      </c>
      <c r="H151" s="14"/>
      <c r="I151" s="14"/>
      <c r="J151" s="14"/>
      <c r="K151" s="140"/>
    </row>
    <row r="152" spans="1:11">
      <c r="A152" s="14">
        <f>IF(B152="","",COUNTA($B$4:B152))</f>
        <v>149</v>
      </c>
      <c r="B152" s="14" t="s">
        <v>1492</v>
      </c>
      <c r="C152" s="14" t="s">
        <v>230</v>
      </c>
      <c r="D152" s="14" t="s">
        <v>231</v>
      </c>
      <c r="E152" s="14" t="s">
        <v>230</v>
      </c>
      <c r="F152" s="14" t="s">
        <v>169</v>
      </c>
      <c r="G152" s="14" t="s">
        <v>170</v>
      </c>
      <c r="H152" s="14"/>
      <c r="I152" s="14"/>
      <c r="J152" s="14"/>
      <c r="K152" s="15"/>
    </row>
    <row r="153" spans="1:11">
      <c r="A153" s="14">
        <f>IF(B153="","",COUNTA($B$4:B153))</f>
        <v>150</v>
      </c>
      <c r="B153" s="14" t="s">
        <v>1493</v>
      </c>
      <c r="C153" s="14" t="s">
        <v>230</v>
      </c>
      <c r="D153" s="14" t="s">
        <v>231</v>
      </c>
      <c r="E153" s="14" t="s">
        <v>230</v>
      </c>
      <c r="F153" s="14" t="s">
        <v>169</v>
      </c>
      <c r="G153" s="14" t="s">
        <v>170</v>
      </c>
      <c r="H153" s="14"/>
      <c r="I153" s="14"/>
      <c r="J153" s="14"/>
      <c r="K153" s="15"/>
    </row>
    <row r="154" spans="1:11">
      <c r="A154" s="14">
        <f>IF(B154="","",COUNTA($B$4:B154))</f>
        <v>151</v>
      </c>
      <c r="B154" s="14" t="s">
        <v>1494</v>
      </c>
      <c r="C154" s="14" t="s">
        <v>230</v>
      </c>
      <c r="D154" s="14" t="s">
        <v>231</v>
      </c>
      <c r="E154" s="14" t="s">
        <v>230</v>
      </c>
      <c r="F154" s="14" t="s">
        <v>169</v>
      </c>
      <c r="G154" s="14" t="s">
        <v>170</v>
      </c>
      <c r="H154" s="14"/>
      <c r="I154" s="14"/>
      <c r="J154" s="14" t="s">
        <v>1490</v>
      </c>
      <c r="K154" s="15"/>
    </row>
    <row r="155" spans="1:11">
      <c r="A155" s="14">
        <f>IF(B155="","",COUNTA($B$4:B155))</f>
        <v>152</v>
      </c>
      <c r="B155" s="14" t="s">
        <v>1497</v>
      </c>
      <c r="C155" s="14" t="s">
        <v>230</v>
      </c>
      <c r="D155" s="14" t="s">
        <v>231</v>
      </c>
      <c r="E155" s="14" t="s">
        <v>230</v>
      </c>
      <c r="F155" s="14" t="s">
        <v>169</v>
      </c>
      <c r="G155" s="14" t="s">
        <v>170</v>
      </c>
      <c r="H155" s="14"/>
      <c r="I155" s="14"/>
      <c r="J155" s="14" t="s">
        <v>1490</v>
      </c>
      <c r="K155" s="140"/>
    </row>
    <row r="156" spans="1:11">
      <c r="A156" s="14">
        <f>IF(B156="","",COUNTA($B$4:B156))</f>
        <v>153</v>
      </c>
      <c r="B156" s="14" t="s">
        <v>1487</v>
      </c>
      <c r="C156" s="14" t="s">
        <v>233</v>
      </c>
      <c r="D156" s="14" t="s">
        <v>234</v>
      </c>
      <c r="E156" s="14" t="s">
        <v>233</v>
      </c>
      <c r="F156" s="14" t="s">
        <v>155</v>
      </c>
      <c r="G156" s="14" t="s">
        <v>156</v>
      </c>
      <c r="H156" s="14">
        <v>1</v>
      </c>
      <c r="I156" s="14"/>
      <c r="J156" s="14"/>
      <c r="K156" s="140"/>
    </row>
    <row r="157" spans="1:11">
      <c r="A157" s="14">
        <f>IF(B157="","",COUNTA($B$4:B157))</f>
        <v>154</v>
      </c>
      <c r="B157" s="14" t="s">
        <v>1489</v>
      </c>
      <c r="C157" s="14" t="s">
        <v>233</v>
      </c>
      <c r="D157" s="14" t="s">
        <v>234</v>
      </c>
      <c r="E157" s="14" t="s">
        <v>233</v>
      </c>
      <c r="F157" s="14" t="s">
        <v>155</v>
      </c>
      <c r="G157" s="14" t="s">
        <v>156</v>
      </c>
      <c r="H157" s="14">
        <v>1</v>
      </c>
      <c r="I157" s="14"/>
      <c r="J157" s="14"/>
      <c r="K157" s="140"/>
    </row>
    <row r="158" spans="1:11">
      <c r="A158" s="14">
        <f>IF(B158="","",COUNTA($B$4:B158))</f>
        <v>155</v>
      </c>
      <c r="B158" s="14" t="s">
        <v>1491</v>
      </c>
      <c r="C158" s="14" t="s">
        <v>233</v>
      </c>
      <c r="D158" s="14" t="s">
        <v>234</v>
      </c>
      <c r="E158" s="14" t="s">
        <v>233</v>
      </c>
      <c r="F158" s="14" t="s">
        <v>155</v>
      </c>
      <c r="G158" s="14" t="s">
        <v>156</v>
      </c>
      <c r="H158" s="14">
        <v>1</v>
      </c>
      <c r="I158" s="14"/>
      <c r="J158" s="14"/>
      <c r="K158" s="15"/>
    </row>
    <row r="159" spans="1:11">
      <c r="A159" s="14">
        <f>IF(B159="","",COUNTA($B$4:B159))</f>
        <v>156</v>
      </c>
      <c r="B159" s="14" t="s">
        <v>1492</v>
      </c>
      <c r="C159" s="14" t="s">
        <v>233</v>
      </c>
      <c r="D159" s="14" t="s">
        <v>234</v>
      </c>
      <c r="E159" s="14" t="s">
        <v>233</v>
      </c>
      <c r="F159" s="14" t="s">
        <v>155</v>
      </c>
      <c r="G159" s="14" t="s">
        <v>156</v>
      </c>
      <c r="H159" s="14">
        <v>1</v>
      </c>
      <c r="I159" s="14"/>
      <c r="J159" s="14"/>
      <c r="K159" s="15"/>
    </row>
    <row r="160" spans="1:11">
      <c r="A160" s="14">
        <f>IF(B160="","",COUNTA($B$4:B160))</f>
        <v>157</v>
      </c>
      <c r="B160" s="14" t="s">
        <v>1493</v>
      </c>
      <c r="C160" s="14" t="s">
        <v>233</v>
      </c>
      <c r="D160" s="14" t="s">
        <v>234</v>
      </c>
      <c r="E160" s="14" t="s">
        <v>233</v>
      </c>
      <c r="F160" s="14" t="s">
        <v>155</v>
      </c>
      <c r="G160" s="14" t="s">
        <v>156</v>
      </c>
      <c r="H160" s="14">
        <v>1</v>
      </c>
      <c r="I160" s="14"/>
      <c r="J160" s="14" t="s">
        <v>1490</v>
      </c>
      <c r="K160" s="15"/>
    </row>
    <row r="161" spans="1:11">
      <c r="A161" s="14">
        <f>IF(B161="","",COUNTA($B$4:B161))</f>
        <v>158</v>
      </c>
      <c r="B161" s="14" t="s">
        <v>1494</v>
      </c>
      <c r="C161" s="14" t="s">
        <v>233</v>
      </c>
      <c r="D161" s="14" t="s">
        <v>234</v>
      </c>
      <c r="E161" s="14" t="s">
        <v>233</v>
      </c>
      <c r="F161" s="14" t="s">
        <v>155</v>
      </c>
      <c r="G161" s="14" t="s">
        <v>156</v>
      </c>
      <c r="H161" s="14">
        <v>1</v>
      </c>
      <c r="I161" s="14"/>
      <c r="J161" s="14" t="s">
        <v>1584</v>
      </c>
      <c r="K161" s="15"/>
    </row>
    <row r="162" spans="1:11">
      <c r="A162" s="14">
        <f>IF(B162="","",COUNTA($B$4:B162))</f>
        <v>159</v>
      </c>
      <c r="B162" s="14" t="s">
        <v>1497</v>
      </c>
      <c r="C162" s="14" t="s">
        <v>233</v>
      </c>
      <c r="D162" s="14" t="s">
        <v>234</v>
      </c>
      <c r="E162" s="14" t="s">
        <v>233</v>
      </c>
      <c r="F162" s="14" t="s">
        <v>155</v>
      </c>
      <c r="G162" s="14" t="s">
        <v>156</v>
      </c>
      <c r="H162" s="14">
        <v>1</v>
      </c>
      <c r="I162" s="14"/>
      <c r="J162" s="14" t="s">
        <v>1584</v>
      </c>
      <c r="K162" s="140"/>
    </row>
    <row r="163" spans="1:11">
      <c r="A163" s="14">
        <f>IF(B163="","",COUNTA($B$4:B163))</f>
        <v>160</v>
      </c>
      <c r="B163" s="14" t="s">
        <v>1487</v>
      </c>
      <c r="C163" s="14" t="s">
        <v>159</v>
      </c>
      <c r="D163" s="14" t="s">
        <v>160</v>
      </c>
      <c r="E163" s="14" t="s">
        <v>159</v>
      </c>
      <c r="F163" s="14" t="s">
        <v>150</v>
      </c>
      <c r="G163" s="14" t="s">
        <v>151</v>
      </c>
      <c r="H163" s="14">
        <v>4</v>
      </c>
      <c r="I163" s="14"/>
      <c r="J163" s="14"/>
      <c r="K163" s="15"/>
    </row>
    <row r="164" spans="1:11">
      <c r="A164" s="14">
        <f>IF(B164="","",COUNTA($B$4:B164))</f>
        <v>161</v>
      </c>
      <c r="B164" s="14" t="s">
        <v>1489</v>
      </c>
      <c r="C164" s="14" t="s">
        <v>159</v>
      </c>
      <c r="D164" s="14" t="s">
        <v>160</v>
      </c>
      <c r="E164" s="14" t="s">
        <v>159</v>
      </c>
      <c r="F164" s="14" t="s">
        <v>150</v>
      </c>
      <c r="G164" s="14" t="s">
        <v>151</v>
      </c>
      <c r="H164" s="14">
        <v>4</v>
      </c>
      <c r="I164" s="14"/>
      <c r="J164" s="14"/>
      <c r="K164" s="140"/>
    </row>
    <row r="165" spans="1:11">
      <c r="A165" s="14">
        <f>IF(B165="","",COUNTA($B$4:B165))</f>
        <v>162</v>
      </c>
      <c r="B165" s="14" t="s">
        <v>1491</v>
      </c>
      <c r="C165" s="14" t="s">
        <v>159</v>
      </c>
      <c r="D165" s="14" t="s">
        <v>160</v>
      </c>
      <c r="E165" s="14" t="s">
        <v>159</v>
      </c>
      <c r="F165" s="14" t="s">
        <v>150</v>
      </c>
      <c r="G165" s="14" t="s">
        <v>151</v>
      </c>
      <c r="H165" s="14">
        <v>4</v>
      </c>
      <c r="I165" s="14"/>
      <c r="J165" s="14"/>
      <c r="K165" s="15"/>
    </row>
    <row r="166" spans="1:11">
      <c r="A166" s="14">
        <f>IF(B166="","",COUNTA($B$4:B166))</f>
        <v>163</v>
      </c>
      <c r="B166" s="14" t="s">
        <v>1492</v>
      </c>
      <c r="C166" s="14" t="s">
        <v>159</v>
      </c>
      <c r="D166" s="14" t="s">
        <v>160</v>
      </c>
      <c r="E166" s="14" t="s">
        <v>159</v>
      </c>
      <c r="F166" s="14" t="s">
        <v>150</v>
      </c>
      <c r="G166" s="14" t="s">
        <v>151</v>
      </c>
      <c r="H166" s="14">
        <v>4</v>
      </c>
      <c r="I166" s="14"/>
      <c r="J166" s="14"/>
      <c r="K166" s="140"/>
    </row>
    <row r="167" spans="1:11">
      <c r="A167" s="14">
        <f>IF(B167="","",COUNTA($B$4:B167))</f>
        <v>164</v>
      </c>
      <c r="B167" s="14" t="s">
        <v>1493</v>
      </c>
      <c r="C167" s="14" t="s">
        <v>159</v>
      </c>
      <c r="D167" s="14" t="s">
        <v>160</v>
      </c>
      <c r="E167" s="14" t="s">
        <v>159</v>
      </c>
      <c r="F167" s="14" t="s">
        <v>150</v>
      </c>
      <c r="G167" s="14" t="s">
        <v>151</v>
      </c>
      <c r="H167" s="14">
        <v>4</v>
      </c>
      <c r="I167" s="14"/>
      <c r="J167" s="14"/>
      <c r="K167" s="15"/>
    </row>
    <row r="168" spans="1:11">
      <c r="A168" s="14">
        <f>IF(B168="","",COUNTA($B$4:B168))</f>
        <v>165</v>
      </c>
      <c r="B168" s="14" t="s">
        <v>1494</v>
      </c>
      <c r="C168" s="14" t="s">
        <v>159</v>
      </c>
      <c r="D168" s="14" t="s">
        <v>160</v>
      </c>
      <c r="E168" s="14" t="s">
        <v>159</v>
      </c>
      <c r="F168" s="14" t="s">
        <v>150</v>
      </c>
      <c r="G168" s="14" t="s">
        <v>151</v>
      </c>
      <c r="H168" s="14">
        <v>4</v>
      </c>
      <c r="I168" s="14"/>
      <c r="J168" s="14"/>
      <c r="K168" s="140"/>
    </row>
    <row r="169" spans="1:11">
      <c r="A169" s="14">
        <f>IF(B169="","",COUNTA($B$4:B169))</f>
        <v>166</v>
      </c>
      <c r="B169" s="14" t="s">
        <v>1497</v>
      </c>
      <c r="C169" s="14" t="s">
        <v>159</v>
      </c>
      <c r="D169" s="14" t="s">
        <v>160</v>
      </c>
      <c r="E169" s="14" t="s">
        <v>159</v>
      </c>
      <c r="F169" s="14" t="s">
        <v>150</v>
      </c>
      <c r="G169" s="14" t="s">
        <v>151</v>
      </c>
      <c r="H169" s="14">
        <v>4</v>
      </c>
      <c r="I169" s="14"/>
      <c r="J169" s="14"/>
      <c r="K169" s="140"/>
    </row>
    <row r="170" spans="1:11">
      <c r="A170" s="14">
        <f>IF(B170="","",COUNTA($B$4:B170))</f>
        <v>167</v>
      </c>
      <c r="B170" s="14" t="s">
        <v>1498</v>
      </c>
      <c r="C170" s="14" t="s">
        <v>159</v>
      </c>
      <c r="D170" s="14" t="s">
        <v>160</v>
      </c>
      <c r="E170" s="14" t="s">
        <v>159</v>
      </c>
      <c r="F170" s="14" t="s">
        <v>150</v>
      </c>
      <c r="G170" s="14" t="s">
        <v>151</v>
      </c>
      <c r="H170" s="14">
        <v>4</v>
      </c>
      <c r="I170" s="14"/>
      <c r="J170" s="14"/>
      <c r="K170" s="140"/>
    </row>
    <row r="171" spans="1:11">
      <c r="A171" s="14">
        <f>IF(B171="","",COUNTA($B$4:B171))</f>
        <v>168</v>
      </c>
      <c r="B171" s="14" t="s">
        <v>1502</v>
      </c>
      <c r="C171" s="14" t="s">
        <v>159</v>
      </c>
      <c r="D171" s="14" t="s">
        <v>160</v>
      </c>
      <c r="E171" s="14" t="s">
        <v>159</v>
      </c>
      <c r="F171" s="14" t="s">
        <v>150</v>
      </c>
      <c r="G171" s="14" t="s">
        <v>151</v>
      </c>
      <c r="H171" s="14">
        <v>4</v>
      </c>
      <c r="I171" s="14"/>
      <c r="J171" s="14"/>
      <c r="K171" s="15"/>
    </row>
    <row r="172" spans="1:11">
      <c r="A172" s="14">
        <f>IF(B172="","",COUNTA($B$4:B172))</f>
        <v>169</v>
      </c>
      <c r="B172" s="14" t="s">
        <v>1513</v>
      </c>
      <c r="C172" s="14" t="s">
        <v>159</v>
      </c>
      <c r="D172" s="14" t="s">
        <v>160</v>
      </c>
      <c r="E172" s="14" t="s">
        <v>159</v>
      </c>
      <c r="F172" s="14" t="s">
        <v>150</v>
      </c>
      <c r="G172" s="14" t="s">
        <v>151</v>
      </c>
      <c r="H172" s="14">
        <v>4</v>
      </c>
      <c r="I172" s="14"/>
      <c r="J172" s="14"/>
      <c r="K172" s="140"/>
    </row>
    <row r="173" spans="1:11">
      <c r="A173" s="14">
        <f>IF(B173="","",COUNTA($B$4:B173))</f>
        <v>170</v>
      </c>
      <c r="B173" s="14" t="s">
        <v>1515</v>
      </c>
      <c r="C173" s="14" t="s">
        <v>159</v>
      </c>
      <c r="D173" s="14" t="s">
        <v>160</v>
      </c>
      <c r="E173" s="14" t="s">
        <v>159</v>
      </c>
      <c r="F173" s="14" t="s">
        <v>150</v>
      </c>
      <c r="G173" s="14" t="s">
        <v>151</v>
      </c>
      <c r="H173" s="14">
        <v>4</v>
      </c>
      <c r="I173" s="14"/>
      <c r="J173" s="14"/>
      <c r="K173" s="15"/>
    </row>
    <row r="174" spans="1:11">
      <c r="A174" s="14">
        <f>IF(B174="","",COUNTA($B$4:B174))</f>
        <v>171</v>
      </c>
      <c r="B174" s="14" t="s">
        <v>1523</v>
      </c>
      <c r="C174" s="14" t="s">
        <v>159</v>
      </c>
      <c r="D174" s="14" t="s">
        <v>160</v>
      </c>
      <c r="E174" s="14" t="s">
        <v>159</v>
      </c>
      <c r="F174" s="14" t="s">
        <v>150</v>
      </c>
      <c r="G174" s="14" t="s">
        <v>151</v>
      </c>
      <c r="H174" s="14">
        <v>4</v>
      </c>
      <c r="I174" s="14"/>
      <c r="J174" s="15"/>
      <c r="K174" s="15"/>
    </row>
    <row r="175" spans="1:11">
      <c r="A175" s="14">
        <f>IF(B175="","",COUNTA($B$4:B175))</f>
        <v>172</v>
      </c>
      <c r="B175" s="14" t="s">
        <v>1525</v>
      </c>
      <c r="C175" s="14" t="s">
        <v>159</v>
      </c>
      <c r="D175" s="14" t="s">
        <v>160</v>
      </c>
      <c r="E175" s="14" t="s">
        <v>159</v>
      </c>
      <c r="F175" s="14" t="s">
        <v>150</v>
      </c>
      <c r="G175" s="14" t="s">
        <v>151</v>
      </c>
      <c r="H175" s="14">
        <v>4</v>
      </c>
      <c r="I175" s="14"/>
      <c r="J175" s="15"/>
      <c r="K175" s="15"/>
    </row>
    <row r="176" spans="1:11">
      <c r="A176" s="14">
        <f>IF(B176="","",COUNTA($B$4:B176))</f>
        <v>173</v>
      </c>
      <c r="B176" s="14" t="s">
        <v>1526</v>
      </c>
      <c r="C176" s="14" t="s">
        <v>159</v>
      </c>
      <c r="D176" s="14" t="s">
        <v>160</v>
      </c>
      <c r="E176" s="14" t="s">
        <v>159</v>
      </c>
      <c r="F176" s="14" t="s">
        <v>150</v>
      </c>
      <c r="G176" s="14" t="s">
        <v>151</v>
      </c>
      <c r="H176" s="14">
        <v>4</v>
      </c>
      <c r="I176" s="14"/>
      <c r="J176" s="15"/>
      <c r="K176" s="15"/>
    </row>
    <row r="177" spans="1:11">
      <c r="A177" s="14">
        <f>IF(B177="","",COUNTA($B$4:B177))</f>
        <v>174</v>
      </c>
      <c r="B177" s="14" t="s">
        <v>1531</v>
      </c>
      <c r="C177" s="14" t="s">
        <v>159</v>
      </c>
      <c r="D177" s="14" t="s">
        <v>160</v>
      </c>
      <c r="E177" s="14" t="s">
        <v>159</v>
      </c>
      <c r="F177" s="14" t="s">
        <v>150</v>
      </c>
      <c r="G177" s="14" t="s">
        <v>151</v>
      </c>
      <c r="H177" s="14">
        <v>4</v>
      </c>
      <c r="I177" s="14"/>
      <c r="J177" s="15"/>
      <c r="K177" s="15"/>
    </row>
    <row r="178" spans="1:11">
      <c r="A178" s="14">
        <f>IF(B178="","",COUNTA($B$4:B178))</f>
        <v>175</v>
      </c>
      <c r="B178" s="14" t="s">
        <v>1534</v>
      </c>
      <c r="C178" s="14" t="s">
        <v>159</v>
      </c>
      <c r="D178" s="14" t="s">
        <v>160</v>
      </c>
      <c r="E178" s="14" t="s">
        <v>159</v>
      </c>
      <c r="F178" s="14" t="s">
        <v>150</v>
      </c>
      <c r="G178" s="14" t="s">
        <v>151</v>
      </c>
      <c r="H178" s="14">
        <v>4</v>
      </c>
      <c r="I178" s="14"/>
      <c r="J178" s="15"/>
      <c r="K178" s="140"/>
    </row>
    <row r="179" spans="1:11">
      <c r="A179" s="14">
        <f>IF(B179="","",COUNTA($B$4:B179))</f>
        <v>176</v>
      </c>
      <c r="B179" s="14" t="s">
        <v>1487</v>
      </c>
      <c r="C179" s="14" t="s">
        <v>259</v>
      </c>
      <c r="D179" s="14" t="s">
        <v>260</v>
      </c>
      <c r="E179" s="14" t="s">
        <v>259</v>
      </c>
      <c r="F179" s="14" t="s">
        <v>150</v>
      </c>
      <c r="G179" s="14" t="s">
        <v>151</v>
      </c>
      <c r="H179" s="14">
        <v>10</v>
      </c>
      <c r="I179" s="14"/>
      <c r="J179" s="14"/>
      <c r="K179" s="140"/>
    </row>
    <row r="180" spans="1:11">
      <c r="A180" s="14">
        <f>IF(B180="","",COUNTA($B$4:B180))</f>
        <v>177</v>
      </c>
      <c r="B180" s="14" t="s">
        <v>1489</v>
      </c>
      <c r="C180" s="14" t="s">
        <v>259</v>
      </c>
      <c r="D180" s="14" t="s">
        <v>260</v>
      </c>
      <c r="E180" s="14" t="s">
        <v>259</v>
      </c>
      <c r="F180" s="14" t="s">
        <v>150</v>
      </c>
      <c r="G180" s="14" t="s">
        <v>151</v>
      </c>
      <c r="H180" s="14">
        <v>10</v>
      </c>
      <c r="I180" s="14"/>
      <c r="J180" s="14"/>
      <c r="K180" s="15"/>
    </row>
    <row r="181" spans="1:11">
      <c r="A181" s="14">
        <f>IF(B181="","",COUNTA($B$4:B181))</f>
        <v>178</v>
      </c>
      <c r="B181" s="14" t="s">
        <v>1491</v>
      </c>
      <c r="C181" s="14" t="s">
        <v>259</v>
      </c>
      <c r="D181" s="14" t="s">
        <v>260</v>
      </c>
      <c r="E181" s="14" t="s">
        <v>259</v>
      </c>
      <c r="F181" s="14" t="s">
        <v>150</v>
      </c>
      <c r="G181" s="14" t="s">
        <v>151</v>
      </c>
      <c r="H181" s="14">
        <v>10</v>
      </c>
      <c r="I181" s="14"/>
      <c r="J181" s="14"/>
      <c r="K181" s="15"/>
    </row>
    <row r="182" spans="1:11">
      <c r="A182" s="14">
        <f>IF(B182="","",COUNTA($B$4:B182))</f>
        <v>179</v>
      </c>
      <c r="B182" s="14" t="s">
        <v>1492</v>
      </c>
      <c r="C182" s="14" t="s">
        <v>259</v>
      </c>
      <c r="D182" s="14" t="s">
        <v>260</v>
      </c>
      <c r="E182" s="14" t="s">
        <v>259</v>
      </c>
      <c r="F182" s="14" t="s">
        <v>150</v>
      </c>
      <c r="G182" s="14" t="s">
        <v>151</v>
      </c>
      <c r="H182" s="14">
        <v>10</v>
      </c>
      <c r="I182" s="14"/>
      <c r="J182" s="14"/>
      <c r="K182" s="15"/>
    </row>
    <row r="183" spans="1:11">
      <c r="A183" s="14">
        <f>IF(B183="","",COUNTA($B$4:B183))</f>
        <v>180</v>
      </c>
      <c r="B183" s="14" t="s">
        <v>1493</v>
      </c>
      <c r="C183" s="14" t="s">
        <v>259</v>
      </c>
      <c r="D183" s="14" t="s">
        <v>260</v>
      </c>
      <c r="E183" s="14" t="s">
        <v>259</v>
      </c>
      <c r="F183" s="14" t="s">
        <v>150</v>
      </c>
      <c r="G183" s="14" t="s">
        <v>151</v>
      </c>
      <c r="H183" s="14">
        <v>10</v>
      </c>
      <c r="I183" s="14"/>
      <c r="J183" s="14"/>
      <c r="K183" s="140"/>
    </row>
    <row r="184" spans="1:11">
      <c r="A184" s="14">
        <f>IF(B184="","",COUNTA($B$4:B184))</f>
        <v>181</v>
      </c>
      <c r="B184" s="14" t="s">
        <v>1494</v>
      </c>
      <c r="C184" s="14" t="s">
        <v>259</v>
      </c>
      <c r="D184" s="14" t="s">
        <v>260</v>
      </c>
      <c r="E184" s="14" t="s">
        <v>259</v>
      </c>
      <c r="F184" s="14" t="s">
        <v>150</v>
      </c>
      <c r="G184" s="14" t="s">
        <v>151</v>
      </c>
      <c r="H184" s="14">
        <v>10</v>
      </c>
      <c r="I184" s="14"/>
      <c r="J184" s="14"/>
      <c r="K184" s="15"/>
    </row>
    <row r="185" spans="1:11">
      <c r="A185" s="14">
        <f>IF(B185="","",COUNTA($B$4:B185))</f>
        <v>182</v>
      </c>
      <c r="B185" s="14" t="s">
        <v>1497</v>
      </c>
      <c r="C185" s="14" t="s">
        <v>259</v>
      </c>
      <c r="D185" s="14" t="s">
        <v>260</v>
      </c>
      <c r="E185" s="14" t="s">
        <v>259</v>
      </c>
      <c r="F185" s="14" t="s">
        <v>150</v>
      </c>
      <c r="G185" s="14" t="s">
        <v>151</v>
      </c>
      <c r="H185" s="14">
        <v>10</v>
      </c>
      <c r="I185" s="14"/>
      <c r="J185" s="14"/>
      <c r="K185" s="15"/>
    </row>
    <row r="186" spans="1:11">
      <c r="A186" s="14">
        <f>IF(B186="","",COUNTA($B$4:B186))</f>
        <v>183</v>
      </c>
      <c r="B186" s="14" t="s">
        <v>1498</v>
      </c>
      <c r="C186" s="14" t="s">
        <v>259</v>
      </c>
      <c r="D186" s="14" t="s">
        <v>260</v>
      </c>
      <c r="E186" s="14" t="s">
        <v>259</v>
      </c>
      <c r="F186" s="14" t="s">
        <v>150</v>
      </c>
      <c r="G186" s="14" t="s">
        <v>151</v>
      </c>
      <c r="H186" s="14">
        <v>10</v>
      </c>
      <c r="I186" s="14"/>
      <c r="J186" s="14"/>
      <c r="K186" s="140"/>
    </row>
    <row r="187" spans="1:11">
      <c r="A187" s="14">
        <f>IF(B187="","",COUNTA($B$4:B187))</f>
        <v>184</v>
      </c>
      <c r="B187" s="14" t="s">
        <v>1502</v>
      </c>
      <c r="C187" s="14" t="s">
        <v>259</v>
      </c>
      <c r="D187" s="14" t="s">
        <v>260</v>
      </c>
      <c r="E187" s="14" t="s">
        <v>259</v>
      </c>
      <c r="F187" s="14" t="s">
        <v>150</v>
      </c>
      <c r="G187" s="14" t="s">
        <v>151</v>
      </c>
      <c r="H187" s="14">
        <v>10</v>
      </c>
      <c r="I187" s="14"/>
      <c r="J187" s="14"/>
      <c r="K187" s="15"/>
    </row>
    <row r="188" spans="1:11">
      <c r="A188" s="14">
        <f>IF(B188="","",COUNTA($B$4:B188))</f>
        <v>185</v>
      </c>
      <c r="B188" s="14" t="s">
        <v>1512</v>
      </c>
      <c r="C188" s="14" t="s">
        <v>259</v>
      </c>
      <c r="D188" s="14" t="s">
        <v>260</v>
      </c>
      <c r="E188" s="14" t="s">
        <v>259</v>
      </c>
      <c r="F188" s="14" t="s">
        <v>150</v>
      </c>
      <c r="G188" s="14" t="s">
        <v>151</v>
      </c>
      <c r="H188" s="14">
        <v>10</v>
      </c>
      <c r="I188" s="14" t="s">
        <v>244</v>
      </c>
      <c r="J188" s="14"/>
      <c r="K188" s="15"/>
    </row>
    <row r="189" spans="1:11">
      <c r="A189" s="14">
        <f>IF(B189="","",COUNTA($B$4:B189))</f>
        <v>186</v>
      </c>
      <c r="B189" s="14" t="s">
        <v>1513</v>
      </c>
      <c r="C189" s="14" t="s">
        <v>259</v>
      </c>
      <c r="D189" s="14" t="s">
        <v>260</v>
      </c>
      <c r="E189" s="14" t="s">
        <v>259</v>
      </c>
      <c r="F189" s="14" t="s">
        <v>150</v>
      </c>
      <c r="G189" s="14" t="s">
        <v>151</v>
      </c>
      <c r="H189" s="14">
        <v>10</v>
      </c>
      <c r="I189" s="14"/>
      <c r="J189" s="14"/>
      <c r="K189" s="15"/>
    </row>
    <row r="190" spans="1:11">
      <c r="A190" s="14">
        <f>IF(B190="","",COUNTA($B$4:B190))</f>
        <v>187</v>
      </c>
      <c r="B190" s="14" t="s">
        <v>1514</v>
      </c>
      <c r="C190" s="14" t="s">
        <v>259</v>
      </c>
      <c r="D190" s="14" t="s">
        <v>260</v>
      </c>
      <c r="E190" s="14" t="s">
        <v>259</v>
      </c>
      <c r="F190" s="14" t="s">
        <v>150</v>
      </c>
      <c r="G190" s="14" t="s">
        <v>151</v>
      </c>
      <c r="H190" s="14">
        <v>10</v>
      </c>
      <c r="I190" s="14"/>
      <c r="J190" s="14"/>
      <c r="K190" s="15"/>
    </row>
    <row r="191" spans="1:11">
      <c r="A191" s="14">
        <f>IF(B191="","",COUNTA($B$4:B191))</f>
        <v>188</v>
      </c>
      <c r="B191" s="14" t="s">
        <v>1515</v>
      </c>
      <c r="C191" s="14" t="s">
        <v>259</v>
      </c>
      <c r="D191" s="14" t="s">
        <v>260</v>
      </c>
      <c r="E191" s="14" t="s">
        <v>259</v>
      </c>
      <c r="F191" s="14" t="s">
        <v>150</v>
      </c>
      <c r="G191" s="14" t="s">
        <v>151</v>
      </c>
      <c r="H191" s="14">
        <v>10</v>
      </c>
      <c r="I191" s="14"/>
      <c r="J191" s="14"/>
      <c r="K191" s="140"/>
    </row>
    <row r="192" spans="1:11">
      <c r="A192" s="14">
        <f>IF(B192="","",COUNTA($B$4:B192))</f>
        <v>189</v>
      </c>
      <c r="B192" s="14" t="s">
        <v>1516</v>
      </c>
      <c r="C192" s="14" t="s">
        <v>259</v>
      </c>
      <c r="D192" s="14" t="s">
        <v>260</v>
      </c>
      <c r="E192" s="14" t="s">
        <v>259</v>
      </c>
      <c r="F192" s="14" t="s">
        <v>150</v>
      </c>
      <c r="G192" s="14" t="s">
        <v>151</v>
      </c>
      <c r="H192" s="14">
        <v>10</v>
      </c>
      <c r="I192" s="14"/>
      <c r="J192" s="15"/>
      <c r="K192" s="140"/>
    </row>
    <row r="193" spans="1:11">
      <c r="A193" s="14">
        <f>IF(B193="","",COUNTA($B$4:B193))</f>
        <v>190</v>
      </c>
      <c r="B193" s="14" t="s">
        <v>1523</v>
      </c>
      <c r="C193" s="14" t="s">
        <v>259</v>
      </c>
      <c r="D193" s="14" t="s">
        <v>260</v>
      </c>
      <c r="E193" s="14" t="s">
        <v>259</v>
      </c>
      <c r="F193" s="14" t="s">
        <v>150</v>
      </c>
      <c r="G193" s="14" t="s">
        <v>151</v>
      </c>
      <c r="H193" s="14">
        <v>10</v>
      </c>
      <c r="I193" s="14"/>
      <c r="J193" s="15"/>
      <c r="K193" s="15"/>
    </row>
    <row r="194" spans="1:11">
      <c r="A194" s="14">
        <f>IF(B194="","",COUNTA($B$4:B194))</f>
        <v>191</v>
      </c>
      <c r="B194" s="14" t="s">
        <v>1485</v>
      </c>
      <c r="C194" s="14" t="s">
        <v>259</v>
      </c>
      <c r="D194" s="14" t="s">
        <v>260</v>
      </c>
      <c r="E194" s="14" t="s">
        <v>259</v>
      </c>
      <c r="F194" s="14" t="s">
        <v>150</v>
      </c>
      <c r="G194" s="14" t="s">
        <v>151</v>
      </c>
      <c r="H194" s="14">
        <v>10</v>
      </c>
      <c r="I194" s="14"/>
      <c r="J194" s="15"/>
      <c r="K194" s="15"/>
    </row>
    <row r="195" spans="1:11">
      <c r="A195" s="14">
        <f>IF(B195="","",COUNTA($B$4:B195))</f>
        <v>192</v>
      </c>
      <c r="B195" s="14" t="s">
        <v>1525</v>
      </c>
      <c r="C195" s="14" t="s">
        <v>259</v>
      </c>
      <c r="D195" s="14" t="s">
        <v>260</v>
      </c>
      <c r="E195" s="14" t="s">
        <v>259</v>
      </c>
      <c r="F195" s="14" t="s">
        <v>150</v>
      </c>
      <c r="G195" s="14" t="s">
        <v>151</v>
      </c>
      <c r="H195" s="14">
        <v>10</v>
      </c>
      <c r="I195" s="14"/>
      <c r="J195" s="15"/>
      <c r="K195" s="15"/>
    </row>
    <row r="196" spans="1:11">
      <c r="A196" s="14">
        <f>IF(B196="","",COUNTA($B$4:B196))</f>
        <v>193</v>
      </c>
      <c r="B196" s="14" t="s">
        <v>1526</v>
      </c>
      <c r="C196" s="14" t="s">
        <v>259</v>
      </c>
      <c r="D196" s="14" t="s">
        <v>260</v>
      </c>
      <c r="E196" s="14" t="s">
        <v>259</v>
      </c>
      <c r="F196" s="14" t="s">
        <v>150</v>
      </c>
      <c r="G196" s="14" t="s">
        <v>151</v>
      </c>
      <c r="H196" s="14">
        <v>10</v>
      </c>
      <c r="I196" s="14"/>
      <c r="J196" s="15"/>
      <c r="K196" s="15"/>
    </row>
    <row r="197" spans="1:11">
      <c r="A197" s="14">
        <f>IF(B197="","",COUNTA($B$4:B197))</f>
        <v>194</v>
      </c>
      <c r="B197" s="14" t="s">
        <v>1531</v>
      </c>
      <c r="C197" s="14" t="s">
        <v>259</v>
      </c>
      <c r="D197" s="14" t="s">
        <v>260</v>
      </c>
      <c r="E197" s="14" t="s">
        <v>259</v>
      </c>
      <c r="F197" s="14" t="s">
        <v>150</v>
      </c>
      <c r="G197" s="14" t="s">
        <v>151</v>
      </c>
      <c r="H197" s="14">
        <v>10</v>
      </c>
      <c r="I197" s="14"/>
      <c r="J197" s="15"/>
      <c r="K197" s="15"/>
    </row>
    <row r="198" spans="1:11">
      <c r="A198" s="14">
        <f>IF(B198="","",COUNTA($B$4:B198))</f>
        <v>195</v>
      </c>
      <c r="B198" s="14" t="s">
        <v>1487</v>
      </c>
      <c r="C198" s="14" t="s">
        <v>261</v>
      </c>
      <c r="D198" s="14" t="s">
        <v>262</v>
      </c>
      <c r="E198" s="14" t="s">
        <v>261</v>
      </c>
      <c r="F198" s="14" t="s">
        <v>150</v>
      </c>
      <c r="G198" s="14" t="s">
        <v>151</v>
      </c>
      <c r="H198" s="14">
        <v>10</v>
      </c>
      <c r="I198" s="14"/>
      <c r="J198" s="14"/>
      <c r="K198" s="15"/>
    </row>
    <row r="199" spans="1:11">
      <c r="A199" s="14">
        <f>IF(B199="","",COUNTA($B$4:B199))</f>
        <v>196</v>
      </c>
      <c r="B199" s="14" t="s">
        <v>1489</v>
      </c>
      <c r="C199" s="14" t="s">
        <v>261</v>
      </c>
      <c r="D199" s="14" t="s">
        <v>262</v>
      </c>
      <c r="E199" s="14" t="s">
        <v>261</v>
      </c>
      <c r="F199" s="14" t="s">
        <v>150</v>
      </c>
      <c r="G199" s="14" t="s">
        <v>151</v>
      </c>
      <c r="H199" s="14">
        <v>10</v>
      </c>
      <c r="I199" s="14"/>
      <c r="J199" s="14"/>
      <c r="K199" s="15"/>
    </row>
    <row r="200" spans="1:11">
      <c r="A200" s="14">
        <f>IF(B200="","",COUNTA($B$4:B200))</f>
        <v>197</v>
      </c>
      <c r="B200" s="14" t="s">
        <v>1491</v>
      </c>
      <c r="C200" s="14" t="s">
        <v>261</v>
      </c>
      <c r="D200" s="14" t="s">
        <v>262</v>
      </c>
      <c r="E200" s="14" t="s">
        <v>261</v>
      </c>
      <c r="F200" s="14" t="s">
        <v>150</v>
      </c>
      <c r="G200" s="14" t="s">
        <v>151</v>
      </c>
      <c r="H200" s="14">
        <v>10</v>
      </c>
      <c r="I200" s="14"/>
      <c r="J200" s="14"/>
      <c r="K200" s="15"/>
    </row>
    <row r="201" spans="1:11">
      <c r="A201" s="14">
        <f>IF(B201="","",COUNTA($B$4:B201))</f>
        <v>198</v>
      </c>
      <c r="B201" s="14" t="s">
        <v>1492</v>
      </c>
      <c r="C201" s="14" t="s">
        <v>261</v>
      </c>
      <c r="D201" s="14" t="s">
        <v>262</v>
      </c>
      <c r="E201" s="14" t="s">
        <v>261</v>
      </c>
      <c r="F201" s="14" t="s">
        <v>150</v>
      </c>
      <c r="G201" s="14" t="s">
        <v>151</v>
      </c>
      <c r="H201" s="14">
        <v>10</v>
      </c>
      <c r="I201" s="14"/>
      <c r="J201" s="14"/>
      <c r="K201" s="140"/>
    </row>
    <row r="202" spans="1:11">
      <c r="A202" s="14">
        <f>IF(B202="","",COUNTA($B$4:B202))</f>
        <v>199</v>
      </c>
      <c r="B202" s="14" t="s">
        <v>1493</v>
      </c>
      <c r="C202" s="14" t="s">
        <v>261</v>
      </c>
      <c r="D202" s="14" t="s">
        <v>262</v>
      </c>
      <c r="E202" s="14" t="s">
        <v>261</v>
      </c>
      <c r="F202" s="14" t="s">
        <v>150</v>
      </c>
      <c r="G202" s="14" t="s">
        <v>151</v>
      </c>
      <c r="H202" s="14">
        <v>10</v>
      </c>
      <c r="I202" s="14"/>
      <c r="J202" s="14"/>
      <c r="K202" s="140"/>
    </row>
    <row r="203" spans="1:11">
      <c r="A203" s="14">
        <f>IF(B203="","",COUNTA($B$4:B203))</f>
        <v>200</v>
      </c>
      <c r="B203" s="14" t="s">
        <v>1494</v>
      </c>
      <c r="C203" s="14" t="s">
        <v>261</v>
      </c>
      <c r="D203" s="14" t="s">
        <v>262</v>
      </c>
      <c r="E203" s="14" t="s">
        <v>261</v>
      </c>
      <c r="F203" s="14" t="s">
        <v>150</v>
      </c>
      <c r="G203" s="14" t="s">
        <v>151</v>
      </c>
      <c r="H203" s="14">
        <v>10</v>
      </c>
      <c r="I203" s="14"/>
      <c r="J203" s="14"/>
      <c r="K203" s="140"/>
    </row>
    <row r="204" spans="1:11">
      <c r="A204" s="14">
        <f>IF(B204="","",COUNTA($B$4:B204))</f>
        <v>201</v>
      </c>
      <c r="B204" s="14" t="s">
        <v>1497</v>
      </c>
      <c r="C204" s="14" t="s">
        <v>261</v>
      </c>
      <c r="D204" s="14" t="s">
        <v>262</v>
      </c>
      <c r="E204" s="14" t="s">
        <v>261</v>
      </c>
      <c r="F204" s="14" t="s">
        <v>150</v>
      </c>
      <c r="G204" s="14" t="s">
        <v>151</v>
      </c>
      <c r="H204" s="14">
        <v>10</v>
      </c>
      <c r="I204" s="14"/>
      <c r="J204" s="14"/>
      <c r="K204" s="15"/>
    </row>
    <row r="205" spans="1:11">
      <c r="A205" s="14">
        <f>IF(B205="","",COUNTA($B$4:B205))</f>
        <v>202</v>
      </c>
      <c r="B205" s="14" t="s">
        <v>1498</v>
      </c>
      <c r="C205" s="14" t="s">
        <v>261</v>
      </c>
      <c r="D205" s="14" t="s">
        <v>262</v>
      </c>
      <c r="E205" s="14" t="s">
        <v>261</v>
      </c>
      <c r="F205" s="14" t="s">
        <v>150</v>
      </c>
      <c r="G205" s="14" t="s">
        <v>151</v>
      </c>
      <c r="H205" s="14">
        <v>10</v>
      </c>
      <c r="I205" s="14"/>
      <c r="J205" s="14"/>
      <c r="K205" s="140"/>
    </row>
    <row r="206" spans="1:11">
      <c r="A206" s="14">
        <f>IF(B206="","",COUNTA($B$4:B206))</f>
        <v>203</v>
      </c>
      <c r="B206" s="14" t="s">
        <v>1502</v>
      </c>
      <c r="C206" s="14" t="s">
        <v>261</v>
      </c>
      <c r="D206" s="14" t="s">
        <v>262</v>
      </c>
      <c r="E206" s="14" t="s">
        <v>261</v>
      </c>
      <c r="F206" s="14" t="s">
        <v>150</v>
      </c>
      <c r="G206" s="14" t="s">
        <v>151</v>
      </c>
      <c r="H206" s="14">
        <v>10</v>
      </c>
      <c r="I206" s="14"/>
      <c r="J206" s="14"/>
      <c r="K206" s="15"/>
    </row>
    <row r="207" spans="1:11">
      <c r="A207" s="14">
        <f>IF(B207="","",COUNTA($B$4:B207))</f>
        <v>204</v>
      </c>
      <c r="B207" s="14" t="s">
        <v>1512</v>
      </c>
      <c r="C207" s="14" t="s">
        <v>261</v>
      </c>
      <c r="D207" s="14" t="s">
        <v>262</v>
      </c>
      <c r="E207" s="14" t="s">
        <v>261</v>
      </c>
      <c r="F207" s="14" t="s">
        <v>150</v>
      </c>
      <c r="G207" s="14" t="s">
        <v>151</v>
      </c>
      <c r="H207" s="14">
        <v>10</v>
      </c>
      <c r="I207" s="14" t="s">
        <v>244</v>
      </c>
      <c r="J207" s="14"/>
      <c r="K207" s="140"/>
    </row>
    <row r="208" spans="1:11">
      <c r="A208" s="14">
        <f>IF(B208="","",COUNTA($B$4:B208))</f>
        <v>205</v>
      </c>
      <c r="B208" s="14" t="s">
        <v>1513</v>
      </c>
      <c r="C208" s="14" t="s">
        <v>261</v>
      </c>
      <c r="D208" s="14" t="s">
        <v>262</v>
      </c>
      <c r="E208" s="14" t="s">
        <v>261</v>
      </c>
      <c r="F208" s="14" t="s">
        <v>150</v>
      </c>
      <c r="G208" s="14" t="s">
        <v>151</v>
      </c>
      <c r="H208" s="14">
        <v>10</v>
      </c>
      <c r="I208" s="14"/>
      <c r="J208" s="14"/>
      <c r="K208" s="15"/>
    </row>
    <row r="209" spans="1:11">
      <c r="A209" s="14">
        <f>IF(B209="","",COUNTA($B$4:B209))</f>
        <v>206</v>
      </c>
      <c r="B209" s="14" t="s">
        <v>1514</v>
      </c>
      <c r="C209" s="14" t="s">
        <v>261</v>
      </c>
      <c r="D209" s="14" t="s">
        <v>262</v>
      </c>
      <c r="E209" s="14" t="s">
        <v>261</v>
      </c>
      <c r="F209" s="14" t="s">
        <v>150</v>
      </c>
      <c r="G209" s="14" t="s">
        <v>151</v>
      </c>
      <c r="H209" s="14">
        <v>10</v>
      </c>
      <c r="I209" s="14"/>
      <c r="J209" s="14"/>
      <c r="K209" s="15"/>
    </row>
    <row r="210" spans="1:11">
      <c r="A210" s="14">
        <f>IF(B210="","",COUNTA($B$4:B210))</f>
        <v>207</v>
      </c>
      <c r="B210" s="14" t="s">
        <v>1515</v>
      </c>
      <c r="C210" s="14" t="s">
        <v>261</v>
      </c>
      <c r="D210" s="14" t="s">
        <v>262</v>
      </c>
      <c r="E210" s="14" t="s">
        <v>261</v>
      </c>
      <c r="F210" s="14" t="s">
        <v>150</v>
      </c>
      <c r="G210" s="14" t="s">
        <v>151</v>
      </c>
      <c r="H210" s="14">
        <v>10</v>
      </c>
      <c r="I210" s="14"/>
      <c r="J210" s="14"/>
      <c r="K210" s="15"/>
    </row>
    <row r="211" spans="1:11">
      <c r="A211" s="14">
        <f>IF(B211="","",COUNTA($B$4:B211))</f>
        <v>208</v>
      </c>
      <c r="B211" s="14" t="s">
        <v>1516</v>
      </c>
      <c r="C211" s="14" t="s">
        <v>261</v>
      </c>
      <c r="D211" s="14" t="s">
        <v>262</v>
      </c>
      <c r="E211" s="14" t="s">
        <v>261</v>
      </c>
      <c r="F211" s="14" t="s">
        <v>150</v>
      </c>
      <c r="G211" s="14" t="s">
        <v>151</v>
      </c>
      <c r="H211" s="14">
        <v>10</v>
      </c>
      <c r="I211" s="14"/>
      <c r="J211" s="15"/>
      <c r="K211" s="140"/>
    </row>
    <row r="212" spans="1:11">
      <c r="A212" s="14">
        <f>IF(B212="","",COUNTA($B$4:B212))</f>
        <v>209</v>
      </c>
      <c r="B212" s="14" t="s">
        <v>1523</v>
      </c>
      <c r="C212" s="14" t="s">
        <v>261</v>
      </c>
      <c r="D212" s="14" t="s">
        <v>262</v>
      </c>
      <c r="E212" s="14" t="s">
        <v>261</v>
      </c>
      <c r="F212" s="14" t="s">
        <v>150</v>
      </c>
      <c r="G212" s="14" t="s">
        <v>151</v>
      </c>
      <c r="H212" s="14">
        <v>10</v>
      </c>
      <c r="I212" s="14"/>
      <c r="J212" s="15"/>
      <c r="K212" s="15"/>
    </row>
    <row r="213" spans="1:11">
      <c r="A213" s="14">
        <f>IF(B213="","",COUNTA($B$4:B213))</f>
        <v>210</v>
      </c>
      <c r="B213" s="14" t="s">
        <v>1485</v>
      </c>
      <c r="C213" s="14" t="s">
        <v>261</v>
      </c>
      <c r="D213" s="14" t="s">
        <v>262</v>
      </c>
      <c r="E213" s="14" t="s">
        <v>261</v>
      </c>
      <c r="F213" s="14" t="s">
        <v>150</v>
      </c>
      <c r="G213" s="14" t="s">
        <v>151</v>
      </c>
      <c r="H213" s="14">
        <v>10</v>
      </c>
      <c r="I213" s="14"/>
      <c r="J213" s="15"/>
      <c r="K213" s="15"/>
    </row>
    <row r="214" spans="1:11">
      <c r="A214" s="14">
        <f>IF(B214="","",COUNTA($B$4:B214))</f>
        <v>211</v>
      </c>
      <c r="B214" s="14" t="s">
        <v>1525</v>
      </c>
      <c r="C214" s="14" t="s">
        <v>261</v>
      </c>
      <c r="D214" s="14" t="s">
        <v>262</v>
      </c>
      <c r="E214" s="14" t="s">
        <v>261</v>
      </c>
      <c r="F214" s="14" t="s">
        <v>150</v>
      </c>
      <c r="G214" s="14" t="s">
        <v>151</v>
      </c>
      <c r="H214" s="14">
        <v>10</v>
      </c>
      <c r="I214" s="14"/>
      <c r="J214" s="15"/>
      <c r="K214" s="140"/>
    </row>
    <row r="215" spans="1:11">
      <c r="A215" s="14">
        <f>IF(B215="","",COUNTA($B$4:B215))</f>
        <v>212</v>
      </c>
      <c r="B215" s="14" t="s">
        <v>1526</v>
      </c>
      <c r="C215" s="14" t="s">
        <v>261</v>
      </c>
      <c r="D215" s="14" t="s">
        <v>262</v>
      </c>
      <c r="E215" s="14" t="s">
        <v>261</v>
      </c>
      <c r="F215" s="14" t="s">
        <v>150</v>
      </c>
      <c r="G215" s="14" t="s">
        <v>151</v>
      </c>
      <c r="H215" s="14">
        <v>10</v>
      </c>
      <c r="I215" s="14"/>
      <c r="J215" s="15"/>
      <c r="K215" s="140"/>
    </row>
    <row r="216" spans="1:11">
      <c r="A216" s="14">
        <f>IF(B216="","",COUNTA($B$4:B216))</f>
        <v>213</v>
      </c>
      <c r="B216" s="14" t="s">
        <v>1531</v>
      </c>
      <c r="C216" s="14" t="s">
        <v>261</v>
      </c>
      <c r="D216" s="14" t="s">
        <v>262</v>
      </c>
      <c r="E216" s="14" t="s">
        <v>261</v>
      </c>
      <c r="F216" s="14" t="s">
        <v>150</v>
      </c>
      <c r="G216" s="14" t="s">
        <v>151</v>
      </c>
      <c r="H216" s="14">
        <v>10</v>
      </c>
      <c r="I216" s="14"/>
      <c r="J216" s="15"/>
      <c r="K216" s="15"/>
    </row>
    <row r="217" spans="1:11">
      <c r="A217" s="14">
        <f>IF(B217="","",COUNTA($B$4:B217))</f>
        <v>214</v>
      </c>
      <c r="B217" s="14" t="s">
        <v>1534</v>
      </c>
      <c r="C217" s="14" t="s">
        <v>261</v>
      </c>
      <c r="D217" s="14" t="s">
        <v>262</v>
      </c>
      <c r="E217" s="14" t="s">
        <v>261</v>
      </c>
      <c r="F217" s="14" t="s">
        <v>150</v>
      </c>
      <c r="G217" s="14" t="s">
        <v>151</v>
      </c>
      <c r="H217" s="14">
        <v>10</v>
      </c>
      <c r="I217" s="14"/>
      <c r="J217" s="15"/>
      <c r="K217" s="15"/>
    </row>
    <row r="218" spans="1:11">
      <c r="A218" s="14">
        <f>IF(B218="","",COUNTA($B$4:B218))</f>
        <v>215</v>
      </c>
      <c r="B218" s="14" t="s">
        <v>1594</v>
      </c>
      <c r="C218" s="14" t="s">
        <v>261</v>
      </c>
      <c r="D218" s="14" t="s">
        <v>262</v>
      </c>
      <c r="E218" s="14" t="s">
        <v>261</v>
      </c>
      <c r="F218" s="14" t="s">
        <v>150</v>
      </c>
      <c r="G218" s="14" t="s">
        <v>151</v>
      </c>
      <c r="H218" s="14">
        <v>10</v>
      </c>
      <c r="I218" s="14"/>
      <c r="J218" s="15"/>
      <c r="K218" s="140"/>
    </row>
    <row r="219" spans="1:11">
      <c r="A219" s="14">
        <f>IF(B219="","",COUNTA($B$4:B219))</f>
        <v>216</v>
      </c>
      <c r="B219" s="14" t="s">
        <v>1487</v>
      </c>
      <c r="C219" s="14" t="s">
        <v>263</v>
      </c>
      <c r="D219" s="14" t="s">
        <v>264</v>
      </c>
      <c r="E219" s="14" t="s">
        <v>263</v>
      </c>
      <c r="F219" s="14" t="s">
        <v>169</v>
      </c>
      <c r="G219" s="14" t="s">
        <v>243</v>
      </c>
      <c r="H219" s="14"/>
      <c r="I219" s="14"/>
      <c r="J219" s="14"/>
      <c r="K219" s="15"/>
    </row>
    <row r="220" spans="1:11">
      <c r="A220" s="14">
        <f>IF(B220="","",COUNTA($B$4:B220))</f>
        <v>217</v>
      </c>
      <c r="B220" s="14" t="s">
        <v>1489</v>
      </c>
      <c r="C220" s="14" t="s">
        <v>263</v>
      </c>
      <c r="D220" s="14" t="s">
        <v>264</v>
      </c>
      <c r="E220" s="14" t="s">
        <v>263</v>
      </c>
      <c r="F220" s="14" t="s">
        <v>169</v>
      </c>
      <c r="G220" s="14" t="s">
        <v>243</v>
      </c>
      <c r="H220" s="14"/>
      <c r="I220" s="14"/>
      <c r="J220" s="14"/>
      <c r="K220" s="140"/>
    </row>
    <row r="221" spans="1:11">
      <c r="A221" s="14">
        <f>IF(B221="","",COUNTA($B$4:B221))</f>
        <v>218</v>
      </c>
      <c r="B221" s="14" t="s">
        <v>1491</v>
      </c>
      <c r="C221" s="14" t="s">
        <v>263</v>
      </c>
      <c r="D221" s="14" t="s">
        <v>264</v>
      </c>
      <c r="E221" s="14" t="s">
        <v>263</v>
      </c>
      <c r="F221" s="14" t="s">
        <v>169</v>
      </c>
      <c r="G221" s="14" t="s">
        <v>243</v>
      </c>
      <c r="H221" s="14"/>
      <c r="I221" s="14"/>
      <c r="J221" s="14"/>
      <c r="K221" s="15"/>
    </row>
    <row r="222" spans="1:11">
      <c r="A222" s="14">
        <f>IF(B222="","",COUNTA($B$4:B222))</f>
        <v>219</v>
      </c>
      <c r="B222" s="14" t="s">
        <v>1492</v>
      </c>
      <c r="C222" s="14" t="s">
        <v>263</v>
      </c>
      <c r="D222" s="14" t="s">
        <v>264</v>
      </c>
      <c r="E222" s="14" t="s">
        <v>263</v>
      </c>
      <c r="F222" s="14" t="s">
        <v>169</v>
      </c>
      <c r="G222" s="14" t="s">
        <v>243</v>
      </c>
      <c r="H222" s="14"/>
      <c r="I222" s="14"/>
      <c r="J222" s="14"/>
      <c r="K222" s="15"/>
    </row>
    <row r="223" spans="1:11">
      <c r="A223" s="14">
        <f>IF(B223="","",COUNTA($B$4:B223))</f>
        <v>220</v>
      </c>
      <c r="B223" s="14" t="s">
        <v>1493</v>
      </c>
      <c r="C223" s="14" t="s">
        <v>263</v>
      </c>
      <c r="D223" s="14" t="s">
        <v>264</v>
      </c>
      <c r="E223" s="14" t="s">
        <v>263</v>
      </c>
      <c r="F223" s="14" t="s">
        <v>169</v>
      </c>
      <c r="G223" s="14" t="s">
        <v>243</v>
      </c>
      <c r="H223" s="14"/>
      <c r="I223" s="14"/>
      <c r="J223" s="14"/>
      <c r="K223" s="15"/>
    </row>
    <row r="224" spans="1:11">
      <c r="A224" s="14">
        <f>IF(B224="","",COUNTA($B$4:B224))</f>
        <v>221</v>
      </c>
      <c r="B224" s="14" t="s">
        <v>1494</v>
      </c>
      <c r="C224" s="14" t="s">
        <v>263</v>
      </c>
      <c r="D224" s="14" t="s">
        <v>264</v>
      </c>
      <c r="E224" s="14" t="s">
        <v>263</v>
      </c>
      <c r="F224" s="14" t="s">
        <v>169</v>
      </c>
      <c r="G224" s="14" t="s">
        <v>243</v>
      </c>
      <c r="H224" s="14"/>
      <c r="I224" s="14"/>
      <c r="J224" s="14"/>
      <c r="K224" s="15"/>
    </row>
    <row r="225" spans="1:11">
      <c r="A225" s="14">
        <f>IF(B225="","",COUNTA($B$4:B225))</f>
        <v>222</v>
      </c>
      <c r="B225" s="14" t="s">
        <v>1497</v>
      </c>
      <c r="C225" s="14" t="s">
        <v>263</v>
      </c>
      <c r="D225" s="14" t="s">
        <v>264</v>
      </c>
      <c r="E225" s="14" t="s">
        <v>263</v>
      </c>
      <c r="F225" s="14" t="s">
        <v>169</v>
      </c>
      <c r="G225" s="14" t="s">
        <v>243</v>
      </c>
      <c r="H225" s="14"/>
      <c r="I225" s="14"/>
      <c r="J225" s="14"/>
      <c r="K225" s="15"/>
    </row>
    <row r="226" spans="1:11">
      <c r="A226" s="14">
        <f>IF(B226="","",COUNTA($B$4:B226))</f>
        <v>223</v>
      </c>
      <c r="B226" s="14" t="s">
        <v>1498</v>
      </c>
      <c r="C226" s="14" t="s">
        <v>263</v>
      </c>
      <c r="D226" s="14" t="s">
        <v>264</v>
      </c>
      <c r="E226" s="14" t="s">
        <v>263</v>
      </c>
      <c r="F226" s="14" t="s">
        <v>169</v>
      </c>
      <c r="G226" s="14" t="s">
        <v>243</v>
      </c>
      <c r="H226" s="14"/>
      <c r="I226" s="14"/>
      <c r="J226" s="14"/>
      <c r="K226" s="15"/>
    </row>
    <row r="227" spans="1:11">
      <c r="A227" s="14">
        <f>IF(B227="","",COUNTA($B$4:B227))</f>
        <v>224</v>
      </c>
      <c r="B227" s="14" t="s">
        <v>1502</v>
      </c>
      <c r="C227" s="14" t="s">
        <v>263</v>
      </c>
      <c r="D227" s="14" t="s">
        <v>264</v>
      </c>
      <c r="E227" s="14" t="s">
        <v>263</v>
      </c>
      <c r="F227" s="14" t="s">
        <v>169</v>
      </c>
      <c r="G227" s="14" t="s">
        <v>243</v>
      </c>
      <c r="H227" s="14"/>
      <c r="I227" s="14"/>
      <c r="J227" s="14"/>
      <c r="K227" s="140"/>
    </row>
    <row r="228" spans="1:11">
      <c r="A228" s="14">
        <f>IF(B228="","",COUNTA($B$4:B228))</f>
        <v>225</v>
      </c>
      <c r="B228" s="14" t="s">
        <v>1512</v>
      </c>
      <c r="C228" s="14" t="s">
        <v>263</v>
      </c>
      <c r="D228" s="14" t="s">
        <v>264</v>
      </c>
      <c r="E228" s="14" t="s">
        <v>263</v>
      </c>
      <c r="F228" s="14" t="s">
        <v>169</v>
      </c>
      <c r="G228" s="14" t="s">
        <v>243</v>
      </c>
      <c r="H228" s="14"/>
      <c r="I228" s="14" t="s">
        <v>244</v>
      </c>
      <c r="J228" s="14"/>
      <c r="K228" s="140"/>
    </row>
    <row r="229" spans="1:11">
      <c r="A229" s="14">
        <f>IF(B229="","",COUNTA($B$4:B229))</f>
        <v>226</v>
      </c>
      <c r="B229" s="14" t="s">
        <v>1513</v>
      </c>
      <c r="C229" s="14" t="s">
        <v>263</v>
      </c>
      <c r="D229" s="14" t="s">
        <v>264</v>
      </c>
      <c r="E229" s="14" t="s">
        <v>263</v>
      </c>
      <c r="F229" s="14" t="s">
        <v>169</v>
      </c>
      <c r="G229" s="14" t="s">
        <v>243</v>
      </c>
      <c r="H229" s="14"/>
      <c r="I229" s="14"/>
      <c r="J229" s="14"/>
      <c r="K229" s="15"/>
    </row>
    <row r="230" spans="1:11">
      <c r="A230" s="14">
        <f>IF(B230="","",COUNTA($B$4:B230))</f>
        <v>227</v>
      </c>
      <c r="B230" s="14" t="s">
        <v>1514</v>
      </c>
      <c r="C230" s="14" t="s">
        <v>263</v>
      </c>
      <c r="D230" s="14" t="s">
        <v>264</v>
      </c>
      <c r="E230" s="14" t="s">
        <v>263</v>
      </c>
      <c r="F230" s="14" t="s">
        <v>169</v>
      </c>
      <c r="G230" s="14" t="s">
        <v>243</v>
      </c>
      <c r="H230" s="14"/>
      <c r="I230" s="14"/>
      <c r="J230" s="14"/>
      <c r="K230" s="140"/>
    </row>
    <row r="231" spans="1:11">
      <c r="A231" s="14">
        <f>IF(B231="","",COUNTA($B$4:B231))</f>
        <v>228</v>
      </c>
      <c r="B231" s="14" t="s">
        <v>1515</v>
      </c>
      <c r="C231" s="14" t="s">
        <v>263</v>
      </c>
      <c r="D231" s="14" t="s">
        <v>264</v>
      </c>
      <c r="E231" s="14" t="s">
        <v>263</v>
      </c>
      <c r="F231" s="14" t="s">
        <v>169</v>
      </c>
      <c r="G231" s="14" t="s">
        <v>243</v>
      </c>
      <c r="H231" s="14"/>
      <c r="I231" s="14"/>
      <c r="J231" s="14"/>
      <c r="K231" s="15"/>
    </row>
    <row r="232" spans="1:11">
      <c r="A232" s="14">
        <f>IF(B232="","",COUNTA($B$4:B232))</f>
        <v>229</v>
      </c>
      <c r="B232" s="14" t="s">
        <v>1516</v>
      </c>
      <c r="C232" s="14" t="s">
        <v>263</v>
      </c>
      <c r="D232" s="14" t="s">
        <v>264</v>
      </c>
      <c r="E232" s="14" t="s">
        <v>263</v>
      </c>
      <c r="F232" s="14" t="s">
        <v>169</v>
      </c>
      <c r="G232" s="14" t="s">
        <v>243</v>
      </c>
      <c r="H232" s="14"/>
      <c r="I232" s="14"/>
      <c r="J232" s="15"/>
      <c r="K232" s="15"/>
    </row>
    <row r="233" spans="1:11">
      <c r="A233" s="14">
        <f>IF(B233="","",COUNTA($B$4:B233))</f>
        <v>230</v>
      </c>
      <c r="B233" s="14" t="s">
        <v>1523</v>
      </c>
      <c r="C233" s="14" t="s">
        <v>263</v>
      </c>
      <c r="D233" s="14" t="s">
        <v>264</v>
      </c>
      <c r="E233" s="14" t="s">
        <v>263</v>
      </c>
      <c r="F233" s="14" t="s">
        <v>169</v>
      </c>
      <c r="G233" s="14" t="s">
        <v>243</v>
      </c>
      <c r="H233" s="14"/>
      <c r="I233" s="14"/>
      <c r="J233" s="15"/>
      <c r="K233" s="15"/>
    </row>
    <row r="234" spans="1:11">
      <c r="A234" s="14">
        <f>IF(B234="","",COUNTA($B$4:B234))</f>
        <v>231</v>
      </c>
      <c r="B234" s="14" t="s">
        <v>1485</v>
      </c>
      <c r="C234" s="14" t="s">
        <v>263</v>
      </c>
      <c r="D234" s="14" t="s">
        <v>264</v>
      </c>
      <c r="E234" s="14" t="s">
        <v>263</v>
      </c>
      <c r="F234" s="14" t="s">
        <v>169</v>
      </c>
      <c r="G234" s="14" t="s">
        <v>243</v>
      </c>
      <c r="H234" s="14"/>
      <c r="I234" s="14"/>
      <c r="J234" s="15"/>
      <c r="K234" s="15"/>
    </row>
    <row r="235" spans="1:11">
      <c r="A235" s="14">
        <f>IF(B235="","",COUNTA($B$4:B235))</f>
        <v>232</v>
      </c>
      <c r="B235" s="14" t="s">
        <v>1525</v>
      </c>
      <c r="C235" s="14" t="s">
        <v>263</v>
      </c>
      <c r="D235" s="14" t="s">
        <v>264</v>
      </c>
      <c r="E235" s="14" t="s">
        <v>263</v>
      </c>
      <c r="F235" s="14" t="s">
        <v>169</v>
      </c>
      <c r="G235" s="14" t="s">
        <v>243</v>
      </c>
      <c r="H235" s="14"/>
      <c r="I235" s="14"/>
      <c r="J235" s="15"/>
      <c r="K235" s="15"/>
    </row>
    <row r="236" spans="1:11">
      <c r="A236" s="14">
        <f>IF(B236="","",COUNTA($B$4:B236))</f>
        <v>233</v>
      </c>
      <c r="B236" s="14" t="s">
        <v>1526</v>
      </c>
      <c r="C236" s="14" t="s">
        <v>263</v>
      </c>
      <c r="D236" s="14" t="s">
        <v>264</v>
      </c>
      <c r="E236" s="14" t="s">
        <v>263</v>
      </c>
      <c r="F236" s="14" t="s">
        <v>169</v>
      </c>
      <c r="G236" s="14" t="s">
        <v>243</v>
      </c>
      <c r="H236" s="14"/>
      <c r="I236" s="14"/>
      <c r="J236" s="15"/>
      <c r="K236" s="15"/>
    </row>
    <row r="237" spans="1:11">
      <c r="A237" s="14">
        <f>IF(B237="","",COUNTA($B$4:B237))</f>
        <v>234</v>
      </c>
      <c r="B237" s="14" t="s">
        <v>1531</v>
      </c>
      <c r="C237" s="14" t="s">
        <v>263</v>
      </c>
      <c r="D237" s="14" t="s">
        <v>264</v>
      </c>
      <c r="E237" s="14" t="s">
        <v>263</v>
      </c>
      <c r="F237" s="14" t="s">
        <v>169</v>
      </c>
      <c r="G237" s="14" t="s">
        <v>243</v>
      </c>
      <c r="H237" s="14"/>
      <c r="I237" s="14"/>
      <c r="J237" s="15"/>
      <c r="K237" s="140"/>
    </row>
    <row r="238" spans="1:11">
      <c r="A238" s="14">
        <f>IF(B238="","",COUNTA($B$4:B238))</f>
        <v>235</v>
      </c>
      <c r="B238" s="14" t="s">
        <v>1534</v>
      </c>
      <c r="C238" s="14" t="s">
        <v>263</v>
      </c>
      <c r="D238" s="14" t="s">
        <v>264</v>
      </c>
      <c r="E238" s="14" t="s">
        <v>263</v>
      </c>
      <c r="F238" s="14" t="s">
        <v>169</v>
      </c>
      <c r="G238" s="14" t="s">
        <v>243</v>
      </c>
      <c r="H238" s="14"/>
      <c r="I238" s="14"/>
      <c r="J238" s="15"/>
      <c r="K238" s="140"/>
    </row>
    <row r="239" spans="1:11">
      <c r="A239" s="14">
        <f>IF(B239="","",COUNTA($B$4:B239))</f>
        <v>236</v>
      </c>
      <c r="B239" s="14" t="s">
        <v>1594</v>
      </c>
      <c r="C239" s="14" t="s">
        <v>263</v>
      </c>
      <c r="D239" s="14" t="s">
        <v>264</v>
      </c>
      <c r="E239" s="14" t="s">
        <v>263</v>
      </c>
      <c r="F239" s="14" t="s">
        <v>169</v>
      </c>
      <c r="G239" s="14" t="s">
        <v>243</v>
      </c>
      <c r="H239" s="14"/>
      <c r="I239" s="14"/>
      <c r="J239" s="15"/>
      <c r="K239" s="140"/>
    </row>
    <row r="240" spans="1:11">
      <c r="A240" s="14">
        <f>IF(B240="","",COUNTA($B$4:B240))</f>
        <v>237</v>
      </c>
      <c r="B240" s="14" t="s">
        <v>1498</v>
      </c>
      <c r="C240" s="14" t="s">
        <v>383</v>
      </c>
      <c r="D240" s="14" t="s">
        <v>384</v>
      </c>
      <c r="E240" s="14" t="s">
        <v>383</v>
      </c>
      <c r="F240" s="14" t="s">
        <v>169</v>
      </c>
      <c r="G240" s="14" t="s">
        <v>170</v>
      </c>
      <c r="H240" s="14"/>
      <c r="I240" s="14"/>
      <c r="J240" s="14"/>
      <c r="K240" s="140"/>
    </row>
    <row r="241" spans="1:11">
      <c r="A241" s="14">
        <f>IF(B241="","",COUNTA($B$4:B241))</f>
        <v>238</v>
      </c>
      <c r="B241" s="14" t="s">
        <v>1526</v>
      </c>
      <c r="C241" s="14" t="s">
        <v>1527</v>
      </c>
      <c r="D241" s="14" t="s">
        <v>444</v>
      </c>
      <c r="E241" s="14" t="s">
        <v>1527</v>
      </c>
      <c r="F241" s="14" t="s">
        <v>155</v>
      </c>
      <c r="G241" s="14" t="s">
        <v>156</v>
      </c>
      <c r="H241" s="14">
        <v>1</v>
      </c>
      <c r="I241" s="14"/>
      <c r="J241" s="15"/>
      <c r="K241" s="15"/>
    </row>
    <row r="242" spans="1:11">
      <c r="A242" s="14">
        <f>IF(B242="","",COUNTA($B$4:B242))</f>
        <v>239</v>
      </c>
      <c r="B242" s="14" t="s">
        <v>1531</v>
      </c>
      <c r="C242" s="14" t="s">
        <v>1527</v>
      </c>
      <c r="D242" s="14" t="s">
        <v>444</v>
      </c>
      <c r="E242" s="14" t="s">
        <v>1527</v>
      </c>
      <c r="F242" s="14" t="s">
        <v>155</v>
      </c>
      <c r="G242" s="14" t="s">
        <v>156</v>
      </c>
      <c r="H242" s="14">
        <v>1</v>
      </c>
      <c r="I242" s="14"/>
      <c r="J242" s="15"/>
      <c r="K242" s="15"/>
    </row>
    <row r="243" spans="1:11">
      <c r="A243" s="14">
        <f>IF(B243="","",COUNTA($B$4:B243))</f>
        <v>240</v>
      </c>
      <c r="B243" s="14" t="s">
        <v>1498</v>
      </c>
      <c r="C243" s="14" t="s">
        <v>381</v>
      </c>
      <c r="D243" s="14" t="s">
        <v>382</v>
      </c>
      <c r="E243" s="14" t="s">
        <v>381</v>
      </c>
      <c r="F243" s="14" t="s">
        <v>169</v>
      </c>
      <c r="G243" s="14" t="s">
        <v>170</v>
      </c>
      <c r="H243" s="14"/>
      <c r="I243" s="14"/>
      <c r="J243" s="14"/>
      <c r="K243" s="15"/>
    </row>
    <row r="244" spans="1:11">
      <c r="A244" s="14">
        <f>IF(B244="","",COUNTA($B$4:B244))</f>
        <v>241</v>
      </c>
      <c r="B244" s="14" t="s">
        <v>1487</v>
      </c>
      <c r="C244" s="14" t="s">
        <v>183</v>
      </c>
      <c r="D244" s="14" t="s">
        <v>184</v>
      </c>
      <c r="E244" s="14" t="s">
        <v>183</v>
      </c>
      <c r="F244" s="14" t="s">
        <v>150</v>
      </c>
      <c r="G244" s="14" t="s">
        <v>151</v>
      </c>
      <c r="H244" s="14">
        <v>1000</v>
      </c>
      <c r="I244" s="14"/>
      <c r="J244" s="14"/>
      <c r="K244" s="15"/>
    </row>
    <row r="245" spans="1:11">
      <c r="A245" s="14">
        <f>IF(B245="","",COUNTA($B$4:B245))</f>
        <v>242</v>
      </c>
      <c r="B245" s="14" t="s">
        <v>1489</v>
      </c>
      <c r="C245" s="14" t="s">
        <v>183</v>
      </c>
      <c r="D245" s="14" t="s">
        <v>184</v>
      </c>
      <c r="E245" s="14" t="s">
        <v>183</v>
      </c>
      <c r="F245" s="14" t="s">
        <v>150</v>
      </c>
      <c r="G245" s="14" t="s">
        <v>151</v>
      </c>
      <c r="H245" s="14">
        <v>1000</v>
      </c>
      <c r="I245" s="14"/>
      <c r="J245" s="14"/>
      <c r="K245" s="15"/>
    </row>
    <row r="246" spans="1:11">
      <c r="A246" s="14">
        <f>IF(B246="","",COUNTA($B$4:B246))</f>
        <v>243</v>
      </c>
      <c r="B246" s="14" t="s">
        <v>1491</v>
      </c>
      <c r="C246" s="14" t="s">
        <v>183</v>
      </c>
      <c r="D246" s="14" t="s">
        <v>184</v>
      </c>
      <c r="E246" s="14" t="s">
        <v>183</v>
      </c>
      <c r="F246" s="14" t="s">
        <v>150</v>
      </c>
      <c r="G246" s="14" t="s">
        <v>151</v>
      </c>
      <c r="H246" s="14">
        <v>1000</v>
      </c>
      <c r="I246" s="14"/>
      <c r="J246" s="14"/>
      <c r="K246" s="15"/>
    </row>
    <row r="247" spans="1:11">
      <c r="A247" s="14">
        <f>IF(B247="","",COUNTA($B$4:B247))</f>
        <v>244</v>
      </c>
      <c r="B247" s="14" t="s">
        <v>1492</v>
      </c>
      <c r="C247" s="14" t="s">
        <v>183</v>
      </c>
      <c r="D247" s="14" t="s">
        <v>184</v>
      </c>
      <c r="E247" s="14" t="s">
        <v>183</v>
      </c>
      <c r="F247" s="14" t="s">
        <v>150</v>
      </c>
      <c r="G247" s="14" t="s">
        <v>151</v>
      </c>
      <c r="H247" s="14">
        <v>1000</v>
      </c>
      <c r="I247" s="14"/>
      <c r="J247" s="14"/>
      <c r="K247" s="15"/>
    </row>
    <row r="248" spans="1:11">
      <c r="A248" s="14">
        <f>IF(B248="","",COUNTA($B$4:B248))</f>
        <v>245</v>
      </c>
      <c r="B248" s="14" t="s">
        <v>1493</v>
      </c>
      <c r="C248" s="14" t="s">
        <v>183</v>
      </c>
      <c r="D248" s="14" t="s">
        <v>184</v>
      </c>
      <c r="E248" s="14" t="s">
        <v>183</v>
      </c>
      <c r="F248" s="14" t="s">
        <v>150</v>
      </c>
      <c r="G248" s="14" t="s">
        <v>151</v>
      </c>
      <c r="H248" s="14">
        <v>1000</v>
      </c>
      <c r="I248" s="14"/>
      <c r="J248" s="14"/>
      <c r="K248" s="140"/>
    </row>
    <row r="249" spans="1:11">
      <c r="A249" s="14">
        <f>IF(B249="","",COUNTA($B$4:B249))</f>
        <v>246</v>
      </c>
      <c r="B249" s="14" t="s">
        <v>1497</v>
      </c>
      <c r="C249" s="14" t="s">
        <v>183</v>
      </c>
      <c r="D249" s="14" t="s">
        <v>184</v>
      </c>
      <c r="E249" s="14" t="s">
        <v>183</v>
      </c>
      <c r="F249" s="14" t="s">
        <v>150</v>
      </c>
      <c r="G249" s="14" t="s">
        <v>151</v>
      </c>
      <c r="H249" s="14">
        <v>1000</v>
      </c>
      <c r="I249" s="14"/>
      <c r="J249" s="14"/>
      <c r="K249" s="15"/>
    </row>
    <row r="250" spans="1:11">
      <c r="A250" s="14">
        <f>IF(B250="","",COUNTA($B$4:B250))</f>
        <v>247</v>
      </c>
      <c r="B250" s="14" t="s">
        <v>1487</v>
      </c>
      <c r="C250" s="14" t="s">
        <v>181</v>
      </c>
      <c r="D250" s="14" t="s">
        <v>182</v>
      </c>
      <c r="E250" s="14" t="s">
        <v>181</v>
      </c>
      <c r="F250" s="14" t="s">
        <v>150</v>
      </c>
      <c r="G250" s="14" t="s">
        <v>151</v>
      </c>
      <c r="H250" s="14">
        <v>30</v>
      </c>
      <c r="I250" s="14"/>
      <c r="J250" s="14"/>
      <c r="K250" s="15"/>
    </row>
    <row r="251" spans="1:11">
      <c r="A251" s="14">
        <f>IF(B251="","",COUNTA($B$4:B251))</f>
        <v>248</v>
      </c>
      <c r="B251" s="14" t="s">
        <v>1489</v>
      </c>
      <c r="C251" s="14" t="s">
        <v>181</v>
      </c>
      <c r="D251" s="14" t="s">
        <v>182</v>
      </c>
      <c r="E251" s="14" t="s">
        <v>181</v>
      </c>
      <c r="F251" s="14" t="s">
        <v>150</v>
      </c>
      <c r="G251" s="14" t="s">
        <v>151</v>
      </c>
      <c r="H251" s="14">
        <v>30</v>
      </c>
      <c r="I251" s="14"/>
      <c r="J251" s="14"/>
      <c r="K251" s="15"/>
    </row>
    <row r="252" spans="1:11">
      <c r="A252" s="14">
        <f>IF(B252="","",COUNTA($B$4:B252))</f>
        <v>249</v>
      </c>
      <c r="B252" s="14" t="s">
        <v>1491</v>
      </c>
      <c r="C252" s="14" t="s">
        <v>181</v>
      </c>
      <c r="D252" s="14" t="s">
        <v>182</v>
      </c>
      <c r="E252" s="14" t="s">
        <v>181</v>
      </c>
      <c r="F252" s="14" t="s">
        <v>150</v>
      </c>
      <c r="G252" s="14" t="s">
        <v>151</v>
      </c>
      <c r="H252" s="14">
        <v>30</v>
      </c>
      <c r="I252" s="14"/>
      <c r="J252" s="14"/>
      <c r="K252" s="15"/>
    </row>
    <row r="253" spans="1:11">
      <c r="A253" s="14">
        <f>IF(B253="","",COUNTA($B$4:B253))</f>
        <v>250</v>
      </c>
      <c r="B253" s="14" t="s">
        <v>1492</v>
      </c>
      <c r="C253" s="14" t="s">
        <v>181</v>
      </c>
      <c r="D253" s="14" t="s">
        <v>182</v>
      </c>
      <c r="E253" s="14" t="s">
        <v>181</v>
      </c>
      <c r="F253" s="14" t="s">
        <v>150</v>
      </c>
      <c r="G253" s="14" t="s">
        <v>151</v>
      </c>
      <c r="H253" s="14">
        <v>30</v>
      </c>
      <c r="I253" s="14"/>
      <c r="J253" s="14"/>
      <c r="K253" s="140"/>
    </row>
    <row r="254" spans="1:11">
      <c r="A254" s="14">
        <f>IF(B254="","",COUNTA($B$4:B254))</f>
        <v>251</v>
      </c>
      <c r="B254" s="14" t="s">
        <v>1493</v>
      </c>
      <c r="C254" s="14" t="s">
        <v>181</v>
      </c>
      <c r="D254" s="14" t="s">
        <v>182</v>
      </c>
      <c r="E254" s="14" t="s">
        <v>181</v>
      </c>
      <c r="F254" s="14" t="s">
        <v>150</v>
      </c>
      <c r="G254" s="14" t="s">
        <v>151</v>
      </c>
      <c r="H254" s="14">
        <v>30</v>
      </c>
      <c r="I254" s="14"/>
      <c r="J254" s="14"/>
      <c r="K254" s="15"/>
    </row>
    <row r="255" spans="1:11">
      <c r="A255" s="14">
        <f>IF(B255="","",COUNTA($B$4:B255))</f>
        <v>252</v>
      </c>
      <c r="B255" s="14" t="s">
        <v>1497</v>
      </c>
      <c r="C255" s="14" t="s">
        <v>181</v>
      </c>
      <c r="D255" s="14" t="s">
        <v>182</v>
      </c>
      <c r="E255" s="14" t="s">
        <v>181</v>
      </c>
      <c r="F255" s="14" t="s">
        <v>150</v>
      </c>
      <c r="G255" s="14" t="s">
        <v>151</v>
      </c>
      <c r="H255" s="14">
        <v>30</v>
      </c>
      <c r="I255" s="14"/>
      <c r="J255" s="14"/>
      <c r="K255" s="15"/>
    </row>
    <row r="256" spans="1:11">
      <c r="A256" s="14">
        <f>IF(B256="","",COUNTA($B$4:B256))</f>
        <v>253</v>
      </c>
      <c r="B256" s="14" t="s">
        <v>1534</v>
      </c>
      <c r="C256" s="14" t="s">
        <v>1554</v>
      </c>
      <c r="D256" s="14" t="s">
        <v>1549</v>
      </c>
      <c r="E256" s="14" t="s">
        <v>1554</v>
      </c>
      <c r="F256" s="14" t="s">
        <v>150</v>
      </c>
      <c r="G256" s="14" t="s">
        <v>151</v>
      </c>
      <c r="H256" s="14">
        <v>4</v>
      </c>
      <c r="I256" s="14"/>
      <c r="J256" s="15"/>
      <c r="K256" s="15"/>
    </row>
    <row r="257" spans="1:11">
      <c r="A257" s="14">
        <f>IF(B257="","",COUNTA($B$4:B257))</f>
        <v>254</v>
      </c>
      <c r="B257" s="14" t="s">
        <v>1534</v>
      </c>
      <c r="C257" s="14" t="s">
        <v>1553</v>
      </c>
      <c r="D257" s="14" t="s">
        <v>1543</v>
      </c>
      <c r="E257" s="14" t="s">
        <v>1553</v>
      </c>
      <c r="F257" s="14" t="s">
        <v>150</v>
      </c>
      <c r="G257" s="14" t="s">
        <v>151</v>
      </c>
      <c r="H257" s="14">
        <v>4</v>
      </c>
      <c r="I257" s="14"/>
      <c r="J257" s="15"/>
      <c r="K257" s="15"/>
    </row>
    <row r="258" spans="1:11">
      <c r="A258" s="14">
        <f>IF(B258="","",COUNTA($B$4:B258))</f>
        <v>255</v>
      </c>
      <c r="B258" s="14" t="s">
        <v>1534</v>
      </c>
      <c r="C258" s="14" t="s">
        <v>1555</v>
      </c>
      <c r="D258" s="14" t="s">
        <v>1538</v>
      </c>
      <c r="E258" s="14" t="s">
        <v>1555</v>
      </c>
      <c r="F258" s="14" t="s">
        <v>150</v>
      </c>
      <c r="G258" s="14" t="s">
        <v>151</v>
      </c>
      <c r="H258" s="14">
        <v>1</v>
      </c>
      <c r="I258" s="14"/>
      <c r="J258" s="15"/>
      <c r="K258" s="140"/>
    </row>
    <row r="259" spans="1:11">
      <c r="A259" s="14">
        <f>IF(B259="","",COUNTA($B$4:B259))</f>
        <v>256</v>
      </c>
      <c r="B259" s="14" t="s">
        <v>1494</v>
      </c>
      <c r="C259" s="14" t="s">
        <v>1495</v>
      </c>
      <c r="D259" s="14" t="s">
        <v>1496</v>
      </c>
      <c r="E259" s="14" t="s">
        <v>1495</v>
      </c>
      <c r="F259" s="14" t="s">
        <v>150</v>
      </c>
      <c r="G259" s="14" t="s">
        <v>151</v>
      </c>
      <c r="H259" s="14">
        <v>30</v>
      </c>
      <c r="I259" s="14"/>
      <c r="J259" s="14"/>
      <c r="K259" s="140"/>
    </row>
    <row r="260" spans="1:11">
      <c r="A260" s="14">
        <f>IF(B260="","",COUNTA($B$4:B260))</f>
        <v>257</v>
      </c>
      <c r="B260" s="14" t="s">
        <v>1494</v>
      </c>
      <c r="C260" s="14" t="s">
        <v>1448</v>
      </c>
      <c r="D260" s="14" t="s">
        <v>1449</v>
      </c>
      <c r="E260" s="14" t="s">
        <v>1448</v>
      </c>
      <c r="F260" s="14" t="s">
        <v>150</v>
      </c>
      <c r="G260" s="14" t="s">
        <v>151</v>
      </c>
      <c r="H260" s="14">
        <v>30</v>
      </c>
      <c r="I260" s="14"/>
      <c r="J260" s="14"/>
      <c r="K260" s="140"/>
    </row>
    <row r="261" spans="1:11">
      <c r="A261" s="14">
        <f>IF(B261="","",COUNTA($B$4:B261))</f>
        <v>258</v>
      </c>
      <c r="B261" s="14" t="s">
        <v>1534</v>
      </c>
      <c r="C261" s="14" t="s">
        <v>484</v>
      </c>
      <c r="D261" s="14" t="s">
        <v>485</v>
      </c>
      <c r="E261" s="14" t="s">
        <v>484</v>
      </c>
      <c r="F261" s="14" t="s">
        <v>150</v>
      </c>
      <c r="G261" s="14" t="s">
        <v>151</v>
      </c>
      <c r="H261" s="14">
        <v>1</v>
      </c>
      <c r="I261" s="14" t="s">
        <v>244</v>
      </c>
      <c r="J261" s="15"/>
      <c r="K261" s="140"/>
    </row>
    <row r="262" spans="1:11">
      <c r="A262" s="14">
        <f>IF(B262="","",COUNTA($B$4:B262))</f>
        <v>259</v>
      </c>
      <c r="B262" s="14" t="s">
        <v>1502</v>
      </c>
      <c r="C262" s="14" t="s">
        <v>1503</v>
      </c>
      <c r="D262" s="14" t="s">
        <v>1422</v>
      </c>
      <c r="E262" s="14" t="s">
        <v>1503</v>
      </c>
      <c r="F262" s="14" t="s">
        <v>150</v>
      </c>
      <c r="G262" s="14" t="s">
        <v>151</v>
      </c>
      <c r="H262" s="14">
        <v>15</v>
      </c>
      <c r="I262" s="14"/>
      <c r="J262" s="14"/>
      <c r="K262" s="15"/>
    </row>
    <row r="263" spans="1:11">
      <c r="A263" s="14">
        <f>IF(B263="","",COUNTA($B$4:B263))</f>
        <v>260</v>
      </c>
      <c r="B263" s="14" t="s">
        <v>1513</v>
      </c>
      <c r="C263" s="14" t="s">
        <v>1503</v>
      </c>
      <c r="D263" s="14" t="s">
        <v>1422</v>
      </c>
      <c r="E263" s="14" t="s">
        <v>1503</v>
      </c>
      <c r="F263" s="14" t="s">
        <v>150</v>
      </c>
      <c r="G263" s="14" t="s">
        <v>151</v>
      </c>
      <c r="H263" s="14">
        <v>15</v>
      </c>
      <c r="I263" s="14"/>
      <c r="J263" s="14"/>
      <c r="K263" s="15"/>
    </row>
    <row r="264" spans="1:11">
      <c r="A264" s="14">
        <f>IF(B264="","",COUNTA($B$4:B264))</f>
        <v>261</v>
      </c>
      <c r="B264" s="14" t="s">
        <v>1515</v>
      </c>
      <c r="C264" s="14" t="s">
        <v>1503</v>
      </c>
      <c r="D264" s="14" t="s">
        <v>1422</v>
      </c>
      <c r="E264" s="14" t="s">
        <v>1503</v>
      </c>
      <c r="F264" s="14" t="s">
        <v>150</v>
      </c>
      <c r="G264" s="14" t="s">
        <v>151</v>
      </c>
      <c r="H264" s="14">
        <v>15</v>
      </c>
      <c r="I264" s="14"/>
      <c r="J264" s="14"/>
      <c r="K264" s="15"/>
    </row>
    <row r="265" spans="1:11">
      <c r="A265" s="14">
        <f>IF(B265="","",COUNTA($B$4:B265))</f>
        <v>262</v>
      </c>
      <c r="B265" s="14" t="s">
        <v>1523</v>
      </c>
      <c r="C265" s="14" t="s">
        <v>1503</v>
      </c>
      <c r="D265" s="14" t="s">
        <v>1422</v>
      </c>
      <c r="E265" s="14" t="s">
        <v>1503</v>
      </c>
      <c r="F265" s="14" t="s">
        <v>150</v>
      </c>
      <c r="G265" s="14" t="s">
        <v>151</v>
      </c>
      <c r="H265" s="14">
        <v>15</v>
      </c>
      <c r="I265" s="14"/>
      <c r="J265" s="15"/>
      <c r="K265" s="15"/>
    </row>
    <row r="266" spans="1:11">
      <c r="A266" s="14">
        <f>IF(B266="","",COUNTA($B$4:B266))</f>
        <v>263</v>
      </c>
      <c r="B266" s="14" t="s">
        <v>1498</v>
      </c>
      <c r="C266" s="14" t="s">
        <v>385</v>
      </c>
      <c r="D266" s="14" t="s">
        <v>386</v>
      </c>
      <c r="E266" s="14" t="s">
        <v>385</v>
      </c>
      <c r="F266" s="14" t="s">
        <v>169</v>
      </c>
      <c r="G266" s="14" t="s">
        <v>170</v>
      </c>
      <c r="H266" s="14"/>
      <c r="I266" s="14"/>
      <c r="J266" s="14"/>
      <c r="K266" s="15"/>
    </row>
    <row r="267" spans="1:11">
      <c r="A267" s="14">
        <f>IF(B267="","",COUNTA($B$4:B267))</f>
        <v>264</v>
      </c>
      <c r="B267" s="14" t="s">
        <v>1494</v>
      </c>
      <c r="C267" s="14" t="s">
        <v>1589</v>
      </c>
      <c r="D267" s="14" t="s">
        <v>1587</v>
      </c>
      <c r="E267" s="14" t="s">
        <v>1589</v>
      </c>
      <c r="F267" s="14" t="s">
        <v>150</v>
      </c>
      <c r="G267" s="14" t="s">
        <v>151</v>
      </c>
      <c r="H267" s="14">
        <v>30</v>
      </c>
      <c r="I267" s="14"/>
      <c r="J267" s="14"/>
      <c r="K267" s="15"/>
    </row>
    <row r="268" spans="1:11">
      <c r="A268" s="14">
        <f>IF(B268="","",COUNTA($B$4:B268))</f>
        <v>265</v>
      </c>
      <c r="B268" s="14" t="s">
        <v>1502</v>
      </c>
      <c r="C268" s="14" t="s">
        <v>392</v>
      </c>
      <c r="D268" s="14" t="s">
        <v>393</v>
      </c>
      <c r="E268" s="14" t="s">
        <v>392</v>
      </c>
      <c r="F268" s="14" t="s">
        <v>169</v>
      </c>
      <c r="G268" s="14" t="s">
        <v>170</v>
      </c>
      <c r="H268" s="14"/>
      <c r="I268" s="14"/>
      <c r="J268" s="14"/>
      <c r="K268" s="15"/>
    </row>
    <row r="269" spans="1:11">
      <c r="A269" s="14">
        <f>IF(B269="","",COUNTA($B$4:B269))</f>
        <v>266</v>
      </c>
      <c r="B269" s="14" t="s">
        <v>1513</v>
      </c>
      <c r="C269" s="14" t="s">
        <v>392</v>
      </c>
      <c r="D269" s="14" t="s">
        <v>393</v>
      </c>
      <c r="E269" s="14" t="s">
        <v>392</v>
      </c>
      <c r="F269" s="14" t="s">
        <v>169</v>
      </c>
      <c r="G269" s="14" t="s">
        <v>170</v>
      </c>
      <c r="H269" s="14"/>
      <c r="I269" s="14"/>
      <c r="J269" s="14"/>
      <c r="K269" s="140"/>
    </row>
    <row r="270" spans="1:11">
      <c r="A270" s="14">
        <f>IF(B270="","",COUNTA($B$4:B270))</f>
        <v>267</v>
      </c>
      <c r="B270" s="14" t="s">
        <v>1515</v>
      </c>
      <c r="C270" s="14" t="s">
        <v>392</v>
      </c>
      <c r="D270" s="14" t="s">
        <v>393</v>
      </c>
      <c r="E270" s="14" t="s">
        <v>392</v>
      </c>
      <c r="F270" s="14" t="s">
        <v>169</v>
      </c>
      <c r="G270" s="14" t="s">
        <v>170</v>
      </c>
      <c r="H270" s="14"/>
      <c r="I270" s="14"/>
      <c r="J270" s="14"/>
      <c r="K270" s="140"/>
    </row>
    <row r="271" spans="1:11">
      <c r="A271" s="14">
        <f>IF(B271="","",COUNTA($B$4:B271))</f>
        <v>268</v>
      </c>
      <c r="B271" s="14" t="s">
        <v>1523</v>
      </c>
      <c r="C271" s="14" t="s">
        <v>392</v>
      </c>
      <c r="D271" s="14" t="s">
        <v>393</v>
      </c>
      <c r="E271" s="14" t="s">
        <v>392</v>
      </c>
      <c r="F271" s="14" t="s">
        <v>169</v>
      </c>
      <c r="G271" s="14" t="s">
        <v>170</v>
      </c>
      <c r="H271" s="14"/>
      <c r="I271" s="14"/>
      <c r="J271" s="15"/>
      <c r="K271" s="140"/>
    </row>
    <row r="272" spans="1:11">
      <c r="A272" s="14">
        <f>IF(B272="","",COUNTA($B$4:B272))</f>
        <v>269</v>
      </c>
      <c r="B272" s="14" t="s">
        <v>1525</v>
      </c>
      <c r="C272" s="14" t="s">
        <v>392</v>
      </c>
      <c r="D272" s="14" t="s">
        <v>393</v>
      </c>
      <c r="E272" s="14" t="s">
        <v>392</v>
      </c>
      <c r="F272" s="14" t="s">
        <v>169</v>
      </c>
      <c r="G272" s="14" t="s">
        <v>170</v>
      </c>
      <c r="H272" s="14"/>
      <c r="I272" s="14"/>
      <c r="J272" s="15"/>
      <c r="K272" s="140"/>
    </row>
    <row r="273" spans="1:11">
      <c r="A273" s="14">
        <f>IF(B273="","",COUNTA($B$4:B273))</f>
        <v>270</v>
      </c>
      <c r="B273" s="14" t="s">
        <v>1531</v>
      </c>
      <c r="C273" s="14" t="s">
        <v>1532</v>
      </c>
      <c r="D273" s="14" t="s">
        <v>458</v>
      </c>
      <c r="E273" s="14" t="s">
        <v>1533</v>
      </c>
      <c r="F273" s="14" t="s">
        <v>150</v>
      </c>
      <c r="G273" s="14" t="s">
        <v>151</v>
      </c>
      <c r="H273" s="14">
        <v>15</v>
      </c>
      <c r="I273" s="14"/>
      <c r="J273" s="15"/>
      <c r="K273" s="15"/>
    </row>
    <row r="274" spans="1:11">
      <c r="A274" s="14">
        <f>IF(B274="","",COUNTA($B$4:B274))</f>
        <v>271</v>
      </c>
      <c r="B274" s="14" t="s">
        <v>1526</v>
      </c>
      <c r="C274" s="14" t="s">
        <v>1322</v>
      </c>
      <c r="D274" s="14" t="s">
        <v>1323</v>
      </c>
      <c r="E274" s="14" t="s">
        <v>1322</v>
      </c>
      <c r="F274" s="14" t="s">
        <v>155</v>
      </c>
      <c r="G274" s="14" t="s">
        <v>156</v>
      </c>
      <c r="H274" s="14">
        <v>1</v>
      </c>
      <c r="I274" s="14"/>
      <c r="J274" s="15"/>
      <c r="K274" s="15"/>
    </row>
    <row r="275" spans="1:11">
      <c r="A275" s="14">
        <f>IF(B275="","",COUNTA($B$4:B275))</f>
        <v>272</v>
      </c>
      <c r="B275" s="14" t="s">
        <v>1497</v>
      </c>
      <c r="C275" s="14" t="s">
        <v>339</v>
      </c>
      <c r="D275" s="14" t="s">
        <v>340</v>
      </c>
      <c r="E275" s="14" t="s">
        <v>339</v>
      </c>
      <c r="F275" s="14" t="s">
        <v>150</v>
      </c>
      <c r="G275" s="14" t="s">
        <v>151</v>
      </c>
      <c r="H275" s="14">
        <v>100</v>
      </c>
      <c r="I275" s="14"/>
      <c r="J275" s="14"/>
      <c r="K275" s="140"/>
    </row>
    <row r="276" spans="1:11">
      <c r="A276" s="14">
        <f>IF(B276="","",COUNTA($B$4:B276))</f>
        <v>273</v>
      </c>
      <c r="B276" s="14" t="s">
        <v>1487</v>
      </c>
      <c r="C276" s="14" t="s">
        <v>172</v>
      </c>
      <c r="D276" s="14" t="s">
        <v>177</v>
      </c>
      <c r="E276" s="14" t="s">
        <v>172</v>
      </c>
      <c r="F276" s="14" t="s">
        <v>155</v>
      </c>
      <c r="G276" s="14" t="s">
        <v>156</v>
      </c>
      <c r="H276" s="14">
        <v>5</v>
      </c>
      <c r="I276" s="14">
        <v>1</v>
      </c>
      <c r="J276" s="14"/>
      <c r="K276" s="15"/>
    </row>
    <row r="277" spans="1:11">
      <c r="A277" s="14">
        <f>IF(B277="","",COUNTA($B$4:B277))</f>
        <v>274</v>
      </c>
      <c r="B277" s="14" t="s">
        <v>1489</v>
      </c>
      <c r="C277" s="14" t="s">
        <v>172</v>
      </c>
      <c r="D277" s="14" t="s">
        <v>177</v>
      </c>
      <c r="E277" s="14" t="s">
        <v>172</v>
      </c>
      <c r="F277" s="14" t="s">
        <v>150</v>
      </c>
      <c r="G277" s="14" t="s">
        <v>151</v>
      </c>
      <c r="H277" s="14">
        <v>6</v>
      </c>
      <c r="I277" s="14"/>
      <c r="J277" s="14"/>
      <c r="K277" s="15"/>
    </row>
    <row r="278" spans="1:11">
      <c r="A278" s="14">
        <f>IF(B278="","",COUNTA($B$4:B278))</f>
        <v>275</v>
      </c>
      <c r="B278" s="14" t="s">
        <v>1491</v>
      </c>
      <c r="C278" s="14" t="s">
        <v>172</v>
      </c>
      <c r="D278" s="14" t="s">
        <v>177</v>
      </c>
      <c r="E278" s="14" t="s">
        <v>172</v>
      </c>
      <c r="F278" s="14" t="s">
        <v>155</v>
      </c>
      <c r="G278" s="14" t="s">
        <v>156</v>
      </c>
      <c r="H278" s="14">
        <v>5</v>
      </c>
      <c r="I278" s="14">
        <v>1</v>
      </c>
      <c r="J278" s="14"/>
      <c r="K278" s="140"/>
    </row>
    <row r="279" spans="1:11">
      <c r="A279" s="14">
        <f>IF(B279="","",COUNTA($B$4:B279))</f>
        <v>276</v>
      </c>
      <c r="B279" s="14" t="s">
        <v>1492</v>
      </c>
      <c r="C279" s="14" t="s">
        <v>172</v>
      </c>
      <c r="D279" s="14" t="s">
        <v>177</v>
      </c>
      <c r="E279" s="14" t="s">
        <v>172</v>
      </c>
      <c r="F279" s="14" t="s">
        <v>155</v>
      </c>
      <c r="G279" s="14" t="s">
        <v>156</v>
      </c>
      <c r="H279" s="14">
        <v>5</v>
      </c>
      <c r="I279" s="14">
        <v>1</v>
      </c>
      <c r="J279" s="14"/>
      <c r="K279" s="140"/>
    </row>
    <row r="280" spans="1:11">
      <c r="A280" s="14">
        <f>IF(B280="","",COUNTA($B$4:B280))</f>
        <v>277</v>
      </c>
      <c r="B280" s="14" t="s">
        <v>1493</v>
      </c>
      <c r="C280" s="14" t="s">
        <v>172</v>
      </c>
      <c r="D280" s="14" t="s">
        <v>177</v>
      </c>
      <c r="E280" s="14" t="s">
        <v>172</v>
      </c>
      <c r="F280" s="14" t="s">
        <v>155</v>
      </c>
      <c r="G280" s="14" t="s">
        <v>156</v>
      </c>
      <c r="H280" s="14">
        <v>5</v>
      </c>
      <c r="I280" s="14">
        <v>1</v>
      </c>
      <c r="J280" s="14"/>
      <c r="K280" s="15"/>
    </row>
    <row r="281" spans="1:11">
      <c r="A281" s="14">
        <f>IF(B281="","",COUNTA($B$4:B281))</f>
        <v>278</v>
      </c>
      <c r="B281" s="14" t="s">
        <v>1494</v>
      </c>
      <c r="C281" s="14" t="s">
        <v>172</v>
      </c>
      <c r="D281" s="14" t="s">
        <v>177</v>
      </c>
      <c r="E281" s="14" t="s">
        <v>172</v>
      </c>
      <c r="F281" s="14" t="s">
        <v>155</v>
      </c>
      <c r="G281" s="14" t="s">
        <v>156</v>
      </c>
      <c r="H281" s="14">
        <v>5</v>
      </c>
      <c r="I281" s="14">
        <v>1</v>
      </c>
      <c r="J281" s="14"/>
      <c r="K281" s="15"/>
    </row>
    <row r="282" spans="1:11">
      <c r="A282" s="14">
        <f>IF(B282="","",COUNTA($B$4:B282))</f>
        <v>279</v>
      </c>
      <c r="B282" s="14" t="s">
        <v>1497</v>
      </c>
      <c r="C282" s="14" t="s">
        <v>172</v>
      </c>
      <c r="D282" s="14" t="s">
        <v>177</v>
      </c>
      <c r="E282" s="14" t="s">
        <v>172</v>
      </c>
      <c r="F282" s="14" t="s">
        <v>155</v>
      </c>
      <c r="G282" s="14" t="s">
        <v>156</v>
      </c>
      <c r="H282" s="14">
        <v>5</v>
      </c>
      <c r="I282" s="14">
        <v>1</v>
      </c>
      <c r="J282" s="14"/>
      <c r="K282" s="15"/>
    </row>
    <row r="283" spans="1:11">
      <c r="A283" s="14">
        <f>IF(B283="","",COUNTA($B$4:B283))</f>
        <v>280</v>
      </c>
      <c r="B283" s="14" t="s">
        <v>1487</v>
      </c>
      <c r="C283" s="14" t="s">
        <v>251</v>
      </c>
      <c r="D283" s="14" t="s">
        <v>252</v>
      </c>
      <c r="E283" s="14" t="s">
        <v>251</v>
      </c>
      <c r="F283" s="14" t="s">
        <v>150</v>
      </c>
      <c r="G283" s="14" t="s">
        <v>151</v>
      </c>
      <c r="H283" s="14">
        <v>4</v>
      </c>
      <c r="I283" s="14"/>
      <c r="J283" s="14"/>
      <c r="K283" s="15"/>
    </row>
    <row r="284" spans="1:11">
      <c r="A284" s="14">
        <f>IF(B284="","",COUNTA($B$4:B284))</f>
        <v>281</v>
      </c>
      <c r="B284" s="14" t="s">
        <v>1489</v>
      </c>
      <c r="C284" s="14" t="s">
        <v>251</v>
      </c>
      <c r="D284" s="14" t="s">
        <v>252</v>
      </c>
      <c r="E284" s="14" t="s">
        <v>251</v>
      </c>
      <c r="F284" s="14" t="s">
        <v>150</v>
      </c>
      <c r="G284" s="14" t="s">
        <v>151</v>
      </c>
      <c r="H284" s="14">
        <v>4</v>
      </c>
      <c r="I284" s="14"/>
      <c r="J284" s="14"/>
      <c r="K284" s="140"/>
    </row>
    <row r="285" spans="1:11">
      <c r="A285" s="14">
        <f>IF(B285="","",COUNTA($B$4:B285))</f>
        <v>282</v>
      </c>
      <c r="B285" s="14" t="s">
        <v>1491</v>
      </c>
      <c r="C285" s="14" t="s">
        <v>251</v>
      </c>
      <c r="D285" s="14" t="s">
        <v>252</v>
      </c>
      <c r="E285" s="14" t="s">
        <v>251</v>
      </c>
      <c r="F285" s="14" t="s">
        <v>150</v>
      </c>
      <c r="G285" s="14" t="s">
        <v>151</v>
      </c>
      <c r="H285" s="14">
        <v>4</v>
      </c>
      <c r="I285" s="14"/>
      <c r="J285" s="14"/>
      <c r="K285" s="15"/>
    </row>
    <row r="286" spans="1:11">
      <c r="A286" s="14">
        <f>IF(B286="","",COUNTA($B$4:B286))</f>
        <v>283</v>
      </c>
      <c r="B286" s="14" t="s">
        <v>1492</v>
      </c>
      <c r="C286" s="14" t="s">
        <v>251</v>
      </c>
      <c r="D286" s="14" t="s">
        <v>252</v>
      </c>
      <c r="E286" s="14" t="s">
        <v>251</v>
      </c>
      <c r="F286" s="14" t="s">
        <v>150</v>
      </c>
      <c r="G286" s="14" t="s">
        <v>151</v>
      </c>
      <c r="H286" s="14">
        <v>4</v>
      </c>
      <c r="I286" s="14"/>
      <c r="J286" s="14"/>
      <c r="K286" s="15"/>
    </row>
    <row r="287" spans="1:11">
      <c r="A287" s="14">
        <f>IF(B287="","",COUNTA($B$4:B287))</f>
        <v>284</v>
      </c>
      <c r="B287" s="14" t="s">
        <v>1493</v>
      </c>
      <c r="C287" s="14" t="s">
        <v>251</v>
      </c>
      <c r="D287" s="14" t="s">
        <v>252</v>
      </c>
      <c r="E287" s="14" t="s">
        <v>251</v>
      </c>
      <c r="F287" s="14" t="s">
        <v>150</v>
      </c>
      <c r="G287" s="14" t="s">
        <v>151</v>
      </c>
      <c r="H287" s="14">
        <v>4</v>
      </c>
      <c r="I287" s="14"/>
      <c r="J287" s="14"/>
      <c r="K287" s="140"/>
    </row>
    <row r="288" spans="1:11">
      <c r="A288" s="14">
        <f>IF(B288="","",COUNTA($B$4:B288))</f>
        <v>285</v>
      </c>
      <c r="B288" s="14" t="s">
        <v>1494</v>
      </c>
      <c r="C288" s="14" t="s">
        <v>251</v>
      </c>
      <c r="D288" s="14" t="s">
        <v>252</v>
      </c>
      <c r="E288" s="14" t="s">
        <v>251</v>
      </c>
      <c r="F288" s="14" t="s">
        <v>150</v>
      </c>
      <c r="G288" s="14" t="s">
        <v>151</v>
      </c>
      <c r="H288" s="14">
        <v>4</v>
      </c>
      <c r="I288" s="14"/>
      <c r="J288" s="14"/>
      <c r="K288" s="15"/>
    </row>
    <row r="289" spans="1:11">
      <c r="A289" s="14">
        <f>IF(B289="","",COUNTA($B$4:B289))</f>
        <v>286</v>
      </c>
      <c r="B289" s="14" t="s">
        <v>1497</v>
      </c>
      <c r="C289" s="14" t="s">
        <v>251</v>
      </c>
      <c r="D289" s="14" t="s">
        <v>252</v>
      </c>
      <c r="E289" s="14" t="s">
        <v>251</v>
      </c>
      <c r="F289" s="14" t="s">
        <v>150</v>
      </c>
      <c r="G289" s="14" t="s">
        <v>151</v>
      </c>
      <c r="H289" s="14">
        <v>4</v>
      </c>
      <c r="I289" s="14"/>
      <c r="J289" s="14"/>
      <c r="K289" s="140"/>
    </row>
    <row r="290" spans="1:11">
      <c r="A290" s="14">
        <f>IF(B290="","",COUNTA($B$4:B290))</f>
        <v>287</v>
      </c>
      <c r="B290" s="14" t="s">
        <v>1502</v>
      </c>
      <c r="C290" s="14" t="s">
        <v>251</v>
      </c>
      <c r="D290" s="14" t="s">
        <v>252</v>
      </c>
      <c r="E290" s="14" t="s">
        <v>251</v>
      </c>
      <c r="F290" s="14" t="s">
        <v>150</v>
      </c>
      <c r="G290" s="14" t="s">
        <v>151</v>
      </c>
      <c r="H290" s="14">
        <v>4</v>
      </c>
      <c r="I290" s="14"/>
      <c r="J290" s="14"/>
      <c r="K290" s="15"/>
    </row>
    <row r="291" spans="1:11">
      <c r="A291" s="14">
        <f>IF(B291="","",COUNTA($B$4:B291))</f>
        <v>288</v>
      </c>
      <c r="B291" s="14" t="s">
        <v>1512</v>
      </c>
      <c r="C291" s="14" t="s">
        <v>251</v>
      </c>
      <c r="D291" s="14" t="s">
        <v>252</v>
      </c>
      <c r="E291" s="14" t="s">
        <v>251</v>
      </c>
      <c r="F291" s="14" t="s">
        <v>150</v>
      </c>
      <c r="G291" s="14" t="s">
        <v>151</v>
      </c>
      <c r="H291" s="14">
        <v>4</v>
      </c>
      <c r="I291" s="14" t="s">
        <v>244</v>
      </c>
      <c r="J291" s="14"/>
      <c r="K291" s="140"/>
    </row>
    <row r="292" spans="1:11">
      <c r="A292" s="14">
        <f>IF(B292="","",COUNTA($B$4:B292))</f>
        <v>289</v>
      </c>
      <c r="B292" s="14" t="s">
        <v>1513</v>
      </c>
      <c r="C292" s="14" t="s">
        <v>251</v>
      </c>
      <c r="D292" s="14" t="s">
        <v>252</v>
      </c>
      <c r="E292" s="14" t="s">
        <v>251</v>
      </c>
      <c r="F292" s="14" t="s">
        <v>150</v>
      </c>
      <c r="G292" s="14" t="s">
        <v>151</v>
      </c>
      <c r="H292" s="14">
        <v>4</v>
      </c>
      <c r="I292" s="14"/>
      <c r="J292" s="14"/>
      <c r="K292" s="140"/>
    </row>
    <row r="293" spans="1:11">
      <c r="A293" s="14">
        <f>IF(B293="","",COUNTA($B$4:B293))</f>
        <v>290</v>
      </c>
      <c r="B293" s="14" t="s">
        <v>1514</v>
      </c>
      <c r="C293" s="14" t="s">
        <v>251</v>
      </c>
      <c r="D293" s="14" t="s">
        <v>252</v>
      </c>
      <c r="E293" s="14" t="s">
        <v>251</v>
      </c>
      <c r="F293" s="14" t="s">
        <v>150</v>
      </c>
      <c r="G293" s="14" t="s">
        <v>151</v>
      </c>
      <c r="H293" s="14">
        <v>4</v>
      </c>
      <c r="I293" s="14"/>
      <c r="J293" s="14"/>
      <c r="K293" s="15"/>
    </row>
    <row r="294" spans="1:11">
      <c r="A294" s="14">
        <f>IF(B294="","",COUNTA($B$4:B294))</f>
        <v>291</v>
      </c>
      <c r="B294" s="14" t="s">
        <v>1515</v>
      </c>
      <c r="C294" s="14" t="s">
        <v>251</v>
      </c>
      <c r="D294" s="14" t="s">
        <v>252</v>
      </c>
      <c r="E294" s="14" t="s">
        <v>251</v>
      </c>
      <c r="F294" s="14" t="s">
        <v>150</v>
      </c>
      <c r="G294" s="14" t="s">
        <v>151</v>
      </c>
      <c r="H294" s="14">
        <v>4</v>
      </c>
      <c r="I294" s="14"/>
      <c r="J294" s="14"/>
      <c r="K294" s="140"/>
    </row>
    <row r="295" spans="1:11">
      <c r="A295" s="14">
        <f>IF(B295="","",COUNTA($B$4:B295))</f>
        <v>292</v>
      </c>
      <c r="B295" s="14" t="s">
        <v>1516</v>
      </c>
      <c r="C295" s="14" t="s">
        <v>251</v>
      </c>
      <c r="D295" s="14" t="s">
        <v>252</v>
      </c>
      <c r="E295" s="14" t="s">
        <v>251</v>
      </c>
      <c r="F295" s="14" t="s">
        <v>150</v>
      </c>
      <c r="G295" s="14" t="s">
        <v>151</v>
      </c>
      <c r="H295" s="14">
        <v>4</v>
      </c>
      <c r="I295" s="14"/>
      <c r="J295" s="15"/>
      <c r="K295" s="15"/>
    </row>
    <row r="296" spans="1:11">
      <c r="A296" s="14">
        <f>IF(B296="","",COUNTA($B$4:B296))</f>
        <v>293</v>
      </c>
      <c r="B296" s="14" t="s">
        <v>1523</v>
      </c>
      <c r="C296" s="14" t="s">
        <v>251</v>
      </c>
      <c r="D296" s="14" t="s">
        <v>252</v>
      </c>
      <c r="E296" s="14" t="s">
        <v>251</v>
      </c>
      <c r="F296" s="14" t="s">
        <v>150</v>
      </c>
      <c r="G296" s="14" t="s">
        <v>151</v>
      </c>
      <c r="H296" s="14">
        <v>4</v>
      </c>
      <c r="I296" s="14"/>
      <c r="J296" s="15"/>
      <c r="K296" s="15"/>
    </row>
    <row r="297" spans="1:11">
      <c r="A297" s="14">
        <f>IF(B297="","",COUNTA($B$4:B297))</f>
        <v>294</v>
      </c>
      <c r="B297" s="14" t="s">
        <v>1485</v>
      </c>
      <c r="C297" s="14" t="s">
        <v>251</v>
      </c>
      <c r="D297" s="14" t="s">
        <v>252</v>
      </c>
      <c r="E297" s="14" t="s">
        <v>251</v>
      </c>
      <c r="F297" s="14" t="s">
        <v>150</v>
      </c>
      <c r="G297" s="14" t="s">
        <v>151</v>
      </c>
      <c r="H297" s="14">
        <v>4</v>
      </c>
      <c r="I297" s="14"/>
      <c r="J297" s="15"/>
      <c r="K297" s="15"/>
    </row>
    <row r="298" spans="1:11">
      <c r="A298" s="14">
        <f>IF(B298="","",COUNTA($B$4:B298))</f>
        <v>295</v>
      </c>
      <c r="B298" s="14" t="s">
        <v>1525</v>
      </c>
      <c r="C298" s="14" t="s">
        <v>251</v>
      </c>
      <c r="D298" s="14" t="s">
        <v>252</v>
      </c>
      <c r="E298" s="14" t="s">
        <v>251</v>
      </c>
      <c r="F298" s="14" t="s">
        <v>150</v>
      </c>
      <c r="G298" s="14" t="s">
        <v>151</v>
      </c>
      <c r="H298" s="14">
        <v>4</v>
      </c>
      <c r="I298" s="14"/>
      <c r="J298" s="15"/>
      <c r="K298" s="15"/>
    </row>
    <row r="299" spans="1:11">
      <c r="A299" s="14">
        <f>IF(B299="","",COUNTA($B$4:B299))</f>
        <v>296</v>
      </c>
      <c r="B299" s="14" t="s">
        <v>1526</v>
      </c>
      <c r="C299" s="14" t="s">
        <v>251</v>
      </c>
      <c r="D299" s="14" t="s">
        <v>252</v>
      </c>
      <c r="E299" s="14" t="s">
        <v>251</v>
      </c>
      <c r="F299" s="14" t="s">
        <v>150</v>
      </c>
      <c r="G299" s="14" t="s">
        <v>151</v>
      </c>
      <c r="H299" s="14">
        <v>4</v>
      </c>
      <c r="I299" s="14"/>
      <c r="J299" s="15"/>
      <c r="K299" s="140"/>
    </row>
    <row r="300" spans="1:11">
      <c r="A300" s="14">
        <f>IF(B300="","",COUNTA($B$4:B300))</f>
        <v>297</v>
      </c>
      <c r="B300" s="14" t="s">
        <v>1531</v>
      </c>
      <c r="C300" s="14" t="s">
        <v>251</v>
      </c>
      <c r="D300" s="14" t="s">
        <v>252</v>
      </c>
      <c r="E300" s="14" t="s">
        <v>251</v>
      </c>
      <c r="F300" s="14" t="s">
        <v>150</v>
      </c>
      <c r="G300" s="14" t="s">
        <v>151</v>
      </c>
      <c r="H300" s="14">
        <v>4</v>
      </c>
      <c r="I300" s="14"/>
      <c r="J300" s="15"/>
      <c r="K300" s="15"/>
    </row>
    <row r="301" spans="1:11">
      <c r="A301" s="14">
        <f>IF(B301="","",COUNTA($B$4:B301))</f>
        <v>298</v>
      </c>
      <c r="B301" s="14" t="s">
        <v>1487</v>
      </c>
      <c r="C301" s="14" t="s">
        <v>249</v>
      </c>
      <c r="D301" s="14" t="s">
        <v>250</v>
      </c>
      <c r="E301" s="14" t="s">
        <v>249</v>
      </c>
      <c r="F301" s="14" t="s">
        <v>150</v>
      </c>
      <c r="G301" s="14" t="s">
        <v>151</v>
      </c>
      <c r="H301" s="14">
        <v>4</v>
      </c>
      <c r="I301" s="14"/>
      <c r="J301" s="14"/>
      <c r="K301" s="15"/>
    </row>
    <row r="302" spans="1:11">
      <c r="A302" s="14">
        <f>IF(B302="","",COUNTA($B$4:B302))</f>
        <v>299</v>
      </c>
      <c r="B302" s="14" t="s">
        <v>1489</v>
      </c>
      <c r="C302" s="14" t="s">
        <v>249</v>
      </c>
      <c r="D302" s="14" t="s">
        <v>250</v>
      </c>
      <c r="E302" s="14" t="s">
        <v>249</v>
      </c>
      <c r="F302" s="14" t="s">
        <v>150</v>
      </c>
      <c r="G302" s="14" t="s">
        <v>151</v>
      </c>
      <c r="H302" s="14">
        <v>4</v>
      </c>
      <c r="I302" s="14"/>
      <c r="J302" s="14"/>
      <c r="K302" s="15"/>
    </row>
    <row r="303" spans="1:11">
      <c r="A303" s="14">
        <f>IF(B303="","",COUNTA($B$4:B303))</f>
        <v>300</v>
      </c>
      <c r="B303" s="14" t="s">
        <v>1491</v>
      </c>
      <c r="C303" s="14" t="s">
        <v>249</v>
      </c>
      <c r="D303" s="14" t="s">
        <v>250</v>
      </c>
      <c r="E303" s="14" t="s">
        <v>249</v>
      </c>
      <c r="F303" s="14" t="s">
        <v>150</v>
      </c>
      <c r="G303" s="14" t="s">
        <v>151</v>
      </c>
      <c r="H303" s="14">
        <v>4</v>
      </c>
      <c r="I303" s="14"/>
      <c r="J303" s="14"/>
      <c r="K303" s="15"/>
    </row>
    <row r="304" spans="1:11">
      <c r="A304" s="14">
        <f>IF(B304="","",COUNTA($B$4:B304))</f>
        <v>301</v>
      </c>
      <c r="B304" s="14" t="s">
        <v>1492</v>
      </c>
      <c r="C304" s="14" t="s">
        <v>249</v>
      </c>
      <c r="D304" s="14" t="s">
        <v>250</v>
      </c>
      <c r="E304" s="14" t="s">
        <v>249</v>
      </c>
      <c r="F304" s="14" t="s">
        <v>150</v>
      </c>
      <c r="G304" s="14" t="s">
        <v>151</v>
      </c>
      <c r="H304" s="14">
        <v>4</v>
      </c>
      <c r="I304" s="14"/>
      <c r="J304" s="14"/>
      <c r="K304" s="15"/>
    </row>
    <row r="305" spans="1:11">
      <c r="A305" s="14">
        <f>IF(B305="","",COUNTA($B$4:B305))</f>
        <v>302</v>
      </c>
      <c r="B305" s="14" t="s">
        <v>1493</v>
      </c>
      <c r="C305" s="14" t="s">
        <v>249</v>
      </c>
      <c r="D305" s="14" t="s">
        <v>250</v>
      </c>
      <c r="E305" s="14" t="s">
        <v>249</v>
      </c>
      <c r="F305" s="14" t="s">
        <v>150</v>
      </c>
      <c r="G305" s="14" t="s">
        <v>151</v>
      </c>
      <c r="H305" s="14">
        <v>4</v>
      </c>
      <c r="I305" s="14"/>
      <c r="J305" s="14"/>
      <c r="K305" s="15"/>
    </row>
    <row r="306" spans="1:11">
      <c r="A306" s="14">
        <f>IF(B306="","",COUNTA($B$4:B306))</f>
        <v>303</v>
      </c>
      <c r="B306" s="14" t="s">
        <v>1494</v>
      </c>
      <c r="C306" s="14" t="s">
        <v>249</v>
      </c>
      <c r="D306" s="14" t="s">
        <v>250</v>
      </c>
      <c r="E306" s="14" t="s">
        <v>249</v>
      </c>
      <c r="F306" s="14" t="s">
        <v>150</v>
      </c>
      <c r="G306" s="14" t="s">
        <v>151</v>
      </c>
      <c r="H306" s="14">
        <v>4</v>
      </c>
      <c r="I306" s="14"/>
      <c r="J306" s="14"/>
      <c r="K306" s="15"/>
    </row>
    <row r="307" spans="1:11">
      <c r="A307" s="14">
        <f>IF(B307="","",COUNTA($B$4:B307))</f>
        <v>304</v>
      </c>
      <c r="B307" s="14" t="s">
        <v>1497</v>
      </c>
      <c r="C307" s="14" t="s">
        <v>249</v>
      </c>
      <c r="D307" s="14" t="s">
        <v>250</v>
      </c>
      <c r="E307" s="14" t="s">
        <v>249</v>
      </c>
      <c r="F307" s="14" t="s">
        <v>150</v>
      </c>
      <c r="G307" s="14" t="s">
        <v>151</v>
      </c>
      <c r="H307" s="14">
        <v>4</v>
      </c>
      <c r="I307" s="14"/>
      <c r="J307" s="14"/>
      <c r="K307" s="15"/>
    </row>
    <row r="308" spans="1:11">
      <c r="A308" s="14">
        <f>IF(B308="","",COUNTA($B$4:B308))</f>
        <v>305</v>
      </c>
      <c r="B308" s="14" t="s">
        <v>1502</v>
      </c>
      <c r="C308" s="14" t="s">
        <v>249</v>
      </c>
      <c r="D308" s="14" t="s">
        <v>250</v>
      </c>
      <c r="E308" s="14" t="s">
        <v>249</v>
      </c>
      <c r="F308" s="14" t="s">
        <v>150</v>
      </c>
      <c r="G308" s="14" t="s">
        <v>151</v>
      </c>
      <c r="H308" s="14">
        <v>4</v>
      </c>
      <c r="I308" s="14"/>
      <c r="J308" s="14"/>
      <c r="K308" s="15"/>
    </row>
    <row r="309" spans="1:11">
      <c r="A309" s="14">
        <f>IF(B309="","",COUNTA($B$4:B309))</f>
        <v>306</v>
      </c>
      <c r="B309" s="14" t="s">
        <v>1512</v>
      </c>
      <c r="C309" s="14" t="s">
        <v>249</v>
      </c>
      <c r="D309" s="14" t="s">
        <v>250</v>
      </c>
      <c r="E309" s="14" t="s">
        <v>249</v>
      </c>
      <c r="F309" s="14" t="s">
        <v>150</v>
      </c>
      <c r="G309" s="14" t="s">
        <v>151</v>
      </c>
      <c r="H309" s="14">
        <v>4</v>
      </c>
      <c r="I309" s="14" t="s">
        <v>244</v>
      </c>
      <c r="J309" s="14"/>
      <c r="K309" s="15"/>
    </row>
    <row r="310" spans="1:11">
      <c r="A310" s="14">
        <f>IF(B310="","",COUNTA($B$4:B310))</f>
        <v>307</v>
      </c>
      <c r="B310" s="14" t="s">
        <v>1513</v>
      </c>
      <c r="C310" s="14" t="s">
        <v>249</v>
      </c>
      <c r="D310" s="14" t="s">
        <v>250</v>
      </c>
      <c r="E310" s="14" t="s">
        <v>249</v>
      </c>
      <c r="F310" s="14" t="s">
        <v>150</v>
      </c>
      <c r="G310" s="14" t="s">
        <v>151</v>
      </c>
      <c r="H310" s="14">
        <v>4</v>
      </c>
      <c r="I310" s="14"/>
      <c r="J310" s="14"/>
      <c r="K310" s="15"/>
    </row>
    <row r="311" spans="1:11">
      <c r="A311" s="14">
        <f>IF(B311="","",COUNTA($B$4:B311))</f>
        <v>308</v>
      </c>
      <c r="B311" s="14" t="s">
        <v>1514</v>
      </c>
      <c r="C311" s="14" t="s">
        <v>249</v>
      </c>
      <c r="D311" s="14" t="s">
        <v>250</v>
      </c>
      <c r="E311" s="14" t="s">
        <v>249</v>
      </c>
      <c r="F311" s="14" t="s">
        <v>150</v>
      </c>
      <c r="G311" s="14" t="s">
        <v>151</v>
      </c>
      <c r="H311" s="14">
        <v>4</v>
      </c>
      <c r="I311" s="14"/>
      <c r="J311" s="14"/>
      <c r="K311" s="15"/>
    </row>
    <row r="312" spans="1:11">
      <c r="A312" s="14">
        <f>IF(B312="","",COUNTA($B$4:B312))</f>
        <v>309</v>
      </c>
      <c r="B312" s="14" t="s">
        <v>1515</v>
      </c>
      <c r="C312" s="14" t="s">
        <v>249</v>
      </c>
      <c r="D312" s="14" t="s">
        <v>250</v>
      </c>
      <c r="E312" s="14" t="s">
        <v>249</v>
      </c>
      <c r="F312" s="14" t="s">
        <v>150</v>
      </c>
      <c r="G312" s="14" t="s">
        <v>151</v>
      </c>
      <c r="H312" s="14">
        <v>4</v>
      </c>
      <c r="I312" s="14"/>
      <c r="J312" s="14"/>
      <c r="K312" s="140"/>
    </row>
    <row r="313" spans="1:11">
      <c r="A313" s="14">
        <f>IF(B313="","",COUNTA($B$4:B313))</f>
        <v>310</v>
      </c>
      <c r="B313" s="14" t="s">
        <v>1516</v>
      </c>
      <c r="C313" s="14" t="s">
        <v>249</v>
      </c>
      <c r="D313" s="14" t="s">
        <v>250</v>
      </c>
      <c r="E313" s="14" t="s">
        <v>249</v>
      </c>
      <c r="F313" s="14" t="s">
        <v>150</v>
      </c>
      <c r="G313" s="14" t="s">
        <v>151</v>
      </c>
      <c r="H313" s="14">
        <v>4</v>
      </c>
      <c r="I313" s="14"/>
      <c r="J313" s="15"/>
      <c r="K313" s="15"/>
    </row>
    <row r="314" spans="1:11">
      <c r="A314" s="14">
        <f>IF(B314="","",COUNTA($B$4:B314))</f>
        <v>311</v>
      </c>
      <c r="B314" s="14" t="s">
        <v>1523</v>
      </c>
      <c r="C314" s="14" t="s">
        <v>249</v>
      </c>
      <c r="D314" s="14" t="s">
        <v>250</v>
      </c>
      <c r="E314" s="14" t="s">
        <v>249</v>
      </c>
      <c r="F314" s="14" t="s">
        <v>150</v>
      </c>
      <c r="G314" s="14" t="s">
        <v>151</v>
      </c>
      <c r="H314" s="14">
        <v>4</v>
      </c>
      <c r="I314" s="14"/>
      <c r="J314" s="15"/>
      <c r="K314" s="140"/>
    </row>
    <row r="315" spans="1:11">
      <c r="A315" s="14">
        <f>IF(B315="","",COUNTA($B$4:B315))</f>
        <v>312</v>
      </c>
      <c r="B315" s="14" t="s">
        <v>1485</v>
      </c>
      <c r="C315" s="14" t="s">
        <v>249</v>
      </c>
      <c r="D315" s="14" t="s">
        <v>250</v>
      </c>
      <c r="E315" s="14" t="s">
        <v>249</v>
      </c>
      <c r="F315" s="14" t="s">
        <v>150</v>
      </c>
      <c r="G315" s="14" t="s">
        <v>151</v>
      </c>
      <c r="H315" s="14">
        <v>4</v>
      </c>
      <c r="I315" s="14"/>
      <c r="J315" s="15"/>
      <c r="K315" s="140"/>
    </row>
    <row r="316" spans="1:11">
      <c r="A316" s="14">
        <f>IF(B316="","",COUNTA($B$4:B316))</f>
        <v>313</v>
      </c>
      <c r="B316" s="14" t="s">
        <v>1525</v>
      </c>
      <c r="C316" s="14" t="s">
        <v>249</v>
      </c>
      <c r="D316" s="14" t="s">
        <v>250</v>
      </c>
      <c r="E316" s="14" t="s">
        <v>249</v>
      </c>
      <c r="F316" s="14" t="s">
        <v>150</v>
      </c>
      <c r="G316" s="14" t="s">
        <v>151</v>
      </c>
      <c r="H316" s="14">
        <v>4</v>
      </c>
      <c r="I316" s="14"/>
      <c r="J316" s="15"/>
      <c r="K316" s="15"/>
    </row>
    <row r="317" spans="1:11">
      <c r="A317" s="14">
        <f>IF(B317="","",COUNTA($B$4:B317))</f>
        <v>314</v>
      </c>
      <c r="B317" s="14" t="s">
        <v>1526</v>
      </c>
      <c r="C317" s="14" t="s">
        <v>249</v>
      </c>
      <c r="D317" s="14" t="s">
        <v>250</v>
      </c>
      <c r="E317" s="14" t="s">
        <v>249</v>
      </c>
      <c r="F317" s="14" t="s">
        <v>150</v>
      </c>
      <c r="G317" s="14" t="s">
        <v>151</v>
      </c>
      <c r="H317" s="14">
        <v>4</v>
      </c>
      <c r="I317" s="14"/>
      <c r="J317" s="15"/>
      <c r="K317" s="140"/>
    </row>
    <row r="318" spans="1:11">
      <c r="A318" s="14">
        <f>IF(B318="","",COUNTA($B$4:B318))</f>
        <v>315</v>
      </c>
      <c r="B318" s="14" t="s">
        <v>1531</v>
      </c>
      <c r="C318" s="14" t="s">
        <v>249</v>
      </c>
      <c r="D318" s="14" t="s">
        <v>250</v>
      </c>
      <c r="E318" s="14" t="s">
        <v>249</v>
      </c>
      <c r="F318" s="14" t="s">
        <v>150</v>
      </c>
      <c r="G318" s="14" t="s">
        <v>151</v>
      </c>
      <c r="H318" s="14">
        <v>4</v>
      </c>
      <c r="I318" s="14"/>
      <c r="J318" s="15"/>
      <c r="K318" s="140"/>
    </row>
    <row r="319" spans="1:11">
      <c r="A319" s="14">
        <f>IF(B319="","",COUNTA($B$4:B319))</f>
        <v>316</v>
      </c>
      <c r="B319" s="14" t="s">
        <v>1487</v>
      </c>
      <c r="C319" s="14" t="s">
        <v>185</v>
      </c>
      <c r="D319" s="14" t="s">
        <v>186</v>
      </c>
      <c r="E319" s="14" t="s">
        <v>185</v>
      </c>
      <c r="F319" s="14" t="s">
        <v>150</v>
      </c>
      <c r="G319" s="14" t="s">
        <v>151</v>
      </c>
      <c r="H319" s="14">
        <v>75</v>
      </c>
      <c r="I319" s="14"/>
      <c r="J319" s="14"/>
      <c r="K319" s="15"/>
    </row>
    <row r="320" spans="1:11">
      <c r="A320" s="14">
        <f>IF(B320="","",COUNTA($B$4:B320))</f>
        <v>317</v>
      </c>
      <c r="B320" s="14" t="s">
        <v>1489</v>
      </c>
      <c r="C320" s="14" t="s">
        <v>185</v>
      </c>
      <c r="D320" s="14" t="s">
        <v>186</v>
      </c>
      <c r="E320" s="14" t="s">
        <v>185</v>
      </c>
      <c r="F320" s="14" t="s">
        <v>150</v>
      </c>
      <c r="G320" s="14" t="s">
        <v>151</v>
      </c>
      <c r="H320" s="14">
        <v>75</v>
      </c>
      <c r="I320" s="14"/>
      <c r="J320" s="14"/>
      <c r="K320" s="140"/>
    </row>
    <row r="321" spans="1:11">
      <c r="A321" s="14">
        <f>IF(B321="","",COUNTA($B$4:B321))</f>
        <v>318</v>
      </c>
      <c r="B321" s="14" t="s">
        <v>1491</v>
      </c>
      <c r="C321" s="14" t="s">
        <v>185</v>
      </c>
      <c r="D321" s="14" t="s">
        <v>186</v>
      </c>
      <c r="E321" s="14" t="s">
        <v>185</v>
      </c>
      <c r="F321" s="14" t="s">
        <v>150</v>
      </c>
      <c r="G321" s="14" t="s">
        <v>151</v>
      </c>
      <c r="H321" s="14">
        <v>75</v>
      </c>
      <c r="I321" s="14"/>
      <c r="J321" s="14"/>
      <c r="K321" s="140"/>
    </row>
    <row r="322" spans="1:11">
      <c r="A322" s="14">
        <f>IF(B322="","",COUNTA($B$4:B322))</f>
        <v>319</v>
      </c>
      <c r="B322" s="14" t="s">
        <v>1492</v>
      </c>
      <c r="C322" s="14" t="s">
        <v>185</v>
      </c>
      <c r="D322" s="14" t="s">
        <v>186</v>
      </c>
      <c r="E322" s="14" t="s">
        <v>185</v>
      </c>
      <c r="F322" s="14" t="s">
        <v>150</v>
      </c>
      <c r="G322" s="14" t="s">
        <v>151</v>
      </c>
      <c r="H322" s="14">
        <v>75</v>
      </c>
      <c r="I322" s="14"/>
      <c r="J322" s="14"/>
      <c r="K322" s="15"/>
    </row>
    <row r="323" spans="1:11">
      <c r="A323" s="14">
        <f>IF(B323="","",COUNTA($B$4:B323))</f>
        <v>320</v>
      </c>
      <c r="B323" s="14" t="s">
        <v>1493</v>
      </c>
      <c r="C323" s="14" t="s">
        <v>185</v>
      </c>
      <c r="D323" s="14" t="s">
        <v>186</v>
      </c>
      <c r="E323" s="14" t="s">
        <v>185</v>
      </c>
      <c r="F323" s="14" t="s">
        <v>150</v>
      </c>
      <c r="G323" s="14" t="s">
        <v>151</v>
      </c>
      <c r="H323" s="14">
        <v>75</v>
      </c>
      <c r="I323" s="14"/>
      <c r="J323" s="14"/>
      <c r="K323" s="140"/>
    </row>
    <row r="324" spans="1:11">
      <c r="A324" s="14">
        <f>IF(B324="","",COUNTA($B$4:B324))</f>
        <v>321</v>
      </c>
      <c r="B324" s="14" t="s">
        <v>1487</v>
      </c>
      <c r="C324" s="14" t="s">
        <v>174</v>
      </c>
      <c r="D324" s="14" t="s">
        <v>175</v>
      </c>
      <c r="E324" s="14" t="s">
        <v>176</v>
      </c>
      <c r="F324" s="14" t="s">
        <v>169</v>
      </c>
      <c r="G324" s="14" t="s">
        <v>170</v>
      </c>
      <c r="H324" s="14"/>
      <c r="I324" s="14"/>
      <c r="J324" s="14"/>
      <c r="K324" s="15"/>
    </row>
    <row r="325" spans="1:11">
      <c r="A325" s="14">
        <f>IF(B325="","",COUNTA($B$4:B325))</f>
        <v>322</v>
      </c>
      <c r="B325" s="14" t="s">
        <v>1489</v>
      </c>
      <c r="C325" s="14" t="s">
        <v>174</v>
      </c>
      <c r="D325" s="14" t="s">
        <v>175</v>
      </c>
      <c r="E325" s="14" t="s">
        <v>176</v>
      </c>
      <c r="F325" s="14" t="s">
        <v>169</v>
      </c>
      <c r="G325" s="14" t="s">
        <v>170</v>
      </c>
      <c r="H325" s="14"/>
      <c r="I325" s="14"/>
      <c r="J325" s="14"/>
      <c r="K325" s="15"/>
    </row>
    <row r="326" spans="1:11">
      <c r="A326" s="14">
        <f>IF(B326="","",COUNTA($B$4:B326))</f>
        <v>323</v>
      </c>
      <c r="B326" s="14" t="s">
        <v>1491</v>
      </c>
      <c r="C326" s="14" t="s">
        <v>174</v>
      </c>
      <c r="D326" s="14" t="s">
        <v>175</v>
      </c>
      <c r="E326" s="14" t="s">
        <v>176</v>
      </c>
      <c r="F326" s="14" t="s">
        <v>169</v>
      </c>
      <c r="G326" s="14" t="s">
        <v>170</v>
      </c>
      <c r="H326" s="14"/>
      <c r="I326" s="14"/>
      <c r="J326" s="14"/>
      <c r="K326" s="140"/>
    </row>
    <row r="327" spans="1:11">
      <c r="A327" s="14">
        <f>IF(B327="","",COUNTA($B$4:B327))</f>
        <v>324</v>
      </c>
      <c r="B327" s="14" t="s">
        <v>1492</v>
      </c>
      <c r="C327" s="14" t="s">
        <v>174</v>
      </c>
      <c r="D327" s="14" t="s">
        <v>175</v>
      </c>
      <c r="E327" s="14" t="s">
        <v>176</v>
      </c>
      <c r="F327" s="14" t="s">
        <v>169</v>
      </c>
      <c r="G327" s="14" t="s">
        <v>170</v>
      </c>
      <c r="H327" s="14"/>
      <c r="I327" s="14"/>
      <c r="J327" s="14"/>
      <c r="K327" s="15"/>
    </row>
    <row r="328" spans="1:11">
      <c r="A328" s="14">
        <f>IF(B328="","",COUNTA($B$4:B328))</f>
        <v>325</v>
      </c>
      <c r="B328" s="14" t="s">
        <v>1493</v>
      </c>
      <c r="C328" s="14" t="s">
        <v>174</v>
      </c>
      <c r="D328" s="14" t="s">
        <v>175</v>
      </c>
      <c r="E328" s="14" t="s">
        <v>176</v>
      </c>
      <c r="F328" s="14" t="s">
        <v>169</v>
      </c>
      <c r="G328" s="14" t="s">
        <v>170</v>
      </c>
      <c r="H328" s="14"/>
      <c r="I328" s="14"/>
      <c r="J328" s="14"/>
      <c r="K328" s="140"/>
    </row>
    <row r="329" spans="1:11">
      <c r="A329" s="14">
        <f>IF(B329="","",COUNTA($B$4:B329))</f>
        <v>326</v>
      </c>
      <c r="B329" s="14" t="s">
        <v>1494</v>
      </c>
      <c r="C329" s="14" t="s">
        <v>174</v>
      </c>
      <c r="D329" s="14" t="s">
        <v>175</v>
      </c>
      <c r="E329" s="14" t="s">
        <v>176</v>
      </c>
      <c r="F329" s="14" t="s">
        <v>169</v>
      </c>
      <c r="G329" s="14" t="s">
        <v>170</v>
      </c>
      <c r="H329" s="14"/>
      <c r="I329" s="14"/>
      <c r="J329" s="14"/>
      <c r="K329" s="15"/>
    </row>
    <row r="330" spans="1:11">
      <c r="A330" s="14">
        <f>IF(B330="","",COUNTA($B$4:B330))</f>
        <v>327</v>
      </c>
      <c r="B330" s="14" t="s">
        <v>1497</v>
      </c>
      <c r="C330" s="14" t="s">
        <v>174</v>
      </c>
      <c r="D330" s="14" t="s">
        <v>175</v>
      </c>
      <c r="E330" s="14" t="s">
        <v>176</v>
      </c>
      <c r="F330" s="14" t="s">
        <v>169</v>
      </c>
      <c r="G330" s="14" t="s">
        <v>170</v>
      </c>
      <c r="H330" s="14"/>
      <c r="I330" s="14"/>
      <c r="J330" s="14"/>
      <c r="K330" s="15"/>
    </row>
    <row r="331" spans="1:11">
      <c r="A331" s="14">
        <f>IF(B331="","",COUNTA($B$4:B331))</f>
        <v>328</v>
      </c>
      <c r="B331" s="14" t="s">
        <v>1590</v>
      </c>
      <c r="C331" s="14" t="s">
        <v>1591</v>
      </c>
      <c r="D331" s="14" t="s">
        <v>1433</v>
      </c>
      <c r="E331" s="14" t="s">
        <v>1591</v>
      </c>
      <c r="F331" s="14" t="s">
        <v>150</v>
      </c>
      <c r="G331" s="14" t="s">
        <v>151</v>
      </c>
      <c r="H331" s="14">
        <v>10</v>
      </c>
      <c r="I331" s="14"/>
      <c r="J331" s="15"/>
      <c r="K331" s="15"/>
    </row>
    <row r="332" spans="1:11">
      <c r="A332" s="14">
        <f>IF(B332="","",COUNTA($B$4:B332))</f>
        <v>329</v>
      </c>
      <c r="B332" s="14" t="s">
        <v>1487</v>
      </c>
      <c r="C332" s="14" t="s">
        <v>220</v>
      </c>
      <c r="D332" s="14" t="s">
        <v>221</v>
      </c>
      <c r="E332" s="14" t="s">
        <v>220</v>
      </c>
      <c r="F332" s="14" t="s">
        <v>155</v>
      </c>
      <c r="G332" s="14" t="s">
        <v>156</v>
      </c>
      <c r="H332" s="14">
        <v>5</v>
      </c>
      <c r="I332" s="14"/>
      <c r="J332" s="14"/>
      <c r="K332" s="15"/>
    </row>
    <row r="333" spans="1:11">
      <c r="A333" s="14">
        <f>IF(B333="","",COUNTA($B$4:B333))</f>
        <v>330</v>
      </c>
      <c r="B333" s="14" t="s">
        <v>1487</v>
      </c>
      <c r="C333" s="14" t="s">
        <v>178</v>
      </c>
      <c r="D333" s="14" t="s">
        <v>179</v>
      </c>
      <c r="E333" s="14" t="s">
        <v>178</v>
      </c>
      <c r="F333" s="14" t="s">
        <v>150</v>
      </c>
      <c r="G333" s="14" t="s">
        <v>151</v>
      </c>
      <c r="H333" s="14">
        <v>20</v>
      </c>
      <c r="I333" s="14"/>
      <c r="J333" s="14"/>
      <c r="K333" s="15"/>
    </row>
    <row r="334" spans="1:11">
      <c r="A334" s="14">
        <f>IF(B334="","",COUNTA($B$4:B334))</f>
        <v>331</v>
      </c>
      <c r="B334" s="14" t="s">
        <v>1489</v>
      </c>
      <c r="C334" s="14" t="s">
        <v>178</v>
      </c>
      <c r="D334" s="14" t="s">
        <v>179</v>
      </c>
      <c r="E334" s="14" t="s">
        <v>178</v>
      </c>
      <c r="F334" s="14" t="s">
        <v>150</v>
      </c>
      <c r="G334" s="14" t="s">
        <v>151</v>
      </c>
      <c r="H334" s="14">
        <v>20</v>
      </c>
      <c r="I334" s="14"/>
      <c r="J334" s="14"/>
      <c r="K334" s="15"/>
    </row>
    <row r="335" spans="1:11">
      <c r="A335" s="14">
        <f>IF(B335="","",COUNTA($B$4:B335))</f>
        <v>332</v>
      </c>
      <c r="B335" s="14" t="s">
        <v>1491</v>
      </c>
      <c r="C335" s="14" t="s">
        <v>178</v>
      </c>
      <c r="D335" s="14" t="s">
        <v>179</v>
      </c>
      <c r="E335" s="14" t="s">
        <v>178</v>
      </c>
      <c r="F335" s="14" t="s">
        <v>150</v>
      </c>
      <c r="G335" s="14" t="s">
        <v>151</v>
      </c>
      <c r="H335" s="14">
        <v>20</v>
      </c>
      <c r="I335" s="14"/>
      <c r="J335" s="14"/>
      <c r="K335" s="140"/>
    </row>
    <row r="336" spans="1:11">
      <c r="A336" s="14">
        <f>IF(B336="","",COUNTA($B$4:B336))</f>
        <v>333</v>
      </c>
      <c r="B336" s="14" t="s">
        <v>1492</v>
      </c>
      <c r="C336" s="14" t="s">
        <v>178</v>
      </c>
      <c r="D336" s="14" t="s">
        <v>179</v>
      </c>
      <c r="E336" s="14" t="s">
        <v>178</v>
      </c>
      <c r="F336" s="14" t="s">
        <v>150</v>
      </c>
      <c r="G336" s="14" t="s">
        <v>151</v>
      </c>
      <c r="H336" s="14">
        <v>20</v>
      </c>
      <c r="I336" s="14"/>
      <c r="J336" s="14"/>
      <c r="K336" s="15"/>
    </row>
    <row r="337" spans="1:11">
      <c r="A337" s="14">
        <f>IF(B337="","",COUNTA($B$4:B337))</f>
        <v>334</v>
      </c>
      <c r="B337" s="14" t="s">
        <v>1493</v>
      </c>
      <c r="C337" s="14" t="s">
        <v>178</v>
      </c>
      <c r="D337" s="14" t="s">
        <v>179</v>
      </c>
      <c r="E337" s="14" t="s">
        <v>178</v>
      </c>
      <c r="F337" s="14" t="s">
        <v>150</v>
      </c>
      <c r="G337" s="14" t="s">
        <v>151</v>
      </c>
      <c r="H337" s="14">
        <v>20</v>
      </c>
      <c r="I337" s="14"/>
      <c r="J337" s="14"/>
      <c r="K337" s="140"/>
    </row>
    <row r="338" spans="1:11">
      <c r="A338" s="14">
        <f>IF(B338="","",COUNTA($B$4:B338))</f>
        <v>335</v>
      </c>
      <c r="B338" s="14" t="s">
        <v>1494</v>
      </c>
      <c r="C338" s="14" t="s">
        <v>178</v>
      </c>
      <c r="D338" s="14" t="s">
        <v>179</v>
      </c>
      <c r="E338" s="14" t="s">
        <v>178</v>
      </c>
      <c r="F338" s="14" t="s">
        <v>150</v>
      </c>
      <c r="G338" s="14" t="s">
        <v>151</v>
      </c>
      <c r="H338" s="14">
        <v>20</v>
      </c>
      <c r="I338" s="14"/>
      <c r="J338" s="14"/>
      <c r="K338" s="140"/>
    </row>
    <row r="339" spans="1:11">
      <c r="A339" s="14">
        <f>IF(B339="","",COUNTA($B$4:B339))</f>
        <v>336</v>
      </c>
      <c r="B339" s="14" t="s">
        <v>1497</v>
      </c>
      <c r="C339" s="14" t="s">
        <v>178</v>
      </c>
      <c r="D339" s="14" t="s">
        <v>179</v>
      </c>
      <c r="E339" s="14" t="s">
        <v>178</v>
      </c>
      <c r="F339" s="14" t="s">
        <v>150</v>
      </c>
      <c r="G339" s="14" t="s">
        <v>151</v>
      </c>
      <c r="H339" s="14">
        <v>20</v>
      </c>
      <c r="I339" s="14"/>
      <c r="J339" s="14"/>
      <c r="K339" s="15"/>
    </row>
    <row r="340" spans="1:11">
      <c r="A340" s="14">
        <f>IF(B340="","",COUNTA($B$4:B340))</f>
        <v>337</v>
      </c>
      <c r="B340" s="14" t="s">
        <v>1498</v>
      </c>
      <c r="C340" s="14" t="s">
        <v>178</v>
      </c>
      <c r="D340" s="14" t="s">
        <v>179</v>
      </c>
      <c r="E340" s="14" t="s">
        <v>178</v>
      </c>
      <c r="F340" s="14" t="s">
        <v>150</v>
      </c>
      <c r="G340" s="14" t="s">
        <v>151</v>
      </c>
      <c r="H340" s="14">
        <v>20</v>
      </c>
      <c r="I340" s="14"/>
      <c r="J340" s="14"/>
      <c r="K340" s="15"/>
    </row>
    <row r="341" spans="1:11">
      <c r="A341" s="14">
        <f>IF(B341="","",COUNTA($B$4:B341))</f>
        <v>338</v>
      </c>
      <c r="B341" s="14" t="s">
        <v>1512</v>
      </c>
      <c r="C341" s="14" t="s">
        <v>403</v>
      </c>
      <c r="D341" s="14" t="s">
        <v>404</v>
      </c>
      <c r="E341" s="14" t="s">
        <v>403</v>
      </c>
      <c r="F341" s="14" t="s">
        <v>155</v>
      </c>
      <c r="G341" s="14" t="s">
        <v>156</v>
      </c>
      <c r="H341" s="14">
        <v>5</v>
      </c>
      <c r="I341" s="14">
        <v>1</v>
      </c>
      <c r="J341" s="14"/>
      <c r="K341" s="140"/>
    </row>
    <row r="342" spans="1:11">
      <c r="A342" s="14">
        <f>IF(B342="","",COUNTA($B$4:B342))</f>
        <v>339</v>
      </c>
      <c r="B342" s="14" t="s">
        <v>1487</v>
      </c>
      <c r="C342" s="14" t="s">
        <v>157</v>
      </c>
      <c r="D342" s="14" t="s">
        <v>158</v>
      </c>
      <c r="E342" s="14" t="s">
        <v>157</v>
      </c>
      <c r="F342" s="14" t="s">
        <v>150</v>
      </c>
      <c r="G342" s="14" t="s">
        <v>151</v>
      </c>
      <c r="H342" s="14">
        <v>10</v>
      </c>
      <c r="I342" s="14"/>
      <c r="J342" s="14"/>
      <c r="K342" s="15"/>
    </row>
    <row r="343" spans="1:11">
      <c r="A343" s="14">
        <f>IF(B343="","",COUNTA($B$4:B343))</f>
        <v>340</v>
      </c>
      <c r="B343" s="14" t="s">
        <v>1489</v>
      </c>
      <c r="C343" s="14" t="s">
        <v>157</v>
      </c>
      <c r="D343" s="14" t="s">
        <v>158</v>
      </c>
      <c r="E343" s="14" t="s">
        <v>157</v>
      </c>
      <c r="F343" s="14" t="s">
        <v>150</v>
      </c>
      <c r="G343" s="14" t="s">
        <v>151</v>
      </c>
      <c r="H343" s="14">
        <v>10</v>
      </c>
      <c r="I343" s="14"/>
      <c r="J343" s="14"/>
      <c r="K343" s="15"/>
    </row>
    <row r="344" spans="1:11">
      <c r="A344" s="14">
        <f>IF(B344="","",COUNTA($B$4:B344))</f>
        <v>341</v>
      </c>
      <c r="B344" s="14" t="s">
        <v>1491</v>
      </c>
      <c r="C344" s="14" t="s">
        <v>157</v>
      </c>
      <c r="D344" s="14" t="s">
        <v>158</v>
      </c>
      <c r="E344" s="14" t="s">
        <v>157</v>
      </c>
      <c r="F344" s="14" t="s">
        <v>150</v>
      </c>
      <c r="G344" s="14" t="s">
        <v>151</v>
      </c>
      <c r="H344" s="14">
        <v>10</v>
      </c>
      <c r="I344" s="14"/>
      <c r="J344" s="14"/>
      <c r="K344" s="15"/>
    </row>
    <row r="345" spans="1:11">
      <c r="A345" s="14">
        <f>IF(B345="","",COUNTA($B$4:B345))</f>
        <v>342</v>
      </c>
      <c r="B345" s="14" t="s">
        <v>1492</v>
      </c>
      <c r="C345" s="14" t="s">
        <v>157</v>
      </c>
      <c r="D345" s="14" t="s">
        <v>158</v>
      </c>
      <c r="E345" s="14" t="s">
        <v>157</v>
      </c>
      <c r="F345" s="14" t="s">
        <v>150</v>
      </c>
      <c r="G345" s="14" t="s">
        <v>151</v>
      </c>
      <c r="H345" s="14">
        <v>10</v>
      </c>
      <c r="I345" s="14"/>
      <c r="J345" s="14"/>
      <c r="K345" s="15"/>
    </row>
    <row r="346" spans="1:11">
      <c r="A346" s="14">
        <f>IF(B346="","",COUNTA($B$4:B346))</f>
        <v>343</v>
      </c>
      <c r="B346" s="14" t="s">
        <v>1493</v>
      </c>
      <c r="C346" s="14" t="s">
        <v>157</v>
      </c>
      <c r="D346" s="14" t="s">
        <v>158</v>
      </c>
      <c r="E346" s="14" t="s">
        <v>157</v>
      </c>
      <c r="F346" s="14" t="s">
        <v>150</v>
      </c>
      <c r="G346" s="14" t="s">
        <v>151</v>
      </c>
      <c r="H346" s="14">
        <v>10</v>
      </c>
      <c r="I346" s="14"/>
      <c r="J346" s="14"/>
      <c r="K346" s="15"/>
    </row>
    <row r="347" spans="1:11">
      <c r="A347" s="14">
        <f>IF(B347="","",COUNTA($B$4:B347))</f>
        <v>344</v>
      </c>
      <c r="B347" s="14" t="s">
        <v>1494</v>
      </c>
      <c r="C347" s="14" t="s">
        <v>157</v>
      </c>
      <c r="D347" s="14" t="s">
        <v>158</v>
      </c>
      <c r="E347" s="14" t="s">
        <v>157</v>
      </c>
      <c r="F347" s="14" t="s">
        <v>150</v>
      </c>
      <c r="G347" s="14" t="s">
        <v>151</v>
      </c>
      <c r="H347" s="14">
        <v>10</v>
      </c>
      <c r="I347" s="14"/>
      <c r="J347" s="14"/>
      <c r="K347" s="140"/>
    </row>
    <row r="348" spans="1:11">
      <c r="A348" s="14">
        <f>IF(B348="","",COUNTA($B$4:B348))</f>
        <v>345</v>
      </c>
      <c r="B348" s="14" t="s">
        <v>1497</v>
      </c>
      <c r="C348" s="14" t="s">
        <v>157</v>
      </c>
      <c r="D348" s="14" t="s">
        <v>158</v>
      </c>
      <c r="E348" s="14" t="s">
        <v>157</v>
      </c>
      <c r="F348" s="14" t="s">
        <v>150</v>
      </c>
      <c r="G348" s="14" t="s">
        <v>151</v>
      </c>
      <c r="H348" s="14">
        <v>10</v>
      </c>
      <c r="I348" s="14"/>
      <c r="J348" s="14"/>
      <c r="K348" s="15"/>
    </row>
    <row r="349" spans="1:11">
      <c r="A349" s="14">
        <f>IF(B349="","",COUNTA($B$4:B349))</f>
        <v>346</v>
      </c>
      <c r="B349" s="14" t="s">
        <v>1498</v>
      </c>
      <c r="C349" s="14" t="s">
        <v>157</v>
      </c>
      <c r="D349" s="14" t="s">
        <v>158</v>
      </c>
      <c r="E349" s="14" t="s">
        <v>157</v>
      </c>
      <c r="F349" s="14" t="s">
        <v>150</v>
      </c>
      <c r="G349" s="14" t="s">
        <v>151</v>
      </c>
      <c r="H349" s="14">
        <v>10</v>
      </c>
      <c r="I349" s="14"/>
      <c r="J349" s="14"/>
      <c r="K349" s="140"/>
    </row>
    <row r="350" spans="1:11">
      <c r="A350" s="14">
        <f>IF(B350="","",COUNTA($B$4:B350))</f>
        <v>347</v>
      </c>
      <c r="B350" s="14" t="s">
        <v>1487</v>
      </c>
      <c r="C350" s="14" t="s">
        <v>148</v>
      </c>
      <c r="D350" s="14" t="s">
        <v>149</v>
      </c>
      <c r="E350" s="14" t="s">
        <v>148</v>
      </c>
      <c r="F350" s="14" t="s">
        <v>150</v>
      </c>
      <c r="G350" s="14" t="s">
        <v>151</v>
      </c>
      <c r="H350" s="14">
        <v>15</v>
      </c>
      <c r="I350" s="14"/>
      <c r="J350" s="14"/>
      <c r="K350" s="140"/>
    </row>
    <row r="351" spans="1:11">
      <c r="A351" s="14">
        <f>IF(B351="","",COUNTA($B$4:B351))</f>
        <v>348</v>
      </c>
      <c r="B351" s="14" t="s">
        <v>1489</v>
      </c>
      <c r="C351" s="14" t="s">
        <v>148</v>
      </c>
      <c r="D351" s="14" t="s">
        <v>149</v>
      </c>
      <c r="E351" s="14" t="s">
        <v>148</v>
      </c>
      <c r="F351" s="14" t="s">
        <v>150</v>
      </c>
      <c r="G351" s="14" t="s">
        <v>151</v>
      </c>
      <c r="H351" s="14">
        <v>15</v>
      </c>
      <c r="I351" s="14"/>
      <c r="J351" s="14"/>
      <c r="K351" s="140"/>
    </row>
    <row r="352" spans="1:11">
      <c r="A352" s="14">
        <f>IF(B352="","",COUNTA($B$4:B352))</f>
        <v>349</v>
      </c>
      <c r="B352" s="14" t="s">
        <v>1491</v>
      </c>
      <c r="C352" s="14" t="s">
        <v>148</v>
      </c>
      <c r="D352" s="14" t="s">
        <v>149</v>
      </c>
      <c r="E352" s="14" t="s">
        <v>148</v>
      </c>
      <c r="F352" s="14" t="s">
        <v>150</v>
      </c>
      <c r="G352" s="14" t="s">
        <v>151</v>
      </c>
      <c r="H352" s="14">
        <v>15</v>
      </c>
      <c r="I352" s="14"/>
      <c r="J352" s="14"/>
      <c r="K352" s="140"/>
    </row>
    <row r="353" spans="1:11">
      <c r="A353" s="14">
        <f>IF(B353="","",COUNTA($B$4:B353))</f>
        <v>350</v>
      </c>
      <c r="B353" s="14" t="s">
        <v>1492</v>
      </c>
      <c r="C353" s="14" t="s">
        <v>148</v>
      </c>
      <c r="D353" s="14" t="s">
        <v>149</v>
      </c>
      <c r="E353" s="14" t="s">
        <v>148</v>
      </c>
      <c r="F353" s="14" t="s">
        <v>150</v>
      </c>
      <c r="G353" s="14" t="s">
        <v>151</v>
      </c>
      <c r="H353" s="14">
        <v>15</v>
      </c>
      <c r="I353" s="14"/>
      <c r="J353" s="14"/>
      <c r="K353" s="15"/>
    </row>
    <row r="354" spans="1:11">
      <c r="A354" s="14">
        <f>IF(B354="","",COUNTA($B$4:B354))</f>
        <v>351</v>
      </c>
      <c r="B354" s="14" t="s">
        <v>1493</v>
      </c>
      <c r="C354" s="14" t="s">
        <v>148</v>
      </c>
      <c r="D354" s="14" t="s">
        <v>149</v>
      </c>
      <c r="E354" s="14" t="s">
        <v>148</v>
      </c>
      <c r="F354" s="14" t="s">
        <v>150</v>
      </c>
      <c r="G354" s="14" t="s">
        <v>151</v>
      </c>
      <c r="H354" s="14">
        <v>15</v>
      </c>
      <c r="I354" s="14"/>
      <c r="J354" s="14"/>
      <c r="K354" s="140"/>
    </row>
    <row r="355" spans="1:11">
      <c r="A355" s="14">
        <f>IF(B355="","",COUNTA($B$4:B355))</f>
        <v>352</v>
      </c>
      <c r="B355" s="14" t="s">
        <v>1494</v>
      </c>
      <c r="C355" s="14" t="s">
        <v>148</v>
      </c>
      <c r="D355" s="14" t="s">
        <v>149</v>
      </c>
      <c r="E355" s="14" t="s">
        <v>148</v>
      </c>
      <c r="F355" s="14" t="s">
        <v>150</v>
      </c>
      <c r="G355" s="14" t="s">
        <v>151</v>
      </c>
      <c r="H355" s="14">
        <v>15</v>
      </c>
      <c r="I355" s="14"/>
      <c r="J355" s="14"/>
      <c r="K355" s="15"/>
    </row>
    <row r="356" spans="1:11">
      <c r="A356" s="14">
        <f>IF(B356="","",COUNTA($B$4:B356))</f>
        <v>353</v>
      </c>
      <c r="B356" s="14" t="s">
        <v>1497</v>
      </c>
      <c r="C356" s="14" t="s">
        <v>148</v>
      </c>
      <c r="D356" s="14" t="s">
        <v>149</v>
      </c>
      <c r="E356" s="14" t="s">
        <v>148</v>
      </c>
      <c r="F356" s="14" t="s">
        <v>150</v>
      </c>
      <c r="G356" s="14" t="s">
        <v>151</v>
      </c>
      <c r="H356" s="14">
        <v>15</v>
      </c>
      <c r="I356" s="14"/>
      <c r="J356" s="14"/>
      <c r="K356" s="15"/>
    </row>
    <row r="357" spans="1:11">
      <c r="A357" s="14">
        <f>IF(B357="","",COUNTA($B$4:B357))</f>
        <v>354</v>
      </c>
      <c r="B357" s="14" t="s">
        <v>1498</v>
      </c>
      <c r="C357" s="14" t="s">
        <v>148</v>
      </c>
      <c r="D357" s="14" t="s">
        <v>149</v>
      </c>
      <c r="E357" s="14" t="s">
        <v>148</v>
      </c>
      <c r="F357" s="14" t="s">
        <v>150</v>
      </c>
      <c r="G357" s="14" t="s">
        <v>151</v>
      </c>
      <c r="H357" s="14">
        <v>15</v>
      </c>
      <c r="I357" s="14"/>
      <c r="J357" s="14"/>
      <c r="K357" s="140"/>
    </row>
    <row r="358" spans="1:11">
      <c r="A358" s="14">
        <f>IF(B358="","",COUNTA($B$4:B358))</f>
        <v>355</v>
      </c>
      <c r="B358" s="14" t="s">
        <v>1502</v>
      </c>
      <c r="C358" s="14" t="s">
        <v>148</v>
      </c>
      <c r="D358" s="14" t="s">
        <v>149</v>
      </c>
      <c r="E358" s="14" t="s">
        <v>148</v>
      </c>
      <c r="F358" s="14" t="s">
        <v>150</v>
      </c>
      <c r="G358" s="14" t="s">
        <v>151</v>
      </c>
      <c r="H358" s="14">
        <v>15</v>
      </c>
      <c r="I358" s="14"/>
      <c r="J358" s="14"/>
      <c r="K358" s="15"/>
    </row>
    <row r="359" spans="1:11">
      <c r="A359" s="14">
        <f>IF(B359="","",COUNTA($B$4:B359))</f>
        <v>356</v>
      </c>
      <c r="B359" s="14" t="s">
        <v>1512</v>
      </c>
      <c r="C359" s="14" t="s">
        <v>148</v>
      </c>
      <c r="D359" s="14" t="s">
        <v>149</v>
      </c>
      <c r="E359" s="14" t="s">
        <v>148</v>
      </c>
      <c r="F359" s="14" t="s">
        <v>150</v>
      </c>
      <c r="G359" s="14" t="s">
        <v>151</v>
      </c>
      <c r="H359" s="14">
        <v>15</v>
      </c>
      <c r="I359" s="14"/>
      <c r="J359" s="14"/>
      <c r="K359" s="140"/>
    </row>
    <row r="360" spans="1:11">
      <c r="A360" s="14">
        <f>IF(B360="","",COUNTA($B$4:B360))</f>
        <v>357</v>
      </c>
      <c r="B360" s="14" t="s">
        <v>1513</v>
      </c>
      <c r="C360" s="14" t="s">
        <v>148</v>
      </c>
      <c r="D360" s="14" t="s">
        <v>149</v>
      </c>
      <c r="E360" s="14" t="s">
        <v>148</v>
      </c>
      <c r="F360" s="14" t="s">
        <v>150</v>
      </c>
      <c r="G360" s="14" t="s">
        <v>151</v>
      </c>
      <c r="H360" s="14">
        <v>15</v>
      </c>
      <c r="I360" s="14"/>
      <c r="J360" s="14"/>
      <c r="K360" s="15"/>
    </row>
    <row r="361" spans="1:11">
      <c r="A361" s="14">
        <f>IF(B361="","",COUNTA($B$4:B361))</f>
        <v>358</v>
      </c>
      <c r="B361" s="14" t="s">
        <v>1514</v>
      </c>
      <c r="C361" s="14" t="s">
        <v>148</v>
      </c>
      <c r="D361" s="14" t="s">
        <v>149</v>
      </c>
      <c r="E361" s="14" t="s">
        <v>148</v>
      </c>
      <c r="F361" s="14" t="s">
        <v>150</v>
      </c>
      <c r="G361" s="14" t="s">
        <v>151</v>
      </c>
      <c r="H361" s="14">
        <v>15</v>
      </c>
      <c r="I361" s="14"/>
      <c r="J361" s="14"/>
      <c r="K361" s="140"/>
    </row>
    <row r="362" spans="1:11">
      <c r="A362" s="14">
        <f>IF(B362="","",COUNTA($B$4:B362))</f>
        <v>359</v>
      </c>
      <c r="B362" s="14" t="s">
        <v>1515</v>
      </c>
      <c r="C362" s="14" t="s">
        <v>148</v>
      </c>
      <c r="D362" s="14" t="s">
        <v>149</v>
      </c>
      <c r="E362" s="14" t="s">
        <v>148</v>
      </c>
      <c r="F362" s="14" t="s">
        <v>150</v>
      </c>
      <c r="G362" s="14" t="s">
        <v>151</v>
      </c>
      <c r="H362" s="14">
        <v>15</v>
      </c>
      <c r="I362" s="14"/>
      <c r="J362" s="14"/>
      <c r="K362" s="140"/>
    </row>
    <row r="363" spans="1:11">
      <c r="A363" s="14">
        <f>IF(B363="","",COUNTA($B$4:B363))</f>
        <v>360</v>
      </c>
      <c r="B363" s="14" t="s">
        <v>1516</v>
      </c>
      <c r="C363" s="14" t="s">
        <v>148</v>
      </c>
      <c r="D363" s="14" t="s">
        <v>149</v>
      </c>
      <c r="E363" s="14" t="s">
        <v>148</v>
      </c>
      <c r="F363" s="14" t="s">
        <v>150</v>
      </c>
      <c r="G363" s="14" t="s">
        <v>151</v>
      </c>
      <c r="H363" s="14">
        <v>15</v>
      </c>
      <c r="I363" s="14"/>
      <c r="J363" s="14"/>
      <c r="K363" s="15"/>
    </row>
    <row r="364" spans="1:11">
      <c r="A364" s="14">
        <f>IF(B364="","",COUNTA($B$4:B364))</f>
        <v>361</v>
      </c>
      <c r="B364" s="14" t="s">
        <v>1523</v>
      </c>
      <c r="C364" s="14" t="s">
        <v>148</v>
      </c>
      <c r="D364" s="14" t="s">
        <v>149</v>
      </c>
      <c r="E364" s="14" t="s">
        <v>148</v>
      </c>
      <c r="F364" s="14" t="s">
        <v>150</v>
      </c>
      <c r="G364" s="14" t="s">
        <v>151</v>
      </c>
      <c r="H364" s="14">
        <v>15</v>
      </c>
      <c r="I364" s="14"/>
      <c r="J364" s="15"/>
      <c r="K364" s="15"/>
    </row>
    <row r="365" spans="1:11">
      <c r="A365" s="14">
        <f>IF(B365="","",COUNTA($B$4:B365))</f>
        <v>362</v>
      </c>
      <c r="B365" s="14" t="s">
        <v>1485</v>
      </c>
      <c r="C365" s="14" t="s">
        <v>148</v>
      </c>
      <c r="D365" s="14" t="s">
        <v>149</v>
      </c>
      <c r="E365" s="14" t="s">
        <v>148</v>
      </c>
      <c r="F365" s="14" t="s">
        <v>150</v>
      </c>
      <c r="G365" s="14" t="s">
        <v>151</v>
      </c>
      <c r="H365" s="14">
        <v>15</v>
      </c>
      <c r="I365" s="14"/>
      <c r="J365" s="15"/>
      <c r="K365" s="15"/>
    </row>
    <row r="366" spans="1:11">
      <c r="A366" s="14">
        <f>IF(B366="","",COUNTA($B$4:B366))</f>
        <v>363</v>
      </c>
      <c r="B366" s="14" t="s">
        <v>1525</v>
      </c>
      <c r="C366" s="14" t="s">
        <v>148</v>
      </c>
      <c r="D366" s="14" t="s">
        <v>149</v>
      </c>
      <c r="E366" s="14" t="s">
        <v>148</v>
      </c>
      <c r="F366" s="14" t="s">
        <v>150</v>
      </c>
      <c r="G366" s="14" t="s">
        <v>151</v>
      </c>
      <c r="H366" s="14">
        <v>15</v>
      </c>
      <c r="I366" s="14"/>
      <c r="J366" s="15"/>
      <c r="K366" s="15"/>
    </row>
    <row r="367" spans="1:11">
      <c r="A367" s="14">
        <f>IF(B367="","",COUNTA($B$4:B367))</f>
        <v>364</v>
      </c>
      <c r="B367" s="14" t="s">
        <v>1526</v>
      </c>
      <c r="C367" s="14" t="s">
        <v>148</v>
      </c>
      <c r="D367" s="14" t="s">
        <v>149</v>
      </c>
      <c r="E367" s="14" t="s">
        <v>148</v>
      </c>
      <c r="F367" s="14" t="s">
        <v>150</v>
      </c>
      <c r="G367" s="14" t="s">
        <v>151</v>
      </c>
      <c r="H367" s="14">
        <v>15</v>
      </c>
      <c r="I367" s="14"/>
      <c r="J367" s="15"/>
      <c r="K367" s="15"/>
    </row>
    <row r="368" spans="1:11">
      <c r="A368" s="14">
        <f>IF(B368="","",COUNTA($B$4:B368))</f>
        <v>365</v>
      </c>
      <c r="B368" s="14" t="s">
        <v>1531</v>
      </c>
      <c r="C368" s="14" t="s">
        <v>148</v>
      </c>
      <c r="D368" s="14" t="s">
        <v>149</v>
      </c>
      <c r="E368" s="14" t="s">
        <v>148</v>
      </c>
      <c r="F368" s="14" t="s">
        <v>150</v>
      </c>
      <c r="G368" s="14" t="s">
        <v>151</v>
      </c>
      <c r="H368" s="14">
        <v>15</v>
      </c>
      <c r="I368" s="14"/>
      <c r="J368" s="15"/>
      <c r="K368" s="140"/>
    </row>
    <row r="369" spans="1:11">
      <c r="A369" s="14">
        <f>IF(B369="","",COUNTA($B$4:B369))</f>
        <v>366</v>
      </c>
      <c r="B369" s="14" t="s">
        <v>1525</v>
      </c>
      <c r="C369" s="14" t="s">
        <v>1572</v>
      </c>
      <c r="D369" s="14" t="s">
        <v>1455</v>
      </c>
      <c r="E369" s="14" t="s">
        <v>1572</v>
      </c>
      <c r="F369" s="14" t="s">
        <v>155</v>
      </c>
      <c r="G369" s="14" t="s">
        <v>156</v>
      </c>
      <c r="H369" s="14">
        <v>5</v>
      </c>
      <c r="I369" s="14"/>
      <c r="J369" s="15"/>
      <c r="K369" s="15"/>
    </row>
    <row r="370" spans="1:11">
      <c r="A370" s="14">
        <f>IF(B370="","",COUNTA($B$4:B370))</f>
        <v>367</v>
      </c>
      <c r="B370" s="14" t="s">
        <v>1526</v>
      </c>
      <c r="C370" s="14" t="s">
        <v>1572</v>
      </c>
      <c r="D370" s="14" t="s">
        <v>1455</v>
      </c>
      <c r="E370" s="14" t="s">
        <v>1572</v>
      </c>
      <c r="F370" s="14" t="s">
        <v>155</v>
      </c>
      <c r="G370" s="14" t="s">
        <v>156</v>
      </c>
      <c r="H370" s="14">
        <v>5</v>
      </c>
      <c r="I370" s="14"/>
      <c r="J370" s="15"/>
      <c r="K370" s="140"/>
    </row>
    <row r="371" spans="1:11">
      <c r="A371" s="14">
        <f>IF(B371="","",COUNTA($B$4:B371))</f>
        <v>368</v>
      </c>
      <c r="B371" s="14" t="s">
        <v>1497</v>
      </c>
      <c r="C371" s="14" t="s">
        <v>1454</v>
      </c>
      <c r="D371" s="14" t="s">
        <v>1455</v>
      </c>
      <c r="E371" s="14" t="s">
        <v>1454</v>
      </c>
      <c r="F371" s="14" t="s">
        <v>155</v>
      </c>
      <c r="G371" s="14" t="s">
        <v>156</v>
      </c>
      <c r="H371" s="14">
        <v>3</v>
      </c>
      <c r="I371" s="14" t="s">
        <v>244</v>
      </c>
      <c r="J371" s="14"/>
      <c r="K371" s="15"/>
    </row>
    <row r="372" spans="1:11">
      <c r="A372" s="14">
        <f>IF(B372="","",COUNTA($B$4:B372))</f>
        <v>369</v>
      </c>
      <c r="B372" s="14" t="s">
        <v>1489</v>
      </c>
      <c r="C372" s="14" t="s">
        <v>270</v>
      </c>
      <c r="D372" s="14" t="s">
        <v>271</v>
      </c>
      <c r="E372" s="14" t="s">
        <v>270</v>
      </c>
      <c r="F372" s="14" t="s">
        <v>150</v>
      </c>
      <c r="G372" s="14" t="s">
        <v>151</v>
      </c>
      <c r="H372" s="14">
        <v>1000</v>
      </c>
      <c r="I372" s="14"/>
      <c r="J372" s="14"/>
      <c r="K372" s="15"/>
    </row>
    <row r="373" spans="1:11">
      <c r="A373" s="14">
        <f>IF(B373="","",COUNTA($B$4:B373))</f>
        <v>370</v>
      </c>
      <c r="B373" s="14" t="s">
        <v>1497</v>
      </c>
      <c r="C373" s="14" t="s">
        <v>312</v>
      </c>
      <c r="D373" s="14" t="s">
        <v>313</v>
      </c>
      <c r="E373" s="14" t="s">
        <v>312</v>
      </c>
      <c r="F373" s="14" t="s">
        <v>169</v>
      </c>
      <c r="G373" s="14" t="s">
        <v>170</v>
      </c>
      <c r="H373" s="14"/>
      <c r="I373" s="14"/>
      <c r="J373" s="14"/>
      <c r="K373" s="15"/>
    </row>
    <row r="374" spans="1:11">
      <c r="A374" s="14">
        <f>IF(B374="","",COUNTA($B$4:B374))</f>
        <v>371</v>
      </c>
      <c r="B374" s="14" t="s">
        <v>1594</v>
      </c>
      <c r="C374" s="14" t="s">
        <v>1595</v>
      </c>
      <c r="D374" s="14" t="s">
        <v>1596</v>
      </c>
      <c r="E374" s="14" t="s">
        <v>1595</v>
      </c>
      <c r="F374" s="14" t="s">
        <v>150</v>
      </c>
      <c r="G374" s="14" t="s">
        <v>151</v>
      </c>
      <c r="H374" s="14">
        <v>4</v>
      </c>
      <c r="I374" s="14"/>
      <c r="J374" s="15"/>
      <c r="K374" s="15"/>
    </row>
    <row r="375" spans="1:11">
      <c r="A375" s="14">
        <f>IF(B375="","",COUNTA($B$4:B375))</f>
        <v>372</v>
      </c>
      <c r="B375" s="14" t="s">
        <v>1534</v>
      </c>
      <c r="C375" s="14" t="s">
        <v>472</v>
      </c>
      <c r="D375" s="14" t="s">
        <v>473</v>
      </c>
      <c r="E375" s="14" t="s">
        <v>472</v>
      </c>
      <c r="F375" s="14" t="s">
        <v>150</v>
      </c>
      <c r="G375" s="14" t="s">
        <v>151</v>
      </c>
      <c r="H375" s="14">
        <v>1</v>
      </c>
      <c r="I375" s="14"/>
      <c r="J375" s="15"/>
      <c r="K375" s="140"/>
    </row>
    <row r="376" spans="1:11">
      <c r="A376" s="14">
        <f>IF(B376="","",COUNTA($B$4:B376))</f>
        <v>373</v>
      </c>
      <c r="B376" s="14" t="s">
        <v>1498</v>
      </c>
      <c r="C376" s="14" t="s">
        <v>362</v>
      </c>
      <c r="D376" s="14" t="s">
        <v>363</v>
      </c>
      <c r="E376" s="14" t="s">
        <v>362</v>
      </c>
      <c r="F376" s="14" t="s">
        <v>155</v>
      </c>
      <c r="G376" s="14" t="s">
        <v>156</v>
      </c>
      <c r="H376" s="14">
        <v>3</v>
      </c>
      <c r="I376" s="14"/>
      <c r="J376" s="14"/>
      <c r="K376" s="140"/>
    </row>
    <row r="377" spans="1:11">
      <c r="A377" s="14">
        <f>IF(B377="","",COUNTA($B$4:B377))</f>
        <v>374</v>
      </c>
      <c r="B377" s="14" t="s">
        <v>1526</v>
      </c>
      <c r="C377" s="14" t="s">
        <v>1528</v>
      </c>
      <c r="D377" s="14" t="s">
        <v>346</v>
      </c>
      <c r="E377" s="14" t="s">
        <v>1528</v>
      </c>
      <c r="F377" s="14" t="s">
        <v>150</v>
      </c>
      <c r="G377" s="14" t="s">
        <v>151</v>
      </c>
      <c r="H377" s="14">
        <v>15</v>
      </c>
      <c r="I377" s="14"/>
      <c r="J377" s="15"/>
      <c r="K377" s="140"/>
    </row>
    <row r="378" spans="1:11">
      <c r="A378" s="14">
        <f>IF(B378="","",COUNTA($B$4:B378))</f>
        <v>375</v>
      </c>
      <c r="B378" s="14" t="s">
        <v>1531</v>
      </c>
      <c r="C378" s="14" t="s">
        <v>1528</v>
      </c>
      <c r="D378" s="14" t="s">
        <v>346</v>
      </c>
      <c r="E378" s="14" t="s">
        <v>1528</v>
      </c>
      <c r="F378" s="14" t="s">
        <v>150</v>
      </c>
      <c r="G378" s="14" t="s">
        <v>151</v>
      </c>
      <c r="H378" s="14">
        <v>15</v>
      </c>
      <c r="I378" s="14"/>
      <c r="J378" s="15"/>
      <c r="K378" s="15"/>
    </row>
    <row r="379" spans="1:11">
      <c r="A379" s="14">
        <f>IF(B379="","",COUNTA($B$4:B379))</f>
        <v>376</v>
      </c>
      <c r="B379" s="14" t="s">
        <v>1526</v>
      </c>
      <c r="C379" s="14" t="s">
        <v>1529</v>
      </c>
      <c r="D379" s="14" t="s">
        <v>448</v>
      </c>
      <c r="E379" s="14" t="s">
        <v>1529</v>
      </c>
      <c r="F379" s="14" t="s">
        <v>155</v>
      </c>
      <c r="G379" s="14" t="s">
        <v>156</v>
      </c>
      <c r="H379" s="14">
        <v>1</v>
      </c>
      <c r="I379" s="14"/>
      <c r="J379" s="15" t="s">
        <v>1490</v>
      </c>
      <c r="K379" s="15"/>
    </row>
    <row r="380" spans="1:11">
      <c r="A380" s="14">
        <f>IF(B380="","",COUNTA($B$4:B380))</f>
        <v>377</v>
      </c>
      <c r="B380" s="14" t="s">
        <v>1493</v>
      </c>
      <c r="C380" s="14" t="s">
        <v>664</v>
      </c>
      <c r="D380" s="14" t="s">
        <v>1458</v>
      </c>
      <c r="E380" s="14" t="s">
        <v>664</v>
      </c>
      <c r="F380" s="14" t="s">
        <v>150</v>
      </c>
      <c r="G380" s="14" t="s">
        <v>151</v>
      </c>
      <c r="H380" s="14">
        <v>30</v>
      </c>
      <c r="I380" s="14"/>
      <c r="J380" s="14"/>
      <c r="K380" s="15"/>
    </row>
    <row r="381" spans="1:11">
      <c r="A381" s="14">
        <f>IF(B381="","",COUNTA($B$4:B381))</f>
        <v>378</v>
      </c>
      <c r="B381" s="14" t="s">
        <v>1498</v>
      </c>
      <c r="C381" s="14" t="s">
        <v>664</v>
      </c>
      <c r="D381" s="14" t="s">
        <v>1458</v>
      </c>
      <c r="E381" s="14" t="s">
        <v>664</v>
      </c>
      <c r="F381" s="14" t="s">
        <v>150</v>
      </c>
      <c r="G381" s="14" t="s">
        <v>151</v>
      </c>
      <c r="H381" s="14">
        <v>4</v>
      </c>
      <c r="I381" s="14"/>
      <c r="J381" s="14"/>
      <c r="K381" s="15"/>
    </row>
    <row r="382" spans="1:11">
      <c r="A382" s="14">
        <f>IF(B382="","",COUNTA($B$4:B382))</f>
        <v>379</v>
      </c>
      <c r="B382" s="14" t="s">
        <v>1487</v>
      </c>
      <c r="C382" s="14" t="s">
        <v>197</v>
      </c>
      <c r="D382" s="14" t="s">
        <v>198</v>
      </c>
      <c r="E382" s="14" t="s">
        <v>197</v>
      </c>
      <c r="F382" s="14" t="s">
        <v>150</v>
      </c>
      <c r="G382" s="14" t="s">
        <v>151</v>
      </c>
      <c r="H382" s="14">
        <v>5</v>
      </c>
      <c r="I382" s="14"/>
      <c r="J382" s="14"/>
      <c r="K382" s="140"/>
    </row>
    <row r="383" spans="1:11">
      <c r="A383" s="14">
        <f>IF(B383="","",COUNTA($B$4:B383))</f>
        <v>380</v>
      </c>
      <c r="B383" s="14" t="s">
        <v>1489</v>
      </c>
      <c r="C383" s="14" t="s">
        <v>197</v>
      </c>
      <c r="D383" s="14" t="s">
        <v>198</v>
      </c>
      <c r="E383" s="14" t="s">
        <v>197</v>
      </c>
      <c r="F383" s="14" t="s">
        <v>150</v>
      </c>
      <c r="G383" s="14" t="s">
        <v>151</v>
      </c>
      <c r="H383" s="14">
        <v>5</v>
      </c>
      <c r="I383" s="14"/>
      <c r="J383" s="14"/>
      <c r="K383" s="140"/>
    </row>
    <row r="384" spans="1:11">
      <c r="A384" s="14">
        <f>IF(B384="","",COUNTA($B$4:B384))</f>
        <v>381</v>
      </c>
      <c r="B384" s="14" t="s">
        <v>1491</v>
      </c>
      <c r="C384" s="14" t="s">
        <v>197</v>
      </c>
      <c r="D384" s="14" t="s">
        <v>198</v>
      </c>
      <c r="E384" s="14" t="s">
        <v>197</v>
      </c>
      <c r="F384" s="14" t="s">
        <v>150</v>
      </c>
      <c r="G384" s="14" t="s">
        <v>151</v>
      </c>
      <c r="H384" s="14">
        <v>25</v>
      </c>
      <c r="I384" s="14"/>
      <c r="J384" s="14"/>
      <c r="K384" s="140"/>
    </row>
    <row r="385" spans="1:11">
      <c r="A385" s="14">
        <f>IF(B385="","",COUNTA($B$4:B385))</f>
        <v>382</v>
      </c>
      <c r="B385" s="14" t="s">
        <v>1492</v>
      </c>
      <c r="C385" s="14" t="s">
        <v>197</v>
      </c>
      <c r="D385" s="14" t="s">
        <v>198</v>
      </c>
      <c r="E385" s="14" t="s">
        <v>197</v>
      </c>
      <c r="F385" s="14" t="s">
        <v>150</v>
      </c>
      <c r="G385" s="14" t="s">
        <v>151</v>
      </c>
      <c r="H385" s="14">
        <v>5</v>
      </c>
      <c r="I385" s="14"/>
      <c r="J385" s="14"/>
      <c r="K385" s="15"/>
    </row>
    <row r="386" spans="1:11">
      <c r="A386" s="14">
        <f>IF(B386="","",COUNTA($B$4:B386))</f>
        <v>383</v>
      </c>
      <c r="B386" s="14" t="s">
        <v>1493</v>
      </c>
      <c r="C386" s="14" t="s">
        <v>197</v>
      </c>
      <c r="D386" s="14" t="s">
        <v>198</v>
      </c>
      <c r="E386" s="14" t="s">
        <v>197</v>
      </c>
      <c r="F386" s="14" t="s">
        <v>150</v>
      </c>
      <c r="G386" s="14" t="s">
        <v>151</v>
      </c>
      <c r="H386" s="14">
        <v>5</v>
      </c>
      <c r="I386" s="14"/>
      <c r="J386" s="14"/>
      <c r="K386" s="15"/>
    </row>
    <row r="387" spans="1:11">
      <c r="A387" s="14">
        <f>IF(B387="","",COUNTA($B$4:B387))</f>
        <v>384</v>
      </c>
      <c r="B387" s="14" t="s">
        <v>1494</v>
      </c>
      <c r="C387" s="14" t="s">
        <v>197</v>
      </c>
      <c r="D387" s="14" t="s">
        <v>198</v>
      </c>
      <c r="E387" s="14" t="s">
        <v>197</v>
      </c>
      <c r="F387" s="14" t="s">
        <v>150</v>
      </c>
      <c r="G387" s="14" t="s">
        <v>151</v>
      </c>
      <c r="H387" s="14">
        <v>5</v>
      </c>
      <c r="I387" s="14"/>
      <c r="J387" s="14"/>
      <c r="K387" s="15"/>
    </row>
    <row r="388" spans="1:11">
      <c r="A388" s="14">
        <f>IF(B388="","",COUNTA($B$4:B388))</f>
        <v>385</v>
      </c>
      <c r="B388" s="14" t="s">
        <v>1497</v>
      </c>
      <c r="C388" s="14" t="s">
        <v>197</v>
      </c>
      <c r="D388" s="14" t="s">
        <v>198</v>
      </c>
      <c r="E388" s="14" t="s">
        <v>197</v>
      </c>
      <c r="F388" s="14" t="s">
        <v>150</v>
      </c>
      <c r="G388" s="14" t="s">
        <v>151</v>
      </c>
      <c r="H388" s="14">
        <v>5</v>
      </c>
      <c r="I388" s="14"/>
      <c r="J388" s="14"/>
      <c r="K388" s="15"/>
    </row>
    <row r="389" spans="1:11">
      <c r="A389" s="14">
        <f>IF(B389="","",COUNTA($B$4:B389))</f>
        <v>386</v>
      </c>
      <c r="B389" s="14" t="s">
        <v>1498</v>
      </c>
      <c r="C389" s="14" t="s">
        <v>197</v>
      </c>
      <c r="D389" s="14" t="s">
        <v>198</v>
      </c>
      <c r="E389" s="14" t="s">
        <v>197</v>
      </c>
      <c r="F389" s="14" t="s">
        <v>150</v>
      </c>
      <c r="G389" s="14" t="s">
        <v>151</v>
      </c>
      <c r="H389" s="14">
        <v>5</v>
      </c>
      <c r="I389" s="14"/>
      <c r="J389" s="14"/>
      <c r="K389" s="15"/>
    </row>
    <row r="390" spans="1:11">
      <c r="A390" s="14">
        <f>IF(B390="","",COUNTA($B$4:B390))</f>
        <v>387</v>
      </c>
      <c r="B390" s="14" t="s">
        <v>1502</v>
      </c>
      <c r="C390" s="14" t="s">
        <v>197</v>
      </c>
      <c r="D390" s="14" t="s">
        <v>198</v>
      </c>
      <c r="E390" s="14" t="s">
        <v>197</v>
      </c>
      <c r="F390" s="14" t="s">
        <v>150</v>
      </c>
      <c r="G390" s="14" t="s">
        <v>151</v>
      </c>
      <c r="H390" s="14">
        <v>5</v>
      </c>
      <c r="I390" s="14"/>
      <c r="J390" s="14"/>
      <c r="K390" s="140"/>
    </row>
    <row r="391" spans="1:11">
      <c r="A391" s="14">
        <f>IF(B391="","",COUNTA($B$4:B391))</f>
        <v>388</v>
      </c>
      <c r="B391" s="14" t="s">
        <v>1512</v>
      </c>
      <c r="C391" s="14" t="s">
        <v>197</v>
      </c>
      <c r="D391" s="14" t="s">
        <v>198</v>
      </c>
      <c r="E391" s="14" t="s">
        <v>197</v>
      </c>
      <c r="F391" s="14" t="s">
        <v>150</v>
      </c>
      <c r="G391" s="14" t="s">
        <v>151</v>
      </c>
      <c r="H391" s="14">
        <v>5</v>
      </c>
      <c r="I391" s="14"/>
      <c r="J391" s="14"/>
      <c r="K391" s="15"/>
    </row>
    <row r="392" spans="1:11">
      <c r="A392" s="14">
        <f>IF(B392="","",COUNTA($B$4:B392))</f>
        <v>389</v>
      </c>
      <c r="B392" s="14" t="s">
        <v>1513</v>
      </c>
      <c r="C392" s="14" t="s">
        <v>197</v>
      </c>
      <c r="D392" s="14" t="s">
        <v>198</v>
      </c>
      <c r="E392" s="14" t="s">
        <v>197</v>
      </c>
      <c r="F392" s="14" t="s">
        <v>150</v>
      </c>
      <c r="G392" s="14" t="s">
        <v>151</v>
      </c>
      <c r="H392" s="14">
        <v>5</v>
      </c>
      <c r="I392" s="14"/>
      <c r="J392" s="14"/>
      <c r="K392" s="15"/>
    </row>
    <row r="393" spans="1:11">
      <c r="A393" s="14">
        <f>IF(B393="","",COUNTA($B$4:B393))</f>
        <v>390</v>
      </c>
      <c r="B393" s="14" t="s">
        <v>1514</v>
      </c>
      <c r="C393" s="14" t="s">
        <v>197</v>
      </c>
      <c r="D393" s="14" t="s">
        <v>198</v>
      </c>
      <c r="E393" s="14" t="s">
        <v>197</v>
      </c>
      <c r="F393" s="14" t="s">
        <v>150</v>
      </c>
      <c r="G393" s="14" t="s">
        <v>151</v>
      </c>
      <c r="H393" s="14">
        <v>5</v>
      </c>
      <c r="I393" s="14"/>
      <c r="J393" s="14"/>
      <c r="K393" s="140"/>
    </row>
    <row r="394" spans="1:11">
      <c r="A394" s="14">
        <f>IF(B394="","",COUNTA($B$4:B394))</f>
        <v>391</v>
      </c>
      <c r="B394" s="14" t="s">
        <v>1515</v>
      </c>
      <c r="C394" s="14" t="s">
        <v>197</v>
      </c>
      <c r="D394" s="14" t="s">
        <v>198</v>
      </c>
      <c r="E394" s="14" t="s">
        <v>197</v>
      </c>
      <c r="F394" s="14" t="s">
        <v>150</v>
      </c>
      <c r="G394" s="14" t="s">
        <v>151</v>
      </c>
      <c r="H394" s="14">
        <v>5</v>
      </c>
      <c r="I394" s="14"/>
      <c r="J394" s="14"/>
      <c r="K394" s="140"/>
    </row>
    <row r="395" spans="1:11">
      <c r="A395" s="14">
        <f>IF(B395="","",COUNTA($B$4:B395))</f>
        <v>392</v>
      </c>
      <c r="B395" s="14" t="s">
        <v>1516</v>
      </c>
      <c r="C395" s="14" t="s">
        <v>197</v>
      </c>
      <c r="D395" s="14" t="s">
        <v>198</v>
      </c>
      <c r="E395" s="14" t="s">
        <v>197</v>
      </c>
      <c r="F395" s="14" t="s">
        <v>150</v>
      </c>
      <c r="G395" s="14" t="s">
        <v>151</v>
      </c>
      <c r="H395" s="14">
        <v>5</v>
      </c>
      <c r="I395" s="14"/>
      <c r="J395" s="14"/>
      <c r="K395" s="15"/>
    </row>
    <row r="396" spans="1:11">
      <c r="A396" s="14">
        <f>IF(B396="","",COUNTA($B$4:B396))</f>
        <v>393</v>
      </c>
      <c r="B396" s="14" t="s">
        <v>1523</v>
      </c>
      <c r="C396" s="14" t="s">
        <v>197</v>
      </c>
      <c r="D396" s="14" t="s">
        <v>198</v>
      </c>
      <c r="E396" s="14" t="s">
        <v>197</v>
      </c>
      <c r="F396" s="14" t="s">
        <v>150</v>
      </c>
      <c r="G396" s="14" t="s">
        <v>151</v>
      </c>
      <c r="H396" s="14">
        <v>5</v>
      </c>
      <c r="I396" s="14"/>
      <c r="J396" s="15"/>
      <c r="K396" s="15"/>
    </row>
    <row r="397" spans="1:11">
      <c r="A397" s="14">
        <f>IF(B397="","",COUNTA($B$4:B397))</f>
        <v>394</v>
      </c>
      <c r="B397" s="14" t="s">
        <v>1485</v>
      </c>
      <c r="C397" s="14" t="s">
        <v>197</v>
      </c>
      <c r="D397" s="14" t="s">
        <v>198</v>
      </c>
      <c r="E397" s="14" t="s">
        <v>197</v>
      </c>
      <c r="F397" s="14" t="s">
        <v>150</v>
      </c>
      <c r="G397" s="14" t="s">
        <v>151</v>
      </c>
      <c r="H397" s="14">
        <v>5</v>
      </c>
      <c r="I397" s="14"/>
      <c r="J397" s="15"/>
      <c r="K397" s="15"/>
    </row>
    <row r="398" spans="1:11">
      <c r="A398" s="14">
        <f>IF(B398="","",COUNTA($B$4:B398))</f>
        <v>395</v>
      </c>
      <c r="B398" s="14" t="s">
        <v>1525</v>
      </c>
      <c r="C398" s="14" t="s">
        <v>197</v>
      </c>
      <c r="D398" s="14" t="s">
        <v>198</v>
      </c>
      <c r="E398" s="14" t="s">
        <v>197</v>
      </c>
      <c r="F398" s="14" t="s">
        <v>150</v>
      </c>
      <c r="G398" s="14" t="s">
        <v>151</v>
      </c>
      <c r="H398" s="14">
        <v>5</v>
      </c>
      <c r="I398" s="14"/>
      <c r="J398" s="15"/>
      <c r="K398" s="140"/>
    </row>
    <row r="399" spans="1:11">
      <c r="A399" s="14">
        <f>IF(B399="","",COUNTA($B$4:B399))</f>
        <v>396</v>
      </c>
      <c r="B399" s="14" t="s">
        <v>1526</v>
      </c>
      <c r="C399" s="14" t="s">
        <v>197</v>
      </c>
      <c r="D399" s="14" t="s">
        <v>198</v>
      </c>
      <c r="E399" s="14" t="s">
        <v>197</v>
      </c>
      <c r="F399" s="14" t="s">
        <v>150</v>
      </c>
      <c r="G399" s="14" t="s">
        <v>151</v>
      </c>
      <c r="H399" s="14">
        <v>5</v>
      </c>
      <c r="I399" s="14"/>
      <c r="J399" s="15"/>
      <c r="K399" s="15"/>
    </row>
    <row r="400" spans="1:11">
      <c r="A400" s="14">
        <f>IF(B400="","",COUNTA($B$4:B400))</f>
        <v>397</v>
      </c>
      <c r="B400" s="14" t="s">
        <v>1487</v>
      </c>
      <c r="C400" s="14" t="s">
        <v>162</v>
      </c>
      <c r="D400" s="14" t="s">
        <v>163</v>
      </c>
      <c r="E400" s="14" t="s">
        <v>164</v>
      </c>
      <c r="F400" s="14" t="s">
        <v>150</v>
      </c>
      <c r="G400" s="14" t="s">
        <v>151</v>
      </c>
      <c r="H400" s="14">
        <v>4</v>
      </c>
      <c r="I400" s="14"/>
      <c r="J400" s="14"/>
      <c r="K400" s="140"/>
    </row>
    <row r="401" spans="1:11">
      <c r="A401" s="14">
        <f>IF(B401="","",COUNTA($B$4:B401))</f>
        <v>398</v>
      </c>
      <c r="B401" s="14" t="s">
        <v>1489</v>
      </c>
      <c r="C401" s="14" t="s">
        <v>162</v>
      </c>
      <c r="D401" s="14" t="s">
        <v>163</v>
      </c>
      <c r="E401" s="14" t="s">
        <v>164</v>
      </c>
      <c r="F401" s="14" t="s">
        <v>150</v>
      </c>
      <c r="G401" s="14" t="s">
        <v>151</v>
      </c>
      <c r="H401" s="14">
        <v>4</v>
      </c>
      <c r="I401" s="14"/>
      <c r="J401" s="14"/>
      <c r="K401" s="15"/>
    </row>
    <row r="402" spans="1:11">
      <c r="A402" s="14">
        <f>IF(B402="","",COUNTA($B$4:B402))</f>
        <v>399</v>
      </c>
      <c r="B402" s="14" t="s">
        <v>1491</v>
      </c>
      <c r="C402" s="14" t="s">
        <v>162</v>
      </c>
      <c r="D402" s="14" t="s">
        <v>163</v>
      </c>
      <c r="E402" s="14" t="s">
        <v>164</v>
      </c>
      <c r="F402" s="14" t="s">
        <v>150</v>
      </c>
      <c r="G402" s="14" t="s">
        <v>151</v>
      </c>
      <c r="H402" s="14">
        <v>4</v>
      </c>
      <c r="I402" s="14"/>
      <c r="J402" s="14"/>
      <c r="K402" s="15"/>
    </row>
    <row r="403" spans="1:11">
      <c r="A403" s="14">
        <f>IF(B403="","",COUNTA($B$4:B403))</f>
        <v>400</v>
      </c>
      <c r="B403" s="14" t="s">
        <v>1492</v>
      </c>
      <c r="C403" s="14" t="s">
        <v>162</v>
      </c>
      <c r="D403" s="14" t="s">
        <v>163</v>
      </c>
      <c r="E403" s="14" t="s">
        <v>164</v>
      </c>
      <c r="F403" s="14" t="s">
        <v>150</v>
      </c>
      <c r="G403" s="14" t="s">
        <v>151</v>
      </c>
      <c r="H403" s="14">
        <v>4</v>
      </c>
      <c r="I403" s="14"/>
      <c r="J403" s="14"/>
      <c r="K403" s="140"/>
    </row>
    <row r="404" spans="1:11">
      <c r="A404" s="14">
        <f>IF(B404="","",COUNTA($B$4:B404))</f>
        <v>401</v>
      </c>
      <c r="B404" s="14" t="s">
        <v>1493</v>
      </c>
      <c r="C404" s="14" t="s">
        <v>162</v>
      </c>
      <c r="D404" s="14" t="s">
        <v>163</v>
      </c>
      <c r="E404" s="14" t="s">
        <v>164</v>
      </c>
      <c r="F404" s="14" t="s">
        <v>150</v>
      </c>
      <c r="G404" s="14" t="s">
        <v>151</v>
      </c>
      <c r="H404" s="14">
        <v>4</v>
      </c>
      <c r="I404" s="14"/>
      <c r="J404" s="14"/>
      <c r="K404" s="15"/>
    </row>
    <row r="405" spans="1:11">
      <c r="A405" s="14">
        <f>IF(B405="","",COUNTA($B$4:B405))</f>
        <v>402</v>
      </c>
      <c r="B405" s="14" t="s">
        <v>1494</v>
      </c>
      <c r="C405" s="14" t="s">
        <v>162</v>
      </c>
      <c r="D405" s="14" t="s">
        <v>163</v>
      </c>
      <c r="E405" s="14" t="s">
        <v>164</v>
      </c>
      <c r="F405" s="14" t="s">
        <v>150</v>
      </c>
      <c r="G405" s="14" t="s">
        <v>151</v>
      </c>
      <c r="H405" s="14">
        <v>4</v>
      </c>
      <c r="I405" s="14"/>
      <c r="J405" s="14"/>
      <c r="K405" s="15"/>
    </row>
    <row r="406" spans="1:11">
      <c r="A406" s="14">
        <f>IF(B406="","",COUNTA($B$4:B406))</f>
        <v>403</v>
      </c>
      <c r="B406" s="14" t="s">
        <v>1497</v>
      </c>
      <c r="C406" s="14" t="s">
        <v>162</v>
      </c>
      <c r="D406" s="14" t="s">
        <v>163</v>
      </c>
      <c r="E406" s="14" t="s">
        <v>164</v>
      </c>
      <c r="F406" s="14" t="s">
        <v>150</v>
      </c>
      <c r="G406" s="14" t="s">
        <v>151</v>
      </c>
      <c r="H406" s="14">
        <v>4</v>
      </c>
      <c r="I406" s="14"/>
      <c r="J406" s="14"/>
      <c r="K406" s="140"/>
    </row>
    <row r="407" spans="1:11">
      <c r="A407" s="14">
        <f>IF(B407="","",COUNTA($B$4:B407))</f>
        <v>404</v>
      </c>
      <c r="B407" s="14" t="s">
        <v>1502</v>
      </c>
      <c r="C407" s="14" t="s">
        <v>162</v>
      </c>
      <c r="D407" s="14" t="s">
        <v>163</v>
      </c>
      <c r="E407" s="14" t="s">
        <v>164</v>
      </c>
      <c r="F407" s="14" t="s">
        <v>150</v>
      </c>
      <c r="G407" s="14" t="s">
        <v>151</v>
      </c>
      <c r="H407" s="14">
        <v>4</v>
      </c>
      <c r="I407" s="14"/>
      <c r="J407" s="14"/>
      <c r="K407" s="15"/>
    </row>
    <row r="408" spans="1:11">
      <c r="A408" s="14">
        <f>IF(B408="","",COUNTA($B$4:B408))</f>
        <v>405</v>
      </c>
      <c r="B408" s="14" t="s">
        <v>1513</v>
      </c>
      <c r="C408" s="14" t="s">
        <v>162</v>
      </c>
      <c r="D408" s="14" t="s">
        <v>163</v>
      </c>
      <c r="E408" s="14" t="s">
        <v>164</v>
      </c>
      <c r="F408" s="14" t="s">
        <v>150</v>
      </c>
      <c r="G408" s="14" t="s">
        <v>151</v>
      </c>
      <c r="H408" s="14">
        <v>4</v>
      </c>
      <c r="I408" s="14"/>
      <c r="J408" s="14"/>
      <c r="K408" s="15"/>
    </row>
    <row r="409" spans="1:11">
      <c r="A409" s="14">
        <f>IF(B409="","",COUNTA($B$4:B409))</f>
        <v>406</v>
      </c>
      <c r="B409" s="14" t="s">
        <v>1515</v>
      </c>
      <c r="C409" s="14" t="s">
        <v>162</v>
      </c>
      <c r="D409" s="14" t="s">
        <v>163</v>
      </c>
      <c r="E409" s="14" t="s">
        <v>164</v>
      </c>
      <c r="F409" s="14" t="s">
        <v>150</v>
      </c>
      <c r="G409" s="14" t="s">
        <v>151</v>
      </c>
      <c r="H409" s="14">
        <v>4</v>
      </c>
      <c r="I409" s="14"/>
      <c r="J409" s="14"/>
      <c r="K409" s="15"/>
    </row>
    <row r="410" spans="1:11">
      <c r="A410" s="14">
        <f>IF(B410="","",COUNTA($B$4:B410))</f>
        <v>407</v>
      </c>
      <c r="B410" s="14" t="s">
        <v>1523</v>
      </c>
      <c r="C410" s="14" t="s">
        <v>162</v>
      </c>
      <c r="D410" s="14" t="s">
        <v>163</v>
      </c>
      <c r="E410" s="14" t="s">
        <v>164</v>
      </c>
      <c r="F410" s="14" t="s">
        <v>150</v>
      </c>
      <c r="G410" s="14" t="s">
        <v>151</v>
      </c>
      <c r="H410" s="14">
        <v>4</v>
      </c>
      <c r="I410" s="14"/>
      <c r="J410" s="15"/>
      <c r="K410" s="15"/>
    </row>
    <row r="411" spans="1:11">
      <c r="A411" s="14">
        <f>IF(B411="","",COUNTA($B$4:B411))</f>
        <v>408</v>
      </c>
      <c r="B411" s="14" t="s">
        <v>1485</v>
      </c>
      <c r="C411" s="14" t="s">
        <v>162</v>
      </c>
      <c r="D411" s="14" t="s">
        <v>163</v>
      </c>
      <c r="E411" s="14" t="s">
        <v>164</v>
      </c>
      <c r="F411" s="14" t="s">
        <v>150</v>
      </c>
      <c r="G411" s="14" t="s">
        <v>151</v>
      </c>
      <c r="H411" s="14">
        <v>4</v>
      </c>
      <c r="I411" s="14"/>
      <c r="J411" s="15"/>
      <c r="K411" s="15"/>
    </row>
    <row r="412" spans="1:11">
      <c r="A412" s="14">
        <f>IF(B412="","",COUNTA($B$4:B412))</f>
        <v>409</v>
      </c>
      <c r="B412" s="14" t="s">
        <v>1525</v>
      </c>
      <c r="C412" s="14" t="s">
        <v>162</v>
      </c>
      <c r="D412" s="14" t="s">
        <v>163</v>
      </c>
      <c r="E412" s="14" t="s">
        <v>164</v>
      </c>
      <c r="F412" s="14" t="s">
        <v>150</v>
      </c>
      <c r="G412" s="14" t="s">
        <v>151</v>
      </c>
      <c r="H412" s="14">
        <v>4</v>
      </c>
      <c r="I412" s="14"/>
      <c r="J412" s="15"/>
      <c r="K412" s="15"/>
    </row>
    <row r="413" spans="1:11">
      <c r="A413" s="14">
        <f>IF(B413="","",COUNTA($B$4:B413))</f>
        <v>410</v>
      </c>
      <c r="B413" s="14" t="s">
        <v>1526</v>
      </c>
      <c r="C413" s="14" t="s">
        <v>162</v>
      </c>
      <c r="D413" s="14" t="s">
        <v>163</v>
      </c>
      <c r="E413" s="14" t="s">
        <v>164</v>
      </c>
      <c r="F413" s="14" t="s">
        <v>150</v>
      </c>
      <c r="G413" s="14" t="s">
        <v>151</v>
      </c>
      <c r="H413" s="14">
        <v>4</v>
      </c>
      <c r="I413" s="14"/>
      <c r="J413" s="15" t="s">
        <v>1584</v>
      </c>
      <c r="K413" s="15"/>
    </row>
    <row r="414" spans="1:11">
      <c r="A414" s="14">
        <f>IF(B414="","",COUNTA($B$4:B414))</f>
        <v>411</v>
      </c>
      <c r="B414" s="14" t="s">
        <v>1531</v>
      </c>
      <c r="C414" s="14" t="s">
        <v>162</v>
      </c>
      <c r="D414" s="14" t="s">
        <v>163</v>
      </c>
      <c r="E414" s="14" t="s">
        <v>164</v>
      </c>
      <c r="F414" s="14" t="s">
        <v>150</v>
      </c>
      <c r="G414" s="14" t="s">
        <v>151</v>
      </c>
      <c r="H414" s="14">
        <v>4</v>
      </c>
      <c r="I414" s="14"/>
      <c r="J414" s="15"/>
      <c r="K414" s="140"/>
    </row>
    <row r="415" spans="1:11">
      <c r="A415" s="14">
        <f>IF(B415="","",COUNTA($B$4:B415))</f>
        <v>412</v>
      </c>
      <c r="B415" s="14" t="s">
        <v>1590</v>
      </c>
      <c r="C415" s="14" t="s">
        <v>162</v>
      </c>
      <c r="D415" s="14" t="s">
        <v>163</v>
      </c>
      <c r="E415" s="14" t="s">
        <v>164</v>
      </c>
      <c r="F415" s="14" t="s">
        <v>150</v>
      </c>
      <c r="G415" s="14" t="s">
        <v>151</v>
      </c>
      <c r="H415" s="14">
        <v>4</v>
      </c>
      <c r="I415" s="14"/>
      <c r="J415" s="15"/>
      <c r="K415" s="140"/>
    </row>
    <row r="416" spans="1:11">
      <c r="A416" s="14">
        <f>IF(B416="","",COUNTA($B$4:B416))</f>
        <v>413</v>
      </c>
      <c r="B416" s="14" t="s">
        <v>1594</v>
      </c>
      <c r="C416" s="14" t="s">
        <v>162</v>
      </c>
      <c r="D416" s="14" t="s">
        <v>163</v>
      </c>
      <c r="E416" s="14" t="s">
        <v>162</v>
      </c>
      <c r="F416" s="14" t="s">
        <v>150</v>
      </c>
      <c r="G416" s="14" t="s">
        <v>151</v>
      </c>
      <c r="H416" s="14">
        <v>4</v>
      </c>
      <c r="I416" s="14"/>
      <c r="J416" s="15"/>
      <c r="K416" s="15"/>
    </row>
    <row r="417" spans="1:11">
      <c r="A417" s="14">
        <f>IF(B417="","",COUNTA($B$4:B417))</f>
        <v>414</v>
      </c>
      <c r="B417" s="14" t="s">
        <v>1489</v>
      </c>
      <c r="C417" s="14" t="s">
        <v>266</v>
      </c>
      <c r="D417" s="14" t="s">
        <v>267</v>
      </c>
      <c r="E417" s="14" t="s">
        <v>266</v>
      </c>
      <c r="F417" s="14" t="s">
        <v>155</v>
      </c>
      <c r="G417" s="14" t="s">
        <v>156</v>
      </c>
      <c r="H417" s="14">
        <v>5</v>
      </c>
      <c r="I417" s="14"/>
      <c r="J417" s="14"/>
      <c r="K417" s="140"/>
    </row>
    <row r="418" spans="1:11">
      <c r="A418" s="14">
        <f>IF(B418="","",COUNTA($B$4:B418))</f>
        <v>415</v>
      </c>
      <c r="B418" s="14" t="s">
        <v>1491</v>
      </c>
      <c r="C418" s="14" t="s">
        <v>266</v>
      </c>
      <c r="D418" s="14" t="s">
        <v>267</v>
      </c>
      <c r="E418" s="14" t="s">
        <v>266</v>
      </c>
      <c r="F418" s="14" t="s">
        <v>155</v>
      </c>
      <c r="G418" s="14" t="s">
        <v>156</v>
      </c>
      <c r="H418" s="14">
        <v>5</v>
      </c>
      <c r="I418" s="14"/>
      <c r="J418" s="14"/>
      <c r="K418" s="15"/>
    </row>
    <row r="419" spans="1:11">
      <c r="A419" s="14">
        <f>IF(B419="","",COUNTA($B$4:B419))</f>
        <v>416</v>
      </c>
      <c r="B419" s="14" t="s">
        <v>1492</v>
      </c>
      <c r="C419" s="14" t="s">
        <v>266</v>
      </c>
      <c r="D419" s="14" t="s">
        <v>267</v>
      </c>
      <c r="E419" s="14" t="s">
        <v>266</v>
      </c>
      <c r="F419" s="14" t="s">
        <v>155</v>
      </c>
      <c r="G419" s="14" t="s">
        <v>156</v>
      </c>
      <c r="H419" s="14">
        <v>5</v>
      </c>
      <c r="I419" s="14"/>
      <c r="J419" s="14"/>
      <c r="K419" s="140"/>
    </row>
    <row r="420" spans="1:11">
      <c r="A420" s="14">
        <f>IF(B420="","",COUNTA($B$4:B420))</f>
        <v>417</v>
      </c>
      <c r="B420" s="14" t="s">
        <v>1513</v>
      </c>
      <c r="C420" s="14" t="s">
        <v>414</v>
      </c>
      <c r="D420" s="14" t="s">
        <v>415</v>
      </c>
      <c r="E420" s="14" t="s">
        <v>414</v>
      </c>
      <c r="F420" s="14" t="s">
        <v>150</v>
      </c>
      <c r="G420" s="14" t="s">
        <v>151</v>
      </c>
      <c r="H420" s="14">
        <v>100</v>
      </c>
      <c r="I420" s="14"/>
      <c r="J420" s="14"/>
      <c r="K420" s="15"/>
    </row>
    <row r="421" spans="1:11">
      <c r="A421" s="14">
        <f>IF(B421="","",COUNTA($B$4:B421))</f>
        <v>418</v>
      </c>
      <c r="B421" s="14" t="s">
        <v>1497</v>
      </c>
      <c r="C421" s="14" t="s">
        <v>716</v>
      </c>
      <c r="D421" s="14" t="s">
        <v>1461</v>
      </c>
      <c r="E421" s="14" t="s">
        <v>716</v>
      </c>
      <c r="F421" s="14" t="s">
        <v>150</v>
      </c>
      <c r="G421" s="14" t="s">
        <v>151</v>
      </c>
      <c r="H421" s="14">
        <v>4</v>
      </c>
      <c r="I421" s="14"/>
      <c r="J421" s="14"/>
      <c r="K421" s="140"/>
    </row>
    <row r="422" spans="1:11">
      <c r="A422" s="14">
        <f>IF(B422="","",COUNTA($B$4:B422))</f>
        <v>419</v>
      </c>
      <c r="B422" s="14" t="s">
        <v>1498</v>
      </c>
      <c r="C422" s="14" t="s">
        <v>716</v>
      </c>
      <c r="D422" s="14" t="s">
        <v>1461</v>
      </c>
      <c r="E422" s="14" t="s">
        <v>716</v>
      </c>
      <c r="F422" s="14" t="s">
        <v>150</v>
      </c>
      <c r="G422" s="14" t="s">
        <v>151</v>
      </c>
      <c r="H422" s="14">
        <v>4</v>
      </c>
      <c r="I422" s="14"/>
      <c r="J422" s="14"/>
      <c r="K422" s="15"/>
    </row>
    <row r="423" spans="1:11">
      <c r="A423" s="14">
        <f>IF(B423="","",COUNTA($B$4:B423))</f>
        <v>420</v>
      </c>
      <c r="B423" s="14" t="s">
        <v>1512</v>
      </c>
      <c r="C423" s="14" t="s">
        <v>716</v>
      </c>
      <c r="D423" s="14" t="s">
        <v>1461</v>
      </c>
      <c r="E423" s="14" t="s">
        <v>716</v>
      </c>
      <c r="F423" s="14" t="s">
        <v>150</v>
      </c>
      <c r="G423" s="14" t="s">
        <v>151</v>
      </c>
      <c r="H423" s="14">
        <v>4</v>
      </c>
      <c r="I423" s="14" t="s">
        <v>244</v>
      </c>
      <c r="J423" s="14"/>
      <c r="K423" s="15"/>
    </row>
    <row r="424" spans="1:11">
      <c r="A424" s="14">
        <f>IF(B424="","",COUNTA($B$4:B424))</f>
        <v>421</v>
      </c>
      <c r="B424" s="14" t="s">
        <v>1489</v>
      </c>
      <c r="C424" s="14" t="s">
        <v>272</v>
      </c>
      <c r="D424" s="14" t="s">
        <v>273</v>
      </c>
      <c r="E424" s="14" t="s">
        <v>272</v>
      </c>
      <c r="F424" s="14" t="s">
        <v>150</v>
      </c>
      <c r="G424" s="14" t="s">
        <v>151</v>
      </c>
      <c r="H424" s="14">
        <v>1000</v>
      </c>
      <c r="I424" s="14"/>
      <c r="J424" s="14"/>
      <c r="K424" s="15"/>
    </row>
    <row r="425" spans="1:11">
      <c r="A425" s="14">
        <f>IF(B425="","",COUNTA($B$4:B425))</f>
        <v>422</v>
      </c>
      <c r="B425" s="14" t="s">
        <v>1487</v>
      </c>
      <c r="C425" s="14" t="s">
        <v>153</v>
      </c>
      <c r="D425" s="14" t="s">
        <v>154</v>
      </c>
      <c r="E425" s="14" t="s">
        <v>153</v>
      </c>
      <c r="F425" s="14" t="s">
        <v>155</v>
      </c>
      <c r="G425" s="14" t="s">
        <v>156</v>
      </c>
      <c r="H425" s="14">
        <v>3</v>
      </c>
      <c r="I425" s="14"/>
      <c r="J425" s="14"/>
      <c r="K425" s="15"/>
    </row>
    <row r="426" spans="1:11">
      <c r="A426" s="14">
        <f>IF(B426="","",COUNTA($B$4:B426))</f>
        <v>423</v>
      </c>
      <c r="B426" s="14" t="s">
        <v>1489</v>
      </c>
      <c r="C426" s="14" t="s">
        <v>153</v>
      </c>
      <c r="D426" s="14" t="s">
        <v>154</v>
      </c>
      <c r="E426" s="14" t="s">
        <v>153</v>
      </c>
      <c r="F426" s="14" t="s">
        <v>155</v>
      </c>
      <c r="G426" s="14" t="s">
        <v>156</v>
      </c>
      <c r="H426" s="14">
        <v>3</v>
      </c>
      <c r="I426" s="14"/>
      <c r="J426" s="14"/>
      <c r="K426" s="15"/>
    </row>
    <row r="427" spans="1:11">
      <c r="A427" s="14">
        <f>IF(B427="","",COUNTA($B$4:B427))</f>
        <v>424</v>
      </c>
      <c r="B427" s="14" t="s">
        <v>1491</v>
      </c>
      <c r="C427" s="14" t="s">
        <v>153</v>
      </c>
      <c r="D427" s="14" t="s">
        <v>154</v>
      </c>
      <c r="E427" s="14" t="s">
        <v>153</v>
      </c>
      <c r="F427" s="14" t="s">
        <v>155</v>
      </c>
      <c r="G427" s="14" t="s">
        <v>156</v>
      </c>
      <c r="H427" s="14">
        <v>3</v>
      </c>
      <c r="I427" s="14"/>
      <c r="J427" s="14"/>
      <c r="K427" s="140"/>
    </row>
    <row r="428" spans="1:11">
      <c r="A428" s="14">
        <f>IF(B428="","",COUNTA($B$4:B428))</f>
        <v>425</v>
      </c>
      <c r="B428" s="14" t="s">
        <v>1492</v>
      </c>
      <c r="C428" s="14" t="s">
        <v>153</v>
      </c>
      <c r="D428" s="14" t="s">
        <v>154</v>
      </c>
      <c r="E428" s="14" t="s">
        <v>153</v>
      </c>
      <c r="F428" s="14" t="s">
        <v>155</v>
      </c>
      <c r="G428" s="14" t="s">
        <v>156</v>
      </c>
      <c r="H428" s="14">
        <v>3</v>
      </c>
      <c r="I428" s="14"/>
      <c r="J428" s="14"/>
      <c r="K428" s="140"/>
    </row>
    <row r="429" spans="1:11">
      <c r="A429" s="14">
        <f>IF(B429="","",COUNTA($B$4:B429))</f>
        <v>426</v>
      </c>
      <c r="B429" s="14" t="s">
        <v>1497</v>
      </c>
      <c r="C429" s="14" t="s">
        <v>153</v>
      </c>
      <c r="D429" s="14" t="s">
        <v>154</v>
      </c>
      <c r="E429" s="14" t="s">
        <v>153</v>
      </c>
      <c r="F429" s="14" t="s">
        <v>155</v>
      </c>
      <c r="G429" s="14" t="s">
        <v>156</v>
      </c>
      <c r="H429" s="14">
        <v>3</v>
      </c>
      <c r="I429" s="14"/>
      <c r="J429" s="14"/>
      <c r="K429" s="140"/>
    </row>
    <row r="430" spans="1:11">
      <c r="A430" s="14">
        <f>IF(B430="","",COUNTA($B$4:B430))</f>
        <v>427</v>
      </c>
      <c r="B430" s="14" t="s">
        <v>1498</v>
      </c>
      <c r="C430" s="14" t="s">
        <v>153</v>
      </c>
      <c r="D430" s="14" t="s">
        <v>154</v>
      </c>
      <c r="E430" s="14" t="s">
        <v>153</v>
      </c>
      <c r="F430" s="14" t="s">
        <v>155</v>
      </c>
      <c r="G430" s="14" t="s">
        <v>156</v>
      </c>
      <c r="H430" s="14">
        <v>3</v>
      </c>
      <c r="I430" s="14"/>
      <c r="J430" s="14"/>
      <c r="K430" s="140"/>
    </row>
    <row r="431" spans="1:11">
      <c r="A431" s="14">
        <f>IF(B431="","",COUNTA($B$4:B431))</f>
        <v>428</v>
      </c>
      <c r="B431" s="14" t="s">
        <v>1487</v>
      </c>
      <c r="C431" s="14" t="s">
        <v>189</v>
      </c>
      <c r="D431" s="14" t="s">
        <v>190</v>
      </c>
      <c r="E431" s="14" t="s">
        <v>189</v>
      </c>
      <c r="F431" s="14" t="s">
        <v>155</v>
      </c>
      <c r="G431" s="14" t="s">
        <v>156</v>
      </c>
      <c r="H431" s="14">
        <v>3</v>
      </c>
      <c r="I431" s="14"/>
      <c r="J431" s="14"/>
      <c r="K431" s="15"/>
    </row>
    <row r="432" spans="1:11">
      <c r="A432" s="14">
        <f>IF(B432="","",COUNTA($B$4:B432))</f>
        <v>429</v>
      </c>
      <c r="B432" s="14" t="s">
        <v>1489</v>
      </c>
      <c r="C432" s="14" t="s">
        <v>189</v>
      </c>
      <c r="D432" s="14" t="s">
        <v>190</v>
      </c>
      <c r="E432" s="14" t="s">
        <v>189</v>
      </c>
      <c r="F432" s="14" t="s">
        <v>155</v>
      </c>
      <c r="G432" s="14" t="s">
        <v>156</v>
      </c>
      <c r="H432" s="14">
        <v>3</v>
      </c>
      <c r="I432" s="14"/>
      <c r="J432" s="14"/>
      <c r="K432" s="15"/>
    </row>
    <row r="433" spans="1:11">
      <c r="A433" s="14">
        <f>IF(B433="","",COUNTA($B$4:B433))</f>
        <v>430</v>
      </c>
      <c r="B433" s="14" t="s">
        <v>1491</v>
      </c>
      <c r="C433" s="14" t="s">
        <v>189</v>
      </c>
      <c r="D433" s="14" t="s">
        <v>190</v>
      </c>
      <c r="E433" s="14" t="s">
        <v>189</v>
      </c>
      <c r="F433" s="14" t="s">
        <v>155</v>
      </c>
      <c r="G433" s="14" t="s">
        <v>156</v>
      </c>
      <c r="H433" s="14">
        <v>3</v>
      </c>
      <c r="I433" s="14"/>
      <c r="J433" s="14"/>
      <c r="K433" s="15"/>
    </row>
    <row r="434" spans="1:11">
      <c r="A434" s="14">
        <f>IF(B434="","",COUNTA($B$4:B434))</f>
        <v>431</v>
      </c>
      <c r="B434" s="14" t="s">
        <v>1492</v>
      </c>
      <c r="C434" s="14" t="s">
        <v>189</v>
      </c>
      <c r="D434" s="14" t="s">
        <v>190</v>
      </c>
      <c r="E434" s="14" t="s">
        <v>189</v>
      </c>
      <c r="F434" s="14" t="s">
        <v>155</v>
      </c>
      <c r="G434" s="14" t="s">
        <v>156</v>
      </c>
      <c r="H434" s="14">
        <v>3</v>
      </c>
      <c r="I434" s="14"/>
      <c r="J434" s="14"/>
      <c r="K434" s="15"/>
    </row>
    <row r="435" spans="1:11">
      <c r="A435" s="14">
        <f>IF(B435="","",COUNTA($B$4:B435))</f>
        <v>432</v>
      </c>
      <c r="B435" s="14" t="s">
        <v>1497</v>
      </c>
      <c r="C435" s="14" t="s">
        <v>189</v>
      </c>
      <c r="D435" s="14" t="s">
        <v>190</v>
      </c>
      <c r="E435" s="14" t="s">
        <v>189</v>
      </c>
      <c r="F435" s="14" t="s">
        <v>155</v>
      </c>
      <c r="G435" s="14" t="s">
        <v>156</v>
      </c>
      <c r="H435" s="14">
        <v>3</v>
      </c>
      <c r="I435" s="14"/>
      <c r="J435" s="14"/>
      <c r="K435" s="15"/>
    </row>
    <row r="436" spans="1:11">
      <c r="A436" s="14">
        <f>IF(B436="","",COUNTA($B$4:B436))</f>
        <v>433</v>
      </c>
      <c r="B436" s="14" t="s">
        <v>1487</v>
      </c>
      <c r="C436" s="14" t="s">
        <v>187</v>
      </c>
      <c r="D436" s="14" t="s">
        <v>188</v>
      </c>
      <c r="E436" s="14" t="s">
        <v>187</v>
      </c>
      <c r="F436" s="14" t="s">
        <v>155</v>
      </c>
      <c r="G436" s="14" t="s">
        <v>156</v>
      </c>
      <c r="H436" s="14">
        <v>3</v>
      </c>
      <c r="I436" s="14"/>
      <c r="J436" s="14"/>
      <c r="K436" s="140"/>
    </row>
    <row r="437" spans="1:11">
      <c r="A437" s="14">
        <f>IF(B437="","",COUNTA($B$4:B437))</f>
        <v>434</v>
      </c>
      <c r="B437" s="14" t="s">
        <v>1489</v>
      </c>
      <c r="C437" s="14" t="s">
        <v>187</v>
      </c>
      <c r="D437" s="14" t="s">
        <v>188</v>
      </c>
      <c r="E437" s="14" t="s">
        <v>187</v>
      </c>
      <c r="F437" s="14" t="s">
        <v>155</v>
      </c>
      <c r="G437" s="14" t="s">
        <v>156</v>
      </c>
      <c r="H437" s="14">
        <v>3</v>
      </c>
      <c r="I437" s="14"/>
      <c r="J437" s="14"/>
      <c r="K437" s="140"/>
    </row>
    <row r="438" spans="1:11">
      <c r="A438" s="14">
        <f>IF(B438="","",COUNTA($B$4:B438))</f>
        <v>435</v>
      </c>
      <c r="B438" s="14" t="s">
        <v>1491</v>
      </c>
      <c r="C438" s="14" t="s">
        <v>187</v>
      </c>
      <c r="D438" s="14" t="s">
        <v>188</v>
      </c>
      <c r="E438" s="14" t="s">
        <v>187</v>
      </c>
      <c r="F438" s="14" t="s">
        <v>155</v>
      </c>
      <c r="G438" s="14" t="s">
        <v>156</v>
      </c>
      <c r="H438" s="14">
        <v>3</v>
      </c>
      <c r="I438" s="14"/>
      <c r="J438" s="14"/>
      <c r="K438" s="15"/>
    </row>
    <row r="439" spans="1:11">
      <c r="A439" s="14">
        <f>IF(B439="","",COUNTA($B$4:B439))</f>
        <v>436</v>
      </c>
      <c r="B439" s="14" t="s">
        <v>1492</v>
      </c>
      <c r="C439" s="14" t="s">
        <v>187</v>
      </c>
      <c r="D439" s="14" t="s">
        <v>188</v>
      </c>
      <c r="E439" s="14" t="s">
        <v>187</v>
      </c>
      <c r="F439" s="14" t="s">
        <v>155</v>
      </c>
      <c r="G439" s="14" t="s">
        <v>156</v>
      </c>
      <c r="H439" s="14">
        <v>3</v>
      </c>
      <c r="I439" s="14"/>
      <c r="J439" s="14"/>
      <c r="K439" s="15"/>
    </row>
    <row r="440" spans="1:11">
      <c r="A440" s="14">
        <f>IF(B440="","",COUNTA($B$4:B440))</f>
        <v>437</v>
      </c>
      <c r="B440" s="14" t="s">
        <v>1497</v>
      </c>
      <c r="C440" s="14" t="s">
        <v>187</v>
      </c>
      <c r="D440" s="14" t="s">
        <v>188</v>
      </c>
      <c r="E440" s="14" t="s">
        <v>187</v>
      </c>
      <c r="F440" s="14" t="s">
        <v>155</v>
      </c>
      <c r="G440" s="14" t="s">
        <v>156</v>
      </c>
      <c r="H440" s="14">
        <v>3</v>
      </c>
      <c r="I440" s="14"/>
      <c r="J440" s="14"/>
      <c r="K440" s="15"/>
    </row>
    <row r="441" spans="1:11">
      <c r="A441" s="14">
        <f>IF(B441="","",COUNTA($B$4:B441))</f>
        <v>438</v>
      </c>
      <c r="B441" s="14" t="s">
        <v>1498</v>
      </c>
      <c r="C441" s="14" t="s">
        <v>187</v>
      </c>
      <c r="D441" s="14" t="s">
        <v>188</v>
      </c>
      <c r="E441" s="14" t="s">
        <v>187</v>
      </c>
      <c r="F441" s="14" t="s">
        <v>155</v>
      </c>
      <c r="G441" s="14" t="s">
        <v>156</v>
      </c>
      <c r="H441" s="14">
        <v>3</v>
      </c>
      <c r="I441" s="14"/>
      <c r="J441" s="14"/>
      <c r="K441" s="140"/>
    </row>
    <row r="442" spans="1:11">
      <c r="A442" s="14">
        <f>IF(B442="","",COUNTA($B$4:B442))</f>
        <v>439</v>
      </c>
      <c r="B442" s="14" t="s">
        <v>1487</v>
      </c>
      <c r="C442" s="14" t="s">
        <v>208</v>
      </c>
      <c r="D442" s="14" t="s">
        <v>209</v>
      </c>
      <c r="E442" s="14" t="s">
        <v>208</v>
      </c>
      <c r="F442" s="14" t="s">
        <v>155</v>
      </c>
      <c r="G442" s="14" t="s">
        <v>156</v>
      </c>
      <c r="H442" s="14">
        <v>5</v>
      </c>
      <c r="I442" s="14"/>
      <c r="J442" s="14"/>
      <c r="K442" s="15"/>
    </row>
    <row r="443" spans="1:11">
      <c r="A443" s="14">
        <f>IF(B443="","",COUNTA($B$4:B443))</f>
        <v>440</v>
      </c>
      <c r="B443" s="14" t="s">
        <v>1489</v>
      </c>
      <c r="C443" s="14" t="s">
        <v>208</v>
      </c>
      <c r="D443" s="14" t="s">
        <v>209</v>
      </c>
      <c r="E443" s="14" t="s">
        <v>208</v>
      </c>
      <c r="F443" s="14" t="s">
        <v>155</v>
      </c>
      <c r="G443" s="14" t="s">
        <v>156</v>
      </c>
      <c r="H443" s="14">
        <v>5</v>
      </c>
      <c r="I443" s="14"/>
      <c r="J443" s="14"/>
      <c r="K443" s="15"/>
    </row>
    <row r="444" spans="1:11">
      <c r="A444" s="14">
        <f>IF(B444="","",COUNTA($B$4:B444))</f>
        <v>441</v>
      </c>
      <c r="B444" s="14" t="s">
        <v>1491</v>
      </c>
      <c r="C444" s="14" t="s">
        <v>208</v>
      </c>
      <c r="D444" s="14" t="s">
        <v>209</v>
      </c>
      <c r="E444" s="14" t="s">
        <v>208</v>
      </c>
      <c r="F444" s="14" t="s">
        <v>155</v>
      </c>
      <c r="G444" s="14" t="s">
        <v>156</v>
      </c>
      <c r="H444" s="14">
        <v>5</v>
      </c>
      <c r="I444" s="14"/>
      <c r="J444" s="14"/>
      <c r="K444" s="140"/>
    </row>
    <row r="445" spans="1:11">
      <c r="A445" s="14">
        <f>IF(B445="","",COUNTA($B$4:B445))</f>
        <v>442</v>
      </c>
      <c r="B445" s="14" t="s">
        <v>1492</v>
      </c>
      <c r="C445" s="14" t="s">
        <v>208</v>
      </c>
      <c r="D445" s="14" t="s">
        <v>209</v>
      </c>
      <c r="E445" s="14" t="s">
        <v>208</v>
      </c>
      <c r="F445" s="14" t="s">
        <v>155</v>
      </c>
      <c r="G445" s="14" t="s">
        <v>156</v>
      </c>
      <c r="H445" s="14">
        <v>5</v>
      </c>
      <c r="I445" s="14"/>
      <c r="J445" s="14"/>
      <c r="K445" s="140"/>
    </row>
    <row r="446" spans="1:11">
      <c r="A446" s="14">
        <f>IF(B446="","",COUNTA($B$4:B446))</f>
        <v>443</v>
      </c>
      <c r="B446" s="14" t="s">
        <v>1497</v>
      </c>
      <c r="C446" s="14" t="s">
        <v>208</v>
      </c>
      <c r="D446" s="14" t="s">
        <v>209</v>
      </c>
      <c r="E446" s="14" t="s">
        <v>208</v>
      </c>
      <c r="F446" s="14" t="s">
        <v>155</v>
      </c>
      <c r="G446" s="14" t="s">
        <v>156</v>
      </c>
      <c r="H446" s="14">
        <v>5</v>
      </c>
      <c r="I446" s="14"/>
      <c r="J446" s="14"/>
      <c r="K446" s="140"/>
    </row>
    <row r="447" spans="1:11">
      <c r="A447" s="14">
        <f>IF(B447="","",COUNTA($B$4:B447))</f>
        <v>444</v>
      </c>
      <c r="B447" s="14" t="s">
        <v>1498</v>
      </c>
      <c r="C447" s="14" t="s">
        <v>208</v>
      </c>
      <c r="D447" s="14" t="s">
        <v>209</v>
      </c>
      <c r="E447" s="14" t="s">
        <v>208</v>
      </c>
      <c r="F447" s="14" t="s">
        <v>155</v>
      </c>
      <c r="G447" s="14" t="s">
        <v>156</v>
      </c>
      <c r="H447" s="14">
        <v>5</v>
      </c>
      <c r="I447" s="14"/>
      <c r="J447" s="14"/>
      <c r="K447" s="15"/>
    </row>
    <row r="448" spans="1:11">
      <c r="A448" s="14">
        <f>IF(B448="","",COUNTA($B$4:B448))</f>
        <v>445</v>
      </c>
      <c r="B448" s="14" t="s">
        <v>1502</v>
      </c>
      <c r="C448" s="14" t="s">
        <v>208</v>
      </c>
      <c r="D448" s="14" t="s">
        <v>209</v>
      </c>
      <c r="E448" s="14" t="s">
        <v>208</v>
      </c>
      <c r="F448" s="14" t="s">
        <v>155</v>
      </c>
      <c r="G448" s="14" t="s">
        <v>156</v>
      </c>
      <c r="H448" s="14">
        <v>5</v>
      </c>
      <c r="I448" s="14"/>
      <c r="J448" s="14"/>
      <c r="K448" s="140"/>
    </row>
    <row r="449" spans="1:11">
      <c r="A449" s="14">
        <f>IF(B449="","",COUNTA($B$4:B449))</f>
        <v>446</v>
      </c>
      <c r="B449" s="14" t="s">
        <v>1513</v>
      </c>
      <c r="C449" s="14" t="s">
        <v>208</v>
      </c>
      <c r="D449" s="14" t="s">
        <v>209</v>
      </c>
      <c r="E449" s="14" t="s">
        <v>208</v>
      </c>
      <c r="F449" s="14" t="s">
        <v>155</v>
      </c>
      <c r="G449" s="14" t="s">
        <v>156</v>
      </c>
      <c r="H449" s="14">
        <v>5</v>
      </c>
      <c r="I449" s="14"/>
      <c r="J449" s="14"/>
      <c r="K449" s="15"/>
    </row>
    <row r="450" spans="1:11">
      <c r="A450" s="14">
        <f>IF(B450="","",COUNTA($B$4:B450))</f>
        <v>447</v>
      </c>
      <c r="B450" s="14" t="s">
        <v>1515</v>
      </c>
      <c r="C450" s="14" t="s">
        <v>208</v>
      </c>
      <c r="D450" s="14" t="s">
        <v>209</v>
      </c>
      <c r="E450" s="14" t="s">
        <v>208</v>
      </c>
      <c r="F450" s="14" t="s">
        <v>155</v>
      </c>
      <c r="G450" s="14" t="s">
        <v>156</v>
      </c>
      <c r="H450" s="14">
        <v>5</v>
      </c>
      <c r="I450" s="14"/>
      <c r="J450" s="14"/>
      <c r="K450" s="15"/>
    </row>
    <row r="451" spans="1:11">
      <c r="A451" s="14">
        <f>IF(B451="","",COUNTA($B$4:B451))</f>
        <v>448</v>
      </c>
      <c r="B451" s="14" t="s">
        <v>1523</v>
      </c>
      <c r="C451" s="14" t="s">
        <v>208</v>
      </c>
      <c r="D451" s="14" t="s">
        <v>209</v>
      </c>
      <c r="E451" s="14" t="s">
        <v>208</v>
      </c>
      <c r="F451" s="14" t="s">
        <v>155</v>
      </c>
      <c r="G451" s="14" t="s">
        <v>156</v>
      </c>
      <c r="H451" s="14">
        <v>5</v>
      </c>
      <c r="I451" s="14"/>
      <c r="J451" s="15"/>
      <c r="K451" s="15"/>
    </row>
    <row r="452" spans="1:11">
      <c r="A452" s="14">
        <f>IF(B452="","",COUNTA($B$4:B452))</f>
        <v>449</v>
      </c>
      <c r="B452" s="14" t="s">
        <v>1485</v>
      </c>
      <c r="C452" s="14" t="s">
        <v>208</v>
      </c>
      <c r="D452" s="14" t="s">
        <v>209</v>
      </c>
      <c r="E452" s="14" t="s">
        <v>208</v>
      </c>
      <c r="F452" s="14" t="s">
        <v>155</v>
      </c>
      <c r="G452" s="14" t="s">
        <v>156</v>
      </c>
      <c r="H452" s="14">
        <v>5</v>
      </c>
      <c r="I452" s="14"/>
      <c r="J452" s="15"/>
      <c r="K452" s="15"/>
    </row>
    <row r="453" spans="1:11">
      <c r="A453" s="14">
        <f>IF(B453="","",COUNTA($B$4:B453))</f>
        <v>450</v>
      </c>
      <c r="B453" s="14" t="s">
        <v>1525</v>
      </c>
      <c r="C453" s="14" t="s">
        <v>208</v>
      </c>
      <c r="D453" s="14" t="s">
        <v>209</v>
      </c>
      <c r="E453" s="14" t="s">
        <v>208</v>
      </c>
      <c r="F453" s="14" t="s">
        <v>155</v>
      </c>
      <c r="G453" s="14" t="s">
        <v>156</v>
      </c>
      <c r="H453" s="14">
        <v>5</v>
      </c>
      <c r="I453" s="14"/>
      <c r="J453" s="15"/>
      <c r="K453" s="15"/>
    </row>
    <row r="454" spans="1:11">
      <c r="A454" s="14">
        <f>IF(B454="","",COUNTA($B$4:B454))</f>
        <v>451</v>
      </c>
      <c r="B454" s="14" t="s">
        <v>1526</v>
      </c>
      <c r="C454" s="14" t="s">
        <v>208</v>
      </c>
      <c r="D454" s="14" t="s">
        <v>209</v>
      </c>
      <c r="E454" s="14" t="s">
        <v>208</v>
      </c>
      <c r="F454" s="14" t="s">
        <v>155</v>
      </c>
      <c r="G454" s="14" t="s">
        <v>156</v>
      </c>
      <c r="H454" s="14">
        <v>5</v>
      </c>
      <c r="I454" s="14"/>
      <c r="J454" s="15"/>
      <c r="K454" s="140"/>
    </row>
    <row r="455" spans="1:11">
      <c r="A455" s="14">
        <f>IF(B455="","",COUNTA($B$4:B455))</f>
        <v>452</v>
      </c>
      <c r="B455" s="14" t="s">
        <v>1487</v>
      </c>
      <c r="C455" s="14" t="s">
        <v>203</v>
      </c>
      <c r="D455" s="14" t="s">
        <v>204</v>
      </c>
      <c r="E455" s="14" t="s">
        <v>203</v>
      </c>
      <c r="F455" s="14" t="s">
        <v>155</v>
      </c>
      <c r="G455" s="14" t="s">
        <v>156</v>
      </c>
      <c r="H455" s="14">
        <v>5</v>
      </c>
      <c r="I455" s="14">
        <v>2</v>
      </c>
      <c r="J455" s="14"/>
      <c r="K455" s="140"/>
    </row>
    <row r="456" spans="1:11">
      <c r="A456" s="14">
        <f>IF(B456="","",COUNTA($B$4:B456))</f>
        <v>453</v>
      </c>
      <c r="B456" s="14" t="s">
        <v>1489</v>
      </c>
      <c r="C456" s="14" t="s">
        <v>203</v>
      </c>
      <c r="D456" s="14" t="s">
        <v>204</v>
      </c>
      <c r="E456" s="14" t="s">
        <v>203</v>
      </c>
      <c r="F456" s="14" t="s">
        <v>155</v>
      </c>
      <c r="G456" s="14" t="s">
        <v>156</v>
      </c>
      <c r="H456" s="14">
        <v>5</v>
      </c>
      <c r="I456" s="14">
        <v>2</v>
      </c>
      <c r="J456" s="14"/>
      <c r="K456" s="15"/>
    </row>
    <row r="457" spans="1:11">
      <c r="A457" s="14">
        <f>IF(B457="","",COUNTA($B$4:B457))</f>
        <v>454</v>
      </c>
      <c r="B457" s="14" t="s">
        <v>1491</v>
      </c>
      <c r="C457" s="14" t="s">
        <v>203</v>
      </c>
      <c r="D457" s="14" t="s">
        <v>204</v>
      </c>
      <c r="E457" s="14" t="s">
        <v>203</v>
      </c>
      <c r="F457" s="14" t="s">
        <v>155</v>
      </c>
      <c r="G457" s="14" t="s">
        <v>156</v>
      </c>
      <c r="H457" s="14">
        <v>5</v>
      </c>
      <c r="I457" s="14">
        <v>2</v>
      </c>
      <c r="J457" s="14"/>
      <c r="K457" s="15"/>
    </row>
    <row r="458" spans="1:11">
      <c r="A458" s="14">
        <f>IF(B458="","",COUNTA($B$4:B458))</f>
        <v>455</v>
      </c>
      <c r="B458" s="14" t="s">
        <v>1492</v>
      </c>
      <c r="C458" s="14" t="s">
        <v>203</v>
      </c>
      <c r="D458" s="14" t="s">
        <v>204</v>
      </c>
      <c r="E458" s="14" t="s">
        <v>203</v>
      </c>
      <c r="F458" s="14" t="s">
        <v>155</v>
      </c>
      <c r="G458" s="14" t="s">
        <v>156</v>
      </c>
      <c r="H458" s="14">
        <v>5</v>
      </c>
      <c r="I458" s="14">
        <v>2</v>
      </c>
      <c r="J458" s="14"/>
      <c r="K458" s="15"/>
    </row>
    <row r="459" spans="1:11">
      <c r="A459" s="14">
        <f>IF(B459="","",COUNTA($B$4:B459))</f>
        <v>456</v>
      </c>
      <c r="B459" s="14" t="s">
        <v>1497</v>
      </c>
      <c r="C459" s="14" t="s">
        <v>203</v>
      </c>
      <c r="D459" s="14" t="s">
        <v>204</v>
      </c>
      <c r="E459" s="14" t="s">
        <v>203</v>
      </c>
      <c r="F459" s="14" t="s">
        <v>155</v>
      </c>
      <c r="G459" s="14" t="s">
        <v>156</v>
      </c>
      <c r="H459" s="14">
        <v>5</v>
      </c>
      <c r="I459" s="14">
        <v>2</v>
      </c>
      <c r="J459" s="14"/>
      <c r="K459" s="140"/>
    </row>
    <row r="460" spans="1:11">
      <c r="A460" s="14">
        <f>IF(B460="","",COUNTA($B$4:B460))</f>
        <v>457</v>
      </c>
      <c r="B460" s="14" t="s">
        <v>1498</v>
      </c>
      <c r="C460" s="14" t="s">
        <v>203</v>
      </c>
      <c r="D460" s="14" t="s">
        <v>204</v>
      </c>
      <c r="E460" s="14" t="s">
        <v>203</v>
      </c>
      <c r="F460" s="14" t="s">
        <v>155</v>
      </c>
      <c r="G460" s="14" t="s">
        <v>156</v>
      </c>
      <c r="H460" s="14">
        <v>5</v>
      </c>
      <c r="I460" s="14">
        <v>2</v>
      </c>
      <c r="J460" s="14"/>
      <c r="K460" s="15"/>
    </row>
    <row r="461" spans="1:11">
      <c r="A461" s="14">
        <f>IF(B461="","",COUNTA($B$4:B461))</f>
        <v>458</v>
      </c>
      <c r="B461" s="14" t="s">
        <v>1502</v>
      </c>
      <c r="C461" s="14" t="s">
        <v>203</v>
      </c>
      <c r="D461" s="14" t="s">
        <v>204</v>
      </c>
      <c r="E461" s="14" t="s">
        <v>203</v>
      </c>
      <c r="F461" s="14" t="s">
        <v>155</v>
      </c>
      <c r="G461" s="14" t="s">
        <v>156</v>
      </c>
      <c r="H461" s="14">
        <v>5</v>
      </c>
      <c r="I461" s="14">
        <v>2</v>
      </c>
      <c r="J461" s="14"/>
      <c r="K461" s="140"/>
    </row>
    <row r="462" spans="1:11">
      <c r="A462" s="14">
        <f>IF(B462="","",COUNTA($B$4:B462))</f>
        <v>459</v>
      </c>
      <c r="B462" s="14" t="s">
        <v>1513</v>
      </c>
      <c r="C462" s="14" t="s">
        <v>203</v>
      </c>
      <c r="D462" s="14" t="s">
        <v>204</v>
      </c>
      <c r="E462" s="14" t="s">
        <v>203</v>
      </c>
      <c r="F462" s="14" t="s">
        <v>155</v>
      </c>
      <c r="G462" s="14" t="s">
        <v>156</v>
      </c>
      <c r="H462" s="14">
        <v>5</v>
      </c>
      <c r="I462" s="14">
        <v>2</v>
      </c>
      <c r="J462" s="14"/>
      <c r="K462" s="140"/>
    </row>
    <row r="463" spans="1:11">
      <c r="A463" s="14">
        <f>IF(B463="","",COUNTA($B$4:B463))</f>
        <v>460</v>
      </c>
      <c r="B463" s="14" t="s">
        <v>1515</v>
      </c>
      <c r="C463" s="14" t="s">
        <v>203</v>
      </c>
      <c r="D463" s="14" t="s">
        <v>204</v>
      </c>
      <c r="E463" s="14" t="s">
        <v>203</v>
      </c>
      <c r="F463" s="14" t="s">
        <v>155</v>
      </c>
      <c r="G463" s="14" t="s">
        <v>156</v>
      </c>
      <c r="H463" s="14">
        <v>5</v>
      </c>
      <c r="I463" s="14">
        <v>2</v>
      </c>
      <c r="J463" s="14"/>
      <c r="K463" s="140"/>
    </row>
    <row r="464" spans="1:11">
      <c r="A464" s="14">
        <f>IF(B464="","",COUNTA($B$4:B464))</f>
        <v>461</v>
      </c>
      <c r="B464" s="14" t="s">
        <v>1523</v>
      </c>
      <c r="C464" s="14" t="s">
        <v>203</v>
      </c>
      <c r="D464" s="14" t="s">
        <v>204</v>
      </c>
      <c r="E464" s="14" t="s">
        <v>203</v>
      </c>
      <c r="F464" s="14" t="s">
        <v>155</v>
      </c>
      <c r="G464" s="14" t="s">
        <v>156</v>
      </c>
      <c r="H464" s="14">
        <v>5</v>
      </c>
      <c r="I464" s="14">
        <v>2</v>
      </c>
      <c r="J464" s="15"/>
      <c r="K464" s="15"/>
    </row>
    <row r="465" spans="1:11">
      <c r="A465" s="14">
        <f>IF(B465="","",COUNTA($B$4:B465))</f>
        <v>462</v>
      </c>
      <c r="B465" s="14" t="s">
        <v>1485</v>
      </c>
      <c r="C465" s="14" t="s">
        <v>203</v>
      </c>
      <c r="D465" s="14" t="s">
        <v>204</v>
      </c>
      <c r="E465" s="14" t="s">
        <v>203</v>
      </c>
      <c r="F465" s="14" t="s">
        <v>155</v>
      </c>
      <c r="G465" s="14" t="s">
        <v>156</v>
      </c>
      <c r="H465" s="14">
        <v>5</v>
      </c>
      <c r="I465" s="14">
        <v>2</v>
      </c>
      <c r="J465" s="15"/>
      <c r="K465" s="140"/>
    </row>
    <row r="466" spans="1:11">
      <c r="A466" s="14">
        <f>IF(B466="","",COUNTA($B$4:B466))</f>
        <v>463</v>
      </c>
      <c r="B466" s="14" t="s">
        <v>1525</v>
      </c>
      <c r="C466" s="14" t="s">
        <v>203</v>
      </c>
      <c r="D466" s="14" t="s">
        <v>204</v>
      </c>
      <c r="E466" s="14" t="s">
        <v>203</v>
      </c>
      <c r="F466" s="14" t="s">
        <v>155</v>
      </c>
      <c r="G466" s="14" t="s">
        <v>156</v>
      </c>
      <c r="H466" s="14">
        <v>5</v>
      </c>
      <c r="I466" s="14">
        <v>2</v>
      </c>
      <c r="J466" s="15"/>
      <c r="K466" s="15"/>
    </row>
    <row r="467" spans="1:11">
      <c r="A467" s="14">
        <f>IF(B467="","",COUNTA($B$4:B467))</f>
        <v>464</v>
      </c>
      <c r="B467" s="14" t="s">
        <v>1526</v>
      </c>
      <c r="C467" s="14" t="s">
        <v>203</v>
      </c>
      <c r="D467" s="14" t="s">
        <v>204</v>
      </c>
      <c r="E467" s="14" t="s">
        <v>203</v>
      </c>
      <c r="F467" s="14" t="s">
        <v>155</v>
      </c>
      <c r="G467" s="14" t="s">
        <v>156</v>
      </c>
      <c r="H467" s="14">
        <v>5</v>
      </c>
      <c r="I467" s="14">
        <v>2</v>
      </c>
      <c r="J467" s="15"/>
      <c r="K467" s="15"/>
    </row>
    <row r="468" spans="1:11">
      <c r="A468" s="14">
        <f>IF(B468="","",COUNTA($B$4:B468))</f>
        <v>465</v>
      </c>
      <c r="B468" s="14" t="s">
        <v>1514</v>
      </c>
      <c r="C468" s="14" t="s">
        <v>416</v>
      </c>
      <c r="D468" s="14" t="s">
        <v>417</v>
      </c>
      <c r="E468" s="14" t="s">
        <v>416</v>
      </c>
      <c r="F468" s="14" t="s">
        <v>150</v>
      </c>
      <c r="G468" s="14" t="s">
        <v>151</v>
      </c>
      <c r="H468" s="14">
        <v>30</v>
      </c>
      <c r="I468" s="14"/>
      <c r="J468" s="14"/>
      <c r="K468" s="15"/>
    </row>
    <row r="469" spans="1:11">
      <c r="A469" s="14">
        <f>IF(B469="","",COUNTA($B$4:B469))</f>
        <v>466</v>
      </c>
      <c r="B469" s="14" t="s">
        <v>1487</v>
      </c>
      <c r="C469" s="14" t="s">
        <v>253</v>
      </c>
      <c r="D469" s="14" t="s">
        <v>254</v>
      </c>
      <c r="E469" s="14" t="s">
        <v>253</v>
      </c>
      <c r="F469" s="14" t="s">
        <v>150</v>
      </c>
      <c r="G469" s="14" t="s">
        <v>151</v>
      </c>
      <c r="H469" s="14">
        <v>10</v>
      </c>
      <c r="I469" s="14"/>
      <c r="J469" s="14"/>
      <c r="K469" s="15"/>
    </row>
    <row r="470" spans="1:11">
      <c r="A470" s="14">
        <f>IF(B470="","",COUNTA($B$4:B470))</f>
        <v>467</v>
      </c>
      <c r="B470" s="14" t="s">
        <v>1489</v>
      </c>
      <c r="C470" s="14" t="s">
        <v>253</v>
      </c>
      <c r="D470" s="14" t="s">
        <v>254</v>
      </c>
      <c r="E470" s="14" t="s">
        <v>253</v>
      </c>
      <c r="F470" s="14" t="s">
        <v>150</v>
      </c>
      <c r="G470" s="14" t="s">
        <v>151</v>
      </c>
      <c r="H470" s="14">
        <v>10</v>
      </c>
      <c r="I470" s="14"/>
      <c r="J470" s="14"/>
      <c r="K470" s="140"/>
    </row>
    <row r="471" spans="1:11">
      <c r="A471" s="14">
        <f>IF(B471="","",COUNTA($B$4:B471))</f>
        <v>468</v>
      </c>
      <c r="B471" s="14" t="s">
        <v>1491</v>
      </c>
      <c r="C471" s="14" t="s">
        <v>253</v>
      </c>
      <c r="D471" s="14" t="s">
        <v>254</v>
      </c>
      <c r="E471" s="14" t="s">
        <v>253</v>
      </c>
      <c r="F471" s="14" t="s">
        <v>150</v>
      </c>
      <c r="G471" s="14" t="s">
        <v>151</v>
      </c>
      <c r="H471" s="14">
        <v>10</v>
      </c>
      <c r="I471" s="14"/>
      <c r="J471" s="14"/>
      <c r="K471" s="15"/>
    </row>
    <row r="472" spans="1:11">
      <c r="A472" s="14">
        <f>IF(B472="","",COUNTA($B$4:B472))</f>
        <v>469</v>
      </c>
      <c r="B472" s="14" t="s">
        <v>1492</v>
      </c>
      <c r="C472" s="14" t="s">
        <v>253</v>
      </c>
      <c r="D472" s="14" t="s">
        <v>254</v>
      </c>
      <c r="E472" s="14" t="s">
        <v>253</v>
      </c>
      <c r="F472" s="14" t="s">
        <v>150</v>
      </c>
      <c r="G472" s="14" t="s">
        <v>151</v>
      </c>
      <c r="H472" s="14">
        <v>10</v>
      </c>
      <c r="I472" s="14"/>
      <c r="J472" s="14"/>
      <c r="K472" s="15"/>
    </row>
    <row r="473" spans="1:11">
      <c r="A473" s="14">
        <f>IF(B473="","",COUNTA($B$4:B473))</f>
        <v>470</v>
      </c>
      <c r="B473" s="14" t="s">
        <v>1493</v>
      </c>
      <c r="C473" s="14" t="s">
        <v>253</v>
      </c>
      <c r="D473" s="14" t="s">
        <v>254</v>
      </c>
      <c r="E473" s="14" t="s">
        <v>253</v>
      </c>
      <c r="F473" s="14" t="s">
        <v>150</v>
      </c>
      <c r="G473" s="14" t="s">
        <v>151</v>
      </c>
      <c r="H473" s="14">
        <v>10</v>
      </c>
      <c r="I473" s="14"/>
      <c r="J473" s="14"/>
      <c r="K473" s="140"/>
    </row>
    <row r="474" spans="1:11">
      <c r="A474" s="14">
        <f>IF(B474="","",COUNTA($B$4:B474))</f>
        <v>471</v>
      </c>
      <c r="B474" s="14" t="s">
        <v>1494</v>
      </c>
      <c r="C474" s="14" t="s">
        <v>253</v>
      </c>
      <c r="D474" s="14" t="s">
        <v>254</v>
      </c>
      <c r="E474" s="14" t="s">
        <v>253</v>
      </c>
      <c r="F474" s="14" t="s">
        <v>150</v>
      </c>
      <c r="G474" s="14" t="s">
        <v>151</v>
      </c>
      <c r="H474" s="14">
        <v>10</v>
      </c>
      <c r="I474" s="14"/>
      <c r="J474" s="14"/>
      <c r="K474" s="15"/>
    </row>
    <row r="475" spans="1:11">
      <c r="A475" s="14">
        <f>IF(B475="","",COUNTA($B$4:B475))</f>
        <v>472</v>
      </c>
      <c r="B475" s="14" t="s">
        <v>1497</v>
      </c>
      <c r="C475" s="14" t="s">
        <v>253</v>
      </c>
      <c r="D475" s="14" t="s">
        <v>254</v>
      </c>
      <c r="E475" s="14" t="s">
        <v>253</v>
      </c>
      <c r="F475" s="14" t="s">
        <v>150</v>
      </c>
      <c r="G475" s="14" t="s">
        <v>151</v>
      </c>
      <c r="H475" s="14">
        <v>10</v>
      </c>
      <c r="I475" s="14"/>
      <c r="J475" s="14"/>
      <c r="K475" s="140"/>
    </row>
    <row r="476" spans="1:11">
      <c r="A476" s="14">
        <f>IF(B476="","",COUNTA($B$4:B476))</f>
        <v>473</v>
      </c>
      <c r="B476" s="14" t="s">
        <v>1498</v>
      </c>
      <c r="C476" s="14" t="s">
        <v>253</v>
      </c>
      <c r="D476" s="14" t="s">
        <v>254</v>
      </c>
      <c r="E476" s="14" t="s">
        <v>253</v>
      </c>
      <c r="F476" s="14" t="s">
        <v>150</v>
      </c>
      <c r="G476" s="14" t="s">
        <v>151</v>
      </c>
      <c r="H476" s="14">
        <v>10</v>
      </c>
      <c r="I476" s="14"/>
      <c r="J476" s="14"/>
      <c r="K476" s="15"/>
    </row>
    <row r="477" spans="1:11">
      <c r="A477" s="14">
        <f>IF(B477="","",COUNTA($B$4:B477))</f>
        <v>474</v>
      </c>
      <c r="B477" s="14" t="s">
        <v>1502</v>
      </c>
      <c r="C477" s="14" t="s">
        <v>253</v>
      </c>
      <c r="D477" s="14" t="s">
        <v>254</v>
      </c>
      <c r="E477" s="14" t="s">
        <v>253</v>
      </c>
      <c r="F477" s="14" t="s">
        <v>150</v>
      </c>
      <c r="G477" s="14" t="s">
        <v>151</v>
      </c>
      <c r="H477" s="14">
        <v>10</v>
      </c>
      <c r="I477" s="14"/>
      <c r="J477" s="14"/>
      <c r="K477" s="140"/>
    </row>
    <row r="478" spans="1:11">
      <c r="A478" s="14">
        <f>IF(B478="","",COUNTA($B$4:B478))</f>
        <v>475</v>
      </c>
      <c r="B478" s="14" t="s">
        <v>1512</v>
      </c>
      <c r="C478" s="14" t="s">
        <v>253</v>
      </c>
      <c r="D478" s="14" t="s">
        <v>254</v>
      </c>
      <c r="E478" s="14" t="s">
        <v>253</v>
      </c>
      <c r="F478" s="14" t="s">
        <v>150</v>
      </c>
      <c r="G478" s="14" t="s">
        <v>151</v>
      </c>
      <c r="H478" s="14">
        <v>10</v>
      </c>
      <c r="I478" s="14" t="s">
        <v>244</v>
      </c>
      <c r="J478" s="14"/>
      <c r="K478" s="15"/>
    </row>
    <row r="479" spans="1:11">
      <c r="A479" s="14">
        <f>IF(B479="","",COUNTA($B$4:B479))</f>
        <v>476</v>
      </c>
      <c r="B479" s="14" t="s">
        <v>1513</v>
      </c>
      <c r="C479" s="14" t="s">
        <v>253</v>
      </c>
      <c r="D479" s="14" t="s">
        <v>254</v>
      </c>
      <c r="E479" s="14" t="s">
        <v>253</v>
      </c>
      <c r="F479" s="14" t="s">
        <v>150</v>
      </c>
      <c r="G479" s="14" t="s">
        <v>151</v>
      </c>
      <c r="H479" s="14">
        <v>10</v>
      </c>
      <c r="I479" s="14"/>
      <c r="J479" s="14"/>
      <c r="K479" s="15"/>
    </row>
    <row r="480" spans="1:11">
      <c r="A480" s="14">
        <f>IF(B480="","",COUNTA($B$4:B480))</f>
        <v>477</v>
      </c>
      <c r="B480" s="14" t="s">
        <v>1514</v>
      </c>
      <c r="C480" s="14" t="s">
        <v>253</v>
      </c>
      <c r="D480" s="14" t="s">
        <v>254</v>
      </c>
      <c r="E480" s="14" t="s">
        <v>253</v>
      </c>
      <c r="F480" s="14" t="s">
        <v>150</v>
      </c>
      <c r="G480" s="14" t="s">
        <v>151</v>
      </c>
      <c r="H480" s="14">
        <v>10</v>
      </c>
      <c r="I480" s="14"/>
      <c r="J480" s="14"/>
      <c r="K480" s="140"/>
    </row>
    <row r="481" spans="1:11">
      <c r="A481" s="14">
        <f>IF(B481="","",COUNTA($B$4:B481))</f>
        <v>478</v>
      </c>
      <c r="B481" s="14" t="s">
        <v>1515</v>
      </c>
      <c r="C481" s="14" t="s">
        <v>253</v>
      </c>
      <c r="D481" s="14" t="s">
        <v>254</v>
      </c>
      <c r="E481" s="14" t="s">
        <v>253</v>
      </c>
      <c r="F481" s="14" t="s">
        <v>150</v>
      </c>
      <c r="G481" s="14" t="s">
        <v>151</v>
      </c>
      <c r="H481" s="14">
        <v>10</v>
      </c>
      <c r="I481" s="14"/>
      <c r="J481" s="14"/>
      <c r="K481" s="15"/>
    </row>
    <row r="482" spans="1:11">
      <c r="A482" s="14">
        <f>IF(B482="","",COUNTA($B$4:B482))</f>
        <v>479</v>
      </c>
      <c r="B482" s="14" t="s">
        <v>1516</v>
      </c>
      <c r="C482" s="14" t="s">
        <v>253</v>
      </c>
      <c r="D482" s="14" t="s">
        <v>254</v>
      </c>
      <c r="E482" s="14" t="s">
        <v>253</v>
      </c>
      <c r="F482" s="14" t="s">
        <v>150</v>
      </c>
      <c r="G482" s="14" t="s">
        <v>151</v>
      </c>
      <c r="H482" s="14">
        <v>10</v>
      </c>
      <c r="I482" s="14"/>
      <c r="J482" s="15"/>
      <c r="K482" s="140"/>
    </row>
    <row r="483" spans="1:11">
      <c r="A483" s="14">
        <f>IF(B483="","",COUNTA($B$4:B483))</f>
        <v>480</v>
      </c>
      <c r="B483" s="14" t="s">
        <v>1523</v>
      </c>
      <c r="C483" s="14" t="s">
        <v>253</v>
      </c>
      <c r="D483" s="14" t="s">
        <v>254</v>
      </c>
      <c r="E483" s="14" t="s">
        <v>253</v>
      </c>
      <c r="F483" s="14" t="s">
        <v>150</v>
      </c>
      <c r="G483" s="14" t="s">
        <v>151</v>
      </c>
      <c r="H483" s="14">
        <v>10</v>
      </c>
      <c r="I483" s="14"/>
      <c r="J483" s="15"/>
      <c r="K483" s="15"/>
    </row>
    <row r="484" spans="1:11">
      <c r="A484" s="14">
        <f>IF(B484="","",COUNTA($B$4:B484))</f>
        <v>481</v>
      </c>
      <c r="B484" s="14" t="s">
        <v>1485</v>
      </c>
      <c r="C484" s="14" t="s">
        <v>253</v>
      </c>
      <c r="D484" s="14" t="s">
        <v>254</v>
      </c>
      <c r="E484" s="14" t="s">
        <v>253</v>
      </c>
      <c r="F484" s="14" t="s">
        <v>150</v>
      </c>
      <c r="G484" s="14" t="s">
        <v>151</v>
      </c>
      <c r="H484" s="14">
        <v>10</v>
      </c>
      <c r="I484" s="14"/>
      <c r="J484" s="15"/>
      <c r="K484" s="140"/>
    </row>
    <row r="485" spans="1:11">
      <c r="A485" s="14">
        <f>IF(B485="","",COUNTA($B$4:B485))</f>
        <v>482</v>
      </c>
      <c r="B485" s="14" t="s">
        <v>1525</v>
      </c>
      <c r="C485" s="14" t="s">
        <v>253</v>
      </c>
      <c r="D485" s="14" t="s">
        <v>254</v>
      </c>
      <c r="E485" s="14" t="s">
        <v>253</v>
      </c>
      <c r="F485" s="14" t="s">
        <v>150</v>
      </c>
      <c r="G485" s="14" t="s">
        <v>151</v>
      </c>
      <c r="H485" s="14">
        <v>10</v>
      </c>
      <c r="I485" s="14"/>
      <c r="J485" s="15"/>
      <c r="K485" s="140"/>
    </row>
    <row r="486" spans="1:11">
      <c r="A486" s="14">
        <f>IF(B486="","",COUNTA($B$4:B486))</f>
        <v>483</v>
      </c>
      <c r="B486" s="14" t="s">
        <v>1526</v>
      </c>
      <c r="C486" s="14" t="s">
        <v>253</v>
      </c>
      <c r="D486" s="14" t="s">
        <v>254</v>
      </c>
      <c r="E486" s="14" t="s">
        <v>253</v>
      </c>
      <c r="F486" s="14" t="s">
        <v>150</v>
      </c>
      <c r="G486" s="14" t="s">
        <v>151</v>
      </c>
      <c r="H486" s="14">
        <v>10</v>
      </c>
      <c r="I486" s="14"/>
      <c r="J486" s="15"/>
      <c r="K486" s="15"/>
    </row>
    <row r="487" spans="1:11">
      <c r="A487" s="14">
        <f>IF(B487="","",COUNTA($B$4:B487))</f>
        <v>484</v>
      </c>
      <c r="B487" s="14" t="s">
        <v>1531</v>
      </c>
      <c r="C487" s="14" t="s">
        <v>253</v>
      </c>
      <c r="D487" s="14" t="s">
        <v>254</v>
      </c>
      <c r="E487" s="14" t="s">
        <v>253</v>
      </c>
      <c r="F487" s="14" t="s">
        <v>150</v>
      </c>
      <c r="G487" s="14" t="s">
        <v>151</v>
      </c>
      <c r="H487" s="14">
        <v>10</v>
      </c>
      <c r="I487" s="14"/>
      <c r="J487" s="15"/>
      <c r="K487" s="15"/>
    </row>
    <row r="488" spans="1:11">
      <c r="A488" s="14">
        <f>IF(B488="","",COUNTA($B$4:B488))</f>
        <v>485</v>
      </c>
      <c r="B488" s="14" t="s">
        <v>1487</v>
      </c>
      <c r="C488" s="14" t="s">
        <v>255</v>
      </c>
      <c r="D488" s="14" t="s">
        <v>256</v>
      </c>
      <c r="E488" s="14" t="s">
        <v>255</v>
      </c>
      <c r="F488" s="14" t="s">
        <v>150</v>
      </c>
      <c r="G488" s="14" t="s">
        <v>151</v>
      </c>
      <c r="H488" s="14">
        <v>10</v>
      </c>
      <c r="I488" s="14"/>
      <c r="J488" s="14"/>
      <c r="K488" s="15"/>
    </row>
    <row r="489" spans="1:11">
      <c r="A489" s="14">
        <f>IF(B489="","",COUNTA($B$4:B489))</f>
        <v>486</v>
      </c>
      <c r="B489" s="14" t="s">
        <v>1489</v>
      </c>
      <c r="C489" s="14" t="s">
        <v>255</v>
      </c>
      <c r="D489" s="14" t="s">
        <v>256</v>
      </c>
      <c r="E489" s="14" t="s">
        <v>255</v>
      </c>
      <c r="F489" s="14" t="s">
        <v>150</v>
      </c>
      <c r="G489" s="14" t="s">
        <v>151</v>
      </c>
      <c r="H489" s="14">
        <v>10</v>
      </c>
      <c r="I489" s="14"/>
      <c r="J489" s="14"/>
      <c r="K489" s="140"/>
    </row>
    <row r="490" spans="1:11">
      <c r="A490" s="14">
        <f>IF(B490="","",COUNTA($B$4:B490))</f>
        <v>487</v>
      </c>
      <c r="B490" s="14" t="s">
        <v>1491</v>
      </c>
      <c r="C490" s="14" t="s">
        <v>255</v>
      </c>
      <c r="D490" s="14" t="s">
        <v>256</v>
      </c>
      <c r="E490" s="14" t="s">
        <v>255</v>
      </c>
      <c r="F490" s="14" t="s">
        <v>150</v>
      </c>
      <c r="G490" s="14" t="s">
        <v>151</v>
      </c>
      <c r="H490" s="14">
        <v>10</v>
      </c>
      <c r="I490" s="14"/>
      <c r="J490" s="14"/>
      <c r="K490" s="140"/>
    </row>
    <row r="491" spans="1:11">
      <c r="A491" s="14">
        <f>IF(B491="","",COUNTA($B$4:B491))</f>
        <v>488</v>
      </c>
      <c r="B491" s="14" t="s">
        <v>1492</v>
      </c>
      <c r="C491" s="14" t="s">
        <v>255</v>
      </c>
      <c r="D491" s="14" t="s">
        <v>256</v>
      </c>
      <c r="E491" s="14" t="s">
        <v>255</v>
      </c>
      <c r="F491" s="14" t="s">
        <v>150</v>
      </c>
      <c r="G491" s="14" t="s">
        <v>151</v>
      </c>
      <c r="H491" s="14">
        <v>10</v>
      </c>
      <c r="I491" s="14"/>
      <c r="J491" s="14"/>
      <c r="K491" s="140"/>
    </row>
    <row r="492" spans="1:11">
      <c r="A492" s="14">
        <f>IF(B492="","",COUNTA($B$4:B492))</f>
        <v>489</v>
      </c>
      <c r="B492" s="14" t="s">
        <v>1493</v>
      </c>
      <c r="C492" s="14" t="s">
        <v>255</v>
      </c>
      <c r="D492" s="14" t="s">
        <v>256</v>
      </c>
      <c r="E492" s="14" t="s">
        <v>255</v>
      </c>
      <c r="F492" s="14" t="s">
        <v>150</v>
      </c>
      <c r="G492" s="14" t="s">
        <v>151</v>
      </c>
      <c r="H492" s="14">
        <v>10</v>
      </c>
      <c r="I492" s="14"/>
      <c r="J492" s="14"/>
      <c r="K492" s="140"/>
    </row>
    <row r="493" spans="1:11">
      <c r="A493" s="14">
        <f>IF(B493="","",COUNTA($B$4:B493))</f>
        <v>490</v>
      </c>
      <c r="B493" s="14" t="s">
        <v>1494</v>
      </c>
      <c r="C493" s="14" t="s">
        <v>255</v>
      </c>
      <c r="D493" s="14" t="s">
        <v>256</v>
      </c>
      <c r="E493" s="14" t="s">
        <v>255</v>
      </c>
      <c r="F493" s="14" t="s">
        <v>150</v>
      </c>
      <c r="G493" s="14" t="s">
        <v>151</v>
      </c>
      <c r="H493" s="14">
        <v>10</v>
      </c>
      <c r="I493" s="14"/>
      <c r="J493" s="14"/>
      <c r="K493" s="15"/>
    </row>
    <row r="494" spans="1:11">
      <c r="A494" s="14">
        <f>IF(B494="","",COUNTA($B$4:B494))</f>
        <v>491</v>
      </c>
      <c r="B494" s="14" t="s">
        <v>1497</v>
      </c>
      <c r="C494" s="14" t="s">
        <v>255</v>
      </c>
      <c r="D494" s="14" t="s">
        <v>256</v>
      </c>
      <c r="E494" s="14" t="s">
        <v>255</v>
      </c>
      <c r="F494" s="14" t="s">
        <v>150</v>
      </c>
      <c r="G494" s="14" t="s">
        <v>151</v>
      </c>
      <c r="H494" s="14">
        <v>10</v>
      </c>
      <c r="I494" s="14"/>
      <c r="J494" s="14"/>
      <c r="K494" s="15"/>
    </row>
    <row r="495" spans="1:11">
      <c r="A495" s="14">
        <f>IF(B495="","",COUNTA($B$4:B495))</f>
        <v>492</v>
      </c>
      <c r="B495" s="14" t="s">
        <v>1498</v>
      </c>
      <c r="C495" s="14" t="s">
        <v>255</v>
      </c>
      <c r="D495" s="14" t="s">
        <v>256</v>
      </c>
      <c r="E495" s="14" t="s">
        <v>255</v>
      </c>
      <c r="F495" s="14" t="s">
        <v>150</v>
      </c>
      <c r="G495" s="14" t="s">
        <v>151</v>
      </c>
      <c r="H495" s="14">
        <v>10</v>
      </c>
      <c r="I495" s="14"/>
      <c r="J495" s="14"/>
      <c r="K495" s="15"/>
    </row>
    <row r="496" spans="1:11">
      <c r="A496" s="14">
        <f>IF(B496="","",COUNTA($B$4:B496))</f>
        <v>493</v>
      </c>
      <c r="B496" s="14" t="s">
        <v>1502</v>
      </c>
      <c r="C496" s="14" t="s">
        <v>255</v>
      </c>
      <c r="D496" s="14" t="s">
        <v>256</v>
      </c>
      <c r="E496" s="14" t="s">
        <v>255</v>
      </c>
      <c r="F496" s="14" t="s">
        <v>150</v>
      </c>
      <c r="G496" s="14" t="s">
        <v>151</v>
      </c>
      <c r="H496" s="14">
        <v>10</v>
      </c>
      <c r="I496" s="14"/>
      <c r="J496" s="14"/>
      <c r="K496" s="140"/>
    </row>
    <row r="497" spans="1:11">
      <c r="A497" s="14">
        <f>IF(B497="","",COUNTA($B$4:B497))</f>
        <v>494</v>
      </c>
      <c r="B497" s="14" t="s">
        <v>1512</v>
      </c>
      <c r="C497" s="14" t="s">
        <v>255</v>
      </c>
      <c r="D497" s="14" t="s">
        <v>256</v>
      </c>
      <c r="E497" s="14" t="s">
        <v>255</v>
      </c>
      <c r="F497" s="14" t="s">
        <v>150</v>
      </c>
      <c r="G497" s="14" t="s">
        <v>151</v>
      </c>
      <c r="H497" s="14">
        <v>10</v>
      </c>
      <c r="I497" s="14" t="s">
        <v>244</v>
      </c>
      <c r="J497" s="14"/>
      <c r="K497" s="15"/>
    </row>
    <row r="498" spans="1:11">
      <c r="A498" s="14">
        <f>IF(B498="","",COUNTA($B$4:B498))</f>
        <v>495</v>
      </c>
      <c r="B498" s="14" t="s">
        <v>1513</v>
      </c>
      <c r="C498" s="14" t="s">
        <v>255</v>
      </c>
      <c r="D498" s="14" t="s">
        <v>256</v>
      </c>
      <c r="E498" s="14" t="s">
        <v>255</v>
      </c>
      <c r="F498" s="14" t="s">
        <v>150</v>
      </c>
      <c r="G498" s="14" t="s">
        <v>151</v>
      </c>
      <c r="H498" s="14">
        <v>10</v>
      </c>
      <c r="I498" s="14"/>
      <c r="J498" s="14"/>
      <c r="K498" s="140"/>
    </row>
    <row r="499" spans="1:11">
      <c r="A499" s="14">
        <f>IF(B499="","",COUNTA($B$4:B499))</f>
        <v>496</v>
      </c>
      <c r="B499" s="14" t="s">
        <v>1514</v>
      </c>
      <c r="C499" s="14" t="s">
        <v>255</v>
      </c>
      <c r="D499" s="14" t="s">
        <v>256</v>
      </c>
      <c r="E499" s="14" t="s">
        <v>255</v>
      </c>
      <c r="F499" s="14" t="s">
        <v>150</v>
      </c>
      <c r="G499" s="14" t="s">
        <v>151</v>
      </c>
      <c r="H499" s="14">
        <v>10</v>
      </c>
      <c r="I499" s="14"/>
      <c r="J499" s="14"/>
      <c r="K499" s="15"/>
    </row>
    <row r="500" spans="1:11">
      <c r="A500" s="14">
        <f>IF(B500="","",COUNTA($B$4:B500))</f>
        <v>497</v>
      </c>
      <c r="B500" s="14" t="s">
        <v>1515</v>
      </c>
      <c r="C500" s="14" t="s">
        <v>255</v>
      </c>
      <c r="D500" s="14" t="s">
        <v>256</v>
      </c>
      <c r="E500" s="14" t="s">
        <v>255</v>
      </c>
      <c r="F500" s="14" t="s">
        <v>150</v>
      </c>
      <c r="G500" s="14" t="s">
        <v>151</v>
      </c>
      <c r="H500" s="14">
        <v>10</v>
      </c>
      <c r="I500" s="14"/>
      <c r="J500" s="14"/>
      <c r="K500" s="140"/>
    </row>
    <row r="501" spans="1:11">
      <c r="A501" s="14">
        <f>IF(B501="","",COUNTA($B$4:B501))</f>
        <v>498</v>
      </c>
      <c r="B501" s="14" t="s">
        <v>1516</v>
      </c>
      <c r="C501" s="14" t="s">
        <v>255</v>
      </c>
      <c r="D501" s="14" t="s">
        <v>256</v>
      </c>
      <c r="E501" s="14" t="s">
        <v>255</v>
      </c>
      <c r="F501" s="14" t="s">
        <v>150</v>
      </c>
      <c r="G501" s="14" t="s">
        <v>151</v>
      </c>
      <c r="H501" s="14">
        <v>10</v>
      </c>
      <c r="I501" s="14"/>
      <c r="J501" s="15"/>
      <c r="K501" s="15"/>
    </row>
    <row r="502" spans="1:11">
      <c r="A502" s="14">
        <f>IF(B502="","",COUNTA($B$4:B502))</f>
        <v>499</v>
      </c>
      <c r="B502" s="14" t="s">
        <v>1523</v>
      </c>
      <c r="C502" s="14" t="s">
        <v>255</v>
      </c>
      <c r="D502" s="14" t="s">
        <v>256</v>
      </c>
      <c r="E502" s="14" t="s">
        <v>255</v>
      </c>
      <c r="F502" s="14" t="s">
        <v>150</v>
      </c>
      <c r="G502" s="14" t="s">
        <v>151</v>
      </c>
      <c r="H502" s="14">
        <v>10</v>
      </c>
      <c r="I502" s="14"/>
      <c r="J502" s="15"/>
      <c r="K502" s="15"/>
    </row>
    <row r="503" spans="1:11">
      <c r="A503" s="14">
        <f>IF(B503="","",COUNTA($B$4:B503))</f>
        <v>500</v>
      </c>
      <c r="B503" s="14" t="s">
        <v>1485</v>
      </c>
      <c r="C503" s="14" t="s">
        <v>255</v>
      </c>
      <c r="D503" s="14" t="s">
        <v>256</v>
      </c>
      <c r="E503" s="14" t="s">
        <v>255</v>
      </c>
      <c r="F503" s="14" t="s">
        <v>150</v>
      </c>
      <c r="G503" s="14" t="s">
        <v>151</v>
      </c>
      <c r="H503" s="14">
        <v>10</v>
      </c>
      <c r="I503" s="14"/>
      <c r="J503" s="15"/>
      <c r="K503" s="15"/>
    </row>
    <row r="504" spans="1:11">
      <c r="A504" s="14">
        <f>IF(B504="","",COUNTA($B$4:B504))</f>
        <v>501</v>
      </c>
      <c r="B504" s="14" t="s">
        <v>1525</v>
      </c>
      <c r="C504" s="14" t="s">
        <v>255</v>
      </c>
      <c r="D504" s="14" t="s">
        <v>256</v>
      </c>
      <c r="E504" s="14" t="s">
        <v>255</v>
      </c>
      <c r="F504" s="14" t="s">
        <v>150</v>
      </c>
      <c r="G504" s="14" t="s">
        <v>151</v>
      </c>
      <c r="H504" s="14">
        <v>10</v>
      </c>
      <c r="I504" s="14"/>
      <c r="J504" s="15"/>
      <c r="K504" s="15"/>
    </row>
    <row r="505" spans="1:11">
      <c r="A505" s="14">
        <f>IF(B505="","",COUNTA($B$4:B505))</f>
        <v>502</v>
      </c>
      <c r="B505" s="14" t="s">
        <v>1526</v>
      </c>
      <c r="C505" s="14" t="s">
        <v>255</v>
      </c>
      <c r="D505" s="14" t="s">
        <v>256</v>
      </c>
      <c r="E505" s="14" t="s">
        <v>255</v>
      </c>
      <c r="F505" s="14" t="s">
        <v>150</v>
      </c>
      <c r="G505" s="14" t="s">
        <v>151</v>
      </c>
      <c r="H505" s="14">
        <v>10</v>
      </c>
      <c r="I505" s="14"/>
      <c r="J505" s="15"/>
      <c r="K505" s="140"/>
    </row>
    <row r="506" spans="1:11">
      <c r="A506" s="14">
        <f>IF(B506="","",COUNTA($B$4:B506))</f>
        <v>503</v>
      </c>
      <c r="B506" s="14" t="s">
        <v>1531</v>
      </c>
      <c r="C506" s="14" t="s">
        <v>255</v>
      </c>
      <c r="D506" s="14" t="s">
        <v>256</v>
      </c>
      <c r="E506" s="14" t="s">
        <v>255</v>
      </c>
      <c r="F506" s="14" t="s">
        <v>150</v>
      </c>
      <c r="G506" s="14" t="s">
        <v>151</v>
      </c>
      <c r="H506" s="14">
        <v>10</v>
      </c>
      <c r="I506" s="14"/>
      <c r="J506" s="15"/>
      <c r="K506" s="15"/>
    </row>
    <row r="507" spans="1:11">
      <c r="A507" s="14">
        <f>IF(B507="","",COUNTA($B$4:B507))</f>
        <v>504</v>
      </c>
      <c r="B507" s="14" t="s">
        <v>1534</v>
      </c>
      <c r="C507" s="14" t="s">
        <v>255</v>
      </c>
      <c r="D507" s="14" t="s">
        <v>256</v>
      </c>
      <c r="E507" s="14" t="s">
        <v>255</v>
      </c>
      <c r="F507" s="14" t="s">
        <v>150</v>
      </c>
      <c r="G507" s="14" t="s">
        <v>151</v>
      </c>
      <c r="H507" s="14">
        <v>10</v>
      </c>
      <c r="I507" s="14"/>
      <c r="J507" s="15"/>
      <c r="K507" s="15"/>
    </row>
    <row r="508" spans="1:11">
      <c r="A508" s="14">
        <f>IF(B508="","",COUNTA($B$4:B508))</f>
        <v>505</v>
      </c>
      <c r="B508" s="14" t="s">
        <v>1594</v>
      </c>
      <c r="C508" s="14" t="s">
        <v>255</v>
      </c>
      <c r="D508" s="14" t="s">
        <v>256</v>
      </c>
      <c r="E508" s="14" t="s">
        <v>255</v>
      </c>
      <c r="F508" s="14" t="s">
        <v>150</v>
      </c>
      <c r="G508" s="14" t="s">
        <v>151</v>
      </c>
      <c r="H508" s="14">
        <v>10</v>
      </c>
      <c r="I508" s="14"/>
      <c r="J508" s="15"/>
      <c r="K508" s="15"/>
    </row>
    <row r="509" spans="1:11">
      <c r="A509" s="14">
        <f>IF(B509="","",COUNTA($B$4:B509))</f>
        <v>506</v>
      </c>
      <c r="B509" s="14" t="s">
        <v>1487</v>
      </c>
      <c r="C509" s="14" t="s">
        <v>257</v>
      </c>
      <c r="D509" s="14" t="s">
        <v>258</v>
      </c>
      <c r="E509" s="14" t="s">
        <v>257</v>
      </c>
      <c r="F509" s="14" t="s">
        <v>169</v>
      </c>
      <c r="G509" s="14" t="s">
        <v>243</v>
      </c>
      <c r="H509" s="14"/>
      <c r="I509" s="14"/>
      <c r="J509" s="14"/>
      <c r="K509" s="140"/>
    </row>
    <row r="510" spans="1:11">
      <c r="A510" s="14">
        <f>IF(B510="","",COUNTA($B$4:B510))</f>
        <v>507</v>
      </c>
      <c r="B510" s="14" t="s">
        <v>1489</v>
      </c>
      <c r="C510" s="14" t="s">
        <v>257</v>
      </c>
      <c r="D510" s="14" t="s">
        <v>258</v>
      </c>
      <c r="E510" s="14" t="s">
        <v>257</v>
      </c>
      <c r="F510" s="14" t="s">
        <v>169</v>
      </c>
      <c r="G510" s="14" t="s">
        <v>243</v>
      </c>
      <c r="H510" s="14"/>
      <c r="I510" s="14"/>
      <c r="J510" s="14"/>
      <c r="K510" s="15"/>
    </row>
    <row r="511" spans="1:11">
      <c r="A511" s="14">
        <f>IF(B511="","",COUNTA($B$4:B511))</f>
        <v>508</v>
      </c>
      <c r="B511" s="14" t="s">
        <v>1491</v>
      </c>
      <c r="C511" s="14" t="s">
        <v>257</v>
      </c>
      <c r="D511" s="14" t="s">
        <v>258</v>
      </c>
      <c r="E511" s="14" t="s">
        <v>257</v>
      </c>
      <c r="F511" s="14" t="s">
        <v>169</v>
      </c>
      <c r="G511" s="14" t="s">
        <v>243</v>
      </c>
      <c r="H511" s="14"/>
      <c r="I511" s="14"/>
      <c r="J511" s="14"/>
      <c r="K511" s="15"/>
    </row>
    <row r="512" spans="1:11">
      <c r="A512" s="14">
        <f>IF(B512="","",COUNTA($B$4:B512))</f>
        <v>509</v>
      </c>
      <c r="B512" s="14" t="s">
        <v>1492</v>
      </c>
      <c r="C512" s="14" t="s">
        <v>257</v>
      </c>
      <c r="D512" s="14" t="s">
        <v>258</v>
      </c>
      <c r="E512" s="14" t="s">
        <v>257</v>
      </c>
      <c r="F512" s="14" t="s">
        <v>169</v>
      </c>
      <c r="G512" s="14" t="s">
        <v>243</v>
      </c>
      <c r="H512" s="14"/>
      <c r="I512" s="14"/>
      <c r="J512" s="14"/>
      <c r="K512" s="140"/>
    </row>
    <row r="513" spans="1:11">
      <c r="A513" s="14">
        <f>IF(B513="","",COUNTA($B$4:B513))</f>
        <v>510</v>
      </c>
      <c r="B513" s="14" t="s">
        <v>1493</v>
      </c>
      <c r="C513" s="14" t="s">
        <v>257</v>
      </c>
      <c r="D513" s="14" t="s">
        <v>258</v>
      </c>
      <c r="E513" s="14" t="s">
        <v>257</v>
      </c>
      <c r="F513" s="14" t="s">
        <v>169</v>
      </c>
      <c r="G513" s="14" t="s">
        <v>243</v>
      </c>
      <c r="H513" s="14"/>
      <c r="I513" s="14"/>
      <c r="J513" s="14"/>
      <c r="K513" s="140"/>
    </row>
    <row r="514" spans="1:11">
      <c r="A514" s="14">
        <f>IF(B514="","",COUNTA($B$4:B514))</f>
        <v>511</v>
      </c>
      <c r="B514" s="14" t="s">
        <v>1494</v>
      </c>
      <c r="C514" s="14" t="s">
        <v>257</v>
      </c>
      <c r="D514" s="14" t="s">
        <v>258</v>
      </c>
      <c r="E514" s="14" t="s">
        <v>257</v>
      </c>
      <c r="F514" s="14" t="s">
        <v>169</v>
      </c>
      <c r="G514" s="14" t="s">
        <v>243</v>
      </c>
      <c r="H514" s="14"/>
      <c r="I514" s="14"/>
      <c r="J514" s="14"/>
      <c r="K514" s="140"/>
    </row>
    <row r="515" spans="1:11">
      <c r="A515" s="14">
        <f>IF(B515="","",COUNTA($B$4:B515))</f>
        <v>512</v>
      </c>
      <c r="B515" s="14" t="s">
        <v>1497</v>
      </c>
      <c r="C515" s="14" t="s">
        <v>257</v>
      </c>
      <c r="D515" s="14" t="s">
        <v>258</v>
      </c>
      <c r="E515" s="14" t="s">
        <v>257</v>
      </c>
      <c r="F515" s="14" t="s">
        <v>169</v>
      </c>
      <c r="G515" s="14" t="s">
        <v>243</v>
      </c>
      <c r="H515" s="14"/>
      <c r="I515" s="14"/>
      <c r="J515" s="14"/>
      <c r="K515" s="15"/>
    </row>
    <row r="516" spans="1:11">
      <c r="A516" s="14">
        <f>IF(B516="","",COUNTA($B$4:B516))</f>
        <v>513</v>
      </c>
      <c r="B516" s="14" t="s">
        <v>1498</v>
      </c>
      <c r="C516" s="14" t="s">
        <v>257</v>
      </c>
      <c r="D516" s="14" t="s">
        <v>258</v>
      </c>
      <c r="E516" s="14" t="s">
        <v>257</v>
      </c>
      <c r="F516" s="14" t="s">
        <v>169</v>
      </c>
      <c r="G516" s="14" t="s">
        <v>243</v>
      </c>
      <c r="H516" s="14"/>
      <c r="I516" s="14"/>
      <c r="J516" s="14"/>
      <c r="K516" s="140"/>
    </row>
    <row r="517" spans="1:11">
      <c r="A517" s="14">
        <f>IF(B517="","",COUNTA($B$4:B517))</f>
        <v>514</v>
      </c>
      <c r="B517" s="14" t="s">
        <v>1502</v>
      </c>
      <c r="C517" s="14" t="s">
        <v>257</v>
      </c>
      <c r="D517" s="14" t="s">
        <v>258</v>
      </c>
      <c r="E517" s="14" t="s">
        <v>257</v>
      </c>
      <c r="F517" s="14" t="s">
        <v>169</v>
      </c>
      <c r="G517" s="14" t="s">
        <v>243</v>
      </c>
      <c r="H517" s="14"/>
      <c r="I517" s="14"/>
      <c r="J517" s="14"/>
      <c r="K517" s="15"/>
    </row>
    <row r="518" spans="1:11">
      <c r="A518" s="14">
        <f>IF(B518="","",COUNTA($B$4:B518))</f>
        <v>515</v>
      </c>
      <c r="B518" s="14" t="s">
        <v>1512</v>
      </c>
      <c r="C518" s="14" t="s">
        <v>257</v>
      </c>
      <c r="D518" s="14" t="s">
        <v>258</v>
      </c>
      <c r="E518" s="14" t="s">
        <v>257</v>
      </c>
      <c r="F518" s="14" t="s">
        <v>169</v>
      </c>
      <c r="G518" s="14" t="s">
        <v>243</v>
      </c>
      <c r="H518" s="14"/>
      <c r="I518" s="14" t="s">
        <v>244</v>
      </c>
      <c r="J518" s="14"/>
      <c r="K518" s="15"/>
    </row>
    <row r="519" spans="1:11">
      <c r="A519" s="14">
        <f>IF(B519="","",COUNTA($B$4:B519))</f>
        <v>516</v>
      </c>
      <c r="B519" s="14" t="s">
        <v>1513</v>
      </c>
      <c r="C519" s="14" t="s">
        <v>257</v>
      </c>
      <c r="D519" s="14" t="s">
        <v>258</v>
      </c>
      <c r="E519" s="14" t="s">
        <v>257</v>
      </c>
      <c r="F519" s="14" t="s">
        <v>169</v>
      </c>
      <c r="G519" s="14" t="s">
        <v>243</v>
      </c>
      <c r="H519" s="14"/>
      <c r="I519" s="14"/>
      <c r="J519" s="14"/>
      <c r="K519" s="15"/>
    </row>
    <row r="520" spans="1:11">
      <c r="A520" s="14">
        <f>IF(B520="","",COUNTA($B$4:B520))</f>
        <v>517</v>
      </c>
      <c r="B520" s="14" t="s">
        <v>1514</v>
      </c>
      <c r="C520" s="14" t="s">
        <v>257</v>
      </c>
      <c r="D520" s="14" t="s">
        <v>258</v>
      </c>
      <c r="E520" s="14" t="s">
        <v>257</v>
      </c>
      <c r="F520" s="14" t="s">
        <v>169</v>
      </c>
      <c r="G520" s="14" t="s">
        <v>243</v>
      </c>
      <c r="H520" s="14"/>
      <c r="I520" s="14"/>
      <c r="J520" s="14"/>
      <c r="K520" s="140"/>
    </row>
    <row r="521" spans="1:11">
      <c r="A521" s="14">
        <f>IF(B521="","",COUNTA($B$4:B521))</f>
        <v>518</v>
      </c>
      <c r="B521" s="14" t="s">
        <v>1515</v>
      </c>
      <c r="C521" s="14" t="s">
        <v>257</v>
      </c>
      <c r="D521" s="14" t="s">
        <v>258</v>
      </c>
      <c r="E521" s="14" t="s">
        <v>257</v>
      </c>
      <c r="F521" s="14" t="s">
        <v>169</v>
      </c>
      <c r="G521" s="14" t="s">
        <v>243</v>
      </c>
      <c r="H521" s="14"/>
      <c r="I521" s="14"/>
      <c r="J521" s="14"/>
      <c r="K521" s="15"/>
    </row>
    <row r="522" spans="1:11">
      <c r="A522" s="14">
        <f>IF(B522="","",COUNTA($B$4:B522))</f>
        <v>519</v>
      </c>
      <c r="B522" s="14" t="s">
        <v>1516</v>
      </c>
      <c r="C522" s="14" t="s">
        <v>257</v>
      </c>
      <c r="D522" s="14" t="s">
        <v>258</v>
      </c>
      <c r="E522" s="14" t="s">
        <v>257</v>
      </c>
      <c r="F522" s="14" t="s">
        <v>169</v>
      </c>
      <c r="G522" s="14" t="s">
        <v>243</v>
      </c>
      <c r="H522" s="14"/>
      <c r="I522" s="14"/>
      <c r="J522" s="15"/>
      <c r="K522" s="140"/>
    </row>
    <row r="523" spans="1:11">
      <c r="A523" s="14">
        <f>IF(B523="","",COUNTA($B$4:B523))</f>
        <v>520</v>
      </c>
      <c r="B523" s="14" t="s">
        <v>1523</v>
      </c>
      <c r="C523" s="14" t="s">
        <v>257</v>
      </c>
      <c r="D523" s="14" t="s">
        <v>258</v>
      </c>
      <c r="E523" s="14" t="s">
        <v>257</v>
      </c>
      <c r="F523" s="14" t="s">
        <v>169</v>
      </c>
      <c r="G523" s="14" t="s">
        <v>243</v>
      </c>
      <c r="H523" s="14"/>
      <c r="I523" s="14"/>
      <c r="J523" s="15"/>
      <c r="K523" s="15"/>
    </row>
    <row r="524" spans="1:11">
      <c r="A524" s="14">
        <f>IF(B524="","",COUNTA($B$4:B524))</f>
        <v>521</v>
      </c>
      <c r="B524" s="14" t="s">
        <v>1485</v>
      </c>
      <c r="C524" s="14" t="s">
        <v>257</v>
      </c>
      <c r="D524" s="14" t="s">
        <v>258</v>
      </c>
      <c r="E524" s="14" t="s">
        <v>257</v>
      </c>
      <c r="F524" s="14" t="s">
        <v>169</v>
      </c>
      <c r="G524" s="14" t="s">
        <v>243</v>
      </c>
      <c r="H524" s="14"/>
      <c r="I524" s="14"/>
      <c r="J524" s="15"/>
      <c r="K524" s="140"/>
    </row>
    <row r="525" spans="1:11">
      <c r="A525" s="14">
        <f>IF(B525="","",COUNTA($B$4:B525))</f>
        <v>522</v>
      </c>
      <c r="B525" s="14" t="s">
        <v>1525</v>
      </c>
      <c r="C525" s="14" t="s">
        <v>257</v>
      </c>
      <c r="D525" s="14" t="s">
        <v>258</v>
      </c>
      <c r="E525" s="14" t="s">
        <v>257</v>
      </c>
      <c r="F525" s="14" t="s">
        <v>169</v>
      </c>
      <c r="G525" s="14" t="s">
        <v>243</v>
      </c>
      <c r="H525" s="14"/>
      <c r="I525" s="14"/>
      <c r="J525" s="15"/>
      <c r="K525" s="15"/>
    </row>
    <row r="526" spans="1:11">
      <c r="A526" s="14">
        <f>IF(B526="","",COUNTA($B$4:B526))</f>
        <v>523</v>
      </c>
      <c r="B526" s="14" t="s">
        <v>1526</v>
      </c>
      <c r="C526" s="14" t="s">
        <v>257</v>
      </c>
      <c r="D526" s="14" t="s">
        <v>258</v>
      </c>
      <c r="E526" s="14" t="s">
        <v>257</v>
      </c>
      <c r="F526" s="14" t="s">
        <v>169</v>
      </c>
      <c r="G526" s="14" t="s">
        <v>243</v>
      </c>
      <c r="H526" s="14"/>
      <c r="I526" s="14"/>
      <c r="J526" s="15"/>
      <c r="K526" s="140"/>
    </row>
    <row r="527" spans="1:11">
      <c r="A527" s="14">
        <f>IF(B527="","",COUNTA($B$4:B527))</f>
        <v>524</v>
      </c>
      <c r="B527" s="14" t="s">
        <v>1531</v>
      </c>
      <c r="C527" s="14" t="s">
        <v>257</v>
      </c>
      <c r="D527" s="14" t="s">
        <v>258</v>
      </c>
      <c r="E527" s="14" t="s">
        <v>257</v>
      </c>
      <c r="F527" s="14" t="s">
        <v>169</v>
      </c>
      <c r="G527" s="14" t="s">
        <v>243</v>
      </c>
      <c r="H527" s="14"/>
      <c r="I527" s="14"/>
      <c r="J527" s="15"/>
      <c r="K527" s="140"/>
    </row>
    <row r="528" spans="1:11">
      <c r="A528" s="14">
        <f>IF(B528="","",COUNTA($B$4:B528))</f>
        <v>525</v>
      </c>
      <c r="B528" s="14" t="s">
        <v>1534</v>
      </c>
      <c r="C528" s="14" t="s">
        <v>257</v>
      </c>
      <c r="D528" s="14" t="s">
        <v>258</v>
      </c>
      <c r="E528" s="14" t="s">
        <v>257</v>
      </c>
      <c r="F528" s="14" t="s">
        <v>169</v>
      </c>
      <c r="G528" s="14" t="s">
        <v>243</v>
      </c>
      <c r="H528" s="14"/>
      <c r="I528" s="14"/>
      <c r="J528" s="15"/>
      <c r="K528" s="140"/>
    </row>
    <row r="529" spans="1:11">
      <c r="A529" s="14">
        <f>IF(B529="","",COUNTA($B$4:B529))</f>
        <v>526</v>
      </c>
      <c r="B529" s="14" t="s">
        <v>1590</v>
      </c>
      <c r="C529" s="14" t="s">
        <v>257</v>
      </c>
      <c r="D529" s="14" t="s">
        <v>258</v>
      </c>
      <c r="E529" s="14" t="s">
        <v>257</v>
      </c>
      <c r="F529" s="14" t="s">
        <v>169</v>
      </c>
      <c r="G529" s="14" t="s">
        <v>243</v>
      </c>
      <c r="H529" s="14"/>
      <c r="I529" s="14"/>
      <c r="J529" s="15"/>
      <c r="K529" s="15"/>
    </row>
    <row r="530" spans="1:11">
      <c r="A530" s="14">
        <f>IF(B530="","",COUNTA($B$4:B530))</f>
        <v>527</v>
      </c>
      <c r="B530" s="14" t="s">
        <v>1594</v>
      </c>
      <c r="C530" s="14" t="s">
        <v>257</v>
      </c>
      <c r="D530" s="14" t="s">
        <v>258</v>
      </c>
      <c r="E530" s="14" t="s">
        <v>257</v>
      </c>
      <c r="F530" s="14" t="s">
        <v>169</v>
      </c>
      <c r="G530" s="14" t="s">
        <v>243</v>
      </c>
      <c r="H530" s="14"/>
      <c r="I530" s="14"/>
      <c r="J530" s="15"/>
      <c r="K530" s="15"/>
    </row>
    <row r="531" spans="1:11">
      <c r="A531" s="14">
        <f>IF(B531="","",COUNTA($B$4:B531))</f>
        <v>528</v>
      </c>
      <c r="B531" s="14" t="s">
        <v>1516</v>
      </c>
      <c r="C531" s="14" t="s">
        <v>1521</v>
      </c>
      <c r="D531" s="14" t="s">
        <v>1522</v>
      </c>
      <c r="E531" s="14" t="s">
        <v>1521</v>
      </c>
      <c r="F531" s="14" t="s">
        <v>155</v>
      </c>
      <c r="G531" s="14" t="s">
        <v>156</v>
      </c>
      <c r="H531" s="14">
        <v>5</v>
      </c>
      <c r="I531" s="14">
        <v>2</v>
      </c>
      <c r="J531" s="15"/>
      <c r="K531" s="140"/>
    </row>
    <row r="532" spans="1:11">
      <c r="A532" s="14">
        <f>IF(B532="","",COUNTA($B$4:B532))</f>
        <v>529</v>
      </c>
      <c r="B532" s="14" t="s">
        <v>1493</v>
      </c>
      <c r="C532" s="14" t="s">
        <v>289</v>
      </c>
      <c r="D532" s="14" t="s">
        <v>290</v>
      </c>
      <c r="E532" s="14" t="s">
        <v>289</v>
      </c>
      <c r="F532" s="14" t="s">
        <v>155</v>
      </c>
      <c r="G532" s="14" t="s">
        <v>156</v>
      </c>
      <c r="H532" s="14">
        <v>5</v>
      </c>
      <c r="I532" s="14"/>
      <c r="J532" s="14"/>
      <c r="K532" s="15"/>
    </row>
    <row r="533" spans="1:11">
      <c r="A533" s="14">
        <f>IF(B533="","",COUNTA($B$4:B533))</f>
        <v>530</v>
      </c>
      <c r="B533" s="14" t="s">
        <v>1489</v>
      </c>
      <c r="C533" s="14" t="s">
        <v>268</v>
      </c>
      <c r="D533" s="14" t="s">
        <v>269</v>
      </c>
      <c r="E533" s="14" t="s">
        <v>268</v>
      </c>
      <c r="F533" s="14" t="s">
        <v>155</v>
      </c>
      <c r="G533" s="14" t="s">
        <v>156</v>
      </c>
      <c r="H533" s="14">
        <v>7</v>
      </c>
      <c r="I533" s="14"/>
      <c r="J533" s="14"/>
      <c r="K533" s="15"/>
    </row>
    <row r="534" spans="1:11">
      <c r="A534" s="14">
        <f>IF(B534="","",COUNTA($B$4:B534))</f>
        <v>531</v>
      </c>
      <c r="B534" s="14" t="s">
        <v>1493</v>
      </c>
      <c r="C534" s="14" t="s">
        <v>294</v>
      </c>
      <c r="D534" s="14" t="s">
        <v>295</v>
      </c>
      <c r="E534" s="14" t="s">
        <v>294</v>
      </c>
      <c r="F534" s="14" t="s">
        <v>155</v>
      </c>
      <c r="G534" s="14" t="s">
        <v>156</v>
      </c>
      <c r="H534" s="14">
        <v>5</v>
      </c>
      <c r="I534" s="14"/>
      <c r="J534" s="14"/>
      <c r="K534" s="140"/>
    </row>
    <row r="535" spans="1:11">
      <c r="A535" s="14">
        <f>IF(B535="","",COUNTA($B$4:B535))</f>
        <v>532</v>
      </c>
      <c r="B535" s="14" t="s">
        <v>1534</v>
      </c>
      <c r="C535" s="14" t="s">
        <v>464</v>
      </c>
      <c r="D535" s="14" t="s">
        <v>465</v>
      </c>
      <c r="E535" s="14" t="s">
        <v>464</v>
      </c>
      <c r="F535" s="14" t="s">
        <v>150</v>
      </c>
      <c r="G535" s="14" t="s">
        <v>151</v>
      </c>
      <c r="H535" s="14">
        <v>1</v>
      </c>
      <c r="I535" s="14"/>
      <c r="J535" s="15"/>
      <c r="K535" s="140"/>
    </row>
    <row r="536" spans="1:11">
      <c r="A536" s="14">
        <f>IF(B536="","",COUNTA($B$4:B536))</f>
        <v>533</v>
      </c>
      <c r="B536" s="14" t="s">
        <v>1526</v>
      </c>
      <c r="C536" s="14" t="s">
        <v>1585</v>
      </c>
      <c r="D536" s="14" t="s">
        <v>1581</v>
      </c>
      <c r="E536" s="14" t="s">
        <v>1585</v>
      </c>
      <c r="F536" s="14" t="s">
        <v>150</v>
      </c>
      <c r="G536" s="14" t="s">
        <v>151</v>
      </c>
      <c r="H536" s="14">
        <v>15</v>
      </c>
      <c r="I536" s="14"/>
      <c r="J536" s="15"/>
      <c r="K536" s="15"/>
    </row>
    <row r="537" spans="1:11">
      <c r="A537" s="14">
        <f>IF(B537="","",COUNTA($B$4:B537))</f>
        <v>534</v>
      </c>
      <c r="B537" s="14" t="s">
        <v>1497</v>
      </c>
      <c r="C537" s="14" t="s">
        <v>316</v>
      </c>
      <c r="D537" s="14" t="s">
        <v>317</v>
      </c>
      <c r="E537" s="14" t="s">
        <v>316</v>
      </c>
      <c r="F537" s="14" t="s">
        <v>169</v>
      </c>
      <c r="G537" s="14" t="s">
        <v>170</v>
      </c>
      <c r="H537" s="14"/>
      <c r="I537" s="14"/>
      <c r="J537" s="14"/>
      <c r="K537" s="140"/>
    </row>
    <row r="538" spans="1:11">
      <c r="A538" s="14">
        <f>IF(B538="","",COUNTA($B$4:B538))</f>
        <v>535</v>
      </c>
      <c r="B538" s="14" t="s">
        <v>1498</v>
      </c>
      <c r="C538" s="14" t="s">
        <v>316</v>
      </c>
      <c r="D538" s="14" t="s">
        <v>317</v>
      </c>
      <c r="E538" s="14" t="s">
        <v>316</v>
      </c>
      <c r="F538" s="14" t="s">
        <v>169</v>
      </c>
      <c r="G538" s="14" t="s">
        <v>170</v>
      </c>
      <c r="H538" s="14"/>
      <c r="I538" s="14"/>
      <c r="J538" s="14"/>
      <c r="K538" s="15"/>
    </row>
    <row r="539" spans="1:11">
      <c r="A539" s="14">
        <f>IF(B539="","",COUNTA($B$4:B539))</f>
        <v>536</v>
      </c>
      <c r="B539" s="14" t="s">
        <v>1487</v>
      </c>
      <c r="C539" s="14" t="s">
        <v>222</v>
      </c>
      <c r="D539" s="14" t="s">
        <v>223</v>
      </c>
      <c r="E539" s="14" t="s">
        <v>222</v>
      </c>
      <c r="F539" s="14" t="s">
        <v>155</v>
      </c>
      <c r="G539" s="14" t="s">
        <v>156</v>
      </c>
      <c r="H539" s="14">
        <v>5</v>
      </c>
      <c r="I539" s="14"/>
      <c r="J539" s="14"/>
      <c r="K539" s="15"/>
    </row>
    <row r="540" spans="1:11">
      <c r="A540" s="14">
        <f>IF(B540="","",COUNTA($B$4:B540))</f>
        <v>537</v>
      </c>
      <c r="B540" s="14" t="s">
        <v>1534</v>
      </c>
      <c r="C540" s="14" t="s">
        <v>481</v>
      </c>
      <c r="D540" s="14" t="s">
        <v>482</v>
      </c>
      <c r="E540" s="14" t="s">
        <v>481</v>
      </c>
      <c r="F540" s="14" t="s">
        <v>150</v>
      </c>
      <c r="G540" s="14" t="s">
        <v>151</v>
      </c>
      <c r="H540" s="14">
        <v>1</v>
      </c>
      <c r="I540" s="14"/>
      <c r="J540" s="15"/>
      <c r="K540" s="15"/>
    </row>
    <row r="541" spans="1:11">
      <c r="A541" s="14">
        <f>IF(B541="","",COUNTA($B$4:B541))</f>
        <v>538</v>
      </c>
      <c r="B541" s="14" t="s">
        <v>1534</v>
      </c>
      <c r="C541" s="14" t="s">
        <v>1535</v>
      </c>
      <c r="D541" s="14" t="s">
        <v>1536</v>
      </c>
      <c r="E541" s="14" t="s">
        <v>1535</v>
      </c>
      <c r="F541" s="14" t="s">
        <v>150</v>
      </c>
      <c r="G541" s="14" t="s">
        <v>151</v>
      </c>
      <c r="H541" s="14">
        <v>1</v>
      </c>
      <c r="I541" s="14"/>
      <c r="J541" s="15"/>
      <c r="K541" s="15"/>
    </row>
    <row r="542" spans="1:11">
      <c r="A542" s="14">
        <f>IF(B542="","",COUNTA($B$4:B542))</f>
        <v>539</v>
      </c>
      <c r="B542" s="14" t="s">
        <v>1512</v>
      </c>
      <c r="C542" s="14" t="s">
        <v>409</v>
      </c>
      <c r="D542" s="14" t="s">
        <v>410</v>
      </c>
      <c r="E542" s="14" t="s">
        <v>409</v>
      </c>
      <c r="F542" s="14" t="s">
        <v>155</v>
      </c>
      <c r="G542" s="14" t="s">
        <v>156</v>
      </c>
      <c r="H542" s="14">
        <v>6</v>
      </c>
      <c r="I542" s="14" t="s">
        <v>349</v>
      </c>
      <c r="J542" s="14"/>
      <c r="K542" s="140"/>
    </row>
    <row r="543" spans="1:11">
      <c r="A543" s="14">
        <f>IF(B543="","",COUNTA($B$4:B543))</f>
        <v>540</v>
      </c>
      <c r="B543" s="14" t="s">
        <v>1487</v>
      </c>
      <c r="C543" s="14" t="s">
        <v>228</v>
      </c>
      <c r="D543" s="14" t="s">
        <v>229</v>
      </c>
      <c r="E543" s="14" t="s">
        <v>228</v>
      </c>
      <c r="F543" s="14" t="s">
        <v>150</v>
      </c>
      <c r="G543" s="14" t="s">
        <v>151</v>
      </c>
      <c r="H543" s="14">
        <v>1000</v>
      </c>
      <c r="I543" s="14"/>
      <c r="J543" s="14"/>
      <c r="K543" s="140"/>
    </row>
    <row r="544" spans="1:11">
      <c r="A544" s="14">
        <f>IF(B544="","",COUNTA($B$4:B544))</f>
        <v>541</v>
      </c>
      <c r="B544" s="14" t="s">
        <v>1489</v>
      </c>
      <c r="C544" s="14" t="s">
        <v>228</v>
      </c>
      <c r="D544" s="14" t="s">
        <v>229</v>
      </c>
      <c r="E544" s="14" t="s">
        <v>228</v>
      </c>
      <c r="F544" s="14" t="s">
        <v>150</v>
      </c>
      <c r="G544" s="14" t="s">
        <v>151</v>
      </c>
      <c r="H544" s="14">
        <v>1000</v>
      </c>
      <c r="I544" s="14"/>
      <c r="J544" s="14"/>
      <c r="K544" s="15"/>
    </row>
    <row r="545" spans="1:11">
      <c r="A545" s="14">
        <f>IF(B545="","",COUNTA($B$4:B545))</f>
        <v>542</v>
      </c>
      <c r="B545" s="14" t="s">
        <v>1491</v>
      </c>
      <c r="C545" s="14" t="s">
        <v>228</v>
      </c>
      <c r="D545" s="14" t="s">
        <v>229</v>
      </c>
      <c r="E545" s="14" t="s">
        <v>228</v>
      </c>
      <c r="F545" s="14" t="s">
        <v>150</v>
      </c>
      <c r="G545" s="14" t="s">
        <v>151</v>
      </c>
      <c r="H545" s="14">
        <v>1000</v>
      </c>
      <c r="I545" s="14"/>
      <c r="J545" s="14"/>
      <c r="K545" s="140"/>
    </row>
    <row r="546" spans="1:11">
      <c r="A546" s="14">
        <f>IF(B546="","",COUNTA($B$4:B546))</f>
        <v>543</v>
      </c>
      <c r="B546" s="14" t="s">
        <v>1492</v>
      </c>
      <c r="C546" s="14" t="s">
        <v>228</v>
      </c>
      <c r="D546" s="14" t="s">
        <v>229</v>
      </c>
      <c r="E546" s="14" t="s">
        <v>228</v>
      </c>
      <c r="F546" s="14" t="s">
        <v>150</v>
      </c>
      <c r="G546" s="14" t="s">
        <v>151</v>
      </c>
      <c r="H546" s="14">
        <v>1000</v>
      </c>
      <c r="I546" s="14"/>
      <c r="J546" s="14"/>
      <c r="K546" s="15"/>
    </row>
    <row r="547" spans="1:11">
      <c r="A547" s="14">
        <f>IF(B547="","",COUNTA($B$4:B547))</f>
        <v>544</v>
      </c>
      <c r="B547" s="14" t="s">
        <v>1493</v>
      </c>
      <c r="C547" s="14" t="s">
        <v>228</v>
      </c>
      <c r="D547" s="14" t="s">
        <v>229</v>
      </c>
      <c r="E547" s="14" t="s">
        <v>228</v>
      </c>
      <c r="F547" s="14" t="s">
        <v>150</v>
      </c>
      <c r="G547" s="14" t="s">
        <v>151</v>
      </c>
      <c r="H547" s="14">
        <v>1000</v>
      </c>
      <c r="I547" s="14"/>
      <c r="J547" s="14"/>
      <c r="K547" s="140"/>
    </row>
    <row r="548" spans="1:11">
      <c r="A548" s="14">
        <f>IF(B548="","",COUNTA($B$4:B548))</f>
        <v>545</v>
      </c>
      <c r="B548" s="14" t="s">
        <v>1494</v>
      </c>
      <c r="C548" s="14" t="s">
        <v>228</v>
      </c>
      <c r="D548" s="14" t="s">
        <v>229</v>
      </c>
      <c r="E548" s="14" t="s">
        <v>228</v>
      </c>
      <c r="F548" s="14" t="s">
        <v>150</v>
      </c>
      <c r="G548" s="14" t="s">
        <v>151</v>
      </c>
      <c r="H548" s="14">
        <v>1000</v>
      </c>
      <c r="I548" s="14"/>
      <c r="J548" s="14"/>
      <c r="K548" s="15"/>
    </row>
    <row r="549" spans="1:11">
      <c r="A549" s="14">
        <f>IF(B549="","",COUNTA($B$4:B549))</f>
        <v>546</v>
      </c>
      <c r="B549" s="14" t="s">
        <v>1497</v>
      </c>
      <c r="C549" s="14" t="s">
        <v>228</v>
      </c>
      <c r="D549" s="14" t="s">
        <v>229</v>
      </c>
      <c r="E549" s="14" t="s">
        <v>228</v>
      </c>
      <c r="F549" s="14" t="s">
        <v>150</v>
      </c>
      <c r="G549" s="14" t="s">
        <v>151</v>
      </c>
      <c r="H549" s="14">
        <v>1000</v>
      </c>
      <c r="I549" s="14"/>
      <c r="J549" s="14"/>
      <c r="K549" s="140"/>
    </row>
    <row r="550" spans="1:11">
      <c r="A550" s="14">
        <f>IF(B550="","",COUNTA($B$4:B550))</f>
        <v>547</v>
      </c>
      <c r="B550" s="14" t="s">
        <v>1498</v>
      </c>
      <c r="C550" s="14" t="s">
        <v>228</v>
      </c>
      <c r="D550" s="14" t="s">
        <v>229</v>
      </c>
      <c r="E550" s="14" t="s">
        <v>228</v>
      </c>
      <c r="F550" s="14" t="s">
        <v>150</v>
      </c>
      <c r="G550" s="14" t="s">
        <v>151</v>
      </c>
      <c r="H550" s="14">
        <v>1000</v>
      </c>
      <c r="I550" s="14"/>
      <c r="J550" s="14"/>
      <c r="K550" s="15"/>
    </row>
    <row r="551" spans="1:11">
      <c r="A551" s="14">
        <f>IF(B551="","",COUNTA($B$4:B551))</f>
        <v>548</v>
      </c>
      <c r="B551" s="14" t="s">
        <v>1502</v>
      </c>
      <c r="C551" s="14" t="s">
        <v>228</v>
      </c>
      <c r="D551" s="14" t="s">
        <v>229</v>
      </c>
      <c r="E551" s="14" t="s">
        <v>228</v>
      </c>
      <c r="F551" s="14" t="s">
        <v>150</v>
      </c>
      <c r="G551" s="14" t="s">
        <v>151</v>
      </c>
      <c r="H551" s="14">
        <v>1000</v>
      </c>
      <c r="I551" s="14"/>
      <c r="J551" s="14"/>
      <c r="K551" s="140"/>
    </row>
    <row r="552" spans="1:11">
      <c r="A552" s="14">
        <f>IF(B552="","",COUNTA($B$4:B552))</f>
        <v>549</v>
      </c>
      <c r="B552" s="14" t="s">
        <v>1512</v>
      </c>
      <c r="C552" s="14" t="s">
        <v>228</v>
      </c>
      <c r="D552" s="14" t="s">
        <v>229</v>
      </c>
      <c r="E552" s="14" t="s">
        <v>228</v>
      </c>
      <c r="F552" s="14" t="s">
        <v>150</v>
      </c>
      <c r="G552" s="14" t="s">
        <v>151</v>
      </c>
      <c r="H552" s="14">
        <v>1000</v>
      </c>
      <c r="I552" s="14" t="s">
        <v>244</v>
      </c>
      <c r="J552" s="14"/>
      <c r="K552" s="140"/>
    </row>
    <row r="553" spans="1:11">
      <c r="A553" s="14">
        <f>IF(B553="","",COUNTA($B$4:B553))</f>
        <v>550</v>
      </c>
      <c r="B553" s="14" t="s">
        <v>1513</v>
      </c>
      <c r="C553" s="14" t="s">
        <v>228</v>
      </c>
      <c r="D553" s="14" t="s">
        <v>229</v>
      </c>
      <c r="E553" s="14" t="s">
        <v>228</v>
      </c>
      <c r="F553" s="14" t="s">
        <v>150</v>
      </c>
      <c r="G553" s="14" t="s">
        <v>151</v>
      </c>
      <c r="H553" s="14">
        <v>1000</v>
      </c>
      <c r="I553" s="14"/>
      <c r="J553" s="14"/>
      <c r="K553" s="15"/>
    </row>
    <row r="554" spans="1:11">
      <c r="A554" s="14">
        <f>IF(B554="","",COUNTA($B$4:B554))</f>
        <v>551</v>
      </c>
      <c r="B554" s="14" t="s">
        <v>1514</v>
      </c>
      <c r="C554" s="14" t="s">
        <v>228</v>
      </c>
      <c r="D554" s="14" t="s">
        <v>229</v>
      </c>
      <c r="E554" s="14" t="s">
        <v>228</v>
      </c>
      <c r="F554" s="14" t="s">
        <v>150</v>
      </c>
      <c r="G554" s="14" t="s">
        <v>151</v>
      </c>
      <c r="H554" s="14">
        <v>1000</v>
      </c>
      <c r="I554" s="14"/>
      <c r="J554" s="14"/>
      <c r="K554" s="140"/>
    </row>
    <row r="555" spans="1:11">
      <c r="A555" s="14">
        <f>IF(B555="","",COUNTA($B$4:B555))</f>
        <v>552</v>
      </c>
      <c r="B555" s="14" t="s">
        <v>1515</v>
      </c>
      <c r="C555" s="14" t="s">
        <v>228</v>
      </c>
      <c r="D555" s="14" t="s">
        <v>229</v>
      </c>
      <c r="E555" s="14" t="s">
        <v>228</v>
      </c>
      <c r="F555" s="14" t="s">
        <v>150</v>
      </c>
      <c r="G555" s="14" t="s">
        <v>151</v>
      </c>
      <c r="H555" s="14">
        <v>1000</v>
      </c>
      <c r="I555" s="14"/>
      <c r="J555" s="14"/>
      <c r="K555" s="15"/>
    </row>
    <row r="556" spans="1:11">
      <c r="A556" s="14">
        <f>IF(B556="","",COUNTA($B$4:B556))</f>
        <v>553</v>
      </c>
      <c r="B556" s="14" t="s">
        <v>1516</v>
      </c>
      <c r="C556" s="14" t="s">
        <v>228</v>
      </c>
      <c r="D556" s="14" t="s">
        <v>229</v>
      </c>
      <c r="E556" s="14" t="s">
        <v>228</v>
      </c>
      <c r="F556" s="14" t="s">
        <v>150</v>
      </c>
      <c r="G556" s="14" t="s">
        <v>151</v>
      </c>
      <c r="H556" s="14">
        <v>1000</v>
      </c>
      <c r="I556" s="14"/>
      <c r="J556" s="15"/>
      <c r="K556" s="15"/>
    </row>
    <row r="557" spans="1:11">
      <c r="A557" s="14">
        <f>IF(B557="","",COUNTA($B$4:B557))</f>
        <v>554</v>
      </c>
      <c r="B557" s="14" t="s">
        <v>1523</v>
      </c>
      <c r="C557" s="14" t="s">
        <v>228</v>
      </c>
      <c r="D557" s="14" t="s">
        <v>229</v>
      </c>
      <c r="E557" s="14" t="s">
        <v>228</v>
      </c>
      <c r="F557" s="14" t="s">
        <v>150</v>
      </c>
      <c r="G557" s="14" t="s">
        <v>151</v>
      </c>
      <c r="H557" s="14">
        <v>1000</v>
      </c>
      <c r="I557" s="14"/>
      <c r="J557" s="15"/>
      <c r="K557" s="15"/>
    </row>
    <row r="558" spans="1:11">
      <c r="A558" s="14">
        <f>IF(B558="","",COUNTA($B$4:B558))</f>
        <v>555</v>
      </c>
      <c r="B558" s="14" t="s">
        <v>1594</v>
      </c>
      <c r="C558" s="14" t="s">
        <v>773</v>
      </c>
      <c r="D558" s="14" t="s">
        <v>1597</v>
      </c>
      <c r="E558" s="14" t="s">
        <v>773</v>
      </c>
      <c r="F558" s="14" t="s">
        <v>155</v>
      </c>
      <c r="G558" s="14" t="s">
        <v>156</v>
      </c>
      <c r="H558" s="14">
        <v>3</v>
      </c>
      <c r="I558" s="14"/>
      <c r="J558" s="15"/>
      <c r="K558" s="15"/>
    </row>
    <row r="559" spans="1:11">
      <c r="A559" s="14">
        <f>IF(B559="","",COUNTA($B$4:B559))</f>
        <v>556</v>
      </c>
      <c r="B559" s="14" t="s">
        <v>1487</v>
      </c>
      <c r="C559" s="14" t="s">
        <v>199</v>
      </c>
      <c r="D559" s="14" t="s">
        <v>200</v>
      </c>
      <c r="E559" s="14" t="s">
        <v>199</v>
      </c>
      <c r="F559" s="14" t="s">
        <v>150</v>
      </c>
      <c r="G559" s="14" t="s">
        <v>151</v>
      </c>
      <c r="H559" s="14">
        <v>20</v>
      </c>
      <c r="I559" s="14"/>
      <c r="J559" s="14"/>
      <c r="K559" s="140"/>
    </row>
    <row r="560" spans="1:11">
      <c r="A560" s="14">
        <f>IF(B560="","",COUNTA($B$4:B560))</f>
        <v>557</v>
      </c>
      <c r="B560" s="14" t="s">
        <v>1489</v>
      </c>
      <c r="C560" s="14" t="s">
        <v>199</v>
      </c>
      <c r="D560" s="14" t="s">
        <v>200</v>
      </c>
      <c r="E560" s="14" t="s">
        <v>199</v>
      </c>
      <c r="F560" s="14" t="s">
        <v>150</v>
      </c>
      <c r="G560" s="14" t="s">
        <v>151</v>
      </c>
      <c r="H560" s="14">
        <v>20</v>
      </c>
      <c r="I560" s="14"/>
      <c r="J560" s="14"/>
      <c r="K560" s="15"/>
    </row>
    <row r="561" spans="1:11">
      <c r="A561" s="14">
        <f>IF(B561="","",COUNTA($B$4:B561))</f>
        <v>558</v>
      </c>
      <c r="B561" s="14" t="s">
        <v>1491</v>
      </c>
      <c r="C561" s="14" t="s">
        <v>199</v>
      </c>
      <c r="D561" s="14" t="s">
        <v>200</v>
      </c>
      <c r="E561" s="14" t="s">
        <v>199</v>
      </c>
      <c r="F561" s="14" t="s">
        <v>150</v>
      </c>
      <c r="G561" s="14" t="s">
        <v>151</v>
      </c>
      <c r="H561" s="14">
        <v>100</v>
      </c>
      <c r="I561" s="14"/>
      <c r="J561" s="14"/>
      <c r="K561" s="140"/>
    </row>
    <row r="562" spans="1:11">
      <c r="A562" s="14">
        <f>IF(B562="","",COUNTA($B$4:B562))</f>
        <v>559</v>
      </c>
      <c r="B562" s="14" t="s">
        <v>1492</v>
      </c>
      <c r="C562" s="14" t="s">
        <v>199</v>
      </c>
      <c r="D562" s="14" t="s">
        <v>200</v>
      </c>
      <c r="E562" s="14" t="s">
        <v>199</v>
      </c>
      <c r="F562" s="14" t="s">
        <v>150</v>
      </c>
      <c r="G562" s="14" t="s">
        <v>151</v>
      </c>
      <c r="H562" s="14">
        <v>20</v>
      </c>
      <c r="I562" s="14"/>
      <c r="J562" s="14"/>
      <c r="K562" s="140"/>
    </row>
    <row r="563" spans="1:11">
      <c r="A563" s="14">
        <f>IF(B563="","",COUNTA($B$4:B563))</f>
        <v>560</v>
      </c>
      <c r="B563" s="14" t="s">
        <v>1493</v>
      </c>
      <c r="C563" s="14" t="s">
        <v>199</v>
      </c>
      <c r="D563" s="14" t="s">
        <v>200</v>
      </c>
      <c r="E563" s="14" t="s">
        <v>199</v>
      </c>
      <c r="F563" s="14" t="s">
        <v>150</v>
      </c>
      <c r="G563" s="14" t="s">
        <v>151</v>
      </c>
      <c r="H563" s="14">
        <v>20</v>
      </c>
      <c r="I563" s="14"/>
      <c r="J563" s="14"/>
      <c r="K563" s="15"/>
    </row>
    <row r="564" spans="1:11">
      <c r="A564" s="14">
        <f>IF(B564="","",COUNTA($B$4:B564))</f>
        <v>561</v>
      </c>
      <c r="B564" s="14" t="s">
        <v>1494</v>
      </c>
      <c r="C564" s="14" t="s">
        <v>199</v>
      </c>
      <c r="D564" s="14" t="s">
        <v>200</v>
      </c>
      <c r="E564" s="14" t="s">
        <v>199</v>
      </c>
      <c r="F564" s="14" t="s">
        <v>150</v>
      </c>
      <c r="G564" s="14" t="s">
        <v>151</v>
      </c>
      <c r="H564" s="14">
        <v>20</v>
      </c>
      <c r="I564" s="14"/>
      <c r="J564" s="14"/>
      <c r="K564" s="140"/>
    </row>
    <row r="565" spans="1:11">
      <c r="A565" s="14">
        <f>IF(B565="","",COUNTA($B$4:B565))</f>
        <v>562</v>
      </c>
      <c r="B565" s="14" t="s">
        <v>1497</v>
      </c>
      <c r="C565" s="14" t="s">
        <v>199</v>
      </c>
      <c r="D565" s="14" t="s">
        <v>200</v>
      </c>
      <c r="E565" s="14" t="s">
        <v>199</v>
      </c>
      <c r="F565" s="14" t="s">
        <v>150</v>
      </c>
      <c r="G565" s="14" t="s">
        <v>151</v>
      </c>
      <c r="H565" s="14">
        <v>20</v>
      </c>
      <c r="I565" s="14"/>
      <c r="J565" s="14"/>
      <c r="K565" s="15"/>
    </row>
    <row r="566" spans="1:11">
      <c r="A566" s="14">
        <f>IF(B566="","",COUNTA($B$4:B566))</f>
        <v>563</v>
      </c>
      <c r="B566" s="14" t="s">
        <v>1498</v>
      </c>
      <c r="C566" s="14" t="s">
        <v>199</v>
      </c>
      <c r="D566" s="14" t="s">
        <v>200</v>
      </c>
      <c r="E566" s="14" t="s">
        <v>199</v>
      </c>
      <c r="F566" s="14" t="s">
        <v>150</v>
      </c>
      <c r="G566" s="14" t="s">
        <v>151</v>
      </c>
      <c r="H566" s="14">
        <v>20</v>
      </c>
      <c r="I566" s="14"/>
      <c r="J566" s="14"/>
      <c r="K566" s="15"/>
    </row>
    <row r="567" spans="1:11">
      <c r="A567" s="14">
        <f>IF(B567="","",COUNTA($B$4:B567))</f>
        <v>564</v>
      </c>
      <c r="B567" s="14" t="s">
        <v>1502</v>
      </c>
      <c r="C567" s="14" t="s">
        <v>199</v>
      </c>
      <c r="D567" s="14" t="s">
        <v>200</v>
      </c>
      <c r="E567" s="14" t="s">
        <v>199</v>
      </c>
      <c r="F567" s="14" t="s">
        <v>150</v>
      </c>
      <c r="G567" s="14" t="s">
        <v>151</v>
      </c>
      <c r="H567" s="14">
        <v>20</v>
      </c>
      <c r="I567" s="14"/>
      <c r="J567" s="14"/>
      <c r="K567" s="15"/>
    </row>
    <row r="568" spans="1:11">
      <c r="A568" s="14">
        <f>IF(B568="","",COUNTA($B$4:B568))</f>
        <v>565</v>
      </c>
      <c r="B568" s="14" t="s">
        <v>1512</v>
      </c>
      <c r="C568" s="14" t="s">
        <v>199</v>
      </c>
      <c r="D568" s="14" t="s">
        <v>200</v>
      </c>
      <c r="E568" s="14" t="s">
        <v>199</v>
      </c>
      <c r="F568" s="14" t="s">
        <v>150</v>
      </c>
      <c r="G568" s="14" t="s">
        <v>151</v>
      </c>
      <c r="H568" s="14">
        <v>20</v>
      </c>
      <c r="I568" s="14"/>
      <c r="J568" s="14"/>
      <c r="K568" s="15"/>
    </row>
    <row r="569" spans="1:11">
      <c r="A569" s="14">
        <f>IF(B569="","",COUNTA($B$4:B569))</f>
        <v>566</v>
      </c>
      <c r="B569" s="14" t="s">
        <v>1513</v>
      </c>
      <c r="C569" s="14" t="s">
        <v>199</v>
      </c>
      <c r="D569" s="14" t="s">
        <v>200</v>
      </c>
      <c r="E569" s="14" t="s">
        <v>199</v>
      </c>
      <c r="F569" s="14" t="s">
        <v>150</v>
      </c>
      <c r="G569" s="14" t="s">
        <v>151</v>
      </c>
      <c r="H569" s="14">
        <v>20</v>
      </c>
      <c r="I569" s="14"/>
      <c r="J569" s="14"/>
      <c r="K569" s="15"/>
    </row>
    <row r="570" spans="1:11">
      <c r="A570" s="14">
        <f>IF(B570="","",COUNTA($B$4:B570))</f>
        <v>567</v>
      </c>
      <c r="B570" s="14" t="s">
        <v>1514</v>
      </c>
      <c r="C570" s="14" t="s">
        <v>199</v>
      </c>
      <c r="D570" s="14" t="s">
        <v>200</v>
      </c>
      <c r="E570" s="14" t="s">
        <v>199</v>
      </c>
      <c r="F570" s="14" t="s">
        <v>150</v>
      </c>
      <c r="G570" s="14" t="s">
        <v>151</v>
      </c>
      <c r="H570" s="14">
        <v>20</v>
      </c>
      <c r="I570" s="14"/>
      <c r="J570" s="14"/>
      <c r="K570" s="15"/>
    </row>
    <row r="571" spans="1:11">
      <c r="A571" s="14">
        <f>IF(B571="","",COUNTA($B$4:B571))</f>
        <v>568</v>
      </c>
      <c r="B571" s="14" t="s">
        <v>1515</v>
      </c>
      <c r="C571" s="14" t="s">
        <v>199</v>
      </c>
      <c r="D571" s="14" t="s">
        <v>200</v>
      </c>
      <c r="E571" s="14" t="s">
        <v>199</v>
      </c>
      <c r="F571" s="14" t="s">
        <v>150</v>
      </c>
      <c r="G571" s="14" t="s">
        <v>151</v>
      </c>
      <c r="H571" s="14">
        <v>20</v>
      </c>
      <c r="I571" s="14"/>
      <c r="J571" s="14"/>
      <c r="K571" s="140"/>
    </row>
    <row r="572" spans="1:11">
      <c r="A572" s="14">
        <f>IF(B572="","",COUNTA($B$4:B572))</f>
        <v>569</v>
      </c>
      <c r="B572" s="14" t="s">
        <v>1516</v>
      </c>
      <c r="C572" s="14" t="s">
        <v>199</v>
      </c>
      <c r="D572" s="14" t="s">
        <v>200</v>
      </c>
      <c r="E572" s="14" t="s">
        <v>1517</v>
      </c>
      <c r="F572" s="14" t="s">
        <v>150</v>
      </c>
      <c r="G572" s="14" t="s">
        <v>151</v>
      </c>
      <c r="H572" s="14">
        <v>20</v>
      </c>
      <c r="I572" s="14"/>
      <c r="J572" s="14"/>
      <c r="K572" s="140"/>
    </row>
    <row r="573" spans="1:11">
      <c r="A573" s="14">
        <f>IF(B573="","",COUNTA($B$4:B573))</f>
        <v>570</v>
      </c>
      <c r="B573" s="14" t="s">
        <v>1523</v>
      </c>
      <c r="C573" s="14" t="s">
        <v>199</v>
      </c>
      <c r="D573" s="14" t="s">
        <v>200</v>
      </c>
      <c r="E573" s="14" t="s">
        <v>199</v>
      </c>
      <c r="F573" s="14" t="s">
        <v>150</v>
      </c>
      <c r="G573" s="14" t="s">
        <v>151</v>
      </c>
      <c r="H573" s="14">
        <v>20</v>
      </c>
      <c r="I573" s="14"/>
      <c r="J573" s="15"/>
      <c r="K573" s="15"/>
    </row>
    <row r="574" spans="1:11">
      <c r="A574" s="14">
        <f>IF(B574="","",COUNTA($B$4:B574))</f>
        <v>571</v>
      </c>
      <c r="B574" s="14" t="s">
        <v>1485</v>
      </c>
      <c r="C574" s="14" t="s">
        <v>199</v>
      </c>
      <c r="D574" s="14" t="s">
        <v>200</v>
      </c>
      <c r="E574" s="14" t="s">
        <v>199</v>
      </c>
      <c r="F574" s="14" t="s">
        <v>150</v>
      </c>
      <c r="G574" s="14" t="s">
        <v>151</v>
      </c>
      <c r="H574" s="14">
        <v>20</v>
      </c>
      <c r="I574" s="14"/>
      <c r="J574" s="15"/>
      <c r="K574" s="15"/>
    </row>
    <row r="575" spans="1:11">
      <c r="A575" s="14">
        <f>IF(B575="","",COUNTA($B$4:B575))</f>
        <v>572</v>
      </c>
      <c r="B575" s="14" t="s">
        <v>1525</v>
      </c>
      <c r="C575" s="14" t="s">
        <v>199</v>
      </c>
      <c r="D575" s="14" t="s">
        <v>200</v>
      </c>
      <c r="E575" s="14" t="s">
        <v>199</v>
      </c>
      <c r="F575" s="14" t="s">
        <v>150</v>
      </c>
      <c r="G575" s="14" t="s">
        <v>151</v>
      </c>
      <c r="H575" s="14">
        <v>20</v>
      </c>
      <c r="I575" s="14"/>
      <c r="J575" s="15"/>
      <c r="K575" s="15"/>
    </row>
    <row r="576" spans="1:11">
      <c r="A576" s="14">
        <f>IF(B576="","",COUNTA($B$4:B576))</f>
        <v>573</v>
      </c>
      <c r="B576" s="14" t="s">
        <v>1526</v>
      </c>
      <c r="C576" s="14" t="s">
        <v>199</v>
      </c>
      <c r="D576" s="14" t="s">
        <v>200</v>
      </c>
      <c r="E576" s="14" t="s">
        <v>199</v>
      </c>
      <c r="F576" s="14" t="s">
        <v>150</v>
      </c>
      <c r="G576" s="14" t="s">
        <v>151</v>
      </c>
      <c r="H576" s="14">
        <v>20</v>
      </c>
      <c r="I576" s="14"/>
      <c r="J576" s="15"/>
      <c r="K576" s="140"/>
    </row>
    <row r="577" spans="1:11">
      <c r="A577" s="14">
        <f>IF(B577="","",COUNTA($B$4:B577))</f>
        <v>574</v>
      </c>
      <c r="B577" s="14" t="s">
        <v>1487</v>
      </c>
      <c r="C577" s="14" t="s">
        <v>201</v>
      </c>
      <c r="D577" s="14" t="s">
        <v>202</v>
      </c>
      <c r="E577" s="14" t="s">
        <v>201</v>
      </c>
      <c r="F577" s="14" t="s">
        <v>150</v>
      </c>
      <c r="G577" s="14" t="s">
        <v>151</v>
      </c>
      <c r="H577" s="14">
        <v>30</v>
      </c>
      <c r="I577" s="14"/>
      <c r="J577" s="14"/>
      <c r="K577" s="140"/>
    </row>
    <row r="578" spans="1:11">
      <c r="A578" s="14">
        <f>IF(B578="","",COUNTA($B$4:B578))</f>
        <v>575</v>
      </c>
      <c r="B578" s="14" t="s">
        <v>1489</v>
      </c>
      <c r="C578" s="14" t="s">
        <v>201</v>
      </c>
      <c r="D578" s="14" t="s">
        <v>202</v>
      </c>
      <c r="E578" s="14" t="s">
        <v>201</v>
      </c>
      <c r="F578" s="14" t="s">
        <v>150</v>
      </c>
      <c r="G578" s="14" t="s">
        <v>151</v>
      </c>
      <c r="H578" s="14">
        <v>30</v>
      </c>
      <c r="I578" s="14"/>
      <c r="J578" s="14"/>
      <c r="K578" s="15"/>
    </row>
    <row r="579" spans="1:11">
      <c r="A579" s="14">
        <f>IF(B579="","",COUNTA($B$4:B579))</f>
        <v>576</v>
      </c>
      <c r="B579" s="14" t="s">
        <v>1491</v>
      </c>
      <c r="C579" s="14" t="s">
        <v>201</v>
      </c>
      <c r="D579" s="14" t="s">
        <v>202</v>
      </c>
      <c r="E579" s="14" t="s">
        <v>201</v>
      </c>
      <c r="F579" s="14" t="s">
        <v>150</v>
      </c>
      <c r="G579" s="14" t="s">
        <v>151</v>
      </c>
      <c r="H579" s="14">
        <v>30</v>
      </c>
      <c r="I579" s="14"/>
      <c r="J579" s="14"/>
      <c r="K579" s="140"/>
    </row>
    <row r="580" spans="1:11">
      <c r="A580" s="14">
        <f>IF(B580="","",COUNTA($B$4:B580))</f>
        <v>577</v>
      </c>
      <c r="B580" s="14" t="s">
        <v>1492</v>
      </c>
      <c r="C580" s="14" t="s">
        <v>201</v>
      </c>
      <c r="D580" s="14" t="s">
        <v>202</v>
      </c>
      <c r="E580" s="14" t="s">
        <v>201</v>
      </c>
      <c r="F580" s="14" t="s">
        <v>150</v>
      </c>
      <c r="G580" s="14" t="s">
        <v>151</v>
      </c>
      <c r="H580" s="14">
        <v>30</v>
      </c>
      <c r="I580" s="14"/>
      <c r="J580" s="14"/>
      <c r="K580" s="140"/>
    </row>
    <row r="581" spans="1:11">
      <c r="A581" s="14">
        <f>IF(B581="","",COUNTA($B$4:B581))</f>
        <v>578</v>
      </c>
      <c r="B581" s="14" t="s">
        <v>1493</v>
      </c>
      <c r="C581" s="14" t="s">
        <v>201</v>
      </c>
      <c r="D581" s="14" t="s">
        <v>202</v>
      </c>
      <c r="E581" s="14" t="s">
        <v>201</v>
      </c>
      <c r="F581" s="14" t="s">
        <v>150</v>
      </c>
      <c r="G581" s="14" t="s">
        <v>151</v>
      </c>
      <c r="H581" s="14">
        <v>30</v>
      </c>
      <c r="I581" s="14"/>
      <c r="J581" s="14"/>
      <c r="K581" s="15"/>
    </row>
    <row r="582" spans="1:11">
      <c r="A582" s="14">
        <f>IF(B582="","",COUNTA($B$4:B582))</f>
        <v>579</v>
      </c>
      <c r="B582" s="14" t="s">
        <v>1494</v>
      </c>
      <c r="C582" s="14" t="s">
        <v>201</v>
      </c>
      <c r="D582" s="14" t="s">
        <v>202</v>
      </c>
      <c r="E582" s="14" t="s">
        <v>201</v>
      </c>
      <c r="F582" s="14" t="s">
        <v>150</v>
      </c>
      <c r="G582" s="14" t="s">
        <v>151</v>
      </c>
      <c r="H582" s="14">
        <v>30</v>
      </c>
      <c r="I582" s="14"/>
      <c r="J582" s="14"/>
      <c r="K582" s="15"/>
    </row>
    <row r="583" spans="1:11">
      <c r="A583" s="14">
        <f>IF(B583="","",COUNTA($B$4:B583))</f>
        <v>580</v>
      </c>
      <c r="B583" s="14" t="s">
        <v>1497</v>
      </c>
      <c r="C583" s="14" t="s">
        <v>201</v>
      </c>
      <c r="D583" s="14" t="s">
        <v>202</v>
      </c>
      <c r="E583" s="14" t="s">
        <v>201</v>
      </c>
      <c r="F583" s="14" t="s">
        <v>150</v>
      </c>
      <c r="G583" s="14" t="s">
        <v>151</v>
      </c>
      <c r="H583" s="14">
        <v>30</v>
      </c>
      <c r="I583" s="14"/>
      <c r="J583" s="14"/>
      <c r="K583" s="15"/>
    </row>
    <row r="584" spans="1:11">
      <c r="A584" s="14">
        <f>IF(B584="","",COUNTA($B$4:B584))</f>
        <v>581</v>
      </c>
      <c r="B584" s="14" t="s">
        <v>1498</v>
      </c>
      <c r="C584" s="14" t="s">
        <v>201</v>
      </c>
      <c r="D584" s="14" t="s">
        <v>202</v>
      </c>
      <c r="E584" s="14" t="s">
        <v>201</v>
      </c>
      <c r="F584" s="14" t="s">
        <v>150</v>
      </c>
      <c r="G584" s="14" t="s">
        <v>151</v>
      </c>
      <c r="H584" s="14">
        <v>30</v>
      </c>
      <c r="I584" s="14"/>
      <c r="J584" s="14"/>
      <c r="K584" s="140"/>
    </row>
    <row r="585" spans="1:11">
      <c r="A585" s="14">
        <f>IF(B585="","",COUNTA($B$4:B585))</f>
        <v>582</v>
      </c>
      <c r="B585" s="14" t="s">
        <v>1502</v>
      </c>
      <c r="C585" s="14" t="s">
        <v>201</v>
      </c>
      <c r="D585" s="14" t="s">
        <v>202</v>
      </c>
      <c r="E585" s="14" t="s">
        <v>201</v>
      </c>
      <c r="F585" s="14" t="s">
        <v>150</v>
      </c>
      <c r="G585" s="14" t="s">
        <v>151</v>
      </c>
      <c r="H585" s="14">
        <v>30</v>
      </c>
      <c r="I585" s="14"/>
      <c r="J585" s="14"/>
      <c r="K585" s="15"/>
    </row>
    <row r="586" spans="1:11">
      <c r="A586" s="14">
        <f>IF(B586="","",COUNTA($B$4:B586))</f>
        <v>583</v>
      </c>
      <c r="B586" s="14" t="s">
        <v>1512</v>
      </c>
      <c r="C586" s="14" t="s">
        <v>201</v>
      </c>
      <c r="D586" s="14" t="s">
        <v>202</v>
      </c>
      <c r="E586" s="14" t="s">
        <v>201</v>
      </c>
      <c r="F586" s="14" t="s">
        <v>150</v>
      </c>
      <c r="G586" s="14" t="s">
        <v>151</v>
      </c>
      <c r="H586" s="14">
        <v>30</v>
      </c>
      <c r="I586" s="14"/>
      <c r="J586" s="14"/>
      <c r="K586" s="15"/>
    </row>
    <row r="587" spans="1:11">
      <c r="A587" s="14">
        <f>IF(B587="","",COUNTA($B$4:B587))</f>
        <v>584</v>
      </c>
      <c r="B587" s="14" t="s">
        <v>1513</v>
      </c>
      <c r="C587" s="14" t="s">
        <v>201</v>
      </c>
      <c r="D587" s="14" t="s">
        <v>202</v>
      </c>
      <c r="E587" s="14" t="s">
        <v>201</v>
      </c>
      <c r="F587" s="14" t="s">
        <v>150</v>
      </c>
      <c r="G587" s="14" t="s">
        <v>151</v>
      </c>
      <c r="H587" s="14">
        <v>30</v>
      </c>
      <c r="I587" s="14"/>
      <c r="J587" s="14"/>
      <c r="K587" s="140"/>
    </row>
    <row r="588" spans="1:11">
      <c r="A588" s="14">
        <f>IF(B588="","",COUNTA($B$4:B588))</f>
        <v>585</v>
      </c>
      <c r="B588" s="14" t="s">
        <v>1514</v>
      </c>
      <c r="C588" s="14" t="s">
        <v>201</v>
      </c>
      <c r="D588" s="14" t="s">
        <v>202</v>
      </c>
      <c r="E588" s="14" t="s">
        <v>201</v>
      </c>
      <c r="F588" s="14" t="s">
        <v>150</v>
      </c>
      <c r="G588" s="14" t="s">
        <v>151</v>
      </c>
      <c r="H588" s="14">
        <v>30</v>
      </c>
      <c r="I588" s="14"/>
      <c r="J588" s="14"/>
      <c r="K588" s="140"/>
    </row>
    <row r="589" spans="1:11">
      <c r="A589" s="14">
        <f>IF(B589="","",COUNTA($B$4:B589))</f>
        <v>586</v>
      </c>
      <c r="B589" s="14" t="s">
        <v>1515</v>
      </c>
      <c r="C589" s="14" t="s">
        <v>201</v>
      </c>
      <c r="D589" s="14" t="s">
        <v>202</v>
      </c>
      <c r="E589" s="14" t="s">
        <v>201</v>
      </c>
      <c r="F589" s="14" t="s">
        <v>150</v>
      </c>
      <c r="G589" s="14" t="s">
        <v>151</v>
      </c>
      <c r="H589" s="14">
        <v>30</v>
      </c>
      <c r="I589" s="14"/>
      <c r="J589" s="14"/>
      <c r="K589" s="140"/>
    </row>
    <row r="590" spans="1:11">
      <c r="A590" s="14">
        <f>IF(B590="","",COUNTA($B$4:B590))</f>
        <v>587</v>
      </c>
      <c r="B590" s="14" t="s">
        <v>1516</v>
      </c>
      <c r="C590" s="14" t="s">
        <v>201</v>
      </c>
      <c r="D590" s="14" t="s">
        <v>202</v>
      </c>
      <c r="E590" s="14" t="s">
        <v>1518</v>
      </c>
      <c r="F590" s="14" t="s">
        <v>150</v>
      </c>
      <c r="G590" s="14" t="s">
        <v>1519</v>
      </c>
      <c r="H590" s="14">
        <v>30</v>
      </c>
      <c r="I590" s="14"/>
      <c r="J590" s="14"/>
      <c r="K590" s="140"/>
    </row>
    <row r="591" spans="1:11">
      <c r="A591" s="14">
        <f>IF(B591="","",COUNTA($B$4:B591))</f>
        <v>588</v>
      </c>
      <c r="B591" s="14" t="s">
        <v>1523</v>
      </c>
      <c r="C591" s="14" t="s">
        <v>201</v>
      </c>
      <c r="D591" s="14" t="s">
        <v>202</v>
      </c>
      <c r="E591" s="14" t="s">
        <v>201</v>
      </c>
      <c r="F591" s="14" t="s">
        <v>150</v>
      </c>
      <c r="G591" s="14" t="s">
        <v>151</v>
      </c>
      <c r="H591" s="14">
        <v>30</v>
      </c>
      <c r="I591" s="14"/>
      <c r="J591" s="15"/>
      <c r="K591" s="140"/>
    </row>
    <row r="592" spans="1:11">
      <c r="A592" s="14">
        <f>IF(B592="","",COUNTA($B$4:B592))</f>
        <v>589</v>
      </c>
      <c r="B592" s="14" t="s">
        <v>1485</v>
      </c>
      <c r="C592" s="14" t="s">
        <v>201</v>
      </c>
      <c r="D592" s="14" t="s">
        <v>202</v>
      </c>
      <c r="E592" s="14" t="s">
        <v>201</v>
      </c>
      <c r="F592" s="14" t="s">
        <v>150</v>
      </c>
      <c r="G592" s="14" t="s">
        <v>151</v>
      </c>
      <c r="H592" s="14">
        <v>30</v>
      </c>
      <c r="I592" s="14"/>
      <c r="J592" s="15"/>
      <c r="K592" s="15"/>
    </row>
    <row r="593" spans="1:11">
      <c r="A593" s="14">
        <f>IF(B593="","",COUNTA($B$4:B593))</f>
        <v>590</v>
      </c>
      <c r="B593" s="14" t="s">
        <v>1525</v>
      </c>
      <c r="C593" s="14" t="s">
        <v>201</v>
      </c>
      <c r="D593" s="14" t="s">
        <v>202</v>
      </c>
      <c r="E593" s="14" t="s">
        <v>201</v>
      </c>
      <c r="F593" s="14" t="s">
        <v>150</v>
      </c>
      <c r="G593" s="14" t="s">
        <v>151</v>
      </c>
      <c r="H593" s="14">
        <v>30</v>
      </c>
      <c r="I593" s="14"/>
      <c r="J593" s="15"/>
      <c r="K593" s="15"/>
    </row>
    <row r="594" spans="1:11">
      <c r="A594" s="14">
        <f>IF(B594="","",COUNTA($B$4:B594))</f>
        <v>591</v>
      </c>
      <c r="B594" s="14" t="s">
        <v>1526</v>
      </c>
      <c r="C594" s="14" t="s">
        <v>201</v>
      </c>
      <c r="D594" s="14" t="s">
        <v>202</v>
      </c>
      <c r="E594" s="14" t="s">
        <v>201</v>
      </c>
      <c r="F594" s="14" t="s">
        <v>150</v>
      </c>
      <c r="G594" s="14" t="s">
        <v>151</v>
      </c>
      <c r="H594" s="14">
        <v>30</v>
      </c>
      <c r="I594" s="14"/>
      <c r="J594" s="15"/>
      <c r="K594" s="15"/>
    </row>
    <row r="595" spans="1:11">
      <c r="A595" s="14">
        <f>IF(B595="","",COUNTA($B$4:B595))</f>
        <v>592</v>
      </c>
      <c r="B595" s="14" t="s">
        <v>1487</v>
      </c>
      <c r="C595" s="14" t="s">
        <v>205</v>
      </c>
      <c r="D595" s="14" t="s">
        <v>206</v>
      </c>
      <c r="E595" s="14" t="s">
        <v>205</v>
      </c>
      <c r="F595" s="14" t="s">
        <v>155</v>
      </c>
      <c r="G595" s="14" t="s">
        <v>156</v>
      </c>
      <c r="H595" s="14">
        <v>4</v>
      </c>
      <c r="I595" s="14"/>
      <c r="J595" s="14"/>
      <c r="K595" s="140"/>
    </row>
    <row r="596" spans="1:11">
      <c r="A596" s="14">
        <f>IF(B596="","",COUNTA($B$4:B596))</f>
        <v>593</v>
      </c>
      <c r="B596" s="14" t="s">
        <v>1489</v>
      </c>
      <c r="C596" s="14" t="s">
        <v>205</v>
      </c>
      <c r="D596" s="14" t="s">
        <v>206</v>
      </c>
      <c r="E596" s="14" t="s">
        <v>205</v>
      </c>
      <c r="F596" s="14" t="s">
        <v>155</v>
      </c>
      <c r="G596" s="14" t="s">
        <v>156</v>
      </c>
      <c r="H596" s="14">
        <v>4</v>
      </c>
      <c r="I596" s="14"/>
      <c r="J596" s="14"/>
      <c r="K596" s="15"/>
    </row>
    <row r="597" spans="1:11">
      <c r="A597" s="14">
        <f>IF(B597="","",COUNTA($B$4:B597))</f>
        <v>594</v>
      </c>
      <c r="B597" s="14" t="s">
        <v>1491</v>
      </c>
      <c r="C597" s="14" t="s">
        <v>205</v>
      </c>
      <c r="D597" s="14" t="s">
        <v>206</v>
      </c>
      <c r="E597" s="14" t="s">
        <v>205</v>
      </c>
      <c r="F597" s="14" t="s">
        <v>155</v>
      </c>
      <c r="G597" s="14" t="s">
        <v>156</v>
      </c>
      <c r="H597" s="14">
        <v>4</v>
      </c>
      <c r="I597" s="14"/>
      <c r="J597" s="14"/>
      <c r="K597" s="15"/>
    </row>
    <row r="598" spans="1:11">
      <c r="A598" s="14">
        <f>IF(B598="","",COUNTA($B$4:B598))</f>
        <v>595</v>
      </c>
      <c r="B598" s="14" t="s">
        <v>1492</v>
      </c>
      <c r="C598" s="14" t="s">
        <v>205</v>
      </c>
      <c r="D598" s="14" t="s">
        <v>206</v>
      </c>
      <c r="E598" s="14" t="s">
        <v>205</v>
      </c>
      <c r="F598" s="14" t="s">
        <v>155</v>
      </c>
      <c r="G598" s="14" t="s">
        <v>156</v>
      </c>
      <c r="H598" s="14">
        <v>4</v>
      </c>
      <c r="I598" s="14"/>
      <c r="J598" s="14"/>
      <c r="K598" s="15"/>
    </row>
    <row r="599" spans="1:11">
      <c r="A599" s="14">
        <f>IF(B599="","",COUNTA($B$4:B599))</f>
        <v>596</v>
      </c>
      <c r="B599" s="14" t="s">
        <v>1497</v>
      </c>
      <c r="C599" s="14" t="s">
        <v>205</v>
      </c>
      <c r="D599" s="14" t="s">
        <v>206</v>
      </c>
      <c r="E599" s="14" t="s">
        <v>205</v>
      </c>
      <c r="F599" s="14" t="s">
        <v>155</v>
      </c>
      <c r="G599" s="14" t="s">
        <v>156</v>
      </c>
      <c r="H599" s="14">
        <v>4</v>
      </c>
      <c r="I599" s="14"/>
      <c r="J599" s="14"/>
      <c r="K599" s="140"/>
    </row>
    <row r="600" spans="1:11">
      <c r="A600" s="14">
        <f>IF(B600="","",COUNTA($B$4:B600))</f>
        <v>597</v>
      </c>
      <c r="B600" s="14" t="s">
        <v>1498</v>
      </c>
      <c r="C600" s="14" t="s">
        <v>205</v>
      </c>
      <c r="D600" s="14" t="s">
        <v>206</v>
      </c>
      <c r="E600" s="14" t="s">
        <v>205</v>
      </c>
      <c r="F600" s="14" t="s">
        <v>155</v>
      </c>
      <c r="G600" s="14" t="s">
        <v>156</v>
      </c>
      <c r="H600" s="14">
        <v>4</v>
      </c>
      <c r="I600" s="14"/>
      <c r="J600" s="14"/>
      <c r="K600" s="15"/>
    </row>
    <row r="601" spans="1:11">
      <c r="A601" s="14">
        <f>IF(B601="","",COUNTA($B$4:B601))</f>
        <v>598</v>
      </c>
      <c r="B601" s="14" t="s">
        <v>1502</v>
      </c>
      <c r="C601" s="14" t="s">
        <v>205</v>
      </c>
      <c r="D601" s="14" t="s">
        <v>206</v>
      </c>
      <c r="E601" s="14" t="s">
        <v>205</v>
      </c>
      <c r="F601" s="14" t="s">
        <v>155</v>
      </c>
      <c r="G601" s="14" t="s">
        <v>156</v>
      </c>
      <c r="H601" s="14">
        <v>4</v>
      </c>
      <c r="I601" s="14"/>
      <c r="J601" s="14"/>
      <c r="K601" s="15"/>
    </row>
    <row r="602" spans="1:11">
      <c r="A602" s="14">
        <f>IF(B602="","",COUNTA($B$4:B602))</f>
        <v>599</v>
      </c>
      <c r="B602" s="14" t="s">
        <v>1513</v>
      </c>
      <c r="C602" s="14" t="s">
        <v>205</v>
      </c>
      <c r="D602" s="14" t="s">
        <v>206</v>
      </c>
      <c r="E602" s="14" t="s">
        <v>205</v>
      </c>
      <c r="F602" s="14" t="s">
        <v>155</v>
      </c>
      <c r="G602" s="14" t="s">
        <v>156</v>
      </c>
      <c r="H602" s="14">
        <v>4</v>
      </c>
      <c r="I602" s="14"/>
      <c r="J602" s="14"/>
      <c r="K602" s="15"/>
    </row>
    <row r="603" spans="1:11">
      <c r="A603" s="14">
        <f>IF(B603="","",COUNTA($B$4:B603))</f>
        <v>600</v>
      </c>
      <c r="B603" s="14" t="s">
        <v>1515</v>
      </c>
      <c r="C603" s="14" t="s">
        <v>205</v>
      </c>
      <c r="D603" s="14" t="s">
        <v>206</v>
      </c>
      <c r="E603" s="14" t="s">
        <v>205</v>
      </c>
      <c r="F603" s="14" t="s">
        <v>155</v>
      </c>
      <c r="G603" s="14" t="s">
        <v>156</v>
      </c>
      <c r="H603" s="14">
        <v>4</v>
      </c>
      <c r="I603" s="14"/>
      <c r="J603" s="14"/>
      <c r="K603" s="15"/>
    </row>
    <row r="604" spans="1:11">
      <c r="A604" s="14">
        <f>IF(B604="","",COUNTA($B$4:B604))</f>
        <v>601</v>
      </c>
      <c r="B604" s="14" t="s">
        <v>1523</v>
      </c>
      <c r="C604" s="14" t="s">
        <v>205</v>
      </c>
      <c r="D604" s="14" t="s">
        <v>206</v>
      </c>
      <c r="E604" s="14" t="s">
        <v>205</v>
      </c>
      <c r="F604" s="14" t="s">
        <v>155</v>
      </c>
      <c r="G604" s="14" t="s">
        <v>156</v>
      </c>
      <c r="H604" s="14">
        <v>4</v>
      </c>
      <c r="I604" s="14"/>
      <c r="J604" s="15"/>
      <c r="K604" s="15"/>
    </row>
    <row r="605" spans="1:11">
      <c r="A605" s="14">
        <f>IF(B605="","",COUNTA($B$4:B605))</f>
        <v>602</v>
      </c>
      <c r="B605" s="14" t="s">
        <v>1485</v>
      </c>
      <c r="C605" s="14" t="s">
        <v>205</v>
      </c>
      <c r="D605" s="14" t="s">
        <v>206</v>
      </c>
      <c r="E605" s="14" t="s">
        <v>205</v>
      </c>
      <c r="F605" s="14" t="s">
        <v>155</v>
      </c>
      <c r="G605" s="14" t="s">
        <v>156</v>
      </c>
      <c r="H605" s="14">
        <v>4</v>
      </c>
      <c r="I605" s="14"/>
      <c r="J605" s="15"/>
      <c r="K605" s="15"/>
    </row>
    <row r="606" spans="1:11">
      <c r="A606" s="14">
        <f>IF(B606="","",COUNTA($B$4:B606))</f>
        <v>603</v>
      </c>
      <c r="B606" s="14" t="s">
        <v>1525</v>
      </c>
      <c r="C606" s="14" t="s">
        <v>205</v>
      </c>
      <c r="D606" s="14" t="s">
        <v>206</v>
      </c>
      <c r="E606" s="14" t="s">
        <v>205</v>
      </c>
      <c r="F606" s="14" t="s">
        <v>155</v>
      </c>
      <c r="G606" s="14" t="s">
        <v>156</v>
      </c>
      <c r="H606" s="14">
        <v>4</v>
      </c>
      <c r="I606" s="14"/>
      <c r="J606" s="15"/>
      <c r="K606" s="15"/>
    </row>
    <row r="607" spans="1:11">
      <c r="A607" s="14">
        <f>IF(B607="","",COUNTA($B$4:B607))</f>
        <v>604</v>
      </c>
      <c r="B607" s="14" t="s">
        <v>1526</v>
      </c>
      <c r="C607" s="14" t="s">
        <v>205</v>
      </c>
      <c r="D607" s="14" t="s">
        <v>206</v>
      </c>
      <c r="E607" s="14" t="s">
        <v>205</v>
      </c>
      <c r="F607" s="14" t="s">
        <v>155</v>
      </c>
      <c r="G607" s="14" t="s">
        <v>156</v>
      </c>
      <c r="H607" s="14">
        <v>4</v>
      </c>
      <c r="I607" s="14"/>
      <c r="J607" s="15"/>
      <c r="K607" s="140"/>
    </row>
    <row r="608" spans="1:11">
      <c r="A608" s="14">
        <f>IF(B608="","",COUNTA($B$4:B608))</f>
        <v>605</v>
      </c>
      <c r="B608" s="14" t="s">
        <v>1512</v>
      </c>
      <c r="C608" s="14" t="s">
        <v>405</v>
      </c>
      <c r="D608" s="14" t="s">
        <v>406</v>
      </c>
      <c r="E608" s="14" t="s">
        <v>405</v>
      </c>
      <c r="F608" s="14" t="s">
        <v>155</v>
      </c>
      <c r="G608" s="14" t="s">
        <v>156</v>
      </c>
      <c r="H608" s="14">
        <v>1</v>
      </c>
      <c r="I608" s="14" t="s">
        <v>244</v>
      </c>
      <c r="J608" s="14"/>
      <c r="K608" s="15"/>
    </row>
    <row r="609" spans="1:11">
      <c r="A609" s="14">
        <f>IF(B609="","",COUNTA($B$4:B609))</f>
        <v>606</v>
      </c>
      <c r="B609" s="14" t="s">
        <v>1512</v>
      </c>
      <c r="C609" s="14" t="s">
        <v>407</v>
      </c>
      <c r="D609" s="14" t="s">
        <v>408</v>
      </c>
      <c r="E609" s="14" t="s">
        <v>407</v>
      </c>
      <c r="F609" s="14" t="s">
        <v>155</v>
      </c>
      <c r="G609" s="14" t="s">
        <v>156</v>
      </c>
      <c r="H609" s="14">
        <v>1</v>
      </c>
      <c r="I609" s="14" t="s">
        <v>244</v>
      </c>
      <c r="J609" s="14"/>
      <c r="K609" s="140"/>
    </row>
    <row r="610" spans="1:11">
      <c r="A610" s="14">
        <f>IF(B610="","",COUNTA($B$4:B610))</f>
        <v>607</v>
      </c>
      <c r="B610" s="14" t="s">
        <v>1487</v>
      </c>
      <c r="C610" s="14" t="s">
        <v>224</v>
      </c>
      <c r="D610" s="14" t="s">
        <v>225</v>
      </c>
      <c r="E610" s="14" t="s">
        <v>224</v>
      </c>
      <c r="F610" s="14" t="s">
        <v>150</v>
      </c>
      <c r="G610" s="14" t="s">
        <v>151</v>
      </c>
      <c r="H610" s="14">
        <v>10</v>
      </c>
      <c r="I610" s="14"/>
      <c r="J610" s="14"/>
      <c r="K610" s="15"/>
    </row>
    <row r="611" spans="1:11">
      <c r="A611" s="14">
        <f>IF(B611="","",COUNTA($B$4:B611))</f>
        <v>608</v>
      </c>
      <c r="B611" s="14" t="s">
        <v>1498</v>
      </c>
      <c r="C611" s="14" t="s">
        <v>1501</v>
      </c>
      <c r="D611" s="14" t="s">
        <v>372</v>
      </c>
      <c r="E611" s="14" t="s">
        <v>1501</v>
      </c>
      <c r="F611" s="14" t="s">
        <v>150</v>
      </c>
      <c r="G611" s="14" t="s">
        <v>151</v>
      </c>
      <c r="H611" s="14">
        <v>30</v>
      </c>
      <c r="I611" s="14"/>
      <c r="J611" s="14"/>
      <c r="K611" s="140"/>
    </row>
    <row r="612" spans="1:11">
      <c r="A612" s="14">
        <f>IF(B612="","",COUNTA($B$4:B612))</f>
        <v>609</v>
      </c>
      <c r="B612" s="14" t="s">
        <v>1498</v>
      </c>
      <c r="C612" s="14" t="s">
        <v>1499</v>
      </c>
      <c r="D612" s="14" t="s">
        <v>368</v>
      </c>
      <c r="E612" s="14" t="s">
        <v>1499</v>
      </c>
      <c r="F612" s="14" t="s">
        <v>150</v>
      </c>
      <c r="G612" s="14" t="s">
        <v>151</v>
      </c>
      <c r="H612" s="14">
        <v>30</v>
      </c>
      <c r="I612" s="14"/>
      <c r="J612" s="14"/>
      <c r="K612" s="15"/>
    </row>
    <row r="613" spans="1:11">
      <c r="A613" s="14">
        <f>IF(B613="","",COUNTA($B$4:B613))</f>
        <v>610</v>
      </c>
      <c r="B613" s="14" t="s">
        <v>1489</v>
      </c>
      <c r="C613" s="14" t="s">
        <v>274</v>
      </c>
      <c r="D613" s="14" t="s">
        <v>275</v>
      </c>
      <c r="E613" s="14" t="s">
        <v>274</v>
      </c>
      <c r="F613" s="14" t="s">
        <v>150</v>
      </c>
      <c r="G613" s="14" t="s">
        <v>151</v>
      </c>
      <c r="H613" s="14">
        <v>1000</v>
      </c>
      <c r="I613" s="14"/>
      <c r="J613" s="14"/>
      <c r="K613" s="140"/>
    </row>
    <row r="614" spans="1:11">
      <c r="A614" s="14">
        <f>IF(B614="","",COUNTA($B$4:B614))</f>
        <v>611</v>
      </c>
      <c r="B614" s="14" t="s">
        <v>1497</v>
      </c>
      <c r="C614" s="14" t="s">
        <v>320</v>
      </c>
      <c r="D614" s="14" t="s">
        <v>321</v>
      </c>
      <c r="E614" s="14" t="s">
        <v>320</v>
      </c>
      <c r="F614" s="14" t="s">
        <v>155</v>
      </c>
      <c r="G614" s="14" t="s">
        <v>156</v>
      </c>
      <c r="H614" s="14">
        <v>5</v>
      </c>
      <c r="I614" s="14"/>
      <c r="J614" s="14"/>
      <c r="K614" s="140"/>
    </row>
    <row r="615" spans="1:11">
      <c r="A615" s="14">
        <f>IF(B615="","",COUNTA($B$4:B615))</f>
        <v>612</v>
      </c>
      <c r="B615" s="14" t="s">
        <v>1498</v>
      </c>
      <c r="C615" s="14" t="s">
        <v>320</v>
      </c>
      <c r="D615" s="14" t="s">
        <v>321</v>
      </c>
      <c r="E615" s="14" t="s">
        <v>320</v>
      </c>
      <c r="F615" s="14" t="s">
        <v>155</v>
      </c>
      <c r="G615" s="14" t="s">
        <v>156</v>
      </c>
      <c r="H615" s="14">
        <v>5</v>
      </c>
      <c r="I615" s="14"/>
      <c r="J615" s="14"/>
      <c r="K615" s="15"/>
    </row>
    <row r="616" spans="1:11">
      <c r="A616" s="14">
        <f>IF(B616="","",COUNTA($B$4:B616))</f>
        <v>613</v>
      </c>
      <c r="B616" s="14" t="s">
        <v>1526</v>
      </c>
      <c r="C616" s="14" t="s">
        <v>320</v>
      </c>
      <c r="D616" s="14" t="s">
        <v>321</v>
      </c>
      <c r="E616" s="14" t="s">
        <v>320</v>
      </c>
      <c r="F616" s="14" t="s">
        <v>155</v>
      </c>
      <c r="G616" s="14" t="s">
        <v>156</v>
      </c>
      <c r="H616" s="14">
        <v>5</v>
      </c>
      <c r="I616" s="14"/>
      <c r="J616" s="15"/>
      <c r="K616" s="15"/>
    </row>
    <row r="617" spans="1:11">
      <c r="A617" s="14">
        <f>IF(B617="","",COUNTA($B$4:B617))</f>
        <v>614</v>
      </c>
      <c r="B617" s="14" t="s">
        <v>1487</v>
      </c>
      <c r="C617" s="14" t="s">
        <v>217</v>
      </c>
      <c r="D617" s="14" t="s">
        <v>218</v>
      </c>
      <c r="E617" s="14" t="s">
        <v>219</v>
      </c>
      <c r="F617" s="14" t="s">
        <v>155</v>
      </c>
      <c r="G617" s="14" t="s">
        <v>156</v>
      </c>
      <c r="H617" s="14">
        <v>5</v>
      </c>
      <c r="I617" s="14"/>
      <c r="J617" s="14"/>
      <c r="K617" s="140"/>
    </row>
    <row r="618" spans="1:11">
      <c r="A618" s="14">
        <f>IF(B618="","",COUNTA($B$4:B618))</f>
        <v>615</v>
      </c>
      <c r="B618" s="14" t="s">
        <v>1489</v>
      </c>
      <c r="C618" s="14" t="s">
        <v>217</v>
      </c>
      <c r="D618" s="14" t="s">
        <v>218</v>
      </c>
      <c r="E618" s="14" t="s">
        <v>219</v>
      </c>
      <c r="F618" s="14" t="s">
        <v>155</v>
      </c>
      <c r="G618" s="14" t="s">
        <v>156</v>
      </c>
      <c r="H618" s="14">
        <v>5</v>
      </c>
      <c r="I618" s="14"/>
      <c r="J618" s="14"/>
      <c r="K618" s="15"/>
    </row>
    <row r="619" spans="1:11">
      <c r="A619" s="14">
        <f>IF(B619="","",COUNTA($B$4:B619))</f>
        <v>616</v>
      </c>
      <c r="B619" s="14" t="s">
        <v>1491</v>
      </c>
      <c r="C619" s="14" t="s">
        <v>217</v>
      </c>
      <c r="D619" s="14" t="s">
        <v>218</v>
      </c>
      <c r="E619" s="14" t="s">
        <v>219</v>
      </c>
      <c r="F619" s="14" t="s">
        <v>155</v>
      </c>
      <c r="G619" s="14" t="s">
        <v>156</v>
      </c>
      <c r="H619" s="14">
        <v>5</v>
      </c>
      <c r="I619" s="14"/>
      <c r="J619" s="14"/>
      <c r="K619" s="15"/>
    </row>
    <row r="620" spans="1:11">
      <c r="A620" s="14">
        <f>IF(B620="","",COUNTA($B$4:B620))</f>
        <v>617</v>
      </c>
      <c r="B620" s="14" t="s">
        <v>1492</v>
      </c>
      <c r="C620" s="14" t="s">
        <v>217</v>
      </c>
      <c r="D620" s="14" t="s">
        <v>218</v>
      </c>
      <c r="E620" s="14" t="s">
        <v>219</v>
      </c>
      <c r="F620" s="14" t="s">
        <v>155</v>
      </c>
      <c r="G620" s="14" t="s">
        <v>156</v>
      </c>
      <c r="H620" s="14">
        <v>5</v>
      </c>
      <c r="I620" s="14"/>
      <c r="J620" s="14"/>
      <c r="K620" s="15"/>
    </row>
    <row r="621" spans="1:11">
      <c r="A621" s="14">
        <f>IF(B621="","",COUNTA($B$4:B621))</f>
        <v>618</v>
      </c>
      <c r="B621" s="14" t="s">
        <v>1487</v>
      </c>
      <c r="C621" s="14" t="s">
        <v>214</v>
      </c>
      <c r="D621" s="14" t="s">
        <v>215</v>
      </c>
      <c r="E621" s="14" t="s">
        <v>1488</v>
      </c>
      <c r="F621" s="14" t="s">
        <v>155</v>
      </c>
      <c r="G621" s="14" t="s">
        <v>156</v>
      </c>
      <c r="H621" s="14">
        <v>5</v>
      </c>
      <c r="I621" s="14"/>
      <c r="J621" s="14"/>
      <c r="K621" s="140"/>
    </row>
    <row r="622" spans="1:11">
      <c r="A622" s="14">
        <f>IF(B622="","",COUNTA($B$4:B622))</f>
        <v>619</v>
      </c>
      <c r="B622" s="14" t="s">
        <v>1489</v>
      </c>
      <c r="C622" s="14" t="s">
        <v>214</v>
      </c>
      <c r="D622" s="14" t="s">
        <v>215</v>
      </c>
      <c r="E622" s="14" t="s">
        <v>1488</v>
      </c>
      <c r="F622" s="14" t="s">
        <v>155</v>
      </c>
      <c r="G622" s="14" t="s">
        <v>156</v>
      </c>
      <c r="H622" s="14">
        <v>5</v>
      </c>
      <c r="I622" s="14"/>
      <c r="J622" s="14"/>
      <c r="K622" s="15"/>
    </row>
    <row r="623" spans="1:11">
      <c r="A623" s="14">
        <f>IF(B623="","",COUNTA($B$4:B623))</f>
        <v>620</v>
      </c>
      <c r="B623" s="14" t="s">
        <v>1491</v>
      </c>
      <c r="C623" s="14" t="s">
        <v>214</v>
      </c>
      <c r="D623" s="14" t="s">
        <v>215</v>
      </c>
      <c r="E623" s="14" t="s">
        <v>1488</v>
      </c>
      <c r="F623" s="14" t="s">
        <v>155</v>
      </c>
      <c r="G623" s="14" t="s">
        <v>156</v>
      </c>
      <c r="H623" s="14">
        <v>5</v>
      </c>
      <c r="I623" s="14"/>
      <c r="J623" s="14"/>
      <c r="K623" s="15"/>
    </row>
    <row r="624" spans="1:11">
      <c r="A624" s="14">
        <f>IF(B624="","",COUNTA($B$4:B624))</f>
        <v>621</v>
      </c>
      <c r="B624" s="14" t="s">
        <v>1492</v>
      </c>
      <c r="C624" s="14" t="s">
        <v>214</v>
      </c>
      <c r="D624" s="14" t="s">
        <v>215</v>
      </c>
      <c r="E624" s="14" t="s">
        <v>1488</v>
      </c>
      <c r="F624" s="14" t="s">
        <v>155</v>
      </c>
      <c r="G624" s="14" t="s">
        <v>156</v>
      </c>
      <c r="H624" s="14">
        <v>5</v>
      </c>
      <c r="I624" s="14"/>
      <c r="J624" s="14"/>
      <c r="K624" s="15"/>
    </row>
    <row r="625" spans="1:11">
      <c r="A625" s="14">
        <f>IF(B625="","",COUNTA($B$4:B625))</f>
        <v>622</v>
      </c>
      <c r="B625" s="14" t="s">
        <v>1498</v>
      </c>
      <c r="C625" s="14" t="s">
        <v>347</v>
      </c>
      <c r="D625" s="14" t="s">
        <v>348</v>
      </c>
      <c r="E625" s="14" t="s">
        <v>347</v>
      </c>
      <c r="F625" s="14" t="s">
        <v>155</v>
      </c>
      <c r="G625" s="14" t="s">
        <v>156</v>
      </c>
      <c r="H625" s="14">
        <v>3</v>
      </c>
      <c r="I625" s="14"/>
      <c r="J625" s="14"/>
      <c r="K625" s="15"/>
    </row>
    <row r="626" spans="1:11">
      <c r="A626" s="14">
        <f>IF(B626="","",COUNTA($B$4:B626))</f>
        <v>623</v>
      </c>
      <c r="B626" s="14" t="s">
        <v>1512</v>
      </c>
      <c r="C626" s="14" t="s">
        <v>347</v>
      </c>
      <c r="D626" s="14" t="s">
        <v>348</v>
      </c>
      <c r="E626" s="14" t="s">
        <v>347</v>
      </c>
      <c r="F626" s="14" t="s">
        <v>155</v>
      </c>
      <c r="G626" s="14" t="s">
        <v>156</v>
      </c>
      <c r="H626" s="14">
        <v>3</v>
      </c>
      <c r="I626" s="14"/>
      <c r="J626" s="14"/>
      <c r="K626" s="15"/>
    </row>
    <row r="627" spans="1:11">
      <c r="A627" s="14">
        <f>IF(B627="","",COUNTA($B$4:B627))</f>
        <v>624</v>
      </c>
      <c r="B627" s="14" t="s">
        <v>1514</v>
      </c>
      <c r="C627" s="14" t="s">
        <v>347</v>
      </c>
      <c r="D627" s="14" t="s">
        <v>348</v>
      </c>
      <c r="E627" s="14" t="s">
        <v>347</v>
      </c>
      <c r="F627" s="14" t="s">
        <v>155</v>
      </c>
      <c r="G627" s="14" t="s">
        <v>156</v>
      </c>
      <c r="H627" s="14">
        <v>3</v>
      </c>
      <c r="I627" s="14"/>
      <c r="J627" s="14"/>
      <c r="K627" s="15"/>
    </row>
    <row r="628" spans="1:11">
      <c r="A628" s="14">
        <f>IF(B628="","",COUNTA($B$4:B628))</f>
        <v>625</v>
      </c>
      <c r="B628" s="14" t="s">
        <v>1516</v>
      </c>
      <c r="C628" s="14" t="s">
        <v>347</v>
      </c>
      <c r="D628" s="14" t="s">
        <v>348</v>
      </c>
      <c r="E628" s="14" t="s">
        <v>347</v>
      </c>
      <c r="F628" s="14" t="s">
        <v>155</v>
      </c>
      <c r="G628" s="14" t="s">
        <v>156</v>
      </c>
      <c r="H628" s="14">
        <v>3</v>
      </c>
      <c r="I628" s="14" t="s">
        <v>244</v>
      </c>
      <c r="J628" s="14"/>
      <c r="K628" s="140"/>
    </row>
    <row r="629" spans="1:11">
      <c r="A629" s="14">
        <f>IF(B629="","",COUNTA($B$4:B629))</f>
        <v>626</v>
      </c>
      <c r="B629" s="14" t="s">
        <v>1485</v>
      </c>
      <c r="C629" s="14" t="s">
        <v>347</v>
      </c>
      <c r="D629" s="14" t="s">
        <v>348</v>
      </c>
      <c r="E629" s="14" t="s">
        <v>347</v>
      </c>
      <c r="F629" s="14" t="s">
        <v>155</v>
      </c>
      <c r="G629" s="14" t="s">
        <v>156</v>
      </c>
      <c r="H629" s="14">
        <v>3</v>
      </c>
      <c r="I629" s="14"/>
      <c r="J629" s="15"/>
      <c r="K629" s="15"/>
    </row>
    <row r="630" spans="1:11">
      <c r="A630" s="14">
        <f>IF(B630="","",COUNTA($B$4:B630))</f>
        <v>627</v>
      </c>
      <c r="B630" s="14" t="s">
        <v>1526</v>
      </c>
      <c r="C630" s="14" t="s">
        <v>347</v>
      </c>
      <c r="D630" s="14" t="s">
        <v>348</v>
      </c>
      <c r="E630" s="14" t="s">
        <v>347</v>
      </c>
      <c r="F630" s="14" t="s">
        <v>155</v>
      </c>
      <c r="G630" s="14" t="s">
        <v>156</v>
      </c>
      <c r="H630" s="14">
        <v>3</v>
      </c>
      <c r="I630" s="14"/>
      <c r="J630" s="15"/>
      <c r="K630" s="140"/>
    </row>
    <row r="631" spans="1:11">
      <c r="A631" s="14">
        <f>IF(B631="","",COUNTA($B$4:B631))</f>
        <v>628</v>
      </c>
      <c r="B631" s="14" t="s">
        <v>1516</v>
      </c>
      <c r="C631" s="14" t="s">
        <v>1520</v>
      </c>
      <c r="D631" s="14" t="s">
        <v>1427</v>
      </c>
      <c r="E631" s="14" t="s">
        <v>1520</v>
      </c>
      <c r="F631" s="14" t="s">
        <v>150</v>
      </c>
      <c r="G631" s="14" t="s">
        <v>151</v>
      </c>
      <c r="H631" s="14">
        <v>3</v>
      </c>
      <c r="I631" s="14"/>
      <c r="J631" s="15"/>
      <c r="K631" s="140"/>
    </row>
    <row r="632" spans="1:11">
      <c r="A632" s="14">
        <f>IF(B632="","",COUNTA($B$4:B632))</f>
        <v>629</v>
      </c>
      <c r="B632" s="14" t="s">
        <v>1498</v>
      </c>
      <c r="C632" s="14" t="s">
        <v>1500</v>
      </c>
      <c r="D632" s="14" t="s">
        <v>370</v>
      </c>
      <c r="E632" s="14" t="s">
        <v>1500</v>
      </c>
      <c r="F632" s="14" t="s">
        <v>155</v>
      </c>
      <c r="G632" s="14" t="s">
        <v>156</v>
      </c>
      <c r="H632" s="14">
        <v>5</v>
      </c>
      <c r="I632" s="14"/>
      <c r="J632" s="14"/>
      <c r="K632" s="15"/>
    </row>
    <row r="633" spans="1:11">
      <c r="A633" s="14" t="str">
        <f>IF(B633="","",COUNTA($B$4:B633))</f>
        <v/>
      </c>
      <c r="B633" s="14"/>
      <c r="C633" s="14"/>
      <c r="D633" s="14"/>
      <c r="E633" s="14"/>
      <c r="F633" s="14"/>
      <c r="G633" s="14"/>
      <c r="H633" s="14"/>
      <c r="I633" s="14"/>
      <c r="J633" s="15"/>
      <c r="K633" s="15"/>
    </row>
    <row r="634" spans="1:11">
      <c r="A634" s="14" t="str">
        <f>IF(B634="","",COUNTA($B$4:B634))</f>
        <v/>
      </c>
      <c r="B634" s="14"/>
      <c r="C634" s="14"/>
      <c r="D634" s="14"/>
      <c r="E634" s="14"/>
      <c r="F634" s="14"/>
      <c r="G634" s="14"/>
      <c r="H634" s="14"/>
      <c r="I634" s="14"/>
      <c r="J634" s="15"/>
      <c r="K634" s="15"/>
    </row>
    <row r="635" spans="1:11">
      <c r="A635" s="14" t="str">
        <f>IF(B635="","",COUNTA($B$4:B635))</f>
        <v/>
      </c>
      <c r="B635" s="14"/>
      <c r="C635" s="14"/>
      <c r="D635" s="14"/>
      <c r="E635" s="14"/>
      <c r="F635" s="14"/>
      <c r="G635" s="14"/>
      <c r="H635" s="14"/>
      <c r="I635" s="14"/>
      <c r="J635" s="15"/>
      <c r="K635" s="15"/>
    </row>
    <row r="636" spans="1:11">
      <c r="A636" s="14" t="str">
        <f>IF(B636="","",COUNTA($B$4:B636))</f>
        <v/>
      </c>
      <c r="B636" s="14"/>
      <c r="C636" s="14"/>
      <c r="D636" s="14"/>
      <c r="E636" s="14"/>
      <c r="F636" s="14"/>
      <c r="G636" s="14"/>
      <c r="H636" s="14"/>
      <c r="I636" s="14"/>
      <c r="J636" s="15"/>
      <c r="K636" s="15"/>
    </row>
    <row r="637" spans="1:11">
      <c r="A637" s="14" t="str">
        <f>IF(B637="","",COUNTA($B$4:B637))</f>
        <v/>
      </c>
      <c r="B637" s="14"/>
      <c r="C637" s="14"/>
      <c r="D637" s="14"/>
      <c r="E637" s="14"/>
      <c r="F637" s="14"/>
      <c r="G637" s="14"/>
      <c r="H637" s="14"/>
      <c r="I637" s="14"/>
      <c r="J637" s="15"/>
      <c r="K637" s="15"/>
    </row>
    <row r="638" spans="1:11">
      <c r="A638" s="14" t="str">
        <f>IF(B638="","",COUNTA($B$4:B638))</f>
        <v/>
      </c>
      <c r="B638" s="14"/>
      <c r="C638" s="14"/>
      <c r="D638" s="14"/>
      <c r="E638" s="14"/>
      <c r="F638" s="14"/>
      <c r="G638" s="14"/>
      <c r="H638" s="14"/>
      <c r="I638" s="14"/>
      <c r="J638" s="15"/>
      <c r="K638" s="15"/>
    </row>
    <row r="639" spans="1:11">
      <c r="A639" s="14" t="str">
        <f>IF(B639="","",COUNTA($B$4:B639))</f>
        <v/>
      </c>
      <c r="B639" s="14"/>
      <c r="C639" s="14"/>
      <c r="D639" s="14"/>
      <c r="E639" s="14"/>
      <c r="F639" s="14"/>
      <c r="G639" s="14"/>
      <c r="H639" s="14"/>
      <c r="I639" s="14"/>
      <c r="J639" s="15"/>
      <c r="K639" s="140"/>
    </row>
    <row r="640" spans="1:11">
      <c r="A640" s="14" t="str">
        <f>IF(B640="","",COUNTA($B$4:B640))</f>
        <v/>
      </c>
      <c r="B640" s="14"/>
      <c r="C640" s="14"/>
      <c r="D640" s="14"/>
      <c r="E640" s="14"/>
      <c r="F640" s="14"/>
      <c r="G640" s="14"/>
      <c r="H640" s="14"/>
      <c r="I640" s="14"/>
      <c r="J640" s="15"/>
      <c r="K640" s="140"/>
    </row>
    <row r="641" spans="1:11">
      <c r="A641" s="14" t="str">
        <f>IF(B641="","",COUNTA($B$4:B641))</f>
        <v/>
      </c>
      <c r="B641" s="14"/>
      <c r="C641" s="14"/>
      <c r="D641" s="14"/>
      <c r="E641" s="14"/>
      <c r="F641" s="14"/>
      <c r="G641" s="14"/>
      <c r="H641" s="14"/>
      <c r="I641" s="14"/>
      <c r="J641" s="15"/>
      <c r="K641" s="15"/>
    </row>
    <row r="642" spans="1:11">
      <c r="A642" s="14" t="str">
        <f>IF(B642="","",COUNTA($B$4:B642))</f>
        <v/>
      </c>
      <c r="B642" s="14"/>
      <c r="C642" s="14"/>
      <c r="D642" s="14"/>
      <c r="E642" s="14"/>
      <c r="F642" s="14"/>
      <c r="G642" s="14"/>
      <c r="H642" s="14"/>
      <c r="I642" s="14"/>
      <c r="J642" s="15"/>
      <c r="K642" s="15"/>
    </row>
    <row r="643" spans="1:11">
      <c r="A643" s="14" t="str">
        <f>IF(B643="","",COUNTA($B$4:B643))</f>
        <v/>
      </c>
      <c r="B643" s="14"/>
      <c r="C643" s="14"/>
      <c r="D643" s="14"/>
      <c r="E643" s="14"/>
      <c r="F643" s="14"/>
      <c r="G643" s="14"/>
      <c r="H643" s="14"/>
      <c r="I643" s="14"/>
      <c r="J643" s="15"/>
      <c r="K643" s="15"/>
    </row>
    <row r="644" spans="1:11">
      <c r="A644" s="14" t="str">
        <f>IF(B644="","",COUNTA($B$4:B644))</f>
        <v/>
      </c>
      <c r="B644" s="14"/>
      <c r="C644" s="14"/>
      <c r="D644" s="14"/>
      <c r="E644" s="14"/>
      <c r="F644" s="14"/>
      <c r="G644" s="14"/>
      <c r="H644" s="14"/>
      <c r="I644" s="14"/>
      <c r="J644" s="15"/>
      <c r="K644" s="15"/>
    </row>
    <row r="645" spans="1:11">
      <c r="A645" s="14" t="str">
        <f>IF(B645="","",COUNTA($B$4:B645))</f>
        <v/>
      </c>
      <c r="B645" s="14"/>
      <c r="C645" s="14"/>
      <c r="D645" s="14"/>
      <c r="E645" s="14"/>
      <c r="F645" s="14"/>
      <c r="G645" s="14"/>
      <c r="H645" s="14"/>
      <c r="I645" s="14"/>
      <c r="J645" s="15"/>
      <c r="K645" s="15"/>
    </row>
    <row r="646" spans="1:11">
      <c r="A646" s="14" t="str">
        <f>IF(B646="","",COUNTA($B$4:B646))</f>
        <v/>
      </c>
      <c r="B646" s="14"/>
      <c r="C646" s="14"/>
      <c r="D646" s="14"/>
      <c r="E646" s="14"/>
      <c r="F646" s="14"/>
      <c r="G646" s="14"/>
      <c r="H646" s="14"/>
      <c r="I646" s="14"/>
      <c r="J646" s="15"/>
      <c r="K646" s="140"/>
    </row>
    <row r="647" spans="1:11">
      <c r="A647" s="14" t="str">
        <f>IF(B647="","",COUNTA($B$4:B647))</f>
        <v/>
      </c>
      <c r="B647" s="14"/>
      <c r="C647" s="14"/>
      <c r="D647" s="14"/>
      <c r="E647" s="14"/>
      <c r="F647" s="14"/>
      <c r="G647" s="14"/>
      <c r="H647" s="14"/>
      <c r="I647" s="14"/>
      <c r="J647" s="15"/>
      <c r="K647" s="15"/>
    </row>
    <row r="648" spans="1:11">
      <c r="A648" s="14" t="str">
        <f>IF(B648="","",COUNTA($B$4:B648))</f>
        <v/>
      </c>
      <c r="B648" s="14"/>
      <c r="C648" s="14"/>
      <c r="D648" s="14"/>
      <c r="E648" s="14"/>
      <c r="F648" s="14"/>
      <c r="G648" s="14"/>
      <c r="H648" s="14"/>
      <c r="I648" s="14"/>
      <c r="J648" s="15"/>
      <c r="K648" s="140"/>
    </row>
    <row r="649" spans="1:11">
      <c r="A649" s="14" t="str">
        <f>IF(B649="","",COUNTA($B$4:B649))</f>
        <v/>
      </c>
      <c r="B649" s="14"/>
      <c r="C649" s="14"/>
      <c r="D649" s="14"/>
      <c r="E649" s="14"/>
      <c r="F649" s="14"/>
      <c r="G649" s="14"/>
      <c r="H649" s="14"/>
      <c r="I649" s="14"/>
      <c r="J649" s="15"/>
      <c r="K649" s="140"/>
    </row>
    <row r="650" spans="1:11">
      <c r="A650" s="14" t="str">
        <f>IF(B650="","",COUNTA($B$4:B650))</f>
        <v/>
      </c>
      <c r="B650" s="14"/>
      <c r="C650" s="14"/>
      <c r="D650" s="14"/>
      <c r="E650" s="14"/>
      <c r="F650" s="14"/>
      <c r="G650" s="14"/>
      <c r="H650" s="14"/>
      <c r="I650" s="14"/>
      <c r="J650" s="15"/>
      <c r="K650" s="140"/>
    </row>
    <row r="651" spans="1:11">
      <c r="A651" s="14" t="str">
        <f>IF(B651="","",COUNTA($B$4:B651))</f>
        <v/>
      </c>
      <c r="B651" s="14"/>
      <c r="C651" s="14"/>
      <c r="D651" s="14"/>
      <c r="E651" s="14"/>
      <c r="F651" s="14"/>
      <c r="G651" s="14"/>
      <c r="H651" s="14"/>
      <c r="I651" s="14"/>
      <c r="J651" s="15"/>
      <c r="K651" s="140"/>
    </row>
    <row r="652" spans="1:11">
      <c r="A652" s="14" t="str">
        <f>IF(B652="","",COUNTA($B$4:B652))</f>
        <v/>
      </c>
      <c r="B652" s="14"/>
      <c r="C652" s="14"/>
      <c r="D652" s="14"/>
      <c r="E652" s="14"/>
      <c r="F652" s="14"/>
      <c r="G652" s="14"/>
      <c r="H652" s="14"/>
      <c r="I652" s="14"/>
      <c r="J652" s="15"/>
      <c r="K652" s="140"/>
    </row>
    <row r="653" spans="1:11">
      <c r="A653" s="14" t="str">
        <f>IF(B653="","",COUNTA($B$4:B653))</f>
        <v/>
      </c>
      <c r="B653" s="14"/>
      <c r="C653" s="14"/>
      <c r="D653" s="14"/>
      <c r="E653" s="14"/>
      <c r="F653" s="14"/>
      <c r="G653" s="14"/>
      <c r="H653" s="14"/>
      <c r="I653" s="14"/>
      <c r="J653" s="15"/>
      <c r="K653" s="15"/>
    </row>
    <row r="654" spans="1:11">
      <c r="A654" s="14" t="str">
        <f>IF(B654="","",COUNTA($B$4:B654))</f>
        <v/>
      </c>
      <c r="B654" s="14"/>
      <c r="C654" s="14"/>
      <c r="D654" s="14"/>
      <c r="E654" s="14"/>
      <c r="F654" s="14"/>
      <c r="G654" s="14"/>
      <c r="H654" s="14"/>
      <c r="I654" s="14"/>
      <c r="J654" s="15"/>
      <c r="K654" s="15"/>
    </row>
    <row r="655" spans="1:11">
      <c r="A655" s="14" t="str">
        <f>IF(B655="","",COUNTA($B$4:B655))</f>
        <v/>
      </c>
      <c r="B655" s="14"/>
      <c r="C655" s="14"/>
      <c r="D655" s="14"/>
      <c r="E655" s="14"/>
      <c r="F655" s="14"/>
      <c r="G655" s="14"/>
      <c r="H655" s="14"/>
      <c r="I655" s="14"/>
      <c r="J655" s="15"/>
      <c r="K655" s="15"/>
    </row>
    <row r="656" spans="1:11">
      <c r="A656" s="14" t="str">
        <f>IF(B656="","",COUNTA($B$4:B656))</f>
        <v/>
      </c>
      <c r="B656" s="14"/>
      <c r="C656" s="14"/>
      <c r="D656" s="14"/>
      <c r="E656" s="14"/>
      <c r="F656" s="14"/>
      <c r="G656" s="14"/>
      <c r="H656" s="14"/>
      <c r="I656" s="14"/>
      <c r="J656" s="15"/>
      <c r="K656" s="15"/>
    </row>
    <row r="657" spans="1:11">
      <c r="A657" s="14" t="str">
        <f>IF(B657="","",COUNTA($B$4:B657))</f>
        <v/>
      </c>
      <c r="B657" s="14"/>
      <c r="C657" s="14"/>
      <c r="D657" s="14"/>
      <c r="E657" s="14"/>
      <c r="F657" s="14"/>
      <c r="G657" s="14"/>
      <c r="H657" s="14"/>
      <c r="I657" s="14"/>
      <c r="J657" s="15"/>
      <c r="K657" s="15"/>
    </row>
    <row r="658" spans="1:11">
      <c r="A658" s="14" t="str">
        <f>IF(B658="","",COUNTA($B$4:B658))</f>
        <v/>
      </c>
      <c r="B658" s="14"/>
      <c r="C658" s="14"/>
      <c r="D658" s="14"/>
      <c r="E658" s="14"/>
      <c r="F658" s="14"/>
      <c r="G658" s="14"/>
      <c r="H658" s="14"/>
      <c r="I658" s="14"/>
      <c r="J658" s="15"/>
      <c r="K658" s="15"/>
    </row>
    <row r="659" spans="1:11">
      <c r="A659" s="14" t="str">
        <f>IF(B659="","",COUNTA($B$4:B659))</f>
        <v/>
      </c>
      <c r="B659" s="14"/>
      <c r="C659" s="14"/>
      <c r="D659" s="14"/>
      <c r="E659" s="14"/>
      <c r="F659" s="14"/>
      <c r="G659" s="14"/>
      <c r="H659" s="14"/>
      <c r="I659" s="14"/>
      <c r="J659" s="15"/>
      <c r="K659" s="15"/>
    </row>
    <row r="660" spans="1:11">
      <c r="A660" s="14" t="str">
        <f>IF(B660="","",COUNTA($B$4:B660))</f>
        <v/>
      </c>
      <c r="B660" s="14"/>
      <c r="C660" s="14"/>
      <c r="D660" s="14"/>
      <c r="E660" s="14"/>
      <c r="F660" s="14"/>
      <c r="G660" s="14"/>
      <c r="H660" s="14"/>
      <c r="I660" s="14"/>
      <c r="J660" s="15"/>
      <c r="K660" s="140"/>
    </row>
    <row r="661" spans="1:11">
      <c r="A661" s="14" t="str">
        <f>IF(B661="","",COUNTA($B$4:B661))</f>
        <v/>
      </c>
      <c r="B661" s="14"/>
      <c r="C661" s="14"/>
      <c r="D661" s="14"/>
      <c r="E661" s="14"/>
      <c r="F661" s="14"/>
      <c r="G661" s="14"/>
      <c r="H661" s="14"/>
      <c r="I661" s="14"/>
      <c r="J661" s="15"/>
      <c r="K661" s="15"/>
    </row>
    <row r="662" spans="1:11">
      <c r="A662" s="14" t="str">
        <f>IF(B662="","",COUNTA($B$4:B662))</f>
        <v/>
      </c>
      <c r="B662" s="14"/>
      <c r="C662" s="14"/>
      <c r="D662" s="14"/>
      <c r="E662" s="14"/>
      <c r="F662" s="14"/>
      <c r="G662" s="14"/>
      <c r="H662" s="14"/>
      <c r="I662" s="14"/>
      <c r="J662" s="15"/>
      <c r="K662" s="15"/>
    </row>
    <row r="663" spans="1:11">
      <c r="A663" s="14" t="str">
        <f>IF(B663="","",COUNTA($B$4:B663))</f>
        <v/>
      </c>
      <c r="B663" s="14"/>
      <c r="C663" s="14"/>
      <c r="D663" s="14"/>
      <c r="E663" s="14"/>
      <c r="F663" s="14"/>
      <c r="G663" s="14"/>
      <c r="H663" s="14"/>
      <c r="I663" s="14"/>
      <c r="J663" s="15"/>
      <c r="K663" s="15"/>
    </row>
    <row r="664" spans="1:11">
      <c r="A664" s="14" t="str">
        <f>IF(B664="","",COUNTA($B$4:B664))</f>
        <v/>
      </c>
      <c r="B664" s="14"/>
      <c r="C664" s="14"/>
      <c r="D664" s="14"/>
      <c r="E664" s="14"/>
      <c r="F664" s="14"/>
      <c r="G664" s="14"/>
      <c r="H664" s="14"/>
      <c r="I664" s="14"/>
      <c r="J664" s="15"/>
      <c r="K664" s="15"/>
    </row>
    <row r="665" spans="1:11">
      <c r="A665" s="14" t="str">
        <f>IF(B665="","",COUNTA($B$4:B665))</f>
        <v/>
      </c>
      <c r="B665" s="14"/>
      <c r="C665" s="14"/>
      <c r="D665" s="14"/>
      <c r="E665" s="14"/>
      <c r="F665" s="14"/>
      <c r="G665" s="14"/>
      <c r="H665" s="14"/>
      <c r="I665" s="14"/>
      <c r="J665" s="15"/>
      <c r="K665" s="15"/>
    </row>
    <row r="666" spans="1:11">
      <c r="A666" s="14" t="str">
        <f>IF(B666="","",COUNTA($B$4:B666))</f>
        <v/>
      </c>
      <c r="B666" s="14"/>
      <c r="C666" s="14"/>
      <c r="D666" s="14"/>
      <c r="E666" s="14"/>
      <c r="F666" s="14"/>
      <c r="G666" s="14"/>
      <c r="H666" s="14"/>
      <c r="I666" s="14"/>
      <c r="J666" s="15"/>
      <c r="K666" s="140"/>
    </row>
    <row r="667" spans="1:11">
      <c r="A667" s="14" t="str">
        <f>IF(B667="","",COUNTA($B$4:B667))</f>
        <v/>
      </c>
      <c r="B667" s="14"/>
      <c r="C667" s="14"/>
      <c r="D667" s="14"/>
      <c r="E667" s="14"/>
      <c r="F667" s="14"/>
      <c r="G667" s="14"/>
      <c r="H667" s="14"/>
      <c r="I667" s="14"/>
      <c r="J667" s="15"/>
      <c r="K667" s="15"/>
    </row>
    <row r="668" spans="1:11">
      <c r="A668" s="14" t="str">
        <f>IF(B668="","",COUNTA($B$4:B668))</f>
        <v/>
      </c>
      <c r="B668" s="14"/>
      <c r="C668" s="14"/>
      <c r="D668" s="14"/>
      <c r="E668" s="14"/>
      <c r="F668" s="14"/>
      <c r="G668" s="14"/>
      <c r="H668" s="14"/>
      <c r="I668" s="14"/>
      <c r="J668" s="15"/>
      <c r="K668" s="15"/>
    </row>
    <row r="669" spans="1:11">
      <c r="A669" s="14" t="str">
        <f>IF(B669="","",COUNTA($B$4:B669))</f>
        <v/>
      </c>
      <c r="B669" s="14"/>
      <c r="C669" s="14"/>
      <c r="D669" s="14"/>
      <c r="E669" s="14"/>
      <c r="F669" s="14"/>
      <c r="G669" s="14"/>
      <c r="H669" s="14"/>
      <c r="I669" s="14"/>
      <c r="J669" s="15"/>
      <c r="K669" s="140"/>
    </row>
    <row r="670" spans="1:11">
      <c r="A670" s="14" t="str">
        <f>IF(B670="","",COUNTA($B$4:B670))</f>
        <v/>
      </c>
      <c r="B670" s="14"/>
      <c r="C670" s="14"/>
      <c r="D670" s="14"/>
      <c r="E670" s="14"/>
      <c r="F670" s="14"/>
      <c r="G670" s="14"/>
      <c r="H670" s="14"/>
      <c r="I670" s="14"/>
      <c r="J670" s="15"/>
      <c r="K670" s="15"/>
    </row>
    <row r="671" spans="1:11">
      <c r="A671" s="14" t="str">
        <f>IF(B671="","",COUNTA($B$4:B671))</f>
        <v/>
      </c>
      <c r="B671" s="14"/>
      <c r="C671" s="14"/>
      <c r="D671" s="14"/>
      <c r="E671" s="14"/>
      <c r="F671" s="14"/>
      <c r="G671" s="14"/>
      <c r="H671" s="14"/>
      <c r="I671" s="14"/>
      <c r="J671" s="15"/>
      <c r="K671" s="140"/>
    </row>
    <row r="672" spans="1:11">
      <c r="A672" s="14" t="str">
        <f>IF(B672="","",COUNTA($B$4:B672))</f>
        <v/>
      </c>
      <c r="B672" s="14"/>
      <c r="C672" s="14"/>
      <c r="D672" s="14"/>
      <c r="E672" s="14"/>
      <c r="F672" s="14"/>
      <c r="G672" s="14"/>
      <c r="H672" s="14"/>
      <c r="I672" s="14"/>
      <c r="J672" s="15"/>
      <c r="K672" s="15"/>
    </row>
    <row r="673" spans="1:11">
      <c r="A673" s="14" t="str">
        <f>IF(B673="","",COUNTA($B$4:B673))</f>
        <v/>
      </c>
      <c r="B673" s="14"/>
      <c r="C673" s="14"/>
      <c r="D673" s="14"/>
      <c r="E673" s="14"/>
      <c r="F673" s="14"/>
      <c r="G673" s="14"/>
      <c r="H673" s="14"/>
      <c r="I673" s="14"/>
      <c r="J673" s="15"/>
      <c r="K673" s="140"/>
    </row>
    <row r="674" spans="1:11">
      <c r="A674" s="14" t="str">
        <f>IF(B674="","",COUNTA($B$4:B674))</f>
        <v/>
      </c>
      <c r="B674" s="14"/>
      <c r="C674" s="14"/>
      <c r="D674" s="14"/>
      <c r="E674" s="14"/>
      <c r="F674" s="14"/>
      <c r="G674" s="14"/>
      <c r="H674" s="14"/>
      <c r="I674" s="14"/>
      <c r="J674" s="15"/>
      <c r="K674" s="140"/>
    </row>
    <row r="675" spans="1:11">
      <c r="A675" s="14" t="str">
        <f>IF(B675="","",COUNTA($B$4:B675))</f>
        <v/>
      </c>
      <c r="B675" s="14"/>
      <c r="C675" s="14"/>
      <c r="D675" s="14"/>
      <c r="E675" s="14"/>
      <c r="F675" s="14"/>
      <c r="G675" s="14"/>
      <c r="H675" s="14"/>
      <c r="I675" s="14"/>
      <c r="J675" s="15"/>
      <c r="K675" s="15"/>
    </row>
    <row r="676" spans="1:11">
      <c r="A676" s="14" t="str">
        <f>IF(B676="","",COUNTA($B$4:B676))</f>
        <v/>
      </c>
      <c r="B676" s="14"/>
      <c r="C676" s="14"/>
      <c r="D676" s="14"/>
      <c r="E676" s="14"/>
      <c r="F676" s="14"/>
      <c r="G676" s="14"/>
      <c r="H676" s="14"/>
      <c r="I676" s="14"/>
      <c r="J676" s="15"/>
      <c r="K676" s="15"/>
    </row>
    <row r="677" spans="1:11">
      <c r="A677" s="14" t="str">
        <f>IF(B677="","",COUNTA($B$4:B677))</f>
        <v/>
      </c>
      <c r="B677" s="14"/>
      <c r="C677" s="14"/>
      <c r="D677" s="14"/>
      <c r="E677" s="14"/>
      <c r="F677" s="14"/>
      <c r="G677" s="14"/>
      <c r="H677" s="14"/>
      <c r="I677" s="14"/>
      <c r="J677" s="15"/>
      <c r="K677" s="15"/>
    </row>
    <row r="678" spans="1:11">
      <c r="A678" s="14" t="str">
        <f>IF(B678="","",COUNTA($B$4:B678))</f>
        <v/>
      </c>
      <c r="B678" s="14"/>
      <c r="C678" s="14"/>
      <c r="D678" s="14"/>
      <c r="E678" s="14"/>
      <c r="F678" s="14"/>
      <c r="G678" s="14"/>
      <c r="H678" s="14"/>
      <c r="I678" s="14"/>
      <c r="J678" s="15"/>
      <c r="K678" s="140"/>
    </row>
    <row r="679" spans="1:11">
      <c r="A679" s="14" t="str">
        <f>IF(B679="","",COUNTA($B$4:B679))</f>
        <v/>
      </c>
      <c r="B679" s="14"/>
      <c r="C679" s="14"/>
      <c r="D679" s="14"/>
      <c r="E679" s="14"/>
      <c r="F679" s="14"/>
      <c r="G679" s="14"/>
      <c r="H679" s="14"/>
      <c r="I679" s="14"/>
      <c r="J679" s="15"/>
      <c r="K679" s="15"/>
    </row>
    <row r="680" spans="1:11">
      <c r="A680" s="14" t="str">
        <f>IF(B680="","",COUNTA($B$4:B680))</f>
        <v/>
      </c>
      <c r="B680" s="14"/>
      <c r="C680" s="14"/>
      <c r="D680" s="14"/>
      <c r="E680" s="14"/>
      <c r="F680" s="14"/>
      <c r="G680" s="14"/>
      <c r="H680" s="14"/>
      <c r="I680" s="14"/>
      <c r="J680" s="15"/>
      <c r="K680" s="140"/>
    </row>
    <row r="681" spans="1:11">
      <c r="A681" s="14" t="str">
        <f>IF(B681="","",COUNTA($B$4:B681))</f>
        <v/>
      </c>
      <c r="B681" s="14"/>
      <c r="C681" s="14"/>
      <c r="D681" s="14"/>
      <c r="E681" s="14"/>
      <c r="F681" s="14"/>
      <c r="G681" s="14"/>
      <c r="H681" s="14"/>
      <c r="I681" s="14"/>
      <c r="J681" s="15"/>
      <c r="K681" s="15"/>
    </row>
    <row r="682" spans="1:11">
      <c r="A682" s="14" t="str">
        <f>IF(B682="","",COUNTA($B$4:B682))</f>
        <v/>
      </c>
      <c r="B682" s="14"/>
      <c r="C682" s="14"/>
      <c r="D682" s="14"/>
      <c r="E682" s="14"/>
      <c r="F682" s="14"/>
      <c r="G682" s="14"/>
      <c r="H682" s="14"/>
      <c r="I682" s="14"/>
      <c r="J682" s="15"/>
      <c r="K682" s="15"/>
    </row>
    <row r="683" spans="1:11">
      <c r="A683" s="14" t="str">
        <f>IF(B683="","",COUNTA($B$4:B683))</f>
        <v/>
      </c>
      <c r="B683" s="14"/>
      <c r="C683" s="14"/>
      <c r="D683" s="14"/>
      <c r="E683" s="14"/>
      <c r="F683" s="14"/>
      <c r="G683" s="14"/>
      <c r="H683" s="14"/>
      <c r="I683" s="14"/>
      <c r="J683" s="15"/>
      <c r="K683" s="15"/>
    </row>
    <row r="684" spans="1:11">
      <c r="A684" s="14" t="str">
        <f>IF(B684="","",COUNTA($B$4:B684))</f>
        <v/>
      </c>
      <c r="B684" s="14"/>
      <c r="C684" s="14"/>
      <c r="D684" s="14"/>
      <c r="E684" s="14"/>
      <c r="F684" s="14"/>
      <c r="G684" s="14"/>
      <c r="H684" s="14"/>
      <c r="I684" s="14"/>
      <c r="J684" s="15"/>
      <c r="K684" s="140"/>
    </row>
    <row r="685" spans="1:11">
      <c r="A685" s="14" t="str">
        <f>IF(B685="","",COUNTA($B$4:B685))</f>
        <v/>
      </c>
      <c r="B685" s="14"/>
      <c r="C685" s="14"/>
      <c r="D685" s="14"/>
      <c r="E685" s="14"/>
      <c r="F685" s="14"/>
      <c r="G685" s="14"/>
      <c r="H685" s="14"/>
      <c r="I685" s="14"/>
      <c r="J685" s="15"/>
      <c r="K685" s="140"/>
    </row>
    <row r="686" spans="1:11">
      <c r="A686" s="14" t="str">
        <f>IF(B686="","",COUNTA($B$4:B686))</f>
        <v/>
      </c>
      <c r="B686" s="14"/>
      <c r="C686" s="14"/>
      <c r="D686" s="14"/>
      <c r="E686" s="14"/>
      <c r="F686" s="14"/>
      <c r="G686" s="14"/>
      <c r="H686" s="14"/>
      <c r="I686" s="14"/>
      <c r="J686" s="15"/>
      <c r="K686" s="140"/>
    </row>
    <row r="687" spans="1:11">
      <c r="A687" s="14" t="str">
        <f>IF(B687="","",COUNTA($B$4:B687))</f>
        <v/>
      </c>
      <c r="B687" s="14"/>
      <c r="C687" s="14"/>
      <c r="D687" s="14"/>
      <c r="E687" s="14"/>
      <c r="F687" s="14"/>
      <c r="G687" s="14"/>
      <c r="H687" s="14"/>
      <c r="I687" s="14"/>
      <c r="J687" s="15"/>
      <c r="K687" s="140"/>
    </row>
    <row r="688" spans="1:11">
      <c r="A688" s="14" t="str">
        <f>IF(B688="","",COUNTA($B$4:B688))</f>
        <v/>
      </c>
      <c r="B688" s="14"/>
      <c r="C688" s="14"/>
      <c r="D688" s="14"/>
      <c r="E688" s="14"/>
      <c r="F688" s="14"/>
      <c r="G688" s="14"/>
      <c r="H688" s="14"/>
      <c r="I688" s="14"/>
      <c r="J688" s="15"/>
      <c r="K688" s="140"/>
    </row>
    <row r="689" spans="1:11">
      <c r="A689" s="14" t="str">
        <f>IF(B689="","",COUNTA($B$4:B689))</f>
        <v/>
      </c>
      <c r="B689" s="14"/>
      <c r="C689" s="14"/>
      <c r="D689" s="14"/>
      <c r="E689" s="14"/>
      <c r="F689" s="14"/>
      <c r="G689" s="14"/>
      <c r="H689" s="14"/>
      <c r="I689" s="14"/>
      <c r="J689" s="15"/>
      <c r="K689" s="140"/>
    </row>
    <row r="690" spans="1:11">
      <c r="A690" s="14" t="str">
        <f>IF(B690="","",COUNTA($B$4:B690))</f>
        <v/>
      </c>
      <c r="B690" s="14"/>
      <c r="C690" s="14"/>
      <c r="D690" s="14"/>
      <c r="E690" s="14"/>
      <c r="F690" s="14"/>
      <c r="G690" s="14"/>
      <c r="H690" s="14"/>
      <c r="I690" s="14"/>
      <c r="J690" s="15"/>
      <c r="K690" s="140"/>
    </row>
    <row r="691" spans="1:11">
      <c r="A691" s="14" t="str">
        <f>IF(B691="","",COUNTA($B$4:B691))</f>
        <v/>
      </c>
      <c r="B691" s="14"/>
      <c r="C691" s="14"/>
      <c r="D691" s="14"/>
      <c r="E691" s="14"/>
      <c r="F691" s="14"/>
      <c r="G691" s="14"/>
      <c r="H691" s="14"/>
      <c r="I691" s="14"/>
      <c r="J691" s="15"/>
      <c r="K691" s="140"/>
    </row>
    <row r="692" spans="1:11">
      <c r="A692" s="14" t="str">
        <f>IF(B692="","",COUNTA($B$4:B692))</f>
        <v/>
      </c>
      <c r="B692" s="14"/>
      <c r="C692" s="14"/>
      <c r="D692" s="14"/>
      <c r="E692" s="14"/>
      <c r="F692" s="14"/>
      <c r="G692" s="14"/>
      <c r="H692" s="14"/>
      <c r="I692" s="14"/>
      <c r="J692" s="15"/>
      <c r="K692" s="140"/>
    </row>
    <row r="693" spans="1:11">
      <c r="A693" s="14" t="str">
        <f>IF(B693="","",COUNTA($B$4:B693))</f>
        <v/>
      </c>
      <c r="B693" s="14"/>
      <c r="C693" s="14"/>
      <c r="D693" s="14"/>
      <c r="E693" s="14"/>
      <c r="F693" s="14"/>
      <c r="G693" s="14"/>
      <c r="H693" s="14"/>
      <c r="I693" s="14"/>
      <c r="J693" s="15"/>
      <c r="K693" s="140"/>
    </row>
    <row r="694" spans="1:11">
      <c r="A694" s="14" t="str">
        <f>IF(B694="","",COUNTA($B$4:B694))</f>
        <v/>
      </c>
      <c r="B694" s="14"/>
      <c r="C694" s="14"/>
      <c r="D694" s="14"/>
      <c r="E694" s="14"/>
      <c r="F694" s="14"/>
      <c r="G694" s="14"/>
      <c r="H694" s="14"/>
      <c r="I694" s="14"/>
      <c r="J694" s="15"/>
      <c r="K694" s="140"/>
    </row>
    <row r="695" spans="1:11">
      <c r="A695" s="14" t="str">
        <f>IF(B695="","",COUNTA($B$4:B695))</f>
        <v/>
      </c>
      <c r="B695" s="14"/>
      <c r="C695" s="14"/>
      <c r="D695" s="14"/>
      <c r="E695" s="14"/>
      <c r="F695" s="14"/>
      <c r="G695" s="14"/>
      <c r="H695" s="14"/>
      <c r="I695" s="14"/>
      <c r="J695" s="15"/>
      <c r="K695" s="140"/>
    </row>
    <row r="696" spans="1:11">
      <c r="A696" s="14" t="str">
        <f>IF(B696="","",COUNTA($B$4:B696))</f>
        <v/>
      </c>
      <c r="B696" s="14"/>
      <c r="C696" s="14"/>
      <c r="D696" s="14"/>
      <c r="E696" s="14"/>
      <c r="F696" s="14"/>
      <c r="G696" s="14"/>
      <c r="H696" s="14"/>
      <c r="I696" s="14"/>
      <c r="J696" s="15"/>
      <c r="K696" s="140"/>
    </row>
    <row r="697" spans="1:11">
      <c r="A697" s="14" t="str">
        <f>IF(B697="","",COUNTA($B$4:B697))</f>
        <v/>
      </c>
      <c r="B697" s="14"/>
      <c r="C697" s="14"/>
      <c r="D697" s="14"/>
      <c r="E697" s="14"/>
      <c r="F697" s="14"/>
      <c r="G697" s="14"/>
      <c r="H697" s="14"/>
      <c r="I697" s="14"/>
      <c r="J697" s="15"/>
      <c r="K697" s="140"/>
    </row>
    <row r="698" spans="1:11">
      <c r="A698" s="14" t="str">
        <f>IF(B698="","",COUNTA($B$4:B698))</f>
        <v/>
      </c>
      <c r="B698" s="14"/>
      <c r="C698" s="14"/>
      <c r="D698" s="14"/>
      <c r="E698" s="14"/>
      <c r="F698" s="14"/>
      <c r="G698" s="14"/>
      <c r="H698" s="14"/>
      <c r="I698" s="14"/>
      <c r="J698" s="15"/>
      <c r="K698" s="140"/>
    </row>
    <row r="699" spans="1:11">
      <c r="A699" s="14" t="str">
        <f>IF(B699="","",COUNTA($B$4:B699))</f>
        <v/>
      </c>
      <c r="B699" s="14"/>
      <c r="C699" s="14"/>
      <c r="D699" s="14"/>
      <c r="E699" s="14"/>
      <c r="F699" s="14"/>
      <c r="G699" s="14"/>
      <c r="H699" s="14"/>
      <c r="I699" s="14"/>
      <c r="J699" s="15"/>
      <c r="K699" s="140"/>
    </row>
    <row r="700" spans="1:11">
      <c r="A700" s="14" t="str">
        <f>IF(B700="","",COUNTA($B$4:B700))</f>
        <v/>
      </c>
      <c r="B700" s="14"/>
      <c r="C700" s="14"/>
      <c r="D700" s="14"/>
      <c r="E700" s="14"/>
      <c r="F700" s="14"/>
      <c r="G700" s="14"/>
      <c r="H700" s="14"/>
      <c r="I700" s="14"/>
      <c r="J700" s="15"/>
      <c r="K700" s="140"/>
    </row>
    <row r="701" spans="1:11">
      <c r="A701" s="14" t="str">
        <f>IF(B701="","",COUNTA($B$4:B701))</f>
        <v/>
      </c>
      <c r="B701" s="14"/>
      <c r="C701" s="14"/>
      <c r="D701" s="14"/>
      <c r="E701" s="14"/>
      <c r="F701" s="14"/>
      <c r="G701" s="14"/>
      <c r="H701" s="14"/>
      <c r="I701" s="14"/>
      <c r="J701" s="15"/>
      <c r="K701" s="140"/>
    </row>
    <row r="702" spans="1:11">
      <c r="A702" s="14" t="str">
        <f>IF(B702="","",COUNTA($B$4:B702))</f>
        <v/>
      </c>
      <c r="B702" s="14"/>
      <c r="C702" s="14"/>
      <c r="D702" s="14"/>
      <c r="E702" s="14"/>
      <c r="F702" s="14"/>
      <c r="G702" s="14"/>
      <c r="H702" s="14"/>
      <c r="I702" s="14"/>
      <c r="J702" s="15"/>
      <c r="K702" s="140"/>
    </row>
    <row r="703" spans="1:11">
      <c r="A703" s="14" t="str">
        <f>IF(B703="","",COUNTA($B$4:B703))</f>
        <v/>
      </c>
      <c r="B703" s="14"/>
      <c r="C703" s="14"/>
      <c r="D703" s="14"/>
      <c r="E703" s="14"/>
      <c r="F703" s="14"/>
      <c r="G703" s="14"/>
      <c r="H703" s="14"/>
      <c r="I703" s="14"/>
      <c r="J703" s="15"/>
      <c r="K703" s="140"/>
    </row>
    <row r="704" spans="1:11">
      <c r="A704" s="14" t="str">
        <f>IF(B704="","",COUNTA($B$4:B704))</f>
        <v/>
      </c>
      <c r="B704" s="14"/>
      <c r="C704" s="14"/>
      <c r="D704" s="14"/>
      <c r="E704" s="14"/>
      <c r="F704" s="14"/>
      <c r="G704" s="14"/>
      <c r="H704" s="14"/>
      <c r="I704" s="14"/>
      <c r="J704" s="15"/>
      <c r="K704" s="140"/>
    </row>
    <row r="705" spans="1:11">
      <c r="A705" s="14" t="str">
        <f>IF(B705="","",COUNTA($B$4:B705))</f>
        <v/>
      </c>
      <c r="B705" s="14"/>
      <c r="C705" s="14"/>
      <c r="D705" s="14"/>
      <c r="E705" s="14"/>
      <c r="F705" s="14"/>
      <c r="G705" s="14"/>
      <c r="H705" s="14"/>
      <c r="I705" s="14"/>
      <c r="J705" s="15"/>
      <c r="K705" s="140"/>
    </row>
    <row r="706" spans="1:11">
      <c r="A706" s="14" t="str">
        <f>IF(B706="","",COUNTA($B$4:B706))</f>
        <v/>
      </c>
      <c r="B706" s="14"/>
      <c r="C706" s="14"/>
      <c r="D706" s="14"/>
      <c r="E706" s="14"/>
      <c r="F706" s="14"/>
      <c r="G706" s="14"/>
      <c r="H706" s="14"/>
      <c r="I706" s="14"/>
      <c r="J706" s="15"/>
      <c r="K706" s="140"/>
    </row>
    <row r="707" spans="1:11">
      <c r="A707" s="14" t="str">
        <f>IF(B707="","",COUNTA($B$4:B707))</f>
        <v/>
      </c>
      <c r="B707" s="14"/>
      <c r="C707" s="14"/>
      <c r="D707" s="14"/>
      <c r="E707" s="14"/>
      <c r="F707" s="14"/>
      <c r="G707" s="14"/>
      <c r="H707" s="14"/>
      <c r="I707" s="14"/>
      <c r="J707" s="15"/>
      <c r="K707" s="140"/>
    </row>
    <row r="708" spans="1:11">
      <c r="A708" s="14" t="str">
        <f>IF(B708="","",COUNTA($B$4:B708))</f>
        <v/>
      </c>
      <c r="B708" s="14"/>
      <c r="C708" s="14"/>
      <c r="D708" s="14"/>
      <c r="E708" s="14"/>
      <c r="F708" s="14"/>
      <c r="G708" s="14"/>
      <c r="H708" s="14"/>
      <c r="I708" s="14"/>
      <c r="J708" s="15"/>
      <c r="K708" s="140"/>
    </row>
    <row r="709" spans="1:11">
      <c r="A709" s="14" t="str">
        <f>IF(B709="","",COUNTA($B$4:B709))</f>
        <v/>
      </c>
      <c r="B709" s="14"/>
      <c r="C709" s="14"/>
      <c r="D709" s="14"/>
      <c r="E709" s="14"/>
      <c r="F709" s="14"/>
      <c r="G709" s="14"/>
      <c r="H709" s="14"/>
      <c r="I709" s="14"/>
      <c r="J709" s="15"/>
      <c r="K709" s="140"/>
    </row>
    <row r="710" spans="1:11">
      <c r="A710" s="14" t="str">
        <f>IF(B710="","",COUNTA($B$4:B710))</f>
        <v/>
      </c>
      <c r="B710" s="14"/>
      <c r="C710" s="14"/>
      <c r="D710" s="14"/>
      <c r="E710" s="14"/>
      <c r="F710" s="14"/>
      <c r="G710" s="14"/>
      <c r="H710" s="14"/>
      <c r="I710" s="14"/>
      <c r="J710" s="15"/>
      <c r="K710" s="140"/>
    </row>
    <row r="711" spans="1:11">
      <c r="A711" s="14" t="str">
        <f>IF(B711="","",COUNTA($B$4:B711))</f>
        <v/>
      </c>
      <c r="B711" s="14"/>
      <c r="C711" s="14"/>
      <c r="D711" s="14"/>
      <c r="E711" s="14"/>
      <c r="F711" s="14"/>
      <c r="G711" s="14"/>
      <c r="H711" s="14"/>
      <c r="I711" s="14"/>
      <c r="J711" s="15"/>
      <c r="K711" s="140"/>
    </row>
    <row r="712" spans="1:11">
      <c r="A712" s="14" t="str">
        <f>IF(B712="","",COUNTA($B$4:B712))</f>
        <v/>
      </c>
      <c r="B712" s="14"/>
      <c r="C712" s="14"/>
      <c r="D712" s="14"/>
      <c r="E712" s="14"/>
      <c r="F712" s="14"/>
      <c r="G712" s="14"/>
      <c r="H712" s="14"/>
      <c r="I712" s="14"/>
      <c r="J712" s="15"/>
      <c r="K712" s="140"/>
    </row>
    <row r="713" spans="1:11">
      <c r="A713" s="14" t="str">
        <f>IF(B713="","",COUNTA($B$4:B713))</f>
        <v/>
      </c>
      <c r="B713" s="14"/>
      <c r="C713" s="14"/>
      <c r="D713" s="14"/>
      <c r="E713" s="14"/>
      <c r="F713" s="14"/>
      <c r="G713" s="14"/>
      <c r="H713" s="14"/>
      <c r="I713" s="14"/>
      <c r="J713" s="15"/>
      <c r="K713" s="140"/>
    </row>
    <row r="714" spans="1:11">
      <c r="A714" s="14" t="str">
        <f>IF(B714="","",COUNTA($B$4:B714))</f>
        <v/>
      </c>
      <c r="B714" s="14"/>
      <c r="C714" s="14"/>
      <c r="D714" s="14"/>
      <c r="E714" s="14"/>
      <c r="F714" s="14"/>
      <c r="G714" s="14"/>
      <c r="H714" s="14"/>
      <c r="I714" s="14"/>
      <c r="J714" s="15"/>
      <c r="K714" s="140"/>
    </row>
    <row r="715" spans="1:11">
      <c r="A715" s="14" t="str">
        <f>IF(B715="","",COUNTA($B$4:B715))</f>
        <v/>
      </c>
      <c r="B715" s="14"/>
      <c r="C715" s="14"/>
      <c r="D715" s="14"/>
      <c r="E715" s="14"/>
      <c r="F715" s="14"/>
      <c r="G715" s="14"/>
      <c r="H715" s="14"/>
      <c r="I715" s="14"/>
      <c r="J715" s="15"/>
      <c r="K715" s="140"/>
    </row>
    <row r="716" spans="1:11">
      <c r="A716" s="14" t="str">
        <f>IF(B716="","",COUNTA($B$4:B716))</f>
        <v/>
      </c>
      <c r="B716" s="14"/>
      <c r="C716" s="14"/>
      <c r="D716" s="14"/>
      <c r="E716" s="14"/>
      <c r="F716" s="14"/>
      <c r="G716" s="14"/>
      <c r="H716" s="14"/>
      <c r="I716" s="14"/>
      <c r="J716" s="15"/>
      <c r="K716" s="140"/>
    </row>
    <row r="717" spans="1:11">
      <c r="A717" s="14" t="str">
        <f>IF(B717="","",COUNTA($B$4:B717))</f>
        <v/>
      </c>
      <c r="B717" s="14"/>
      <c r="C717" s="14"/>
      <c r="D717" s="14"/>
      <c r="E717" s="14"/>
      <c r="F717" s="14"/>
      <c r="G717" s="14"/>
      <c r="H717" s="14"/>
      <c r="I717" s="14"/>
      <c r="J717" s="15"/>
      <c r="K717" s="140"/>
    </row>
    <row r="718" spans="1:11">
      <c r="A718" s="14" t="str">
        <f>IF(B718="","",COUNTA($B$4:B718))</f>
        <v/>
      </c>
      <c r="B718" s="14"/>
      <c r="C718" s="14"/>
      <c r="D718" s="14"/>
      <c r="E718" s="14"/>
      <c r="F718" s="14"/>
      <c r="G718" s="14"/>
      <c r="H718" s="14"/>
      <c r="I718" s="14"/>
      <c r="J718" s="15"/>
      <c r="K718" s="140"/>
    </row>
    <row r="719" spans="1:11">
      <c r="A719" s="14" t="str">
        <f>IF(B719="","",COUNTA($B$4:B719))</f>
        <v/>
      </c>
      <c r="B719" s="14"/>
      <c r="C719" s="14"/>
      <c r="D719" s="14"/>
      <c r="E719" s="14"/>
      <c r="F719" s="14"/>
      <c r="G719" s="14"/>
      <c r="H719" s="14"/>
      <c r="I719" s="14"/>
      <c r="J719" s="15"/>
      <c r="K719" s="140"/>
    </row>
    <row r="720" spans="1:11">
      <c r="A720" s="14" t="str">
        <f>IF(B720="","",COUNTA($B$4:B720))</f>
        <v/>
      </c>
      <c r="B720" s="14"/>
      <c r="C720" s="14"/>
      <c r="D720" s="14"/>
      <c r="E720" s="14"/>
      <c r="F720" s="14"/>
      <c r="G720" s="14"/>
      <c r="H720" s="14"/>
      <c r="I720" s="14"/>
      <c r="J720" s="15"/>
      <c r="K720" s="140"/>
    </row>
    <row r="721" spans="1:11">
      <c r="A721" s="14" t="str">
        <f>IF(B721="","",COUNTA($B$4:B721))</f>
        <v/>
      </c>
      <c r="B721" s="14"/>
      <c r="C721" s="14"/>
      <c r="D721" s="14"/>
      <c r="E721" s="14"/>
      <c r="F721" s="14"/>
      <c r="G721" s="14"/>
      <c r="H721" s="14"/>
      <c r="I721" s="14"/>
      <c r="J721" s="15"/>
      <c r="K721" s="140"/>
    </row>
    <row r="722" spans="1:11">
      <c r="A722" s="14" t="str">
        <f>IF(B722="","",COUNTA($B$4:B722))</f>
        <v/>
      </c>
      <c r="B722" s="14"/>
      <c r="C722" s="14"/>
      <c r="D722" s="14"/>
      <c r="E722" s="14"/>
      <c r="F722" s="14"/>
      <c r="G722" s="14"/>
      <c r="H722" s="14"/>
      <c r="I722" s="14"/>
      <c r="J722" s="15"/>
      <c r="K722" s="140"/>
    </row>
    <row r="723" spans="1:11">
      <c r="A723" s="14" t="str">
        <f>IF(B723="","",COUNTA($B$4:B723))</f>
        <v/>
      </c>
      <c r="B723" s="14"/>
      <c r="C723" s="14"/>
      <c r="D723" s="14"/>
      <c r="E723" s="14"/>
      <c r="F723" s="14"/>
      <c r="G723" s="14"/>
      <c r="H723" s="14"/>
      <c r="I723" s="14"/>
      <c r="J723" s="15"/>
      <c r="K723" s="140"/>
    </row>
    <row r="724" spans="1:11">
      <c r="A724" s="14" t="str">
        <f>IF(B724="","",COUNTA($B$4:B724))</f>
        <v/>
      </c>
      <c r="B724" s="14"/>
      <c r="C724" s="14"/>
      <c r="D724" s="14"/>
      <c r="E724" s="14"/>
      <c r="F724" s="14"/>
      <c r="G724" s="14"/>
      <c r="H724" s="14"/>
      <c r="I724" s="14"/>
      <c r="J724" s="15"/>
      <c r="K724" s="140"/>
    </row>
    <row r="725" spans="1:11">
      <c r="A725" s="14" t="str">
        <f>IF(B725="","",COUNTA($B$4:B725))</f>
        <v/>
      </c>
      <c r="B725" s="14"/>
      <c r="C725" s="14"/>
      <c r="D725" s="14"/>
      <c r="E725" s="14"/>
      <c r="F725" s="14"/>
      <c r="G725" s="14"/>
      <c r="H725" s="14"/>
      <c r="I725" s="14"/>
      <c r="J725" s="15"/>
      <c r="K725" s="140"/>
    </row>
    <row r="726" spans="1:11">
      <c r="A726" s="14" t="str">
        <f>IF(B726="","",COUNTA($B$4:B726))</f>
        <v/>
      </c>
      <c r="B726" s="14"/>
      <c r="C726" s="14"/>
      <c r="D726" s="14"/>
      <c r="E726" s="14"/>
      <c r="F726" s="14"/>
      <c r="G726" s="14"/>
      <c r="H726" s="14"/>
      <c r="I726" s="14"/>
      <c r="J726" s="15"/>
      <c r="K726" s="140"/>
    </row>
    <row r="727" spans="1:11">
      <c r="A727" s="14" t="str">
        <f>IF(B727="","",COUNTA($B$4:B727))</f>
        <v/>
      </c>
      <c r="B727" s="14"/>
      <c r="C727" s="14"/>
      <c r="D727" s="14"/>
      <c r="E727" s="14"/>
      <c r="F727" s="14"/>
      <c r="G727" s="14"/>
      <c r="H727" s="14"/>
      <c r="I727" s="14"/>
      <c r="J727" s="15"/>
      <c r="K727" s="140"/>
    </row>
    <row r="728" spans="1:11">
      <c r="A728" s="14" t="str">
        <f>IF(B728="","",COUNTA($B$4:B728))</f>
        <v/>
      </c>
      <c r="B728" s="14"/>
      <c r="C728" s="14"/>
      <c r="D728" s="14"/>
      <c r="E728" s="14"/>
      <c r="F728" s="14"/>
      <c r="G728" s="14"/>
      <c r="H728" s="14"/>
      <c r="I728" s="14"/>
      <c r="J728" s="15"/>
      <c r="K728" s="140"/>
    </row>
    <row r="729" spans="1:11">
      <c r="A729" s="14" t="str">
        <f>IF(B729="","",COUNTA($B$4:B729))</f>
        <v/>
      </c>
      <c r="B729" s="14"/>
      <c r="C729" s="14"/>
      <c r="D729" s="14"/>
      <c r="E729" s="14"/>
      <c r="F729" s="14"/>
      <c r="G729" s="14"/>
      <c r="H729" s="14"/>
      <c r="I729" s="14"/>
      <c r="J729" s="15"/>
      <c r="K729" s="140"/>
    </row>
    <row r="730" spans="1:11">
      <c r="A730" s="14" t="str">
        <f>IF(B730="","",COUNTA($B$4:B730))</f>
        <v/>
      </c>
      <c r="B730" s="14"/>
      <c r="C730" s="14"/>
      <c r="D730" s="14"/>
      <c r="E730" s="14"/>
      <c r="F730" s="14"/>
      <c r="G730" s="14"/>
      <c r="H730" s="14"/>
      <c r="I730" s="14"/>
      <c r="J730" s="15"/>
      <c r="K730" s="140"/>
    </row>
    <row r="731" spans="1:11">
      <c r="A731" s="14" t="str">
        <f>IF(B731="","",COUNTA($B$4:B731))</f>
        <v/>
      </c>
      <c r="B731" s="14"/>
      <c r="C731" s="14"/>
      <c r="D731" s="14"/>
      <c r="E731" s="14"/>
      <c r="F731" s="14"/>
      <c r="G731" s="14"/>
      <c r="H731" s="14"/>
      <c r="I731" s="14"/>
      <c r="J731" s="15"/>
      <c r="K731" s="140"/>
    </row>
    <row r="732" spans="1:11">
      <c r="A732" s="14" t="str">
        <f>IF(B732="","",COUNTA($B$4:B732))</f>
        <v/>
      </c>
      <c r="B732" s="14"/>
      <c r="C732" s="14"/>
      <c r="D732" s="14"/>
      <c r="E732" s="14"/>
      <c r="F732" s="14"/>
      <c r="G732" s="14"/>
      <c r="H732" s="14"/>
      <c r="I732" s="14"/>
      <c r="J732" s="15"/>
      <c r="K732" s="140"/>
    </row>
    <row r="733" spans="1:11">
      <c r="A733" s="14" t="str">
        <f>IF(B733="","",COUNTA($B$4:B733))</f>
        <v/>
      </c>
      <c r="B733" s="14"/>
      <c r="C733" s="14"/>
      <c r="D733" s="14"/>
      <c r="E733" s="14"/>
      <c r="F733" s="14"/>
      <c r="G733" s="14"/>
      <c r="H733" s="14"/>
      <c r="I733" s="14"/>
      <c r="J733" s="15"/>
      <c r="K733" s="140"/>
    </row>
    <row r="734" spans="1:11">
      <c r="A734" s="14" t="str">
        <f>IF(B734="","",COUNTA($B$4:B734))</f>
        <v/>
      </c>
      <c r="B734" s="14"/>
      <c r="C734" s="14"/>
      <c r="D734" s="14"/>
      <c r="E734" s="14"/>
      <c r="F734" s="14"/>
      <c r="G734" s="14"/>
      <c r="H734" s="14"/>
      <c r="I734" s="14"/>
      <c r="J734" s="15"/>
      <c r="K734" s="140"/>
    </row>
    <row r="735" spans="1:11">
      <c r="A735" s="14" t="str">
        <f>IF(B735="","",COUNTA($B$4:B735))</f>
        <v/>
      </c>
      <c r="B735" s="14"/>
      <c r="C735" s="14"/>
      <c r="D735" s="14"/>
      <c r="E735" s="14"/>
      <c r="F735" s="14"/>
      <c r="G735" s="14"/>
      <c r="H735" s="14"/>
      <c r="I735" s="14"/>
      <c r="J735" s="15"/>
      <c r="K735" s="140"/>
    </row>
    <row r="736" spans="1:11">
      <c r="A736" s="14" t="str">
        <f>IF(B736="","",COUNTA($B$4:B736))</f>
        <v/>
      </c>
      <c r="B736" s="14"/>
      <c r="C736" s="14"/>
      <c r="D736" s="14"/>
      <c r="E736" s="14"/>
      <c r="F736" s="14"/>
      <c r="G736" s="14"/>
      <c r="H736" s="14"/>
      <c r="I736" s="14"/>
      <c r="J736" s="15"/>
      <c r="K736" s="140"/>
    </row>
    <row r="737" spans="1:11">
      <c r="A737" s="14" t="str">
        <f>IF(B737="","",COUNTA($B$4:B737))</f>
        <v/>
      </c>
      <c r="B737" s="14"/>
      <c r="C737" s="14"/>
      <c r="D737" s="14"/>
      <c r="E737" s="14"/>
      <c r="F737" s="14"/>
      <c r="G737" s="14"/>
      <c r="H737" s="14"/>
      <c r="I737" s="14"/>
      <c r="J737" s="15"/>
      <c r="K737" s="140"/>
    </row>
    <row r="738" spans="1:11">
      <c r="A738" s="14" t="str">
        <f>IF(B738="","",COUNTA($B$4:B738))</f>
        <v/>
      </c>
      <c r="B738" s="14"/>
      <c r="C738" s="14"/>
      <c r="D738" s="14"/>
      <c r="E738" s="14"/>
      <c r="F738" s="14"/>
      <c r="G738" s="14"/>
      <c r="H738" s="14"/>
      <c r="I738" s="14"/>
      <c r="J738" s="15"/>
      <c r="K738" s="140"/>
    </row>
    <row r="739" spans="1:11">
      <c r="A739" s="14" t="str">
        <f>IF(B739="","",COUNTA($B$4:B739))</f>
        <v/>
      </c>
      <c r="B739" s="14"/>
      <c r="C739" s="14"/>
      <c r="D739" s="14"/>
      <c r="E739" s="14"/>
      <c r="F739" s="14"/>
      <c r="G739" s="14"/>
      <c r="H739" s="14"/>
      <c r="I739" s="14"/>
      <c r="J739" s="15"/>
      <c r="K739" s="140"/>
    </row>
    <row r="740" spans="1:11">
      <c r="A740" s="14" t="str">
        <f>IF(B740="","",COUNTA($B$4:B740))</f>
        <v/>
      </c>
      <c r="B740" s="14"/>
      <c r="C740" s="14"/>
      <c r="D740" s="14"/>
      <c r="E740" s="14"/>
      <c r="F740" s="14"/>
      <c r="G740" s="14"/>
      <c r="H740" s="14"/>
      <c r="I740" s="14"/>
      <c r="J740" s="15"/>
      <c r="K740" s="140"/>
    </row>
    <row r="741" spans="1:11">
      <c r="A741" s="14" t="str">
        <f>IF(B741="","",COUNTA($B$4:B741))</f>
        <v/>
      </c>
      <c r="B741" s="14"/>
      <c r="C741" s="14"/>
      <c r="D741" s="14"/>
      <c r="E741" s="14"/>
      <c r="F741" s="14"/>
      <c r="G741" s="14"/>
      <c r="H741" s="14"/>
      <c r="I741" s="14"/>
      <c r="J741" s="15"/>
      <c r="K741" s="140"/>
    </row>
    <row r="742" spans="1:11">
      <c r="A742" s="14" t="str">
        <f>IF(B742="","",COUNTA($B$4:B742))</f>
        <v/>
      </c>
      <c r="B742" s="14"/>
      <c r="C742" s="14"/>
      <c r="D742" s="14"/>
      <c r="E742" s="14"/>
      <c r="F742" s="14"/>
      <c r="G742" s="14"/>
      <c r="H742" s="14"/>
      <c r="I742" s="14"/>
      <c r="J742" s="15"/>
      <c r="K742" s="140"/>
    </row>
    <row r="743" spans="1:11">
      <c r="A743" s="14" t="str">
        <f>IF(B743="","",COUNTA($B$4:B743))</f>
        <v/>
      </c>
      <c r="B743" s="14"/>
      <c r="C743" s="14"/>
      <c r="D743" s="14"/>
      <c r="E743" s="14"/>
      <c r="F743" s="14"/>
      <c r="G743" s="14"/>
      <c r="H743" s="14"/>
      <c r="I743" s="14"/>
      <c r="J743" s="15"/>
      <c r="K743" s="140"/>
    </row>
    <row r="744" spans="1:11">
      <c r="A744" s="14" t="str">
        <f>IF(B744="","",COUNTA($B$4:B744))</f>
        <v/>
      </c>
      <c r="B744" s="14"/>
      <c r="C744" s="14"/>
      <c r="D744" s="14"/>
      <c r="E744" s="14"/>
      <c r="F744" s="14"/>
      <c r="G744" s="14"/>
      <c r="H744" s="14"/>
      <c r="I744" s="14"/>
      <c r="J744" s="15"/>
      <c r="K744" s="140"/>
    </row>
    <row r="745" spans="1:11">
      <c r="A745" s="14" t="str">
        <f>IF(B745="","",COUNTA($B$4:B745))</f>
        <v/>
      </c>
      <c r="B745" s="14"/>
      <c r="C745" s="14"/>
      <c r="D745" s="14"/>
      <c r="E745" s="14"/>
      <c r="F745" s="14"/>
      <c r="G745" s="14"/>
      <c r="H745" s="14"/>
      <c r="I745" s="14"/>
      <c r="J745" s="15"/>
      <c r="K745" s="140"/>
    </row>
    <row r="746" spans="1:11">
      <c r="A746" s="14" t="str">
        <f>IF(B746="","",COUNTA($B$4:B746))</f>
        <v/>
      </c>
      <c r="B746" s="14"/>
      <c r="C746" s="14"/>
      <c r="D746" s="14"/>
      <c r="E746" s="14"/>
      <c r="F746" s="14"/>
      <c r="G746" s="14"/>
      <c r="H746" s="14"/>
      <c r="I746" s="14"/>
      <c r="J746" s="15"/>
      <c r="K746" s="140"/>
    </row>
    <row r="747" spans="1:11">
      <c r="A747" s="14" t="str">
        <f>IF(B747="","",COUNTA($B$4:B747))</f>
        <v/>
      </c>
      <c r="B747" s="14"/>
      <c r="C747" s="14"/>
      <c r="D747" s="14"/>
      <c r="E747" s="14"/>
      <c r="F747" s="14"/>
      <c r="G747" s="14"/>
      <c r="H747" s="14"/>
      <c r="I747" s="14"/>
      <c r="J747" s="15"/>
      <c r="K747" s="140"/>
    </row>
    <row r="748" spans="1:11">
      <c r="A748" s="14" t="str">
        <f>IF(B748="","",COUNTA($B$4:B748))</f>
        <v/>
      </c>
      <c r="B748" s="14"/>
      <c r="C748" s="14"/>
      <c r="D748" s="14"/>
      <c r="E748" s="14"/>
      <c r="F748" s="14"/>
      <c r="G748" s="14"/>
      <c r="H748" s="14"/>
      <c r="I748" s="14"/>
      <c r="J748" s="15"/>
      <c r="K748" s="140"/>
    </row>
    <row r="749" spans="1:11">
      <c r="A749" s="14" t="str">
        <f>IF(B749="","",COUNTA($B$4:B749))</f>
        <v/>
      </c>
      <c r="B749" s="14"/>
      <c r="C749" s="14"/>
      <c r="D749" s="14"/>
      <c r="E749" s="14"/>
      <c r="F749" s="14"/>
      <c r="G749" s="14"/>
      <c r="H749" s="14"/>
      <c r="I749" s="14"/>
      <c r="J749" s="15"/>
      <c r="K749" s="140"/>
    </row>
    <row r="750" spans="1:11">
      <c r="A750" s="14" t="str">
        <f>IF(B750="","",COUNTA($B$4:B750))</f>
        <v/>
      </c>
      <c r="B750" s="14"/>
      <c r="C750" s="14"/>
      <c r="D750" s="14"/>
      <c r="E750" s="14"/>
      <c r="F750" s="14"/>
      <c r="G750" s="14"/>
      <c r="H750" s="14"/>
      <c r="I750" s="14"/>
      <c r="J750" s="15"/>
      <c r="K750" s="140"/>
    </row>
    <row r="751" spans="1:11">
      <c r="A751" s="14" t="str">
        <f>IF(B751="","",COUNTA($B$4:B751))</f>
        <v/>
      </c>
      <c r="B751" s="14"/>
      <c r="C751" s="14"/>
      <c r="D751" s="14"/>
      <c r="E751" s="14"/>
      <c r="F751" s="14"/>
      <c r="G751" s="14"/>
      <c r="H751" s="14"/>
      <c r="I751" s="14"/>
      <c r="J751" s="15"/>
      <c r="K751" s="140"/>
    </row>
    <row r="752" spans="1:11">
      <c r="A752" s="14" t="str">
        <f>IF(B752="","",COUNTA($B$4:B752))</f>
        <v/>
      </c>
      <c r="B752" s="14"/>
      <c r="C752" s="14"/>
      <c r="D752" s="14"/>
      <c r="E752" s="14"/>
      <c r="F752" s="14"/>
      <c r="G752" s="14"/>
      <c r="H752" s="14"/>
      <c r="I752" s="14"/>
      <c r="J752" s="15"/>
      <c r="K752" s="140"/>
    </row>
    <row r="753" spans="1:11">
      <c r="A753" s="14" t="str">
        <f>IF(B753="","",COUNTA($B$4:B753))</f>
        <v/>
      </c>
      <c r="B753" s="14"/>
      <c r="C753" s="14"/>
      <c r="D753" s="14"/>
      <c r="E753" s="14"/>
      <c r="F753" s="14"/>
      <c r="G753" s="14"/>
      <c r="H753" s="14"/>
      <c r="I753" s="14"/>
      <c r="J753" s="15"/>
      <c r="K753" s="140"/>
    </row>
    <row r="754" spans="1:11">
      <c r="A754" s="14" t="str">
        <f>IF(B754="","",COUNTA($B$4:B754))</f>
        <v/>
      </c>
      <c r="B754" s="14"/>
      <c r="C754" s="14"/>
      <c r="D754" s="14"/>
      <c r="E754" s="14"/>
      <c r="F754" s="14"/>
      <c r="G754" s="14"/>
      <c r="H754" s="14"/>
      <c r="I754" s="14"/>
      <c r="J754" s="15"/>
      <c r="K754" s="140"/>
    </row>
    <row r="755" spans="1:11">
      <c r="A755" s="14" t="str">
        <f>IF(B755="","",COUNTA($B$4:B755))</f>
        <v/>
      </c>
      <c r="B755" s="14"/>
      <c r="C755" s="14"/>
      <c r="D755" s="14"/>
      <c r="E755" s="14"/>
      <c r="F755" s="14"/>
      <c r="G755" s="14"/>
      <c r="H755" s="14"/>
      <c r="I755" s="14"/>
      <c r="J755" s="15"/>
      <c r="K755" s="140"/>
    </row>
    <row r="756" spans="1:11">
      <c r="A756" s="14" t="str">
        <f>IF(B756="","",COUNTA($B$4:B756))</f>
        <v/>
      </c>
      <c r="B756" s="14"/>
      <c r="C756" s="14"/>
      <c r="D756" s="14"/>
      <c r="E756" s="14"/>
      <c r="F756" s="14"/>
      <c r="G756" s="14"/>
      <c r="H756" s="14"/>
      <c r="I756" s="14"/>
      <c r="J756" s="15"/>
      <c r="K756" s="140"/>
    </row>
    <row r="757" spans="1:11">
      <c r="A757" s="14" t="str">
        <f>IF(B757="","",COUNTA($B$4:B757))</f>
        <v/>
      </c>
      <c r="B757" s="14"/>
      <c r="C757" s="14"/>
      <c r="D757" s="14"/>
      <c r="E757" s="14"/>
      <c r="F757" s="14"/>
      <c r="G757" s="14"/>
      <c r="H757" s="14"/>
      <c r="I757" s="14"/>
      <c r="J757" s="15"/>
      <c r="K757" s="140"/>
    </row>
    <row r="758" spans="1:11">
      <c r="A758" s="14" t="str">
        <f>IF(B758="","",COUNTA($B$4:B758))</f>
        <v/>
      </c>
      <c r="B758" s="14"/>
      <c r="C758" s="14"/>
      <c r="D758" s="14"/>
      <c r="E758" s="14"/>
      <c r="F758" s="14"/>
      <c r="G758" s="14"/>
      <c r="H758" s="14"/>
      <c r="I758" s="14"/>
      <c r="J758" s="15"/>
      <c r="K758" s="140"/>
    </row>
    <row r="759" spans="1:11">
      <c r="A759" s="14" t="str">
        <f>IF(B759="","",COUNTA($B$4:B759))</f>
        <v/>
      </c>
      <c r="B759" s="14"/>
      <c r="C759" s="14"/>
      <c r="D759" s="14"/>
      <c r="E759" s="14"/>
      <c r="F759" s="14"/>
      <c r="G759" s="14"/>
      <c r="H759" s="14"/>
      <c r="I759" s="14"/>
      <c r="J759" s="15"/>
      <c r="K759" s="140"/>
    </row>
    <row r="760" spans="1:11">
      <c r="A760" s="14" t="str">
        <f>IF(B760="","",COUNTA($B$4:B760))</f>
        <v/>
      </c>
      <c r="B760" s="14"/>
      <c r="C760" s="14"/>
      <c r="D760" s="14"/>
      <c r="E760" s="14"/>
      <c r="F760" s="14"/>
      <c r="G760" s="14"/>
      <c r="H760" s="14"/>
      <c r="I760" s="14"/>
      <c r="J760" s="15"/>
      <c r="K760" s="140"/>
    </row>
    <row r="761" spans="1:11">
      <c r="A761" s="14" t="str">
        <f>IF(B761="","",COUNTA($B$4:B761))</f>
        <v/>
      </c>
      <c r="B761" s="14"/>
      <c r="C761" s="14"/>
      <c r="D761" s="14"/>
      <c r="E761" s="14"/>
      <c r="F761" s="14"/>
      <c r="G761" s="14"/>
      <c r="H761" s="14"/>
      <c r="I761" s="14"/>
      <c r="J761" s="15"/>
      <c r="K761" s="140"/>
    </row>
    <row r="762" spans="1:11">
      <c r="A762" s="14" t="str">
        <f>IF(B762="","",COUNTA($B$4:B762))</f>
        <v/>
      </c>
      <c r="B762" s="14"/>
      <c r="C762" s="14"/>
      <c r="D762" s="14"/>
      <c r="E762" s="14"/>
      <c r="F762" s="14"/>
      <c r="G762" s="14"/>
      <c r="H762" s="14"/>
      <c r="I762" s="14"/>
      <c r="J762" s="15"/>
      <c r="K762" s="140"/>
    </row>
    <row r="763" spans="1:11">
      <c r="A763" s="14" t="str">
        <f>IF(B763="","",COUNTA($B$4:B763))</f>
        <v/>
      </c>
      <c r="B763" s="14"/>
      <c r="C763" s="14"/>
      <c r="D763" s="14"/>
      <c r="E763" s="14"/>
      <c r="F763" s="14"/>
      <c r="G763" s="14"/>
      <c r="H763" s="14"/>
      <c r="I763" s="14"/>
      <c r="J763" s="15"/>
      <c r="K763" s="140"/>
    </row>
    <row r="764" spans="1:11">
      <c r="A764" s="14" t="str">
        <f>IF(B764="","",COUNTA($B$4:B764))</f>
        <v/>
      </c>
      <c r="B764" s="14"/>
      <c r="C764" s="14"/>
      <c r="D764" s="14"/>
      <c r="E764" s="14"/>
      <c r="F764" s="14"/>
      <c r="G764" s="14"/>
      <c r="H764" s="14"/>
      <c r="I764" s="14"/>
      <c r="J764" s="15"/>
      <c r="K764" s="140"/>
    </row>
    <row r="765" spans="1:11">
      <c r="A765" s="14" t="str">
        <f>IF(B765="","",COUNTA($B$4:B765))</f>
        <v/>
      </c>
      <c r="B765" s="14"/>
      <c r="C765" s="14"/>
      <c r="D765" s="14"/>
      <c r="E765" s="14"/>
      <c r="F765" s="14"/>
      <c r="G765" s="14"/>
      <c r="H765" s="14"/>
      <c r="I765" s="14"/>
      <c r="J765" s="15"/>
      <c r="K765" s="140"/>
    </row>
    <row r="766" spans="1:11">
      <c r="A766" s="14" t="str">
        <f>IF(B766="","",COUNTA($B$4:B766))</f>
        <v/>
      </c>
      <c r="B766" s="14"/>
      <c r="C766" s="14"/>
      <c r="D766" s="14"/>
      <c r="E766" s="14"/>
      <c r="F766" s="14"/>
      <c r="G766" s="14"/>
      <c r="H766" s="14"/>
      <c r="I766" s="14"/>
      <c r="J766" s="15"/>
      <c r="K766" s="140"/>
    </row>
    <row r="767" spans="1:11">
      <c r="A767" s="14" t="str">
        <f>IF(B767="","",COUNTA($B$4:B767))</f>
        <v/>
      </c>
      <c r="B767" s="14"/>
      <c r="C767" s="14"/>
      <c r="D767" s="14"/>
      <c r="E767" s="14"/>
      <c r="F767" s="14"/>
      <c r="G767" s="14"/>
      <c r="H767" s="14"/>
      <c r="I767" s="14"/>
      <c r="J767" s="15"/>
      <c r="K767" s="140"/>
    </row>
    <row r="768" spans="1:11">
      <c r="A768" s="14" t="str">
        <f>IF(B768="","",COUNTA($B$4:B768))</f>
        <v/>
      </c>
      <c r="B768" s="14"/>
      <c r="C768" s="14"/>
      <c r="D768" s="14"/>
      <c r="E768" s="14"/>
      <c r="F768" s="14"/>
      <c r="G768" s="14"/>
      <c r="H768" s="14"/>
      <c r="I768" s="14"/>
      <c r="J768" s="15"/>
      <c r="K768" s="140"/>
    </row>
    <row r="769" spans="1:11">
      <c r="A769" s="14" t="str">
        <f>IF(B769="","",COUNTA($B$4:B769))</f>
        <v/>
      </c>
      <c r="B769" s="14"/>
      <c r="C769" s="14"/>
      <c r="D769" s="14"/>
      <c r="E769" s="14"/>
      <c r="F769" s="14"/>
      <c r="G769" s="14"/>
      <c r="H769" s="14"/>
      <c r="I769" s="14"/>
      <c r="J769" s="15"/>
      <c r="K769" s="140"/>
    </row>
    <row r="770" spans="1:11">
      <c r="A770" s="14" t="str">
        <f>IF(B770="","",COUNTA($B$4:B770))</f>
        <v/>
      </c>
      <c r="B770" s="14"/>
      <c r="C770" s="14"/>
      <c r="D770" s="14"/>
      <c r="E770" s="14"/>
      <c r="F770" s="14"/>
      <c r="G770" s="14"/>
      <c r="H770" s="14"/>
      <c r="I770" s="14"/>
      <c r="J770" s="15"/>
      <c r="K770" s="140"/>
    </row>
    <row r="771" spans="1:11">
      <c r="A771" s="14" t="str">
        <f>IF(B771="","",COUNTA($B$4:B771))</f>
        <v/>
      </c>
      <c r="B771" s="14"/>
      <c r="C771" s="14"/>
      <c r="D771" s="14"/>
      <c r="E771" s="14"/>
      <c r="F771" s="14"/>
      <c r="G771" s="14"/>
      <c r="H771" s="14"/>
      <c r="I771" s="14"/>
      <c r="J771" s="15"/>
      <c r="K771" s="140"/>
    </row>
    <row r="772" spans="1:11">
      <c r="A772" s="14" t="str">
        <f>IF(B772="","",COUNTA($B$4:B772))</f>
        <v/>
      </c>
      <c r="B772" s="14"/>
      <c r="C772" s="14"/>
      <c r="D772" s="14"/>
      <c r="E772" s="14"/>
      <c r="F772" s="14"/>
      <c r="G772" s="14"/>
      <c r="H772" s="14"/>
      <c r="I772" s="14"/>
      <c r="J772" s="15"/>
      <c r="K772" s="140"/>
    </row>
    <row r="773" spans="1:11">
      <c r="A773" s="14" t="str">
        <f>IF(B773="","",COUNTA($B$4:B773))</f>
        <v/>
      </c>
      <c r="B773" s="14"/>
      <c r="C773" s="14"/>
      <c r="D773" s="14"/>
      <c r="E773" s="14"/>
      <c r="F773" s="14"/>
      <c r="G773" s="14"/>
      <c r="H773" s="14"/>
      <c r="I773" s="14"/>
      <c r="J773" s="15"/>
      <c r="K773" s="140"/>
    </row>
    <row r="774" spans="1:11">
      <c r="A774" s="14" t="str">
        <f>IF(B774="","",COUNTA($B$4:B774))</f>
        <v/>
      </c>
      <c r="B774" s="14"/>
      <c r="C774" s="14"/>
      <c r="D774" s="14"/>
      <c r="E774" s="14"/>
      <c r="F774" s="14"/>
      <c r="G774" s="14"/>
      <c r="H774" s="14"/>
      <c r="I774" s="14"/>
      <c r="J774" s="15"/>
      <c r="K774" s="140"/>
    </row>
    <row r="775" spans="1:11">
      <c r="A775" s="14" t="str">
        <f>IF(B775="","",COUNTA($B$4:B775))</f>
        <v/>
      </c>
      <c r="B775" s="14"/>
      <c r="C775" s="14"/>
      <c r="D775" s="14"/>
      <c r="E775" s="14"/>
      <c r="F775" s="14"/>
      <c r="G775" s="14"/>
      <c r="H775" s="14"/>
      <c r="I775" s="14"/>
      <c r="J775" s="15"/>
      <c r="K775" s="140"/>
    </row>
    <row r="776" spans="1:11">
      <c r="A776" s="14" t="str">
        <f>IF(B776="","",COUNTA($B$4:B776))</f>
        <v/>
      </c>
      <c r="B776" s="14"/>
      <c r="C776" s="14"/>
      <c r="D776" s="14"/>
      <c r="E776" s="14"/>
      <c r="F776" s="14"/>
      <c r="G776" s="14"/>
      <c r="H776" s="14"/>
      <c r="I776" s="14"/>
      <c r="J776" s="15"/>
      <c r="K776" s="140"/>
    </row>
    <row r="777" spans="1:11">
      <c r="A777" s="14" t="str">
        <f>IF(B777="","",COUNTA($B$4:B777))</f>
        <v/>
      </c>
      <c r="B777" s="14"/>
      <c r="C777" s="14"/>
      <c r="D777" s="14"/>
      <c r="E777" s="14"/>
      <c r="F777" s="14"/>
      <c r="G777" s="14"/>
      <c r="H777" s="14"/>
      <c r="I777" s="14"/>
      <c r="J777" s="15"/>
      <c r="K777" s="140"/>
    </row>
    <row r="778" spans="1:11">
      <c r="A778" s="14" t="str">
        <f>IF(B778="","",COUNTA($B$4:B778))</f>
        <v/>
      </c>
      <c r="B778" s="14"/>
      <c r="C778" s="14"/>
      <c r="D778" s="14"/>
      <c r="E778" s="14"/>
      <c r="F778" s="14"/>
      <c r="G778" s="14"/>
      <c r="H778" s="14"/>
      <c r="I778" s="14"/>
      <c r="J778" s="15"/>
      <c r="K778" s="140"/>
    </row>
    <row r="779" spans="1:11">
      <c r="A779" s="14" t="str">
        <f>IF(B779="","",COUNTA($B$4:B779))</f>
        <v/>
      </c>
      <c r="B779" s="14"/>
      <c r="C779" s="14"/>
      <c r="D779" s="14"/>
      <c r="E779" s="14"/>
      <c r="F779" s="14"/>
      <c r="G779" s="14"/>
      <c r="H779" s="14"/>
      <c r="I779" s="14"/>
      <c r="J779" s="15"/>
      <c r="K779" s="140"/>
    </row>
    <row r="780" spans="1:11">
      <c r="A780" s="14" t="str">
        <f>IF(B780="","",COUNTA($B$4:B780))</f>
        <v/>
      </c>
      <c r="B780" s="14"/>
      <c r="C780" s="14"/>
      <c r="D780" s="14"/>
      <c r="E780" s="14"/>
      <c r="F780" s="14"/>
      <c r="G780" s="14"/>
      <c r="H780" s="14"/>
      <c r="I780" s="14"/>
      <c r="J780" s="15"/>
      <c r="K780" s="140"/>
    </row>
    <row r="781" spans="1:11">
      <c r="A781" s="14" t="str">
        <f>IF(B781="","",COUNTA($B$4:B781))</f>
        <v/>
      </c>
      <c r="B781" s="14"/>
      <c r="C781" s="14"/>
      <c r="D781" s="14"/>
      <c r="E781" s="14"/>
      <c r="F781" s="14"/>
      <c r="G781" s="14"/>
      <c r="H781" s="14"/>
      <c r="I781" s="14"/>
      <c r="J781" s="15"/>
      <c r="K781" s="140"/>
    </row>
    <row r="782" spans="1:11">
      <c r="A782" s="14" t="str">
        <f>IF(B782="","",COUNTA($B$4:B782))</f>
        <v/>
      </c>
      <c r="B782" s="14"/>
      <c r="C782" s="14"/>
      <c r="D782" s="14"/>
      <c r="E782" s="14"/>
      <c r="F782" s="14"/>
      <c r="G782" s="14"/>
      <c r="H782" s="14"/>
      <c r="I782" s="14"/>
      <c r="J782" s="15"/>
      <c r="K782" s="140"/>
    </row>
    <row r="783" spans="1:11">
      <c r="A783" s="14" t="str">
        <f>IF(B783="","",COUNTA($B$4:B783))</f>
        <v/>
      </c>
      <c r="B783" s="14"/>
      <c r="C783" s="14"/>
      <c r="D783" s="14"/>
      <c r="E783" s="14"/>
      <c r="F783" s="14"/>
      <c r="G783" s="14"/>
      <c r="H783" s="14"/>
      <c r="I783" s="14"/>
      <c r="J783" s="15"/>
      <c r="K783" s="140"/>
    </row>
    <row r="784" spans="1:11">
      <c r="A784" s="14" t="str">
        <f>IF(B784="","",COUNTA($B$4:B784))</f>
        <v/>
      </c>
      <c r="B784" s="14"/>
      <c r="C784" s="14"/>
      <c r="D784" s="14"/>
      <c r="E784" s="14"/>
      <c r="F784" s="14"/>
      <c r="G784" s="14"/>
      <c r="H784" s="14"/>
      <c r="I784" s="14"/>
      <c r="J784" s="15"/>
      <c r="K784" s="140"/>
    </row>
    <row r="785" spans="1:11">
      <c r="A785" s="14" t="str">
        <f>IF(B785="","",COUNTA($B$4:B785))</f>
        <v/>
      </c>
      <c r="B785" s="14"/>
      <c r="C785" s="14"/>
      <c r="D785" s="14"/>
      <c r="E785" s="14"/>
      <c r="F785" s="14"/>
      <c r="G785" s="14"/>
      <c r="H785" s="14"/>
      <c r="I785" s="14"/>
      <c r="J785" s="15"/>
      <c r="K785" s="140"/>
    </row>
    <row r="786" spans="1:11">
      <c r="A786" s="14" t="str">
        <f>IF(B786="","",COUNTA($B$4:B786))</f>
        <v/>
      </c>
      <c r="B786" s="14"/>
      <c r="C786" s="14"/>
      <c r="D786" s="14"/>
      <c r="E786" s="14"/>
      <c r="F786" s="14"/>
      <c r="G786" s="14"/>
      <c r="H786" s="14"/>
      <c r="I786" s="14"/>
      <c r="J786" s="15"/>
      <c r="K786" s="140"/>
    </row>
    <row r="787" spans="1:11">
      <c r="A787" s="14" t="str">
        <f>IF(B787="","",COUNTA($B$4:B787))</f>
        <v/>
      </c>
      <c r="B787" s="14"/>
      <c r="C787" s="14"/>
      <c r="D787" s="14"/>
      <c r="E787" s="14"/>
      <c r="F787" s="14"/>
      <c r="G787" s="14"/>
      <c r="H787" s="14"/>
      <c r="I787" s="14"/>
      <c r="J787" s="15"/>
      <c r="K787" s="140"/>
    </row>
    <row r="788" spans="1:11">
      <c r="A788" s="14" t="str">
        <f>IF(B788="","",COUNTA($B$4:B788))</f>
        <v/>
      </c>
      <c r="B788" s="14"/>
      <c r="C788" s="14"/>
      <c r="D788" s="14"/>
      <c r="E788" s="14"/>
      <c r="F788" s="14"/>
      <c r="G788" s="14"/>
      <c r="H788" s="14"/>
      <c r="I788" s="14"/>
      <c r="J788" s="15"/>
      <c r="K788" s="140"/>
    </row>
    <row r="789" spans="1:11">
      <c r="A789" s="14" t="str">
        <f>IF(B789="","",COUNTA($B$4:B789))</f>
        <v/>
      </c>
      <c r="B789" s="14"/>
      <c r="C789" s="14"/>
      <c r="D789" s="14"/>
      <c r="E789" s="14"/>
      <c r="F789" s="14"/>
      <c r="G789" s="14"/>
      <c r="H789" s="14"/>
      <c r="I789" s="14"/>
      <c r="J789" s="15"/>
      <c r="K789" s="140"/>
    </row>
    <row r="790" spans="1:11">
      <c r="A790" s="14" t="str">
        <f>IF(B790="","",COUNTA($B$4:B790))</f>
        <v/>
      </c>
      <c r="B790" s="14"/>
      <c r="C790" s="14"/>
      <c r="D790" s="14"/>
      <c r="E790" s="14"/>
      <c r="F790" s="14"/>
      <c r="G790" s="14"/>
      <c r="H790" s="14"/>
      <c r="I790" s="14"/>
      <c r="J790" s="15"/>
      <c r="K790" s="140"/>
    </row>
    <row r="791" spans="1:11">
      <c r="A791" s="14" t="str">
        <f>IF(B791="","",COUNTA($B$4:B791))</f>
        <v/>
      </c>
      <c r="B791" s="14"/>
      <c r="C791" s="14"/>
      <c r="D791" s="14"/>
      <c r="E791" s="14"/>
      <c r="F791" s="14"/>
      <c r="G791" s="14"/>
      <c r="H791" s="14"/>
      <c r="I791" s="14"/>
      <c r="J791" s="15"/>
      <c r="K791" s="140"/>
    </row>
    <row r="792" spans="1:11">
      <c r="A792" s="14" t="str">
        <f>IF(B792="","",COUNTA($B$4:B792))</f>
        <v/>
      </c>
      <c r="B792" s="14"/>
      <c r="C792" s="14"/>
      <c r="D792" s="14"/>
      <c r="E792" s="14"/>
      <c r="F792" s="14"/>
      <c r="G792" s="14"/>
      <c r="H792" s="14"/>
      <c r="I792" s="14"/>
      <c r="J792" s="15"/>
      <c r="K792" s="140"/>
    </row>
    <row r="793" spans="1:11">
      <c r="A793" s="14" t="str">
        <f>IF(B793="","",COUNTA($B$4:B793))</f>
        <v/>
      </c>
      <c r="B793" s="14"/>
      <c r="C793" s="14"/>
      <c r="D793" s="14"/>
      <c r="E793" s="14"/>
      <c r="F793" s="14"/>
      <c r="G793" s="14"/>
      <c r="H793" s="14"/>
      <c r="I793" s="14"/>
      <c r="J793" s="15"/>
      <c r="K793" s="140"/>
    </row>
    <row r="794" spans="1:11">
      <c r="A794" s="14" t="str">
        <f>IF(B794="","",COUNTA($B$4:B794))</f>
        <v/>
      </c>
      <c r="B794" s="14"/>
      <c r="C794" s="14"/>
      <c r="D794" s="14"/>
      <c r="E794" s="14"/>
      <c r="F794" s="14"/>
      <c r="G794" s="14"/>
      <c r="H794" s="14"/>
      <c r="I794" s="14"/>
      <c r="J794" s="15"/>
      <c r="K794" s="140"/>
    </row>
    <row r="795" spans="1:11">
      <c r="A795" s="14" t="str">
        <f>IF(B795="","",COUNTA($B$4:B795))</f>
        <v/>
      </c>
      <c r="B795" s="14"/>
      <c r="C795" s="14"/>
      <c r="D795" s="14"/>
      <c r="E795" s="14"/>
      <c r="F795" s="14"/>
      <c r="G795" s="14"/>
      <c r="H795" s="14"/>
      <c r="I795" s="14"/>
      <c r="J795" s="15"/>
      <c r="K795" s="140"/>
    </row>
    <row r="796" spans="1:11">
      <c r="A796" s="14" t="str">
        <f>IF(B796="","",COUNTA($B$4:B796))</f>
        <v/>
      </c>
      <c r="B796" s="14"/>
      <c r="C796" s="14"/>
      <c r="D796" s="14"/>
      <c r="E796" s="14"/>
      <c r="F796" s="14"/>
      <c r="G796" s="14"/>
      <c r="H796" s="14"/>
      <c r="I796" s="14"/>
      <c r="J796" s="15"/>
      <c r="K796" s="140"/>
    </row>
    <row r="797" spans="1:11">
      <c r="A797" s="14" t="str">
        <f>IF(B797="","",COUNTA($B$4:B797))</f>
        <v/>
      </c>
      <c r="B797" s="14"/>
      <c r="C797" s="14"/>
      <c r="D797" s="14"/>
      <c r="E797" s="14"/>
      <c r="F797" s="14"/>
      <c r="G797" s="14"/>
      <c r="H797" s="14"/>
      <c r="I797" s="14"/>
      <c r="J797" s="15"/>
      <c r="K797" s="140"/>
    </row>
    <row r="798" spans="1:11">
      <c r="A798" s="14" t="str">
        <f>IF(B798="","",COUNTA($B$4:B798))</f>
        <v/>
      </c>
      <c r="B798" s="14"/>
      <c r="C798" s="14"/>
      <c r="D798" s="14"/>
      <c r="E798" s="14"/>
      <c r="F798" s="14"/>
      <c r="G798" s="14"/>
      <c r="H798" s="14"/>
      <c r="I798" s="14"/>
      <c r="J798" s="15"/>
      <c r="K798" s="140"/>
    </row>
    <row r="799" spans="1:11">
      <c r="A799" s="14" t="str">
        <f>IF(B799="","",COUNTA($B$4:B799))</f>
        <v/>
      </c>
      <c r="B799" s="14"/>
      <c r="C799" s="14"/>
      <c r="D799" s="14"/>
      <c r="E799" s="14"/>
      <c r="F799" s="14"/>
      <c r="G799" s="14"/>
      <c r="H799" s="14"/>
      <c r="I799" s="14"/>
      <c r="J799" s="15"/>
      <c r="K799" s="140"/>
    </row>
    <row r="800" spans="1:11">
      <c r="A800" s="14" t="str">
        <f>IF(B800="","",COUNTA($B$4:B800))</f>
        <v/>
      </c>
      <c r="B800" s="14"/>
      <c r="C800" s="14"/>
      <c r="D800" s="14"/>
      <c r="E800" s="14"/>
      <c r="F800" s="14"/>
      <c r="G800" s="14"/>
      <c r="H800" s="14"/>
      <c r="I800" s="14"/>
      <c r="J800" s="15"/>
      <c r="K800" s="140"/>
    </row>
    <row r="801" spans="1:11">
      <c r="A801" s="14" t="str">
        <f>IF(B801="","",COUNTA($B$4:B801))</f>
        <v/>
      </c>
      <c r="B801" s="14"/>
      <c r="C801" s="14"/>
      <c r="D801" s="14"/>
      <c r="E801" s="14"/>
      <c r="F801" s="14"/>
      <c r="G801" s="14"/>
      <c r="H801" s="14"/>
      <c r="I801" s="14"/>
      <c r="J801" s="15"/>
      <c r="K801" s="140"/>
    </row>
    <row r="802" spans="1:11">
      <c r="A802" s="14" t="str">
        <f>IF(B802="","",COUNTA($B$4:B802))</f>
        <v/>
      </c>
      <c r="B802" s="14"/>
      <c r="C802" s="14"/>
      <c r="D802" s="14"/>
      <c r="E802" s="14"/>
      <c r="F802" s="14"/>
      <c r="G802" s="14"/>
      <c r="H802" s="14"/>
      <c r="I802" s="14"/>
      <c r="J802" s="15"/>
      <c r="K802" s="140"/>
    </row>
    <row r="803" spans="1:11">
      <c r="A803" s="14" t="str">
        <f>IF(B803="","",COUNTA($B$4:B803))</f>
        <v/>
      </c>
      <c r="B803" s="14"/>
      <c r="C803" s="14"/>
      <c r="D803" s="14"/>
      <c r="E803" s="14"/>
      <c r="F803" s="14"/>
      <c r="G803" s="14"/>
      <c r="H803" s="14"/>
      <c r="I803" s="14"/>
      <c r="J803" s="15"/>
      <c r="K803" s="140"/>
    </row>
    <row r="804" spans="1:11">
      <c r="A804" s="14" t="str">
        <f>IF(B804="","",COUNTA($B$4:B804))</f>
        <v/>
      </c>
      <c r="B804" s="14"/>
      <c r="C804" s="14"/>
      <c r="D804" s="14"/>
      <c r="E804" s="14"/>
      <c r="F804" s="14"/>
      <c r="G804" s="14"/>
      <c r="H804" s="14"/>
      <c r="I804" s="14"/>
      <c r="J804" s="15"/>
      <c r="K804" s="140"/>
    </row>
    <row r="805" spans="1:11">
      <c r="A805" s="14" t="str">
        <f>IF(B805="","",COUNTA($B$4:B805))</f>
        <v/>
      </c>
      <c r="B805" s="14"/>
      <c r="C805" s="14"/>
      <c r="D805" s="14"/>
      <c r="E805" s="14"/>
      <c r="F805" s="14"/>
      <c r="G805" s="14"/>
      <c r="H805" s="14"/>
      <c r="I805" s="14"/>
      <c r="J805" s="15"/>
      <c r="K805" s="140"/>
    </row>
    <row r="806" spans="1:11">
      <c r="A806" s="14" t="str">
        <f>IF(B806="","",COUNTA($B$4:B806))</f>
        <v/>
      </c>
      <c r="B806" s="14"/>
      <c r="C806" s="14"/>
      <c r="D806" s="14"/>
      <c r="E806" s="14"/>
      <c r="F806" s="14"/>
      <c r="G806" s="14"/>
      <c r="H806" s="14"/>
      <c r="I806" s="14"/>
      <c r="J806" s="15"/>
      <c r="K806" s="140"/>
    </row>
    <row r="807" spans="1:11">
      <c r="A807" s="14" t="str">
        <f>IF(B807="","",COUNTA($B$4:B807))</f>
        <v/>
      </c>
      <c r="B807" s="14"/>
      <c r="C807" s="14"/>
      <c r="D807" s="14"/>
      <c r="E807" s="14"/>
      <c r="F807" s="14"/>
      <c r="G807" s="14"/>
      <c r="H807" s="14"/>
      <c r="I807" s="14"/>
      <c r="J807" s="15"/>
      <c r="K807" s="140"/>
    </row>
    <row r="808" spans="1:11">
      <c r="A808" s="14" t="str">
        <f>IF(B808="","",COUNTA($B$4:B808))</f>
        <v/>
      </c>
      <c r="B808" s="14"/>
      <c r="C808" s="14"/>
      <c r="D808" s="14"/>
      <c r="E808" s="14"/>
      <c r="F808" s="14"/>
      <c r="G808" s="14"/>
      <c r="H808" s="14"/>
      <c r="I808" s="14"/>
      <c r="J808" s="15"/>
      <c r="K808" s="140"/>
    </row>
    <row r="809" spans="1:11">
      <c r="A809" s="14" t="str">
        <f>IF(B809="","",COUNTA($B$4:B809))</f>
        <v/>
      </c>
      <c r="B809" s="14"/>
      <c r="C809" s="14"/>
      <c r="D809" s="14"/>
      <c r="E809" s="14"/>
      <c r="F809" s="14"/>
      <c r="G809" s="14"/>
      <c r="H809" s="14"/>
      <c r="I809" s="14"/>
      <c r="J809" s="15"/>
      <c r="K809" s="140"/>
    </row>
    <row r="810" spans="1:11">
      <c r="A810" s="14" t="str">
        <f>IF(B810="","",COUNTA($B$4:B810))</f>
        <v/>
      </c>
      <c r="B810" s="14"/>
      <c r="C810" s="14"/>
      <c r="D810" s="14"/>
      <c r="E810" s="14"/>
      <c r="F810" s="14"/>
      <c r="G810" s="14"/>
      <c r="H810" s="14"/>
      <c r="I810" s="14"/>
      <c r="J810" s="15"/>
      <c r="K810" s="140"/>
    </row>
    <row r="811" spans="1:11">
      <c r="A811" s="14" t="str">
        <f>IF(B811="","",COUNTA($B$4:B811))</f>
        <v/>
      </c>
      <c r="B811" s="14"/>
      <c r="C811" s="14"/>
      <c r="D811" s="14"/>
      <c r="E811" s="14"/>
      <c r="F811" s="14"/>
      <c r="G811" s="14"/>
      <c r="H811" s="14"/>
      <c r="I811" s="14"/>
      <c r="J811" s="15"/>
      <c r="K811" s="140"/>
    </row>
    <row r="812" spans="1:11">
      <c r="A812" s="14" t="str">
        <f>IF(B812="","",COUNTA($B$4:B812))</f>
        <v/>
      </c>
      <c r="B812" s="14"/>
      <c r="C812" s="14"/>
      <c r="D812" s="14"/>
      <c r="E812" s="14"/>
      <c r="F812" s="14"/>
      <c r="G812" s="14"/>
      <c r="H812" s="14"/>
      <c r="I812" s="14"/>
      <c r="J812" s="15"/>
      <c r="K812" s="140"/>
    </row>
    <row r="813" spans="1:11">
      <c r="A813" s="14" t="str">
        <f>IF(B813="","",COUNTA($B$4:B813))</f>
        <v/>
      </c>
      <c r="B813" s="14"/>
      <c r="C813" s="14"/>
      <c r="D813" s="14"/>
      <c r="E813" s="14"/>
      <c r="F813" s="14"/>
      <c r="G813" s="14"/>
      <c r="H813" s="14"/>
      <c r="I813" s="14"/>
      <c r="J813" s="15"/>
      <c r="K813" s="140"/>
    </row>
  </sheetData>
  <autoFilter ref="A3:K813">
    <sortState ref="A4:K813">
      <sortCondition ref="C4:C813"/>
    </sortState>
  </autoFilter>
  <phoneticPr fontId="5"/>
  <pageMargins left="0.39370078740157483" right="0.39370078740157483" top="0.39370078740157483" bottom="0.39370078740157483" header="0.39370078740157483" footer="0.39370078740157483"/>
  <pageSetup paperSize="9" scale="65" fitToHeight="0" orientation="portrait" r:id="rId1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E503"/>
  <sheetViews>
    <sheetView zoomScale="130" zoomScaleNormal="130" workbookViewId="0">
      <selection activeCell="B302" sqref="B302"/>
    </sheetView>
  </sheetViews>
  <sheetFormatPr defaultColWidth="8.7265625" defaultRowHeight="18"/>
  <cols>
    <col min="1" max="1" width="27.90625" style="85" customWidth="1"/>
    <col min="2" max="2" width="25.453125" style="85" bestFit="1" customWidth="1"/>
    <col min="3" max="3" width="9.7265625" customWidth="1"/>
    <col min="4" max="16384" width="8.7265625" style="85"/>
  </cols>
  <sheetData>
    <row r="1" spans="1:5">
      <c r="A1" s="99" t="s">
        <v>499</v>
      </c>
      <c r="B1" s="99" t="s">
        <v>500</v>
      </c>
      <c r="C1" s="106" t="s">
        <v>501</v>
      </c>
      <c r="D1" s="100"/>
      <c r="E1" s="104"/>
    </row>
    <row r="2" spans="1:5">
      <c r="A2" s="100" t="s">
        <v>502</v>
      </c>
      <c r="B2" s="100" t="s">
        <v>503</v>
      </c>
      <c r="C2" s="14"/>
      <c r="D2" s="100">
        <f t="shared" ref="D2:D65" si="0">IF(B2&lt;&gt;C2,1,0)</f>
        <v>1</v>
      </c>
      <c r="E2" s="104"/>
    </row>
    <row r="3" spans="1:5">
      <c r="A3" s="100" t="s">
        <v>504</v>
      </c>
      <c r="B3" s="100" t="s">
        <v>505</v>
      </c>
      <c r="C3" s="14"/>
      <c r="D3" s="100">
        <f t="shared" si="0"/>
        <v>1</v>
      </c>
      <c r="E3" s="104"/>
    </row>
    <row r="4" spans="1:5">
      <c r="A4" s="100" t="s">
        <v>506</v>
      </c>
      <c r="B4" s="100" t="s">
        <v>507</v>
      </c>
      <c r="C4" s="14"/>
      <c r="D4" s="100">
        <f t="shared" si="0"/>
        <v>1</v>
      </c>
      <c r="E4" s="104"/>
    </row>
    <row r="5" spans="1:5">
      <c r="A5" s="100" t="s">
        <v>462</v>
      </c>
      <c r="B5" s="100" t="s">
        <v>508</v>
      </c>
      <c r="C5" s="14"/>
      <c r="D5" s="100">
        <f t="shared" si="0"/>
        <v>1</v>
      </c>
      <c r="E5" s="104"/>
    </row>
    <row r="6" spans="1:5">
      <c r="A6" s="107" t="s">
        <v>509</v>
      </c>
      <c r="B6" s="101" t="s">
        <v>510</v>
      </c>
      <c r="C6" s="14" t="s">
        <v>511</v>
      </c>
      <c r="D6" s="100">
        <f t="shared" si="0"/>
        <v>1</v>
      </c>
      <c r="E6" s="104"/>
    </row>
    <row r="7" spans="1:5">
      <c r="A7" s="107" t="s">
        <v>512</v>
      </c>
      <c r="B7" s="108" t="s">
        <v>513</v>
      </c>
      <c r="C7" s="14" t="s">
        <v>511</v>
      </c>
      <c r="D7" s="100">
        <f t="shared" si="0"/>
        <v>1</v>
      </c>
      <c r="E7" s="104"/>
    </row>
    <row r="8" spans="1:5">
      <c r="A8" s="100" t="s">
        <v>514</v>
      </c>
      <c r="B8" s="108" t="s">
        <v>515</v>
      </c>
      <c r="C8" s="14"/>
      <c r="D8" s="100">
        <f t="shared" si="0"/>
        <v>1</v>
      </c>
      <c r="E8" s="104"/>
    </row>
    <row r="9" spans="1:5">
      <c r="A9" s="100" t="s">
        <v>516</v>
      </c>
      <c r="B9" s="100" t="s">
        <v>517</v>
      </c>
      <c r="C9" s="14"/>
      <c r="D9" s="100">
        <f t="shared" si="0"/>
        <v>1</v>
      </c>
      <c r="E9" s="104"/>
    </row>
    <row r="10" spans="1:5">
      <c r="A10" s="100" t="s">
        <v>518</v>
      </c>
      <c r="B10" s="100" t="s">
        <v>519</v>
      </c>
      <c r="C10" s="14"/>
      <c r="D10" s="100">
        <f t="shared" si="0"/>
        <v>1</v>
      </c>
      <c r="E10" s="104"/>
    </row>
    <row r="11" spans="1:5">
      <c r="A11" s="100" t="s">
        <v>520</v>
      </c>
      <c r="B11" s="101" t="s">
        <v>521</v>
      </c>
      <c r="C11" s="14"/>
      <c r="D11" s="100">
        <f t="shared" si="0"/>
        <v>1</v>
      </c>
      <c r="E11" s="104"/>
    </row>
    <row r="12" spans="1:5">
      <c r="A12" s="100" t="s">
        <v>522</v>
      </c>
      <c r="B12" s="100" t="s">
        <v>523</v>
      </c>
      <c r="C12" s="14"/>
      <c r="D12" s="100">
        <f t="shared" si="0"/>
        <v>1</v>
      </c>
      <c r="E12" s="104"/>
    </row>
    <row r="13" spans="1:5">
      <c r="A13" s="100" t="s">
        <v>524</v>
      </c>
      <c r="B13" s="101" t="s">
        <v>525</v>
      </c>
      <c r="C13" s="14"/>
      <c r="D13" s="100">
        <f t="shared" si="0"/>
        <v>1</v>
      </c>
      <c r="E13" s="104"/>
    </row>
    <row r="14" spans="1:5">
      <c r="A14" s="100" t="s">
        <v>526</v>
      </c>
      <c r="B14" s="100" t="s">
        <v>527</v>
      </c>
      <c r="C14" s="14"/>
      <c r="D14" s="100">
        <f t="shared" si="0"/>
        <v>1</v>
      </c>
      <c r="E14" s="104"/>
    </row>
    <row r="15" spans="1:5">
      <c r="A15" s="100" t="s">
        <v>528</v>
      </c>
      <c r="B15" s="100" t="s">
        <v>529</v>
      </c>
      <c r="C15" s="14"/>
      <c r="D15" s="100">
        <f t="shared" si="0"/>
        <v>1</v>
      </c>
      <c r="E15" s="104"/>
    </row>
    <row r="16" spans="1:5">
      <c r="A16" s="100" t="s">
        <v>530</v>
      </c>
      <c r="B16" s="100" t="s">
        <v>531</v>
      </c>
      <c r="C16" s="14"/>
      <c r="D16" s="100">
        <f t="shared" si="0"/>
        <v>1</v>
      </c>
      <c r="E16" s="104"/>
    </row>
    <row r="17" spans="1:5">
      <c r="A17" s="100" t="s">
        <v>532</v>
      </c>
      <c r="B17" s="100" t="s">
        <v>533</v>
      </c>
      <c r="C17" s="14"/>
      <c r="D17" s="100">
        <f t="shared" si="0"/>
        <v>1</v>
      </c>
      <c r="E17" s="104"/>
    </row>
    <row r="18" spans="1:5">
      <c r="A18" s="100" t="s">
        <v>534</v>
      </c>
      <c r="B18" s="100" t="s">
        <v>535</v>
      </c>
      <c r="C18" s="14"/>
      <c r="D18" s="100">
        <f t="shared" si="0"/>
        <v>1</v>
      </c>
      <c r="E18" s="104"/>
    </row>
    <row r="19" spans="1:5">
      <c r="A19" s="100" t="s">
        <v>536</v>
      </c>
      <c r="B19" s="100" t="s">
        <v>537</v>
      </c>
      <c r="C19" s="14"/>
      <c r="D19" s="100">
        <f t="shared" si="0"/>
        <v>1</v>
      </c>
      <c r="E19" s="104"/>
    </row>
    <row r="20" spans="1:5">
      <c r="A20" s="100" t="s">
        <v>538</v>
      </c>
      <c r="B20" s="100" t="s">
        <v>539</v>
      </c>
      <c r="C20" s="14"/>
      <c r="D20" s="100">
        <f t="shared" si="0"/>
        <v>1</v>
      </c>
      <c r="E20" s="104"/>
    </row>
    <row r="21" spans="1:5">
      <c r="A21" s="100" t="s">
        <v>540</v>
      </c>
      <c r="B21" s="100" t="s">
        <v>541</v>
      </c>
      <c r="C21" s="14"/>
      <c r="D21" s="100">
        <f t="shared" si="0"/>
        <v>1</v>
      </c>
      <c r="E21" s="104"/>
    </row>
    <row r="22" spans="1:5">
      <c r="A22" s="100" t="s">
        <v>542</v>
      </c>
      <c r="B22" s="100" t="s">
        <v>543</v>
      </c>
      <c r="C22" s="14"/>
      <c r="D22" s="100">
        <f t="shared" si="0"/>
        <v>1</v>
      </c>
      <c r="E22" s="104"/>
    </row>
    <row r="23" spans="1:5">
      <c r="A23" s="100" t="s">
        <v>544</v>
      </c>
      <c r="B23" s="100" t="s">
        <v>545</v>
      </c>
      <c r="C23" s="14"/>
      <c r="D23" s="100">
        <f t="shared" si="0"/>
        <v>1</v>
      </c>
      <c r="E23" s="104"/>
    </row>
    <row r="24" spans="1:5">
      <c r="A24" s="100" t="s">
        <v>546</v>
      </c>
      <c r="B24" s="100" t="s">
        <v>547</v>
      </c>
      <c r="C24" s="14"/>
      <c r="D24" s="100">
        <f t="shared" si="0"/>
        <v>1</v>
      </c>
      <c r="E24" s="104"/>
    </row>
    <row r="25" spans="1:5">
      <c r="A25" s="100" t="s">
        <v>548</v>
      </c>
      <c r="B25" s="101" t="s">
        <v>549</v>
      </c>
      <c r="C25" s="14"/>
      <c r="D25" s="100">
        <f t="shared" si="0"/>
        <v>1</v>
      </c>
      <c r="E25" s="104"/>
    </row>
    <row r="26" spans="1:5">
      <c r="A26" s="100" t="s">
        <v>550</v>
      </c>
      <c r="B26" s="100" t="s">
        <v>551</v>
      </c>
      <c r="C26" s="14"/>
      <c r="D26" s="100">
        <f t="shared" si="0"/>
        <v>1</v>
      </c>
      <c r="E26" s="104"/>
    </row>
    <row r="27" spans="1:5">
      <c r="A27" s="109" t="s">
        <v>552</v>
      </c>
      <c r="B27" s="109" t="s">
        <v>553</v>
      </c>
      <c r="C27" s="14" t="s">
        <v>511</v>
      </c>
      <c r="D27" s="100">
        <f t="shared" si="0"/>
        <v>1</v>
      </c>
      <c r="E27" s="104"/>
    </row>
    <row r="28" spans="1:5">
      <c r="A28" s="100" t="s">
        <v>554</v>
      </c>
      <c r="B28" s="100" t="s">
        <v>555</v>
      </c>
      <c r="C28" s="14"/>
      <c r="D28" s="100">
        <f t="shared" si="0"/>
        <v>1</v>
      </c>
      <c r="E28" s="104"/>
    </row>
    <row r="29" spans="1:5">
      <c r="A29" s="100" t="s">
        <v>556</v>
      </c>
      <c r="B29" s="100" t="s">
        <v>557</v>
      </c>
      <c r="C29" s="14"/>
      <c r="D29" s="100">
        <f t="shared" si="0"/>
        <v>1</v>
      </c>
      <c r="E29" s="104"/>
    </row>
    <row r="30" spans="1:5">
      <c r="A30" s="100" t="s">
        <v>558</v>
      </c>
      <c r="B30" s="100" t="s">
        <v>559</v>
      </c>
      <c r="C30" s="14"/>
      <c r="D30" s="100">
        <f t="shared" si="0"/>
        <v>1</v>
      </c>
      <c r="E30" s="104"/>
    </row>
    <row r="31" spans="1:5">
      <c r="A31" s="107" t="s">
        <v>560</v>
      </c>
      <c r="B31" s="101" t="s">
        <v>561</v>
      </c>
      <c r="C31" s="14" t="s">
        <v>511</v>
      </c>
      <c r="D31" s="100">
        <f t="shared" si="0"/>
        <v>1</v>
      </c>
      <c r="E31" s="104"/>
    </row>
    <row r="32" spans="1:5">
      <c r="A32" s="107" t="s">
        <v>562</v>
      </c>
      <c r="B32" s="101" t="s">
        <v>563</v>
      </c>
      <c r="C32" s="14" t="s">
        <v>511</v>
      </c>
      <c r="D32" s="100">
        <f t="shared" si="0"/>
        <v>1</v>
      </c>
      <c r="E32" s="104"/>
    </row>
    <row r="33" spans="1:5">
      <c r="A33" s="100" t="s">
        <v>564</v>
      </c>
      <c r="B33" s="108" t="s">
        <v>565</v>
      </c>
      <c r="C33" s="14"/>
      <c r="D33" s="100">
        <f t="shared" si="0"/>
        <v>1</v>
      </c>
      <c r="E33" s="104"/>
    </row>
    <row r="34" spans="1:5">
      <c r="A34" s="100" t="s">
        <v>566</v>
      </c>
      <c r="B34" s="101" t="s">
        <v>567</v>
      </c>
      <c r="C34" s="14"/>
      <c r="D34" s="100">
        <f t="shared" si="0"/>
        <v>1</v>
      </c>
      <c r="E34" s="104"/>
    </row>
    <row r="35" spans="1:5">
      <c r="A35" s="100" t="s">
        <v>568</v>
      </c>
      <c r="B35" s="101" t="s">
        <v>569</v>
      </c>
      <c r="C35" s="14"/>
      <c r="D35" s="100">
        <f t="shared" si="0"/>
        <v>1</v>
      </c>
      <c r="E35" s="104"/>
    </row>
    <row r="36" spans="1:5">
      <c r="A36" s="100" t="s">
        <v>570</v>
      </c>
      <c r="B36" s="100" t="s">
        <v>571</v>
      </c>
      <c r="C36" s="14"/>
      <c r="D36" s="100">
        <f t="shared" si="0"/>
        <v>1</v>
      </c>
      <c r="E36" s="104"/>
    </row>
    <row r="37" spans="1:5">
      <c r="A37" s="100" t="s">
        <v>572</v>
      </c>
      <c r="B37" s="100" t="s">
        <v>573</v>
      </c>
      <c r="C37" s="14"/>
      <c r="D37" s="100">
        <f t="shared" si="0"/>
        <v>1</v>
      </c>
      <c r="E37" s="104"/>
    </row>
    <row r="38" spans="1:5">
      <c r="A38" s="100" t="s">
        <v>351</v>
      </c>
      <c r="B38" s="100" t="s">
        <v>574</v>
      </c>
      <c r="C38" s="14"/>
      <c r="D38" s="100">
        <f t="shared" si="0"/>
        <v>1</v>
      </c>
      <c r="E38" s="104"/>
    </row>
    <row r="39" spans="1:5">
      <c r="A39" s="100" t="s">
        <v>575</v>
      </c>
      <c r="B39" s="100" t="s">
        <v>576</v>
      </c>
      <c r="C39" s="14"/>
      <c r="D39" s="100">
        <f t="shared" si="0"/>
        <v>1</v>
      </c>
      <c r="E39" s="104"/>
    </row>
    <row r="40" spans="1:5">
      <c r="A40" s="100" t="s">
        <v>577</v>
      </c>
      <c r="B40" s="100" t="s">
        <v>578</v>
      </c>
      <c r="C40" s="14"/>
      <c r="D40" s="100">
        <f t="shared" si="0"/>
        <v>1</v>
      </c>
      <c r="E40" s="104"/>
    </row>
    <row r="41" spans="1:5">
      <c r="A41" s="100" t="s">
        <v>579</v>
      </c>
      <c r="B41" s="100" t="s">
        <v>580</v>
      </c>
      <c r="C41" s="14"/>
      <c r="D41" s="100">
        <f t="shared" si="0"/>
        <v>1</v>
      </c>
      <c r="E41" s="104"/>
    </row>
    <row r="42" spans="1:5">
      <c r="A42" s="100" t="s">
        <v>581</v>
      </c>
      <c r="B42" s="100" t="s">
        <v>582</v>
      </c>
      <c r="C42" s="14"/>
      <c r="D42" s="100">
        <f t="shared" si="0"/>
        <v>1</v>
      </c>
      <c r="E42" s="104"/>
    </row>
    <row r="43" spans="1:5">
      <c r="A43" s="100" t="s">
        <v>583</v>
      </c>
      <c r="B43" s="100" t="s">
        <v>584</v>
      </c>
      <c r="C43" s="14"/>
      <c r="D43" s="100">
        <f t="shared" si="0"/>
        <v>1</v>
      </c>
      <c r="E43" s="104"/>
    </row>
    <row r="44" spans="1:5">
      <c r="A44" s="100" t="s">
        <v>585</v>
      </c>
      <c r="B44" s="100" t="s">
        <v>586</v>
      </c>
      <c r="C44" s="14"/>
      <c r="D44" s="100">
        <f t="shared" si="0"/>
        <v>1</v>
      </c>
      <c r="E44" s="104"/>
    </row>
    <row r="45" spans="1:5">
      <c r="A45" s="100" t="s">
        <v>587</v>
      </c>
      <c r="B45" s="100" t="s">
        <v>588</v>
      </c>
      <c r="C45" s="14"/>
      <c r="D45" s="100">
        <f t="shared" si="0"/>
        <v>1</v>
      </c>
      <c r="E45" s="104"/>
    </row>
    <row r="46" spans="1:5">
      <c r="A46" s="100" t="s">
        <v>589</v>
      </c>
      <c r="B46" s="100" t="s">
        <v>590</v>
      </c>
      <c r="C46" s="14"/>
      <c r="D46" s="100">
        <f t="shared" si="0"/>
        <v>1</v>
      </c>
      <c r="E46" s="104"/>
    </row>
    <row r="47" spans="1:5">
      <c r="A47" s="100" t="s">
        <v>591</v>
      </c>
      <c r="B47" s="100" t="s">
        <v>592</v>
      </c>
      <c r="C47" s="14"/>
      <c r="D47" s="100">
        <f t="shared" si="0"/>
        <v>1</v>
      </c>
      <c r="E47" s="104"/>
    </row>
    <row r="48" spans="1:5">
      <c r="A48" s="100" t="s">
        <v>460</v>
      </c>
      <c r="B48" s="100" t="s">
        <v>593</v>
      </c>
      <c r="C48" s="14"/>
      <c r="D48" s="100">
        <f t="shared" si="0"/>
        <v>1</v>
      </c>
      <c r="E48" s="104"/>
    </row>
    <row r="49" spans="1:5">
      <c r="A49" s="100" t="s">
        <v>594</v>
      </c>
      <c r="B49" s="100" t="s">
        <v>595</v>
      </c>
      <c r="C49" s="14"/>
      <c r="D49" s="100">
        <f t="shared" si="0"/>
        <v>1</v>
      </c>
      <c r="E49" s="104"/>
    </row>
    <row r="50" spans="1:5">
      <c r="A50" s="100" t="s">
        <v>596</v>
      </c>
      <c r="B50" s="100" t="s">
        <v>597</v>
      </c>
      <c r="C50" s="14"/>
      <c r="D50" s="100">
        <f t="shared" si="0"/>
        <v>1</v>
      </c>
      <c r="E50" s="104"/>
    </row>
    <row r="51" spans="1:5">
      <c r="A51" s="100" t="s">
        <v>598</v>
      </c>
      <c r="B51" s="100" t="s">
        <v>599</v>
      </c>
      <c r="C51" s="14"/>
      <c r="D51" s="100">
        <f t="shared" si="0"/>
        <v>1</v>
      </c>
      <c r="E51" s="104"/>
    </row>
    <row r="52" spans="1:5">
      <c r="A52" s="100" t="s">
        <v>600</v>
      </c>
      <c r="B52" s="101" t="s">
        <v>601</v>
      </c>
      <c r="C52" s="14"/>
      <c r="D52" s="100">
        <f t="shared" si="0"/>
        <v>1</v>
      </c>
      <c r="E52" s="104"/>
    </row>
    <row r="53" spans="1:5">
      <c r="A53" s="100" t="s">
        <v>159</v>
      </c>
      <c r="B53" s="101" t="s">
        <v>602</v>
      </c>
      <c r="C53" s="14"/>
      <c r="D53" s="100">
        <f t="shared" si="0"/>
        <v>1</v>
      </c>
      <c r="E53" s="104"/>
    </row>
    <row r="54" spans="1:5">
      <c r="A54" s="100" t="s">
        <v>603</v>
      </c>
      <c r="B54" s="101" t="s">
        <v>604</v>
      </c>
      <c r="C54" s="14"/>
      <c r="D54" s="100">
        <f t="shared" si="0"/>
        <v>1</v>
      </c>
      <c r="E54" s="104"/>
    </row>
    <row r="55" spans="1:5">
      <c r="A55" s="100" t="s">
        <v>605</v>
      </c>
      <c r="B55" s="101" t="s">
        <v>606</v>
      </c>
      <c r="C55" s="14"/>
      <c r="D55" s="100">
        <f t="shared" si="0"/>
        <v>1</v>
      </c>
      <c r="E55" s="104"/>
    </row>
    <row r="56" spans="1:5">
      <c r="A56" s="100" t="s">
        <v>261</v>
      </c>
      <c r="B56" s="100" t="s">
        <v>607</v>
      </c>
      <c r="C56" s="14"/>
      <c r="D56" s="100">
        <f t="shared" si="0"/>
        <v>1</v>
      </c>
      <c r="E56" s="104"/>
    </row>
    <row r="57" spans="1:5">
      <c r="A57" s="100" t="s">
        <v>608</v>
      </c>
      <c r="B57" s="100" t="s">
        <v>609</v>
      </c>
      <c r="C57" s="14"/>
      <c r="D57" s="100">
        <f t="shared" si="0"/>
        <v>1</v>
      </c>
      <c r="E57" s="104"/>
    </row>
    <row r="58" spans="1:5">
      <c r="A58" s="100" t="s">
        <v>263</v>
      </c>
      <c r="B58" s="100" t="s">
        <v>497</v>
      </c>
      <c r="C58" s="14"/>
      <c r="D58" s="100">
        <f t="shared" si="0"/>
        <v>1</v>
      </c>
      <c r="E58" s="104"/>
    </row>
    <row r="59" spans="1:5">
      <c r="A59" s="100" t="s">
        <v>610</v>
      </c>
      <c r="B59" s="101" t="s">
        <v>611</v>
      </c>
      <c r="C59" s="14"/>
      <c r="D59" s="100">
        <f t="shared" si="0"/>
        <v>1</v>
      </c>
      <c r="E59" s="104"/>
    </row>
    <row r="60" spans="1:5">
      <c r="A60" s="100" t="s">
        <v>612</v>
      </c>
      <c r="B60" s="101" t="s">
        <v>613</v>
      </c>
      <c r="C60" s="14"/>
      <c r="D60" s="100">
        <f t="shared" si="0"/>
        <v>1</v>
      </c>
      <c r="E60" s="104"/>
    </row>
    <row r="61" spans="1:5">
      <c r="A61" s="100" t="s">
        <v>614</v>
      </c>
      <c r="B61" s="100" t="s">
        <v>615</v>
      </c>
      <c r="C61" s="14"/>
      <c r="D61" s="100">
        <f t="shared" si="0"/>
        <v>1</v>
      </c>
      <c r="E61" s="104"/>
    </row>
    <row r="62" spans="1:5">
      <c r="A62" s="100" t="s">
        <v>616</v>
      </c>
      <c r="B62" s="100" t="s">
        <v>617</v>
      </c>
      <c r="C62" s="14"/>
      <c r="D62" s="100">
        <f t="shared" si="0"/>
        <v>1</v>
      </c>
      <c r="E62" s="104"/>
    </row>
    <row r="63" spans="1:5">
      <c r="A63" s="100" t="s">
        <v>618</v>
      </c>
      <c r="B63" s="100" t="s">
        <v>619</v>
      </c>
      <c r="C63" s="14"/>
      <c r="D63" s="100">
        <f t="shared" si="0"/>
        <v>1</v>
      </c>
      <c r="E63" s="104"/>
    </row>
    <row r="64" spans="1:5">
      <c r="A64" s="100" t="s">
        <v>620</v>
      </c>
      <c r="B64" s="100" t="s">
        <v>621</v>
      </c>
      <c r="C64" s="14"/>
      <c r="D64" s="100">
        <f t="shared" si="0"/>
        <v>1</v>
      </c>
      <c r="E64" s="104"/>
    </row>
    <row r="65" spans="1:5">
      <c r="A65" s="100" t="s">
        <v>484</v>
      </c>
      <c r="B65" s="100" t="s">
        <v>622</v>
      </c>
      <c r="C65" s="14"/>
      <c r="D65" s="100">
        <f t="shared" si="0"/>
        <v>1</v>
      </c>
      <c r="E65" s="104"/>
    </row>
    <row r="66" spans="1:5">
      <c r="A66" s="100" t="s">
        <v>623</v>
      </c>
      <c r="B66" s="101" t="s">
        <v>624</v>
      </c>
      <c r="C66" s="14"/>
      <c r="D66" s="100">
        <f t="shared" ref="D66:D129" si="1">IF(B66&lt;&gt;C66,1,0)</f>
        <v>1</v>
      </c>
      <c r="E66" s="104"/>
    </row>
    <row r="67" spans="1:5">
      <c r="A67" s="100" t="s">
        <v>625</v>
      </c>
      <c r="B67" s="100" t="s">
        <v>626</v>
      </c>
      <c r="C67" s="14"/>
      <c r="D67" s="100">
        <f t="shared" si="1"/>
        <v>1</v>
      </c>
      <c r="E67" s="104"/>
    </row>
    <row r="68" spans="1:5">
      <c r="A68" s="102" t="s">
        <v>627</v>
      </c>
      <c r="B68" s="110" t="s">
        <v>628</v>
      </c>
      <c r="C68" s="14"/>
      <c r="D68" s="100">
        <f t="shared" si="1"/>
        <v>1</v>
      </c>
      <c r="E68" s="104"/>
    </row>
    <row r="69" spans="1:5">
      <c r="A69" s="100" t="s">
        <v>629</v>
      </c>
      <c r="B69" s="101" t="s">
        <v>630</v>
      </c>
      <c r="C69" s="14"/>
      <c r="D69" s="100">
        <f t="shared" si="1"/>
        <v>1</v>
      </c>
      <c r="E69" s="104"/>
    </row>
    <row r="70" spans="1:5">
      <c r="A70" s="100" t="s">
        <v>631</v>
      </c>
      <c r="B70" s="100" t="s">
        <v>632</v>
      </c>
      <c r="C70" s="14"/>
      <c r="D70" s="100">
        <f t="shared" si="1"/>
        <v>1</v>
      </c>
      <c r="E70" s="104"/>
    </row>
    <row r="71" spans="1:5">
      <c r="A71" s="100" t="s">
        <v>633</v>
      </c>
      <c r="B71" s="100" t="s">
        <v>634</v>
      </c>
      <c r="C71" s="14"/>
      <c r="D71" s="100">
        <f t="shared" si="1"/>
        <v>1</v>
      </c>
      <c r="E71" s="104"/>
    </row>
    <row r="72" spans="1:5">
      <c r="A72" s="100" t="s">
        <v>635</v>
      </c>
      <c r="B72" s="100" t="s">
        <v>636</v>
      </c>
      <c r="C72" s="14"/>
      <c r="D72" s="100">
        <f t="shared" si="1"/>
        <v>1</v>
      </c>
      <c r="E72" s="104"/>
    </row>
    <row r="73" spans="1:5">
      <c r="A73" s="100" t="s">
        <v>251</v>
      </c>
      <c r="B73" s="101" t="s">
        <v>637</v>
      </c>
      <c r="C73" s="14"/>
      <c r="D73" s="100">
        <f t="shared" si="1"/>
        <v>1</v>
      </c>
      <c r="E73" s="104"/>
    </row>
    <row r="74" spans="1:5">
      <c r="A74" s="100" t="s">
        <v>249</v>
      </c>
      <c r="B74" s="100" t="s">
        <v>638</v>
      </c>
      <c r="C74" s="14"/>
      <c r="D74" s="100">
        <f t="shared" si="1"/>
        <v>1</v>
      </c>
      <c r="E74" s="104"/>
    </row>
    <row r="75" spans="1:5">
      <c r="A75" s="100" t="s">
        <v>639</v>
      </c>
      <c r="B75" s="100" t="s">
        <v>640</v>
      </c>
      <c r="C75" s="14"/>
      <c r="D75" s="100">
        <f t="shared" si="1"/>
        <v>1</v>
      </c>
      <c r="E75" s="104"/>
    </row>
    <row r="76" spans="1:5">
      <c r="A76" s="100" t="s">
        <v>641</v>
      </c>
      <c r="B76" s="100" t="s">
        <v>642</v>
      </c>
      <c r="C76" s="14"/>
      <c r="D76" s="100">
        <f t="shared" si="1"/>
        <v>1</v>
      </c>
      <c r="E76" s="104"/>
    </row>
    <row r="77" spans="1:5">
      <c r="A77" s="100" t="s">
        <v>411</v>
      </c>
      <c r="B77" s="108" t="s">
        <v>643</v>
      </c>
      <c r="C77" s="14"/>
      <c r="D77" s="100">
        <f t="shared" si="1"/>
        <v>1</v>
      </c>
      <c r="E77" s="104"/>
    </row>
    <row r="78" spans="1:5">
      <c r="A78" s="100" t="s">
        <v>644</v>
      </c>
      <c r="B78" s="100" t="s">
        <v>645</v>
      </c>
      <c r="C78" s="14"/>
      <c r="D78" s="100">
        <f t="shared" si="1"/>
        <v>1</v>
      </c>
      <c r="E78" s="104"/>
    </row>
    <row r="79" spans="1:5">
      <c r="A79" s="100" t="s">
        <v>646</v>
      </c>
      <c r="B79" s="100" t="s">
        <v>647</v>
      </c>
      <c r="C79" s="14"/>
      <c r="D79" s="100">
        <f t="shared" si="1"/>
        <v>1</v>
      </c>
      <c r="E79" s="104"/>
    </row>
    <row r="80" spans="1:5">
      <c r="A80" s="100" t="s">
        <v>648</v>
      </c>
      <c r="B80" s="109" t="s">
        <v>649</v>
      </c>
      <c r="C80" s="14" t="s">
        <v>511</v>
      </c>
      <c r="D80" s="100">
        <f t="shared" si="1"/>
        <v>1</v>
      </c>
      <c r="E80" s="104"/>
    </row>
    <row r="81" spans="1:5">
      <c r="A81" s="100" t="s">
        <v>650</v>
      </c>
      <c r="B81" s="100" t="s">
        <v>651</v>
      </c>
      <c r="C81" s="14"/>
      <c r="D81" s="100">
        <f t="shared" si="1"/>
        <v>1</v>
      </c>
      <c r="E81" s="104"/>
    </row>
    <row r="82" spans="1:5">
      <c r="A82" s="109" t="s">
        <v>652</v>
      </c>
      <c r="B82" s="109" t="s">
        <v>653</v>
      </c>
      <c r="C82" s="14" t="s">
        <v>511</v>
      </c>
      <c r="D82" s="100">
        <f t="shared" si="1"/>
        <v>1</v>
      </c>
      <c r="E82" s="104"/>
    </row>
    <row r="83" spans="1:5">
      <c r="A83" s="100" t="s">
        <v>654</v>
      </c>
      <c r="B83" s="100" t="s">
        <v>655</v>
      </c>
      <c r="C83" s="14"/>
      <c r="D83" s="100">
        <f t="shared" si="1"/>
        <v>1</v>
      </c>
      <c r="E83" s="104"/>
    </row>
    <row r="84" spans="1:5">
      <c r="A84" s="100" t="s">
        <v>656</v>
      </c>
      <c r="B84" s="100" t="s">
        <v>657</v>
      </c>
      <c r="C84" s="14"/>
      <c r="D84" s="100">
        <f t="shared" si="1"/>
        <v>1</v>
      </c>
      <c r="E84" s="104"/>
    </row>
    <row r="85" spans="1:5">
      <c r="A85" s="100" t="s">
        <v>658</v>
      </c>
      <c r="B85" s="100" t="s">
        <v>659</v>
      </c>
      <c r="C85" s="14"/>
      <c r="D85" s="100">
        <f t="shared" si="1"/>
        <v>1</v>
      </c>
      <c r="E85" s="104"/>
    </row>
    <row r="86" spans="1:5">
      <c r="A86" s="100" t="s">
        <v>660</v>
      </c>
      <c r="B86" s="101" t="s">
        <v>661</v>
      </c>
      <c r="C86" s="14"/>
      <c r="D86" s="100">
        <f t="shared" si="1"/>
        <v>1</v>
      </c>
      <c r="E86" s="104"/>
    </row>
    <row r="87" spans="1:5">
      <c r="A87" s="100" t="s">
        <v>662</v>
      </c>
      <c r="B87" s="100" t="s">
        <v>663</v>
      </c>
      <c r="C87" s="14"/>
      <c r="D87" s="100">
        <f t="shared" si="1"/>
        <v>1</v>
      </c>
      <c r="E87" s="104"/>
    </row>
    <row r="88" spans="1:5">
      <c r="A88" s="100" t="s">
        <v>664</v>
      </c>
      <c r="B88" s="100" t="s">
        <v>665</v>
      </c>
      <c r="C88" s="14"/>
      <c r="D88" s="100">
        <f t="shared" si="1"/>
        <v>1</v>
      </c>
      <c r="E88" s="104"/>
    </row>
    <row r="89" spans="1:5">
      <c r="A89" s="100" t="s">
        <v>666</v>
      </c>
      <c r="B89" s="100" t="s">
        <v>667</v>
      </c>
      <c r="C89" s="14"/>
      <c r="D89" s="100">
        <f t="shared" si="1"/>
        <v>1</v>
      </c>
      <c r="E89" s="104"/>
    </row>
    <row r="90" spans="1:5">
      <c r="A90" s="100" t="s">
        <v>197</v>
      </c>
      <c r="B90" s="100" t="s">
        <v>668</v>
      </c>
      <c r="C90" s="14"/>
      <c r="D90" s="100">
        <f t="shared" si="1"/>
        <v>1</v>
      </c>
      <c r="E90" s="104"/>
    </row>
    <row r="91" spans="1:5">
      <c r="A91" s="100" t="s">
        <v>669</v>
      </c>
      <c r="B91" s="100" t="s">
        <v>670</v>
      </c>
      <c r="C91" s="14"/>
      <c r="D91" s="100">
        <f t="shared" si="1"/>
        <v>1</v>
      </c>
      <c r="E91" s="104"/>
    </row>
    <row r="92" spans="1:5">
      <c r="A92" s="100" t="s">
        <v>671</v>
      </c>
      <c r="B92" s="100" t="s">
        <v>672</v>
      </c>
      <c r="C92" s="14"/>
      <c r="D92" s="100">
        <f t="shared" si="1"/>
        <v>1</v>
      </c>
      <c r="E92" s="104"/>
    </row>
    <row r="93" spans="1:5">
      <c r="A93" s="100" t="s">
        <v>673</v>
      </c>
      <c r="B93" s="100" t="s">
        <v>674</v>
      </c>
      <c r="C93" s="14"/>
      <c r="D93" s="100">
        <f t="shared" si="1"/>
        <v>1</v>
      </c>
      <c r="E93" s="104"/>
    </row>
    <row r="94" spans="1:5">
      <c r="A94" s="100" t="s">
        <v>675</v>
      </c>
      <c r="B94" s="100" t="s">
        <v>676</v>
      </c>
      <c r="C94" s="14"/>
      <c r="D94" s="100">
        <f t="shared" si="1"/>
        <v>1</v>
      </c>
      <c r="E94" s="104"/>
    </row>
    <row r="95" spans="1:5">
      <c r="A95" s="100" t="s">
        <v>677</v>
      </c>
      <c r="B95" s="100" t="s">
        <v>678</v>
      </c>
      <c r="C95" s="14"/>
      <c r="D95" s="100">
        <f t="shared" si="1"/>
        <v>1</v>
      </c>
      <c r="E95" s="104"/>
    </row>
    <row r="96" spans="1:5">
      <c r="A96" s="100" t="s">
        <v>679</v>
      </c>
      <c r="B96" s="100" t="s">
        <v>680</v>
      </c>
      <c r="C96" s="14"/>
      <c r="D96" s="100">
        <f t="shared" si="1"/>
        <v>1</v>
      </c>
      <c r="E96" s="104"/>
    </row>
    <row r="97" spans="1:5">
      <c r="A97" s="100" t="s">
        <v>681</v>
      </c>
      <c r="B97" s="100" t="s">
        <v>682</v>
      </c>
      <c r="C97" s="14"/>
      <c r="D97" s="100">
        <f t="shared" si="1"/>
        <v>1</v>
      </c>
      <c r="E97" s="104"/>
    </row>
    <row r="98" spans="1:5">
      <c r="A98" s="100" t="s">
        <v>683</v>
      </c>
      <c r="B98" s="100" t="s">
        <v>684</v>
      </c>
      <c r="C98" s="14"/>
      <c r="D98" s="100">
        <f t="shared" si="1"/>
        <v>1</v>
      </c>
      <c r="E98" s="104"/>
    </row>
    <row r="99" spans="1:5">
      <c r="A99" s="100" t="s">
        <v>685</v>
      </c>
      <c r="B99" s="100" t="s">
        <v>686</v>
      </c>
      <c r="C99" s="14"/>
      <c r="D99" s="100">
        <f t="shared" si="1"/>
        <v>1</v>
      </c>
      <c r="E99" s="104"/>
    </row>
    <row r="100" spans="1:5">
      <c r="A100" s="100" t="s">
        <v>687</v>
      </c>
      <c r="B100" s="100" t="s">
        <v>688</v>
      </c>
      <c r="C100" s="14"/>
      <c r="D100" s="100">
        <f t="shared" si="1"/>
        <v>1</v>
      </c>
      <c r="E100" s="104"/>
    </row>
    <row r="101" spans="1:5">
      <c r="A101" s="100" t="s">
        <v>689</v>
      </c>
      <c r="B101" s="100" t="s">
        <v>690</v>
      </c>
      <c r="C101" s="14"/>
      <c r="D101" s="100">
        <f t="shared" si="1"/>
        <v>1</v>
      </c>
      <c r="E101" s="104"/>
    </row>
    <row r="102" spans="1:5">
      <c r="A102" s="100" t="s">
        <v>691</v>
      </c>
      <c r="B102" s="100" t="s">
        <v>692</v>
      </c>
      <c r="C102" s="14"/>
      <c r="D102" s="100">
        <f t="shared" si="1"/>
        <v>1</v>
      </c>
      <c r="E102" s="104"/>
    </row>
    <row r="103" spans="1:5">
      <c r="A103" s="100" t="s">
        <v>693</v>
      </c>
      <c r="B103" s="100" t="s">
        <v>694</v>
      </c>
      <c r="C103" s="14"/>
      <c r="D103" s="100">
        <f t="shared" si="1"/>
        <v>1</v>
      </c>
      <c r="E103" s="104"/>
    </row>
    <row r="104" spans="1:5">
      <c r="A104" s="100" t="s">
        <v>695</v>
      </c>
      <c r="B104" s="100" t="s">
        <v>696</v>
      </c>
      <c r="C104" s="14"/>
      <c r="D104" s="100">
        <f t="shared" si="1"/>
        <v>1</v>
      </c>
      <c r="E104" s="104"/>
    </row>
    <row r="105" spans="1:5">
      <c r="A105" s="100" t="s">
        <v>697</v>
      </c>
      <c r="B105" s="100" t="s">
        <v>698</v>
      </c>
      <c r="C105" s="14"/>
      <c r="D105" s="100">
        <f t="shared" si="1"/>
        <v>1</v>
      </c>
      <c r="E105" s="104"/>
    </row>
    <row r="106" spans="1:5">
      <c r="A106" s="100" t="s">
        <v>699</v>
      </c>
      <c r="B106" s="100" t="s">
        <v>700</v>
      </c>
      <c r="C106" s="14"/>
      <c r="D106" s="100">
        <f t="shared" si="1"/>
        <v>1</v>
      </c>
      <c r="E106" s="104"/>
    </row>
    <row r="107" spans="1:5">
      <c r="A107" s="100" t="s">
        <v>701</v>
      </c>
      <c r="B107" s="100" t="s">
        <v>702</v>
      </c>
      <c r="C107" s="14"/>
      <c r="D107" s="100">
        <f t="shared" si="1"/>
        <v>1</v>
      </c>
      <c r="E107" s="104"/>
    </row>
    <row r="108" spans="1:5">
      <c r="A108" s="100" t="s">
        <v>703</v>
      </c>
      <c r="B108" s="100" t="s">
        <v>704</v>
      </c>
      <c r="C108" s="14"/>
      <c r="D108" s="100">
        <f t="shared" si="1"/>
        <v>1</v>
      </c>
      <c r="E108" s="104"/>
    </row>
    <row r="109" spans="1:5">
      <c r="A109" s="100" t="s">
        <v>162</v>
      </c>
      <c r="B109" s="100" t="s">
        <v>705</v>
      </c>
      <c r="C109" s="14"/>
      <c r="D109" s="100">
        <f t="shared" si="1"/>
        <v>1</v>
      </c>
      <c r="E109" s="104"/>
    </row>
    <row r="110" spans="1:5">
      <c r="A110" s="100" t="s">
        <v>706</v>
      </c>
      <c r="B110" s="100" t="s">
        <v>707</v>
      </c>
      <c r="C110" s="14"/>
      <c r="D110" s="100">
        <f t="shared" si="1"/>
        <v>1</v>
      </c>
      <c r="E110" s="104"/>
    </row>
    <row r="111" spans="1:5">
      <c r="A111" s="100" t="s">
        <v>708</v>
      </c>
      <c r="B111" s="100" t="s">
        <v>709</v>
      </c>
      <c r="C111" s="14"/>
      <c r="D111" s="100">
        <f t="shared" si="1"/>
        <v>1</v>
      </c>
      <c r="E111" s="104"/>
    </row>
    <row r="112" spans="1:5">
      <c r="A112" s="100" t="s">
        <v>710</v>
      </c>
      <c r="B112" s="100" t="s">
        <v>711</v>
      </c>
      <c r="C112" s="14"/>
      <c r="D112" s="100">
        <f t="shared" si="1"/>
        <v>1</v>
      </c>
      <c r="E112" s="104"/>
    </row>
    <row r="113" spans="1:5">
      <c r="A113" s="100" t="s">
        <v>712</v>
      </c>
      <c r="B113" s="100" t="s">
        <v>713</v>
      </c>
      <c r="C113" s="14"/>
      <c r="D113" s="100">
        <f t="shared" si="1"/>
        <v>1</v>
      </c>
      <c r="E113" s="104"/>
    </row>
    <row r="114" spans="1:5">
      <c r="A114" s="101" t="s">
        <v>714</v>
      </c>
      <c r="B114" s="109" t="s">
        <v>715</v>
      </c>
      <c r="C114" s="14" t="s">
        <v>511</v>
      </c>
      <c r="D114" s="100">
        <f t="shared" si="1"/>
        <v>1</v>
      </c>
      <c r="E114" s="104"/>
    </row>
    <row r="115" spans="1:5">
      <c r="A115" s="100" t="s">
        <v>716</v>
      </c>
      <c r="B115" s="100" t="s">
        <v>717</v>
      </c>
      <c r="C115" s="14"/>
      <c r="D115" s="100">
        <f t="shared" si="1"/>
        <v>1</v>
      </c>
      <c r="E115" s="104"/>
    </row>
    <row r="116" spans="1:5">
      <c r="A116" s="100" t="s">
        <v>718</v>
      </c>
      <c r="B116" s="100" t="s">
        <v>719</v>
      </c>
      <c r="C116" s="14"/>
      <c r="D116" s="100">
        <f t="shared" si="1"/>
        <v>1</v>
      </c>
      <c r="E116" s="104"/>
    </row>
    <row r="117" spans="1:5">
      <c r="A117" s="100" t="s">
        <v>720</v>
      </c>
      <c r="B117" s="108" t="s">
        <v>721</v>
      </c>
      <c r="C117" s="14"/>
      <c r="D117" s="100">
        <f t="shared" si="1"/>
        <v>1</v>
      </c>
      <c r="E117" s="104"/>
    </row>
    <row r="118" spans="1:5">
      <c r="A118" s="100" t="s">
        <v>722</v>
      </c>
      <c r="B118" s="108" t="s">
        <v>723</v>
      </c>
      <c r="C118" s="14"/>
      <c r="D118" s="100">
        <f t="shared" si="1"/>
        <v>1</v>
      </c>
      <c r="E118" s="104"/>
    </row>
    <row r="119" spans="1:5">
      <c r="A119" s="100" t="s">
        <v>724</v>
      </c>
      <c r="B119" s="100" t="s">
        <v>725</v>
      </c>
      <c r="C119" s="14"/>
      <c r="D119" s="100">
        <f t="shared" si="1"/>
        <v>1</v>
      </c>
      <c r="E119" s="104"/>
    </row>
    <row r="120" spans="1:5">
      <c r="A120" s="100" t="s">
        <v>726</v>
      </c>
      <c r="B120" s="100" t="s">
        <v>727</v>
      </c>
      <c r="C120" s="14"/>
      <c r="D120" s="100">
        <f t="shared" si="1"/>
        <v>1</v>
      </c>
      <c r="E120" s="104"/>
    </row>
    <row r="121" spans="1:5">
      <c r="A121" s="100" t="s">
        <v>728</v>
      </c>
      <c r="B121" s="100" t="s">
        <v>729</v>
      </c>
      <c r="C121" s="14"/>
      <c r="D121" s="100">
        <f t="shared" si="1"/>
        <v>1</v>
      </c>
      <c r="E121" s="104"/>
    </row>
    <row r="122" spans="1:5">
      <c r="A122" s="100" t="s">
        <v>730</v>
      </c>
      <c r="B122" s="100" t="s">
        <v>731</v>
      </c>
      <c r="C122" s="14"/>
      <c r="D122" s="100">
        <f t="shared" si="1"/>
        <v>1</v>
      </c>
      <c r="E122" s="104"/>
    </row>
    <row r="123" spans="1:5">
      <c r="A123" s="100" t="s">
        <v>732</v>
      </c>
      <c r="B123" s="100" t="s">
        <v>733</v>
      </c>
      <c r="C123" s="14"/>
      <c r="D123" s="100">
        <f t="shared" si="1"/>
        <v>1</v>
      </c>
      <c r="E123" s="104"/>
    </row>
    <row r="124" spans="1:5">
      <c r="A124" s="100" t="s">
        <v>734</v>
      </c>
      <c r="B124" s="100" t="s">
        <v>735</v>
      </c>
      <c r="C124" s="14"/>
      <c r="D124" s="100">
        <f t="shared" si="1"/>
        <v>1</v>
      </c>
      <c r="E124" s="104"/>
    </row>
    <row r="125" spans="1:5">
      <c r="A125" s="101" t="s">
        <v>736</v>
      </c>
      <c r="B125" s="109" t="s">
        <v>737</v>
      </c>
      <c r="C125" s="14" t="s">
        <v>511</v>
      </c>
      <c r="D125" s="100">
        <f t="shared" si="1"/>
        <v>1</v>
      </c>
      <c r="E125" s="104"/>
    </row>
    <row r="126" spans="1:5">
      <c r="A126" s="100" t="s">
        <v>208</v>
      </c>
      <c r="B126" s="100" t="s">
        <v>738</v>
      </c>
      <c r="C126" s="14"/>
      <c r="D126" s="100">
        <f t="shared" si="1"/>
        <v>1</v>
      </c>
      <c r="E126" s="104"/>
    </row>
    <row r="127" spans="1:5">
      <c r="A127" s="100" t="s">
        <v>739</v>
      </c>
      <c r="B127" s="100" t="s">
        <v>740</v>
      </c>
      <c r="C127" s="14"/>
      <c r="D127" s="100">
        <f t="shared" si="1"/>
        <v>1</v>
      </c>
      <c r="E127" s="104"/>
    </row>
    <row r="128" spans="1:5">
      <c r="A128" s="100" t="s">
        <v>741</v>
      </c>
      <c r="B128" s="100" t="s">
        <v>742</v>
      </c>
      <c r="C128" s="14"/>
      <c r="D128" s="100">
        <f t="shared" si="1"/>
        <v>1</v>
      </c>
      <c r="E128" s="104"/>
    </row>
    <row r="129" spans="1:5">
      <c r="A129" s="100" t="s">
        <v>743</v>
      </c>
      <c r="B129" s="100" t="s">
        <v>744</v>
      </c>
      <c r="C129" s="14"/>
      <c r="D129" s="100">
        <f t="shared" si="1"/>
        <v>1</v>
      </c>
      <c r="E129" s="104"/>
    </row>
    <row r="130" spans="1:5">
      <c r="A130" s="100" t="s">
        <v>203</v>
      </c>
      <c r="B130" s="108" t="s">
        <v>745</v>
      </c>
      <c r="C130" s="14"/>
      <c r="D130" s="100">
        <f t="shared" ref="D130:D193" si="2">IF(B130&lt;&gt;C130,1,0)</f>
        <v>1</v>
      </c>
      <c r="E130" s="104"/>
    </row>
    <row r="131" spans="1:5">
      <c r="A131" s="100" t="s">
        <v>746</v>
      </c>
      <c r="B131" s="100" t="s">
        <v>747</v>
      </c>
      <c r="C131" s="14"/>
      <c r="D131" s="100">
        <f t="shared" si="2"/>
        <v>1</v>
      </c>
      <c r="E131" s="104"/>
    </row>
    <row r="132" spans="1:5">
      <c r="A132" s="107" t="s">
        <v>748</v>
      </c>
      <c r="B132" s="100" t="s">
        <v>749</v>
      </c>
      <c r="C132" s="14" t="s">
        <v>511</v>
      </c>
      <c r="D132" s="100">
        <f t="shared" si="2"/>
        <v>1</v>
      </c>
      <c r="E132" s="104"/>
    </row>
    <row r="133" spans="1:5">
      <c r="A133" s="100" t="s">
        <v>750</v>
      </c>
      <c r="B133" s="108" t="s">
        <v>751</v>
      </c>
      <c r="C133" s="14"/>
      <c r="D133" s="100">
        <f t="shared" si="2"/>
        <v>1</v>
      </c>
      <c r="E133" s="104"/>
    </row>
    <row r="134" spans="1:5">
      <c r="A134" s="100" t="s">
        <v>752</v>
      </c>
      <c r="B134" s="108" t="s">
        <v>753</v>
      </c>
      <c r="C134" s="14"/>
      <c r="D134" s="100">
        <f t="shared" si="2"/>
        <v>1</v>
      </c>
      <c r="E134" s="104"/>
    </row>
    <row r="135" spans="1:5">
      <c r="A135" s="100" t="s">
        <v>255</v>
      </c>
      <c r="B135" s="100" t="s">
        <v>754</v>
      </c>
      <c r="C135" s="14"/>
      <c r="D135" s="100">
        <f t="shared" si="2"/>
        <v>1</v>
      </c>
      <c r="E135" s="104"/>
    </row>
    <row r="136" spans="1:5">
      <c r="A136" s="100" t="s">
        <v>755</v>
      </c>
      <c r="B136" s="100" t="s">
        <v>756</v>
      </c>
      <c r="C136" s="14"/>
      <c r="D136" s="100">
        <f t="shared" si="2"/>
        <v>1</v>
      </c>
      <c r="E136" s="104"/>
    </row>
    <row r="137" spans="1:5">
      <c r="A137" s="100" t="s">
        <v>257</v>
      </c>
      <c r="B137" s="100" t="s">
        <v>757</v>
      </c>
      <c r="C137" s="14"/>
      <c r="D137" s="100">
        <f t="shared" si="2"/>
        <v>1</v>
      </c>
      <c r="E137" s="104"/>
    </row>
    <row r="138" spans="1:5">
      <c r="A138" s="100" t="s">
        <v>758</v>
      </c>
      <c r="B138" s="100" t="s">
        <v>759</v>
      </c>
      <c r="C138" s="14"/>
      <c r="D138" s="100">
        <f t="shared" si="2"/>
        <v>1</v>
      </c>
      <c r="E138" s="104"/>
    </row>
    <row r="139" spans="1:5">
      <c r="A139" s="100" t="s">
        <v>760</v>
      </c>
      <c r="B139" s="101" t="s">
        <v>761</v>
      </c>
      <c r="C139" s="14"/>
      <c r="D139" s="100">
        <f t="shared" si="2"/>
        <v>1</v>
      </c>
      <c r="E139" s="104"/>
    </row>
    <row r="140" spans="1:5">
      <c r="A140" s="100" t="s">
        <v>762</v>
      </c>
      <c r="B140" s="100" t="s">
        <v>763</v>
      </c>
      <c r="C140" s="14"/>
      <c r="D140" s="100">
        <f t="shared" si="2"/>
        <v>1</v>
      </c>
      <c r="E140" s="104"/>
    </row>
    <row r="141" spans="1:5">
      <c r="A141" s="100" t="s">
        <v>764</v>
      </c>
      <c r="B141" s="100" t="s">
        <v>765</v>
      </c>
      <c r="C141" s="14"/>
      <c r="D141" s="100">
        <f t="shared" si="2"/>
        <v>1</v>
      </c>
      <c r="E141" s="104"/>
    </row>
    <row r="142" spans="1:5">
      <c r="A142" s="100" t="s">
        <v>766</v>
      </c>
      <c r="B142" s="100" t="s">
        <v>767</v>
      </c>
      <c r="C142" s="14"/>
      <c r="D142" s="100">
        <f t="shared" si="2"/>
        <v>1</v>
      </c>
      <c r="E142" s="104"/>
    </row>
    <row r="143" spans="1:5">
      <c r="A143" s="100" t="s">
        <v>768</v>
      </c>
      <c r="B143" s="100" t="s">
        <v>769</v>
      </c>
      <c r="C143" s="14"/>
      <c r="D143" s="100">
        <f t="shared" si="2"/>
        <v>1</v>
      </c>
      <c r="E143" s="104"/>
    </row>
    <row r="144" spans="1:5">
      <c r="A144" s="100" t="s">
        <v>770</v>
      </c>
      <c r="B144" s="100" t="s">
        <v>771</v>
      </c>
      <c r="C144" s="14"/>
      <c r="D144" s="100">
        <f t="shared" si="2"/>
        <v>1</v>
      </c>
      <c r="E144" s="104"/>
    </row>
    <row r="145" spans="1:5">
      <c r="A145" s="100" t="s">
        <v>409</v>
      </c>
      <c r="B145" s="100" t="s">
        <v>772</v>
      </c>
      <c r="C145" s="14"/>
      <c r="D145" s="100">
        <f t="shared" si="2"/>
        <v>1</v>
      </c>
      <c r="E145" s="104"/>
    </row>
    <row r="146" spans="1:5">
      <c r="A146" s="100" t="s">
        <v>773</v>
      </c>
      <c r="B146" s="100" t="s">
        <v>774</v>
      </c>
      <c r="C146" s="14"/>
      <c r="D146" s="100">
        <f t="shared" si="2"/>
        <v>1</v>
      </c>
      <c r="E146" s="104"/>
    </row>
    <row r="147" spans="1:5">
      <c r="A147" s="100" t="s">
        <v>199</v>
      </c>
      <c r="B147" s="100" t="s">
        <v>775</v>
      </c>
      <c r="C147" s="14"/>
      <c r="D147" s="100">
        <f t="shared" si="2"/>
        <v>1</v>
      </c>
      <c r="E147" s="104"/>
    </row>
    <row r="148" spans="1:5">
      <c r="A148" s="100" t="s">
        <v>776</v>
      </c>
      <c r="B148" s="101" t="s">
        <v>777</v>
      </c>
      <c r="C148" s="14"/>
      <c r="D148" s="100">
        <f t="shared" si="2"/>
        <v>1</v>
      </c>
      <c r="E148" s="104"/>
    </row>
    <row r="149" spans="1:5">
      <c r="A149" s="100" t="s">
        <v>778</v>
      </c>
      <c r="B149" s="101" t="s">
        <v>779</v>
      </c>
      <c r="C149" s="14"/>
      <c r="D149" s="100">
        <f t="shared" si="2"/>
        <v>1</v>
      </c>
      <c r="E149" s="104"/>
    </row>
    <row r="150" spans="1:5">
      <c r="A150" s="100" t="s">
        <v>780</v>
      </c>
      <c r="B150" s="100" t="s">
        <v>781</v>
      </c>
      <c r="C150" s="14"/>
      <c r="D150" s="100">
        <f t="shared" si="2"/>
        <v>1</v>
      </c>
      <c r="E150" s="104"/>
    </row>
    <row r="151" spans="1:5">
      <c r="A151" s="100" t="s">
        <v>782</v>
      </c>
      <c r="B151" s="100" t="s">
        <v>783</v>
      </c>
      <c r="C151" s="14"/>
      <c r="D151" s="100">
        <f t="shared" si="2"/>
        <v>1</v>
      </c>
      <c r="E151" s="104"/>
    </row>
    <row r="152" spans="1:5">
      <c r="A152" s="100" t="s">
        <v>784</v>
      </c>
      <c r="B152" s="100" t="s">
        <v>785</v>
      </c>
      <c r="C152" s="14"/>
      <c r="D152" s="100">
        <f t="shared" si="2"/>
        <v>1</v>
      </c>
      <c r="E152" s="104"/>
    </row>
    <row r="153" spans="1:5">
      <c r="A153" s="100" t="s">
        <v>786</v>
      </c>
      <c r="B153" s="101" t="s">
        <v>787</v>
      </c>
      <c r="C153" s="14"/>
      <c r="D153" s="100">
        <f t="shared" si="2"/>
        <v>1</v>
      </c>
      <c r="E153" s="104"/>
    </row>
    <row r="154" spans="1:5">
      <c r="A154" s="100" t="s">
        <v>788</v>
      </c>
      <c r="B154" s="100" t="s">
        <v>789</v>
      </c>
      <c r="C154" s="14"/>
      <c r="D154" s="100">
        <f t="shared" si="2"/>
        <v>1</v>
      </c>
      <c r="E154" s="104"/>
    </row>
    <row r="155" spans="1:5">
      <c r="A155" s="100" t="s">
        <v>205</v>
      </c>
      <c r="B155" s="100" t="s">
        <v>790</v>
      </c>
      <c r="C155" s="14"/>
      <c r="D155" s="100">
        <f t="shared" si="2"/>
        <v>1</v>
      </c>
      <c r="E155" s="104"/>
    </row>
    <row r="156" spans="1:5">
      <c r="A156" s="100" t="s">
        <v>791</v>
      </c>
      <c r="B156" s="100" t="s">
        <v>792</v>
      </c>
      <c r="C156" s="14"/>
      <c r="D156" s="100">
        <f t="shared" si="2"/>
        <v>1</v>
      </c>
      <c r="E156" s="104"/>
    </row>
    <row r="157" spans="1:5">
      <c r="A157" s="100" t="s">
        <v>793</v>
      </c>
      <c r="B157" s="100" t="s">
        <v>794</v>
      </c>
      <c r="C157" s="14"/>
      <c r="D157" s="100">
        <f t="shared" si="2"/>
        <v>1</v>
      </c>
      <c r="E157" s="104"/>
    </row>
    <row r="158" spans="1:5">
      <c r="A158" s="100" t="s">
        <v>795</v>
      </c>
      <c r="B158" s="109" t="s">
        <v>796</v>
      </c>
      <c r="C158" s="14" t="s">
        <v>511</v>
      </c>
      <c r="D158" s="100">
        <f t="shared" si="2"/>
        <v>1</v>
      </c>
      <c r="E158" s="104"/>
    </row>
    <row r="159" spans="1:5">
      <c r="A159" s="100" t="s">
        <v>797</v>
      </c>
      <c r="B159" s="109" t="s">
        <v>798</v>
      </c>
      <c r="C159" s="14" t="s">
        <v>511</v>
      </c>
      <c r="D159" s="100">
        <f t="shared" si="2"/>
        <v>1</v>
      </c>
      <c r="E159" s="104"/>
    </row>
    <row r="160" spans="1:5">
      <c r="A160" s="100" t="s">
        <v>799</v>
      </c>
      <c r="B160" s="100" t="s">
        <v>800</v>
      </c>
      <c r="C160" s="14"/>
      <c r="D160" s="100">
        <f t="shared" si="2"/>
        <v>1</v>
      </c>
      <c r="E160" s="104"/>
    </row>
    <row r="161" spans="1:5">
      <c r="A161" s="100" t="s">
        <v>801</v>
      </c>
      <c r="B161" s="100" t="s">
        <v>802</v>
      </c>
      <c r="C161" s="14"/>
      <c r="D161" s="100">
        <f t="shared" si="2"/>
        <v>1</v>
      </c>
      <c r="E161" s="104"/>
    </row>
    <row r="162" spans="1:5">
      <c r="A162" s="100" t="s">
        <v>803</v>
      </c>
      <c r="B162" s="100" t="s">
        <v>804</v>
      </c>
      <c r="C162" s="14"/>
      <c r="D162" s="100">
        <f t="shared" si="2"/>
        <v>1</v>
      </c>
      <c r="E162" s="104"/>
    </row>
    <row r="163" spans="1:5">
      <c r="A163" s="100" t="s">
        <v>805</v>
      </c>
      <c r="B163" s="100" t="s">
        <v>806</v>
      </c>
      <c r="C163" s="14"/>
      <c r="D163" s="100">
        <f t="shared" si="2"/>
        <v>1</v>
      </c>
      <c r="E163" s="104"/>
    </row>
    <row r="164" spans="1:5">
      <c r="A164" s="100" t="s">
        <v>807</v>
      </c>
      <c r="B164" s="100" t="s">
        <v>808</v>
      </c>
      <c r="C164" s="14"/>
      <c r="D164" s="100">
        <f t="shared" si="2"/>
        <v>1</v>
      </c>
      <c r="E164" s="104"/>
    </row>
    <row r="165" spans="1:5">
      <c r="A165" s="100" t="s">
        <v>809</v>
      </c>
      <c r="B165" s="100" t="s">
        <v>810</v>
      </c>
      <c r="C165" s="14"/>
      <c r="D165" s="100">
        <f t="shared" si="2"/>
        <v>1</v>
      </c>
      <c r="E165" s="104"/>
    </row>
    <row r="166" spans="1:5">
      <c r="A166" s="100" t="s">
        <v>811</v>
      </c>
      <c r="B166" s="108" t="s">
        <v>812</v>
      </c>
      <c r="C166" s="14"/>
      <c r="D166" s="100">
        <f t="shared" si="2"/>
        <v>1</v>
      </c>
      <c r="E166" s="104"/>
    </row>
    <row r="167" spans="1:5">
      <c r="A167" s="100" t="s">
        <v>813</v>
      </c>
      <c r="B167" s="100" t="s">
        <v>814</v>
      </c>
      <c r="C167" s="14"/>
      <c r="D167" s="100">
        <f t="shared" si="2"/>
        <v>1</v>
      </c>
      <c r="E167" s="104"/>
    </row>
    <row r="168" spans="1:5">
      <c r="A168" s="100" t="s">
        <v>815</v>
      </c>
      <c r="B168" s="100" t="s">
        <v>816</v>
      </c>
      <c r="C168" s="14"/>
      <c r="D168" s="100">
        <f t="shared" si="2"/>
        <v>1</v>
      </c>
      <c r="E168" s="104"/>
    </row>
    <row r="169" spans="1:5">
      <c r="A169" s="109" t="s">
        <v>817</v>
      </c>
      <c r="B169" s="100" t="s">
        <v>818</v>
      </c>
      <c r="C169" s="14" t="s">
        <v>511</v>
      </c>
      <c r="D169" s="100">
        <f t="shared" si="2"/>
        <v>1</v>
      </c>
      <c r="E169" s="104"/>
    </row>
    <row r="170" spans="1:5">
      <c r="A170" s="111" t="s">
        <v>819</v>
      </c>
      <c r="B170" s="109" t="s">
        <v>820</v>
      </c>
      <c r="C170" s="14" t="s">
        <v>821</v>
      </c>
      <c r="D170" s="100">
        <f t="shared" si="2"/>
        <v>1</v>
      </c>
      <c r="E170" s="104"/>
    </row>
    <row r="171" spans="1:5">
      <c r="A171" s="103" t="s">
        <v>822</v>
      </c>
      <c r="B171" s="100" t="s">
        <v>823</v>
      </c>
      <c r="C171" s="14"/>
      <c r="D171" s="100">
        <f t="shared" si="2"/>
        <v>1</v>
      </c>
      <c r="E171" s="104"/>
    </row>
    <row r="172" spans="1:5">
      <c r="A172" s="112" t="s">
        <v>824</v>
      </c>
      <c r="B172" s="100" t="s">
        <v>825</v>
      </c>
      <c r="C172" s="14"/>
      <c r="D172" s="100">
        <f t="shared" si="2"/>
        <v>1</v>
      </c>
      <c r="E172" s="104"/>
    </row>
    <row r="173" spans="1:5">
      <c r="A173" s="112" t="s">
        <v>826</v>
      </c>
      <c r="B173" s="100" t="s">
        <v>827</v>
      </c>
      <c r="C173" s="14"/>
      <c r="D173" s="100">
        <f t="shared" si="2"/>
        <v>1</v>
      </c>
      <c r="E173" s="104"/>
    </row>
    <row r="174" spans="1:5">
      <c r="A174" s="100" t="s">
        <v>828</v>
      </c>
      <c r="B174" s="100" t="s">
        <v>829</v>
      </c>
      <c r="C174" s="14"/>
      <c r="D174" s="100">
        <f t="shared" si="2"/>
        <v>1</v>
      </c>
      <c r="E174" s="104"/>
    </row>
    <row r="175" spans="1:5">
      <c r="A175" s="100" t="s">
        <v>830</v>
      </c>
      <c r="B175" s="100" t="s">
        <v>831</v>
      </c>
      <c r="C175" s="14"/>
      <c r="D175" s="100">
        <f t="shared" si="2"/>
        <v>1</v>
      </c>
      <c r="E175" s="104"/>
    </row>
    <row r="176" spans="1:5">
      <c r="A176" s="100" t="s">
        <v>832</v>
      </c>
      <c r="B176" s="100" t="s">
        <v>833</v>
      </c>
      <c r="C176" s="14"/>
      <c r="D176" s="100">
        <f t="shared" si="2"/>
        <v>1</v>
      </c>
      <c r="E176" s="104"/>
    </row>
    <row r="177" spans="1:5">
      <c r="A177" s="100" t="s">
        <v>834</v>
      </c>
      <c r="B177" s="100" t="s">
        <v>835</v>
      </c>
      <c r="C177" s="14"/>
      <c r="D177" s="100">
        <f t="shared" si="2"/>
        <v>1</v>
      </c>
      <c r="E177" s="104"/>
    </row>
    <row r="178" spans="1:5">
      <c r="A178" s="100" t="s">
        <v>836</v>
      </c>
      <c r="B178" s="100" t="s">
        <v>837</v>
      </c>
      <c r="C178" s="14"/>
      <c r="D178" s="100">
        <f t="shared" si="2"/>
        <v>1</v>
      </c>
      <c r="E178" s="104"/>
    </row>
    <row r="179" spans="1:5">
      <c r="A179" s="100" t="s">
        <v>838</v>
      </c>
      <c r="B179" s="100" t="s">
        <v>839</v>
      </c>
      <c r="C179" s="14"/>
      <c r="D179" s="100">
        <f t="shared" si="2"/>
        <v>1</v>
      </c>
      <c r="E179" s="104"/>
    </row>
    <row r="180" spans="1:5">
      <c r="A180" s="100" t="s">
        <v>840</v>
      </c>
      <c r="B180" s="100" t="s">
        <v>841</v>
      </c>
      <c r="C180" s="14"/>
      <c r="D180" s="100">
        <f t="shared" si="2"/>
        <v>1</v>
      </c>
      <c r="E180" s="104"/>
    </row>
    <row r="181" spans="1:5">
      <c r="A181" s="100" t="s">
        <v>842</v>
      </c>
      <c r="B181" s="100" t="s">
        <v>843</v>
      </c>
      <c r="C181" s="14"/>
      <c r="D181" s="100">
        <f t="shared" si="2"/>
        <v>1</v>
      </c>
      <c r="E181" s="104"/>
    </row>
    <row r="182" spans="1:5">
      <c r="A182" s="100" t="s">
        <v>844</v>
      </c>
      <c r="B182" s="100" t="s">
        <v>845</v>
      </c>
      <c r="C182" s="14"/>
      <c r="D182" s="100">
        <f t="shared" si="2"/>
        <v>1</v>
      </c>
      <c r="E182" s="104"/>
    </row>
    <row r="183" spans="1:5">
      <c r="A183" s="100" t="s">
        <v>846</v>
      </c>
      <c r="B183" s="100" t="s">
        <v>847</v>
      </c>
      <c r="C183" s="14"/>
      <c r="D183" s="100">
        <f t="shared" si="2"/>
        <v>1</v>
      </c>
      <c r="E183" s="104"/>
    </row>
    <row r="184" spans="1:5">
      <c r="A184" s="100" t="s">
        <v>848</v>
      </c>
      <c r="B184" s="100" t="s">
        <v>849</v>
      </c>
      <c r="C184" s="14"/>
      <c r="D184" s="100">
        <f t="shared" si="2"/>
        <v>1</v>
      </c>
      <c r="E184" s="104"/>
    </row>
    <row r="185" spans="1:5">
      <c r="A185" s="100" t="s">
        <v>850</v>
      </c>
      <c r="B185" s="100" t="s">
        <v>851</v>
      </c>
      <c r="C185" s="14"/>
      <c r="D185" s="100">
        <f t="shared" si="2"/>
        <v>1</v>
      </c>
      <c r="E185" s="104"/>
    </row>
    <row r="186" spans="1:5">
      <c r="A186" s="100" t="s">
        <v>852</v>
      </c>
      <c r="B186" s="108" t="s">
        <v>853</v>
      </c>
      <c r="C186" s="14"/>
      <c r="D186" s="100">
        <f t="shared" si="2"/>
        <v>1</v>
      </c>
      <c r="E186" s="104"/>
    </row>
    <row r="187" spans="1:5">
      <c r="A187" s="100" t="s">
        <v>854</v>
      </c>
      <c r="B187" s="100" t="s">
        <v>855</v>
      </c>
      <c r="C187" s="14"/>
      <c r="D187" s="100">
        <f t="shared" si="2"/>
        <v>1</v>
      </c>
      <c r="E187" s="104"/>
    </row>
    <row r="188" spans="1:5">
      <c r="A188" s="100" t="s">
        <v>856</v>
      </c>
      <c r="B188" s="100" t="s">
        <v>857</v>
      </c>
      <c r="C188" s="14"/>
      <c r="D188" s="100">
        <f t="shared" si="2"/>
        <v>1</v>
      </c>
      <c r="E188" s="104"/>
    </row>
    <row r="189" spans="1:5">
      <c r="A189" s="100" t="s">
        <v>858</v>
      </c>
      <c r="B189" s="101" t="s">
        <v>859</v>
      </c>
      <c r="C189" s="14"/>
      <c r="D189" s="100">
        <f t="shared" si="2"/>
        <v>1</v>
      </c>
      <c r="E189" s="104"/>
    </row>
    <row r="190" spans="1:5">
      <c r="A190" s="100" t="s">
        <v>426</v>
      </c>
      <c r="B190" s="100" t="s">
        <v>860</v>
      </c>
      <c r="C190" s="14"/>
      <c r="D190" s="100">
        <f t="shared" si="2"/>
        <v>1</v>
      </c>
      <c r="E190" s="104"/>
    </row>
    <row r="191" spans="1:5">
      <c r="A191" s="100" t="s">
        <v>861</v>
      </c>
      <c r="B191" s="101" t="s">
        <v>862</v>
      </c>
      <c r="C191" s="14"/>
      <c r="D191" s="100">
        <f t="shared" si="2"/>
        <v>1</v>
      </c>
      <c r="E191" s="104"/>
    </row>
    <row r="192" spans="1:5">
      <c r="A192" s="100" t="s">
        <v>863</v>
      </c>
      <c r="B192" s="101" t="s">
        <v>864</v>
      </c>
      <c r="C192" s="14"/>
      <c r="D192" s="100">
        <f t="shared" si="2"/>
        <v>1</v>
      </c>
      <c r="E192" s="104"/>
    </row>
    <row r="193" spans="1:5">
      <c r="A193" s="100" t="s">
        <v>865</v>
      </c>
      <c r="B193" s="100" t="s">
        <v>866</v>
      </c>
      <c r="C193" s="14"/>
      <c r="D193" s="100">
        <f t="shared" si="2"/>
        <v>1</v>
      </c>
      <c r="E193" s="104"/>
    </row>
    <row r="194" spans="1:5">
      <c r="A194" s="100" t="s">
        <v>867</v>
      </c>
      <c r="B194" s="100" t="s">
        <v>868</v>
      </c>
      <c r="C194" s="14"/>
      <c r="D194" s="100">
        <f t="shared" ref="D194:D257" si="3">IF(B194&lt;&gt;C194,1,0)</f>
        <v>1</v>
      </c>
      <c r="E194" s="104"/>
    </row>
    <row r="195" spans="1:5">
      <c r="A195" s="100" t="s">
        <v>869</v>
      </c>
      <c r="B195" s="100" t="s">
        <v>870</v>
      </c>
      <c r="C195" s="14"/>
      <c r="D195" s="100">
        <f t="shared" si="3"/>
        <v>1</v>
      </c>
      <c r="E195" s="104"/>
    </row>
    <row r="196" spans="1:5">
      <c r="A196" s="100" t="s">
        <v>871</v>
      </c>
      <c r="B196" s="100" t="s">
        <v>872</v>
      </c>
      <c r="C196" s="14"/>
      <c r="D196" s="100">
        <f t="shared" si="3"/>
        <v>1</v>
      </c>
      <c r="E196" s="104"/>
    </row>
    <row r="197" spans="1:5">
      <c r="A197" s="100" t="s">
        <v>433</v>
      </c>
      <c r="B197" s="100" t="s">
        <v>873</v>
      </c>
      <c r="C197" s="14"/>
      <c r="D197" s="100">
        <f t="shared" si="3"/>
        <v>1</v>
      </c>
      <c r="E197" s="104"/>
    </row>
    <row r="198" spans="1:5">
      <c r="A198" s="100" t="s">
        <v>874</v>
      </c>
      <c r="B198" s="101" t="s">
        <v>875</v>
      </c>
      <c r="C198" s="14"/>
      <c r="D198" s="100">
        <f t="shared" si="3"/>
        <v>1</v>
      </c>
      <c r="E198" s="104"/>
    </row>
    <row r="199" spans="1:5">
      <c r="A199" s="100" t="s">
        <v>876</v>
      </c>
      <c r="B199" s="101" t="s">
        <v>877</v>
      </c>
      <c r="C199" s="14"/>
      <c r="D199" s="100">
        <f t="shared" si="3"/>
        <v>1</v>
      </c>
      <c r="E199" s="104"/>
    </row>
    <row r="200" spans="1:5">
      <c r="A200" s="100" t="s">
        <v>878</v>
      </c>
      <c r="B200" s="101" t="s">
        <v>879</v>
      </c>
      <c r="C200" s="14"/>
      <c r="D200" s="100">
        <f t="shared" si="3"/>
        <v>1</v>
      </c>
      <c r="E200" s="104"/>
    </row>
    <row r="201" spans="1:5">
      <c r="A201" s="100" t="s">
        <v>880</v>
      </c>
      <c r="B201" s="100" t="s">
        <v>881</v>
      </c>
      <c r="C201" s="14"/>
      <c r="D201" s="100">
        <f t="shared" si="3"/>
        <v>1</v>
      </c>
      <c r="E201" s="104"/>
    </row>
    <row r="202" spans="1:5">
      <c r="A202" s="100" t="s">
        <v>882</v>
      </c>
      <c r="B202" s="101" t="s">
        <v>883</v>
      </c>
      <c r="C202" s="14"/>
      <c r="D202" s="100">
        <f t="shared" si="3"/>
        <v>1</v>
      </c>
      <c r="E202" s="104"/>
    </row>
    <row r="203" spans="1:5">
      <c r="A203" s="100" t="s">
        <v>884</v>
      </c>
      <c r="B203" s="101" t="s">
        <v>885</v>
      </c>
      <c r="C203" s="14"/>
      <c r="D203" s="100">
        <f t="shared" si="3"/>
        <v>1</v>
      </c>
      <c r="E203" s="104"/>
    </row>
    <row r="204" spans="1:5">
      <c r="A204" s="100" t="s">
        <v>886</v>
      </c>
      <c r="B204" s="100" t="s">
        <v>887</v>
      </c>
      <c r="C204" s="14"/>
      <c r="D204" s="100">
        <f t="shared" si="3"/>
        <v>1</v>
      </c>
      <c r="E204" s="104"/>
    </row>
    <row r="205" spans="1:5">
      <c r="A205" s="100" t="s">
        <v>888</v>
      </c>
      <c r="B205" s="100" t="s">
        <v>889</v>
      </c>
      <c r="C205" s="14"/>
      <c r="D205" s="100">
        <f t="shared" si="3"/>
        <v>1</v>
      </c>
      <c r="E205" s="104"/>
    </row>
    <row r="206" spans="1:5">
      <c r="A206" s="100" t="s">
        <v>890</v>
      </c>
      <c r="B206" s="100" t="s">
        <v>891</v>
      </c>
      <c r="C206" s="14"/>
      <c r="D206" s="100">
        <f t="shared" si="3"/>
        <v>1</v>
      </c>
      <c r="E206" s="104"/>
    </row>
    <row r="207" spans="1:5">
      <c r="A207" s="100" t="s">
        <v>892</v>
      </c>
      <c r="B207" s="100" t="s">
        <v>893</v>
      </c>
      <c r="C207" s="14"/>
      <c r="D207" s="100">
        <f t="shared" si="3"/>
        <v>1</v>
      </c>
      <c r="E207" s="104"/>
    </row>
    <row r="208" spans="1:5">
      <c r="A208" s="100" t="s">
        <v>894</v>
      </c>
      <c r="B208" s="101" t="s">
        <v>895</v>
      </c>
      <c r="C208" s="14"/>
      <c r="D208" s="100">
        <f t="shared" si="3"/>
        <v>1</v>
      </c>
      <c r="E208" s="104"/>
    </row>
    <row r="209" spans="1:5">
      <c r="A209" s="100" t="s">
        <v>896</v>
      </c>
      <c r="B209" s="100" t="s">
        <v>897</v>
      </c>
      <c r="C209" s="14"/>
      <c r="D209" s="100">
        <f t="shared" si="3"/>
        <v>1</v>
      </c>
      <c r="E209" s="104"/>
    </row>
    <row r="210" spans="1:5">
      <c r="A210" s="100" t="s">
        <v>898</v>
      </c>
      <c r="B210" s="100" t="s">
        <v>899</v>
      </c>
      <c r="C210" s="14"/>
      <c r="D210" s="100">
        <f t="shared" si="3"/>
        <v>1</v>
      </c>
      <c r="E210" s="104"/>
    </row>
    <row r="211" spans="1:5">
      <c r="A211" s="100" t="s">
        <v>900</v>
      </c>
      <c r="B211" s="100" t="s">
        <v>901</v>
      </c>
      <c r="C211" s="14"/>
      <c r="D211" s="100">
        <f t="shared" si="3"/>
        <v>1</v>
      </c>
      <c r="E211" s="104"/>
    </row>
    <row r="212" spans="1:5">
      <c r="A212" s="100" t="s">
        <v>902</v>
      </c>
      <c r="B212" s="101" t="s">
        <v>903</v>
      </c>
      <c r="C212" s="14"/>
      <c r="D212" s="100">
        <f t="shared" si="3"/>
        <v>1</v>
      </c>
      <c r="E212" s="104"/>
    </row>
    <row r="213" spans="1:5">
      <c r="A213" s="100" t="s">
        <v>904</v>
      </c>
      <c r="B213" s="100" t="s">
        <v>905</v>
      </c>
      <c r="C213" s="14"/>
      <c r="D213" s="100">
        <f t="shared" si="3"/>
        <v>1</v>
      </c>
      <c r="E213" s="104"/>
    </row>
    <row r="214" spans="1:5">
      <c r="A214" s="100" t="s">
        <v>420</v>
      </c>
      <c r="B214" s="100" t="s">
        <v>906</v>
      </c>
      <c r="C214" s="14"/>
      <c r="D214" s="100">
        <f t="shared" si="3"/>
        <v>1</v>
      </c>
      <c r="E214" s="104"/>
    </row>
    <row r="215" spans="1:5">
      <c r="A215" s="100" t="s">
        <v>907</v>
      </c>
      <c r="B215" s="100" t="s">
        <v>908</v>
      </c>
      <c r="C215" s="14"/>
      <c r="D215" s="100">
        <f t="shared" si="3"/>
        <v>1</v>
      </c>
      <c r="E215" s="104"/>
    </row>
    <row r="216" spans="1:5">
      <c r="A216" s="100" t="s">
        <v>909</v>
      </c>
      <c r="B216" s="100" t="s">
        <v>910</v>
      </c>
      <c r="C216" s="14"/>
      <c r="D216" s="100">
        <f t="shared" si="3"/>
        <v>1</v>
      </c>
      <c r="E216" s="104"/>
    </row>
    <row r="217" spans="1:5">
      <c r="A217" s="100" t="s">
        <v>911</v>
      </c>
      <c r="B217" s="100" t="s">
        <v>912</v>
      </c>
      <c r="C217" s="14"/>
      <c r="D217" s="100">
        <f t="shared" si="3"/>
        <v>1</v>
      </c>
      <c r="E217" s="104"/>
    </row>
    <row r="218" spans="1:5">
      <c r="A218" s="100" t="s">
        <v>913</v>
      </c>
      <c r="B218" s="100" t="s">
        <v>914</v>
      </c>
      <c r="C218" s="14"/>
      <c r="D218" s="100">
        <f t="shared" si="3"/>
        <v>1</v>
      </c>
      <c r="E218" s="104"/>
    </row>
    <row r="219" spans="1:5">
      <c r="A219" s="100" t="s">
        <v>915</v>
      </c>
      <c r="B219" s="100" t="s">
        <v>916</v>
      </c>
      <c r="C219" s="14"/>
      <c r="D219" s="100">
        <f t="shared" si="3"/>
        <v>1</v>
      </c>
      <c r="E219" s="104"/>
    </row>
    <row r="220" spans="1:5">
      <c r="A220" s="100" t="s">
        <v>917</v>
      </c>
      <c r="B220" s="100" t="s">
        <v>412</v>
      </c>
      <c r="C220" s="14"/>
      <c r="D220" s="100">
        <f t="shared" si="3"/>
        <v>1</v>
      </c>
      <c r="E220" s="104"/>
    </row>
    <row r="221" spans="1:5">
      <c r="A221" s="100" t="s">
        <v>918</v>
      </c>
      <c r="B221" s="100" t="s">
        <v>417</v>
      </c>
      <c r="C221" s="14"/>
      <c r="D221" s="100">
        <f t="shared" si="3"/>
        <v>1</v>
      </c>
      <c r="E221" s="104"/>
    </row>
    <row r="222" spans="1:5">
      <c r="A222" s="100" t="s">
        <v>919</v>
      </c>
      <c r="B222" s="100" t="s">
        <v>415</v>
      </c>
      <c r="C222" s="14"/>
      <c r="D222" s="100">
        <f t="shared" si="3"/>
        <v>1</v>
      </c>
      <c r="E222" s="104"/>
    </row>
    <row r="223" spans="1:5">
      <c r="A223" s="100" t="s">
        <v>920</v>
      </c>
      <c r="B223" s="101" t="s">
        <v>921</v>
      </c>
      <c r="C223" s="14"/>
      <c r="D223" s="100">
        <f t="shared" si="3"/>
        <v>1</v>
      </c>
      <c r="E223" s="104"/>
    </row>
    <row r="224" spans="1:5">
      <c r="A224" s="100" t="s">
        <v>922</v>
      </c>
      <c r="B224" s="100" t="s">
        <v>923</v>
      </c>
      <c r="C224" s="14"/>
      <c r="D224" s="100">
        <f t="shared" si="3"/>
        <v>1</v>
      </c>
      <c r="E224" s="104"/>
    </row>
    <row r="225" spans="1:5">
      <c r="A225" s="100" t="s">
        <v>924</v>
      </c>
      <c r="B225" s="100" t="s">
        <v>397</v>
      </c>
      <c r="C225" s="14"/>
      <c r="D225" s="100">
        <f t="shared" si="3"/>
        <v>1</v>
      </c>
      <c r="E225" s="104"/>
    </row>
    <row r="226" spans="1:5">
      <c r="A226" s="100" t="s">
        <v>925</v>
      </c>
      <c r="B226" s="100" t="s">
        <v>926</v>
      </c>
      <c r="C226" s="14"/>
      <c r="D226" s="100">
        <f t="shared" si="3"/>
        <v>1</v>
      </c>
      <c r="E226" s="104"/>
    </row>
    <row r="227" spans="1:5">
      <c r="A227" s="100" t="s">
        <v>430</v>
      </c>
      <c r="B227" s="100" t="s">
        <v>927</v>
      </c>
      <c r="C227" s="14"/>
      <c r="D227" s="100">
        <f t="shared" si="3"/>
        <v>1</v>
      </c>
      <c r="E227" s="104"/>
    </row>
    <row r="228" spans="1:5">
      <c r="A228" s="100" t="s">
        <v>431</v>
      </c>
      <c r="B228" s="109" t="s">
        <v>928</v>
      </c>
      <c r="C228" s="14" t="s">
        <v>511</v>
      </c>
      <c r="D228" s="100">
        <f t="shared" si="3"/>
        <v>1</v>
      </c>
      <c r="E228" s="104"/>
    </row>
    <row r="229" spans="1:5">
      <c r="A229" s="100" t="s">
        <v>929</v>
      </c>
      <c r="B229" s="100" t="s">
        <v>930</v>
      </c>
      <c r="C229" s="14"/>
      <c r="D229" s="100">
        <f t="shared" si="3"/>
        <v>1</v>
      </c>
      <c r="E229" s="104"/>
    </row>
    <row r="230" spans="1:5">
      <c r="A230" s="100" t="s">
        <v>931</v>
      </c>
      <c r="B230" s="100" t="s">
        <v>932</v>
      </c>
      <c r="C230" s="14"/>
      <c r="D230" s="100">
        <f t="shared" si="3"/>
        <v>1</v>
      </c>
      <c r="E230" s="104"/>
    </row>
    <row r="231" spans="1:5">
      <c r="A231" s="113" t="s">
        <v>298</v>
      </c>
      <c r="B231" s="113" t="s">
        <v>933</v>
      </c>
      <c r="C231" s="114">
        <v>45071</v>
      </c>
      <c r="D231" s="100">
        <f t="shared" si="3"/>
        <v>1</v>
      </c>
      <c r="E231" s="104"/>
    </row>
    <row r="232" spans="1:5">
      <c r="A232" s="100" t="s">
        <v>934</v>
      </c>
      <c r="B232" s="100" t="s">
        <v>935</v>
      </c>
      <c r="C232" s="14"/>
      <c r="D232" s="100">
        <f t="shared" si="3"/>
        <v>1</v>
      </c>
      <c r="E232" s="104"/>
    </row>
    <row r="233" spans="1:5">
      <c r="A233" s="100" t="s">
        <v>936</v>
      </c>
      <c r="B233" s="100" t="s">
        <v>937</v>
      </c>
      <c r="C233" s="14"/>
      <c r="D233" s="100">
        <f t="shared" si="3"/>
        <v>1</v>
      </c>
      <c r="E233" s="104"/>
    </row>
    <row r="234" spans="1:5">
      <c r="A234" s="113" t="s">
        <v>938</v>
      </c>
      <c r="B234" s="113" t="s">
        <v>939</v>
      </c>
      <c r="C234" s="114">
        <v>45071</v>
      </c>
      <c r="D234" s="100">
        <f t="shared" si="3"/>
        <v>1</v>
      </c>
      <c r="E234" s="104"/>
    </row>
    <row r="235" spans="1:5">
      <c r="A235" s="14" t="s">
        <v>940</v>
      </c>
      <c r="B235" s="100" t="s">
        <v>941</v>
      </c>
      <c r="C235" s="14"/>
      <c r="D235" s="100">
        <f t="shared" si="3"/>
        <v>1</v>
      </c>
      <c r="E235" s="104"/>
    </row>
    <row r="236" spans="1:5">
      <c r="A236" s="115" t="s">
        <v>942</v>
      </c>
      <c r="B236" s="115" t="s">
        <v>943</v>
      </c>
      <c r="C236" s="114">
        <v>45071</v>
      </c>
      <c r="D236" s="100">
        <f t="shared" si="3"/>
        <v>1</v>
      </c>
      <c r="E236" s="104"/>
    </row>
    <row r="237" spans="1:5">
      <c r="A237" s="115" t="s">
        <v>944</v>
      </c>
      <c r="B237" s="116" t="s">
        <v>945</v>
      </c>
      <c r="C237" s="114">
        <v>45071</v>
      </c>
      <c r="D237" s="100">
        <f t="shared" si="3"/>
        <v>1</v>
      </c>
      <c r="E237" s="104"/>
    </row>
    <row r="238" spans="1:5">
      <c r="A238" s="116" t="s">
        <v>946</v>
      </c>
      <c r="B238" s="116" t="s">
        <v>947</v>
      </c>
      <c r="C238" s="114">
        <v>45071</v>
      </c>
      <c r="D238" s="100">
        <f t="shared" si="3"/>
        <v>1</v>
      </c>
      <c r="E238" s="104"/>
    </row>
    <row r="239" spans="1:5">
      <c r="A239" s="116" t="s">
        <v>948</v>
      </c>
      <c r="B239" s="116" t="s">
        <v>949</v>
      </c>
      <c r="C239" s="114">
        <v>45071</v>
      </c>
      <c r="D239" s="100">
        <f t="shared" si="3"/>
        <v>1</v>
      </c>
      <c r="E239" s="104"/>
    </row>
    <row r="240" spans="1:5">
      <c r="A240" s="113" t="s">
        <v>950</v>
      </c>
      <c r="B240" s="116" t="s">
        <v>951</v>
      </c>
      <c r="C240" s="114">
        <v>45071</v>
      </c>
      <c r="D240" s="100">
        <f t="shared" si="3"/>
        <v>1</v>
      </c>
      <c r="E240" s="104"/>
    </row>
    <row r="241" spans="1:5">
      <c r="A241" s="113" t="s">
        <v>952</v>
      </c>
      <c r="B241" s="116" t="s">
        <v>953</v>
      </c>
      <c r="C241" s="114">
        <v>45071</v>
      </c>
      <c r="D241" s="100">
        <f t="shared" si="3"/>
        <v>1</v>
      </c>
      <c r="E241" s="104"/>
    </row>
    <row r="242" spans="1:5">
      <c r="A242" s="14" t="s">
        <v>954</v>
      </c>
      <c r="B242" s="100" t="s">
        <v>955</v>
      </c>
      <c r="C242" s="14"/>
      <c r="D242" s="100">
        <f t="shared" si="3"/>
        <v>1</v>
      </c>
      <c r="E242" s="104"/>
    </row>
    <row r="243" spans="1:5">
      <c r="A243" s="14" t="s">
        <v>956</v>
      </c>
      <c r="B243" s="100" t="s">
        <v>957</v>
      </c>
      <c r="C243" s="14"/>
      <c r="D243" s="100">
        <f t="shared" si="3"/>
        <v>1</v>
      </c>
      <c r="E243" s="104"/>
    </row>
    <row r="244" spans="1:5">
      <c r="A244" s="14" t="s">
        <v>958</v>
      </c>
      <c r="B244" s="100" t="s">
        <v>959</v>
      </c>
      <c r="C244" s="14"/>
      <c r="D244" s="100">
        <f t="shared" si="3"/>
        <v>1</v>
      </c>
      <c r="E244" s="104"/>
    </row>
    <row r="245" spans="1:5">
      <c r="A245" s="116" t="s">
        <v>960</v>
      </c>
      <c r="B245" s="116" t="s">
        <v>961</v>
      </c>
      <c r="C245" s="114">
        <v>45071</v>
      </c>
      <c r="D245" s="100">
        <f t="shared" si="3"/>
        <v>1</v>
      </c>
      <c r="E245" s="104"/>
    </row>
    <row r="246" spans="1:5">
      <c r="A246" s="116" t="s">
        <v>962</v>
      </c>
      <c r="B246" s="116" t="s">
        <v>963</v>
      </c>
      <c r="C246" s="114">
        <v>45071</v>
      </c>
      <c r="D246" s="100">
        <f t="shared" si="3"/>
        <v>1</v>
      </c>
      <c r="E246" s="104"/>
    </row>
    <row r="247" spans="1:5">
      <c r="A247" s="100" t="s">
        <v>964</v>
      </c>
      <c r="B247" s="100" t="s">
        <v>965</v>
      </c>
      <c r="C247" s="14"/>
      <c r="D247" s="100">
        <f t="shared" si="3"/>
        <v>1</v>
      </c>
      <c r="E247" s="104"/>
    </row>
    <row r="248" spans="1:5">
      <c r="A248" s="100" t="s">
        <v>966</v>
      </c>
      <c r="B248" s="100" t="s">
        <v>967</v>
      </c>
      <c r="C248" s="14"/>
      <c r="D248" s="100">
        <f t="shared" si="3"/>
        <v>1</v>
      </c>
      <c r="E248" s="104"/>
    </row>
    <row r="249" spans="1:5">
      <c r="A249" s="100" t="s">
        <v>968</v>
      </c>
      <c r="B249" s="100" t="s">
        <v>969</v>
      </c>
      <c r="C249" s="14"/>
      <c r="D249" s="100">
        <f t="shared" si="3"/>
        <v>1</v>
      </c>
      <c r="E249" s="104"/>
    </row>
    <row r="250" spans="1:5">
      <c r="A250" s="100" t="s">
        <v>970</v>
      </c>
      <c r="B250" s="100" t="s">
        <v>971</v>
      </c>
      <c r="C250" s="14"/>
      <c r="D250" s="100">
        <f t="shared" si="3"/>
        <v>1</v>
      </c>
      <c r="E250" s="104"/>
    </row>
    <row r="251" spans="1:5">
      <c r="A251" s="100" t="s">
        <v>972</v>
      </c>
      <c r="B251" s="100" t="s">
        <v>973</v>
      </c>
      <c r="C251" s="14"/>
      <c r="D251" s="100">
        <f t="shared" si="3"/>
        <v>1</v>
      </c>
      <c r="E251" s="104"/>
    </row>
    <row r="252" spans="1:5">
      <c r="A252" s="100" t="s">
        <v>974</v>
      </c>
      <c r="B252" s="100" t="s">
        <v>975</v>
      </c>
      <c r="C252" s="14"/>
      <c r="D252" s="100">
        <f t="shared" si="3"/>
        <v>1</v>
      </c>
      <c r="E252" s="104" t="s">
        <v>976</v>
      </c>
    </row>
    <row r="253" spans="1:5">
      <c r="A253" s="100" t="s">
        <v>977</v>
      </c>
      <c r="B253" s="100" t="s">
        <v>978</v>
      </c>
      <c r="C253" s="14"/>
      <c r="D253" s="100">
        <f t="shared" si="3"/>
        <v>1</v>
      </c>
      <c r="E253" s="104" t="s">
        <v>976</v>
      </c>
    </row>
    <row r="254" spans="1:5">
      <c r="A254" s="100" t="s">
        <v>979</v>
      </c>
      <c r="B254" s="100" t="s">
        <v>980</v>
      </c>
      <c r="C254" s="14"/>
      <c r="D254" s="100">
        <f t="shared" si="3"/>
        <v>1</v>
      </c>
      <c r="E254" s="152" t="s">
        <v>981</v>
      </c>
    </row>
    <row r="255" spans="1:5">
      <c r="A255" s="100" t="s">
        <v>982</v>
      </c>
      <c r="B255" s="100" t="s">
        <v>188</v>
      </c>
      <c r="C255" s="14"/>
      <c r="D255" s="100">
        <f t="shared" si="3"/>
        <v>1</v>
      </c>
      <c r="E255" s="152" t="s">
        <v>983</v>
      </c>
    </row>
    <row r="256" spans="1:5">
      <c r="A256" s="100" t="s">
        <v>984</v>
      </c>
      <c r="B256" s="100" t="s">
        <v>212</v>
      </c>
      <c r="C256" s="14"/>
      <c r="D256" s="100">
        <f t="shared" si="3"/>
        <v>1</v>
      </c>
      <c r="E256" s="152" t="s">
        <v>985</v>
      </c>
    </row>
    <row r="257" spans="1:5">
      <c r="A257" s="100" t="s">
        <v>986</v>
      </c>
      <c r="B257" s="100" t="s">
        <v>987</v>
      </c>
      <c r="C257" s="14"/>
      <c r="D257" s="100">
        <f t="shared" si="3"/>
        <v>1</v>
      </c>
      <c r="E257" s="104" t="s">
        <v>976</v>
      </c>
    </row>
    <row r="258" spans="1:5">
      <c r="A258" s="100" t="s">
        <v>988</v>
      </c>
      <c r="B258" s="100" t="s">
        <v>989</v>
      </c>
      <c r="C258" s="14"/>
      <c r="D258" s="100">
        <f t="shared" ref="D258:D321" si="4">IF(B258&lt;&gt;C258,1,0)</f>
        <v>1</v>
      </c>
      <c r="E258" s="104" t="s">
        <v>976</v>
      </c>
    </row>
    <row r="259" spans="1:5">
      <c r="A259" s="100" t="s">
        <v>990</v>
      </c>
      <c r="B259" s="100" t="s">
        <v>991</v>
      </c>
      <c r="C259" s="14"/>
      <c r="D259" s="100">
        <f t="shared" si="4"/>
        <v>1</v>
      </c>
      <c r="E259" s="152" t="s">
        <v>992</v>
      </c>
    </row>
    <row r="260" spans="1:5">
      <c r="A260" s="100" t="s">
        <v>993</v>
      </c>
      <c r="B260" s="100" t="s">
        <v>994</v>
      </c>
      <c r="C260" s="14"/>
      <c r="D260" s="100">
        <f t="shared" si="4"/>
        <v>1</v>
      </c>
      <c r="E260" s="104" t="s">
        <v>976</v>
      </c>
    </row>
    <row r="261" spans="1:5">
      <c r="A261" s="100" t="s">
        <v>995</v>
      </c>
      <c r="B261" s="100" t="s">
        <v>996</v>
      </c>
      <c r="C261" s="14"/>
      <c r="D261" s="100">
        <f t="shared" si="4"/>
        <v>1</v>
      </c>
      <c r="E261" s="104" t="s">
        <v>976</v>
      </c>
    </row>
    <row r="262" spans="1:5">
      <c r="A262" s="100" t="s">
        <v>997</v>
      </c>
      <c r="B262" s="100" t="s">
        <v>998</v>
      </c>
      <c r="C262" s="14"/>
      <c r="D262" s="100">
        <f t="shared" si="4"/>
        <v>1</v>
      </c>
      <c r="E262" s="152" t="s">
        <v>999</v>
      </c>
    </row>
    <row r="263" spans="1:5">
      <c r="A263" s="100" t="s">
        <v>1000</v>
      </c>
      <c r="B263" s="100" t="s">
        <v>1001</v>
      </c>
      <c r="C263" s="14"/>
      <c r="D263" s="100">
        <f t="shared" si="4"/>
        <v>1</v>
      </c>
      <c r="E263" s="104" t="s">
        <v>976</v>
      </c>
    </row>
    <row r="264" spans="1:5">
      <c r="A264" s="100" t="s">
        <v>1002</v>
      </c>
      <c r="B264" s="100" t="s">
        <v>1003</v>
      </c>
      <c r="C264" s="14"/>
      <c r="D264" s="100">
        <f t="shared" si="4"/>
        <v>1</v>
      </c>
      <c r="E264" s="104" t="s">
        <v>976</v>
      </c>
    </row>
    <row r="265" spans="1:5">
      <c r="A265" s="100" t="s">
        <v>1004</v>
      </c>
      <c r="B265" s="100" t="s">
        <v>1005</v>
      </c>
      <c r="C265" s="14"/>
      <c r="D265" s="100">
        <f t="shared" si="4"/>
        <v>1</v>
      </c>
      <c r="E265" s="104" t="s">
        <v>1006</v>
      </c>
    </row>
    <row r="266" spans="1:5">
      <c r="A266" s="100" t="s">
        <v>1007</v>
      </c>
      <c r="B266" s="100" t="s">
        <v>1008</v>
      </c>
      <c r="C266" s="14"/>
      <c r="D266" s="105">
        <f t="shared" si="4"/>
        <v>1</v>
      </c>
      <c r="E266" s="104" t="s">
        <v>1009</v>
      </c>
    </row>
    <row r="267" spans="1:5">
      <c r="A267" s="100" t="s">
        <v>1010</v>
      </c>
      <c r="B267" s="100" t="s">
        <v>1011</v>
      </c>
      <c r="C267" s="14"/>
      <c r="D267" s="100">
        <f t="shared" si="4"/>
        <v>1</v>
      </c>
      <c r="E267" s="104" t="s">
        <v>976</v>
      </c>
    </row>
    <row r="268" spans="1:5">
      <c r="A268" s="100" t="s">
        <v>1012</v>
      </c>
      <c r="B268" s="100" t="s">
        <v>1013</v>
      </c>
      <c r="C268" s="14"/>
      <c r="D268" s="100">
        <f t="shared" si="4"/>
        <v>1</v>
      </c>
      <c r="E268" s="104" t="s">
        <v>976</v>
      </c>
    </row>
    <row r="269" spans="1:5">
      <c r="A269" s="100" t="s">
        <v>1014</v>
      </c>
      <c r="B269" s="100" t="s">
        <v>1015</v>
      </c>
      <c r="C269" s="14"/>
      <c r="D269" s="100">
        <f t="shared" si="4"/>
        <v>1</v>
      </c>
      <c r="E269" s="104" t="s">
        <v>976</v>
      </c>
    </row>
    <row r="270" spans="1:5">
      <c r="A270" s="100" t="s">
        <v>1016</v>
      </c>
      <c r="B270" s="100" t="s">
        <v>1017</v>
      </c>
      <c r="C270" s="14"/>
      <c r="D270" s="100">
        <f t="shared" si="4"/>
        <v>1</v>
      </c>
      <c r="E270" s="104" t="s">
        <v>976</v>
      </c>
    </row>
    <row r="271" spans="1:5">
      <c r="A271" s="100" t="s">
        <v>1018</v>
      </c>
      <c r="B271" s="100" t="s">
        <v>1019</v>
      </c>
      <c r="C271" s="14"/>
      <c r="D271" s="100">
        <f t="shared" si="4"/>
        <v>1</v>
      </c>
      <c r="E271" s="104" t="s">
        <v>976</v>
      </c>
    </row>
    <row r="272" spans="1:5">
      <c r="A272" s="100" t="s">
        <v>1020</v>
      </c>
      <c r="B272" s="100" t="s">
        <v>1021</v>
      </c>
      <c r="C272" s="14"/>
      <c r="D272" s="100">
        <f t="shared" si="4"/>
        <v>1</v>
      </c>
      <c r="E272" s="104" t="s">
        <v>1022</v>
      </c>
    </row>
    <row r="273" spans="1:5">
      <c r="A273" s="101" t="s">
        <v>1023</v>
      </c>
      <c r="B273" s="109" t="s">
        <v>1024</v>
      </c>
      <c r="C273" s="14" t="s">
        <v>511</v>
      </c>
      <c r="D273" s="100">
        <f t="shared" si="4"/>
        <v>1</v>
      </c>
      <c r="E273" s="104" t="s">
        <v>1022</v>
      </c>
    </row>
    <row r="274" spans="1:5">
      <c r="A274" s="100" t="s">
        <v>1025</v>
      </c>
      <c r="B274" s="100" t="s">
        <v>1026</v>
      </c>
      <c r="C274" s="14"/>
      <c r="D274" s="100">
        <f t="shared" si="4"/>
        <v>1</v>
      </c>
      <c r="E274" s="104" t="s">
        <v>1022</v>
      </c>
    </row>
    <row r="275" spans="1:5">
      <c r="A275" s="100" t="s">
        <v>1027</v>
      </c>
      <c r="B275" s="100" t="s">
        <v>1028</v>
      </c>
      <c r="C275" s="14"/>
      <c r="D275" s="100">
        <f t="shared" si="4"/>
        <v>1</v>
      </c>
      <c r="E275" s="104" t="s">
        <v>1022</v>
      </c>
    </row>
    <row r="276" spans="1:5">
      <c r="A276" s="100" t="s">
        <v>1029</v>
      </c>
      <c r="B276" s="100" t="s">
        <v>1030</v>
      </c>
      <c r="C276" s="14"/>
      <c r="D276" s="100">
        <f t="shared" si="4"/>
        <v>1</v>
      </c>
      <c r="E276" s="104" t="s">
        <v>1022</v>
      </c>
    </row>
    <row r="277" spans="1:5">
      <c r="A277" s="100" t="s">
        <v>1031</v>
      </c>
      <c r="B277" s="100" t="s">
        <v>1032</v>
      </c>
      <c r="C277" s="14"/>
      <c r="D277" s="100">
        <f t="shared" si="4"/>
        <v>1</v>
      </c>
      <c r="E277" s="104" t="s">
        <v>1022</v>
      </c>
    </row>
    <row r="278" spans="1:5">
      <c r="A278" s="100" t="s">
        <v>1033</v>
      </c>
      <c r="B278" s="100" t="s">
        <v>1034</v>
      </c>
      <c r="C278" s="14"/>
      <c r="D278" s="100">
        <f t="shared" si="4"/>
        <v>1</v>
      </c>
      <c r="E278" s="104" t="s">
        <v>1022</v>
      </c>
    </row>
    <row r="279" spans="1:5">
      <c r="A279" s="100" t="s">
        <v>1035</v>
      </c>
      <c r="B279" s="100" t="s">
        <v>601</v>
      </c>
      <c r="C279" s="14"/>
      <c r="D279" s="100">
        <f t="shared" si="4"/>
        <v>1</v>
      </c>
      <c r="E279" s="104" t="s">
        <v>1022</v>
      </c>
    </row>
    <row r="280" spans="1:5">
      <c r="A280" s="100" t="s">
        <v>1036</v>
      </c>
      <c r="B280" s="100" t="s">
        <v>1037</v>
      </c>
      <c r="C280" s="14"/>
      <c r="D280" s="100">
        <f t="shared" si="4"/>
        <v>1</v>
      </c>
      <c r="E280" s="104" t="s">
        <v>1022</v>
      </c>
    </row>
    <row r="281" spans="1:5">
      <c r="A281" s="100" t="s">
        <v>1038</v>
      </c>
      <c r="B281" s="100" t="s">
        <v>1039</v>
      </c>
      <c r="C281" s="14"/>
      <c r="D281" s="100">
        <f t="shared" si="4"/>
        <v>1</v>
      </c>
      <c r="E281" s="104" t="s">
        <v>1022</v>
      </c>
    </row>
    <row r="282" spans="1:5">
      <c r="A282" s="100" t="s">
        <v>1040</v>
      </c>
      <c r="B282" s="100" t="s">
        <v>1041</v>
      </c>
      <c r="C282" s="14"/>
      <c r="D282" s="100">
        <f t="shared" si="4"/>
        <v>1</v>
      </c>
      <c r="E282" s="104" t="s">
        <v>1022</v>
      </c>
    </row>
    <row r="283" spans="1:5">
      <c r="A283" s="100" t="s">
        <v>1042</v>
      </c>
      <c r="B283" s="100" t="s">
        <v>1043</v>
      </c>
      <c r="C283" s="14"/>
      <c r="D283" s="100">
        <f t="shared" si="4"/>
        <v>1</v>
      </c>
      <c r="E283" s="104" t="s">
        <v>1022</v>
      </c>
    </row>
    <row r="284" spans="1:5">
      <c r="A284" s="100" t="s">
        <v>1044</v>
      </c>
      <c r="B284" s="100" t="s">
        <v>1045</v>
      </c>
      <c r="C284" s="14"/>
      <c r="D284" s="100">
        <f t="shared" si="4"/>
        <v>1</v>
      </c>
      <c r="E284" s="104" t="s">
        <v>1022</v>
      </c>
    </row>
    <row r="285" spans="1:5">
      <c r="A285" s="100" t="s">
        <v>1046</v>
      </c>
      <c r="B285" s="100" t="s">
        <v>1047</v>
      </c>
      <c r="C285" s="14"/>
      <c r="D285" s="100">
        <f t="shared" si="4"/>
        <v>1</v>
      </c>
      <c r="E285" s="104" t="s">
        <v>1022</v>
      </c>
    </row>
    <row r="286" spans="1:5">
      <c r="A286" s="100" t="s">
        <v>1048</v>
      </c>
      <c r="B286" s="100" t="s">
        <v>1049</v>
      </c>
      <c r="C286" s="14"/>
      <c r="D286" s="100">
        <f t="shared" si="4"/>
        <v>1</v>
      </c>
      <c r="E286" s="104" t="s">
        <v>1022</v>
      </c>
    </row>
    <row r="287" spans="1:5">
      <c r="A287" s="100" t="s">
        <v>1050</v>
      </c>
      <c r="B287" s="100" t="s">
        <v>1039</v>
      </c>
      <c r="C287" s="14"/>
      <c r="D287" s="100">
        <f t="shared" si="4"/>
        <v>1</v>
      </c>
      <c r="E287" s="104" t="s">
        <v>1022</v>
      </c>
    </row>
    <row r="288" spans="1:5">
      <c r="A288" s="100" t="s">
        <v>1051</v>
      </c>
      <c r="B288" s="100" t="s">
        <v>1052</v>
      </c>
      <c r="C288" s="14"/>
      <c r="D288" s="100">
        <f t="shared" si="4"/>
        <v>1</v>
      </c>
      <c r="E288" s="104" t="s">
        <v>1022</v>
      </c>
    </row>
    <row r="289" spans="1:5">
      <c r="A289" s="100" t="s">
        <v>1053</v>
      </c>
      <c r="B289" s="100" t="s">
        <v>1054</v>
      </c>
      <c r="C289" s="14"/>
      <c r="D289" s="100">
        <f t="shared" si="4"/>
        <v>1</v>
      </c>
      <c r="E289" s="104" t="s">
        <v>1022</v>
      </c>
    </row>
    <row r="290" spans="1:5">
      <c r="A290" s="100" t="s">
        <v>1055</v>
      </c>
      <c r="B290" s="100" t="s">
        <v>1056</v>
      </c>
      <c r="C290" s="14"/>
      <c r="D290" s="100">
        <f t="shared" si="4"/>
        <v>1</v>
      </c>
      <c r="E290" s="104" t="s">
        <v>1022</v>
      </c>
    </row>
    <row r="291" spans="1:5">
      <c r="A291" s="100" t="s">
        <v>1057</v>
      </c>
      <c r="B291" s="100" t="s">
        <v>1058</v>
      </c>
      <c r="C291" s="14"/>
      <c r="D291" s="100">
        <f t="shared" si="4"/>
        <v>1</v>
      </c>
      <c r="E291" s="104" t="s">
        <v>1022</v>
      </c>
    </row>
    <row r="292" spans="1:5">
      <c r="A292" s="100" t="s">
        <v>1059</v>
      </c>
      <c r="B292" s="100" t="s">
        <v>1060</v>
      </c>
      <c r="C292" s="14"/>
      <c r="D292" s="100">
        <f t="shared" si="4"/>
        <v>1</v>
      </c>
      <c r="E292" s="104" t="s">
        <v>1022</v>
      </c>
    </row>
    <row r="293" spans="1:5">
      <c r="A293" s="100" t="s">
        <v>1061</v>
      </c>
      <c r="B293" s="100" t="s">
        <v>1062</v>
      </c>
      <c r="C293" s="14"/>
      <c r="D293" s="100">
        <f t="shared" si="4"/>
        <v>1</v>
      </c>
      <c r="E293" s="104" t="s">
        <v>1022</v>
      </c>
    </row>
    <row r="294" spans="1:5">
      <c r="A294" s="100" t="s">
        <v>1063</v>
      </c>
      <c r="B294" s="100" t="s">
        <v>1064</v>
      </c>
      <c r="C294" s="14"/>
      <c r="D294" s="100">
        <f t="shared" si="4"/>
        <v>1</v>
      </c>
      <c r="E294" s="104" t="s">
        <v>1022</v>
      </c>
    </row>
    <row r="295" spans="1:5">
      <c r="A295" s="100" t="s">
        <v>1065</v>
      </c>
      <c r="B295" s="100" t="s">
        <v>1066</v>
      </c>
      <c r="C295" s="14"/>
      <c r="D295" s="100">
        <f t="shared" si="4"/>
        <v>1</v>
      </c>
      <c r="E295" s="104" t="s">
        <v>1022</v>
      </c>
    </row>
    <row r="296" spans="1:5">
      <c r="A296" s="100" t="s">
        <v>1067</v>
      </c>
      <c r="B296" s="100" t="s">
        <v>1068</v>
      </c>
      <c r="C296" s="14"/>
      <c r="D296" s="100">
        <f t="shared" si="4"/>
        <v>1</v>
      </c>
      <c r="E296" s="104" t="s">
        <v>1022</v>
      </c>
    </row>
    <row r="297" spans="1:5">
      <c r="A297" s="100" t="s">
        <v>1069</v>
      </c>
      <c r="B297" s="100" t="s">
        <v>1070</v>
      </c>
      <c r="C297" s="14"/>
      <c r="D297" s="100">
        <f t="shared" si="4"/>
        <v>1</v>
      </c>
      <c r="E297" s="104" t="s">
        <v>1022</v>
      </c>
    </row>
    <row r="298" spans="1:5">
      <c r="A298" s="100" t="s">
        <v>1071</v>
      </c>
      <c r="B298" s="100" t="s">
        <v>1072</v>
      </c>
      <c r="C298" s="14"/>
      <c r="D298" s="100">
        <f t="shared" si="4"/>
        <v>1</v>
      </c>
      <c r="E298" s="104" t="s">
        <v>1022</v>
      </c>
    </row>
    <row r="299" spans="1:5">
      <c r="A299" s="100" t="s">
        <v>1073</v>
      </c>
      <c r="B299" s="100" t="s">
        <v>1074</v>
      </c>
      <c r="C299" s="14"/>
      <c r="D299" s="100">
        <f t="shared" si="4"/>
        <v>1</v>
      </c>
      <c r="E299" s="104" t="s">
        <v>1022</v>
      </c>
    </row>
    <row r="300" spans="1:5">
      <c r="A300" s="100" t="s">
        <v>1075</v>
      </c>
      <c r="B300" s="100" t="s">
        <v>1076</v>
      </c>
      <c r="C300" s="14"/>
      <c r="D300" s="100">
        <f t="shared" si="4"/>
        <v>1</v>
      </c>
      <c r="E300" s="104" t="s">
        <v>1022</v>
      </c>
    </row>
    <row r="301" spans="1:5">
      <c r="A301" s="100" t="s">
        <v>1077</v>
      </c>
      <c r="B301" s="100" t="s">
        <v>1078</v>
      </c>
      <c r="C301" s="14"/>
      <c r="D301" s="100">
        <f t="shared" si="4"/>
        <v>1</v>
      </c>
      <c r="E301" s="104" t="s">
        <v>1022</v>
      </c>
    </row>
    <row r="302" spans="1:5">
      <c r="A302" s="100" t="s">
        <v>1079</v>
      </c>
      <c r="B302" s="100" t="s">
        <v>1080</v>
      </c>
      <c r="C302" s="14"/>
      <c r="D302" s="100">
        <f t="shared" si="4"/>
        <v>1</v>
      </c>
      <c r="E302" s="104" t="s">
        <v>1022</v>
      </c>
    </row>
    <row r="303" spans="1:5">
      <c r="A303" s="100" t="s">
        <v>1081</v>
      </c>
      <c r="B303" s="100" t="s">
        <v>1082</v>
      </c>
      <c r="C303" s="14"/>
      <c r="D303" s="100">
        <f t="shared" si="4"/>
        <v>1</v>
      </c>
      <c r="E303" s="104" t="s">
        <v>1022</v>
      </c>
    </row>
    <row r="304" spans="1:5">
      <c r="A304" s="100" t="s">
        <v>1083</v>
      </c>
      <c r="B304" s="100" t="s">
        <v>1084</v>
      </c>
      <c r="C304" s="14"/>
      <c r="D304" s="100">
        <f t="shared" si="4"/>
        <v>1</v>
      </c>
      <c r="E304" s="104" t="s">
        <v>1022</v>
      </c>
    </row>
    <row r="305" spans="1:5">
      <c r="A305" s="100" t="s">
        <v>1085</v>
      </c>
      <c r="B305" s="100" t="s">
        <v>1086</v>
      </c>
      <c r="C305" s="14"/>
      <c r="D305" s="100">
        <f t="shared" si="4"/>
        <v>1</v>
      </c>
      <c r="E305" s="104" t="s">
        <v>1022</v>
      </c>
    </row>
    <row r="306" spans="1:5">
      <c r="A306" s="100" t="s">
        <v>1087</v>
      </c>
      <c r="B306" s="100" t="s">
        <v>1088</v>
      </c>
      <c r="C306" s="14"/>
      <c r="D306" s="100">
        <f t="shared" si="4"/>
        <v>1</v>
      </c>
      <c r="E306" s="104" t="s">
        <v>1022</v>
      </c>
    </row>
    <row r="307" spans="1:5">
      <c r="A307" s="100" t="s">
        <v>1089</v>
      </c>
      <c r="B307" s="100" t="s">
        <v>1090</v>
      </c>
      <c r="C307" s="14"/>
      <c r="D307" s="100">
        <f t="shared" si="4"/>
        <v>1</v>
      </c>
      <c r="E307" s="104" t="s">
        <v>1022</v>
      </c>
    </row>
    <row r="308" spans="1:5">
      <c r="A308" s="100" t="s">
        <v>1091</v>
      </c>
      <c r="B308" s="100" t="s">
        <v>1092</v>
      </c>
      <c r="C308" s="14"/>
      <c r="D308" s="100">
        <f t="shared" si="4"/>
        <v>1</v>
      </c>
      <c r="E308" s="104" t="s">
        <v>1022</v>
      </c>
    </row>
    <row r="309" spans="1:5">
      <c r="A309" s="100" t="s">
        <v>1093</v>
      </c>
      <c r="B309" s="100" t="s">
        <v>1094</v>
      </c>
      <c r="C309" s="14"/>
      <c r="D309" s="100">
        <f t="shared" si="4"/>
        <v>1</v>
      </c>
      <c r="E309" s="104" t="s">
        <v>1022</v>
      </c>
    </row>
    <row r="310" spans="1:5">
      <c r="A310" s="100" t="s">
        <v>1095</v>
      </c>
      <c r="B310" s="100" t="s">
        <v>1096</v>
      </c>
      <c r="C310" s="14"/>
      <c r="D310" s="100">
        <f t="shared" si="4"/>
        <v>1</v>
      </c>
      <c r="E310" s="104" t="s">
        <v>1022</v>
      </c>
    </row>
    <row r="311" spans="1:5">
      <c r="A311" s="100" t="s">
        <v>1097</v>
      </c>
      <c r="B311" s="100" t="s">
        <v>1098</v>
      </c>
      <c r="C311" s="14"/>
      <c r="D311" s="100">
        <f t="shared" si="4"/>
        <v>1</v>
      </c>
      <c r="E311" s="104" t="s">
        <v>1022</v>
      </c>
    </row>
    <row r="312" spans="1:5">
      <c r="A312" s="100" t="s">
        <v>1099</v>
      </c>
      <c r="B312" s="100" t="s">
        <v>1100</v>
      </c>
      <c r="C312" s="14"/>
      <c r="D312" s="100">
        <f t="shared" si="4"/>
        <v>1</v>
      </c>
      <c r="E312" s="104" t="s">
        <v>1022</v>
      </c>
    </row>
    <row r="313" spans="1:5">
      <c r="A313" s="100" t="s">
        <v>1101</v>
      </c>
      <c r="B313" s="100" t="s">
        <v>1102</v>
      </c>
      <c r="C313" s="14"/>
      <c r="D313" s="100">
        <f t="shared" si="4"/>
        <v>1</v>
      </c>
      <c r="E313" s="104" t="s">
        <v>1022</v>
      </c>
    </row>
    <row r="314" spans="1:5">
      <c r="A314" s="100" t="s">
        <v>1103</v>
      </c>
      <c r="B314" s="100" t="s">
        <v>1104</v>
      </c>
      <c r="C314" s="14"/>
      <c r="D314" s="100">
        <f t="shared" si="4"/>
        <v>1</v>
      </c>
      <c r="E314" s="104" t="s">
        <v>1022</v>
      </c>
    </row>
    <row r="315" spans="1:5">
      <c r="A315" s="100" t="s">
        <v>1105</v>
      </c>
      <c r="B315" s="100" t="s">
        <v>1106</v>
      </c>
      <c r="C315" s="14"/>
      <c r="D315" s="100">
        <f t="shared" si="4"/>
        <v>1</v>
      </c>
      <c r="E315" s="104" t="s">
        <v>1022</v>
      </c>
    </row>
    <row r="316" spans="1:5">
      <c r="A316" s="100" t="s">
        <v>1107</v>
      </c>
      <c r="B316" s="100" t="s">
        <v>1108</v>
      </c>
      <c r="C316" s="14"/>
      <c r="D316" s="100">
        <f t="shared" si="4"/>
        <v>1</v>
      </c>
      <c r="E316" s="104" t="s">
        <v>1022</v>
      </c>
    </row>
    <row r="317" spans="1:5">
      <c r="A317" s="100" t="s">
        <v>1109</v>
      </c>
      <c r="B317" s="100" t="s">
        <v>1110</v>
      </c>
      <c r="C317" s="14"/>
      <c r="D317" s="100">
        <f t="shared" si="4"/>
        <v>1</v>
      </c>
      <c r="E317" s="104" t="s">
        <v>1022</v>
      </c>
    </row>
    <row r="318" spans="1:5">
      <c r="A318" s="100" t="s">
        <v>1111</v>
      </c>
      <c r="B318" s="100" t="s">
        <v>1112</v>
      </c>
      <c r="C318" s="14"/>
      <c r="D318" s="100">
        <f t="shared" si="4"/>
        <v>1</v>
      </c>
      <c r="E318" s="104" t="s">
        <v>1022</v>
      </c>
    </row>
    <row r="319" spans="1:5">
      <c r="A319" s="117" t="s">
        <v>1113</v>
      </c>
      <c r="B319" s="100" t="s">
        <v>1114</v>
      </c>
      <c r="C319" s="14" t="s">
        <v>511</v>
      </c>
      <c r="D319" s="100">
        <f t="shared" si="4"/>
        <v>1</v>
      </c>
      <c r="E319" s="104" t="s">
        <v>1022</v>
      </c>
    </row>
    <row r="320" spans="1:5">
      <c r="A320" s="100" t="s">
        <v>1115</v>
      </c>
      <c r="B320" s="100" t="s">
        <v>1116</v>
      </c>
      <c r="C320" s="14"/>
      <c r="D320" s="100">
        <f t="shared" si="4"/>
        <v>1</v>
      </c>
      <c r="E320" s="104" t="s">
        <v>1022</v>
      </c>
    </row>
    <row r="321" spans="1:5">
      <c r="A321" s="100" t="s">
        <v>1117</v>
      </c>
      <c r="B321" s="100" t="s">
        <v>1118</v>
      </c>
      <c r="C321" s="14"/>
      <c r="D321" s="100">
        <f t="shared" si="4"/>
        <v>1</v>
      </c>
      <c r="E321" s="104" t="s">
        <v>1022</v>
      </c>
    </row>
    <row r="322" spans="1:5">
      <c r="A322" s="100" t="s">
        <v>1119</v>
      </c>
      <c r="B322" s="100" t="s">
        <v>1120</v>
      </c>
      <c r="C322" s="14"/>
      <c r="D322" s="100">
        <f t="shared" ref="D322:D385" si="5">IF(B322&lt;&gt;C322,1,0)</f>
        <v>1</v>
      </c>
      <c r="E322" s="104" t="s">
        <v>1022</v>
      </c>
    </row>
    <row r="323" spans="1:5">
      <c r="A323" s="100" t="s">
        <v>1121</v>
      </c>
      <c r="B323" s="100" t="s">
        <v>1122</v>
      </c>
      <c r="C323" s="14"/>
      <c r="D323" s="100">
        <f t="shared" si="5"/>
        <v>1</v>
      </c>
      <c r="E323" s="104" t="s">
        <v>1022</v>
      </c>
    </row>
    <row r="324" spans="1:5">
      <c r="A324" s="100" t="s">
        <v>1123</v>
      </c>
      <c r="B324" s="100" t="s">
        <v>1124</v>
      </c>
      <c r="C324" s="14"/>
      <c r="D324" s="100">
        <f t="shared" si="5"/>
        <v>1</v>
      </c>
      <c r="E324" s="104" t="s">
        <v>1022</v>
      </c>
    </row>
    <row r="325" spans="1:5">
      <c r="A325" s="100" t="s">
        <v>1125</v>
      </c>
      <c r="B325" s="100" t="s">
        <v>1126</v>
      </c>
      <c r="C325" s="14"/>
      <c r="D325" s="100">
        <f t="shared" si="5"/>
        <v>1</v>
      </c>
      <c r="E325" s="104" t="s">
        <v>1022</v>
      </c>
    </row>
    <row r="326" spans="1:5">
      <c r="A326" s="100" t="s">
        <v>1127</v>
      </c>
      <c r="B326" s="100" t="s">
        <v>1128</v>
      </c>
      <c r="C326" s="14"/>
      <c r="D326" s="100">
        <f t="shared" si="5"/>
        <v>1</v>
      </c>
      <c r="E326" s="104" t="s">
        <v>1022</v>
      </c>
    </row>
    <row r="327" spans="1:5">
      <c r="A327" s="100" t="s">
        <v>1129</v>
      </c>
      <c r="B327" s="100" t="s">
        <v>1130</v>
      </c>
      <c r="C327" s="14"/>
      <c r="D327" s="100">
        <f t="shared" si="5"/>
        <v>1</v>
      </c>
      <c r="E327" s="104" t="s">
        <v>1022</v>
      </c>
    </row>
    <row r="328" spans="1:5">
      <c r="A328" s="100" t="s">
        <v>1131</v>
      </c>
      <c r="B328" s="100" t="s">
        <v>1132</v>
      </c>
      <c r="C328" s="14"/>
      <c r="D328" s="100">
        <f t="shared" si="5"/>
        <v>1</v>
      </c>
      <c r="E328" s="104" t="s">
        <v>1022</v>
      </c>
    </row>
    <row r="329" spans="1:5">
      <c r="A329" s="100" t="s">
        <v>1133</v>
      </c>
      <c r="B329" s="100" t="s">
        <v>1134</v>
      </c>
      <c r="C329" s="14"/>
      <c r="D329" s="100">
        <f t="shared" si="5"/>
        <v>1</v>
      </c>
      <c r="E329" s="104" t="s">
        <v>1022</v>
      </c>
    </row>
    <row r="330" spans="1:5">
      <c r="A330" s="100" t="s">
        <v>1135</v>
      </c>
      <c r="B330" s="100" t="s">
        <v>1136</v>
      </c>
      <c r="C330" s="14"/>
      <c r="D330" s="100">
        <f t="shared" si="5"/>
        <v>1</v>
      </c>
      <c r="E330" s="104" t="s">
        <v>1022</v>
      </c>
    </row>
    <row r="331" spans="1:5">
      <c r="A331" s="100" t="s">
        <v>1137</v>
      </c>
      <c r="B331" s="100" t="s">
        <v>1138</v>
      </c>
      <c r="C331" s="14"/>
      <c r="D331" s="100">
        <f t="shared" si="5"/>
        <v>1</v>
      </c>
      <c r="E331" s="104" t="s">
        <v>1022</v>
      </c>
    </row>
    <row r="332" spans="1:5">
      <c r="A332" s="100" t="s">
        <v>1139</v>
      </c>
      <c r="B332" s="100" t="s">
        <v>1140</v>
      </c>
      <c r="C332" s="14"/>
      <c r="D332" s="100">
        <f t="shared" si="5"/>
        <v>1</v>
      </c>
      <c r="E332" s="104" t="s">
        <v>1022</v>
      </c>
    </row>
    <row r="333" spans="1:5">
      <c r="A333" s="100" t="s">
        <v>1141</v>
      </c>
      <c r="B333" s="100" t="s">
        <v>1142</v>
      </c>
      <c r="C333" s="14"/>
      <c r="D333" s="100">
        <f t="shared" si="5"/>
        <v>1</v>
      </c>
      <c r="E333" s="104" t="s">
        <v>1022</v>
      </c>
    </row>
    <row r="334" spans="1:5">
      <c r="A334" s="100" t="s">
        <v>1143</v>
      </c>
      <c r="B334" s="100" t="s">
        <v>1144</v>
      </c>
      <c r="C334" s="14"/>
      <c r="D334" s="100">
        <f t="shared" si="5"/>
        <v>1</v>
      </c>
      <c r="E334" s="104" t="s">
        <v>1022</v>
      </c>
    </row>
    <row r="335" spans="1:5">
      <c r="A335" s="100" t="s">
        <v>1145</v>
      </c>
      <c r="B335" s="100" t="s">
        <v>1146</v>
      </c>
      <c r="C335" s="14"/>
      <c r="D335" s="100">
        <f t="shared" si="5"/>
        <v>1</v>
      </c>
      <c r="E335" s="104" t="s">
        <v>1022</v>
      </c>
    </row>
    <row r="336" spans="1:5">
      <c r="A336" s="100" t="s">
        <v>1147</v>
      </c>
      <c r="B336" s="100" t="s">
        <v>1148</v>
      </c>
      <c r="C336" s="14"/>
      <c r="D336" s="100">
        <f t="shared" si="5"/>
        <v>1</v>
      </c>
      <c r="E336" s="104" t="s">
        <v>1022</v>
      </c>
    </row>
    <row r="337" spans="1:5">
      <c r="A337" s="100" t="s">
        <v>1149</v>
      </c>
      <c r="B337" s="100" t="s">
        <v>1150</v>
      </c>
      <c r="C337" s="14"/>
      <c r="D337" s="100">
        <f t="shared" si="5"/>
        <v>1</v>
      </c>
      <c r="E337" s="104" t="s">
        <v>1022</v>
      </c>
    </row>
    <row r="338" spans="1:5">
      <c r="A338" s="100" t="s">
        <v>1151</v>
      </c>
      <c r="B338" s="100" t="s">
        <v>1152</v>
      </c>
      <c r="C338" s="14"/>
      <c r="D338" s="100">
        <f t="shared" si="5"/>
        <v>1</v>
      </c>
      <c r="E338" s="104" t="s">
        <v>1022</v>
      </c>
    </row>
    <row r="339" spans="1:5">
      <c r="A339" s="100" t="s">
        <v>1153</v>
      </c>
      <c r="B339" s="100" t="s">
        <v>1154</v>
      </c>
      <c r="C339" s="14"/>
      <c r="D339" s="100">
        <f t="shared" si="5"/>
        <v>1</v>
      </c>
      <c r="E339" s="104" t="s">
        <v>1022</v>
      </c>
    </row>
    <row r="340" spans="1:5">
      <c r="A340" s="100" t="s">
        <v>1155</v>
      </c>
      <c r="B340" s="100" t="s">
        <v>1156</v>
      </c>
      <c r="C340" s="14"/>
      <c r="D340" s="100">
        <f t="shared" si="5"/>
        <v>1</v>
      </c>
      <c r="E340" s="104" t="s">
        <v>1022</v>
      </c>
    </row>
    <row r="341" spans="1:5">
      <c r="A341" s="100" t="s">
        <v>1157</v>
      </c>
      <c r="B341" s="100" t="s">
        <v>1158</v>
      </c>
      <c r="C341" s="14"/>
      <c r="D341" s="100">
        <f t="shared" si="5"/>
        <v>1</v>
      </c>
      <c r="E341" s="104" t="s">
        <v>1022</v>
      </c>
    </row>
    <row r="342" spans="1:5">
      <c r="A342" s="100" t="s">
        <v>1159</v>
      </c>
      <c r="B342" s="100" t="s">
        <v>1160</v>
      </c>
      <c r="C342" s="14"/>
      <c r="D342" s="100">
        <f t="shared" si="5"/>
        <v>1</v>
      </c>
      <c r="E342" s="104" t="s">
        <v>1022</v>
      </c>
    </row>
    <row r="343" spans="1:5">
      <c r="A343" s="100" t="s">
        <v>1161</v>
      </c>
      <c r="B343" s="100" t="s">
        <v>1162</v>
      </c>
      <c r="C343" s="14"/>
      <c r="D343" s="100">
        <f t="shared" si="5"/>
        <v>1</v>
      </c>
      <c r="E343" s="104" t="s">
        <v>1022</v>
      </c>
    </row>
    <row r="344" spans="1:5">
      <c r="A344" s="100" t="s">
        <v>1163</v>
      </c>
      <c r="B344" s="100" t="s">
        <v>1164</v>
      </c>
      <c r="C344" s="14"/>
      <c r="D344" s="100">
        <f t="shared" si="5"/>
        <v>1</v>
      </c>
      <c r="E344" s="104" t="s">
        <v>1022</v>
      </c>
    </row>
    <row r="345" spans="1:5">
      <c r="A345" s="100" t="s">
        <v>1165</v>
      </c>
      <c r="B345" s="100" t="s">
        <v>1166</v>
      </c>
      <c r="C345" s="14"/>
      <c r="D345" s="100">
        <f t="shared" si="5"/>
        <v>1</v>
      </c>
      <c r="E345" s="104" t="s">
        <v>1022</v>
      </c>
    </row>
    <row r="346" spans="1:5">
      <c r="A346" s="100" t="s">
        <v>1167</v>
      </c>
      <c r="B346" s="100" t="s">
        <v>1168</v>
      </c>
      <c r="C346" s="14"/>
      <c r="D346" s="100">
        <f t="shared" si="5"/>
        <v>1</v>
      </c>
      <c r="E346" s="104" t="s">
        <v>1022</v>
      </c>
    </row>
    <row r="347" spans="1:5">
      <c r="A347" s="100" t="s">
        <v>1169</v>
      </c>
      <c r="B347" s="100" t="s">
        <v>1170</v>
      </c>
      <c r="C347" s="14"/>
      <c r="D347" s="100">
        <f t="shared" si="5"/>
        <v>1</v>
      </c>
      <c r="E347" s="104" t="s">
        <v>1022</v>
      </c>
    </row>
    <row r="348" spans="1:5">
      <c r="A348" s="100" t="s">
        <v>1171</v>
      </c>
      <c r="B348" s="100" t="s">
        <v>1172</v>
      </c>
      <c r="C348" s="14"/>
      <c r="D348" s="100">
        <f t="shared" si="5"/>
        <v>1</v>
      </c>
      <c r="E348" s="104" t="s">
        <v>1173</v>
      </c>
    </row>
    <row r="349" spans="1:5">
      <c r="A349" s="100" t="s">
        <v>1174</v>
      </c>
      <c r="B349" s="100" t="s">
        <v>1175</v>
      </c>
      <c r="C349" s="14"/>
      <c r="D349" s="100">
        <f t="shared" si="5"/>
        <v>1</v>
      </c>
      <c r="E349" s="104" t="s">
        <v>1173</v>
      </c>
    </row>
    <row r="350" spans="1:5">
      <c r="A350" s="100" t="s">
        <v>1176</v>
      </c>
      <c r="B350" s="100" t="s">
        <v>1177</v>
      </c>
      <c r="C350" s="14"/>
      <c r="D350" s="100">
        <f t="shared" si="5"/>
        <v>1</v>
      </c>
      <c r="E350" s="104" t="s">
        <v>1173</v>
      </c>
    </row>
    <row r="351" spans="1:5">
      <c r="A351" s="100" t="s">
        <v>1178</v>
      </c>
      <c r="B351" s="100" t="s">
        <v>1179</v>
      </c>
      <c r="C351" s="14"/>
      <c r="D351" s="100">
        <f t="shared" si="5"/>
        <v>1</v>
      </c>
      <c r="E351" s="104" t="s">
        <v>1173</v>
      </c>
    </row>
    <row r="352" spans="1:5">
      <c r="A352" s="100" t="s">
        <v>1180</v>
      </c>
      <c r="B352" s="100" t="s">
        <v>1181</v>
      </c>
      <c r="C352" s="14"/>
      <c r="D352" s="100">
        <f t="shared" si="5"/>
        <v>1</v>
      </c>
      <c r="E352" s="104" t="s">
        <v>1173</v>
      </c>
    </row>
    <row r="353" spans="1:5">
      <c r="A353" s="100" t="s">
        <v>1182</v>
      </c>
      <c r="B353" s="100" t="s">
        <v>1183</v>
      </c>
      <c r="C353" s="14"/>
      <c r="D353" s="100">
        <f t="shared" si="5"/>
        <v>1</v>
      </c>
      <c r="E353" s="104" t="s">
        <v>1173</v>
      </c>
    </row>
    <row r="354" spans="1:5">
      <c r="A354" s="100" t="s">
        <v>1184</v>
      </c>
      <c r="B354" s="100" t="s">
        <v>1185</v>
      </c>
      <c r="C354" s="14"/>
      <c r="D354" s="100">
        <f t="shared" si="5"/>
        <v>1</v>
      </c>
      <c r="E354" s="104" t="s">
        <v>1186</v>
      </c>
    </row>
    <row r="355" spans="1:5">
      <c r="A355" s="100" t="s">
        <v>1187</v>
      </c>
      <c r="B355" s="100" t="s">
        <v>1188</v>
      </c>
      <c r="C355" s="14"/>
      <c r="D355" s="100">
        <f t="shared" si="5"/>
        <v>1</v>
      </c>
      <c r="E355" s="104" t="s">
        <v>1186</v>
      </c>
    </row>
    <row r="356" spans="1:5">
      <c r="A356" s="100" t="s">
        <v>1189</v>
      </c>
      <c r="B356" s="100" t="s">
        <v>1190</v>
      </c>
      <c r="C356" s="14"/>
      <c r="D356" s="100">
        <f t="shared" si="5"/>
        <v>1</v>
      </c>
      <c r="E356" s="104" t="s">
        <v>1173</v>
      </c>
    </row>
    <row r="357" spans="1:5">
      <c r="A357" s="100" t="s">
        <v>1191</v>
      </c>
      <c r="B357" s="100" t="s">
        <v>1192</v>
      </c>
      <c r="C357" s="14"/>
      <c r="D357" s="100">
        <f t="shared" si="5"/>
        <v>1</v>
      </c>
      <c r="E357" s="104" t="s">
        <v>1173</v>
      </c>
    </row>
    <row r="358" spans="1:5">
      <c r="A358" s="100" t="s">
        <v>1193</v>
      </c>
      <c r="B358" s="100" t="s">
        <v>1194</v>
      </c>
      <c r="C358" s="14"/>
      <c r="D358" s="100">
        <f t="shared" si="5"/>
        <v>1</v>
      </c>
      <c r="E358" s="104" t="s">
        <v>1173</v>
      </c>
    </row>
    <row r="359" spans="1:5">
      <c r="A359" s="100" t="s">
        <v>1195</v>
      </c>
      <c r="B359" s="100" t="s">
        <v>1196</v>
      </c>
      <c r="C359" s="14"/>
      <c r="D359" s="100">
        <f t="shared" si="5"/>
        <v>1</v>
      </c>
      <c r="E359" s="104" t="s">
        <v>1173</v>
      </c>
    </row>
    <row r="360" spans="1:5">
      <c r="A360" s="100" t="s">
        <v>1197</v>
      </c>
      <c r="B360" s="100" t="s">
        <v>1198</v>
      </c>
      <c r="C360" s="14"/>
      <c r="D360" s="100">
        <f t="shared" si="5"/>
        <v>1</v>
      </c>
      <c r="E360" s="104" t="s">
        <v>1173</v>
      </c>
    </row>
    <row r="361" spans="1:5">
      <c r="A361" s="100" t="s">
        <v>1199</v>
      </c>
      <c r="B361" s="100" t="s">
        <v>1200</v>
      </c>
      <c r="C361" s="14"/>
      <c r="D361" s="100">
        <f t="shared" si="5"/>
        <v>1</v>
      </c>
      <c r="E361" s="104" t="s">
        <v>1173</v>
      </c>
    </row>
    <row r="362" spans="1:5">
      <c r="A362" s="100" t="s">
        <v>1201</v>
      </c>
      <c r="B362" s="100" t="s">
        <v>1202</v>
      </c>
      <c r="C362" s="14"/>
      <c r="D362" s="100">
        <f t="shared" si="5"/>
        <v>1</v>
      </c>
      <c r="E362" s="104" t="s">
        <v>1173</v>
      </c>
    </row>
    <row r="363" spans="1:5">
      <c r="A363" s="100" t="s">
        <v>1203</v>
      </c>
      <c r="B363" s="100" t="s">
        <v>1204</v>
      </c>
      <c r="C363" s="14"/>
      <c r="D363" s="100">
        <f t="shared" si="5"/>
        <v>1</v>
      </c>
      <c r="E363" s="104" t="s">
        <v>1173</v>
      </c>
    </row>
    <row r="364" spans="1:5">
      <c r="A364" s="100" t="s">
        <v>1205</v>
      </c>
      <c r="B364" s="100" t="s">
        <v>1206</v>
      </c>
      <c r="C364" s="14"/>
      <c r="D364" s="100">
        <f t="shared" si="5"/>
        <v>1</v>
      </c>
      <c r="E364" s="104" t="s">
        <v>1173</v>
      </c>
    </row>
    <row r="365" spans="1:5">
      <c r="A365" s="100" t="s">
        <v>1207</v>
      </c>
      <c r="B365" s="100" t="s">
        <v>1208</v>
      </c>
      <c r="C365" s="14"/>
      <c r="D365" s="100">
        <f t="shared" si="5"/>
        <v>1</v>
      </c>
      <c r="E365" s="104" t="s">
        <v>1173</v>
      </c>
    </row>
    <row r="366" spans="1:5">
      <c r="A366" s="100" t="s">
        <v>1209</v>
      </c>
      <c r="B366" s="100" t="s">
        <v>1210</v>
      </c>
      <c r="C366" s="14"/>
      <c r="D366" s="100">
        <f t="shared" si="5"/>
        <v>1</v>
      </c>
      <c r="E366" s="104" t="s">
        <v>1173</v>
      </c>
    </row>
    <row r="367" spans="1:5">
      <c r="A367" s="100" t="s">
        <v>1211</v>
      </c>
      <c r="B367" s="100" t="s">
        <v>1212</v>
      </c>
      <c r="C367" s="14"/>
      <c r="D367" s="100">
        <f t="shared" si="5"/>
        <v>1</v>
      </c>
      <c r="E367" s="104" t="s">
        <v>1173</v>
      </c>
    </row>
    <row r="368" spans="1:5">
      <c r="A368" s="100" t="s">
        <v>1213</v>
      </c>
      <c r="B368" s="100" t="s">
        <v>1214</v>
      </c>
      <c r="C368" s="14"/>
      <c r="D368" s="100">
        <f t="shared" si="5"/>
        <v>1</v>
      </c>
      <c r="E368" s="104" t="s">
        <v>1173</v>
      </c>
    </row>
    <row r="369" spans="1:5">
      <c r="A369" s="101" t="s">
        <v>1215</v>
      </c>
      <c r="B369" s="100" t="s">
        <v>1216</v>
      </c>
      <c r="C369" s="14"/>
      <c r="D369" s="100">
        <f t="shared" si="5"/>
        <v>1</v>
      </c>
      <c r="E369" s="104" t="s">
        <v>1173</v>
      </c>
    </row>
    <row r="370" spans="1:5">
      <c r="A370" s="100" t="s">
        <v>1217</v>
      </c>
      <c r="B370" s="100" t="s">
        <v>1218</v>
      </c>
      <c r="C370" s="14"/>
      <c r="D370" s="100">
        <f t="shared" si="5"/>
        <v>1</v>
      </c>
      <c r="E370" s="104" t="s">
        <v>1173</v>
      </c>
    </row>
    <row r="371" spans="1:5">
      <c r="A371" s="100" t="s">
        <v>1219</v>
      </c>
      <c r="B371" s="100" t="s">
        <v>1220</v>
      </c>
      <c r="C371" s="14"/>
      <c r="D371" s="100">
        <f t="shared" si="5"/>
        <v>1</v>
      </c>
      <c r="E371" s="104" t="s">
        <v>1173</v>
      </c>
    </row>
    <row r="372" spans="1:5">
      <c r="A372" s="100" t="s">
        <v>1221</v>
      </c>
      <c r="B372" s="100" t="s">
        <v>1222</v>
      </c>
      <c r="C372" s="14"/>
      <c r="D372" s="100">
        <f t="shared" si="5"/>
        <v>1</v>
      </c>
      <c r="E372" s="104" t="s">
        <v>1173</v>
      </c>
    </row>
    <row r="373" spans="1:5">
      <c r="A373" s="100" t="s">
        <v>1223</v>
      </c>
      <c r="B373" s="100" t="s">
        <v>1224</v>
      </c>
      <c r="C373" s="14"/>
      <c r="D373" s="100">
        <f t="shared" si="5"/>
        <v>1</v>
      </c>
      <c r="E373" s="104" t="s">
        <v>1173</v>
      </c>
    </row>
    <row r="374" spans="1:5">
      <c r="A374" s="100" t="s">
        <v>1225</v>
      </c>
      <c r="B374" s="100" t="s">
        <v>1226</v>
      </c>
      <c r="C374" s="14"/>
      <c r="D374" s="100">
        <f t="shared" si="5"/>
        <v>1</v>
      </c>
      <c r="E374" s="104" t="s">
        <v>1173</v>
      </c>
    </row>
    <row r="375" spans="1:5">
      <c r="A375" s="100" t="s">
        <v>1227</v>
      </c>
      <c r="B375" s="100" t="s">
        <v>1228</v>
      </c>
      <c r="C375" s="14"/>
      <c r="D375" s="100">
        <f t="shared" si="5"/>
        <v>1</v>
      </c>
      <c r="E375" s="104" t="s">
        <v>1173</v>
      </c>
    </row>
    <row r="376" spans="1:5">
      <c r="A376" s="100" t="s">
        <v>1229</v>
      </c>
      <c r="B376" s="100" t="s">
        <v>1230</v>
      </c>
      <c r="C376" s="14"/>
      <c r="D376" s="100">
        <f t="shared" si="5"/>
        <v>1</v>
      </c>
      <c r="E376" s="104" t="s">
        <v>1173</v>
      </c>
    </row>
    <row r="377" spans="1:5">
      <c r="A377" s="100" t="s">
        <v>1231</v>
      </c>
      <c r="B377" s="100" t="s">
        <v>1232</v>
      </c>
      <c r="C377" s="14"/>
      <c r="D377" s="100">
        <f t="shared" si="5"/>
        <v>1</v>
      </c>
      <c r="E377" s="104" t="s">
        <v>1173</v>
      </c>
    </row>
    <row r="378" spans="1:5">
      <c r="A378" s="100" t="s">
        <v>1233</v>
      </c>
      <c r="B378" s="100" t="s">
        <v>1234</v>
      </c>
      <c r="C378" s="14"/>
      <c r="D378" s="100">
        <f t="shared" si="5"/>
        <v>1</v>
      </c>
      <c r="E378" s="104" t="s">
        <v>1173</v>
      </c>
    </row>
    <row r="379" spans="1:5">
      <c r="A379" s="100" t="s">
        <v>1235</v>
      </c>
      <c r="B379" s="100" t="s">
        <v>1236</v>
      </c>
      <c r="C379" s="14"/>
      <c r="D379" s="100">
        <f t="shared" si="5"/>
        <v>1</v>
      </c>
      <c r="E379" s="104" t="s">
        <v>1173</v>
      </c>
    </row>
    <row r="380" spans="1:5">
      <c r="A380" s="100" t="s">
        <v>1237</v>
      </c>
      <c r="B380" s="100" t="s">
        <v>1238</v>
      </c>
      <c r="C380" s="14"/>
      <c r="D380" s="100">
        <f t="shared" si="5"/>
        <v>1</v>
      </c>
      <c r="E380" s="104" t="s">
        <v>1173</v>
      </c>
    </row>
    <row r="381" spans="1:5">
      <c r="A381" s="100" t="s">
        <v>1239</v>
      </c>
      <c r="B381" s="100" t="s">
        <v>1240</v>
      </c>
      <c r="C381" s="14"/>
      <c r="D381" s="100">
        <f t="shared" si="5"/>
        <v>1</v>
      </c>
      <c r="E381" s="104" t="s">
        <v>1173</v>
      </c>
    </row>
    <row r="382" spans="1:5">
      <c r="A382" s="100" t="s">
        <v>1241</v>
      </c>
      <c r="B382" s="100" t="s">
        <v>1242</v>
      </c>
      <c r="C382" s="14"/>
      <c r="D382" s="100">
        <f t="shared" si="5"/>
        <v>1</v>
      </c>
      <c r="E382" s="104" t="s">
        <v>1173</v>
      </c>
    </row>
    <row r="383" spans="1:5">
      <c r="A383" s="100" t="s">
        <v>1243</v>
      </c>
      <c r="B383" s="100" t="s">
        <v>1244</v>
      </c>
      <c r="C383" s="14"/>
      <c r="D383" s="100">
        <f t="shared" si="5"/>
        <v>1</v>
      </c>
      <c r="E383" s="104" t="s">
        <v>1173</v>
      </c>
    </row>
    <row r="384" spans="1:5">
      <c r="A384" s="100" t="s">
        <v>1245</v>
      </c>
      <c r="B384" s="100" t="s">
        <v>1246</v>
      </c>
      <c r="C384" s="14"/>
      <c r="D384" s="100">
        <f t="shared" si="5"/>
        <v>1</v>
      </c>
      <c r="E384" s="104" t="s">
        <v>1173</v>
      </c>
    </row>
    <row r="385" spans="1:5">
      <c r="A385" s="100" t="s">
        <v>1247</v>
      </c>
      <c r="B385" s="100" t="s">
        <v>1248</v>
      </c>
      <c r="C385" s="14"/>
      <c r="D385" s="100">
        <f t="shared" si="5"/>
        <v>1</v>
      </c>
      <c r="E385" s="104" t="s">
        <v>1173</v>
      </c>
    </row>
    <row r="386" spans="1:5">
      <c r="A386" s="100" t="s">
        <v>1249</v>
      </c>
      <c r="B386" s="100" t="s">
        <v>1250</v>
      </c>
      <c r="C386" s="14"/>
      <c r="D386" s="100">
        <f t="shared" ref="D386:D449" si="6">IF(B386&lt;&gt;C386,1,0)</f>
        <v>1</v>
      </c>
      <c r="E386" s="104" t="s">
        <v>1173</v>
      </c>
    </row>
    <row r="387" spans="1:5">
      <c r="A387" s="100" t="s">
        <v>1251</v>
      </c>
      <c r="B387" s="100" t="s">
        <v>1252</v>
      </c>
      <c r="C387" s="14"/>
      <c r="D387" s="100">
        <f t="shared" si="6"/>
        <v>1</v>
      </c>
      <c r="E387" s="104" t="s">
        <v>1173</v>
      </c>
    </row>
    <row r="388" spans="1:5">
      <c r="A388" s="100" t="s">
        <v>1253</v>
      </c>
      <c r="B388" s="100" t="s">
        <v>1254</v>
      </c>
      <c r="C388" s="14"/>
      <c r="D388" s="100">
        <f t="shared" si="6"/>
        <v>1</v>
      </c>
      <c r="E388" s="104" t="s">
        <v>1173</v>
      </c>
    </row>
    <row r="389" spans="1:5">
      <c r="A389" s="100" t="s">
        <v>1255</v>
      </c>
      <c r="B389" s="100" t="s">
        <v>1256</v>
      </c>
      <c r="C389" s="14"/>
      <c r="D389" s="100">
        <f t="shared" si="6"/>
        <v>1</v>
      </c>
      <c r="E389" s="104" t="s">
        <v>1173</v>
      </c>
    </row>
    <row r="390" spans="1:5">
      <c r="A390" s="100" t="s">
        <v>1257</v>
      </c>
      <c r="B390" s="100" t="s">
        <v>1258</v>
      </c>
      <c r="C390" s="14"/>
      <c r="D390" s="100">
        <f t="shared" si="6"/>
        <v>1</v>
      </c>
      <c r="E390" s="104" t="s">
        <v>1173</v>
      </c>
    </row>
    <row r="391" spans="1:5">
      <c r="A391" s="100" t="s">
        <v>1259</v>
      </c>
      <c r="B391" s="100" t="s">
        <v>1260</v>
      </c>
      <c r="C391" s="14"/>
      <c r="D391" s="100">
        <f t="shared" si="6"/>
        <v>1</v>
      </c>
      <c r="E391" s="104" t="s">
        <v>1173</v>
      </c>
    </row>
    <row r="392" spans="1:5">
      <c r="A392" s="100" t="s">
        <v>1261</v>
      </c>
      <c r="B392" s="100" t="s">
        <v>1262</v>
      </c>
      <c r="C392" s="14"/>
      <c r="D392" s="100">
        <f t="shared" si="6"/>
        <v>1</v>
      </c>
      <c r="E392" s="104" t="s">
        <v>1173</v>
      </c>
    </row>
    <row r="393" spans="1:5">
      <c r="A393" s="100" t="s">
        <v>1263</v>
      </c>
      <c r="B393" s="100" t="s">
        <v>1264</v>
      </c>
      <c r="C393" s="14"/>
      <c r="D393" s="100">
        <f t="shared" si="6"/>
        <v>1</v>
      </c>
      <c r="E393" s="104" t="s">
        <v>1173</v>
      </c>
    </row>
    <row r="394" spans="1:5">
      <c r="A394" s="100" t="s">
        <v>1265</v>
      </c>
      <c r="B394" s="100" t="s">
        <v>1266</v>
      </c>
      <c r="C394" s="14"/>
      <c r="D394" s="100">
        <f t="shared" si="6"/>
        <v>1</v>
      </c>
      <c r="E394" s="104" t="s">
        <v>1173</v>
      </c>
    </row>
    <row r="395" spans="1:5">
      <c r="A395" s="100" t="s">
        <v>1267</v>
      </c>
      <c r="B395" s="100" t="s">
        <v>1268</v>
      </c>
      <c r="C395" s="14"/>
      <c r="D395" s="100">
        <f t="shared" si="6"/>
        <v>1</v>
      </c>
      <c r="E395" s="104" t="s">
        <v>1173</v>
      </c>
    </row>
    <row r="396" spans="1:5">
      <c r="A396" s="100" t="s">
        <v>1269</v>
      </c>
      <c r="B396" s="100" t="s">
        <v>1270</v>
      </c>
      <c r="C396" s="14"/>
      <c r="D396" s="100">
        <f t="shared" si="6"/>
        <v>1</v>
      </c>
      <c r="E396" s="104" t="s">
        <v>1173</v>
      </c>
    </row>
    <row r="397" spans="1:5">
      <c r="A397" s="100" t="s">
        <v>1271</v>
      </c>
      <c r="B397" s="100" t="s">
        <v>1272</v>
      </c>
      <c r="C397" s="14"/>
      <c r="D397" s="100">
        <f t="shared" si="6"/>
        <v>1</v>
      </c>
      <c r="E397" s="104" t="s">
        <v>1173</v>
      </c>
    </row>
    <row r="398" spans="1:5">
      <c r="A398" s="100" t="s">
        <v>1273</v>
      </c>
      <c r="B398" s="100" t="s">
        <v>1274</v>
      </c>
      <c r="C398" s="14"/>
      <c r="D398" s="100">
        <f t="shared" si="6"/>
        <v>1</v>
      </c>
      <c r="E398" s="104" t="s">
        <v>1173</v>
      </c>
    </row>
    <row r="399" spans="1:5">
      <c r="A399" s="100" t="s">
        <v>1275</v>
      </c>
      <c r="B399" s="100" t="s">
        <v>1276</v>
      </c>
      <c r="C399" s="14"/>
      <c r="D399" s="100">
        <f t="shared" si="6"/>
        <v>1</v>
      </c>
      <c r="E399" s="104" t="s">
        <v>1173</v>
      </c>
    </row>
    <row r="400" spans="1:5">
      <c r="A400" s="100" t="s">
        <v>1277</v>
      </c>
      <c r="B400" s="100" t="s">
        <v>1278</v>
      </c>
      <c r="C400" s="14"/>
      <c r="D400" s="100">
        <f t="shared" si="6"/>
        <v>1</v>
      </c>
      <c r="E400" s="104" t="s">
        <v>1173</v>
      </c>
    </row>
    <row r="401" spans="1:5">
      <c r="A401" s="100" t="s">
        <v>1279</v>
      </c>
      <c r="B401" s="100" t="s">
        <v>1280</v>
      </c>
      <c r="C401" s="14"/>
      <c r="D401" s="100">
        <f t="shared" si="6"/>
        <v>1</v>
      </c>
      <c r="E401" s="104" t="s">
        <v>1173</v>
      </c>
    </row>
    <row r="402" spans="1:5">
      <c r="A402" s="100" t="s">
        <v>1281</v>
      </c>
      <c r="B402" s="100" t="s">
        <v>1282</v>
      </c>
      <c r="C402" s="14"/>
      <c r="D402" s="100">
        <f t="shared" si="6"/>
        <v>1</v>
      </c>
      <c r="E402" s="152" t="s">
        <v>1283</v>
      </c>
    </row>
    <row r="403" spans="1:5">
      <c r="A403" s="100" t="s">
        <v>1284</v>
      </c>
      <c r="B403" s="100" t="s">
        <v>1285</v>
      </c>
      <c r="C403" s="14"/>
      <c r="D403" s="100">
        <f t="shared" si="6"/>
        <v>1</v>
      </c>
      <c r="E403" s="104" t="s">
        <v>1173</v>
      </c>
    </row>
    <row r="404" spans="1:5">
      <c r="A404" s="100" t="s">
        <v>1286</v>
      </c>
      <c r="B404" s="100" t="s">
        <v>1287</v>
      </c>
      <c r="C404" s="14"/>
      <c r="D404" s="100">
        <f t="shared" si="6"/>
        <v>1</v>
      </c>
      <c r="E404" s="104" t="s">
        <v>1173</v>
      </c>
    </row>
    <row r="405" spans="1:5">
      <c r="A405" s="100" t="s">
        <v>1288</v>
      </c>
      <c r="B405" s="100" t="s">
        <v>1289</v>
      </c>
      <c r="C405" s="14"/>
      <c r="D405" s="100">
        <f t="shared" si="6"/>
        <v>1</v>
      </c>
      <c r="E405" s="104" t="s">
        <v>1173</v>
      </c>
    </row>
    <row r="406" spans="1:5">
      <c r="A406" s="100" t="s">
        <v>1290</v>
      </c>
      <c r="B406" s="100" t="s">
        <v>1291</v>
      </c>
      <c r="C406" s="14"/>
      <c r="D406" s="100">
        <f t="shared" si="6"/>
        <v>1</v>
      </c>
      <c r="E406" s="104" t="s">
        <v>1173</v>
      </c>
    </row>
    <row r="407" spans="1:5">
      <c r="A407" s="100" t="s">
        <v>1292</v>
      </c>
      <c r="B407" s="100" t="s">
        <v>1293</v>
      </c>
      <c r="C407" s="14"/>
      <c r="D407" s="100">
        <f t="shared" si="6"/>
        <v>1</v>
      </c>
      <c r="E407" s="104" t="s">
        <v>1173</v>
      </c>
    </row>
    <row r="408" spans="1:5">
      <c r="A408" s="100" t="s">
        <v>1294</v>
      </c>
      <c r="B408" s="100" t="s">
        <v>1295</v>
      </c>
      <c r="C408" s="14"/>
      <c r="D408" s="100">
        <f t="shared" si="6"/>
        <v>1</v>
      </c>
      <c r="E408" s="104" t="s">
        <v>1173</v>
      </c>
    </row>
    <row r="409" spans="1:5">
      <c r="A409" s="100" t="s">
        <v>1296</v>
      </c>
      <c r="B409" s="100" t="s">
        <v>1297</v>
      </c>
      <c r="C409" s="14"/>
      <c r="D409" s="100">
        <f t="shared" si="6"/>
        <v>1</v>
      </c>
      <c r="E409" s="104" t="s">
        <v>1173</v>
      </c>
    </row>
    <row r="410" spans="1:5">
      <c r="A410" s="100" t="s">
        <v>1298</v>
      </c>
      <c r="B410" s="100" t="s">
        <v>1299</v>
      </c>
      <c r="C410" s="14"/>
      <c r="D410" s="100">
        <f t="shared" si="6"/>
        <v>1</v>
      </c>
      <c r="E410" s="104" t="s">
        <v>1173</v>
      </c>
    </row>
    <row r="411" spans="1:5">
      <c r="A411" s="100" t="s">
        <v>1300</v>
      </c>
      <c r="B411" s="100" t="s">
        <v>1301</v>
      </c>
      <c r="C411" s="14"/>
      <c r="D411" s="100">
        <f t="shared" si="6"/>
        <v>1</v>
      </c>
      <c r="E411" s="104" t="s">
        <v>1173</v>
      </c>
    </row>
    <row r="412" spans="1:5">
      <c r="A412" s="100" t="s">
        <v>1302</v>
      </c>
      <c r="B412" s="100" t="s">
        <v>1303</v>
      </c>
      <c r="C412" s="14"/>
      <c r="D412" s="100">
        <f t="shared" si="6"/>
        <v>1</v>
      </c>
      <c r="E412" s="104" t="s">
        <v>1173</v>
      </c>
    </row>
    <row r="413" spans="1:5">
      <c r="A413" s="100" t="s">
        <v>1304</v>
      </c>
      <c r="B413" s="100" t="s">
        <v>1305</v>
      </c>
      <c r="C413" s="14"/>
      <c r="D413" s="100">
        <f t="shared" si="6"/>
        <v>1</v>
      </c>
      <c r="E413" s="104" t="s">
        <v>1173</v>
      </c>
    </row>
    <row r="414" spans="1:5">
      <c r="A414" s="100" t="s">
        <v>1306</v>
      </c>
      <c r="B414" s="100" t="s">
        <v>1307</v>
      </c>
      <c r="C414" s="14"/>
      <c r="D414" s="100">
        <f t="shared" si="6"/>
        <v>1</v>
      </c>
      <c r="E414" s="104" t="s">
        <v>1173</v>
      </c>
    </row>
    <row r="415" spans="1:5">
      <c r="A415" s="100" t="s">
        <v>1308</v>
      </c>
      <c r="B415" s="100" t="s">
        <v>1309</v>
      </c>
      <c r="C415" s="14"/>
      <c r="D415" s="100">
        <f t="shared" si="6"/>
        <v>1</v>
      </c>
      <c r="E415" s="104" t="s">
        <v>1173</v>
      </c>
    </row>
    <row r="416" spans="1:5">
      <c r="A416" s="100" t="s">
        <v>1310</v>
      </c>
      <c r="B416" s="100" t="s">
        <v>1311</v>
      </c>
      <c r="C416" s="14"/>
      <c r="D416" s="100">
        <f t="shared" si="6"/>
        <v>1</v>
      </c>
      <c r="E416" s="104" t="s">
        <v>1173</v>
      </c>
    </row>
    <row r="417" spans="1:5">
      <c r="A417" s="100" t="s">
        <v>1312</v>
      </c>
      <c r="B417" s="100" t="s">
        <v>1313</v>
      </c>
      <c r="C417" s="14"/>
      <c r="D417" s="100">
        <f t="shared" si="6"/>
        <v>1</v>
      </c>
      <c r="E417" s="104" t="s">
        <v>1173</v>
      </c>
    </row>
    <row r="418" spans="1:5">
      <c r="A418" s="100" t="s">
        <v>1314</v>
      </c>
      <c r="B418" s="100" t="s">
        <v>1315</v>
      </c>
      <c r="C418" s="14"/>
      <c r="D418" s="100">
        <f t="shared" si="6"/>
        <v>1</v>
      </c>
      <c r="E418" s="104" t="s">
        <v>1173</v>
      </c>
    </row>
    <row r="419" spans="1:5">
      <c r="A419" s="100" t="s">
        <v>1316</v>
      </c>
      <c r="B419" s="100" t="s">
        <v>1317</v>
      </c>
      <c r="C419" s="14"/>
      <c r="D419" s="100">
        <f t="shared" si="6"/>
        <v>1</v>
      </c>
      <c r="E419" s="104" t="s">
        <v>1173</v>
      </c>
    </row>
    <row r="420" spans="1:5">
      <c r="A420" s="100" t="s">
        <v>1318</v>
      </c>
      <c r="B420" s="100" t="s">
        <v>1319</v>
      </c>
      <c r="C420" s="14"/>
      <c r="D420" s="100">
        <f t="shared" si="6"/>
        <v>1</v>
      </c>
      <c r="E420" s="104" t="s">
        <v>1173</v>
      </c>
    </row>
    <row r="421" spans="1:5">
      <c r="A421" s="100" t="s">
        <v>1320</v>
      </c>
      <c r="B421" s="100" t="s">
        <v>1321</v>
      </c>
      <c r="C421" s="14"/>
      <c r="D421" s="100">
        <f t="shared" si="6"/>
        <v>1</v>
      </c>
      <c r="E421" s="104" t="s">
        <v>1173</v>
      </c>
    </row>
    <row r="422" spans="1:5">
      <c r="A422" s="100" t="s">
        <v>1322</v>
      </c>
      <c r="B422" s="100" t="s">
        <v>1323</v>
      </c>
      <c r="C422" s="14"/>
      <c r="D422" s="100">
        <f t="shared" si="6"/>
        <v>1</v>
      </c>
      <c r="E422" s="104" t="s">
        <v>1173</v>
      </c>
    </row>
    <row r="423" spans="1:5">
      <c r="A423" s="100" t="s">
        <v>1324</v>
      </c>
      <c r="B423" s="100" t="s">
        <v>1325</v>
      </c>
      <c r="C423" s="14"/>
      <c r="D423" s="100">
        <f t="shared" si="6"/>
        <v>1</v>
      </c>
      <c r="E423" s="104" t="s">
        <v>1173</v>
      </c>
    </row>
    <row r="424" spans="1:5">
      <c r="A424" s="100" t="s">
        <v>1326</v>
      </c>
      <c r="B424" s="100" t="s">
        <v>1327</v>
      </c>
      <c r="C424" s="14"/>
      <c r="D424" s="100">
        <f t="shared" si="6"/>
        <v>1</v>
      </c>
      <c r="E424" s="104" t="s">
        <v>1173</v>
      </c>
    </row>
    <row r="425" spans="1:5">
      <c r="A425" s="100" t="s">
        <v>1328</v>
      </c>
      <c r="B425" s="100" t="s">
        <v>1329</v>
      </c>
      <c r="C425" s="14"/>
      <c r="D425" s="100">
        <f t="shared" si="6"/>
        <v>1</v>
      </c>
      <c r="E425" s="104" t="s">
        <v>1173</v>
      </c>
    </row>
    <row r="426" spans="1:5">
      <c r="A426" s="100" t="s">
        <v>1330</v>
      </c>
      <c r="B426" s="100" t="s">
        <v>1331</v>
      </c>
      <c r="C426" s="14"/>
      <c r="D426" s="100">
        <f t="shared" si="6"/>
        <v>1</v>
      </c>
      <c r="E426" s="104" t="s">
        <v>1173</v>
      </c>
    </row>
    <row r="427" spans="1:5">
      <c r="A427" s="100" t="s">
        <v>1332</v>
      </c>
      <c r="B427" s="100" t="s">
        <v>1333</v>
      </c>
      <c r="C427" s="14"/>
      <c r="D427" s="100">
        <f t="shared" si="6"/>
        <v>1</v>
      </c>
      <c r="E427" s="104" t="s">
        <v>1173</v>
      </c>
    </row>
    <row r="428" spans="1:5">
      <c r="A428" s="100" t="s">
        <v>1334</v>
      </c>
      <c r="B428" s="100" t="s">
        <v>1335</v>
      </c>
      <c r="C428" s="14"/>
      <c r="D428" s="100">
        <f t="shared" si="6"/>
        <v>1</v>
      </c>
      <c r="E428" s="104" t="s">
        <v>1173</v>
      </c>
    </row>
    <row r="429" spans="1:5">
      <c r="A429" s="100" t="s">
        <v>1336</v>
      </c>
      <c r="B429" s="100" t="s">
        <v>1337</v>
      </c>
      <c r="C429" s="14"/>
      <c r="D429" s="100">
        <f t="shared" si="6"/>
        <v>1</v>
      </c>
      <c r="E429" s="104" t="s">
        <v>1173</v>
      </c>
    </row>
    <row r="430" spans="1:5">
      <c r="A430" s="100" t="s">
        <v>1338</v>
      </c>
      <c r="B430" s="100" t="s">
        <v>1339</v>
      </c>
      <c r="C430" s="14"/>
      <c r="D430" s="100">
        <f t="shared" si="6"/>
        <v>1</v>
      </c>
      <c r="E430" s="104" t="s">
        <v>1173</v>
      </c>
    </row>
    <row r="431" spans="1:5">
      <c r="A431" s="100" t="s">
        <v>1340</v>
      </c>
      <c r="B431" s="100" t="s">
        <v>1341</v>
      </c>
      <c r="C431" s="14"/>
      <c r="D431" s="100">
        <f t="shared" si="6"/>
        <v>1</v>
      </c>
      <c r="E431" s="104" t="s">
        <v>1173</v>
      </c>
    </row>
    <row r="432" spans="1:5">
      <c r="A432" s="100" t="s">
        <v>1342</v>
      </c>
      <c r="B432" s="100" t="s">
        <v>1343</v>
      </c>
      <c r="C432" s="14"/>
      <c r="D432" s="100">
        <f t="shared" si="6"/>
        <v>1</v>
      </c>
      <c r="E432" s="104" t="s">
        <v>1173</v>
      </c>
    </row>
    <row r="433" spans="1:5">
      <c r="A433" s="100" t="s">
        <v>1344</v>
      </c>
      <c r="B433" s="100" t="s">
        <v>1345</v>
      </c>
      <c r="C433" s="14"/>
      <c r="D433" s="100">
        <f t="shared" si="6"/>
        <v>1</v>
      </c>
      <c r="E433" s="104" t="s">
        <v>1173</v>
      </c>
    </row>
    <row r="434" spans="1:5">
      <c r="A434" s="100" t="s">
        <v>1346</v>
      </c>
      <c r="B434" s="100" t="s">
        <v>1347</v>
      </c>
      <c r="C434" s="14"/>
      <c r="D434" s="100">
        <f t="shared" si="6"/>
        <v>1</v>
      </c>
      <c r="E434" s="104" t="s">
        <v>1173</v>
      </c>
    </row>
    <row r="435" spans="1:5">
      <c r="A435" s="100" t="s">
        <v>1348</v>
      </c>
      <c r="B435" s="100" t="s">
        <v>1349</v>
      </c>
      <c r="C435" s="14"/>
      <c r="D435" s="100">
        <f t="shared" si="6"/>
        <v>1</v>
      </c>
      <c r="E435" s="104" t="s">
        <v>1173</v>
      </c>
    </row>
    <row r="436" spans="1:5">
      <c r="A436" s="100" t="s">
        <v>1350</v>
      </c>
      <c r="B436" s="100" t="s">
        <v>859</v>
      </c>
      <c r="C436" s="14"/>
      <c r="D436" s="100">
        <f t="shared" si="6"/>
        <v>1</v>
      </c>
      <c r="E436" s="104" t="s">
        <v>1173</v>
      </c>
    </row>
    <row r="437" spans="1:5">
      <c r="A437" s="107" t="s">
        <v>1351</v>
      </c>
      <c r="B437" s="100" t="s">
        <v>1352</v>
      </c>
      <c r="C437" s="14" t="s">
        <v>511</v>
      </c>
      <c r="D437" s="100">
        <f t="shared" si="6"/>
        <v>1</v>
      </c>
      <c r="E437" s="104" t="s">
        <v>1173</v>
      </c>
    </row>
    <row r="438" spans="1:5">
      <c r="A438" s="118" t="s">
        <v>1353</v>
      </c>
      <c r="B438" s="118" t="s">
        <v>1354</v>
      </c>
      <c r="C438" s="14" t="s">
        <v>511</v>
      </c>
      <c r="D438" s="100">
        <f t="shared" si="6"/>
        <v>1</v>
      </c>
      <c r="E438" s="104" t="s">
        <v>1173</v>
      </c>
    </row>
    <row r="439" spans="1:5">
      <c r="A439" s="100" t="s">
        <v>1355</v>
      </c>
      <c r="B439" s="100" t="s">
        <v>1356</v>
      </c>
      <c r="C439" s="14"/>
      <c r="D439" s="100">
        <f t="shared" si="6"/>
        <v>1</v>
      </c>
      <c r="E439" s="104" t="s">
        <v>1173</v>
      </c>
    </row>
    <row r="440" spans="1:5">
      <c r="A440" s="100" t="s">
        <v>1357</v>
      </c>
      <c r="B440" s="108" t="s">
        <v>1358</v>
      </c>
      <c r="C440" s="14"/>
      <c r="D440" s="100">
        <f t="shared" si="6"/>
        <v>1</v>
      </c>
      <c r="E440" s="104" t="s">
        <v>1173</v>
      </c>
    </row>
    <row r="441" spans="1:5">
      <c r="A441" s="100" t="s">
        <v>1359</v>
      </c>
      <c r="B441" s="100" t="s">
        <v>1360</v>
      </c>
      <c r="C441" s="14"/>
      <c r="D441" s="100">
        <f t="shared" si="6"/>
        <v>1</v>
      </c>
      <c r="E441" s="104" t="s">
        <v>1173</v>
      </c>
    </row>
    <row r="442" spans="1:5">
      <c r="A442" s="100" t="s">
        <v>1361</v>
      </c>
      <c r="B442" s="100" t="s">
        <v>1362</v>
      </c>
      <c r="C442" s="14"/>
      <c r="D442" s="100">
        <f t="shared" si="6"/>
        <v>1</v>
      </c>
      <c r="E442" s="104" t="s">
        <v>1173</v>
      </c>
    </row>
    <row r="443" spans="1:5">
      <c r="A443" s="100" t="s">
        <v>1363</v>
      </c>
      <c r="B443" s="100" t="s">
        <v>1364</v>
      </c>
      <c r="C443" s="14"/>
      <c r="D443" s="100">
        <f t="shared" si="6"/>
        <v>1</v>
      </c>
      <c r="E443" s="104" t="s">
        <v>1173</v>
      </c>
    </row>
    <row r="444" spans="1:5">
      <c r="A444" s="100" t="s">
        <v>1365</v>
      </c>
      <c r="B444" s="100" t="s">
        <v>1366</v>
      </c>
      <c r="C444" s="14"/>
      <c r="D444" s="100">
        <f t="shared" si="6"/>
        <v>1</v>
      </c>
      <c r="E444" s="104" t="s">
        <v>1173</v>
      </c>
    </row>
    <row r="445" spans="1:5">
      <c r="A445" s="100" t="s">
        <v>1367</v>
      </c>
      <c r="B445" s="100" t="s">
        <v>1368</v>
      </c>
      <c r="C445" s="14"/>
      <c r="D445" s="100">
        <f t="shared" si="6"/>
        <v>1</v>
      </c>
      <c r="E445" s="104" t="s">
        <v>1173</v>
      </c>
    </row>
    <row r="446" spans="1:5">
      <c r="A446" s="100" t="s">
        <v>1369</v>
      </c>
      <c r="B446" s="100" t="s">
        <v>1370</v>
      </c>
      <c r="C446" s="14"/>
      <c r="D446" s="100">
        <f t="shared" si="6"/>
        <v>1</v>
      </c>
      <c r="E446" s="104" t="s">
        <v>1173</v>
      </c>
    </row>
    <row r="447" spans="1:5">
      <c r="A447" s="100" t="s">
        <v>1371</v>
      </c>
      <c r="B447" s="100" t="s">
        <v>1372</v>
      </c>
      <c r="C447" s="14"/>
      <c r="D447" s="100">
        <f t="shared" si="6"/>
        <v>1</v>
      </c>
      <c r="E447" s="104" t="s">
        <v>1173</v>
      </c>
    </row>
    <row r="448" spans="1:5">
      <c r="A448" s="100" t="s">
        <v>1373</v>
      </c>
      <c r="B448" s="100" t="s">
        <v>1374</v>
      </c>
      <c r="C448" s="14"/>
      <c r="D448" s="100">
        <f t="shared" si="6"/>
        <v>1</v>
      </c>
      <c r="E448" s="104" t="s">
        <v>1173</v>
      </c>
    </row>
    <row r="449" spans="1:5">
      <c r="A449" s="100" t="s">
        <v>1375</v>
      </c>
      <c r="B449" s="100" t="s">
        <v>1376</v>
      </c>
      <c r="C449" s="14"/>
      <c r="D449" s="100">
        <f t="shared" si="6"/>
        <v>1</v>
      </c>
      <c r="E449" s="104" t="s">
        <v>1173</v>
      </c>
    </row>
    <row r="450" spans="1:5">
      <c r="A450" s="100" t="s">
        <v>1377</v>
      </c>
      <c r="B450" s="100" t="s">
        <v>1378</v>
      </c>
      <c r="C450" s="14"/>
      <c r="D450" s="100">
        <f t="shared" ref="D450:D503" si="7">IF(B450&lt;&gt;C450,1,0)</f>
        <v>1</v>
      </c>
      <c r="E450" s="104" t="s">
        <v>1173</v>
      </c>
    </row>
    <row r="451" spans="1:5">
      <c r="A451" s="100" t="s">
        <v>1379</v>
      </c>
      <c r="B451" s="100" t="s">
        <v>1380</v>
      </c>
      <c r="C451" s="14"/>
      <c r="D451" s="100">
        <f t="shared" si="7"/>
        <v>1</v>
      </c>
      <c r="E451" s="104" t="s">
        <v>1173</v>
      </c>
    </row>
    <row r="452" spans="1:5">
      <c r="A452" s="100" t="s">
        <v>1381</v>
      </c>
      <c r="B452" s="100" t="s">
        <v>1382</v>
      </c>
      <c r="C452" s="14"/>
      <c r="D452" s="100">
        <f t="shared" si="7"/>
        <v>1</v>
      </c>
      <c r="E452" s="104" t="s">
        <v>1173</v>
      </c>
    </row>
    <row r="453" spans="1:5">
      <c r="A453" s="100" t="s">
        <v>1383</v>
      </c>
      <c r="B453" s="100" t="s">
        <v>1384</v>
      </c>
      <c r="C453" s="14"/>
      <c r="D453" s="100">
        <f t="shared" si="7"/>
        <v>1</v>
      </c>
      <c r="E453" s="104" t="s">
        <v>1173</v>
      </c>
    </row>
    <row r="454" spans="1:5">
      <c r="A454" s="100" t="s">
        <v>1385</v>
      </c>
      <c r="B454" s="100" t="s">
        <v>1386</v>
      </c>
      <c r="C454" s="14"/>
      <c r="D454" s="100">
        <f t="shared" si="7"/>
        <v>1</v>
      </c>
      <c r="E454" s="104" t="s">
        <v>1173</v>
      </c>
    </row>
    <row r="455" spans="1:5">
      <c r="A455" s="100" t="s">
        <v>1387</v>
      </c>
      <c r="B455" s="100" t="s">
        <v>1388</v>
      </c>
      <c r="C455" s="14"/>
      <c r="D455" s="100">
        <f t="shared" si="7"/>
        <v>1</v>
      </c>
      <c r="E455" s="104" t="s">
        <v>1173</v>
      </c>
    </row>
    <row r="456" spans="1:5">
      <c r="A456" s="100" t="s">
        <v>1389</v>
      </c>
      <c r="B456" s="100" t="s">
        <v>1390</v>
      </c>
      <c r="C456" s="14"/>
      <c r="D456" s="100">
        <f t="shared" si="7"/>
        <v>1</v>
      </c>
      <c r="E456" s="104" t="s">
        <v>1173</v>
      </c>
    </row>
    <row r="457" spans="1:5">
      <c r="A457" s="100" t="s">
        <v>1391</v>
      </c>
      <c r="B457" s="100" t="s">
        <v>1392</v>
      </c>
      <c r="C457" s="14"/>
      <c r="D457" s="100">
        <f t="shared" si="7"/>
        <v>1</v>
      </c>
      <c r="E457" s="104" t="s">
        <v>1173</v>
      </c>
    </row>
    <row r="458" spans="1:5">
      <c r="A458" s="100" t="s">
        <v>1393</v>
      </c>
      <c r="B458" s="100" t="s">
        <v>1394</v>
      </c>
      <c r="C458" s="14"/>
      <c r="D458" s="100">
        <f t="shared" si="7"/>
        <v>1</v>
      </c>
      <c r="E458" s="104" t="s">
        <v>1173</v>
      </c>
    </row>
    <row r="459" spans="1:5">
      <c r="A459" s="100" t="s">
        <v>1395</v>
      </c>
      <c r="B459" s="100" t="s">
        <v>1396</v>
      </c>
      <c r="C459" s="14"/>
      <c r="D459" s="100">
        <f t="shared" si="7"/>
        <v>1</v>
      </c>
      <c r="E459" s="104" t="s">
        <v>1173</v>
      </c>
    </row>
    <row r="460" spans="1:5">
      <c r="A460" s="100" t="s">
        <v>1397</v>
      </c>
      <c r="B460" s="100" t="s">
        <v>1398</v>
      </c>
      <c r="C460" s="14"/>
      <c r="D460" s="100">
        <f t="shared" si="7"/>
        <v>1</v>
      </c>
      <c r="E460" s="104" t="s">
        <v>1173</v>
      </c>
    </row>
    <row r="461" spans="1:5">
      <c r="A461" s="101" t="s">
        <v>1399</v>
      </c>
      <c r="B461" s="100" t="s">
        <v>1400</v>
      </c>
      <c r="C461" s="14"/>
      <c r="D461" s="100">
        <f t="shared" si="7"/>
        <v>1</v>
      </c>
      <c r="E461" s="104" t="s">
        <v>1173</v>
      </c>
    </row>
    <row r="462" spans="1:5">
      <c r="A462" s="101" t="s">
        <v>1401</v>
      </c>
      <c r="B462" s="101" t="s">
        <v>1402</v>
      </c>
      <c r="C462" s="14"/>
      <c r="D462" s="100">
        <f t="shared" si="7"/>
        <v>1</v>
      </c>
      <c r="E462" s="104" t="s">
        <v>1173</v>
      </c>
    </row>
    <row r="463" spans="1:5">
      <c r="A463" s="101" t="s">
        <v>1403</v>
      </c>
      <c r="B463" s="101" t="s">
        <v>1404</v>
      </c>
      <c r="C463" s="14"/>
      <c r="D463" s="100">
        <f t="shared" si="7"/>
        <v>1</v>
      </c>
      <c r="E463" s="104" t="s">
        <v>1173</v>
      </c>
    </row>
    <row r="464" spans="1:5">
      <c r="A464" s="101" t="s">
        <v>1405</v>
      </c>
      <c r="B464" s="101" t="s">
        <v>1406</v>
      </c>
      <c r="C464" s="14"/>
      <c r="D464" s="100">
        <f t="shared" si="7"/>
        <v>1</v>
      </c>
      <c r="E464" s="104" t="s">
        <v>1173</v>
      </c>
    </row>
    <row r="465" spans="1:5">
      <c r="A465" s="101" t="s">
        <v>1407</v>
      </c>
      <c r="B465" s="101" t="s">
        <v>1408</v>
      </c>
      <c r="C465" s="14"/>
      <c r="D465" s="100">
        <f t="shared" si="7"/>
        <v>1</v>
      </c>
      <c r="E465" s="104" t="s">
        <v>1173</v>
      </c>
    </row>
    <row r="466" spans="1:5">
      <c r="A466" s="101" t="s">
        <v>1409</v>
      </c>
      <c r="B466" s="101" t="s">
        <v>1410</v>
      </c>
      <c r="C466" s="14"/>
      <c r="D466" s="100">
        <f t="shared" si="7"/>
        <v>1</v>
      </c>
      <c r="E466" s="104" t="s">
        <v>1173</v>
      </c>
    </row>
    <row r="467" spans="1:5">
      <c r="A467" s="101" t="s">
        <v>1411</v>
      </c>
      <c r="B467" s="101" t="s">
        <v>1412</v>
      </c>
      <c r="C467" s="14"/>
      <c r="D467" s="100">
        <f t="shared" si="7"/>
        <v>1</v>
      </c>
      <c r="E467" s="104" t="s">
        <v>1173</v>
      </c>
    </row>
    <row r="468" spans="1:5">
      <c r="A468" s="101" t="s">
        <v>1413</v>
      </c>
      <c r="B468" s="101" t="s">
        <v>1414</v>
      </c>
      <c r="C468" s="14"/>
      <c r="D468" s="100">
        <f t="shared" si="7"/>
        <v>1</v>
      </c>
      <c r="E468" s="104" t="s">
        <v>1173</v>
      </c>
    </row>
    <row r="469" spans="1:5">
      <c r="A469" s="101" t="s">
        <v>1415</v>
      </c>
      <c r="B469" s="101" t="s">
        <v>1416</v>
      </c>
      <c r="C469" s="14"/>
      <c r="D469" s="100">
        <f t="shared" si="7"/>
        <v>1</v>
      </c>
      <c r="E469" s="104" t="s">
        <v>1173</v>
      </c>
    </row>
    <row r="470" spans="1:5">
      <c r="A470" s="101" t="s">
        <v>1417</v>
      </c>
      <c r="B470" s="101" t="s">
        <v>1418</v>
      </c>
      <c r="C470" s="14"/>
      <c r="D470" s="100">
        <f t="shared" si="7"/>
        <v>1</v>
      </c>
      <c r="E470" s="104" t="s">
        <v>1173</v>
      </c>
    </row>
    <row r="471" spans="1:5">
      <c r="A471" s="101" t="s">
        <v>1419</v>
      </c>
      <c r="B471" s="101" t="s">
        <v>1420</v>
      </c>
      <c r="C471" s="14"/>
      <c r="D471" s="100">
        <f t="shared" si="7"/>
        <v>1</v>
      </c>
      <c r="E471" s="104" t="s">
        <v>1173</v>
      </c>
    </row>
    <row r="472" spans="1:5">
      <c r="B472" s="119"/>
      <c r="D472" s="100">
        <f t="shared" si="7"/>
        <v>0</v>
      </c>
      <c r="E472" s="104" t="s">
        <v>1173</v>
      </c>
    </row>
    <row r="473" spans="1:5">
      <c r="D473" s="100">
        <f t="shared" si="7"/>
        <v>0</v>
      </c>
      <c r="E473" s="104" t="s">
        <v>1173</v>
      </c>
    </row>
    <row r="474" spans="1:5">
      <c r="D474" s="100">
        <f t="shared" si="7"/>
        <v>0</v>
      </c>
      <c r="E474" s="104" t="s">
        <v>1173</v>
      </c>
    </row>
    <row r="475" spans="1:5">
      <c r="D475" s="100">
        <f t="shared" si="7"/>
        <v>0</v>
      </c>
      <c r="E475" s="104" t="s">
        <v>1173</v>
      </c>
    </row>
    <row r="476" spans="1:5">
      <c r="D476" s="100">
        <f t="shared" si="7"/>
        <v>0</v>
      </c>
      <c r="E476" s="104" t="s">
        <v>1173</v>
      </c>
    </row>
    <row r="477" spans="1:5">
      <c r="D477" s="100">
        <f t="shared" si="7"/>
        <v>0</v>
      </c>
      <c r="E477" s="104" t="s">
        <v>1173</v>
      </c>
    </row>
    <row r="478" spans="1:5">
      <c r="D478" s="100">
        <f t="shared" si="7"/>
        <v>0</v>
      </c>
      <c r="E478" s="104" t="s">
        <v>1173</v>
      </c>
    </row>
    <row r="479" spans="1:5">
      <c r="D479" s="100">
        <f t="shared" si="7"/>
        <v>0</v>
      </c>
      <c r="E479" s="104" t="s">
        <v>1173</v>
      </c>
    </row>
    <row r="480" spans="1:5">
      <c r="D480" s="100">
        <f t="shared" si="7"/>
        <v>0</v>
      </c>
      <c r="E480" s="104" t="s">
        <v>1173</v>
      </c>
    </row>
    <row r="481" spans="4:5">
      <c r="D481" s="100">
        <f t="shared" si="7"/>
        <v>0</v>
      </c>
      <c r="E481" s="104" t="s">
        <v>1173</v>
      </c>
    </row>
    <row r="482" spans="4:5">
      <c r="D482" s="100">
        <f t="shared" si="7"/>
        <v>0</v>
      </c>
      <c r="E482" s="104" t="s">
        <v>1173</v>
      </c>
    </row>
    <row r="483" spans="4:5">
      <c r="D483" s="100">
        <f t="shared" si="7"/>
        <v>0</v>
      </c>
      <c r="E483" s="104" t="s">
        <v>1173</v>
      </c>
    </row>
    <row r="484" spans="4:5">
      <c r="D484" s="100">
        <f t="shared" si="7"/>
        <v>0</v>
      </c>
      <c r="E484" s="104" t="s">
        <v>1173</v>
      </c>
    </row>
    <row r="485" spans="4:5">
      <c r="D485" s="100">
        <f t="shared" si="7"/>
        <v>0</v>
      </c>
      <c r="E485" s="104" t="s">
        <v>1173</v>
      </c>
    </row>
    <row r="486" spans="4:5">
      <c r="D486" s="100">
        <f t="shared" si="7"/>
        <v>0</v>
      </c>
    </row>
    <row r="487" spans="4:5">
      <c r="D487" s="100">
        <f t="shared" si="7"/>
        <v>0</v>
      </c>
    </row>
    <row r="488" spans="4:5">
      <c r="D488" s="100">
        <f t="shared" si="7"/>
        <v>0</v>
      </c>
    </row>
    <row r="489" spans="4:5">
      <c r="D489" s="100">
        <f t="shared" si="7"/>
        <v>0</v>
      </c>
    </row>
    <row r="490" spans="4:5">
      <c r="D490" s="100">
        <f t="shared" si="7"/>
        <v>0</v>
      </c>
    </row>
    <row r="491" spans="4:5">
      <c r="D491" s="100">
        <f t="shared" si="7"/>
        <v>0</v>
      </c>
    </row>
    <row r="492" spans="4:5">
      <c r="D492" s="100">
        <f t="shared" si="7"/>
        <v>0</v>
      </c>
    </row>
    <row r="493" spans="4:5">
      <c r="D493" s="100">
        <f t="shared" si="7"/>
        <v>0</v>
      </c>
    </row>
    <row r="494" spans="4:5">
      <c r="D494" s="100">
        <f t="shared" si="7"/>
        <v>0</v>
      </c>
    </row>
    <row r="495" spans="4:5">
      <c r="D495" s="100">
        <f t="shared" si="7"/>
        <v>0</v>
      </c>
    </row>
    <row r="496" spans="4:5">
      <c r="D496" s="100">
        <f t="shared" si="7"/>
        <v>0</v>
      </c>
    </row>
    <row r="497" spans="4:4">
      <c r="D497" s="100">
        <f t="shared" si="7"/>
        <v>0</v>
      </c>
    </row>
    <row r="498" spans="4:4">
      <c r="D498" s="100">
        <f t="shared" si="7"/>
        <v>0</v>
      </c>
    </row>
    <row r="499" spans="4:4">
      <c r="D499" s="100">
        <f t="shared" si="7"/>
        <v>0</v>
      </c>
    </row>
    <row r="500" spans="4:4">
      <c r="D500" s="100">
        <f t="shared" si="7"/>
        <v>0</v>
      </c>
    </row>
    <row r="501" spans="4:4">
      <c r="D501" s="100">
        <f t="shared" si="7"/>
        <v>0</v>
      </c>
    </row>
    <row r="502" spans="4:4">
      <c r="D502" s="100">
        <f t="shared" si="7"/>
        <v>0</v>
      </c>
    </row>
    <row r="503" spans="4:4">
      <c r="D503" s="100">
        <f t="shared" si="7"/>
        <v>0</v>
      </c>
    </row>
  </sheetData>
  <autoFilter ref="A1:C177"/>
  <phoneticPr fontId="5"/>
  <pageMargins left="0.7" right="0.7" top="0.75" bottom="0.75" header="0.3" footer="0.3"/>
  <pageSetup paperSize="9" orientation="portrait" r:id="rId1"/>
  <headerFooter>
    <oddFooter>&amp;C - &amp;P</oddFooter>
  </headerFooter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lcf76f155ced4ddcb4097134ff3c332f xmlns="44fe4817-1a8c-4f6d-9a7a-15a2f9c2ceea">
      <Terms xmlns="http://schemas.microsoft.com/office/infopath/2007/PartnerControls"/>
    </lcf76f155ced4ddcb4097134ff3c332f>
    <TaxCatchAll xmlns="2ad01a7e-b0cc-482e-be0b-d1161c9cb6dd" xsi:nil="true"/>
  </documentManagement>
</p:properties>
</file>

<file path=customXml/item2.xml><?xml version="1.0" encoding="utf-8"?>
<ct:contentTypeSchema xmlns:ct="http://schemas.microsoft.com/office/2006/metadata/contentType" xmlns:ma="http://schemas.microsoft.com/office/2006/metadata/properties/metaAttributes" ct:_="" ma:_="" ma:contentTypeName="ドキュメント" ma:contentTypeID="0x01010008FF3A34676D824697E700815E8AA6A8" ma:contentTypeVersion="13" ma:contentTypeDescription="新しいドキュメントを作成します。" ma:contentTypeScope="" ma:versionID="ddf6ee8e52445465c0a7404d1205d416">
  <xsd:schema xmlns:xsd="http://www.w3.org/2001/XMLSchema" xmlns:xs="http://www.w3.org/2001/XMLSchema" xmlns:p="http://schemas.microsoft.com/office/2006/metadata/properties" xmlns:ns2="44fe4817-1a8c-4f6d-9a7a-15a2f9c2ceea" xmlns:ns3="2ad01a7e-b0cc-482e-be0b-d1161c9cb6dd" targetNamespace="http://schemas.microsoft.com/office/2006/metadata/properties" ma:root="true" ma:fieldsID="f446b65a1e89f5a19241f3a45b467c8a" ns2:_="" ns3:_="">
    <xsd:import namespace="44fe4817-1a8c-4f6d-9a7a-15a2f9c2ceea"/>
    <xsd:import namespace="2ad01a7e-b0cc-482e-be0b-d1161c9cb6dd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3:SharedWithUsers" minOccurs="0"/>
                <xsd:element ref="ns3:SharedWithDetails" minOccurs="0"/>
                <xsd:element ref="ns2:lcf76f155ced4ddcb4097134ff3c332f" minOccurs="0"/>
                <xsd:element ref="ns3:TaxCatchAll" minOccurs="0"/>
                <xsd:element ref="ns2:MediaServiceObjectDetectorVersions" minOccurs="0"/>
                <xsd:element ref="ns2:MediaServiceOCR" minOccurs="0"/>
                <xsd:element ref="ns2:MediaServiceGenerationTime" minOccurs="0"/>
                <xsd:element ref="ns2:MediaServiceEventHashCode" minOccurs="0"/>
                <xsd:element ref="ns2:MediaServiceDateTaken" minOccurs="0"/>
                <xsd:element ref="ns2:MediaLengthInSecond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44fe4817-1a8c-4f6d-9a7a-15a2f9c2ceea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lcf76f155ced4ddcb4097134ff3c332f" ma:index="13" nillable="true" ma:taxonomy="true" ma:internalName="lcf76f155ced4ddcb4097134ff3c332f" ma:taxonomyFieldName="MediaServiceImageTags" ma:displayName="画像タグ" ma:readOnly="false" ma:fieldId="{5cf76f15-5ced-4ddc-b409-7134ff3c332f}" ma:taxonomyMulti="true" ma:sspId="9af9b40b-1e02-41df-a02a-f7cdeb5c05da" ma:termSetId="09814cd3-568e-fe90-9814-8d621ff8fb84" ma:anchorId="fba54fb3-c3e1-fe81-a776-ca4b69148c4d" ma:open="true" ma:isKeyword="false">
      <xsd:complexType>
        <xsd:sequence>
          <xsd:element ref="pc:Terms" minOccurs="0" maxOccurs="1"/>
        </xsd:sequence>
      </xsd:complexType>
    </xsd:element>
    <xsd:element name="MediaServiceObjectDetectorVersions" ma:index="15" nillable="true" ma:displayName="MediaServiceObjectDetectorVersions" ma:hidden="true" ma:indexed="true" ma:internalName="MediaServiceObjectDetectorVersions" ma:readOnly="true">
      <xsd:simpleType>
        <xsd:restriction base="dms:Text"/>
      </xsd:simpleType>
    </xsd:element>
    <xsd:element name="MediaServiceOCR" ma:index="16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GenerationTime" ma:index="17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8" nillable="true" ma:displayName="MediaServiceEventHashCode" ma:hidden="true" ma:internalName="MediaServiceEventHashCode" ma:readOnly="true">
      <xsd:simpleType>
        <xsd:restriction base="dms:Text"/>
      </xsd:simpleType>
    </xsd:element>
    <xsd:element name="MediaServiceDateTaken" ma:index="19" nillable="true" ma:displayName="MediaServiceDateTaken" ma:hidden="true" ma:indexed="true" ma:internalName="MediaServiceDateTaken" ma:readOnly="true">
      <xsd:simpleType>
        <xsd:restriction base="dms:Text"/>
      </xsd:simpleType>
    </xsd:element>
    <xsd:element name="MediaLengthInSeconds" ma:index="20" nillable="true" ma:displayName="MediaLengthInSeconds" ma:hidden="true" ma:internalName="MediaLengthInSeconds" ma:readOnly="true">
      <xsd:simpleType>
        <xsd:restriction base="dms:Unknown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2ad01a7e-b0cc-482e-be0b-d1161c9cb6dd" elementFormDefault="qualified">
    <xsd:import namespace="http://schemas.microsoft.com/office/2006/documentManagement/types"/>
    <xsd:import namespace="http://schemas.microsoft.com/office/infopath/2007/PartnerControls"/>
    <xsd:element name="SharedWithUsers" ma:index="10" nillable="true" ma:displayName="共有相手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11" nillable="true" ma:displayName="共有相手の詳細情報" ma:internalName="SharedWithDetails" ma:readOnly="true">
      <xsd:simpleType>
        <xsd:restriction base="dms:Note">
          <xsd:maxLength value="255"/>
        </xsd:restriction>
      </xsd:simpleType>
    </xsd:element>
    <xsd:element name="TaxCatchAll" ma:index="14" nillable="true" ma:displayName="Taxonomy Catch All Column" ma:hidden="true" ma:list="{cf23d7e2-ce68-4abd-b181-8ce7ce528754}" ma:internalName="TaxCatchAll" ma:showField="CatchAllData" ma:web="2ad01a7e-b0cc-482e-be0b-d1161c9cb6dd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コンテンツ タイプ"/>
        <xsd:element ref="dc:title" minOccurs="0" maxOccurs="1" ma:index="4" ma:displayName="タイトル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3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Props1.xml><?xml version="1.0" encoding="utf-8"?>
<ds:datastoreItem xmlns:ds="http://schemas.openxmlformats.org/officeDocument/2006/customXml" ds:itemID="{B166708A-B621-4A65-8BAD-1D8564668064}">
  <ds:schemaRefs>
    <ds:schemaRef ds:uri="http://schemas.microsoft.com/office/2006/metadata/properties"/>
    <ds:schemaRef ds:uri="http://purl.org/dc/terms/"/>
    <ds:schemaRef ds:uri="44fe4817-1a8c-4f6d-9a7a-15a2f9c2ceea"/>
    <ds:schemaRef ds:uri="http://schemas.openxmlformats.org/package/2006/metadata/core-properties"/>
    <ds:schemaRef ds:uri="http://schemas.microsoft.com/office/2006/documentManagement/types"/>
    <ds:schemaRef ds:uri="http://schemas.microsoft.com/office/infopath/2007/PartnerControls"/>
    <ds:schemaRef ds:uri="http://purl.org/dc/elements/1.1/"/>
    <ds:schemaRef ds:uri="2ad01a7e-b0cc-482e-be0b-d1161c9cb6dd"/>
    <ds:schemaRef ds:uri="http://www.w3.org/XML/1998/namespace"/>
    <ds:schemaRef ds:uri="http://purl.org/dc/dcmitype/"/>
  </ds:schemaRefs>
</ds:datastoreItem>
</file>

<file path=customXml/itemProps2.xml><?xml version="1.0" encoding="utf-8"?>
<ds:datastoreItem xmlns:ds="http://schemas.openxmlformats.org/officeDocument/2006/customXml" ds:itemID="{576AC37A-BE6C-4B4B-89C1-BC5E7CC4C3A7}"/>
</file>

<file path=customXml/itemProps3.xml><?xml version="1.0" encoding="utf-8"?>
<ds:datastoreItem xmlns:ds="http://schemas.openxmlformats.org/officeDocument/2006/customXml" ds:itemID="{841A44EC-CE7F-4224-9C60-379FC181AC3E}">
  <ds:schemaRefs>
    <ds:schemaRef ds:uri="http://schemas.microsoft.com/sharepoint/v3/contenttype/forms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2</DocSecurity>
  <ScaleCrop>false</ScaleCrop>
  <HeadingPairs>
    <vt:vector size="4" baseType="variant">
      <vt:variant>
        <vt:lpstr>ワークシート</vt:lpstr>
      </vt:variant>
      <vt:variant>
        <vt:i4>28</vt:i4>
      </vt:variant>
      <vt:variant>
        <vt:lpstr>名前付き一覧</vt:lpstr>
      </vt:variant>
      <vt:variant>
        <vt:i4>25</vt:i4>
      </vt:variant>
    </vt:vector>
  </HeadingPairs>
  <TitlesOfParts>
    <vt:vector size="53" baseType="lpstr">
      <vt:lpstr>マクロ</vt:lpstr>
      <vt:lpstr>実行シート</vt:lpstr>
      <vt:lpstr>テーブル一覧</vt:lpstr>
      <vt:lpstr>生産計画情報（抄紙）</vt:lpstr>
      <vt:lpstr>生産計画情報（熱加工）</vt:lpstr>
      <vt:lpstr>生産計画情報（加工CM）</vt:lpstr>
      <vt:lpstr>生産計画情報（加工SC）</vt:lpstr>
      <vt:lpstr>生産計画情報（コーヒーフィルタ）</vt:lpstr>
      <vt:lpstr>生産計画情報（パッケージ工場）</vt:lpstr>
      <vt:lpstr>生産計画情報（WD工場）</vt:lpstr>
      <vt:lpstr>生産計画情報（外注加工）</vt:lpstr>
      <vt:lpstr>生産指示情報（原材料）</vt:lpstr>
      <vt:lpstr>生産指示明細情報（原材料）</vt:lpstr>
      <vt:lpstr>生産指示情報（薬品）</vt:lpstr>
      <vt:lpstr>生産指示明細情報（薬品）</vt:lpstr>
      <vt:lpstr>生産指示情報（調薬）</vt:lpstr>
      <vt:lpstr>生産指示明細情報（調薬）</vt:lpstr>
      <vt:lpstr>生産指示情報（原反）</vt:lpstr>
      <vt:lpstr>生産指示明細情報（原反）</vt:lpstr>
      <vt:lpstr>加工依頼情報</vt:lpstr>
      <vt:lpstr>加工依頼明細情報</vt:lpstr>
      <vt:lpstr>加工依頼明細情報（ロット指定）</vt:lpstr>
      <vt:lpstr>生産計画項目制御情報</vt:lpstr>
      <vt:lpstr>生産計画排他情報</vt:lpstr>
      <vt:lpstr>製造工程抄紙設備</vt:lpstr>
      <vt:lpstr>項目一覧</vt:lpstr>
      <vt:lpstr>項目一覧 (項目別)</vt:lpstr>
      <vt:lpstr>Sheet1</vt:lpstr>
      <vt:lpstr>テーブル一覧!Print_Titles</vt:lpstr>
      <vt:lpstr>加工依頼情報!Print_Titles</vt:lpstr>
      <vt:lpstr>加工依頼明細情報!Print_Titles</vt:lpstr>
      <vt:lpstr>'加工依頼明細情報（ロット指定）'!Print_Titles</vt:lpstr>
      <vt:lpstr>項目一覧!Print_Titles</vt:lpstr>
      <vt:lpstr>'項目一覧 (項目別)'!Print_Titles</vt:lpstr>
      <vt:lpstr>生産計画項目制御情報!Print_Titles</vt:lpstr>
      <vt:lpstr>'生産計画情報（WD工場）'!Print_Titles</vt:lpstr>
      <vt:lpstr>'生産計画情報（コーヒーフィルタ）'!Print_Titles</vt:lpstr>
      <vt:lpstr>'生産計画情報（パッケージ工場）'!Print_Titles</vt:lpstr>
      <vt:lpstr>'生産計画情報（加工CM）'!Print_Titles</vt:lpstr>
      <vt:lpstr>'生産計画情報（加工SC）'!Print_Titles</vt:lpstr>
      <vt:lpstr>'生産計画情報（外注加工）'!Print_Titles</vt:lpstr>
      <vt:lpstr>'生産計画情報（抄紙）'!Print_Titles</vt:lpstr>
      <vt:lpstr>'生産計画情報（熱加工）'!Print_Titles</vt:lpstr>
      <vt:lpstr>生産計画排他情報!Print_Titles</vt:lpstr>
      <vt:lpstr>'生産指示情報（原材料）'!Print_Titles</vt:lpstr>
      <vt:lpstr>'生産指示情報（原反）'!Print_Titles</vt:lpstr>
      <vt:lpstr>'生産指示情報（調薬）'!Print_Titles</vt:lpstr>
      <vt:lpstr>'生産指示情報（薬品）'!Print_Titles</vt:lpstr>
      <vt:lpstr>'生産指示明細情報（原材料）'!Print_Titles</vt:lpstr>
      <vt:lpstr>'生産指示明細情報（原反）'!Print_Titles</vt:lpstr>
      <vt:lpstr>'生産指示明細情報（調薬）'!Print_Titles</vt:lpstr>
      <vt:lpstr>'生産指示明細情報（薬品）'!Print_Titles</vt:lpstr>
      <vt:lpstr>製造工程抄紙設備!Print_Titles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末永 健治</dc:creator>
  <cp:keywords/>
  <dc:description/>
  <cp:lastModifiedBy>末永 健治</cp:lastModifiedBy>
  <cp:revision/>
  <cp:lastPrinted>2023-11-21T09:44:08Z</cp:lastPrinted>
  <dcterms:created xsi:type="dcterms:W3CDTF">2020-07-03T02:02:56Z</dcterms:created>
  <dcterms:modified xsi:type="dcterms:W3CDTF">2023-11-28T05:15:13Z</dcterms:modified>
  <cp:category/>
  <cp:contentStatus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0x01010008FF3A34676D824697E700815E8AA6A8</vt:lpwstr>
  </property>
  <property fmtid="{D5CDD505-2E9C-101B-9397-08002B2CF9AE}" pid="3" name="MediaServiceImageTags">
    <vt:lpwstr/>
  </property>
</Properties>
</file>